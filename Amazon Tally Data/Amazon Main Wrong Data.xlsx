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fe518618cf127/Documents/Desktop/Test/"/>
    </mc:Choice>
  </mc:AlternateContent>
  <xr:revisionPtr revIDLastSave="11" documentId="13_ncr:1_{A3D62F32-EB6B-4130-AC65-AD9DAA935DA3}" xr6:coauthVersionLast="47" xr6:coauthVersionMax="47" xr10:uidLastSave="{A2E4E487-D6A5-438A-BE76-6921F23E769D}"/>
  <bookViews>
    <workbookView xWindow="-108" yWindow="-108" windowWidth="23256" windowHeight="12456" xr2:uid="{7381DCEF-F7CC-4E91-BF7D-66D3BDFBD084}"/>
  </bookViews>
  <sheets>
    <sheet name="1448884020367" sheetId="1" r:id="rId1"/>
  </sheets>
  <externalReferences>
    <externalReference r:id="rId2"/>
  </externalReferences>
  <definedNames>
    <definedName name="_xlnm._FilterDatabase" localSheetId="0" hidden="1">'1448884020367'!$A$1:$Y$2660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59" i="1" l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Z2616" i="1" s="1"/>
  <c r="Y2615" i="1"/>
  <c r="Y2614" i="1"/>
  <c r="Y2613" i="1"/>
  <c r="Z2613" i="1" s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Z2569" i="1" s="1"/>
  <c r="Y2568" i="1"/>
  <c r="Z2568" i="1" s="1"/>
  <c r="Y2567" i="1"/>
  <c r="Y2566" i="1"/>
  <c r="Y2565" i="1"/>
  <c r="Z2565" i="1" s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Z2545" i="1" s="1"/>
  <c r="Y2544" i="1"/>
  <c r="Z2544" i="1" s="1"/>
  <c r="Y2543" i="1"/>
  <c r="Y2542" i="1"/>
  <c r="Y2541" i="1"/>
  <c r="Y2540" i="1"/>
  <c r="Y2539" i="1"/>
  <c r="Y2538" i="1"/>
  <c r="Y2537" i="1"/>
  <c r="Y2536" i="1"/>
  <c r="Y2535" i="1"/>
  <c r="Y2534" i="1"/>
  <c r="Z2534" i="1" s="1"/>
  <c r="Y2533" i="1"/>
  <c r="Z2533" i="1" s="1"/>
  <c r="Y2532" i="1"/>
  <c r="Y2531" i="1"/>
  <c r="Y2530" i="1"/>
  <c r="Z2530" i="1" s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Z2510" i="1" s="1"/>
  <c r="Y2509" i="1"/>
  <c r="Z2509" i="1" s="1"/>
  <c r="Y2508" i="1"/>
  <c r="Z2508" i="1" s="1"/>
  <c r="Y2507" i="1"/>
  <c r="Y2506" i="1"/>
  <c r="Y2505" i="1"/>
  <c r="Y2504" i="1"/>
  <c r="Y2503" i="1"/>
  <c r="Y2502" i="1"/>
  <c r="Y2501" i="1"/>
  <c r="Y2500" i="1"/>
  <c r="Y2499" i="1"/>
  <c r="Y2498" i="1"/>
  <c r="Y2497" i="1"/>
  <c r="Z2497" i="1" s="1"/>
  <c r="Y2496" i="1"/>
  <c r="Z2496" i="1" s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Z2478" i="1" s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Z2416" i="1" s="1"/>
  <c r="Y2415" i="1"/>
  <c r="Z2415" i="1" s="1"/>
  <c r="Y2414" i="1"/>
  <c r="Z2414" i="1" s="1"/>
  <c r="Y2413" i="1"/>
  <c r="Y2412" i="1"/>
  <c r="Y2411" i="1"/>
  <c r="Y2410" i="1"/>
  <c r="Y2409" i="1"/>
  <c r="Y2408" i="1"/>
  <c r="Z2408" i="1" s="1"/>
  <c r="Y2407" i="1"/>
  <c r="Y2406" i="1"/>
  <c r="Y2405" i="1"/>
  <c r="Y2404" i="1"/>
  <c r="Y2403" i="1"/>
  <c r="Y2402" i="1"/>
  <c r="Y2401" i="1"/>
  <c r="Y2400" i="1"/>
  <c r="Y2399" i="1"/>
  <c r="Y2367" i="1"/>
  <c r="Y2366" i="1"/>
  <c r="Y2365" i="1"/>
  <c r="Z2365" i="1" s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Z2325" i="1" s="1"/>
  <c r="Y2324" i="1"/>
  <c r="Z2324" i="1" s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Z2305" i="1" s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Z2276" i="1" s="1"/>
  <c r="Y2275" i="1"/>
  <c r="Y2274" i="1"/>
  <c r="Z2274" i="1" s="1"/>
  <c r="Y2273" i="1"/>
  <c r="Y2272" i="1"/>
  <c r="Z2272" i="1" s="1"/>
  <c r="Y2271" i="1"/>
  <c r="Z2271" i="1" s="1"/>
  <c r="Y2270" i="1"/>
  <c r="Y2269" i="1"/>
  <c r="Y2268" i="1"/>
  <c r="Y2267" i="1"/>
  <c r="Y2266" i="1"/>
  <c r="Z2266" i="1" s="1"/>
  <c r="Y2265" i="1"/>
  <c r="Y2264" i="1"/>
  <c r="Y2263" i="1"/>
  <c r="Y2262" i="1"/>
  <c r="Y2261" i="1"/>
  <c r="Y2260" i="1"/>
  <c r="Y2259" i="1"/>
  <c r="Y2258" i="1"/>
  <c r="Y2257" i="1"/>
  <c r="Z2257" i="1" s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Z2229" i="1" s="1"/>
  <c r="Y2228" i="1"/>
  <c r="Z2228" i="1" s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Z2216" i="1" s="1"/>
  <c r="Y2215" i="1"/>
  <c r="Y2214" i="1"/>
  <c r="Y2213" i="1"/>
  <c r="Y2212" i="1"/>
  <c r="Y2211" i="1"/>
  <c r="Y2210" i="1"/>
  <c r="Y2209" i="1"/>
  <c r="Z2209" i="1" s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Z2159" i="1" s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Z2145" i="1" s="1"/>
  <c r="Y2144" i="1"/>
  <c r="Y2143" i="1"/>
  <c r="Y2142" i="1"/>
  <c r="Y2141" i="1"/>
  <c r="Y2140" i="1"/>
  <c r="Y2139" i="1"/>
  <c r="Y2138" i="1"/>
  <c r="Y2137" i="1"/>
  <c r="Y2136" i="1"/>
  <c r="Y2135" i="1"/>
  <c r="Z2135" i="1" s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Z2099" i="1" s="1"/>
  <c r="Y2098" i="1"/>
  <c r="Z2098" i="1" s="1"/>
  <c r="Y2097" i="1"/>
  <c r="Z2097" i="1" s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Z2079" i="1" s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Z2050" i="1" s="1"/>
  <c r="Y2049" i="1"/>
  <c r="Z2049" i="1" s="1"/>
  <c r="Y2048" i="1"/>
  <c r="Y2047" i="1"/>
  <c r="Y2046" i="1"/>
  <c r="Y2045" i="1"/>
  <c r="Y2044" i="1"/>
  <c r="Y2043" i="1"/>
  <c r="Y2042" i="1"/>
  <c r="Y2041" i="1"/>
  <c r="Y2040" i="1"/>
  <c r="Y2039" i="1"/>
  <c r="Z2039" i="1" s="1"/>
  <c r="Y2038" i="1"/>
  <c r="Y2037" i="1"/>
  <c r="Z2037" i="1" s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Z2003" i="1" s="1"/>
  <c r="Y2002" i="1"/>
  <c r="Z2002" i="1" s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Z1979" i="1" s="1"/>
  <c r="Y1978" i="1"/>
  <c r="Z1978" i="1" s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Z1955" i="1" s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Z1917" i="1" s="1"/>
  <c r="Y1916" i="1"/>
  <c r="Z1916" i="1" s="1"/>
  <c r="Y1915" i="1"/>
  <c r="Y1914" i="1"/>
  <c r="Z1914" i="1" s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Z1895" i="1" s="1"/>
  <c r="Y1894" i="1"/>
  <c r="Y1893" i="1"/>
  <c r="Z1893" i="1" s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Z1859" i="1" s="1"/>
  <c r="Y1858" i="1"/>
  <c r="Z1858" i="1" s="1"/>
  <c r="Y1857" i="1"/>
  <c r="Y1856" i="1"/>
  <c r="Y1855" i="1"/>
  <c r="Y1854" i="1"/>
  <c r="Y1853" i="1"/>
  <c r="Y1852" i="1"/>
  <c r="Y1851" i="1"/>
  <c r="Y1850" i="1"/>
  <c r="Y1849" i="1"/>
  <c r="Y1848" i="1"/>
  <c r="Y1847" i="1"/>
  <c r="Z1847" i="1" s="1"/>
  <c r="Y1846" i="1"/>
  <c r="Y1845" i="1"/>
  <c r="Y1844" i="1"/>
  <c r="Z1844" i="1" s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Z1818" i="1" s="1"/>
  <c r="Y1817" i="1"/>
  <c r="Y1816" i="1"/>
  <c r="Y1815" i="1"/>
  <c r="Y1791" i="1"/>
  <c r="Y1790" i="1"/>
  <c r="Y1789" i="1"/>
  <c r="Y1788" i="1"/>
  <c r="Y1787" i="1"/>
  <c r="Y1786" i="1"/>
  <c r="Z1786" i="1" s="1"/>
  <c r="Y1785" i="1"/>
  <c r="Z1785" i="1" s="1"/>
  <c r="Y1784" i="1"/>
  <c r="Z1784" i="1" s="1"/>
  <c r="Y1783" i="1"/>
  <c r="Y1782" i="1"/>
  <c r="Y1781" i="1"/>
  <c r="Y1780" i="1"/>
  <c r="Z1780" i="1" s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Z1740" i="1" s="1"/>
  <c r="Y1739" i="1"/>
  <c r="Z1739" i="1" s="1"/>
  <c r="Y1738" i="1"/>
  <c r="Z1738" i="1" s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Z1717" i="1" s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Z1705" i="1" s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Z1691" i="1" s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Z1669" i="1" s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Z1642" i="1" s="1"/>
  <c r="Y1641" i="1"/>
  <c r="Z1641" i="1" s="1"/>
  <c r="Y1640" i="1"/>
  <c r="Y1639" i="1"/>
  <c r="Y1638" i="1"/>
  <c r="Y1637" i="1"/>
  <c r="Y1636" i="1"/>
  <c r="Y1635" i="1"/>
  <c r="Y1634" i="1"/>
  <c r="Y1633" i="1"/>
  <c r="Z1633" i="1" s="1"/>
  <c r="Y1632" i="1"/>
  <c r="Z1632" i="1" s="1"/>
  <c r="Y1631" i="1"/>
  <c r="Z1631" i="1" s="1"/>
  <c r="Y1630" i="1"/>
  <c r="Y1629" i="1"/>
  <c r="Y1628" i="1"/>
  <c r="Y1627" i="1"/>
  <c r="Y1626" i="1"/>
  <c r="Y1625" i="1"/>
  <c r="Y1624" i="1"/>
  <c r="Y1623" i="1"/>
  <c r="Y1622" i="1"/>
  <c r="Y1608" i="1"/>
  <c r="Z1608" i="1" s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Z1570" i="1" s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481" i="1"/>
  <c r="Y1480" i="1"/>
  <c r="Y1479" i="1"/>
  <c r="Y1478" i="1"/>
  <c r="Y1477" i="1"/>
  <c r="Y1476" i="1"/>
  <c r="Y1475" i="1"/>
  <c r="Z1475" i="1" s="1"/>
  <c r="Y1474" i="1"/>
  <c r="Z1474" i="1" s="1"/>
  <c r="Y1473" i="1"/>
  <c r="Y1472" i="1"/>
  <c r="Y1471" i="1"/>
  <c r="Y1470" i="1"/>
  <c r="Y1469" i="1"/>
  <c r="Y1468" i="1"/>
  <c r="Y1467" i="1"/>
  <c r="Y1466" i="1"/>
  <c r="Y1465" i="1"/>
  <c r="Y1464" i="1"/>
  <c r="Z1464" i="1" s="1"/>
  <c r="Y1463" i="1"/>
  <c r="Z1463" i="1" s="1"/>
  <c r="Y1462" i="1"/>
  <c r="Z1462" i="1" s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Z1427" i="1" s="1"/>
  <c r="Y1426" i="1"/>
  <c r="Z1426" i="1" s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Z1404" i="1" s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Z1376" i="1" s="1"/>
  <c r="Y1375" i="1"/>
  <c r="Y1374" i="1"/>
  <c r="Y1373" i="1"/>
  <c r="Y1372" i="1"/>
  <c r="Y1371" i="1"/>
  <c r="Y1370" i="1"/>
  <c r="Y1369" i="1"/>
  <c r="Y1368" i="1"/>
  <c r="Z1368" i="1" s="1"/>
  <c r="Y1367" i="1"/>
  <c r="Z1367" i="1" s="1"/>
  <c r="Y1366" i="1"/>
  <c r="Y1365" i="1"/>
  <c r="Y1364" i="1"/>
  <c r="Y1363" i="1"/>
  <c r="Y1362" i="1"/>
  <c r="Y1361" i="1"/>
  <c r="Y1360" i="1"/>
  <c r="Y1359" i="1"/>
  <c r="Y1358" i="1"/>
  <c r="Z1358" i="1" s="1"/>
  <c r="Y1357" i="1"/>
  <c r="Z1357" i="1" s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Z1332" i="1" s="1"/>
  <c r="Y1331" i="1"/>
  <c r="Z1331" i="1" s="1"/>
  <c r="Y1330" i="1"/>
  <c r="Y1329" i="1"/>
  <c r="Y1328" i="1"/>
  <c r="Y1327" i="1"/>
  <c r="Y1326" i="1"/>
  <c r="Y1325" i="1"/>
  <c r="Y1324" i="1"/>
  <c r="Y1323" i="1"/>
  <c r="Y1322" i="1"/>
  <c r="Y1321" i="1"/>
  <c r="Y1320" i="1"/>
  <c r="Z1320" i="1" s="1"/>
  <c r="Y1319" i="1"/>
  <c r="Z1319" i="1" s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Z1284" i="1" s="1"/>
  <c r="Y1283" i="1"/>
  <c r="Z1283" i="1" s="1"/>
  <c r="Y1282" i="1"/>
  <c r="Z1282" i="1" s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Z1256" i="1" s="1"/>
  <c r="Y1255" i="1"/>
  <c r="Y1254" i="1"/>
  <c r="Y1253" i="1"/>
  <c r="Y1252" i="1"/>
  <c r="Y1251" i="1"/>
  <c r="Y1250" i="1"/>
  <c r="Y1249" i="1"/>
  <c r="Y1248" i="1"/>
  <c r="Z1248" i="1" s="1"/>
  <c r="Y1247" i="1"/>
  <c r="Z1247" i="1" s="1"/>
  <c r="Y1246" i="1"/>
  <c r="Z1246" i="1" s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Z1234" i="1" s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Z1212" i="1" s="1"/>
  <c r="Y1211" i="1"/>
  <c r="Z1211" i="1" s="1"/>
  <c r="Y1210" i="1"/>
  <c r="Y1209" i="1"/>
  <c r="Y1208" i="1"/>
  <c r="Y1207" i="1"/>
  <c r="Y1206" i="1"/>
  <c r="Y1205" i="1"/>
  <c r="Y1204" i="1"/>
  <c r="Y1203" i="1"/>
  <c r="Y1202" i="1"/>
  <c r="Y1201" i="1"/>
  <c r="Y1200" i="1"/>
  <c r="Z1200" i="1" s="1"/>
  <c r="Y1199" i="1"/>
  <c r="Z1199" i="1" s="1"/>
  <c r="Y1198" i="1"/>
  <c r="Z1198" i="1" s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Z1162" i="1" s="1"/>
  <c r="Y1161" i="1"/>
  <c r="Y1160" i="1"/>
  <c r="Y1159" i="1"/>
  <c r="Y1158" i="1"/>
  <c r="Y1157" i="1"/>
  <c r="Y1156" i="1"/>
  <c r="Y1155" i="1"/>
  <c r="Y1154" i="1"/>
  <c r="Y1153" i="1"/>
  <c r="Y1152" i="1"/>
  <c r="Z1152" i="1" s="1"/>
  <c r="Y1151" i="1"/>
  <c r="Z1151" i="1" s="1"/>
  <c r="Y1150" i="1"/>
  <c r="Y1149" i="1"/>
  <c r="Y1148" i="1"/>
  <c r="Y1147" i="1"/>
  <c r="Y1146" i="1"/>
  <c r="Y1145" i="1"/>
  <c r="Y1144" i="1"/>
  <c r="Y1143" i="1"/>
  <c r="Y1142" i="1"/>
  <c r="Z1142" i="1" s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Z1116" i="1" s="1"/>
  <c r="Y1115" i="1"/>
  <c r="Z1115" i="1" s="1"/>
  <c r="Y1114" i="1"/>
  <c r="Z1114" i="1" s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Z1090" i="1" s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Z1056" i="1" s="1"/>
  <c r="Y1055" i="1"/>
  <c r="Z1055" i="1" s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Z1008" i="1" s="1"/>
  <c r="Y1007" i="1"/>
  <c r="Z1007" i="1" s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Z972" i="1" s="1"/>
  <c r="Y971" i="1"/>
  <c r="Z971" i="1" s="1"/>
  <c r="Y970" i="1"/>
  <c r="Z970" i="1" s="1"/>
  <c r="Y969" i="1"/>
  <c r="Y968" i="1"/>
  <c r="Y967" i="1"/>
  <c r="Y966" i="1"/>
  <c r="Y965" i="1"/>
  <c r="Y964" i="1"/>
  <c r="Y963" i="1"/>
  <c r="Y962" i="1"/>
  <c r="Y961" i="1"/>
  <c r="Y960" i="1"/>
  <c r="Z960" i="1" s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Z936" i="1" s="1"/>
  <c r="Y935" i="1"/>
  <c r="Z935" i="1" s="1"/>
  <c r="Y934" i="1"/>
  <c r="Y933" i="1"/>
  <c r="Y932" i="1"/>
  <c r="Y931" i="1"/>
  <c r="Y930" i="1"/>
  <c r="Y929" i="1"/>
  <c r="Y928" i="1"/>
  <c r="Y927" i="1"/>
  <c r="Y926" i="1"/>
  <c r="Y925" i="1"/>
  <c r="Y924" i="1"/>
  <c r="Z924" i="1" s="1"/>
  <c r="Y923" i="1"/>
  <c r="Z923" i="1" s="1"/>
  <c r="Y922" i="1"/>
  <c r="Z922" i="1" s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Z900" i="1" s="1"/>
  <c r="Y899" i="1"/>
  <c r="Z899" i="1" s="1"/>
  <c r="Y898" i="1"/>
  <c r="Y897" i="1"/>
  <c r="Y896" i="1"/>
  <c r="Y895" i="1"/>
  <c r="Y894" i="1"/>
  <c r="Y893" i="1"/>
  <c r="Y892" i="1"/>
  <c r="Y891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Z866" i="1" s="1"/>
  <c r="Y865" i="1"/>
  <c r="Z865" i="1" s="1"/>
  <c r="Y864" i="1"/>
  <c r="Y863" i="1"/>
  <c r="Y862" i="1"/>
  <c r="Y861" i="1"/>
  <c r="Y860" i="1"/>
  <c r="Y859" i="1"/>
  <c r="Y858" i="1"/>
  <c r="Z858" i="1" s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Z830" i="1" s="1"/>
  <c r="Y829" i="1"/>
  <c r="Z829" i="1" s="1"/>
  <c r="Y828" i="1"/>
  <c r="Y827" i="1"/>
  <c r="Y826" i="1"/>
  <c r="Y825" i="1"/>
  <c r="Y824" i="1"/>
  <c r="Y823" i="1"/>
  <c r="Z823" i="1" s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Z782" i="1" s="1"/>
  <c r="Y781" i="1"/>
  <c r="Z781" i="1" s="1"/>
  <c r="Y780" i="1"/>
  <c r="Y779" i="1"/>
  <c r="Y778" i="1"/>
  <c r="Y777" i="1"/>
  <c r="Y776" i="1"/>
  <c r="Y775" i="1"/>
  <c r="Y774" i="1"/>
  <c r="Y773" i="1"/>
  <c r="Y772" i="1"/>
  <c r="Y771" i="1"/>
  <c r="Y770" i="1"/>
  <c r="Z770" i="1" s="1"/>
  <c r="Y769" i="1"/>
  <c r="Z769" i="1" s="1"/>
  <c r="Y768" i="1"/>
  <c r="Z768" i="1" s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Z743" i="1" s="1"/>
  <c r="Y742" i="1"/>
  <c r="Y741" i="1"/>
  <c r="Y740" i="1"/>
  <c r="Y739" i="1"/>
  <c r="Y738" i="1"/>
  <c r="Y735" i="1"/>
  <c r="Y734" i="1"/>
  <c r="Y733" i="1"/>
  <c r="Z733" i="1" s="1"/>
  <c r="Y732" i="1"/>
  <c r="Y731" i="1"/>
  <c r="Y730" i="1"/>
  <c r="Y729" i="1"/>
  <c r="Y728" i="1"/>
  <c r="Y727" i="1"/>
  <c r="Y726" i="1"/>
  <c r="Y725" i="1"/>
  <c r="Y724" i="1"/>
  <c r="Y723" i="1"/>
  <c r="Y722" i="1"/>
  <c r="Y721" i="1"/>
  <c r="Z721" i="1" s="1"/>
  <c r="Y720" i="1"/>
  <c r="Z720" i="1" s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Z697" i="1" s="1"/>
  <c r="Y696" i="1"/>
  <c r="Z696" i="1" s="1"/>
  <c r="Y695" i="1"/>
  <c r="Z695" i="1" s="1"/>
  <c r="Y694" i="1"/>
  <c r="Y693" i="1"/>
  <c r="Y692" i="1"/>
  <c r="Y691" i="1"/>
  <c r="Y690" i="1"/>
  <c r="Y689" i="1"/>
  <c r="Y688" i="1"/>
  <c r="Y687" i="1"/>
  <c r="Y686" i="1"/>
  <c r="Y685" i="1"/>
  <c r="Z685" i="1" s="1"/>
  <c r="Y684" i="1"/>
  <c r="Z684" i="1" s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Z649" i="1" s="1"/>
  <c r="Y648" i="1"/>
  <c r="Z648" i="1" s="1"/>
  <c r="Y647" i="1"/>
  <c r="Z647" i="1" s="1"/>
  <c r="Y646" i="1"/>
  <c r="Y645" i="1"/>
  <c r="Y644" i="1"/>
  <c r="Y643" i="1"/>
  <c r="Y642" i="1"/>
  <c r="Y641" i="1"/>
  <c r="Z641" i="1" s="1"/>
  <c r="Y640" i="1"/>
  <c r="Y639" i="1"/>
  <c r="Y638" i="1"/>
  <c r="Y637" i="1"/>
  <c r="Y636" i="1"/>
  <c r="Y635" i="1"/>
  <c r="Y634" i="1"/>
  <c r="Y633" i="1"/>
  <c r="Y632" i="1"/>
  <c r="Y631" i="1"/>
  <c r="Y630" i="1"/>
  <c r="Y629" i="1"/>
  <c r="Z629" i="1" s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Z612" i="1" s="1"/>
  <c r="Y611" i="1"/>
  <c r="Z611" i="1" s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Z598" i="1" s="1"/>
  <c r="Y597" i="1"/>
  <c r="Z597" i="1" s="1"/>
  <c r="Y596" i="1"/>
  <c r="Z596" i="1" s="1"/>
  <c r="Y595" i="1"/>
  <c r="Z595" i="1" s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Z572" i="1" s="1"/>
  <c r="Y571" i="1"/>
  <c r="Z571" i="1" s="1"/>
  <c r="Y570" i="1"/>
  <c r="Y569" i="1"/>
  <c r="Y568" i="1"/>
  <c r="Y567" i="1"/>
  <c r="Y566" i="1"/>
  <c r="Y565" i="1"/>
  <c r="Z565" i="1" s="1"/>
  <c r="Y564" i="1"/>
  <c r="Z564" i="1" s="1"/>
  <c r="Y563" i="1"/>
  <c r="Z563" i="1" s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Z541" i="1" s="1"/>
  <c r="Y540" i="1"/>
  <c r="Z540" i="1" s="1"/>
  <c r="Y539" i="1"/>
  <c r="Z539" i="1" s="1"/>
  <c r="Y538" i="1"/>
  <c r="Y537" i="1"/>
  <c r="Y536" i="1"/>
  <c r="Y535" i="1"/>
  <c r="Y534" i="1"/>
  <c r="Y533" i="1"/>
  <c r="Y532" i="1"/>
  <c r="Y531" i="1"/>
  <c r="Y530" i="1"/>
  <c r="Y529" i="1"/>
  <c r="Y528" i="1"/>
  <c r="Z528" i="1" s="1"/>
  <c r="Y527" i="1"/>
  <c r="Z527" i="1" s="1"/>
  <c r="Y526" i="1"/>
  <c r="Z526" i="1" s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Z505" i="1" s="1"/>
  <c r="Y504" i="1"/>
  <c r="Z504" i="1" s="1"/>
  <c r="Y503" i="1"/>
  <c r="Z503" i="1" s="1"/>
  <c r="Y502" i="1"/>
  <c r="Y501" i="1"/>
  <c r="Y500" i="1"/>
  <c r="Y499" i="1"/>
  <c r="Y498" i="1"/>
  <c r="Y497" i="1"/>
  <c r="Y496" i="1"/>
  <c r="Y495" i="1"/>
  <c r="Y494" i="1"/>
  <c r="Y493" i="1"/>
  <c r="Z493" i="1" s="1"/>
  <c r="Y492" i="1"/>
  <c r="Z492" i="1" s="1"/>
  <c r="Y491" i="1"/>
  <c r="Z491" i="1" s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Z456" i="1" s="1"/>
  <c r="Y455" i="1"/>
  <c r="Z455" i="1" s="1"/>
  <c r="Y454" i="1"/>
  <c r="Y453" i="1"/>
  <c r="Y452" i="1"/>
  <c r="Y451" i="1"/>
  <c r="Y450" i="1"/>
  <c r="Y449" i="1"/>
  <c r="Y448" i="1"/>
  <c r="Y447" i="1"/>
  <c r="Y446" i="1"/>
  <c r="Y445" i="1"/>
  <c r="Z445" i="1" s="1"/>
  <c r="Y444" i="1"/>
  <c r="Y443" i="1"/>
  <c r="Y442" i="1"/>
  <c r="Y441" i="1"/>
  <c r="Y440" i="1"/>
  <c r="Y439" i="1"/>
  <c r="Y438" i="1"/>
  <c r="Y437" i="1"/>
  <c r="Z437" i="1" s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Z409" i="1" s="1"/>
  <c r="Y408" i="1"/>
  <c r="Z408" i="1" s="1"/>
  <c r="Y407" i="1"/>
  <c r="Z407" i="1" s="1"/>
  <c r="Y406" i="1"/>
  <c r="Z406" i="1" s="1"/>
  <c r="Y405" i="1"/>
  <c r="Z405" i="1" s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Z384" i="1" s="1"/>
  <c r="Y383" i="1"/>
  <c r="Z383" i="1" s="1"/>
  <c r="Y382" i="1"/>
  <c r="Z382" i="1" s="1"/>
  <c r="Y381" i="1"/>
  <c r="Z381" i="1" s="1"/>
  <c r="Y380" i="1"/>
  <c r="Y379" i="1"/>
  <c r="Y378" i="1"/>
  <c r="Y377" i="1"/>
  <c r="Y376" i="1"/>
  <c r="Y375" i="1"/>
  <c r="Y374" i="1"/>
  <c r="Y373" i="1"/>
  <c r="Z373" i="1" s="1"/>
  <c r="Y372" i="1"/>
  <c r="Y371" i="1"/>
  <c r="Y370" i="1"/>
  <c r="Y369" i="1"/>
  <c r="Y368" i="1"/>
  <c r="Y367" i="1"/>
  <c r="Y366" i="1"/>
  <c r="Y365" i="1"/>
  <c r="Z365" i="1" s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Z337" i="1" s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Z313" i="1" s="1"/>
  <c r="Y312" i="1"/>
  <c r="Y311" i="1"/>
  <c r="Y310" i="1"/>
  <c r="Y309" i="1"/>
  <c r="Y308" i="1"/>
  <c r="Y307" i="1"/>
  <c r="Y306" i="1"/>
  <c r="Y305" i="1"/>
  <c r="Y304" i="1"/>
  <c r="Y303" i="1"/>
  <c r="Y302" i="1"/>
  <c r="Y301" i="1"/>
  <c r="Z301" i="1" s="1"/>
  <c r="Y300" i="1"/>
  <c r="Y299" i="1"/>
  <c r="Y298" i="1"/>
  <c r="Y297" i="1"/>
  <c r="Y296" i="1"/>
  <c r="Y295" i="1"/>
  <c r="Y294" i="1"/>
  <c r="Y293" i="1"/>
  <c r="Z293" i="1" s="1"/>
  <c r="Y292" i="1"/>
  <c r="Y291" i="1"/>
  <c r="Y290" i="1"/>
  <c r="Y289" i="1"/>
  <c r="Z289" i="1" s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Z265" i="1" s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13" i="1"/>
  <c r="Y212" i="1"/>
  <c r="Y211" i="1"/>
  <c r="Z211" i="1" s="1"/>
  <c r="Y210" i="1"/>
  <c r="Z210" i="1" s="1"/>
  <c r="Y209" i="1"/>
  <c r="Z209" i="1" s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Z195" i="1" s="1"/>
  <c r="Y194" i="1"/>
  <c r="Z194" i="1" s="1"/>
  <c r="Y193" i="1"/>
  <c r="Z193" i="1" s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Z166" i="1" s="1"/>
  <c r="Y165" i="1"/>
  <c r="Z165" i="1" s="1"/>
  <c r="Y164" i="1"/>
  <c r="Y163" i="1"/>
  <c r="Y162" i="1"/>
  <c r="Y161" i="1"/>
  <c r="Y160" i="1"/>
  <c r="Y159" i="1"/>
  <c r="Y158" i="1"/>
  <c r="Y157" i="1"/>
  <c r="Y156" i="1"/>
  <c r="Y155" i="1"/>
  <c r="Y154" i="1"/>
  <c r="Z154" i="1" s="1"/>
  <c r="Y153" i="1"/>
  <c r="Y152" i="1"/>
  <c r="Y151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Z124" i="1" s="1"/>
  <c r="Y123" i="1"/>
  <c r="Y122" i="1"/>
  <c r="Y121" i="1"/>
  <c r="Y120" i="1"/>
  <c r="Y119" i="1"/>
  <c r="Y107" i="1"/>
  <c r="Y106" i="1"/>
  <c r="Y105" i="1"/>
  <c r="Z105" i="1" s="1"/>
  <c r="Y104" i="1"/>
  <c r="Y103" i="1"/>
  <c r="Y102" i="1"/>
  <c r="Y101" i="1"/>
  <c r="Y100" i="1"/>
  <c r="Z100" i="1" s="1"/>
  <c r="Y99" i="1"/>
  <c r="Y98" i="1"/>
  <c r="Y97" i="1"/>
  <c r="Y96" i="1"/>
  <c r="Y95" i="1"/>
  <c r="Y94" i="1"/>
  <c r="Y93" i="1"/>
  <c r="Z93" i="1" s="1"/>
  <c r="Y92" i="1"/>
  <c r="Y91" i="1"/>
  <c r="Y90" i="1"/>
  <c r="Y89" i="1"/>
  <c r="Y88" i="1"/>
  <c r="Y87" i="1"/>
  <c r="Y86" i="1"/>
  <c r="Y82" i="1"/>
  <c r="Y81" i="1"/>
  <c r="Y80" i="1"/>
  <c r="Y79" i="1"/>
  <c r="Y78" i="1"/>
  <c r="Z78" i="1" s="1"/>
  <c r="Y77" i="1"/>
  <c r="Z77" i="1" s="1"/>
  <c r="Y76" i="1"/>
  <c r="Y75" i="1"/>
  <c r="Y74" i="1"/>
  <c r="Y73" i="1"/>
  <c r="Y72" i="1"/>
  <c r="Y71" i="1"/>
  <c r="Y70" i="1"/>
  <c r="Y69" i="1"/>
  <c r="Z69" i="1" s="1"/>
  <c r="Y68" i="1"/>
  <c r="Y67" i="1"/>
  <c r="Y66" i="1"/>
  <c r="Y65" i="1"/>
  <c r="Y64" i="1"/>
  <c r="Y63" i="1"/>
  <c r="Y62" i="1"/>
  <c r="Y61" i="1"/>
  <c r="Y2" i="1"/>
  <c r="Z398" i="1" l="1"/>
  <c r="Z614" i="1"/>
  <c r="Z901" i="1"/>
  <c r="Z1117" i="1"/>
  <c r="Z1333" i="1"/>
  <c r="Z1441" i="1"/>
  <c r="Z1848" i="1"/>
  <c r="Z169" i="1"/>
  <c r="Z1214" i="1"/>
  <c r="Z1334" i="1"/>
  <c r="Z1671" i="1"/>
  <c r="Z2620" i="1"/>
  <c r="Z340" i="1"/>
  <c r="Z67" i="1"/>
  <c r="Z1453" i="1"/>
  <c r="Z1944" i="1"/>
  <c r="Z857" i="1"/>
  <c r="Z1262" i="1"/>
  <c r="Z1406" i="1"/>
  <c r="Z1718" i="1"/>
  <c r="Z2005" i="1"/>
  <c r="Z2572" i="1"/>
  <c r="Z81" i="1"/>
  <c r="Z316" i="1"/>
  <c r="Z1660" i="1"/>
  <c r="Z68" i="1"/>
  <c r="Z290" i="1"/>
  <c r="Z626" i="1"/>
  <c r="Z1237" i="1"/>
  <c r="Z2364" i="1"/>
  <c r="Z1129" i="1"/>
  <c r="Z1477" i="1"/>
  <c r="Z1896" i="1"/>
  <c r="Z2302" i="1"/>
  <c r="Z1670" i="1"/>
  <c r="Z1992" i="1"/>
  <c r="Z266" i="1"/>
  <c r="Z446" i="1"/>
  <c r="Z1165" i="1"/>
  <c r="Z1285" i="1"/>
  <c r="Z1417" i="1"/>
  <c r="Z2571" i="1"/>
  <c r="Z1286" i="1"/>
  <c r="Z106" i="1"/>
  <c r="Z542" i="1"/>
  <c r="Z698" i="1"/>
  <c r="Z937" i="1"/>
  <c r="Z1021" i="1"/>
  <c r="Z1213" i="1"/>
  <c r="Z1297" i="1"/>
  <c r="Z1573" i="1"/>
  <c r="Z1789" i="1"/>
  <c r="Z1932" i="1"/>
  <c r="Z2004" i="1"/>
  <c r="Z2511" i="1"/>
  <c r="Z2583" i="1"/>
  <c r="Z80" i="1"/>
  <c r="Z327" i="1"/>
  <c r="Z821" i="1"/>
  <c r="Z926" i="1"/>
  <c r="Z1166" i="1"/>
  <c r="Z2255" i="1"/>
  <c r="Z2363" i="1"/>
  <c r="Z2548" i="1"/>
  <c r="Z94" i="1"/>
  <c r="Z338" i="1"/>
  <c r="Z590" i="1"/>
  <c r="Z1045" i="1"/>
  <c r="Z1273" i="1"/>
  <c r="Z1549" i="1"/>
  <c r="Z554" i="1"/>
  <c r="Z1057" i="1"/>
  <c r="Z2230" i="1"/>
  <c r="Z267" i="1"/>
  <c r="Z351" i="1"/>
  <c r="Z986" i="1"/>
  <c r="Z1238" i="1"/>
  <c r="Z1370" i="1"/>
  <c r="Z1478" i="1"/>
  <c r="Z1849" i="1"/>
  <c r="Z170" i="1"/>
  <c r="Z1684" i="1"/>
  <c r="Z1755" i="1"/>
  <c r="Z339" i="1"/>
  <c r="Z1046" i="1"/>
  <c r="Z1550" i="1"/>
  <c r="Z326" i="1"/>
  <c r="Z506" i="1"/>
  <c r="Z578" i="1"/>
  <c r="Z662" i="1"/>
  <c r="Z722" i="1"/>
  <c r="Z973" i="1"/>
  <c r="Z1141" i="1"/>
  <c r="Z1261" i="1"/>
  <c r="Z1369" i="1"/>
  <c r="Z1429" i="1"/>
  <c r="Z1753" i="1"/>
  <c r="Z1956" i="1"/>
  <c r="Z2172" i="1"/>
  <c r="Z2350" i="1"/>
  <c r="Z2643" i="1"/>
  <c r="Z243" i="1"/>
  <c r="Z749" i="1"/>
  <c r="Z974" i="1"/>
  <c r="Z1298" i="1"/>
  <c r="Z1873" i="1"/>
  <c r="Z2125" i="1"/>
  <c r="Z2161" i="1"/>
  <c r="Z2632" i="1"/>
  <c r="Z750" i="1"/>
  <c r="Z1708" i="1"/>
  <c r="Z2256" i="1"/>
  <c r="Z2292" i="1"/>
  <c r="Z254" i="1"/>
  <c r="Z434" i="1"/>
  <c r="Z1405" i="1"/>
  <c r="Z2207" i="1"/>
  <c r="Z2303" i="1"/>
  <c r="Z129" i="1"/>
  <c r="Z242" i="1"/>
  <c r="Z410" i="1"/>
  <c r="Z494" i="1"/>
  <c r="Z566" i="1"/>
  <c r="Z650" i="1"/>
  <c r="Z710" i="1"/>
  <c r="Z1009" i="1"/>
  <c r="Z1309" i="1"/>
  <c r="Z2040" i="1"/>
  <c r="Z2100" i="1"/>
  <c r="Z2160" i="1"/>
  <c r="Z785" i="1"/>
  <c r="Z1010" i="1"/>
  <c r="Z1058" i="1"/>
  <c r="Z1418" i="1"/>
  <c r="Z1574" i="1"/>
  <c r="Z2101" i="1"/>
  <c r="Z2231" i="1"/>
  <c r="Z2136" i="1"/>
  <c r="Z798" i="1"/>
  <c r="Z2006" i="1"/>
  <c r="Z2054" i="1"/>
  <c r="Z255" i="1"/>
  <c r="Z686" i="1"/>
  <c r="Z2208" i="1"/>
  <c r="Z2304" i="1"/>
  <c r="Z2596" i="1"/>
  <c r="Z79" i="1"/>
  <c r="Z314" i="1"/>
  <c r="Z422" i="1"/>
  <c r="Z734" i="1"/>
  <c r="Z997" i="1"/>
  <c r="Z1081" i="1"/>
  <c r="Z1201" i="1"/>
  <c r="Z1646" i="1"/>
  <c r="Z1741" i="1"/>
  <c r="Z2619" i="1"/>
  <c r="Z315" i="1"/>
  <c r="Z1647" i="1"/>
  <c r="Z1754" i="1"/>
  <c r="Z2476" i="1"/>
  <c r="Z280" i="1"/>
  <c r="Z256" i="1"/>
  <c r="Z374" i="1"/>
  <c r="Z822" i="1"/>
  <c r="Z302" i="1"/>
  <c r="Z362" i="1"/>
  <c r="Z470" i="1"/>
  <c r="Z925" i="1"/>
  <c r="Z985" i="1"/>
  <c r="Z1153" i="1"/>
  <c r="Z1765" i="1"/>
  <c r="Z1968" i="1"/>
  <c r="Z2148" i="1"/>
  <c r="Z2206" i="1"/>
  <c r="Z2475" i="1"/>
  <c r="Z2535" i="1"/>
  <c r="Z2595" i="1"/>
  <c r="Z181" i="1"/>
  <c r="Z279" i="1"/>
  <c r="Z797" i="1"/>
  <c r="Z902" i="1"/>
  <c r="Z1022" i="1"/>
  <c r="Z1094" i="1"/>
  <c r="Z2418" i="1"/>
  <c r="Z1551" i="1"/>
  <c r="Z1874" i="1"/>
  <c r="Z2030" i="1"/>
  <c r="Z2114" i="1"/>
  <c r="Z2162" i="1"/>
  <c r="Z157" i="1"/>
  <c r="Z1093" i="1"/>
  <c r="Z1442" i="1"/>
  <c r="Z2078" i="1"/>
  <c r="Z125" i="1"/>
  <c r="Z171" i="1"/>
  <c r="Z212" i="1"/>
  <c r="Z355" i="1"/>
  <c r="Z419" i="1"/>
  <c r="Z461" i="1"/>
  <c r="Z575" i="1"/>
  <c r="Z744" i="1"/>
  <c r="Z850" i="1"/>
  <c r="Z1030" i="1"/>
  <c r="Z1066" i="1"/>
  <c r="Z1342" i="1"/>
  <c r="Z1582" i="1"/>
  <c r="Z1643" i="1"/>
  <c r="Z1820" i="1"/>
  <c r="Z1923" i="1"/>
  <c r="Z2022" i="1"/>
  <c r="Z2055" i="1"/>
  <c r="Z2281" i="1"/>
  <c r="Z2344" i="1"/>
  <c r="Z2577" i="1"/>
  <c r="Z849" i="1"/>
  <c r="Z2341" i="1"/>
  <c r="Z2622" i="1"/>
  <c r="Z126" i="1"/>
  <c r="Z177" i="1"/>
  <c r="Z213" i="1"/>
  <c r="Z271" i="1"/>
  <c r="Z356" i="1"/>
  <c r="Z389" i="1"/>
  <c r="Z420" i="1"/>
  <c r="Z467" i="1"/>
  <c r="Z547" i="1"/>
  <c r="Z576" i="1"/>
  <c r="Z613" i="1"/>
  <c r="Z661" i="1"/>
  <c r="Z701" i="1"/>
  <c r="Z851" i="1"/>
  <c r="Z1031" i="1"/>
  <c r="Z1067" i="1"/>
  <c r="Z1126" i="1"/>
  <c r="Z1175" i="1"/>
  <c r="Z1343" i="1"/>
  <c r="Z1390" i="1"/>
  <c r="Z1428" i="1"/>
  <c r="Z1476" i="1"/>
  <c r="Z1583" i="1"/>
  <c r="Z1644" i="1"/>
  <c r="Z1716" i="1"/>
  <c r="Z1756" i="1"/>
  <c r="Z1821" i="1"/>
  <c r="Z1869" i="1"/>
  <c r="Z1931" i="1"/>
  <c r="Z1983" i="1"/>
  <c r="Z2025" i="1"/>
  <c r="Z2062" i="1"/>
  <c r="Z2288" i="1"/>
  <c r="Z2346" i="1"/>
  <c r="Z2432" i="1"/>
  <c r="Z2550" i="1"/>
  <c r="Z2582" i="1"/>
  <c r="Z2634" i="1"/>
  <c r="Z63" i="1"/>
  <c r="Z127" i="1"/>
  <c r="Z178" i="1"/>
  <c r="Z241" i="1"/>
  <c r="Z272" i="1"/>
  <c r="Z357" i="1"/>
  <c r="Z397" i="1"/>
  <c r="Z421" i="1"/>
  <c r="Z468" i="1"/>
  <c r="Z509" i="1"/>
  <c r="Z548" i="1"/>
  <c r="Z577" i="1"/>
  <c r="Z709" i="1"/>
  <c r="Z799" i="1"/>
  <c r="Z852" i="1"/>
  <c r="Z910" i="1"/>
  <c r="Z943" i="1"/>
  <c r="Z994" i="1"/>
  <c r="Z1032" i="1"/>
  <c r="Z1068" i="1"/>
  <c r="Z1127" i="1"/>
  <c r="Z1176" i="1"/>
  <c r="Z1223" i="1"/>
  <c r="Z1305" i="1"/>
  <c r="Z1344" i="1"/>
  <c r="Z1391" i="1"/>
  <c r="Z1593" i="1"/>
  <c r="Z1645" i="1"/>
  <c r="Z1763" i="1"/>
  <c r="Z1823" i="1"/>
  <c r="Z1870" i="1"/>
  <c r="Z1988" i="1"/>
  <c r="Z2026" i="1"/>
  <c r="Z2063" i="1"/>
  <c r="Z2118" i="1"/>
  <c r="Z2169" i="1"/>
  <c r="Z2252" i="1"/>
  <c r="Z2289" i="1"/>
  <c r="Z2348" i="1"/>
  <c r="Z2438" i="1"/>
  <c r="Z2520" i="1"/>
  <c r="Z2553" i="1"/>
  <c r="Z64" i="1"/>
  <c r="Z82" i="1"/>
  <c r="Z128" i="1"/>
  <c r="Z325" i="1"/>
  <c r="Z358" i="1"/>
  <c r="Z469" i="1"/>
  <c r="Z523" i="1"/>
  <c r="Z553" i="1"/>
  <c r="Z623" i="1"/>
  <c r="Z665" i="1"/>
  <c r="Z751" i="1"/>
  <c r="Z805" i="1"/>
  <c r="Z853" i="1"/>
  <c r="Z911" i="1"/>
  <c r="Z944" i="1"/>
  <c r="Z995" i="1"/>
  <c r="Z1042" i="1"/>
  <c r="Z1079" i="1"/>
  <c r="Z1128" i="1"/>
  <c r="Z1186" i="1"/>
  <c r="Z1224" i="1"/>
  <c r="Z1270" i="1"/>
  <c r="Z1306" i="1"/>
  <c r="Z1354" i="1"/>
  <c r="Z1392" i="1"/>
  <c r="Z1439" i="1"/>
  <c r="Z1594" i="1"/>
  <c r="Z1833" i="1"/>
  <c r="Z1935" i="1"/>
  <c r="Z1989" i="1"/>
  <c r="Z2027" i="1"/>
  <c r="Z2067" i="1"/>
  <c r="Z2120" i="1"/>
  <c r="Z2253" i="1"/>
  <c r="Z2349" i="1"/>
  <c r="Z2439" i="1"/>
  <c r="Z2521" i="1"/>
  <c r="Z2554" i="1"/>
  <c r="Z2589" i="1"/>
  <c r="Z2649" i="1"/>
  <c r="Z70" i="1"/>
  <c r="Z257" i="1"/>
  <c r="Z871" i="1"/>
  <c r="Z1959" i="1"/>
  <c r="Z2502" i="1"/>
  <c r="Z2574" i="1"/>
  <c r="Z65" i="1"/>
  <c r="Z91" i="1"/>
  <c r="Z185" i="1"/>
  <c r="Z361" i="1"/>
  <c r="Z403" i="1"/>
  <c r="Z425" i="1"/>
  <c r="Z524" i="1"/>
  <c r="Z581" i="1"/>
  <c r="Z624" i="1"/>
  <c r="Z677" i="1"/>
  <c r="Z713" i="1"/>
  <c r="Z763" i="1"/>
  <c r="Z806" i="1"/>
  <c r="Z854" i="1"/>
  <c r="Z912" i="1"/>
  <c r="Z958" i="1"/>
  <c r="Z996" i="1"/>
  <c r="Z1043" i="1"/>
  <c r="Z1080" i="1"/>
  <c r="Z1187" i="1"/>
  <c r="Z1232" i="1"/>
  <c r="Z1271" i="1"/>
  <c r="Z1355" i="1"/>
  <c r="Z1402" i="1"/>
  <c r="Z1440" i="1"/>
  <c r="Z1547" i="1"/>
  <c r="Z1595" i="1"/>
  <c r="Z1727" i="1"/>
  <c r="Z1774" i="1"/>
  <c r="Z1834" i="1"/>
  <c r="Z1942" i="1"/>
  <c r="Z1990" i="1"/>
  <c r="Z2073" i="1"/>
  <c r="Z2121" i="1"/>
  <c r="Z2181" i="1"/>
  <c r="Z2301" i="1"/>
  <c r="Z2526" i="1"/>
  <c r="Z2557" i="1"/>
  <c r="Z2592" i="1"/>
  <c r="Z341" i="1"/>
  <c r="Z835" i="1"/>
  <c r="Z1851" i="1"/>
  <c r="Z66" i="1"/>
  <c r="Z92" i="1"/>
  <c r="Z153" i="1"/>
  <c r="Z186" i="1"/>
  <c r="Z253" i="1"/>
  <c r="Z281" i="1"/>
  <c r="Z404" i="1"/>
  <c r="Z433" i="1"/>
  <c r="Z485" i="1"/>
  <c r="Z525" i="1"/>
  <c r="Z557" i="1"/>
  <c r="Z589" i="1"/>
  <c r="Z625" i="1"/>
  <c r="Z683" i="1"/>
  <c r="Z719" i="1"/>
  <c r="Z767" i="1"/>
  <c r="Z921" i="1"/>
  <c r="Z959" i="1"/>
  <c r="Z1044" i="1"/>
  <c r="Z1188" i="1"/>
  <c r="Z1233" i="1"/>
  <c r="Z1272" i="1"/>
  <c r="Z1318" i="1"/>
  <c r="Z1356" i="1"/>
  <c r="Z1403" i="1"/>
  <c r="Z1548" i="1"/>
  <c r="Z1596" i="1"/>
  <c r="Z1728" i="1"/>
  <c r="Z1775" i="1"/>
  <c r="Z1835" i="1"/>
  <c r="Z1875" i="1"/>
  <c r="Z1943" i="1"/>
  <c r="Z1991" i="1"/>
  <c r="Z2031" i="1"/>
  <c r="Z2074" i="1"/>
  <c r="Z2529" i="1"/>
  <c r="Z2558" i="1"/>
  <c r="Z1590" i="1"/>
  <c r="Z260" i="1"/>
  <c r="Z332" i="1"/>
  <c r="Z416" i="1"/>
  <c r="Z656" i="1"/>
  <c r="Z1171" i="1"/>
  <c r="Z1207" i="1"/>
  <c r="Z1243" i="1"/>
  <c r="Z1291" i="1"/>
  <c r="Z1399" i="1"/>
  <c r="Z1652" i="1"/>
  <c r="Z2248" i="1"/>
  <c r="Z2493" i="1"/>
  <c r="Z679" i="1"/>
  <c r="Z62" i="1"/>
  <c r="Z669" i="1"/>
  <c r="Z863" i="1"/>
  <c r="Z1088" i="1"/>
  <c r="Z514" i="1"/>
  <c r="Z646" i="1"/>
  <c r="Z792" i="1"/>
  <c r="Z1149" i="1"/>
  <c r="Z1221" i="1"/>
  <c r="Z1257" i="1"/>
  <c r="Z1293" i="1"/>
  <c r="Z2012" i="1"/>
  <c r="Z2226" i="1"/>
  <c r="Z2483" i="1"/>
  <c r="Z2651" i="1"/>
  <c r="Z2" i="1"/>
  <c r="Z453" i="1"/>
  <c r="Z607" i="1"/>
  <c r="Z727" i="1"/>
  <c r="Z955" i="1"/>
  <c r="Z1170" i="1"/>
  <c r="Z1268" i="1"/>
  <c r="Z1388" i="1"/>
  <c r="Z1626" i="1"/>
  <c r="Z1686" i="1"/>
  <c r="Z1890" i="1"/>
  <c r="Z1962" i="1"/>
  <c r="Z2056" i="1"/>
  <c r="Z2250" i="1"/>
  <c r="Z2318" i="1"/>
  <c r="Z2433" i="1"/>
  <c r="Z2507" i="1"/>
  <c r="Z322" i="1"/>
  <c r="Z478" i="1"/>
  <c r="Z558" i="1"/>
  <c r="Z630" i="1"/>
  <c r="Z752" i="1"/>
  <c r="Z980" i="1"/>
  <c r="Z1099" i="1"/>
  <c r="Z1245" i="1"/>
  <c r="Z1341" i="1"/>
  <c r="Z1688" i="1"/>
  <c r="Z1758" i="1"/>
  <c r="Z1828" i="1"/>
  <c r="Z1852" i="1"/>
  <c r="Z1892" i="1"/>
  <c r="Z1964" i="1"/>
  <c r="Z2211" i="1"/>
  <c r="Z2283" i="1"/>
  <c r="Z2319" i="1"/>
  <c r="Z2434" i="1"/>
  <c r="Z343" i="1"/>
  <c r="Z561" i="1"/>
  <c r="Z957" i="1"/>
  <c r="Z1220" i="1"/>
  <c r="Z1628" i="1"/>
  <c r="Z1760" i="1"/>
  <c r="Z1830" i="1"/>
  <c r="Z2036" i="1"/>
  <c r="Z2140" i="1"/>
  <c r="Z2180" i="1"/>
  <c r="Z2212" i="1"/>
  <c r="Z2284" i="1"/>
  <c r="Z2320" i="1"/>
  <c r="Z2435" i="1"/>
  <c r="Z2638" i="1"/>
  <c r="Z344" i="1"/>
  <c r="Z510" i="1"/>
  <c r="Z582" i="1"/>
  <c r="Z836" i="1"/>
  <c r="Z1421" i="1"/>
  <c r="Z1603" i="1"/>
  <c r="Z1690" i="1"/>
  <c r="Z1734" i="1"/>
  <c r="Z1832" i="1"/>
  <c r="Z2142" i="1"/>
  <c r="Z2214" i="1"/>
  <c r="Z2322" i="1"/>
  <c r="Z2639" i="1"/>
  <c r="Z417" i="1"/>
  <c r="Z837" i="1"/>
  <c r="Z989" i="1"/>
  <c r="Z1471" i="1"/>
  <c r="Z130" i="1"/>
  <c r="Z205" i="1"/>
  <c r="Z303" i="1"/>
  <c r="Z387" i="1"/>
  <c r="Z495" i="1"/>
  <c r="Z639" i="1"/>
  <c r="Z962" i="1"/>
  <c r="Z1346" i="1"/>
  <c r="Z1861" i="1"/>
  <c r="Z2656" i="1"/>
  <c r="Z97" i="1"/>
  <c r="Z121" i="1"/>
  <c r="Z158" i="1"/>
  <c r="Z182" i="1"/>
  <c r="Z200" i="1"/>
  <c r="Z244" i="1"/>
  <c r="Z268" i="1"/>
  <c r="Z286" i="1"/>
  <c r="Z308" i="1"/>
  <c r="Z328" i="1"/>
  <c r="Z352" i="1"/>
  <c r="Z368" i="1"/>
  <c r="Z392" i="1"/>
  <c r="Z418" i="1"/>
  <c r="Z440" i="1"/>
  <c r="Z462" i="1"/>
  <c r="Z490" i="1"/>
  <c r="Z512" i="1"/>
  <c r="Z642" i="1"/>
  <c r="Z666" i="1"/>
  <c r="Z714" i="1"/>
  <c r="Z764" i="1"/>
  <c r="Z786" i="1"/>
  <c r="Z814" i="1"/>
  <c r="Z838" i="1"/>
  <c r="Z938" i="1"/>
  <c r="Z990" i="1"/>
  <c r="Z1013" i="1"/>
  <c r="Z1039" i="1"/>
  <c r="Z1061" i="1"/>
  <c r="Z1111" i="1"/>
  <c r="Z1130" i="1"/>
  <c r="Z1159" i="1"/>
  <c r="Z1183" i="1"/>
  <c r="Z1229" i="1"/>
  <c r="Z1253" i="1"/>
  <c r="Z1302" i="1"/>
  <c r="Z1325" i="1"/>
  <c r="Z1349" i="1"/>
  <c r="Z1373" i="1"/>
  <c r="Z1401" i="1"/>
  <c r="Z1425" i="1"/>
  <c r="Z1446" i="1"/>
  <c r="Z1472" i="1"/>
  <c r="Z1553" i="1"/>
  <c r="Z1605" i="1"/>
  <c r="Z1662" i="1"/>
  <c r="Z1695" i="1"/>
  <c r="Z1868" i="1"/>
  <c r="Z1897" i="1"/>
  <c r="Z2366" i="1"/>
  <c r="Z2409" i="1"/>
  <c r="Z2442" i="1"/>
  <c r="Z2481" i="1"/>
  <c r="Z2612" i="1"/>
  <c r="Z2644" i="1"/>
  <c r="Z160" i="1"/>
  <c r="Z246" i="1"/>
  <c r="Z318" i="1"/>
  <c r="Z414" i="1"/>
  <c r="Z450" i="1"/>
  <c r="Z474" i="1"/>
  <c r="Z534" i="1"/>
  <c r="Z726" i="1"/>
  <c r="Z776" i="1"/>
  <c r="Z848" i="1"/>
  <c r="Z905" i="1"/>
  <c r="Z929" i="1"/>
  <c r="Z1037" i="1"/>
  <c r="Z1049" i="1"/>
  <c r="Z1121" i="1"/>
  <c r="Z1193" i="1"/>
  <c r="Z1241" i="1"/>
  <c r="Z1265" i="1"/>
  <c r="Z1313" i="1"/>
  <c r="Z1337" i="1"/>
  <c r="Z1361" i="1"/>
  <c r="Z1409" i="1"/>
  <c r="Z1433" i="1"/>
  <c r="Z1469" i="1"/>
  <c r="Z1577" i="1"/>
  <c r="Z1601" i="1"/>
  <c r="Z1638" i="1"/>
  <c r="Z1733" i="1"/>
  <c r="Z1757" i="1"/>
  <c r="Z1781" i="1"/>
  <c r="Z1876" i="1"/>
  <c r="Z1936" i="1"/>
  <c r="Z2008" i="1"/>
  <c r="Z2032" i="1"/>
  <c r="Z2080" i="1"/>
  <c r="Z2104" i="1"/>
  <c r="Z2128" i="1"/>
  <c r="Z2152" i="1"/>
  <c r="Z2198" i="1"/>
  <c r="Z2222" i="1"/>
  <c r="Z2246" i="1"/>
  <c r="Z2270" i="1"/>
  <c r="Z2294" i="1"/>
  <c r="Z2354" i="1"/>
  <c r="Z2467" i="1"/>
  <c r="Z2491" i="1"/>
  <c r="Z2503" i="1"/>
  <c r="Z2527" i="1"/>
  <c r="Z2551" i="1"/>
  <c r="Z2575" i="1"/>
  <c r="Z2599" i="1"/>
  <c r="Z2623" i="1"/>
  <c r="Z2635" i="1"/>
  <c r="Z2659" i="1"/>
  <c r="Z1565" i="1"/>
  <c r="Z1912" i="1"/>
  <c r="Z72" i="1"/>
  <c r="Z134" i="1"/>
  <c r="Z173" i="1"/>
  <c r="Z259" i="1"/>
  <c r="Z331" i="1"/>
  <c r="Z415" i="1"/>
  <c r="Z499" i="1"/>
  <c r="Z619" i="1"/>
  <c r="Z703" i="1"/>
  <c r="Z777" i="1"/>
  <c r="Z825" i="1"/>
  <c r="Z906" i="1"/>
  <c r="Z930" i="1"/>
  <c r="Z966" i="1"/>
  <c r="Z1038" i="1"/>
  <c r="Z1086" i="1"/>
  <c r="Z1194" i="1"/>
  <c r="Z1206" i="1"/>
  <c r="Z1278" i="1"/>
  <c r="Z1338" i="1"/>
  <c r="Z1362" i="1"/>
  <c r="Z1410" i="1"/>
  <c r="Z1434" i="1"/>
  <c r="Z1542" i="1"/>
  <c r="Z1578" i="1"/>
  <c r="Z1639" i="1"/>
  <c r="Z1663" i="1"/>
  <c r="Z1687" i="1"/>
  <c r="Z1722" i="1"/>
  <c r="Z1746" i="1"/>
  <c r="Z1770" i="1"/>
  <c r="Z1817" i="1"/>
  <c r="Z1841" i="1"/>
  <c r="Z1865" i="1"/>
  <c r="Z1901" i="1"/>
  <c r="Z1925" i="1"/>
  <c r="Z1937" i="1"/>
  <c r="Z1961" i="1"/>
  <c r="Z1985" i="1"/>
  <c r="Z2009" i="1"/>
  <c r="Z2033" i="1"/>
  <c r="Z2057" i="1"/>
  <c r="Z2081" i="1"/>
  <c r="Z2105" i="1"/>
  <c r="Z2129" i="1"/>
  <c r="Z2153" i="1"/>
  <c r="Z2177" i="1"/>
  <c r="Z2223" i="1"/>
  <c r="Z2247" i="1"/>
  <c r="Z2295" i="1"/>
  <c r="Z2343" i="1"/>
  <c r="Z2468" i="1"/>
  <c r="Z2492" i="1"/>
  <c r="Z2516" i="1"/>
  <c r="Z2540" i="1"/>
  <c r="Z2564" i="1"/>
  <c r="Z2588" i="1"/>
  <c r="Z2624" i="1"/>
  <c r="Z2636" i="1"/>
  <c r="Z294" i="1"/>
  <c r="Z678" i="1"/>
  <c r="Z872" i="1"/>
  <c r="Z1025" i="1"/>
  <c r="Z73" i="1"/>
  <c r="Z162" i="1"/>
  <c r="Z248" i="1"/>
  <c r="Z320" i="1"/>
  <c r="Z428" i="1"/>
  <c r="Z500" i="1"/>
  <c r="Z536" i="1"/>
  <c r="Z620" i="1"/>
  <c r="Z704" i="1"/>
  <c r="Z790" i="1"/>
  <c r="Z826" i="1"/>
  <c r="Z931" i="1"/>
  <c r="Z967" i="1"/>
  <c r="Z1051" i="1"/>
  <c r="Z1123" i="1"/>
  <c r="Z1327" i="1"/>
  <c r="Z1363" i="1"/>
  <c r="Z1423" i="1"/>
  <c r="Z1447" i="1"/>
  <c r="Z1579" i="1"/>
  <c r="Z1640" i="1"/>
  <c r="Z1676" i="1"/>
  <c r="Z1700" i="1"/>
  <c r="Z1723" i="1"/>
  <c r="Z1735" i="1"/>
  <c r="Z1759" i="1"/>
  <c r="Z1783" i="1"/>
  <c r="Z1854" i="1"/>
  <c r="Z1878" i="1"/>
  <c r="Z2058" i="1"/>
  <c r="Z2070" i="1"/>
  <c r="Z2082" i="1"/>
  <c r="Z2106" i="1"/>
  <c r="Z2130" i="1"/>
  <c r="Z2154" i="1"/>
  <c r="Z2178" i="1"/>
  <c r="Z2224" i="1"/>
  <c r="Z2399" i="1"/>
  <c r="Z295" i="1"/>
  <c r="Z475" i="1"/>
  <c r="Z873" i="1"/>
  <c r="Z1435" i="1"/>
  <c r="Z1567" i="1"/>
  <c r="Z2092" i="1"/>
  <c r="Z2235" i="1"/>
  <c r="Z89" i="1"/>
  <c r="Z175" i="1"/>
  <c r="Z261" i="1"/>
  <c r="Z345" i="1"/>
  <c r="Z465" i="1"/>
  <c r="Z513" i="1"/>
  <c r="Z549" i="1"/>
  <c r="Z573" i="1"/>
  <c r="Z621" i="1"/>
  <c r="Z717" i="1"/>
  <c r="Z803" i="1"/>
  <c r="Z827" i="1"/>
  <c r="Z896" i="1"/>
  <c r="Z920" i="1"/>
  <c r="Z992" i="1"/>
  <c r="Z1016" i="1"/>
  <c r="Z1064" i="1"/>
  <c r="Z1136" i="1"/>
  <c r="Z1208" i="1"/>
  <c r="Z1280" i="1"/>
  <c r="Z1364" i="1"/>
  <c r="Z1556" i="1"/>
  <c r="Z1580" i="1"/>
  <c r="Z1653" i="1"/>
  <c r="Z1677" i="1"/>
  <c r="Z1701" i="1"/>
  <c r="Z1736" i="1"/>
  <c r="Z1843" i="1"/>
  <c r="Z1915" i="1"/>
  <c r="Z2249" i="1"/>
  <c r="Z1169" i="1"/>
  <c r="Z1217" i="1"/>
  <c r="Z1315" i="1"/>
  <c r="Z1339" i="1"/>
  <c r="Z1411" i="1"/>
  <c r="Z1436" i="1"/>
  <c r="Z1460" i="1"/>
  <c r="Z1568" i="1"/>
  <c r="Z2094" i="1"/>
  <c r="Z2166" i="1"/>
  <c r="Z2504" i="1"/>
  <c r="Z2590" i="1"/>
  <c r="Z90" i="1"/>
  <c r="Z102" i="1"/>
  <c r="Z176" i="1"/>
  <c r="Z262" i="1"/>
  <c r="Z346" i="1"/>
  <c r="Z394" i="1"/>
  <c r="Z466" i="1"/>
  <c r="Z502" i="1"/>
  <c r="Z586" i="1"/>
  <c r="Z670" i="1"/>
  <c r="Z718" i="1"/>
  <c r="Z756" i="1"/>
  <c r="Z864" i="1"/>
  <c r="Z897" i="1"/>
  <c r="Z945" i="1"/>
  <c r="Z981" i="1"/>
  <c r="Z1017" i="1"/>
  <c r="Z1053" i="1"/>
  <c r="Z1077" i="1"/>
  <c r="Z1101" i="1"/>
  <c r="Z1137" i="1"/>
  <c r="Z1173" i="1"/>
  <c r="Z1209" i="1"/>
  <c r="Z1377" i="1"/>
  <c r="Z1413" i="1"/>
  <c r="Z1437" i="1"/>
  <c r="Z1545" i="1"/>
  <c r="Z1714" i="1"/>
  <c r="Z1761" i="1"/>
  <c r="Z1880" i="1"/>
  <c r="Z1904" i="1"/>
  <c r="Z1928" i="1"/>
  <c r="Z1952" i="1"/>
  <c r="Z1976" i="1"/>
  <c r="Z2000" i="1"/>
  <c r="Z2060" i="1"/>
  <c r="Z2084" i="1"/>
  <c r="Z2096" i="1"/>
  <c r="Z2168" i="1"/>
  <c r="Z2202" i="1"/>
  <c r="Z2238" i="1"/>
  <c r="Z2262" i="1"/>
  <c r="Z2286" i="1"/>
  <c r="Z2437" i="1"/>
  <c r="Z2449" i="1"/>
  <c r="Z2495" i="1"/>
  <c r="Z2519" i="1"/>
  <c r="Z2543" i="1"/>
  <c r="Z2579" i="1"/>
  <c r="Z297" i="1"/>
  <c r="Z657" i="1"/>
  <c r="Z779" i="1"/>
  <c r="Z979" i="1"/>
  <c r="Z1028" i="1"/>
  <c r="Z1098" i="1"/>
  <c r="Z1125" i="1"/>
  <c r="Z1147" i="1"/>
  <c r="Z1218" i="1"/>
  <c r="Z1316" i="1"/>
  <c r="Z2591" i="1"/>
  <c r="Z152" i="1"/>
  <c r="Z196" i="1"/>
  <c r="Z282" i="1"/>
  <c r="Z342" i="1"/>
  <c r="Z454" i="1"/>
  <c r="Z608" i="1"/>
  <c r="Z658" i="1"/>
  <c r="Z702" i="1"/>
  <c r="Z728" i="1"/>
  <c r="Z780" i="1"/>
  <c r="Z802" i="1"/>
  <c r="Z908" i="1"/>
  <c r="Z956" i="1"/>
  <c r="Z1029" i="1"/>
  <c r="Z1075" i="1"/>
  <c r="Z1148" i="1"/>
  <c r="Z1197" i="1"/>
  <c r="Z1219" i="1"/>
  <c r="Z1290" i="1"/>
  <c r="Z1317" i="1"/>
  <c r="Z135" i="1"/>
  <c r="Z283" i="1"/>
  <c r="Z537" i="1"/>
  <c r="Z609" i="1"/>
  <c r="Z729" i="1"/>
  <c r="Z1100" i="1"/>
  <c r="Z1602" i="1"/>
  <c r="Z198" i="1"/>
  <c r="Z366" i="1"/>
  <c r="Z538" i="1"/>
  <c r="Z610" i="1"/>
  <c r="Z730" i="1"/>
  <c r="Z1650" i="1"/>
  <c r="Z199" i="1"/>
  <c r="Z285" i="1"/>
  <c r="Z391" i="1"/>
  <c r="Z439" i="1"/>
  <c r="Z489" i="1"/>
  <c r="Z511" i="1"/>
  <c r="Z1110" i="1"/>
  <c r="Z1182" i="1"/>
  <c r="Z1422" i="1"/>
  <c r="Z1630" i="1"/>
  <c r="Z1737" i="1"/>
  <c r="Z1866" i="1"/>
  <c r="Z2068" i="1"/>
  <c r="Z2144" i="1"/>
  <c r="Z2480" i="1"/>
  <c r="Z2602" i="1"/>
  <c r="Z107" i="1"/>
  <c r="Z363" i="1"/>
  <c r="Z411" i="1"/>
  <c r="Z435" i="1"/>
  <c r="Z459" i="1"/>
  <c r="Z483" i="1"/>
  <c r="Z519" i="1"/>
  <c r="Z543" i="1"/>
  <c r="Z567" i="1"/>
  <c r="Z591" i="1"/>
  <c r="Z615" i="1"/>
  <c r="Z651" i="1"/>
  <c r="Z663" i="1"/>
  <c r="Z687" i="1"/>
  <c r="Z711" i="1"/>
  <c r="Z735" i="1"/>
  <c r="Z761" i="1"/>
  <c r="Z845" i="1"/>
  <c r="Z950" i="1"/>
  <c r="Z1034" i="1"/>
  <c r="Z1070" i="1"/>
  <c r="Z1118" i="1"/>
  <c r="Z1154" i="1"/>
  <c r="Z1190" i="1"/>
  <c r="Z1250" i="1"/>
  <c r="Z1274" i="1"/>
  <c r="Z1310" i="1"/>
  <c r="Z1322" i="1"/>
  <c r="Z1382" i="1"/>
  <c r="Z1466" i="1"/>
  <c r="Z1623" i="1"/>
  <c r="Z1742" i="1"/>
  <c r="Z1766" i="1"/>
  <c r="Z1790" i="1"/>
  <c r="Z1837" i="1"/>
  <c r="Z1909" i="1"/>
  <c r="Z1933" i="1"/>
  <c r="Z1957" i="1"/>
  <c r="Z1981" i="1"/>
  <c r="Z1993" i="1"/>
  <c r="Z2017" i="1"/>
  <c r="Z2041" i="1"/>
  <c r="Z2065" i="1"/>
  <c r="Z2149" i="1"/>
  <c r="Z2173" i="1"/>
  <c r="Z2219" i="1"/>
  <c r="Z2243" i="1"/>
  <c r="Z2267" i="1"/>
  <c r="Z2291" i="1"/>
  <c r="Z2327" i="1"/>
  <c r="Z2351" i="1"/>
  <c r="Z2406" i="1"/>
  <c r="Z2500" i="1"/>
  <c r="Z2584" i="1"/>
  <c r="Z96" i="1"/>
  <c r="Z119" i="1"/>
  <c r="Z131" i="1"/>
  <c r="Z206" i="1"/>
  <c r="Z292" i="1"/>
  <c r="Z304" i="1"/>
  <c r="Z364" i="1"/>
  <c r="Z376" i="1"/>
  <c r="Z388" i="1"/>
  <c r="Z400" i="1"/>
  <c r="Z412" i="1"/>
  <c r="Z424" i="1"/>
  <c r="Z436" i="1"/>
  <c r="Z448" i="1"/>
  <c r="Z460" i="1"/>
  <c r="Z472" i="1"/>
  <c r="Z484" i="1"/>
  <c r="Z496" i="1"/>
  <c r="Z508" i="1"/>
  <c r="Z520" i="1"/>
  <c r="Z532" i="1"/>
  <c r="Z544" i="1"/>
  <c r="Z556" i="1"/>
  <c r="Z568" i="1"/>
  <c r="Z580" i="1"/>
  <c r="Z592" i="1"/>
  <c r="Z604" i="1"/>
  <c r="Z616" i="1"/>
  <c r="Z628" i="1"/>
  <c r="Z640" i="1"/>
  <c r="Z652" i="1"/>
  <c r="Z664" i="1"/>
  <c r="Z676" i="1"/>
  <c r="Z688" i="1"/>
  <c r="Z700" i="1"/>
  <c r="Z712" i="1"/>
  <c r="Z724" i="1"/>
  <c r="Z762" i="1"/>
  <c r="Z774" i="1"/>
  <c r="Z810" i="1"/>
  <c r="Z834" i="1"/>
  <c r="Z846" i="1"/>
  <c r="Z891" i="1"/>
  <c r="Z903" i="1"/>
  <c r="Z915" i="1"/>
  <c r="Z927" i="1"/>
  <c r="Z939" i="1"/>
  <c r="Z951" i="1"/>
  <c r="Z963" i="1"/>
  <c r="Z975" i="1"/>
  <c r="Z987" i="1"/>
  <c r="Z999" i="1"/>
  <c r="Z1011" i="1"/>
  <c r="Z1023" i="1"/>
  <c r="Z1035" i="1"/>
  <c r="Z1047" i="1"/>
  <c r="Z1059" i="1"/>
  <c r="Z1071" i="1"/>
  <c r="Z1083" i="1"/>
  <c r="Z1095" i="1"/>
  <c r="Z1107" i="1"/>
  <c r="Z1119" i="1"/>
  <c r="Z1131" i="1"/>
  <c r="Z1143" i="1"/>
  <c r="Z1155" i="1"/>
  <c r="Z1167" i="1"/>
  <c r="Z1179" i="1"/>
  <c r="Z1191" i="1"/>
  <c r="Z1203" i="1"/>
  <c r="Z1215" i="1"/>
  <c r="Z1227" i="1"/>
  <c r="Z1239" i="1"/>
  <c r="Z1251" i="1"/>
  <c r="Z1263" i="1"/>
  <c r="Z1275" i="1"/>
  <c r="Z1287" i="1"/>
  <c r="Z1299" i="1"/>
  <c r="Z1311" i="1"/>
  <c r="Z1323" i="1"/>
  <c r="Z1335" i="1"/>
  <c r="Z1347" i="1"/>
  <c r="Z1359" i="1"/>
  <c r="Z1371" i="1"/>
  <c r="Z1383" i="1"/>
  <c r="Z1395" i="1"/>
  <c r="Z1407" i="1"/>
  <c r="Z1419" i="1"/>
  <c r="Z1431" i="1"/>
  <c r="Z1443" i="1"/>
  <c r="Z1455" i="1"/>
  <c r="Z1467" i="1"/>
  <c r="Z1479" i="1"/>
  <c r="Z1563" i="1"/>
  <c r="Z1575" i="1"/>
  <c r="Z1599" i="1"/>
  <c r="Z1624" i="1"/>
  <c r="Z1636" i="1"/>
  <c r="Z1648" i="1"/>
  <c r="Z1672" i="1"/>
  <c r="Z1696" i="1"/>
  <c r="Z1719" i="1"/>
  <c r="Z1731" i="1"/>
  <c r="Z1743" i="1"/>
  <c r="Z1767" i="1"/>
  <c r="Z1791" i="1"/>
  <c r="Z1826" i="1"/>
  <c r="Z1838" i="1"/>
  <c r="Z1850" i="1"/>
  <c r="Z1862" i="1"/>
  <c r="Z1886" i="1"/>
  <c r="Z1898" i="1"/>
  <c r="Z1922" i="1"/>
  <c r="Z1934" i="1"/>
  <c r="Z1946" i="1"/>
  <c r="Z1958" i="1"/>
  <c r="Z1970" i="1"/>
  <c r="Z1982" i="1"/>
  <c r="Z1994" i="1"/>
  <c r="Z2018" i="1"/>
  <c r="Z2042" i="1"/>
  <c r="Z2066" i="1"/>
  <c r="Z2090" i="1"/>
  <c r="Z2102" i="1"/>
  <c r="Z2126" i="1"/>
  <c r="Z2138" i="1"/>
  <c r="Z2150" i="1"/>
  <c r="Z2174" i="1"/>
  <c r="Z2196" i="1"/>
  <c r="Z2220" i="1"/>
  <c r="Z2232" i="1"/>
  <c r="Z2244" i="1"/>
  <c r="Z2268" i="1"/>
  <c r="Z2280" i="1"/>
  <c r="Z2316" i="1"/>
  <c r="Z2328" i="1"/>
  <c r="Z2340" i="1"/>
  <c r="Z2352" i="1"/>
  <c r="Z2407" i="1"/>
  <c r="Z2419" i="1"/>
  <c r="Z2431" i="1"/>
  <c r="Z2443" i="1"/>
  <c r="Z2455" i="1"/>
  <c r="Z2477" i="1"/>
  <c r="Z2489" i="1"/>
  <c r="Z2501" i="1"/>
  <c r="Z2513" i="1"/>
  <c r="Z2525" i="1"/>
  <c r="Z2537" i="1"/>
  <c r="Z2549" i="1"/>
  <c r="Z2561" i="1"/>
  <c r="Z2573" i="1"/>
  <c r="Z2585" i="1"/>
  <c r="Z2597" i="1"/>
  <c r="Z2609" i="1"/>
  <c r="Z2621" i="1"/>
  <c r="Z2633" i="1"/>
  <c r="Z2645" i="1"/>
  <c r="Z2657" i="1"/>
  <c r="Z98" i="1"/>
  <c r="Z122" i="1"/>
  <c r="Z163" i="1"/>
  <c r="Z183" i="1"/>
  <c r="Z207" i="1"/>
  <c r="Z249" i="1"/>
  <c r="Z269" i="1"/>
  <c r="Z309" i="1"/>
  <c r="Z329" i="1"/>
  <c r="Z353" i="1"/>
  <c r="Z369" i="1"/>
  <c r="Z441" i="1"/>
  <c r="Z521" i="1"/>
  <c r="Z593" i="1"/>
  <c r="Z643" i="1"/>
  <c r="Z667" i="1"/>
  <c r="Z693" i="1"/>
  <c r="Z715" i="1"/>
  <c r="Z765" i="1"/>
  <c r="Z787" i="1"/>
  <c r="Z815" i="1"/>
  <c r="Z839" i="1"/>
  <c r="Z869" i="1"/>
  <c r="Z893" i="1"/>
  <c r="Z917" i="1"/>
  <c r="Z941" i="1"/>
  <c r="Z969" i="1"/>
  <c r="Z993" i="1"/>
  <c r="Z1014" i="1"/>
  <c r="Z1040" i="1"/>
  <c r="Z1062" i="1"/>
  <c r="Z1082" i="1"/>
  <c r="Z1112" i="1"/>
  <c r="Z1133" i="1"/>
  <c r="Z1160" i="1"/>
  <c r="Z1184" i="1"/>
  <c r="Z1202" i="1"/>
  <c r="Z1230" i="1"/>
  <c r="Z1254" i="1"/>
  <c r="Z1281" i="1"/>
  <c r="Z1303" i="1"/>
  <c r="Z1326" i="1"/>
  <c r="Z1350" i="1"/>
  <c r="Z1374" i="1"/>
  <c r="Z1473" i="1"/>
  <c r="Z1554" i="1"/>
  <c r="Z1586" i="1"/>
  <c r="Z1665" i="1"/>
  <c r="Z1910" i="1"/>
  <c r="Z1984" i="1"/>
  <c r="Z2007" i="1"/>
  <c r="Z2046" i="1"/>
  <c r="Z2115" i="1"/>
  <c r="Z2260" i="1"/>
  <c r="Z2293" i="1"/>
  <c r="Z2329" i="1"/>
  <c r="Z2367" i="1"/>
  <c r="Z2413" i="1"/>
  <c r="Z2454" i="1"/>
  <c r="Z2482" i="1"/>
  <c r="Z2552" i="1"/>
  <c r="Z2576" i="1"/>
  <c r="Z2646" i="1"/>
  <c r="Z71" i="1"/>
  <c r="Z133" i="1"/>
  <c r="Z306" i="1"/>
  <c r="Z378" i="1"/>
  <c r="Z402" i="1"/>
  <c r="Z498" i="1"/>
  <c r="Z546" i="1"/>
  <c r="Z570" i="1"/>
  <c r="Z606" i="1"/>
  <c r="Z618" i="1"/>
  <c r="Z654" i="1"/>
  <c r="Z690" i="1"/>
  <c r="Z740" i="1"/>
  <c r="Z812" i="1"/>
  <c r="Z860" i="1"/>
  <c r="Z965" i="1"/>
  <c r="Z977" i="1"/>
  <c r="Z1001" i="1"/>
  <c r="Z1085" i="1"/>
  <c r="Z1157" i="1"/>
  <c r="Z1205" i="1"/>
  <c r="Z1277" i="1"/>
  <c r="Z1397" i="1"/>
  <c r="Z1481" i="1"/>
  <c r="Z1674" i="1"/>
  <c r="Z1698" i="1"/>
  <c r="Z1721" i="1"/>
  <c r="Z1745" i="1"/>
  <c r="Z1769" i="1"/>
  <c r="Z1816" i="1"/>
  <c r="Z1840" i="1"/>
  <c r="Z1864" i="1"/>
  <c r="Z1900" i="1"/>
  <c r="Z1924" i="1"/>
  <c r="Z1948" i="1"/>
  <c r="Z1972" i="1"/>
  <c r="Z1996" i="1"/>
  <c r="Z2020" i="1"/>
  <c r="Z2044" i="1"/>
  <c r="Z2164" i="1"/>
  <c r="Z2176" i="1"/>
  <c r="Z2210" i="1"/>
  <c r="Z2258" i="1"/>
  <c r="Z2282" i="1"/>
  <c r="Z2306" i="1"/>
  <c r="Z2330" i="1"/>
  <c r="Z2342" i="1"/>
  <c r="Z2421" i="1"/>
  <c r="Z2445" i="1"/>
  <c r="Z2479" i="1"/>
  <c r="Z2515" i="1"/>
  <c r="Z2539" i="1"/>
  <c r="Z2563" i="1"/>
  <c r="Z2587" i="1"/>
  <c r="Z2611" i="1"/>
  <c r="Z2647" i="1"/>
  <c r="Z1457" i="1"/>
  <c r="Z1589" i="1"/>
  <c r="Z87" i="1"/>
  <c r="Z161" i="1"/>
  <c r="Z247" i="1"/>
  <c r="Z319" i="1"/>
  <c r="Z379" i="1"/>
  <c r="Z427" i="1"/>
  <c r="Z463" i="1"/>
  <c r="Z487" i="1"/>
  <c r="Z535" i="1"/>
  <c r="Z559" i="1"/>
  <c r="Z583" i="1"/>
  <c r="Z631" i="1"/>
  <c r="Z655" i="1"/>
  <c r="Z691" i="1"/>
  <c r="Z741" i="1"/>
  <c r="Z789" i="1"/>
  <c r="Z861" i="1"/>
  <c r="Z978" i="1"/>
  <c r="Z1002" i="1"/>
  <c r="Z1050" i="1"/>
  <c r="Z1122" i="1"/>
  <c r="Z1158" i="1"/>
  <c r="Z1242" i="1"/>
  <c r="Z1266" i="1"/>
  <c r="Z1314" i="1"/>
  <c r="Z1398" i="1"/>
  <c r="Z1470" i="1"/>
  <c r="Z1651" i="1"/>
  <c r="Z1675" i="1"/>
  <c r="Z1699" i="1"/>
  <c r="Z1711" i="1"/>
  <c r="Z1829" i="1"/>
  <c r="Z1853" i="1"/>
  <c r="Z1877" i="1"/>
  <c r="Z1889" i="1"/>
  <c r="Z1913" i="1"/>
  <c r="Z1949" i="1"/>
  <c r="Z1973" i="1"/>
  <c r="Z1997" i="1"/>
  <c r="Z2021" i="1"/>
  <c r="Z2045" i="1"/>
  <c r="Z2069" i="1"/>
  <c r="Z2093" i="1"/>
  <c r="Z2117" i="1"/>
  <c r="Z2141" i="1"/>
  <c r="Z2165" i="1"/>
  <c r="Z2199" i="1"/>
  <c r="Z2259" i="1"/>
  <c r="Z2307" i="1"/>
  <c r="Z2331" i="1"/>
  <c r="Z2355" i="1"/>
  <c r="Z2410" i="1"/>
  <c r="Z2422" i="1"/>
  <c r="Z2446" i="1"/>
  <c r="Z2528" i="1"/>
  <c r="Z2600" i="1"/>
  <c r="Z2648" i="1"/>
  <c r="Z1385" i="1"/>
  <c r="Z1458" i="1"/>
  <c r="Z1566" i="1"/>
  <c r="Z1710" i="1"/>
  <c r="Z1782" i="1"/>
  <c r="Z2234" i="1"/>
  <c r="Z61" i="1"/>
  <c r="Z88" i="1"/>
  <c r="Z174" i="1"/>
  <c r="Z380" i="1"/>
  <c r="Z464" i="1"/>
  <c r="Z488" i="1"/>
  <c r="Z560" i="1"/>
  <c r="Z584" i="1"/>
  <c r="Z632" i="1"/>
  <c r="Z692" i="1"/>
  <c r="Z742" i="1"/>
  <c r="Z778" i="1"/>
  <c r="Z862" i="1"/>
  <c r="Z895" i="1"/>
  <c r="Z919" i="1"/>
  <c r="Z991" i="1"/>
  <c r="Z1015" i="1"/>
  <c r="Z1063" i="1"/>
  <c r="Z1087" i="1"/>
  <c r="Z1135" i="1"/>
  <c r="Z1279" i="1"/>
  <c r="Z1351" i="1"/>
  <c r="Z1543" i="1"/>
  <c r="Z1591" i="1"/>
  <c r="Z1664" i="1"/>
  <c r="Z1712" i="1"/>
  <c r="Z1747" i="1"/>
  <c r="Z1771" i="1"/>
  <c r="Z1902" i="1"/>
  <c r="Z1926" i="1"/>
  <c r="Z1950" i="1"/>
  <c r="Z1974" i="1"/>
  <c r="Z1998" i="1"/>
  <c r="Z2034" i="1"/>
  <c r="Z2200" i="1"/>
  <c r="Z2296" i="1"/>
  <c r="Z2308" i="1"/>
  <c r="Z2332" i="1"/>
  <c r="Z2356" i="1"/>
  <c r="Z2411" i="1"/>
  <c r="Z2423" i="1"/>
  <c r="Z2447" i="1"/>
  <c r="Z2469" i="1"/>
  <c r="Z451" i="1"/>
  <c r="Z953" i="1"/>
  <c r="Z1026" i="1"/>
  <c r="Z1145" i="1"/>
  <c r="Z1386" i="1"/>
  <c r="Z1459" i="1"/>
  <c r="Z74" i="1"/>
  <c r="Z101" i="1"/>
  <c r="Z187" i="1"/>
  <c r="Z273" i="1"/>
  <c r="Z333" i="1"/>
  <c r="Z393" i="1"/>
  <c r="Z429" i="1"/>
  <c r="Z501" i="1"/>
  <c r="Z585" i="1"/>
  <c r="Z645" i="1"/>
  <c r="Z705" i="1"/>
  <c r="Z755" i="1"/>
  <c r="Z791" i="1"/>
  <c r="Z875" i="1"/>
  <c r="Z932" i="1"/>
  <c r="Z968" i="1"/>
  <c r="Z1052" i="1"/>
  <c r="Z1124" i="1"/>
  <c r="Z1172" i="1"/>
  <c r="Z1244" i="1"/>
  <c r="Z1292" i="1"/>
  <c r="Z1328" i="1"/>
  <c r="Z1352" i="1"/>
  <c r="Z1400" i="1"/>
  <c r="Z1424" i="1"/>
  <c r="Z1448" i="1"/>
  <c r="Z1544" i="1"/>
  <c r="Z1592" i="1"/>
  <c r="Z1713" i="1"/>
  <c r="Z1724" i="1"/>
  <c r="Z1748" i="1"/>
  <c r="Z1772" i="1"/>
  <c r="Z1819" i="1"/>
  <c r="Z1831" i="1"/>
  <c r="Z1855" i="1"/>
  <c r="Z1867" i="1"/>
  <c r="Z1879" i="1"/>
  <c r="Z1891" i="1"/>
  <c r="Z1903" i="1"/>
  <c r="Z1927" i="1"/>
  <c r="Z1939" i="1"/>
  <c r="Z1951" i="1"/>
  <c r="Z1963" i="1"/>
  <c r="Z1975" i="1"/>
  <c r="Z1987" i="1"/>
  <c r="Z1999" i="1"/>
  <c r="Z2011" i="1"/>
  <c r="Z2023" i="1"/>
  <c r="Z2035" i="1"/>
  <c r="Z2047" i="1"/>
  <c r="Z2059" i="1"/>
  <c r="Z2071" i="1"/>
  <c r="Z2083" i="1"/>
  <c r="Z2095" i="1"/>
  <c r="Z2107" i="1"/>
  <c r="Z2119" i="1"/>
  <c r="Z2131" i="1"/>
  <c r="Z2143" i="1"/>
  <c r="Z2155" i="1"/>
  <c r="Z2167" i="1"/>
  <c r="Z2179" i="1"/>
  <c r="Z2201" i="1"/>
  <c r="Z2213" i="1"/>
  <c r="Z2225" i="1"/>
  <c r="Z2237" i="1"/>
  <c r="Z2261" i="1"/>
  <c r="Z2273" i="1"/>
  <c r="Z2285" i="1"/>
  <c r="Z2297" i="1"/>
  <c r="Z2309" i="1"/>
  <c r="Z2321" i="1"/>
  <c r="Z2333" i="1"/>
  <c r="Z2345" i="1"/>
  <c r="Z2357" i="1"/>
  <c r="Z2400" i="1"/>
  <c r="Z2412" i="1"/>
  <c r="Z2424" i="1"/>
  <c r="Z2436" i="1"/>
  <c r="Z2448" i="1"/>
  <c r="Z2470" i="1"/>
  <c r="Z2494" i="1"/>
  <c r="Z2506" i="1"/>
  <c r="Z2518" i="1"/>
  <c r="Z2542" i="1"/>
  <c r="Z2566" i="1"/>
  <c r="Z2578" i="1"/>
  <c r="Z2614" i="1"/>
  <c r="Z2626" i="1"/>
  <c r="Z2650" i="1"/>
  <c r="Z296" i="1"/>
  <c r="Z426" i="1"/>
  <c r="Z452" i="1"/>
  <c r="Z476" i="1"/>
  <c r="Z680" i="1"/>
  <c r="Z800" i="1"/>
  <c r="Z824" i="1"/>
  <c r="Z874" i="1"/>
  <c r="Z954" i="1"/>
  <c r="Z1003" i="1"/>
  <c r="Z1027" i="1"/>
  <c r="Z1073" i="1"/>
  <c r="Z1097" i="1"/>
  <c r="Z1146" i="1"/>
  <c r="Z1195" i="1"/>
  <c r="Z1267" i="1"/>
  <c r="Z1387" i="1"/>
  <c r="Z1888" i="1"/>
  <c r="Z1960" i="1"/>
  <c r="Z2236" i="1"/>
  <c r="Z75" i="1"/>
  <c r="Z188" i="1"/>
  <c r="Z274" i="1"/>
  <c r="Z334" i="1"/>
  <c r="Z430" i="1"/>
  <c r="Z550" i="1"/>
  <c r="Z574" i="1"/>
  <c r="Z622" i="1"/>
  <c r="Z706" i="1"/>
  <c r="Z804" i="1"/>
  <c r="Z828" i="1"/>
  <c r="Z876" i="1"/>
  <c r="Z933" i="1"/>
  <c r="Z1005" i="1"/>
  <c r="Z1329" i="1"/>
  <c r="Z1365" i="1"/>
  <c r="Z1449" i="1"/>
  <c r="Z1557" i="1"/>
  <c r="Z1581" i="1"/>
  <c r="Z1654" i="1"/>
  <c r="Z1678" i="1"/>
  <c r="Z1702" i="1"/>
  <c r="Z1725" i="1"/>
  <c r="Z1749" i="1"/>
  <c r="Z1773" i="1"/>
  <c r="Z1856" i="1"/>
  <c r="Z1940" i="1"/>
  <c r="Z2024" i="1"/>
  <c r="Z2072" i="1"/>
  <c r="Z2108" i="1"/>
  <c r="Z2132" i="1"/>
  <c r="Z2156" i="1"/>
  <c r="Z2298" i="1"/>
  <c r="Z2310" i="1"/>
  <c r="Z2334" i="1"/>
  <c r="Z2358" i="1"/>
  <c r="Z2401" i="1"/>
  <c r="Z2425" i="1"/>
  <c r="Z2471" i="1"/>
  <c r="Z2531" i="1"/>
  <c r="Z2555" i="1"/>
  <c r="Z2603" i="1"/>
  <c r="Z2627" i="1"/>
  <c r="Z86" i="1"/>
  <c r="Z151" i="1"/>
  <c r="Z321" i="1"/>
  <c r="Z477" i="1"/>
  <c r="Z681" i="1"/>
  <c r="Z801" i="1"/>
  <c r="Z907" i="1"/>
  <c r="Z1004" i="1"/>
  <c r="Z1074" i="1"/>
  <c r="Z1196" i="1"/>
  <c r="Z1289" i="1"/>
  <c r="Z1340" i="1"/>
  <c r="Z1412" i="1"/>
  <c r="Z1461" i="1"/>
  <c r="Z1569" i="1"/>
  <c r="Z2567" i="1"/>
  <c r="Z172" i="1"/>
  <c r="Z258" i="1"/>
  <c r="Z298" i="1"/>
  <c r="Z682" i="1"/>
  <c r="Z1269" i="1"/>
  <c r="Z1389" i="1"/>
  <c r="Z1627" i="1"/>
  <c r="Z197" i="1"/>
  <c r="Z633" i="1"/>
  <c r="Z753" i="1"/>
  <c r="Z909" i="1"/>
  <c r="Z1076" i="1"/>
  <c r="Z1689" i="1"/>
  <c r="Z284" i="1"/>
  <c r="Z390" i="1"/>
  <c r="Z438" i="1"/>
  <c r="Z486" i="1"/>
  <c r="Z562" i="1"/>
  <c r="Z634" i="1"/>
  <c r="Z754" i="1"/>
  <c r="Z1109" i="1"/>
  <c r="Z1181" i="1"/>
  <c r="Z1629" i="1"/>
  <c r="Z307" i="1"/>
  <c r="Z367" i="1"/>
  <c r="Z813" i="1"/>
  <c r="Z1301" i="1"/>
  <c r="Z1445" i="1"/>
  <c r="Z1604" i="1"/>
  <c r="Z1938" i="1"/>
  <c r="Z95" i="1"/>
  <c r="Z291" i="1"/>
  <c r="Z375" i="1"/>
  <c r="Z399" i="1"/>
  <c r="Z423" i="1"/>
  <c r="Z447" i="1"/>
  <c r="Z471" i="1"/>
  <c r="Z507" i="1"/>
  <c r="Z531" i="1"/>
  <c r="Z555" i="1"/>
  <c r="Z579" i="1"/>
  <c r="Z603" i="1"/>
  <c r="Z627" i="1"/>
  <c r="Z675" i="1"/>
  <c r="Z699" i="1"/>
  <c r="Z723" i="1"/>
  <c r="Z773" i="1"/>
  <c r="Z809" i="1"/>
  <c r="Z833" i="1"/>
  <c r="Z881" i="1"/>
  <c r="Z914" i="1"/>
  <c r="Z998" i="1"/>
  <c r="Z1106" i="1"/>
  <c r="Z1178" i="1"/>
  <c r="Z1226" i="1"/>
  <c r="Z1394" i="1"/>
  <c r="Z1430" i="1"/>
  <c r="Z1562" i="1"/>
  <c r="Z1598" i="1"/>
  <c r="Z1635" i="1"/>
  <c r="Z1659" i="1"/>
  <c r="Z1683" i="1"/>
  <c r="Z1730" i="1"/>
  <c r="Z1778" i="1"/>
  <c r="Z1825" i="1"/>
  <c r="Z1885" i="1"/>
  <c r="Z1921" i="1"/>
  <c r="Z1945" i="1"/>
  <c r="Z1969" i="1"/>
  <c r="Z2029" i="1"/>
  <c r="Z2053" i="1"/>
  <c r="Z2089" i="1"/>
  <c r="Z2113" i="1"/>
  <c r="Z2137" i="1"/>
  <c r="Z2195" i="1"/>
  <c r="Z2279" i="1"/>
  <c r="Z2315" i="1"/>
  <c r="Z2430" i="1"/>
  <c r="Z2512" i="1"/>
  <c r="Z2536" i="1"/>
  <c r="Z2560" i="1"/>
  <c r="Z2608" i="1"/>
  <c r="Z120" i="1"/>
  <c r="Z132" i="1"/>
  <c r="Z159" i="1"/>
  <c r="Z245" i="1"/>
  <c r="Z305" i="1"/>
  <c r="Z317" i="1"/>
  <c r="Z377" i="1"/>
  <c r="Z401" i="1"/>
  <c r="Z413" i="1"/>
  <c r="Z449" i="1"/>
  <c r="Z473" i="1"/>
  <c r="Z497" i="1"/>
  <c r="Z533" i="1"/>
  <c r="Z545" i="1"/>
  <c r="Z569" i="1"/>
  <c r="Z605" i="1"/>
  <c r="Z617" i="1"/>
  <c r="Z653" i="1"/>
  <c r="Z689" i="1"/>
  <c r="Z725" i="1"/>
  <c r="Z739" i="1"/>
  <c r="Z775" i="1"/>
  <c r="Z811" i="1"/>
  <c r="Z847" i="1"/>
  <c r="Z859" i="1"/>
  <c r="Z892" i="1"/>
  <c r="Z904" i="1"/>
  <c r="Z916" i="1"/>
  <c r="Z928" i="1"/>
  <c r="Z940" i="1"/>
  <c r="Z952" i="1"/>
  <c r="Z964" i="1"/>
  <c r="Z976" i="1"/>
  <c r="Z988" i="1"/>
  <c r="Z1000" i="1"/>
  <c r="Z1012" i="1"/>
  <c r="Z1024" i="1"/>
  <c r="Z1036" i="1"/>
  <c r="Z1048" i="1"/>
  <c r="Z1060" i="1"/>
  <c r="Z1072" i="1"/>
  <c r="Z1084" i="1"/>
  <c r="Z1096" i="1"/>
  <c r="Z1108" i="1"/>
  <c r="Z1120" i="1"/>
  <c r="Z1132" i="1"/>
  <c r="Z1144" i="1"/>
  <c r="Z1156" i="1"/>
  <c r="Z1168" i="1"/>
  <c r="Z1180" i="1"/>
  <c r="Z1192" i="1"/>
  <c r="Z1204" i="1"/>
  <c r="Z1216" i="1"/>
  <c r="Z1228" i="1"/>
  <c r="Z1240" i="1"/>
  <c r="Z1252" i="1"/>
  <c r="Z1264" i="1"/>
  <c r="Z1276" i="1"/>
  <c r="Z1288" i="1"/>
  <c r="Z1300" i="1"/>
  <c r="Z1312" i="1"/>
  <c r="Z1324" i="1"/>
  <c r="Z1336" i="1"/>
  <c r="Z1348" i="1"/>
  <c r="Z1360" i="1"/>
  <c r="Z1372" i="1"/>
  <c r="Z1384" i="1"/>
  <c r="Z1396" i="1"/>
  <c r="Z1408" i="1"/>
  <c r="Z1420" i="1"/>
  <c r="Z1432" i="1"/>
  <c r="Z1444" i="1"/>
  <c r="Z1456" i="1"/>
  <c r="Z1468" i="1"/>
  <c r="Z1480" i="1"/>
  <c r="Z1552" i="1"/>
  <c r="Z1564" i="1"/>
  <c r="Z1576" i="1"/>
  <c r="Z1588" i="1"/>
  <c r="Z1600" i="1"/>
  <c r="Z1625" i="1"/>
  <c r="Z1637" i="1"/>
  <c r="Z1649" i="1"/>
  <c r="Z1661" i="1"/>
  <c r="Z1673" i="1"/>
  <c r="Z1685" i="1"/>
  <c r="Z1697" i="1"/>
  <c r="Z1709" i="1"/>
  <c r="Z1720" i="1"/>
  <c r="Z1732" i="1"/>
  <c r="Z1744" i="1"/>
  <c r="Z1768" i="1"/>
  <c r="Z1815" i="1"/>
  <c r="Z1827" i="1"/>
  <c r="Z1839" i="1"/>
  <c r="Z1863" i="1"/>
  <c r="Z1887" i="1"/>
  <c r="Z1899" i="1"/>
  <c r="Z1947" i="1"/>
  <c r="Z1971" i="1"/>
  <c r="Z1995" i="1"/>
  <c r="Z2019" i="1"/>
  <c r="Z2043" i="1"/>
  <c r="Z2091" i="1"/>
  <c r="Z2103" i="1"/>
  <c r="Z2127" i="1"/>
  <c r="Z2139" i="1"/>
  <c r="Z2151" i="1"/>
  <c r="Z2163" i="1"/>
  <c r="Z2175" i="1"/>
  <c r="Z2197" i="1"/>
  <c r="Z2221" i="1"/>
  <c r="Z2233" i="1"/>
  <c r="Z2245" i="1"/>
  <c r="Z2269" i="1"/>
  <c r="Z2317" i="1"/>
  <c r="Z2353" i="1"/>
  <c r="Z2420" i="1"/>
  <c r="Z2444" i="1"/>
  <c r="Z2466" i="1"/>
  <c r="Z2490" i="1"/>
  <c r="Z2514" i="1"/>
  <c r="Z2538" i="1"/>
  <c r="Z2562" i="1"/>
  <c r="Z2586" i="1"/>
  <c r="Z2598" i="1"/>
  <c r="Z2610" i="1"/>
  <c r="Z2658" i="1"/>
  <c r="Z99" i="1"/>
  <c r="Z123" i="1"/>
  <c r="Z164" i="1"/>
  <c r="Z184" i="1"/>
  <c r="Z208" i="1"/>
  <c r="Z250" i="1"/>
  <c r="Z270" i="1"/>
  <c r="Z310" i="1"/>
  <c r="Z330" i="1"/>
  <c r="Z354" i="1"/>
  <c r="Z370" i="1"/>
  <c r="Z442" i="1"/>
  <c r="Z522" i="1"/>
  <c r="Z594" i="1"/>
  <c r="Z644" i="1"/>
  <c r="Z668" i="1"/>
  <c r="Z694" i="1"/>
  <c r="Z716" i="1"/>
  <c r="Z738" i="1"/>
  <c r="Z766" i="1"/>
  <c r="Z788" i="1"/>
  <c r="Z816" i="1"/>
  <c r="Z840" i="1"/>
  <c r="Z870" i="1"/>
  <c r="Z894" i="1"/>
  <c r="Z918" i="1"/>
  <c r="Z942" i="1"/>
  <c r="Z1041" i="1"/>
  <c r="Z1065" i="1"/>
  <c r="Z1089" i="1"/>
  <c r="Z1113" i="1"/>
  <c r="Z1134" i="1"/>
  <c r="Z1161" i="1"/>
  <c r="Z1185" i="1"/>
  <c r="Z1231" i="1"/>
  <c r="Z1255" i="1"/>
  <c r="Z1304" i="1"/>
  <c r="Z1353" i="1"/>
  <c r="Z1375" i="1"/>
  <c r="Z1454" i="1"/>
  <c r="Z1555" i="1"/>
  <c r="Z1587" i="1"/>
  <c r="Z1666" i="1"/>
  <c r="Z1707" i="1"/>
  <c r="Z1779" i="1"/>
  <c r="Z1842" i="1"/>
  <c r="Z1911" i="1"/>
  <c r="Z1986" i="1"/>
  <c r="Z2010" i="1"/>
  <c r="Z2048" i="1"/>
  <c r="Z2077" i="1"/>
  <c r="Z2116" i="1"/>
  <c r="Z2339" i="1"/>
  <c r="Z2488" i="1"/>
  <c r="Z2524" i="1"/>
  <c r="Z2615" i="1"/>
  <c r="Z263" i="1"/>
  <c r="Z287" i="1"/>
  <c r="Z311" i="1"/>
  <c r="Z335" i="1"/>
  <c r="Z347" i="1"/>
  <c r="Z371" i="1"/>
  <c r="Z443" i="1"/>
  <c r="Z515" i="1"/>
  <c r="Z587" i="1"/>
  <c r="Z659" i="1"/>
  <c r="Z745" i="1"/>
  <c r="Z817" i="1"/>
  <c r="Z1150" i="1"/>
  <c r="Z1222" i="1"/>
  <c r="Z1558" i="1"/>
  <c r="Z1606" i="1"/>
  <c r="Z1667" i="1"/>
  <c r="Z1762" i="1"/>
  <c r="Z1857" i="1"/>
  <c r="Z1977" i="1"/>
  <c r="Z2203" i="1"/>
  <c r="Z2227" i="1"/>
  <c r="Z2251" i="1"/>
  <c r="Z2275" i="1"/>
  <c r="Z2299" i="1"/>
  <c r="Z2323" i="1"/>
  <c r="Z2347" i="1"/>
  <c r="Z2580" i="1"/>
  <c r="Z2628" i="1"/>
  <c r="Z201" i="1"/>
  <c r="Z479" i="1"/>
  <c r="Z599" i="1"/>
  <c r="Z635" i="1"/>
  <c r="Z841" i="1"/>
  <c r="Z877" i="1"/>
  <c r="Z1905" i="1"/>
  <c r="Z2604" i="1"/>
  <c r="Z240" i="1"/>
  <c r="Z264" i="1"/>
  <c r="Z288" i="1"/>
  <c r="Z312" i="1"/>
  <c r="Z336" i="1"/>
  <c r="Z348" i="1"/>
  <c r="Z372" i="1"/>
  <c r="Z444" i="1"/>
  <c r="Z516" i="1"/>
  <c r="Z588" i="1"/>
  <c r="Z660" i="1"/>
  <c r="Z732" i="1"/>
  <c r="Z818" i="1"/>
  <c r="Z947" i="1"/>
  <c r="Z1019" i="1"/>
  <c r="Z1091" i="1"/>
  <c r="Z1163" i="1"/>
  <c r="Z1235" i="1"/>
  <c r="Z1307" i="1"/>
  <c r="Z1379" i="1"/>
  <c r="Z1451" i="1"/>
  <c r="Z1559" i="1"/>
  <c r="Z1571" i="1"/>
  <c r="Z1656" i="1"/>
  <c r="Z1692" i="1"/>
  <c r="Z1751" i="1"/>
  <c r="Z1787" i="1"/>
  <c r="Z1846" i="1"/>
  <c r="Z1966" i="1"/>
  <c r="Z2014" i="1"/>
  <c r="Z2038" i="1"/>
  <c r="Z2110" i="1"/>
  <c r="Z2182" i="1"/>
  <c r="Z2240" i="1"/>
  <c r="Z2264" i="1"/>
  <c r="Z2312" i="1"/>
  <c r="Z2336" i="1"/>
  <c r="Z2360" i="1"/>
  <c r="Z2653" i="1"/>
  <c r="Z202" i="1"/>
  <c r="Z480" i="1"/>
  <c r="Z636" i="1"/>
  <c r="Z878" i="1"/>
  <c r="Z1102" i="1"/>
  <c r="Z1655" i="1"/>
  <c r="Z2472" i="1"/>
  <c r="Z2605" i="1"/>
  <c r="Z2629" i="1"/>
  <c r="Z155" i="1"/>
  <c r="Z167" i="1"/>
  <c r="Z179" i="1"/>
  <c r="Z191" i="1"/>
  <c r="Z203" i="1"/>
  <c r="Z385" i="1"/>
  <c r="Z457" i="1"/>
  <c r="Z529" i="1"/>
  <c r="Z601" i="1"/>
  <c r="Z673" i="1"/>
  <c r="Z747" i="1"/>
  <c r="Z759" i="1"/>
  <c r="Z771" i="1"/>
  <c r="Z783" i="1"/>
  <c r="Z795" i="1"/>
  <c r="Z807" i="1"/>
  <c r="Z819" i="1"/>
  <c r="Z831" i="1"/>
  <c r="Z843" i="1"/>
  <c r="Z855" i="1"/>
  <c r="Z867" i="1"/>
  <c r="Z879" i="1"/>
  <c r="Z948" i="1"/>
  <c r="Z1020" i="1"/>
  <c r="Z1092" i="1"/>
  <c r="Z1164" i="1"/>
  <c r="Z1236" i="1"/>
  <c r="Z1308" i="1"/>
  <c r="Z1380" i="1"/>
  <c r="Z1452" i="1"/>
  <c r="Z1560" i="1"/>
  <c r="Z1572" i="1"/>
  <c r="Z1584" i="1"/>
  <c r="Z1657" i="1"/>
  <c r="Z1693" i="1"/>
  <c r="Z1752" i="1"/>
  <c r="Z1764" i="1"/>
  <c r="Z1776" i="1"/>
  <c r="Z1788" i="1"/>
  <c r="Z1871" i="1"/>
  <c r="Z1883" i="1"/>
  <c r="Z1919" i="1"/>
  <c r="Z1967" i="1"/>
  <c r="Z2015" i="1"/>
  <c r="Z2051" i="1"/>
  <c r="Z2075" i="1"/>
  <c r="Z2111" i="1"/>
  <c r="Z2123" i="1"/>
  <c r="Z2147" i="1"/>
  <c r="Z2171" i="1"/>
  <c r="Z2183" i="1"/>
  <c r="Z2205" i="1"/>
  <c r="Z2217" i="1"/>
  <c r="Z2241" i="1"/>
  <c r="Z2265" i="1"/>
  <c r="Z2277" i="1"/>
  <c r="Z2313" i="1"/>
  <c r="Z2404" i="1"/>
  <c r="Z2428" i="1"/>
  <c r="Z2440" i="1"/>
  <c r="Z2452" i="1"/>
  <c r="Z2486" i="1"/>
  <c r="Z2498" i="1"/>
  <c r="Z2522" i="1"/>
  <c r="Z2546" i="1"/>
  <c r="Z2570" i="1"/>
  <c r="Z2594" i="1"/>
  <c r="Z2618" i="1"/>
  <c r="Z2642" i="1"/>
  <c r="Z2654" i="1"/>
  <c r="Z103" i="1"/>
  <c r="Z189" i="1"/>
  <c r="Z277" i="1"/>
  <c r="Z349" i="1"/>
  <c r="Z395" i="1"/>
  <c r="Z431" i="1"/>
  <c r="Z481" i="1"/>
  <c r="Z517" i="1"/>
  <c r="Z551" i="1"/>
  <c r="Z637" i="1"/>
  <c r="Z671" i="1"/>
  <c r="Z707" i="1"/>
  <c r="Z757" i="1"/>
  <c r="Z793" i="1"/>
  <c r="Z913" i="1"/>
  <c r="Z949" i="1"/>
  <c r="Z983" i="1"/>
  <c r="Z1069" i="1"/>
  <c r="Z1103" i="1"/>
  <c r="Z1139" i="1"/>
  <c r="Z1189" i="1"/>
  <c r="Z1225" i="1"/>
  <c r="Z1259" i="1"/>
  <c r="Z1295" i="1"/>
  <c r="Z1345" i="1"/>
  <c r="Z1381" i="1"/>
  <c r="Z1415" i="1"/>
  <c r="Z1634" i="1"/>
  <c r="Z1658" i="1"/>
  <c r="Z1680" i="1"/>
  <c r="Z1703" i="1"/>
  <c r="Z1860" i="1"/>
  <c r="Z1884" i="1"/>
  <c r="Z1907" i="1"/>
  <c r="Z1929" i="1"/>
  <c r="Z1953" i="1"/>
  <c r="Z2064" i="1"/>
  <c r="Z2086" i="1"/>
  <c r="Z2112" i="1"/>
  <c r="Z2133" i="1"/>
  <c r="Z2157" i="1"/>
  <c r="Z2290" i="1"/>
  <c r="Z2314" i="1"/>
  <c r="Z2337" i="1"/>
  <c r="Z2361" i="1"/>
  <c r="Z2402" i="1"/>
  <c r="Z2473" i="1"/>
  <c r="Z2606" i="1"/>
  <c r="Z2630" i="1"/>
  <c r="Z251" i="1"/>
  <c r="Z275" i="1"/>
  <c r="Z299" i="1"/>
  <c r="Z323" i="1"/>
  <c r="Z359" i="1"/>
  <c r="Z731" i="1"/>
  <c r="Z934" i="1"/>
  <c r="Z1006" i="1"/>
  <c r="Z1078" i="1"/>
  <c r="Z1294" i="1"/>
  <c r="Z1366" i="1"/>
  <c r="Z1438" i="1"/>
  <c r="Z1546" i="1"/>
  <c r="Z1715" i="1"/>
  <c r="Z1750" i="1"/>
  <c r="Z1845" i="1"/>
  <c r="Z1941" i="1"/>
  <c r="Z1965" i="1"/>
  <c r="Z2013" i="1"/>
  <c r="Z2061" i="1"/>
  <c r="Z2109" i="1"/>
  <c r="Z2215" i="1"/>
  <c r="Z2239" i="1"/>
  <c r="Z2263" i="1"/>
  <c r="Z2287" i="1"/>
  <c r="Z2311" i="1"/>
  <c r="Z2335" i="1"/>
  <c r="Z2359" i="1"/>
  <c r="Z2426" i="1"/>
  <c r="Z2484" i="1"/>
  <c r="Z2532" i="1"/>
  <c r="Z2556" i="1"/>
  <c r="Z2640" i="1"/>
  <c r="Z252" i="1"/>
  <c r="Z276" i="1"/>
  <c r="Z300" i="1"/>
  <c r="Z324" i="1"/>
  <c r="Z360" i="1"/>
  <c r="Z746" i="1"/>
  <c r="Z1607" i="1"/>
  <c r="Z1668" i="1"/>
  <c r="Z1822" i="1"/>
  <c r="Z1882" i="1"/>
  <c r="Z1894" i="1"/>
  <c r="Z1918" i="1"/>
  <c r="Z2122" i="1"/>
  <c r="Z2146" i="1"/>
  <c r="Z2170" i="1"/>
  <c r="Z2204" i="1"/>
  <c r="Z2300" i="1"/>
  <c r="Z2451" i="1"/>
  <c r="Z2485" i="1"/>
  <c r="Z2581" i="1"/>
  <c r="Z2593" i="1"/>
  <c r="Z2617" i="1"/>
  <c r="Z2641" i="1"/>
  <c r="Z600" i="1"/>
  <c r="Z842" i="1"/>
  <c r="Z946" i="1"/>
  <c r="Z982" i="1"/>
  <c r="Z1138" i="1"/>
  <c r="Z1258" i="1"/>
  <c r="Z1378" i="1"/>
  <c r="Z1414" i="1"/>
  <c r="Z1679" i="1"/>
  <c r="Z1881" i="1"/>
  <c r="Z1906" i="1"/>
  <c r="Z2085" i="1"/>
  <c r="Z156" i="1"/>
  <c r="Z168" i="1"/>
  <c r="Z180" i="1"/>
  <c r="Z192" i="1"/>
  <c r="Z204" i="1"/>
  <c r="Z386" i="1"/>
  <c r="Z458" i="1"/>
  <c r="Z530" i="1"/>
  <c r="Z602" i="1"/>
  <c r="Z674" i="1"/>
  <c r="Z748" i="1"/>
  <c r="Z760" i="1"/>
  <c r="Z772" i="1"/>
  <c r="Z784" i="1"/>
  <c r="Z796" i="1"/>
  <c r="Z808" i="1"/>
  <c r="Z820" i="1"/>
  <c r="Z832" i="1"/>
  <c r="Z844" i="1"/>
  <c r="Z856" i="1"/>
  <c r="Z868" i="1"/>
  <c r="Z880" i="1"/>
  <c r="Z961" i="1"/>
  <c r="Z1033" i="1"/>
  <c r="Z1105" i="1"/>
  <c r="Z1177" i="1"/>
  <c r="Z1249" i="1"/>
  <c r="Z1321" i="1"/>
  <c r="Z1393" i="1"/>
  <c r="Z1465" i="1"/>
  <c r="Z1561" i="1"/>
  <c r="Z1585" i="1"/>
  <c r="Z1597" i="1"/>
  <c r="Z1622" i="1"/>
  <c r="Z1682" i="1"/>
  <c r="Z1694" i="1"/>
  <c r="Z1706" i="1"/>
  <c r="Z1729" i="1"/>
  <c r="Z1777" i="1"/>
  <c r="Z1824" i="1"/>
  <c r="Z1836" i="1"/>
  <c r="Z1872" i="1"/>
  <c r="Z1908" i="1"/>
  <c r="Z1920" i="1"/>
  <c r="Z1980" i="1"/>
  <c r="Z2016" i="1"/>
  <c r="Z2028" i="1"/>
  <c r="Z2052" i="1"/>
  <c r="Z2076" i="1"/>
  <c r="Z2088" i="1"/>
  <c r="Z2124" i="1"/>
  <c r="Z2184" i="1"/>
  <c r="Z2218" i="1"/>
  <c r="Z2242" i="1"/>
  <c r="Z2254" i="1"/>
  <c r="Z2278" i="1"/>
  <c r="Z2326" i="1"/>
  <c r="Z2405" i="1"/>
  <c r="Z2417" i="1"/>
  <c r="Z2429" i="1"/>
  <c r="Z2441" i="1"/>
  <c r="Z2453" i="1"/>
  <c r="Z2487" i="1"/>
  <c r="Z2499" i="1"/>
  <c r="Z2523" i="1"/>
  <c r="Z2547" i="1"/>
  <c r="Z2559" i="1"/>
  <c r="Z2655" i="1"/>
  <c r="Z76" i="1"/>
  <c r="Z104" i="1"/>
  <c r="Z190" i="1"/>
  <c r="Z278" i="1"/>
  <c r="Z350" i="1"/>
  <c r="Z396" i="1"/>
  <c r="Z432" i="1"/>
  <c r="Z482" i="1"/>
  <c r="Z518" i="1"/>
  <c r="Z552" i="1"/>
  <c r="Z638" i="1"/>
  <c r="Z672" i="1"/>
  <c r="Z708" i="1"/>
  <c r="Z758" i="1"/>
  <c r="Z794" i="1"/>
  <c r="Z898" i="1"/>
  <c r="Z984" i="1"/>
  <c r="Z1018" i="1"/>
  <c r="Z1054" i="1"/>
  <c r="Z1104" i="1"/>
  <c r="Z1140" i="1"/>
  <c r="Z1174" i="1"/>
  <c r="Z1210" i="1"/>
  <c r="Z1260" i="1"/>
  <c r="Z1296" i="1"/>
  <c r="Z1330" i="1"/>
  <c r="Z1416" i="1"/>
  <c r="Z1450" i="1"/>
  <c r="Z1681" i="1"/>
  <c r="Z1704" i="1"/>
  <c r="Z1726" i="1"/>
  <c r="Z1930" i="1"/>
  <c r="Z1954" i="1"/>
  <c r="Z2001" i="1"/>
  <c r="Z2087" i="1"/>
  <c r="Z2134" i="1"/>
  <c r="Z2158" i="1"/>
  <c r="Z2338" i="1"/>
  <c r="Z2362" i="1"/>
  <c r="Z2403" i="1"/>
  <c r="Z2427" i="1"/>
  <c r="Z2450" i="1"/>
  <c r="Z2474" i="1"/>
  <c r="Z2607" i="1"/>
  <c r="Z2631" i="1"/>
  <c r="Z2652" i="1"/>
  <c r="Z2505" i="1"/>
  <c r="Z2541" i="1"/>
  <c r="Z2517" i="1"/>
  <c r="Z2625" i="1"/>
  <c r="Z2601" i="1"/>
  <c r="Z2637" i="1"/>
  <c r="Y57" i="1" l="1"/>
  <c r="Y54" i="1"/>
  <c r="Y55" i="1"/>
  <c r="Y53" i="1"/>
  <c r="Y58" i="1"/>
  <c r="Y60" i="1"/>
  <c r="Y59" i="1"/>
  <c r="Y56" i="1"/>
  <c r="Y50" i="1"/>
  <c r="Y52" i="1"/>
  <c r="Y49" i="1"/>
  <c r="Y51" i="1"/>
  <c r="Y48" i="1"/>
  <c r="Y47" i="1"/>
  <c r="Y36" i="1"/>
  <c r="Y35" i="1"/>
  <c r="Y34" i="1"/>
  <c r="Y7" i="1"/>
  <c r="Y5" i="1"/>
  <c r="Y6" i="1"/>
  <c r="Y8" i="1"/>
  <c r="Y42" i="1"/>
  <c r="Y40" i="1"/>
  <c r="Y41" i="1"/>
  <c r="Y39" i="1"/>
  <c r="Y38" i="1"/>
  <c r="Y37" i="1"/>
  <c r="Y19" i="1"/>
  <c r="Y17" i="1"/>
  <c r="Y18" i="1"/>
  <c r="Y16" i="1"/>
  <c r="Y21" i="1"/>
  <c r="Y20" i="1"/>
  <c r="Y33" i="1"/>
  <c r="Y31" i="1"/>
  <c r="Y32" i="1"/>
  <c r="Y4" i="1"/>
  <c r="Y3" i="1"/>
  <c r="Y46" i="1"/>
  <c r="Y44" i="1"/>
  <c r="Y45" i="1"/>
  <c r="Y43" i="1"/>
  <c r="Y24" i="1"/>
  <c r="Y30" i="1"/>
  <c r="Y25" i="1"/>
  <c r="Y29" i="1"/>
  <c r="Y28" i="1"/>
  <c r="Y26" i="1"/>
  <c r="Y27" i="1"/>
  <c r="Y22" i="1"/>
  <c r="Y23" i="1"/>
  <c r="Y14" i="1"/>
  <c r="Y13" i="1"/>
  <c r="Y15" i="1"/>
  <c r="Y9" i="1"/>
  <c r="Y12" i="1"/>
  <c r="Y11" i="1"/>
  <c r="Y10" i="1"/>
  <c r="Z26" i="1" l="1"/>
  <c r="Z32" i="1"/>
  <c r="Z41" i="1"/>
  <c r="Z51" i="1"/>
  <c r="Z28" i="1"/>
  <c r="Z31" i="1"/>
  <c r="Z40" i="1"/>
  <c r="Z49" i="1"/>
  <c r="Z10" i="1"/>
  <c r="Z29" i="1"/>
  <c r="Z33" i="1"/>
  <c r="Z42" i="1"/>
  <c r="Z52" i="1"/>
  <c r="Z11" i="1"/>
  <c r="Z25" i="1"/>
  <c r="Z20" i="1"/>
  <c r="Z8" i="1"/>
  <c r="Z50" i="1"/>
  <c r="Z12" i="1"/>
  <c r="Z30" i="1"/>
  <c r="Z21" i="1"/>
  <c r="Z6" i="1"/>
  <c r="Z56" i="1"/>
  <c r="Z9" i="1"/>
  <c r="Z24" i="1"/>
  <c r="Z16" i="1"/>
  <c r="Z5" i="1"/>
  <c r="Z59" i="1"/>
  <c r="Z15" i="1"/>
  <c r="Z43" i="1"/>
  <c r="Z18" i="1"/>
  <c r="Z7" i="1"/>
  <c r="Z60" i="1"/>
  <c r="Z13" i="1"/>
  <c r="Z45" i="1"/>
  <c r="Z17" i="1"/>
  <c r="Z34" i="1"/>
  <c r="Z58" i="1"/>
  <c r="Z14" i="1"/>
  <c r="Z44" i="1"/>
  <c r="Z19" i="1"/>
  <c r="Z35" i="1"/>
  <c r="Z53" i="1"/>
  <c r="Z23" i="1"/>
  <c r="Z46" i="1"/>
  <c r="Z37" i="1"/>
  <c r="Z36" i="1"/>
  <c r="Z55" i="1"/>
  <c r="Z22" i="1"/>
  <c r="Z3" i="1"/>
  <c r="Z38" i="1"/>
  <c r="Z47" i="1"/>
  <c r="Z54" i="1"/>
  <c r="Z27" i="1"/>
  <c r="Z4" i="1"/>
  <c r="Z39" i="1"/>
  <c r="Z48" i="1"/>
  <c r="Z57" i="1"/>
  <c r="Y85" i="1" l="1"/>
  <c r="Y1814" i="1"/>
  <c r="Y1484" i="1"/>
  <c r="Z1484" i="1" l="1"/>
  <c r="Z85" i="1"/>
  <c r="Z1814" i="1"/>
  <c r="Y1489" i="1"/>
  <c r="Y1486" i="1"/>
  <c r="Y1485" i="1"/>
  <c r="Y1494" i="1"/>
  <c r="Y1493" i="1"/>
  <c r="Y1492" i="1"/>
  <c r="Y1491" i="1"/>
  <c r="Y1490" i="1"/>
  <c r="Y1487" i="1"/>
  <c r="Y1488" i="1"/>
  <c r="Y2465" i="1"/>
  <c r="Y2464" i="1"/>
  <c r="Y2463" i="1"/>
  <c r="Y2462" i="1"/>
  <c r="Y2187" i="1"/>
  <c r="Y2186" i="1"/>
  <c r="Y2185" i="1"/>
  <c r="Y2193" i="1"/>
  <c r="Y2192" i="1"/>
  <c r="Y2191" i="1"/>
  <c r="Y2190" i="1"/>
  <c r="Y2189" i="1"/>
  <c r="Y2188" i="1"/>
  <c r="Y2194" i="1"/>
  <c r="Y1808" i="1"/>
  <c r="Y1798" i="1"/>
  <c r="Y1797" i="1"/>
  <c r="Y1807" i="1"/>
  <c r="Y1806" i="1"/>
  <c r="Y1796" i="1"/>
  <c r="Y1805" i="1"/>
  <c r="Y1812" i="1"/>
  <c r="Y1795" i="1"/>
  <c r="Y1804" i="1"/>
  <c r="Y1794" i="1"/>
  <c r="Y1811" i="1"/>
  <c r="Y1810" i="1"/>
  <c r="Y1809" i="1"/>
  <c r="Y1800" i="1"/>
  <c r="Y1799" i="1"/>
  <c r="Y1803" i="1"/>
  <c r="Y1801" i="1"/>
  <c r="Y1813" i="1"/>
  <c r="Y1802" i="1"/>
  <c r="Y2378" i="1"/>
  <c r="Y2377" i="1"/>
  <c r="Y2376" i="1"/>
  <c r="Y2375" i="1"/>
  <c r="Y2382" i="1"/>
  <c r="Y2374" i="1"/>
  <c r="Y2381" i="1"/>
  <c r="Y2380" i="1"/>
  <c r="Y2379" i="1"/>
  <c r="Y2373" i="1"/>
  <c r="Y885" i="1"/>
  <c r="Y884" i="1"/>
  <c r="Y882" i="1"/>
  <c r="Y883" i="1"/>
  <c r="Y889" i="1"/>
  <c r="Y890" i="1"/>
  <c r="Y888" i="1"/>
  <c r="Y886" i="1"/>
  <c r="Y887" i="1"/>
  <c r="Y226" i="1"/>
  <c r="Y225" i="1"/>
  <c r="Y224" i="1"/>
  <c r="Y737" i="1"/>
  <c r="Y736" i="1"/>
  <c r="Y2398" i="1"/>
  <c r="Y2388" i="1"/>
  <c r="Y2397" i="1"/>
  <c r="Y2387" i="1"/>
  <c r="Y2396" i="1"/>
  <c r="Y2386" i="1"/>
  <c r="Y2395" i="1"/>
  <c r="Y2385" i="1"/>
  <c r="Y2394" i="1"/>
  <c r="Y2384" i="1"/>
  <c r="Y2392" i="1"/>
  <c r="Y2393" i="1"/>
  <c r="Y2389" i="1"/>
  <c r="Y2383" i="1"/>
  <c r="Y2390" i="1"/>
  <c r="Y2391" i="1"/>
  <c r="Y214" i="1"/>
  <c r="Y219" i="1"/>
  <c r="Y217" i="1"/>
  <c r="Y218" i="1"/>
  <c r="Y215" i="1"/>
  <c r="Y216" i="1"/>
  <c r="Y220" i="1"/>
  <c r="Y1793" i="1"/>
  <c r="Y1792" i="1"/>
  <c r="Y1621" i="1"/>
  <c r="Y1611" i="1"/>
  <c r="Y1618" i="1"/>
  <c r="Y1609" i="1"/>
  <c r="Y118" i="1"/>
  <c r="Y1617" i="1"/>
  <c r="Y111" i="1"/>
  <c r="Y1615" i="1"/>
  <c r="Y1616" i="1"/>
  <c r="Y110" i="1"/>
  <c r="Y109" i="1"/>
  <c r="Y1613" i="1"/>
  <c r="Y1612" i="1"/>
  <c r="Y1614" i="1"/>
  <c r="Y108" i="1"/>
  <c r="Y1610" i="1"/>
  <c r="Y112" i="1"/>
  <c r="Y1620" i="1"/>
  <c r="Y117" i="1"/>
  <c r="Y115" i="1"/>
  <c r="Y113" i="1"/>
  <c r="Y116" i="1"/>
  <c r="Y114" i="1"/>
  <c r="Y1619" i="1"/>
  <c r="Y234" i="1"/>
  <c r="Y231" i="1"/>
  <c r="Y232" i="1"/>
  <c r="Y227" i="1"/>
  <c r="Y230" i="1"/>
  <c r="Y229" i="1"/>
  <c r="Y228" i="1"/>
  <c r="Y239" i="1"/>
  <c r="Y238" i="1"/>
  <c r="Y237" i="1"/>
  <c r="Y236" i="1"/>
  <c r="Y233" i="1"/>
  <c r="Y235" i="1"/>
  <c r="Y2459" i="1"/>
  <c r="Y2458" i="1"/>
  <c r="Y2457" i="1"/>
  <c r="Y2456" i="1"/>
  <c r="Y2461" i="1"/>
  <c r="Y2460" i="1"/>
  <c r="Y84" i="1"/>
  <c r="Y83" i="1"/>
  <c r="Y143" i="1"/>
  <c r="Y140" i="1"/>
  <c r="Y142" i="1"/>
  <c r="Y137" i="1"/>
  <c r="Y141" i="1"/>
  <c r="Y136" i="1"/>
  <c r="Y139" i="1"/>
  <c r="Y138" i="1"/>
  <c r="Y1483" i="1"/>
  <c r="Y1482" i="1"/>
  <c r="Y223" i="1"/>
  <c r="Y221" i="1"/>
  <c r="Y222" i="1"/>
  <c r="Y147" i="1"/>
  <c r="Y146" i="1"/>
  <c r="Y145" i="1"/>
  <c r="Y144" i="1"/>
  <c r="Y149" i="1"/>
  <c r="Y148" i="1"/>
  <c r="Y150" i="1"/>
  <c r="Y2368" i="1"/>
  <c r="Y2372" i="1"/>
  <c r="Y2371" i="1"/>
  <c r="Y2370" i="1"/>
  <c r="Y2369" i="1"/>
  <c r="Y1534" i="1"/>
  <c r="Y1525" i="1"/>
  <c r="Y1516" i="1"/>
  <c r="Y1506" i="1"/>
  <c r="Y1497" i="1"/>
  <c r="Y1541" i="1"/>
  <c r="Y1532" i="1"/>
  <c r="Y1523" i="1"/>
  <c r="Y1513" i="1"/>
  <c r="Y1504" i="1"/>
  <c r="Y1512" i="1"/>
  <c r="Y1531" i="1"/>
  <c r="Y1495" i="1"/>
  <c r="Y1535" i="1"/>
  <c r="Y1522" i="1"/>
  <c r="Y1498" i="1"/>
  <c r="Y1520" i="1"/>
  <c r="Y1496" i="1"/>
  <c r="Y1505" i="1"/>
  <c r="Y1503" i="1"/>
  <c r="Y1533" i="1"/>
  <c r="Y1521" i="1"/>
  <c r="Y1509" i="1"/>
  <c r="Y1508" i="1"/>
  <c r="Y1529" i="1"/>
  <c r="Y1540" i="1"/>
  <c r="Y1530" i="1"/>
  <c r="Y1519" i="1"/>
  <c r="Y1507" i="1"/>
  <c r="Y1518" i="1"/>
  <c r="Y1517" i="1"/>
  <c r="Y1528" i="1"/>
  <c r="Y1499" i="1"/>
  <c r="Y1510" i="1"/>
  <c r="Y1537" i="1"/>
  <c r="Y1500" i="1"/>
  <c r="Y1524" i="1"/>
  <c r="Y1539" i="1"/>
  <c r="Y1538" i="1"/>
  <c r="Y1536" i="1"/>
  <c r="Y1527" i="1"/>
  <c r="Y1515" i="1"/>
  <c r="Y1511" i="1"/>
  <c r="Y1501" i="1"/>
  <c r="Y1526" i="1"/>
  <c r="Y1514" i="1"/>
  <c r="Y1502" i="1"/>
  <c r="Z1537" i="1" l="1"/>
  <c r="Z1512" i="1"/>
  <c r="Z83" i="1"/>
  <c r="Z113" i="1"/>
  <c r="Z1616" i="1"/>
  <c r="Z2384" i="1"/>
  <c r="Z2373" i="1"/>
  <c r="Z1796" i="1"/>
  <c r="Z1492" i="1"/>
  <c r="Z1521" i="1"/>
  <c r="Z2371" i="1"/>
  <c r="Z84" i="1"/>
  <c r="Z115" i="1"/>
  <c r="Z215" i="1"/>
  <c r="Z225" i="1"/>
  <c r="Z1803" i="1"/>
  <c r="Z1806" i="1"/>
  <c r="Z1493" i="1"/>
  <c r="Z1499" i="1"/>
  <c r="Z1513" i="1"/>
  <c r="Z2460" i="1"/>
  <c r="Z117" i="1"/>
  <c r="Z218" i="1"/>
  <c r="Z226" i="1"/>
  <c r="Z1799" i="1"/>
  <c r="Z2186" i="1"/>
  <c r="Z1528" i="1"/>
  <c r="Z1523" i="1"/>
  <c r="Z1483" i="1"/>
  <c r="Z229" i="1"/>
  <c r="Z1617" i="1"/>
  <c r="Z2395" i="1"/>
  <c r="Z1800" i="1"/>
  <c r="Z1797" i="1"/>
  <c r="Z1485" i="1"/>
  <c r="Z1517" i="1"/>
  <c r="Z1532" i="1"/>
  <c r="Z138" i="1"/>
  <c r="Z230" i="1"/>
  <c r="Z112" i="1"/>
  <c r="Z2386" i="1"/>
  <c r="Z2374" i="1"/>
  <c r="Z1798" i="1"/>
  <c r="Z1486" i="1"/>
  <c r="Z1518" i="1"/>
  <c r="Z1541" i="1"/>
  <c r="Z139" i="1"/>
  <c r="Z227" i="1"/>
  <c r="Z1609" i="1"/>
  <c r="Z2396" i="1"/>
  <c r="Z2382" i="1"/>
  <c r="Z1808" i="1"/>
  <c r="Z1489" i="1"/>
  <c r="Z1520" i="1"/>
  <c r="Z1497" i="1"/>
  <c r="Z136" i="1"/>
  <c r="Z232" i="1"/>
  <c r="Z108" i="1"/>
  <c r="Z2391" i="1"/>
  <c r="Z890" i="1"/>
  <c r="Z1811" i="1"/>
  <c r="Z2464" i="1"/>
  <c r="Z1536" i="1"/>
  <c r="Z1498" i="1"/>
  <c r="Z144" i="1"/>
  <c r="Z141" i="1"/>
  <c r="Z231" i="1"/>
  <c r="Z1611" i="1"/>
  <c r="Z2397" i="1"/>
  <c r="Z2376" i="1"/>
  <c r="Z2465" i="1"/>
  <c r="Z1538" i="1"/>
  <c r="Z1516" i="1"/>
  <c r="Z137" i="1"/>
  <c r="Z234" i="1"/>
  <c r="Z2383" i="1"/>
  <c r="Z883" i="1"/>
  <c r="Z1804" i="1"/>
  <c r="Z2189" i="1"/>
  <c r="Z1540" i="1"/>
  <c r="Z1525" i="1"/>
  <c r="Z142" i="1"/>
  <c r="Z233" i="1"/>
  <c r="Z1613" i="1"/>
  <c r="Z2389" i="1"/>
  <c r="Z882" i="1"/>
  <c r="Z1795" i="1"/>
  <c r="Z1487" i="1"/>
  <c r="Z1524" i="1"/>
  <c r="Z1529" i="1"/>
  <c r="Z1495" i="1"/>
  <c r="Z1534" i="1"/>
  <c r="Z147" i="1"/>
  <c r="Z140" i="1"/>
  <c r="Z236" i="1"/>
  <c r="Z114" i="1"/>
  <c r="Z109" i="1"/>
  <c r="Z1793" i="1"/>
  <c r="Z2393" i="1"/>
  <c r="Z736" i="1"/>
  <c r="Z884" i="1"/>
  <c r="Z1802" i="1"/>
  <c r="Z1812" i="1"/>
  <c r="Z2191" i="1"/>
  <c r="Z1490" i="1"/>
  <c r="Z1502" i="1"/>
  <c r="Z1509" i="1"/>
  <c r="Z2370" i="1"/>
  <c r="Z221" i="1"/>
  <c r="Z238" i="1"/>
  <c r="Z216" i="1"/>
  <c r="Z224" i="1"/>
  <c r="Z1801" i="1"/>
  <c r="Z2193" i="1"/>
  <c r="Z1514" i="1"/>
  <c r="Z1510" i="1"/>
  <c r="Z1504" i="1"/>
  <c r="Z223" i="1"/>
  <c r="Z239" i="1"/>
  <c r="Z1615" i="1"/>
  <c r="Z2394" i="1"/>
  <c r="Z2379" i="1"/>
  <c r="Z2185" i="1"/>
  <c r="Z1526" i="1"/>
  <c r="Z1533" i="1"/>
  <c r="Z2372" i="1"/>
  <c r="Z1482" i="1"/>
  <c r="Z228" i="1"/>
  <c r="Z111" i="1"/>
  <c r="Z2385" i="1"/>
  <c r="Z2380" i="1"/>
  <c r="Z1807" i="1"/>
  <c r="Z1494" i="1"/>
  <c r="Z1501" i="1"/>
  <c r="Z1503" i="1"/>
  <c r="Z2368" i="1"/>
  <c r="Z2461" i="1"/>
  <c r="Z1620" i="1"/>
  <c r="Z217" i="1"/>
  <c r="Z887" i="1"/>
  <c r="Z2381" i="1"/>
  <c r="Z2187" i="1"/>
  <c r="Z1511" i="1"/>
  <c r="Z1505" i="1"/>
  <c r="Z150" i="1"/>
  <c r="Z2456" i="1"/>
  <c r="Z118" i="1"/>
  <c r="Z219" i="1"/>
  <c r="Z886" i="1"/>
  <c r="Z1809" i="1"/>
  <c r="Z2462" i="1"/>
  <c r="Z1515" i="1"/>
  <c r="Z1496" i="1"/>
  <c r="Z148" i="1"/>
  <c r="Z2457" i="1"/>
  <c r="Z1610" i="1"/>
  <c r="Z214" i="1"/>
  <c r="Z888" i="1"/>
  <c r="Z1810" i="1"/>
  <c r="Z2463" i="1"/>
  <c r="Z1527" i="1"/>
  <c r="Z1507" i="1"/>
  <c r="Z149" i="1"/>
  <c r="Z2458" i="1"/>
  <c r="Z1618" i="1"/>
  <c r="Z2387" i="1"/>
  <c r="Z2375" i="1"/>
  <c r="Z2194" i="1"/>
  <c r="Z1519" i="1"/>
  <c r="Z1506" i="1"/>
  <c r="Z2459" i="1"/>
  <c r="Z1614" i="1"/>
  <c r="Z2390" i="1"/>
  <c r="Z889" i="1"/>
  <c r="Z1794" i="1"/>
  <c r="Z2188" i="1"/>
  <c r="Z1530" i="1"/>
  <c r="Z1522" i="1"/>
  <c r="Z145" i="1"/>
  <c r="Z235" i="1"/>
  <c r="Z1612" i="1"/>
  <c r="Z1621" i="1"/>
  <c r="Z2388" i="1"/>
  <c r="Z2377" i="1"/>
  <c r="Z1488" i="1"/>
  <c r="Z1539" i="1"/>
  <c r="Z1535" i="1"/>
  <c r="Z146" i="1"/>
  <c r="Z1619" i="1"/>
  <c r="Z1792" i="1"/>
  <c r="Z2398" i="1"/>
  <c r="Z2378" i="1"/>
  <c r="Z2190" i="1"/>
  <c r="Z1500" i="1"/>
  <c r="Z1508" i="1"/>
  <c r="Z1531" i="1"/>
  <c r="Z2369" i="1"/>
  <c r="Z222" i="1"/>
  <c r="Z143" i="1"/>
  <c r="Z237" i="1"/>
  <c r="Z116" i="1"/>
  <c r="Z110" i="1"/>
  <c r="Z220" i="1"/>
  <c r="Z2392" i="1"/>
  <c r="Z737" i="1"/>
  <c r="Z885" i="1"/>
  <c r="Z1813" i="1"/>
  <c r="Z1805" i="1"/>
  <c r="Z2192" i="1"/>
  <c r="Z1491" i="1"/>
  <c r="Z2662" i="1" l="1"/>
  <c r="S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X2662" i="1" l="1"/>
</calcChain>
</file>

<file path=xl/sharedStrings.xml><?xml version="1.0" encoding="utf-8"?>
<sst xmlns="http://schemas.openxmlformats.org/spreadsheetml/2006/main" count="18631" uniqueCount="1055">
  <si>
    <t>Date</t>
  </si>
  <si>
    <t>FNSKU</t>
  </si>
  <si>
    <t>ASIN</t>
  </si>
  <si>
    <t>MSKU</t>
  </si>
  <si>
    <t>Title</t>
  </si>
  <si>
    <t>Disposition</t>
  </si>
  <si>
    <t>Starting Warehouse Balance</t>
  </si>
  <si>
    <t>In Transit Between Warehouses</t>
  </si>
  <si>
    <t>Receipts</t>
  </si>
  <si>
    <t>Customer Shipments</t>
  </si>
  <si>
    <t>Customer Returns</t>
  </si>
  <si>
    <t>Vendor Returns</t>
  </si>
  <si>
    <t>Warehouse Transfer In/Out</t>
  </si>
  <si>
    <t>Found</t>
  </si>
  <si>
    <t>Lost</t>
  </si>
  <si>
    <t>Damaged</t>
  </si>
  <si>
    <t>Disposed</t>
  </si>
  <si>
    <t>Other Events</t>
  </si>
  <si>
    <t>Ending Warehouse Balance</t>
  </si>
  <si>
    <t>Unknown Events</t>
  </si>
  <si>
    <t>Location</t>
  </si>
  <si>
    <t>09/30/2025</t>
  </si>
  <si>
    <t>X002CNME3H</t>
  </si>
  <si>
    <t>B0FGDLXVRW</t>
  </si>
  <si>
    <t>PGK-AHBHPS60</t>
  </si>
  <si>
    <t>Pilgrim 25% AHA + 2% BHA + 5% PHA Peeling Solution 60ml For Face &amp; Body |10-Minute Facial At Home|Gentle Exfoliating Serum for Tan Removal |For Glowing Skin, Even Skin Tone, Pore Cleansing |Men, Women</t>
  </si>
  <si>
    <t>SELLABLE</t>
  </si>
  <si>
    <t>PNQ3</t>
  </si>
  <si>
    <t>X002CNYWNH</t>
  </si>
  <si>
    <t>B0FG877SY8</t>
  </si>
  <si>
    <t>PHD-2AADS1 P2</t>
  </si>
  <si>
    <t>/PHD/ 2% Alpha Arbutin Depigmentation Serum | Alpha Arbutin Serum for Pigmentation &amp; Dark Spots | Face Serum for Women &amp; Men with Tyrobrightâ„¢, Niacinamide | Formulated with Global Dermatologists |60ml</t>
  </si>
  <si>
    <t>DED4</t>
  </si>
  <si>
    <t>DEL4</t>
  </si>
  <si>
    <t>X002CO06K9</t>
  </si>
  <si>
    <t>B0FH2CSL8W</t>
  </si>
  <si>
    <t>PHD-PRFS1 P2</t>
  </si>
  <si>
    <t>/PHD/ 0.3% Retinol Face Serum with Bakuchiol &amp; Peptides | Retinol Serum for Face Anti Aging &amp; Wrinkles | Night Serum for Men &amp; Women | Reduces Fine Lines | For Oily, Dry &amp; Combination Skin | 60ml</t>
  </si>
  <si>
    <t>AMD2</t>
  </si>
  <si>
    <t>BOM5</t>
  </si>
  <si>
    <t>HYD8</t>
  </si>
  <si>
    <t>X002CO0NA7</t>
  </si>
  <si>
    <t>B0FG8D8NYY</t>
  </si>
  <si>
    <t>PHD-VCBM1 P3</t>
  </si>
  <si>
    <t>/PHD/Vitamin C Brightening Moisturizer | Vitamin C Cream for Face &amp; Glowing Skin | Brightening Moisturizer with Pentavitin, Ferulic Acid &amp; CoQ10 | For Men &amp; Women | Lightweight Day Cream | 150 g</t>
  </si>
  <si>
    <t>BLR7</t>
  </si>
  <si>
    <t>DEL5</t>
  </si>
  <si>
    <t>HYD3</t>
  </si>
  <si>
    <t>LKO1</t>
  </si>
  <si>
    <t>X002CO0NPH</t>
  </si>
  <si>
    <t>B0FG35B8FP</t>
  </si>
  <si>
    <t>PHD-2SAAAS1 P2</t>
  </si>
  <si>
    <t>/PHD/ 2% Salicylic Acid Anti-Acne Serum | Salicylic Acid Face Serum for Acne-Prone &amp; Oily Skin | Pore Minimizing serum with Niacinamide &amp; Peptides |Reduces Blackheads &amp; Excess Oil | Men &amp; Women I60 ml</t>
  </si>
  <si>
    <t>BOM7</t>
  </si>
  <si>
    <t>CJB1</t>
  </si>
  <si>
    <t>X002CO0NRZ</t>
  </si>
  <si>
    <t>B0FGDGJVXH</t>
  </si>
  <si>
    <t>PHD-2HAS1 P3</t>
  </si>
  <si>
    <t>/PHD/ 2% Hyaluronic Acid Dewy Skin Serum | Hyaluronic Acid Serum for Dehydrated, Dull &amp; Dry Skin | Hydrating Face Serum with PGA &amp; Panthenol | Deep Hydration &amp; Dewy Finish | Lightweight | 90 ml</t>
  </si>
  <si>
    <t>MAA4</t>
  </si>
  <si>
    <t>X002CO0O0L</t>
  </si>
  <si>
    <t>B0FG841QCK</t>
  </si>
  <si>
    <t>PHD-10VCBS1 P3</t>
  </si>
  <si>
    <t>/PHD/ 10% Vitamin C Brightening Serum | For Glowing skin, Oily skin, Dry skin | Dark Spots &amp; Uneven Tone Treatment | Face serum for Women &amp; Men | Formulated with Global Dermatologists | 90ml</t>
  </si>
  <si>
    <t>X002CO1IS3</t>
  </si>
  <si>
    <t>B0FFMV81C9</t>
  </si>
  <si>
    <t>PHD-2HAS1 P2</t>
  </si>
  <si>
    <t>Proven Honest Derma/PHD/ 2% Hyaluronic Acid Dewy Skin Serum I 1% PGA &amp; Panthenol Pack of 2 (30ml +30ml)</t>
  </si>
  <si>
    <t>X002CO1N8X</t>
  </si>
  <si>
    <t>B0FG8F5FD5</t>
  </si>
  <si>
    <t>PHD-VCBM1 P2</t>
  </si>
  <si>
    <t>/PHD/Vitamin C Brightening Moisturizer | Vitamin C Cream for Face &amp; Glowing Skin | Brightening Moisturizer with Pentavitin, Ferulic Acid &amp; CoQ10 | For Men &amp; Women | Lightweight Day Cream | 100 g</t>
  </si>
  <si>
    <t>X002CO1O4V</t>
  </si>
  <si>
    <t>B0FG89C4ZS</t>
  </si>
  <si>
    <t>PHD-2AADS1 P3</t>
  </si>
  <si>
    <t>/PHD/ 2% Alpha Arbutin Depigmentation Serum | Alpha Arbutin Serum for Pigmentation &amp; Dark Spots | Face Serum for Women &amp; Men with Tyrobrightâ„¢, Niacinamide | Formulated with Global Dermatologists |90ml</t>
  </si>
  <si>
    <t>X002CO1ODH</t>
  </si>
  <si>
    <t>B0FH2HZ6W2</t>
  </si>
  <si>
    <t>PHD-PRFS1 P3</t>
  </si>
  <si>
    <t>/PHD/ 0.3% Retinol Face Serum with Bakuchiol &amp; Peptides | Retinol Serum for Face Anti Aging &amp; Wrinkles | Night Serum for Men &amp; Women | Reduces Fine Lines | For Oily, Dry &amp; Combination Skin | 90ml</t>
  </si>
  <si>
    <t>X002CO2DWN</t>
  </si>
  <si>
    <t>B0FG388CVF</t>
  </si>
  <si>
    <t>PHD-2SAAAS1 P3</t>
  </si>
  <si>
    <t>/PHD/ 2% Salicylic Acid Anti-Acne Serum | Salicylic Acid Face Serum for Acne-Prone &amp; Oily Skin | Pore Minimizing serum with Niacinamide &amp; Peptides |Reduces Blackheads &amp; Excess Oil | Men &amp; Women I90 ml</t>
  </si>
  <si>
    <t>X002D1TEJ5</t>
  </si>
  <si>
    <t>B0FHDYM4B4</t>
  </si>
  <si>
    <t>PHD-CHC1</t>
  </si>
  <si>
    <t>/PHD/Ceramide Hydrating Cleanser with Hyaluronic Acid | Non-Drying Gel Face Wash for All Skin Types | Gently Cleanses, Hydrates &amp; Protects Skin Barrier | Fragrance-Free | 100ml</t>
  </si>
  <si>
    <t>DEL2</t>
  </si>
  <si>
    <t>X002D1XKQD</t>
  </si>
  <si>
    <t>B0FHBKWX6S</t>
  </si>
  <si>
    <t>PHD-1CC1</t>
  </si>
  <si>
    <t>/PHD/ 1% Ceramides Intensive Repair Cream 30ml | Eczema Cream for Face, Body &amp; Hands | Barrier Repair Cream | Anti Itch &amp; Itch Relief Cream | Ceramide for Very Dry, Irritated, Eczema-Prone Skin</t>
  </si>
  <si>
    <t>EXPIRED</t>
  </si>
  <si>
    <t>X002DOIQXH</t>
  </si>
  <si>
    <t>B097PXWMZ7</t>
  </si>
  <si>
    <t>PGKS-AVBSFWNC1</t>
  </si>
  <si>
    <t>Pilgrim Day &amp; Night Hydration Routine for Skin Brightening | Volcanic Lava Face Cleanser 100ml, Alpha Arbutin &amp; Vitamin C Face Serum 30ml &amp; Retinol Night Cream 50g | All Skin types | For Men &amp; Women</t>
  </si>
  <si>
    <t>X002DOIWRH</t>
  </si>
  <si>
    <t>B0CBMM5B9S</t>
  </si>
  <si>
    <t>CBPGKS-SCS2</t>
  </si>
  <si>
    <t>PILGRIM Korean Niacinamide 5% + Alpha Arbutin 1% Skin Clarifying Serum for acne &amp; acne marks | All Skin Types | For Men &amp; Women | Korean Skin Care | Vegan &amp; Cruelty-free | 30ml + 30ml (PACK OF 2)</t>
  </si>
  <si>
    <t>X002DOJQ1N</t>
  </si>
  <si>
    <t>B0FGDL8QCC</t>
  </si>
  <si>
    <t>PGK-AHBHPS10</t>
  </si>
  <si>
    <t>Pilgrim 25% AHA + 2% BHA + 5% PHA Peeling Solution 10ml For Face &amp; Body |10-Minute Facial At Home|Gentle Exfoliating Serum for Tan Removal |For Glowing Skin, Even Skin Tone, Pore Cleansing |Men, Women</t>
  </si>
  <si>
    <t>DEFECTIVE</t>
  </si>
  <si>
    <t>ATX1</t>
  </si>
  <si>
    <t>BOM4</t>
  </si>
  <si>
    <t>DED5</t>
  </si>
  <si>
    <t>FDLA</t>
  </si>
  <si>
    <t>FHYE</t>
  </si>
  <si>
    <t>ISK3</t>
  </si>
  <si>
    <t>JPX2</t>
  </si>
  <si>
    <t>WAREHOUSE_DAMAGED</t>
  </si>
  <si>
    <t>X001HUSZIJ</t>
  </si>
  <si>
    <t>B09PHCH19D</t>
  </si>
  <si>
    <t>PGJHM</t>
  </si>
  <si>
    <t>Pilgrim Korean Argan Oil Hair Mask For Dry &amp; Frizzy Hair With White Lotus And Camellia | Hair Mask For Smoothening Hair, Deep Conditioning And Hair Fall Control | For Men &amp; Women | 200Ml, 1 Count</t>
  </si>
  <si>
    <t>FCCB</t>
  </si>
  <si>
    <t>JPX1</t>
  </si>
  <si>
    <t>X001IJCFB7</t>
  </si>
  <si>
    <t>B09PRKWQPW</t>
  </si>
  <si>
    <t>PGK24KGFM1</t>
  </si>
  <si>
    <t>Pilgrim 24K Gold face mask for glowing skin | 24K Gold face pack for glowing skin, skin hydrating, boosts collagen and restoring skin radiance | For All Skin Types | For Men &amp; Women | 50gm</t>
  </si>
  <si>
    <t>CARRIER_DAMAGED</t>
  </si>
  <si>
    <t>X001IMML77</t>
  </si>
  <si>
    <t>B08RSDSR6W</t>
  </si>
  <si>
    <t>PGVFWFMTFSFMFC1</t>
  </si>
  <si>
    <t>PILGRIM French Red Vine Premium Face Care Kit with Face Wash &amp; Jute Kit Bag | Face Mask 100gm, Face Cream SPF 30 50gm, Face Scrub 50gm, Face Mist &amp; Toner 100ml | Men &amp; Women</t>
  </si>
  <si>
    <t>DISTRIBUTOR_DAMAGED</t>
  </si>
  <si>
    <t>X001IX4NB3</t>
  </si>
  <si>
    <t>B09HKRL9FD</t>
  </si>
  <si>
    <t>PGVFCNGC1</t>
  </si>
  <si>
    <t>PILGRIM French Red vine AM Pm Face Moisturizing Kit with Face Cream 50g and Night Gel Creme 50g for Men &amp; Women</t>
  </si>
  <si>
    <t>X001J568SV</t>
  </si>
  <si>
    <t>B09T7249BX</t>
  </si>
  <si>
    <t>PGSFFWASH1</t>
  </si>
  <si>
    <t>PILGRIM Spanish Squalane foaming face wash with Kiwi extracts &amp; Aloe for skin hydration|Face wash with brush|Non drying cleanser for face | Face wash for dry &amp; combination skin|For Men &amp; Women | 120ml</t>
  </si>
  <si>
    <t>X001J584BP</t>
  </si>
  <si>
    <t>B09TBJRXP3</t>
  </si>
  <si>
    <t>PGSROUESERUM1</t>
  </si>
  <si>
    <t>Pilgrim Squalane (Plant derived) under eye cream for dark circles for Wrinkles and Puffy Eyes | For Women &amp; men | With phyto-retinol &amp; caffeine | All skin types | 30 gm (Under Eye Roll-on | 15ml)</t>
  </si>
  <si>
    <t>X001J58AVT</t>
  </si>
  <si>
    <t>B09TBKQHW6</t>
  </si>
  <si>
    <t>PGSGSMASK1</t>
  </si>
  <si>
    <t>PILGRIM Spanish Squalane (Plant) Glow Sleeping Mask with alpha arbutin &amp; hyaluronic acid | Face pack for glowing skin &amp; skin hydration | For women &amp; men | Fragrance free | No parabens &amp; sulphates|50gm</t>
  </si>
  <si>
    <t>X001J58AW3</t>
  </si>
  <si>
    <t>B09TBBHMG6</t>
  </si>
  <si>
    <t>PGSGMOISTURIZER1</t>
  </si>
  <si>
    <t>Pilgrim Squalane Niacinamide &amp; Vitamin C Glow Moisturizer Cream for face | Moisturizer for dry skin hydration | Face moisturizer with vitamin c for glowing skin |Non-greasy | For Women and Men I 50 gm</t>
  </si>
  <si>
    <t>BLR5</t>
  </si>
  <si>
    <t>DED3</t>
  </si>
  <si>
    <t>X001JC8P6R</t>
  </si>
  <si>
    <t>B09998J3V9</t>
  </si>
  <si>
    <t>PGKHSP1</t>
  </si>
  <si>
    <t>Pilgrim Argan Oil Hair Serum Pack of 2 | Reduces frizz &amp; split ends | Makes hair silky &amp; shiny | Promotes hair growth | All Hair Types | Men &amp; Women 200ml</t>
  </si>
  <si>
    <t>X001JCD06H</t>
  </si>
  <si>
    <t>B09F9J2CRB</t>
  </si>
  <si>
    <t>PGKS-AHGSSHC01</t>
  </si>
  <si>
    <t>PILGRIM Korean Advanced Hair Growth Regime | Redensyl 3% &amp; Anagain 4% Hair Serum 50ml,Sulphate-Free Shampoo 200ml &amp; Hair Conditioner 200ml | For All Hair Types | For Men &amp; Women</t>
  </si>
  <si>
    <t>X001JCD071</t>
  </si>
  <si>
    <t>B08MWPGNHY</t>
  </si>
  <si>
    <t>PGKFWC1</t>
  </si>
  <si>
    <t>Pilgrim Volcanic Lava Ash Mild Face Wash Cleanser Pack of 2 (100ml x 100ml) for Deep Pore Cleansing, Oil Control, Pollution Defence,Dry, Oily and Acne Skin, Korean Beauty</t>
  </si>
  <si>
    <t>X001JCHIDX</t>
  </si>
  <si>
    <t>B09TFK6928</t>
  </si>
  <si>
    <t>PGVFSERUM1</t>
  </si>
  <si>
    <t>PILGRIM French Red Vine &amp; Hyaluronic acid serum with peptides | Red vine serum for face| For women &amp; men | All skin types | 30 ml</t>
  </si>
  <si>
    <t>CUSTOMER_DAMAGED</t>
  </si>
  <si>
    <t>X001JO49SX</t>
  </si>
  <si>
    <t>B09TDZBVGR</t>
  </si>
  <si>
    <t>PGSTMIST1</t>
  </si>
  <si>
    <t>PILGRIM Spanish Squalane Face Toner for glowing skin | Refreshes &amp; hydrates skin | Alcohol-free toner for open pores tightening|Toner for oily skin|Toner for acne prone skin | Toner for dry skin|100ml</t>
  </si>
  <si>
    <t>X001K8CUK7</t>
  </si>
  <si>
    <t>B09Z5SHKDG</t>
  </si>
  <si>
    <t>PGSUECREAM01</t>
  </si>
  <si>
    <t>Pilgrim Squalane (Plant derived) under eye cream for dark circles for women &amp; men with phyto-retinol &amp; caffeine| Under eye cream for wrinkles &amp; puffy eyes | Dark circle remover | All skin types |30 gm</t>
  </si>
  <si>
    <t>X001KGL4HT</t>
  </si>
  <si>
    <t>B09ZY2KMNB</t>
  </si>
  <si>
    <t>PGK24KGS20ML</t>
  </si>
  <si>
    <t>Pilgrim 24K Gold Face Serum With Niacinamide &amp; Hyaluronic Acid, Dewy Primer For Face Make-Up For All Skin Types, Korean Skin Care For Unisex, 20ml</t>
  </si>
  <si>
    <t>X001KH1MI9</t>
  </si>
  <si>
    <t>B0B14MF2NJ</t>
  </si>
  <si>
    <t>Pilgrim 24K Gold Beauty Oil for glowing skin, deep nourishing, anti aging, make up primer | 24K Gold Oil for smooth &amp; dewy finish | Beauty Elixir | For All Skin Types | For Men &amp; Women | 20 ml</t>
  </si>
  <si>
    <t>X001LVJG0P</t>
  </si>
  <si>
    <t>B0B77R2JH1</t>
  </si>
  <si>
    <t>PGSS-UMSST1</t>
  </si>
  <si>
    <t>Pilgrim Squalane ULTRA MATTE SUNSCREEN SPF 50 PA+++ for women &amp; men with Omega Ceramides &amp; Vitamin E | Broad spectrum, Non-greasy, No white cast | All skin types | 50 gm</t>
  </si>
  <si>
    <t>X001M39MRT</t>
  </si>
  <si>
    <t>B0B85DJZF9</t>
  </si>
  <si>
    <t>PGATT-10NBRS1</t>
  </si>
  <si>
    <t>Pilgrim Tea Tree &amp; 10% Niacinamide blemish-remover serum with Zinc PCA for acne prone skin | Acne scar reducing 10% Niacinamide serum for face | Women &amp; Men | 30 ml</t>
  </si>
  <si>
    <t>X001M39OY5</t>
  </si>
  <si>
    <t>B0B8DBZQRT</t>
  </si>
  <si>
    <t>PGATT-PT1</t>
  </si>
  <si>
    <t>Pilgrim Tea Tree &amp; 2% Niacinamide face toner for oily skin, acne &amp; blemish prone skin | Toner for open pores tightening, pore cleansing &amp; glowing skin | Women &amp; Men | 100 ml</t>
  </si>
  <si>
    <t>X001M39OYF</t>
  </si>
  <si>
    <t>B0B77FV249</t>
  </si>
  <si>
    <t>PGSL-BLSC1</t>
  </si>
  <si>
    <t>Pilgrim Spanish Squalane Lip Scrub (Blueberry) for Women &amp; Men for Smooth Lips | Lip Scrub for Dark Lips | Lip Scrub with Sugar &amp; Shea Butter for gentle exfoliation, hydrated, smooth &amp; soft lips| 8 gm</t>
  </si>
  <si>
    <t>X001M3DUDB</t>
  </si>
  <si>
    <t>B0B889679V</t>
  </si>
  <si>
    <t>PGSL-ELPRO1</t>
  </si>
  <si>
    <t>Pilgrim Spanish Squalane Lip Peel Roll-on with lactic acid &amp; hyaluronic acid |Squalane exfoliating lip peel for soft &amp; glossy lips | Hydrating dry &amp; flaky lips |Women &amp; Men's | 6 ml (Transparent)</t>
  </si>
  <si>
    <t>X001MMVPTX</t>
  </si>
  <si>
    <t>B0B8DJSQRM</t>
  </si>
  <si>
    <t>PGATT-NOM1</t>
  </si>
  <si>
    <t>Pilgrim Australian Tea Tree oil free moisturizer for face for oily &amp; acne prone skin with Hyaluronic acid &amp; CICA |Tea tree light non-oily moisturizer for face |Face moisturizer for women &amp; men | 80 gm</t>
  </si>
  <si>
    <t>X001MMZX7N</t>
  </si>
  <si>
    <t>B0B8D63GV6</t>
  </si>
  <si>
    <t>PGATT-PFWGT1</t>
  </si>
  <si>
    <t>Pilgrim 1% Salicylic Acid Gel Face Wash 100 ml | Gel Face Wash with CICA &amp; Tea Tree For Men &amp; Women, for Oily skin, Acne Prone Skin, Non Drying Cleanser for Face</t>
  </si>
  <si>
    <t>X001NVDW21</t>
  </si>
  <si>
    <t>B0BHKZN67F</t>
  </si>
  <si>
    <t>SAM-AVBS</t>
  </si>
  <si>
    <t>Pilgrim Korean 2% Alpha Arbutin &amp; 3% Vitamin C Brightening Face Serum (Mini - 5 ml) for glowing skin | Alpha arbutin face serum | All skin types | Women &amp; Men | Korean Skin Care | Vegan &amp; Cruelty-free</t>
  </si>
  <si>
    <t>X001ODS5F7</t>
  </si>
  <si>
    <t>B0BM61RZ9Z</t>
  </si>
  <si>
    <t>PGASC</t>
  </si>
  <si>
    <t>Pilgrim Amazonian PatuÃ¡ &amp; Keratin Hair Smoothing Conditioner-Unscented- For Dry &amp; Frizzy Hair With Sacha Inchi|Hair Conditioner For Smooth &amp; Silky Hair|Silicone Free|Women &amp; Men|200 Millilitre</t>
  </si>
  <si>
    <t>X001ODS6X3</t>
  </si>
  <si>
    <t>B0BM61RJKK</t>
  </si>
  <si>
    <t>PGASS</t>
  </si>
  <si>
    <t>Pilgrim Patua &amp; Keratin Hair SMOOTHENING SHAMPOO for Dry &amp; Frizzy hair | Sulphate &amp; Paraben free shampoo for Women &amp; Men | Hair Smoothening &amp; healthy scalp | 200 ml</t>
  </si>
  <si>
    <t>TJHX</t>
  </si>
  <si>
    <t>X001ODS8PT</t>
  </si>
  <si>
    <t>B0BM61BB79</t>
  </si>
  <si>
    <t>PGAHM</t>
  </si>
  <si>
    <t>PILGRIM Amazonian Patua &amp; Keratin Strengthening Hair Mask For Dry &amp; Frizzy Hair With Sacha Inchi For Women &amp; Men|Hair Mask For High Shine &amp; Hydration|Smoothening Hair| Silicon Free, 200 gram</t>
  </si>
  <si>
    <t>X001ODTD3Z</t>
  </si>
  <si>
    <t>B0BM61GWG4</t>
  </si>
  <si>
    <t>PGASSCRUB</t>
  </si>
  <si>
    <t>PILGRIM Amazonian PatuÃ¡ &amp; Aha Bha SCALP SCRUB for women &amp; men | Deep cleanse for healthy scalp | Gentle Exfoliating Scrub To Prevent Product Build-up | Silicon free | 100 ml</t>
  </si>
  <si>
    <t>X001OZDV31</t>
  </si>
  <si>
    <t>B0BM5ZCCJW</t>
  </si>
  <si>
    <t>PGASHS</t>
  </si>
  <si>
    <t>PILGRIM Amazonian PatuÃ¡ &amp; Hyaluronic Acid SMOOTHENING Hair Serum for dry and frizzy hair | Hydrates and detangles | Smoothens rough ends | Hair serum for women &amp; men| 100ml</t>
  </si>
  <si>
    <t>X001PV3IFP</t>
  </si>
  <si>
    <t>B0BS6FFWSG</t>
  </si>
  <si>
    <t>PGAVC-BSL1</t>
  </si>
  <si>
    <t>Pilgrim Australian Vitamin C Body Serum Lotion for dry skin with Kakadu Plum &amp; Lime Pearlâ„¢ | Fades dark spots &amp; evens skin tone for brightening &amp; detan | For women &amp; men| 150 ml</t>
  </si>
  <si>
    <t>X001PV3JBN</t>
  </si>
  <si>
    <t>B0BS6BX6QK</t>
  </si>
  <si>
    <t>PGAVC-1T</t>
  </si>
  <si>
    <t>Pilgrim Australian 1% Vitamin C Toner for glowing skin with Kakadu Plum &amp; Lime Pearlâ„¢ | Vitamin C toner for dry skin | Vitamin C toner for open pores tightening &amp; refining | Alcohol free | 100 ml</t>
  </si>
  <si>
    <t>X001RKAG63</t>
  </si>
  <si>
    <t>B0BM61BBFN</t>
  </si>
  <si>
    <t>PGALIC</t>
  </si>
  <si>
    <t>Pilgrim Patua Leave-In Conditioner 100ml for Frizzy Hair With Amino Acids &amp; Hydrolyzed Protein | 3-In-1Conditioner Nourishes Detangles &amp; Protects |ConditionerFor Curly &amp; WavyHair | Unisex,Unscented</t>
  </si>
  <si>
    <t>X001SL5FO9</t>
  </si>
  <si>
    <t>B0C5Y43CCM</t>
  </si>
  <si>
    <t>PGEDP-ALP1</t>
  </si>
  <si>
    <t>Pilgrim Men Alpha Perfume (Eau De Parfum) With Spicy Cinnamon, Green Apple &amp; Musk | Long Lasting Perfume | Premium Spray Perfume That Lets Machismo Come Alive | Designed In France | 100 Ml</t>
  </si>
  <si>
    <t>X001T3POLP</t>
  </si>
  <si>
    <t>B0C8JC6DQL</t>
  </si>
  <si>
    <t>PGAVC-LLB1</t>
  </si>
  <si>
    <t>Pilgrim Kakadu Plum &amp; Shea Butter Lip Balm SPF 30 - Hydrating &amp; Soothing for Dry Lips, 9 gm</t>
  </si>
  <si>
    <t>X001T3RHKB</t>
  </si>
  <si>
    <t>B0C8JM28XW</t>
  </si>
  <si>
    <t>PGSAR-120HM1</t>
  </si>
  <si>
    <t>Pilgrim Swiss Aqua Rushâ„¢ 120H Moisturizer for face| Crafted with powerful hydrators-Swiss Aqua Rushâ„¢ &amp; PatcH20Â®| Strengthens skin barriers| Plump &amp; glowing skin| 120 Hrs of Increased hydration| 50gm</t>
  </si>
  <si>
    <t>X001TOW1UB</t>
  </si>
  <si>
    <t>B0C8JR564R</t>
  </si>
  <si>
    <t>PGSAR-OHC1</t>
  </si>
  <si>
    <t>Pilgrim Swiss Aqua Rushâ„¢ Overnight Hydrating Face Cream| Crafted with powerful hydrators- Swiss Aqua Rushâ„¢, Aquaxylâ„¢ &amp; Ceramides | Overnight Intense Hydration | Fortifies skin barrier | 50g</t>
  </si>
  <si>
    <t>X001UB9GND</t>
  </si>
  <si>
    <t>B0C6MQYT7K</t>
  </si>
  <si>
    <t>PGEDP-TIC1</t>
  </si>
  <si>
    <t>Pilgrim Men Mix The Impressions Collection 3 In 1(3X20Ml) Gift Box Perfume(Eau De Parfum)Long Lasting Perfume With Spicy, Woody &amp; Aquatic Fragrance Spray|Designed In France| Alpha, Greek God &amp; Zen</t>
  </si>
  <si>
    <t>X001UO2ZIN</t>
  </si>
  <si>
    <t>B0CG6LZ8RT</t>
  </si>
  <si>
    <t>PGK24K-GCGB1</t>
  </si>
  <si>
    <t>Pilgrim 24K Gold Collection Kit with FREE Gua Sha | Kit includes Gold Face Serum (20ml), Gold Face Mask (20gm) &amp; Gold Moisturizer (50gm) | All skin types| Luxury Collection for restoring skin radiance</t>
  </si>
  <si>
    <t>X001VC2IQ3</t>
  </si>
  <si>
    <t>B0CH8SRR1B</t>
  </si>
  <si>
    <t>PGSL-SRAHC1</t>
  </si>
  <si>
    <t>Pilgrim Spanish Rosemary &amp; Biotin Anti Hairfall Conditioner for Reducing Hair Loss &amp; Breakage | Upto 95% stronger hairs | Suitable for all hair types | For Men &amp; Women 200ml</t>
  </si>
  <si>
    <t>X001VC2KMZ</t>
  </si>
  <si>
    <t>B0CH8RMM21</t>
  </si>
  <si>
    <t>PGSL-SRAHS1</t>
  </si>
  <si>
    <t>Pilgrim Spanish Rosemary &amp; Biotin Anti Hairfall Shampoo for Reducing Hair Loss &amp; Breakage 200ml | Rosemary shampoo for hair growth | Upto 95% stronger hairs | For all hair types | For Men &amp; Women</t>
  </si>
  <si>
    <t>X001VC8TC5</t>
  </si>
  <si>
    <t>B0C8JRF14J</t>
  </si>
  <si>
    <t>PGSAR-HFW1</t>
  </si>
  <si>
    <t>Pilgrim SWISS AQUA RUSHâ„¢ HYDRATING FACE WASH for men &amp; women | Crafted with powerful hydrators - Pentavitin, Aquaxyl, Swiss Aqua Rush | Hydrating Face wash | Refreshes skin &amp; restores hydration|100 ml</t>
  </si>
  <si>
    <t>X001VCBGIJ</t>
  </si>
  <si>
    <t>B0CG6NBCMD</t>
  </si>
  <si>
    <t>PGK24K-GGM1</t>
  </si>
  <si>
    <t>Pilgrim 24k Gold Gel Moisturizer with Hyaluronic Acid &amp; Alpha Arbutin for men &amp; women 50gm | Moisturizer for face | Reduces dark spots | Gives luxurious glow | Non-greasy</t>
  </si>
  <si>
    <t>X001VCBGIT</t>
  </si>
  <si>
    <t>B0CH8SHN9Z</t>
  </si>
  <si>
    <t>PGSL-SRHGO1</t>
  </si>
  <si>
    <t>Pilgrim Spanish Rosemary &amp; Biotin HairGrowth Oil to Control Hair Fall &amp; Strengthens Hair 100ml | Rosemary essential oil for hairgrowth | Reduces Hairfall | Strengthens Hair I For Women and Men</t>
  </si>
  <si>
    <t>X001VI1KXJ</t>
  </si>
  <si>
    <t>B0CJ9N5C8Y</t>
  </si>
  <si>
    <t>PGK24K-GGFW1</t>
  </si>
  <si>
    <t>Pilgrim 24k Gold Gel Facewash with Korean White Lotus &amp; Lactic Acid 80ml | Face wash for glowing skin | Reduce dark spot and improves skin texture | Removes dullness | For All Skin Types I For Women and Men</t>
  </si>
  <si>
    <t>X001W5RUG7</t>
  </si>
  <si>
    <t>B0C8TJXFVF</t>
  </si>
  <si>
    <t>PGAVC-IVSS1</t>
  </si>
  <si>
    <t>Pilgrim Vitamin C Invisible Sunscreen SPF 50 PA+++ for women &amp; men with Australian Kakadu Plum | Broad spectrum, UVA/UVB Protection, Lightweight Gel | No White Cast | All Skin Types | 45ml</t>
  </si>
  <si>
    <t>X001W5V8ZB</t>
  </si>
  <si>
    <t>B0C8JLT2B6</t>
  </si>
  <si>
    <t>PGSAR-PG1</t>
  </si>
  <si>
    <t>Pilgrim Swiss Aqua Rushâ„¢ Peeling Gel for Face | Crafted with powerful hydrators- Swiss Aqua Rushâ„¢, Pentavitin &amp; 85% Activated Hydrogen Water | Exfoliates to reveal fresh &amp; radiant skin | 30gm</t>
  </si>
  <si>
    <t>X001X2KJVH</t>
  </si>
  <si>
    <t>B0CMDBVZ64</t>
  </si>
  <si>
    <t>PGMU-SFRC1</t>
  </si>
  <si>
    <t>Pilgrim Medium Rich Caramel Serum Liquid Foundation, Matte &amp; Poreless,30 ml |Foundation for face make up infused |Water-Resistant,All Day Coverage| All Skin Types</t>
  </si>
  <si>
    <t>X001X2KJVR</t>
  </si>
  <si>
    <t>B0CLCQ3M2W</t>
  </si>
  <si>
    <t>PGMU-GP1</t>
  </si>
  <si>
    <t>Pilgrim Glow Primer Lightweight Gel Based Velvety Matte Finish, Blurs Pores, Vit C+E Infused</t>
  </si>
  <si>
    <t>X001X2KJW1</t>
  </si>
  <si>
    <t>B0CMDFMQ4J</t>
  </si>
  <si>
    <t>PGMU-SFPI1</t>
  </si>
  <si>
    <t>Pilgrim Medium Pure Ivory Serum Liquid Foundation, Matte &amp; Poreless, 30 ml | Foundation for face make up infused |Water-Resistant,All Day Coverage |All Skin Types</t>
  </si>
  <si>
    <t>X001X2MWKN</t>
  </si>
  <si>
    <t>B0CM6GFRTL</t>
  </si>
  <si>
    <t>PGMU-BBCAG1</t>
  </si>
  <si>
    <t>Pilgrim Almond Glow 3-IN-1 BB Cream SPF 50 PA++++ With Niacinamide, Hyaluronic Acid &amp; Vit C</t>
  </si>
  <si>
    <t>X001X2MWKX</t>
  </si>
  <si>
    <t>B0CMDC27XJ</t>
  </si>
  <si>
    <t>PGMU-SFCN1</t>
  </si>
  <si>
    <t>Pilgrim Medium Classic Nude Serum Liquid Foundation, Matte &amp; Poreless,30 ml | Foundation for face make up infused |Water-Resistant,All Day Coverage|All Skin Types</t>
  </si>
  <si>
    <t>X001X2MWL7</t>
  </si>
  <si>
    <t>B0CM6D5FKJ</t>
  </si>
  <si>
    <t>PGMU-BBCHG1</t>
  </si>
  <si>
    <t>Pilgrim Honey Glow 3-In-1 Natural Bb Cream Medium Coverage For All Skin Types Spf 50 Pa++++ With Niacinamide, Hyaluronic Acid &amp; Vit C - 30G, Pack Of 1</t>
  </si>
  <si>
    <t>X001X2MYMJ</t>
  </si>
  <si>
    <t>B0CM95C5LN</t>
  </si>
  <si>
    <t>PGMU-MEBB1</t>
  </si>
  <si>
    <t>Pilgrim Boldly Bronze Metallic Eyeliner Cream Long Lasting &amp; Smudge Proof Enriched With Argan Oil</t>
  </si>
  <si>
    <t>X001X2MYMT</t>
  </si>
  <si>
    <t>B0CMDGB2TC</t>
  </si>
  <si>
    <t>PGMU-SFNA1</t>
  </si>
  <si>
    <t>Pilgrim Medium Natural Almond Serum Liquid Foundation, Matte &amp; Poreless,30 ml |Foundation for face make up infused |Water-Resistant,All Day Coverage|All SkinTypes</t>
  </si>
  <si>
    <t>X001X2MYN3</t>
  </si>
  <si>
    <t>B0CN923YQB</t>
  </si>
  <si>
    <t>PGMU-IM1</t>
  </si>
  <si>
    <t>Pilgrim Illuminating Moisturizer Cream For Face | For Instant Rosy Glow &amp; Spf 15 | Non-Greasy Highlighter With Pink Pearl Finish | Enriched With Australian Kakadu Plum | All Skin Types 30Ml</t>
  </si>
  <si>
    <t>X001X2MYND</t>
  </si>
  <si>
    <t>B0CMDB52TF</t>
  </si>
  <si>
    <t>PGMU-SFWS1</t>
  </si>
  <si>
    <t>Pilgrim Medium Warm Sand Serum Liquid Foundation, Matte &amp; Poreless,30 ml | Foundation for face make up infused | Water-Resistant, All Day Coverage| All Skin Types</t>
  </si>
  <si>
    <t>X001X2O3K5</t>
  </si>
  <si>
    <t>B0CM8Z5WH2</t>
  </si>
  <si>
    <t>PGMU-BBCBG1</t>
  </si>
  <si>
    <t>Pilgrim Beige Glow 3-In-1 Natural Bb Cream Medium Coverage For All Skin Types Spf 50 Pa++++ With Niacinamide, Hyaluronic Acid &amp; Vit C - 30G, Pack Of 1</t>
  </si>
  <si>
    <t>X001X2O3KF</t>
  </si>
  <si>
    <t>B0CM68MMXT</t>
  </si>
  <si>
    <t>PGMU-MEBR1</t>
  </si>
  <si>
    <t>Pilgrim Blue Rebel Metallic Eyeliner Long Lasting &amp; Smudge Proof Enriched With Argan Oil Cream</t>
  </si>
  <si>
    <t>X001X2O3KP</t>
  </si>
  <si>
    <t>B0CMDD713B</t>
  </si>
  <si>
    <t>PGMU-SFGB1</t>
  </si>
  <si>
    <t>Pilgrim Medium Golden Beige Serum Liquid Foundation, Matte &amp; Poreless,30 ml | Foundation for face make up infused | Water-Resistant,All Day Coverage|All Skin Types</t>
  </si>
  <si>
    <t>X001XFRJ0D</t>
  </si>
  <si>
    <t>B0CM68X3F1</t>
  </si>
  <si>
    <t>PGMU-MEGE1</t>
  </si>
  <si>
    <t>Pilgrim Green Envy Metallic Eyeliner Cream Long Lasting &amp; Smudge Proof Enriched With Argan Oil</t>
  </si>
  <si>
    <t>X001XFUT5F</t>
  </si>
  <si>
    <t>B0CMDT55RY</t>
  </si>
  <si>
    <t>PGMU-CPCN1</t>
  </si>
  <si>
    <t>Pilgrim Classic Nude Matte Finish Compact Powder For All Skin Types Absorbs Oil, Conceals &amp; Gives Radiant Skin, 80 Gram, Cream</t>
  </si>
  <si>
    <t>X001XFYDR5</t>
  </si>
  <si>
    <t>B0CMDLVGSK</t>
  </si>
  <si>
    <t>PGMU-CPPI1</t>
  </si>
  <si>
    <t>Pure Ivory Matte Finish Compact Powder Absorbs Oil, Conceals &amp; Gives Radiant Skin</t>
  </si>
  <si>
    <t>X001XFZSZL</t>
  </si>
  <si>
    <t>B0CMDYX14Y</t>
  </si>
  <si>
    <t>PGMU-CPWS1</t>
  </si>
  <si>
    <t>Pilgrim Warm Sand Matte Finish Compact Powder For All Skin Types Absorbs Oil, Conceals &amp; Gives Radiant Skin, 9 Gram, Cream</t>
  </si>
  <si>
    <t>X001XJ8ROB</t>
  </si>
  <si>
    <t>B0CQRM3N4Q</t>
  </si>
  <si>
    <t>PILGRIM Spanish Squalane 4% Niacinamide &amp; 1% Alpha arbutin Glow CrÃ¨me Serum | Face serum for glowing skin | Women &amp; Men | All Skin types | 30 ml</t>
  </si>
  <si>
    <t>X001XTJI99</t>
  </si>
  <si>
    <t>B0CQV2BMX3</t>
  </si>
  <si>
    <t>PGSL-SRAHSC1</t>
  </si>
  <si>
    <t>Pilgrim Spanish Rosemary &amp; Biotin Anti-Hairfall Shampoo and Conditioner (200ml x 2)</t>
  </si>
  <si>
    <t>X001Y0KT27</t>
  </si>
  <si>
    <t>B0CMYM9YXB</t>
  </si>
  <si>
    <t>PGMU-LLKP1</t>
  </si>
  <si>
    <t>Pilgrim Liquid Matte Lipstick - Kinky Pink | Lipstick for Women with Hyaluronic Acid &amp; Spanish Squalane | Transferproof, Long Lasting &amp; Non Drying with Hydrating Ingredients 3gms</t>
  </si>
  <si>
    <t>X001Y0KT2H</t>
  </si>
  <si>
    <t>B0CMYP6NPL</t>
  </si>
  <si>
    <t>PGMU-LLWS1</t>
  </si>
  <si>
    <t>Pilgrim Liquid Matte Lipstick - Wine Spill | Lipstick for Women with Hyaluronic Acid &amp; Spanish Squalane | Transferproof, Long Lasting &amp; Non Drying with Hydrating Ingredients 3gms</t>
  </si>
  <si>
    <t>X001Y0KT2R</t>
  </si>
  <si>
    <t>B0CMYGM1LK</t>
  </si>
  <si>
    <t>PGMU-LLPC1</t>
  </si>
  <si>
    <t>Pilgrim Liquid Matte Lipstick - Pink Climax | Lipstick for Women with Hyaluronic Acid &amp; Spanish Squalane | Transferproof, Long Lasting &amp; Non Drying with Hydrating Ingredients 3gms</t>
  </si>
  <si>
    <t>X001Y0KT31</t>
  </si>
  <si>
    <t>B0CMYST9XC</t>
  </si>
  <si>
    <t>PGMU-LLFR1</t>
  </si>
  <si>
    <t>Pilgrim Liquid Matte Lipstick - Flirty Rose | Lipstick for Women with Hyaluronic Acid &amp; Spanish Squalane | Transferproof, Long Lasting &amp; Non Drying with Hydrating Ingredients 3gms</t>
  </si>
  <si>
    <t>X001Y0SV1N</t>
  </si>
  <si>
    <t>B0CN8YF1VM</t>
  </si>
  <si>
    <t>PGMU-LCETPF1</t>
  </si>
  <si>
    <t>Pilgrim 3 In 1 Lip, Cheek And Eye Tint Cream With Goodness Of Spanish Squalane, Almond Oil, Avocado Oil And Macadamia Nut Oil | Long Lasting Nourisht | Blends Easily 2.5Gm (Pink Filter - 01)</t>
  </si>
  <si>
    <t>X001Y0SV1X</t>
  </si>
  <si>
    <t>B0CMYZF78X</t>
  </si>
  <si>
    <t>PGMU-LLBB1</t>
  </si>
  <si>
    <t>Pilgrim Liquid Matte Lipstick - Bossy Brown | Lipstick for Women with Hyaluronic Acid &amp; Spanish Squalane | Transferproof, Long Lasting &amp; Non Drying with Hydrating Ingredients 3gms</t>
  </si>
  <si>
    <t>X001Y0SV2H</t>
  </si>
  <si>
    <t>B0CMZ65TJH</t>
  </si>
  <si>
    <t>PGMU-LLBN1</t>
  </si>
  <si>
    <t>Pilgrim Liquid Matte Lipstick - Blushin' Nude | Lipstick for Women with Hyaluronic Acid &amp; Spanish Squalane | Transferproof, Long Lasting &amp; Non Drying with Hydrating Ingredients 3gms</t>
  </si>
  <si>
    <t>X001Y0TOOB</t>
  </si>
  <si>
    <t>B0CMYF1LB3</t>
  </si>
  <si>
    <t>PGMU-LLNO1</t>
  </si>
  <si>
    <t>Pilgrim Liquid Matte Lipstick - Nude Obsessed | Lipstick for Women with Hyaluronic Acid &amp; Spanish Squalane | Transferproof, Long Lasting &amp; Non Drying with Hydrating Ingredients 3gms</t>
  </si>
  <si>
    <t>X001Y0TOOL</t>
  </si>
  <si>
    <t>B0CRTQZ4HG</t>
  </si>
  <si>
    <t>PGGTM-RAAHGS1</t>
  </si>
  <si>
    <t>Pilgrim Redensyl 3% + Anagain 4% + Baicapil Advanced Hair Growth Serum (30ml) for Scalp with Korean Black Rice, Saw Palmetto | Control Hair Fall, Stimulate Hair Regrowth, Increase Hair Density | For Women &amp; Men</t>
  </si>
  <si>
    <t>X001Y0TOOV</t>
  </si>
  <si>
    <t>B0CMYLXV6G</t>
  </si>
  <si>
    <t>PGMU-LLBT1</t>
  </si>
  <si>
    <t>Pilgrim Liquid Matte Lipstick - Berry Tease | Lipstick for Women with Hyaluronic Acid &amp; Spanish Squalane | Transferproof, Long Lasting &amp; Non Drying with Hydrating Ingredients 3gms</t>
  </si>
  <si>
    <t>X001Y0TOP5</t>
  </si>
  <si>
    <t>B0CMYP1H2X</t>
  </si>
  <si>
    <t>PGMU-LLMD1</t>
  </si>
  <si>
    <t>Pilgrim Liquid Matte Lipstick - Mauve Desire | Lipstick for Women with Hyaluronic Acid &amp; Spanish Squalane | Transferproof, Long Lasting &amp; Non Drying with Hydrating Ingredients 3gms</t>
  </si>
  <si>
    <t>X001Y0TOPF</t>
  </si>
  <si>
    <t>B0CMYBFM5Y</t>
  </si>
  <si>
    <t>PGMU-LLSC1</t>
  </si>
  <si>
    <t>Pilgrim Liquid Matte Lipstick - Saucy Coral | Lipstick for Women with Hyaluronic Acid &amp; Spanish Squalane | Transferproof, Long Lasting &amp; Non Drying with Hydrating Ingredients 3gms</t>
  </si>
  <si>
    <t>X001Y0TOUF</t>
  </si>
  <si>
    <t>B0CMDPJ1GV</t>
  </si>
  <si>
    <t>PGMU-CPRC1</t>
  </si>
  <si>
    <t>Pilgrim Rich Caramel Matte Finish Compact Powder For All Skin Types Absorbs Oil, Conceals &amp; Gives Radiant Skin, 80 Gram, Cream</t>
  </si>
  <si>
    <t>X001Y0TUVX</t>
  </si>
  <si>
    <t>B0CLB3RWMX</t>
  </si>
  <si>
    <t>PGMU-EBS1</t>
  </si>
  <si>
    <t>Pilgrim Black Scandal Eyeliner Pencil Intense Matte Finish Smudge Proof Pencil Enriched With Argan Oil | 3.50Ml</t>
  </si>
  <si>
    <t>X001Y0TUW7</t>
  </si>
  <si>
    <t>B0CMYDZNRG</t>
  </si>
  <si>
    <t>PGMU-LLPK1</t>
  </si>
  <si>
    <t>Pilgrim Liquid Matte Lipstick - Pink Kisses | Lipstick for Women with Hyaluronic Acid &amp; Spanish Squalane | Transferproof, Long Lasting &amp; Non Drying with Hydrating Ingredients 3gms</t>
  </si>
  <si>
    <t>X001Y0TUWH</t>
  </si>
  <si>
    <t>B0CMYJPLDW</t>
  </si>
  <si>
    <t>PGMU-LLTRS1</t>
  </si>
  <si>
    <t>Pilgrim Liquid Matte Lipstick - The Red Stiletto | Lipstick for Women with Hyaluronic Acid &amp; Spanish Squalane | Transferproof, Long Lasting &amp; Non Drying with Hydrating Ingredients 3gms</t>
  </si>
  <si>
    <t>X001Y0TUWR</t>
  </si>
  <si>
    <t>B0CSP2S2W1</t>
  </si>
  <si>
    <t>PGMU-LCETTBT01</t>
  </si>
  <si>
    <t>Pilgrim 3 In 1 Lip, Cheek And Eye Tint Cream With Goodness Of Spanish Squalane, Almond Oil, Avocado Oil And Macadamia Nut Oil | Long Lasting Nourisht | Blends Easily 2.5Gm (The Brown Trend -03)</t>
  </si>
  <si>
    <t>X001Y4HK5H</t>
  </si>
  <si>
    <t>B0CT2P4P93</t>
  </si>
  <si>
    <t>PGK-KAS</t>
  </si>
  <si>
    <t>Pilgrim 2% Kojic Acid Serum for face (30 ml) with 1% Alpha Arbutin &amp; Korean White Lotus For Acne &amp; Darks spots| Anti-pigmentation Face Serum For Men &amp; Women | For All Skin Types</t>
  </si>
  <si>
    <t>X001YGBGFP</t>
  </si>
  <si>
    <t>B0CB8M9P7V</t>
  </si>
  <si>
    <t>PGKS-AHGSP1</t>
  </si>
  <si>
    <t>Pilgrim Redensyl 3% + Anagain 4% Advanced Hair Growth Serum (100ml) With Natural Ingredients For Unisex, Controls Hair Fall, Stimulates Hair Growth, Increase Hair Density | For Women &amp; Men</t>
  </si>
  <si>
    <t>X001YXAZVT</t>
  </si>
  <si>
    <t>B0CQJS7XKW</t>
  </si>
  <si>
    <t>PG24K-GFK1</t>
  </si>
  <si>
    <t>Pilgrim 24K Gold Facial Kit for Instant Radiance &amp; Golden Glow: Includes Gold Cleanser, Scrub, Massage Cream, Facial Mask, Red Vine Mist &amp; Toner (30ml)</t>
  </si>
  <si>
    <t>X001Z3XDHV</t>
  </si>
  <si>
    <t>B0CV9PBHD2</t>
  </si>
  <si>
    <t>PGGTM-RAHCS1</t>
  </si>
  <si>
    <t>Pilgrim Redensyl &amp; Anagain Hairfall Control Shampoo with Korean Black Rice 200ml | Anti Hairfall shampoo for Men &amp; Women | Reduces Hairfall | Promotes Hair Thickness | For All Hair Types</t>
  </si>
  <si>
    <t>X001ZDJQ2H</t>
  </si>
  <si>
    <t>B0CX22YL1V</t>
  </si>
  <si>
    <t>PGS-NGSS50</t>
  </si>
  <si>
    <t>Pilgrim 2% Niacinamide Glow Sunscreen SPF 50 +++ for men and women with Spanish Squalane | Enhances Glow, Broad spectrum, Non-greasy, No white cast &amp; Prevents Tanning | All skin types | 50 gm</t>
  </si>
  <si>
    <t>X001ZDM46H</t>
  </si>
  <si>
    <t>B0CX22QWP8</t>
  </si>
  <si>
    <t>PGK-HASSG50</t>
  </si>
  <si>
    <t>Pilgrim 1% Hyaluronic Acid Sunscreen Gel | Sunscreen SPF 50 +++ for men and women with Korean White Lotus | Broad spectrum, Non-greasy, No white cast &amp; Prevents Tanning | All skin types | 50 gm</t>
  </si>
  <si>
    <t>X00205SCFL</t>
  </si>
  <si>
    <t>B0CVXD97V7</t>
  </si>
  <si>
    <t>PGMU-ADMSS1</t>
  </si>
  <si>
    <t>Pilgrim Insta Fix Makeup Setting Spray 60ml | With Hyaluronic Acid &amp; French Red Vine | Setting spray for makeup | Long Lasting | Makeup Fixer | Natural Finish | Oil control Formula &amp; Shine free look.</t>
  </si>
  <si>
    <t>X00205W347</t>
  </si>
  <si>
    <t>B0CVXQ75M4</t>
  </si>
  <si>
    <t>PGMU-FRVSCB1</t>
  </si>
  <si>
    <t>Pilgrim French Red Vine Supermelt Cleansing Balm 50gm | Makeup remover cleansing balm for face | Removes Waterproof Makeup | Deeply Cleanses | Hydrates &amp; Nourishes skin | For All Skin Type |</t>
  </si>
  <si>
    <t>X0021Q8A83</t>
  </si>
  <si>
    <t>B0D4F34CQG</t>
  </si>
  <si>
    <t>PGMU-KBM1</t>
  </si>
  <si>
    <t>Pilgrim Black Mischief Kajal Smudge &amp; Waterproof Single Stroke Matte Finish Lasts Up To 12Hrs | Kajal for Women | Lonng Lasting Eye Makeup |</t>
  </si>
  <si>
    <t>X0021QBUQH</t>
  </si>
  <si>
    <t>B0D4R4JK7M</t>
  </si>
  <si>
    <t>PGSL-SRAHM1</t>
  </si>
  <si>
    <t>Pilgrim Spanish Rosemary Anti Hairfall Hair Mask, 200Gm With Biotin For Reducing Hair Fall &amp; Strengthens Hair, 1 Count</t>
  </si>
  <si>
    <t>X0021QBUR1</t>
  </si>
  <si>
    <t>B0CT2HJQ5Z</t>
  </si>
  <si>
    <t>PGA-VCBUEC1</t>
  </si>
  <si>
    <t>Pilgrim Vitamin C Brightening Under Eye Cream 15ml | Reduces Dark Circles, Puffiness, Wrinkles | Under Eye Cream for dark circles with caffeine and australian kakadu plum | For All Skin Types</t>
  </si>
  <si>
    <t>X0021QBURB</t>
  </si>
  <si>
    <t>B0D4R5GPXP</t>
  </si>
  <si>
    <t>PGKS-RAHHM1</t>
  </si>
  <si>
    <t>Pilgrim Redensyl &amp; Anagain Hairfall Control Hair Mask with Black Korean Rice 200gm | Reduces Hair Loss Boost Hair Growth and Thickness| For Men &amp; Women | Sulphate and Paraben Free |</t>
  </si>
  <si>
    <t>X0021QBVBL</t>
  </si>
  <si>
    <t>B0D5D8FMR2</t>
  </si>
  <si>
    <t>PGA-15VCFS20</t>
  </si>
  <si>
    <t>Pilgrim 15% Vitamin C Serum 20ml For Glowing Skin | Advanced Formulation With Ferulic Acid &amp; Vitamin E |Reduces Dark Spots, Pigmentation |For All, Oily, Combination, Normal Skin |Men, Women</t>
  </si>
  <si>
    <t>X0021QBVBV</t>
  </si>
  <si>
    <t>B0D5DBDX4B</t>
  </si>
  <si>
    <t>PGK-5NFS10</t>
  </si>
  <si>
    <t>Pilgrim 5% Niacinamide Serum For Skin Clarifying | Niacinamide Serum For Oily Skin | Brightens Skin &amp; Reduces Acne Spots | Korean Skincare | All Skin Types | For Men &amp; Women | Vegan &amp; Cruelty-free |10ML</t>
  </si>
  <si>
    <t>X0021QBVCF</t>
  </si>
  <si>
    <t>B0D2DGGQN7</t>
  </si>
  <si>
    <t>PGKS-RAAHGS1</t>
  </si>
  <si>
    <t>Pilgrim Redensyl 3% + Anagain 4% Advanced Hair Serum (100ml) With Korean Black Rice - Controls Hair Fall, Stimulates Growth, Increases Density for Men &amp; Women</t>
  </si>
  <si>
    <t>X0021QBY7R</t>
  </si>
  <si>
    <t>B0D5D8S8G2</t>
  </si>
  <si>
    <t>PGK-10NFS30</t>
  </si>
  <si>
    <t>Pilgrim 10% Niacinamide Serum 30ml For Acne Marks|With 1% Zinc PCA, Salicylic &amp; Hyaluronic Acid|Niacinamide Serum For Oily Skin, Acne-Prone, Combination, Normal Skin|Oil Control, Anti-Acne|Women &amp; Men</t>
  </si>
  <si>
    <t>X0021QBY81</t>
  </si>
  <si>
    <t>B0D5DBMVWG</t>
  </si>
  <si>
    <t>PGK-10NFS10</t>
  </si>
  <si>
    <t>Pilgrim 10% Niacinamide Face Serum For Acne Marks 10ml | Fades Blemishes &amp; Dark Spots | Oil Control | Brightens &amp; Evens Skin Tone | All Skin Types | Women &amp; Men</t>
  </si>
  <si>
    <t>X0021QBY8B</t>
  </si>
  <si>
    <t>B0D5DCLW3Y</t>
  </si>
  <si>
    <t>PGK-2SAFS10</t>
  </si>
  <si>
    <t>Pilgrim 2% Salicylic Acid Face Serum Anti-Acne | Fights Active Acne &amp; Pimples | Reduces Blackheads,Oiliness, Excess Oil &amp; Bumpy Texture | BHA Based Exfoliant | For Women and Men I10 ml</t>
  </si>
  <si>
    <t>X00221OHDJ</t>
  </si>
  <si>
    <t>B0D5DBM7G7</t>
  </si>
  <si>
    <t>PGATT-ADSS1</t>
  </si>
  <si>
    <t>Pilgrim Australian Tea Tree Anti-Dandruff Scalp Serum 100ml | Pre-Shampoo Treatment for Itchy Scalp | Fights Dandruff &amp; Reduces Inflammation | For Women &amp; Men</t>
  </si>
  <si>
    <t>X00221OHDT</t>
  </si>
  <si>
    <t>B0D6G1JFZ2</t>
  </si>
  <si>
    <t>Pilgrim Australian Tea Tree Non-Drying Anti-Dandruff Shampoo 200 ml | Removes Dandruff from Source | Helps with Itching, Irritation | Strong &amp; Smooth Hair | For Men &amp; Women |</t>
  </si>
  <si>
    <t>X0015VO6ZB</t>
  </si>
  <si>
    <t>B08355S9VD</t>
  </si>
  <si>
    <t>Pilgrim Mild Sulphate Free Shampoo (Argan Oil) For Dry Frizzy Hair, Men and Women, No Sulphate No Paraben, Korean Beauty Secrets (Shampoo), 200ml</t>
  </si>
  <si>
    <t>X0015VRTD7</t>
  </si>
  <si>
    <t>B0836XVS63</t>
  </si>
  <si>
    <t>Pilgrim Korean Beauty White Lotus Refreshing Face Mist &amp; Toner | Toner for glowing skin | Alcohol-Free Mist &amp; toner for open pores Tightening | Korean skin care products | Women &amp; Men | 100 ml</t>
  </si>
  <si>
    <t>X0015VT10L</t>
  </si>
  <si>
    <t>B0836YDMJ9</t>
  </si>
  <si>
    <t>PILGRIM Korean White Lotus Face Cream with SPF 50 | White Lotus Day cream for women daily use | Face cream for dry skin, sensitive skin &amp; oily skin | For Women and Men | 100g</t>
  </si>
  <si>
    <t>X0015VU58N</t>
  </si>
  <si>
    <t>B0836XQKST</t>
  </si>
  <si>
    <t>Pilgrim Mild Face Wash Cleanser for Deep Pore Cleansing, Oil Control, Pollution Defence,Dry, Oily and Acne Skin, Korean Beauty Secrets 100ml</t>
  </si>
  <si>
    <t>X0015VX0GH</t>
  </si>
  <si>
    <t>B0836Y7S2C</t>
  </si>
  <si>
    <t>PILGRIM Korean 5% Vitamin C Face Serum (Oil Based) for glowing skin with Hyaluronic acid | Vitamin c serum for radiant skin | Women &amp; Men | Korean Skin Care | Vegan &amp; Cruelty-free | 30ml</t>
  </si>
  <si>
    <t>X001BEG1Z5</t>
  </si>
  <si>
    <t>B08RQJKF6D</t>
  </si>
  <si>
    <t>PILGRIM French Red Vine Anti Aging Night Cream for women with Retinol, Mulberry &amp; Vitamin C For Glowing Skin &amp; Skin Repair| Retinol Night cream for oily, dry &amp; sensitive skin|Anti aging cream| For Women and Men I 50g</t>
  </si>
  <si>
    <t>X001BEG1ZF</t>
  </si>
  <si>
    <t>B08RQS66JX</t>
  </si>
  <si>
    <t>Pilgrim Red Vine, Retinol &amp; Vitamin C Under Eye Cream for dark circles for women &amp; men| Dark circle remover cream| Dark circles cream for eye| Eye cream for dark circles and wrinkles, puffy eyes| 30gm</t>
  </si>
  <si>
    <t>X001BEH2T9</t>
  </si>
  <si>
    <t>B08RP8VJGR</t>
  </si>
  <si>
    <t>PILGRIM French Red Vine Face Scrub with Mulberry Extract &amp; Aloe for Glowing Skin, Tan Removal, De-Pigmentation, Dry, Oily, Combination Skin, Men &amp; Women, 50gm</t>
  </si>
  <si>
    <t>X001BEH2TJ</t>
  </si>
  <si>
    <t>B08RP7J2FY</t>
  </si>
  <si>
    <t>PILGRIM French Red Vine Face Cream with SPF 30 Sunscreen, Rosehip Oil &amp; Vit C For Anti Ageing, Sun Protection PA+++, Daily Use, Dry, Oily, Combination Skin, Men &amp; Women, 50g</t>
  </si>
  <si>
    <t>X001BEH8DT</t>
  </si>
  <si>
    <t>B08RP6NKLS</t>
  </si>
  <si>
    <t>Pilgrim French Red Vine Face Wash with Vitamin C &amp; goodness of Aloe for Anti Ageing &amp; Dark Spots |Face wash for dry skin | Face cleanser for dry skin | Men and Women|100ml</t>
  </si>
  <si>
    <t>X001BEHAGJ</t>
  </si>
  <si>
    <t>B08RQ7N5VL</t>
  </si>
  <si>
    <t>Pilgrim Anti Ageing Red Vine Face Pack &amp; Mask Paste with Mulberry Extracts &amp; Rosehip Oil for Glowing Skin, De-Tan, Dark Spots, Blackheads Removal, 100g</t>
  </si>
  <si>
    <t>X001BT6M2H</t>
  </si>
  <si>
    <t>B08X1467CQ</t>
  </si>
  <si>
    <t>Pilgrim Korean 20% Vitamin C Face Serum with Hyaluronic Acid &amp; Kakadu Plum for glowing/Dry/Oily skin &amp; Combination Skin |For Men and Women | Skin Care |Vegan &amp; Cruelty-free |30ml</t>
  </si>
  <si>
    <t>X001BT6MVX</t>
  </si>
  <si>
    <t>B08WLSGJFC</t>
  </si>
  <si>
    <t>PILGRIM Korean Retinol Anti Aging Night Cream with Hyaluronic Acid &amp; Vitamin C |Discover young, wrinkle-free &amp; radiant skin| Anti aging cream for oily &amp; dry skin| For Men &amp; Women|Korean Skin Care|50gm</t>
  </si>
  <si>
    <t>X001BTD3F1</t>
  </si>
  <si>
    <t>B08WLRR19N</t>
  </si>
  <si>
    <t>Pilgrim Korean Retinol Under Eye Cream for dark circles, Puffiness &amp; Fine Lines with Vitamin C &amp; Hyaluronic Acid | Women &amp; Men Skin care | 30g</t>
  </si>
  <si>
    <t>X001BTG8IF</t>
  </si>
  <si>
    <t>B08WLNHZ52</t>
  </si>
  <si>
    <t>Pilgrim Korean Argan Oil Hair Conditioner With White Lotus &amp; Camellia,Discover Healthy,Bouncy And Shiny Hair,Deep Nourishment All Hair Types,Men And Women, Korean Beauty Secrets, 200 Millilitre</t>
  </si>
  <si>
    <t>X001E9XFK1</t>
  </si>
  <si>
    <t>B096XYRM5X</t>
  </si>
  <si>
    <t>PILGRIM Korean 2% Alpha Arbutin &amp; 3% Vitamin C Brightening Face Serum for glowing skin| Alpha arbutin face serum|All skin types | Men &amp; Women| Korean Skin Care| Vegan &amp; Cruelty-free | 30ml</t>
  </si>
  <si>
    <t>X001EAB58J</t>
  </si>
  <si>
    <t>B096XXD2VZ</t>
  </si>
  <si>
    <t>Pilgrim Korean 2% Salicylic Acid + 3% Glycolic Acid Anti Acne Serum for oily &amp; acne prone skin | All Skin Types | Korean Skin Care | For Men &amp; Women | 30ml</t>
  </si>
  <si>
    <t>X001EAB6L5</t>
  </si>
  <si>
    <t>B096Y23VJK</t>
  </si>
  <si>
    <t>PILGRIM Redensyl 3%+Anagain 4% Advanced Hair Growth Serum For Scalp(50Ml) With Natural Ingredients Korean Black Rice,Controls Hair Fall,Stimulates,Increases Hair Density|Hairgrowth Serum For Unisex</t>
  </si>
  <si>
    <t>X001EABC9L</t>
  </si>
  <si>
    <t>B096XYFJSQ</t>
  </si>
  <si>
    <t>PILGRIM Korean 0.5% Retinol &amp; 1% Hyaluronic Acid Lift &amp; Firm Anti Aging Serum | Retinol serum for face| Reduce Fine Lines &amp; Wrinkles|For Men &amp; Women |All Skin Types|30ml</t>
  </si>
  <si>
    <t>X001EACQ6J</t>
  </si>
  <si>
    <t>B096XXV39G</t>
  </si>
  <si>
    <t>Pilgrim 5% Niacinamide Serum+1% Alpha Arbutin For Skin Clarifying,Acne &amp; Acne Mark|Niacinamide Serum For Oily Skin|Korean Skincare|All Skin Types|For Unisex|Vegan &amp; Cruelty-free|Beginner Friendly|30ml</t>
  </si>
  <si>
    <t>X001EC1WC1</t>
  </si>
  <si>
    <t>B0836Y4TT2</t>
  </si>
  <si>
    <t>Pilgrim Argan Oil Hair Serum For Dry Frizzy Hair, Hair Smoothing, Smoothing &amp; Control Of Frizzy/Dry Hair, Instant Shine, Smoothness &amp; Soft Hair, Anti Frizz For Unisex, 100 Ml, Pack of 1</t>
  </si>
  <si>
    <t>X001EK1OUN</t>
  </si>
  <si>
    <t>B08LHK8BPL</t>
  </si>
  <si>
    <t>PILGRIM Korean Healthy &amp; Shiny Hair Care Kit With Jute Kit Bag | Sulphate Free Shampoo 200ml &amp; Argan Oil Hair Mask 200gm For Gentle Cleansing, Frizz Control, Moisture &amp; Shine</t>
  </si>
  <si>
    <t>X001EK2T1V</t>
  </si>
  <si>
    <t>B08HJMW95Q</t>
  </si>
  <si>
    <t>Pilgrim Korean Beauty Flawless Skin Face Care Kit With Vitamin C Night Serum &amp; Jute Kit Bag | Daily Face Wash 100 Ml, Refreshing Face Mist &amp; Toner 100 Ml, Brightening Day Cream Spf50 100 Gm</t>
  </si>
  <si>
    <t>X001EK2UV5</t>
  </si>
  <si>
    <t>B08WLWYVWV</t>
  </si>
  <si>
    <t>PILGRIM Korean Anti-Frizz Hair Care Set With Sulphate Free Shampoo &amp; Argan Oil Conditioner 200ml Each - FREE Jute Kit Bag | Silky Smooth Hair for Women and Men</t>
  </si>
  <si>
    <t>X001HKUVX1</t>
  </si>
  <si>
    <t>B09JVPQTY9</t>
  </si>
  <si>
    <t>PGKABPPS01</t>
  </si>
  <si>
    <t>Pilgrim 25% AHA + 2% BHA + 5% PHA Peeling Solution 30ml For Face &amp; Body |10-Minute Facial At Home|Gentle Exfoliating Serum for Tan Removal |For Glowing Skin, Even Skin Tone, Pore Cleansing |Men, Women</t>
  </si>
  <si>
    <t>X001HKZKE1</t>
  </si>
  <si>
    <t>B09KLPQNMH</t>
  </si>
  <si>
    <t>Pilgrim Korean Volcanic Lava Ash Foaming Face Wash with Built In Brush for Deep Cleansing | Korean Skin Care Products | 100% Safe on All Skin Types | For Men &amp; Women | SLS &amp; Paraben Free | 120 ml</t>
  </si>
  <si>
    <t>X001HKZNVL</t>
  </si>
  <si>
    <t>B09JSRVT8K</t>
  </si>
  <si>
    <t>PGKOFGM1</t>
  </si>
  <si>
    <t>Pilgrim Korean Oil free Gel Moisturizer for oily skin with Hyaluronic Acid &amp; Willow Bark Extracts | Moisturiser for face | Suitable for Oily &amp; Acne-Prone Skin| Men &amp; Women | Korean Skin Care | 50gm</t>
  </si>
  <si>
    <t>X001HKZNVV</t>
  </si>
  <si>
    <t>B09KLQTZ9R</t>
  </si>
  <si>
    <t>Pilgrim Korean 1.5% Salicylic(Bha) &amp; 2% Glycolic Acid(Aha) Foaming Face Wash For Oily &amp; Acne-Prone Skin | Glycolic &amp; Salicylic Acid Face Wash | Men &amp; Women | Korean Skin Care Products | 120 Ml</t>
  </si>
  <si>
    <t>X001HL3AIX</t>
  </si>
  <si>
    <t>B09JPDGLKX</t>
  </si>
  <si>
    <t>PGKHAHSS1</t>
  </si>
  <si>
    <t>Pilgrim 2% Hyaluronic Acid Hydration Super Serum With Kiwi Extracts For Hydrated Skin For Unisex Of All Skin Types Korean Skin Care, 30ml</t>
  </si>
  <si>
    <t>X001HL3AJR</t>
  </si>
  <si>
    <t>B09JPF4VNX</t>
  </si>
  <si>
    <t>PGKSNOCS1</t>
  </si>
  <si>
    <t>Pilgrim 2% Salicylic Acid + 3% Niacinamide Oil Control Serum For Oily &amp; Acne-Prone Skin For Unisex Of All Skin Types, Korean Skin Care, 30ml</t>
  </si>
  <si>
    <t>X001HM9FD1</t>
  </si>
  <si>
    <t>B09NSQTJ13</t>
  </si>
  <si>
    <t>PGKAVG1</t>
  </si>
  <si>
    <t>PILGRIM Korean 99% Pure Aloe Vera Gel 200ml with Vitamin E &amp; Vitamin B5 for Face &amp; Hair | Hydrates &amp; Soothes Skin | Conditions &amp; Softens Hair | Free from Parabens, Sulphates, Mineral Oils &amp; Fragrance I For Women and Men</t>
  </si>
  <si>
    <t>X00221OHE3</t>
  </si>
  <si>
    <t>B0D5D9PHK5</t>
  </si>
  <si>
    <t>PGATT-ADHM1</t>
  </si>
  <si>
    <t>Pilgrim Australian Tea Tree Anti-Dandruff Hair Mask 200 millilitre | Makes Hair Smooth &amp; Deeply Moisturizes | Strengthens Hair | All Hair Types | For Men &amp; Women | Sulfate &amp; Paraben Free |</t>
  </si>
  <si>
    <t>X00221OHED</t>
  </si>
  <si>
    <t>B0D5D9BF3Q</t>
  </si>
  <si>
    <t>PGATT-ADC1</t>
  </si>
  <si>
    <t>Pilgrim Australian Tea Tree Anti-Dandruff Unscented Conditioner For All Hair Type 200 millilitre | Smoothens Strands &amp; Detangles Hair | Fights and Prevents Dandruff | For Men &amp; Women (Pack of 1)</t>
  </si>
  <si>
    <t>X0023CC67L</t>
  </si>
  <si>
    <t>B0D5DBMKMC</t>
  </si>
  <si>
    <t>PGA-10VCFS10</t>
  </si>
  <si>
    <t>Pilgrim 10% Vitamin C Face Serum For Daily Brightness 10 ml | Face serum for glowing skin | Reduces Dark Spots &amp; Evens Skin Tone | For Oily, Combination, Normal Skin Types | Fragrance Free | For Men and Women</t>
  </si>
  <si>
    <t>X0023CC67V</t>
  </si>
  <si>
    <t>B0D5D945Q4</t>
  </si>
  <si>
    <t>PGA-10VCFS30</t>
  </si>
  <si>
    <t>Pilgrim 10% Vitamin C Serum 30ml for Glowing Skin|With 5% Niacinamide, Hyaluronic &amp; Glycolic Acid|Fades Dark Spots, Pigmentation|For All, Oily, Combination, Normal Skin |Beginner Friendly - Men, Women</t>
  </si>
  <si>
    <t>X00247TLHD</t>
  </si>
  <si>
    <t>B0CBFP7YD4</t>
  </si>
  <si>
    <t>CBPGKS-AVBS2</t>
  </si>
  <si>
    <t>Pilgrim Korean 2% Alpha Arbutin&amp;3% Vitamin C Brightening Face Serum For Glowing Skin|Alpha Arbutin Face Serum|All Skin Types|Men&amp;Women|Korean Skin Care|Vegan&amp;Cruelty-Free|60 Ml(Pack Of 2)</t>
  </si>
  <si>
    <t>X00247TLHN</t>
  </si>
  <si>
    <t>B0CBJSQNBR</t>
  </si>
  <si>
    <t>CBPGKSGFFW2</t>
  </si>
  <si>
    <t>Pilgrim Korean 1.5% Salicylic(Bha) &amp; 2% Glycolic Acid(Aha) Foaming Face Wash For Oily &amp; Acne-Prone Skin | Glycolic &amp; Salicylic Acid Face Wash | Korean Skin Care Products | 120 Ml + 120 Ml (PACK OF 2)</t>
  </si>
  <si>
    <t>X0024VXIC3</t>
  </si>
  <si>
    <t>B09XHKNHWD</t>
  </si>
  <si>
    <t>PGKAVGP1</t>
  </si>
  <si>
    <t>Pilgrim 99% Pure Aloe Vera Gel 200ml with Vitamin E &amp; B5 for Face &amp; Hair |Hydrates &amp; Soothes Skin |Conditions &amp; Softens Hair |Free from Parabens, Sulphates, Mineral Oils &amp; Fragrance (Pack of 2)</t>
  </si>
  <si>
    <t>X0025DMFND</t>
  </si>
  <si>
    <t>B0DJNVTXMT</t>
  </si>
  <si>
    <t>PGKS-RAAHGSDPS1</t>
  </si>
  <si>
    <t>Pilgrim 3% Redensyl &amp; 4% Anagain ADVANCED HAIR GROWTH SERUM (30 ml) For Dandruff-Prone Scalp | Controls Dandruffs, Hair Fall, Stimulates Hair Growth, Increase Hair Density | For All Men &amp; Women</t>
  </si>
  <si>
    <t>X0025DQO53</t>
  </si>
  <si>
    <t>B0DJNVMZ1M</t>
  </si>
  <si>
    <t>PGSL-RWB1</t>
  </si>
  <si>
    <t>Pilgrim Spanish Rosemary Water Spray With Biotin for Hair Growth 100ml | Hair Spray for Regrowth | Thicker &amp; Stronger Hair | Sulphate &amp; Paraben Free I For Women for Men</t>
  </si>
  <si>
    <t>X0025DQOAN</t>
  </si>
  <si>
    <t>B0DJNX7KMK</t>
  </si>
  <si>
    <t>PGSL-RRAAHS1</t>
  </si>
  <si>
    <t>Pilgrim RootActive Anti-Hairfall Serum With Spanish Rosemary, Caffeine, Biotin, Capilia Longa, Saw Palmetto (30ml) | Strengthens Hair Roots, Reduces hair loss &amp; Increases Hair Density | For Men and Women</t>
  </si>
  <si>
    <t>X0025KCW8T</t>
  </si>
  <si>
    <t>B0DK3PK96N</t>
  </si>
  <si>
    <t>PGMU-LLSS1</t>
  </si>
  <si>
    <t>Pilgrim Liquid Matte Lipstick - Sexy Scarlet | Lipstick for Women with Hyaluronic Acid &amp; Spanish Squalane | Transferproof, Long Lasting &amp; Non Drying with Hydrating Ingredients 3gms</t>
  </si>
  <si>
    <t>X0025KCWWP</t>
  </si>
  <si>
    <t>B0DK3NXBW1</t>
  </si>
  <si>
    <t>PGMU-LLNF1</t>
  </si>
  <si>
    <t>Pilgrim Liquid Matte Lipstick - Nude Feud | Lipstick for Women with Hyaluronic Acid &amp; Spanish Squalane | Transferproof, Long Lasting &amp; Non Drying with Hydrating Ingredients 3gms</t>
  </si>
  <si>
    <t>X0025KCY2D</t>
  </si>
  <si>
    <t>B0DK3M4685</t>
  </si>
  <si>
    <t>PGMU-LLMM1</t>
  </si>
  <si>
    <t>Pilgrim Liquid Matte Lipstick - Mocha Muse | Lipstick for Women with Hyaluronic Acid &amp; Spanish Squalane | Transferproof, Long Lasting &amp; Non Drying with Hydrating Ingredients 3gms</t>
  </si>
  <si>
    <t>X0025KCYIR</t>
  </si>
  <si>
    <t>B0DK3QP2FK</t>
  </si>
  <si>
    <t>PGMU-LLDS1</t>
  </si>
  <si>
    <t>Pilgrim Liquid Matte Lipstick - Dark Seduction | Lipstick for Women with Hyaluronic Acid &amp; Spanish Squalane | Transferproof, Long Lasting &amp; Non Drying with Hydrating Ingredients 3gms</t>
  </si>
  <si>
    <t>X0025KCZA9</t>
  </si>
  <si>
    <t>B0DK3Q3WW9</t>
  </si>
  <si>
    <t>PGMU-LLPCF1</t>
  </si>
  <si>
    <t>Pilgrim Liquid Matte Lipstick - Pink Cuff | Lipstick for Women with Hyaluronic Acid &amp; Spanish Squalane | Transferproof, Long Lasting &amp; Non Drying with Hydrating Ingredients 3gms</t>
  </si>
  <si>
    <t>X0025KE99J</t>
  </si>
  <si>
    <t>B0DK3L1XV9</t>
  </si>
  <si>
    <t>PGMU-LLRR1</t>
  </si>
  <si>
    <t>Pilgrim Liquid Matte Lipstick -Red Revenge | Lipstick for Women with Hyaluronic Acid &amp; Spanish Squalane | Transferproof, Long Lasting &amp; Non Drying with Hydrating Ingredients 3gms</t>
  </si>
  <si>
    <t>X0025KEA7P</t>
  </si>
  <si>
    <t>B0DK3M16T3</t>
  </si>
  <si>
    <t>PGMU-LLSR1</t>
  </si>
  <si>
    <t>Pilgrim Liquid Matte Lipstick - Siren Red | Lipstick for Women with Hyaluronic Acid &amp; Spanish Squalane | Transferproof, Long Lasting &amp; Non Drying with Hydrating Ingredients 3gms</t>
  </si>
  <si>
    <t>X0025KK79F</t>
  </si>
  <si>
    <t>B0DK3M59RB</t>
  </si>
  <si>
    <t>PGMU-LLRF1</t>
  </si>
  <si>
    <t>Pilgrim Liquid Matte Lipstick - Ruby Fling | Lipstick for Women with Hyaluronic Acid &amp; Spanish Squalane | Transferproof, Long Lasting &amp; Non Drying with Hydrating Ingredients 3gms</t>
  </si>
  <si>
    <t>X0025KKBSR</t>
  </si>
  <si>
    <t>B0DK3QBLRP</t>
  </si>
  <si>
    <t>PGMU-LLSM1</t>
  </si>
  <si>
    <t>Pilgrim Liquid Matte Lipstick - Sizzlin' Magenta | Lipstick for Women with Hyaluronic Acid &amp; Spanish Squalane | Transferproof, Long Lasting &amp; Non Drying with Hydrating Ingredients 3gms</t>
  </si>
  <si>
    <t>X0025KKBU5</t>
  </si>
  <si>
    <t>B0DK3N4RD3</t>
  </si>
  <si>
    <t>PGMU-LLBM1</t>
  </si>
  <si>
    <t>Pilgrim Liquid Matte Lipstick - Brown Mischief | Lipstick for Women with Hyaluronic Acid &amp; Spanish Squalane | Transferproof, Long Lasting &amp; Non Drying with Hydrating Ingredients 3gms</t>
  </si>
  <si>
    <t>X0025KKBUF</t>
  </si>
  <si>
    <t>B0DK3MKQ78</t>
  </si>
  <si>
    <t>PGMU-LLRD1</t>
  </si>
  <si>
    <t>Pilgrim Liquid Matte Lipstick - Rosy Darlin' | Lipstick for Women with Hyaluronic Acid &amp; Spanish Squalane | Transferproof, Long Lasting &amp; Non Drying with Hydrating Ingredients 3gms</t>
  </si>
  <si>
    <t>X0025U77V1</t>
  </si>
  <si>
    <t>B0DKY5XZJ1</t>
  </si>
  <si>
    <t>PGV-FRVBL1</t>
  </si>
  <si>
    <t>Pilgrim French Red Vine &amp; Hyaluronic Acid Ultra Smooth Body Lotion | 48H Moisturization | Body lotion for dry skin | Infused With Shea Butter | For All Skin Types 400ml (400ml, Red Vine Ultra Smooth Body Lotion)</t>
  </si>
  <si>
    <t>X0025UBBDL</t>
  </si>
  <si>
    <t>B0DKY6J4TB</t>
  </si>
  <si>
    <t>PGS-SGBL1</t>
  </si>
  <si>
    <t>Pilgrim French Red Vine &amp; Hyaluronic Acid Ultra Smooth Body Lotion | 48H Moisturization | Body lotion for dry skin | Infused With Shea Butter | For All Skin Types 400ml (400ml, Niacinamide Glow Body Lotion)</t>
  </si>
  <si>
    <t>X00261WTS5</t>
  </si>
  <si>
    <t>B0DHXDC1X4</t>
  </si>
  <si>
    <t>PGMU-CLA1</t>
  </si>
  <si>
    <t>Pilgrim Full Coverage Dream Matte Liquid Concealer 7.3ml | Concealer for Dark Circles with Australian Kakadu Plum &amp; Hyaluronic Acid | Crease resistance &amp; Lightweight | All Day Coverage | Shade Almond</t>
  </si>
  <si>
    <t>X00261WUSJ</t>
  </si>
  <si>
    <t>B0DD3RBQKK</t>
  </si>
  <si>
    <t>PGMU-BLMA1</t>
  </si>
  <si>
    <t>Pilgrim Matte Bullet Lipstick Intense Colour Transferproof &amp; Smudgeproof Maroon Affair-23</t>
  </si>
  <si>
    <t>X00261ZAUJ</t>
  </si>
  <si>
    <t>B0DK3W5K3S</t>
  </si>
  <si>
    <t>PGK-5CBRM1</t>
  </si>
  <si>
    <t>Pilgrim 5 Ceramides Moisturizer for Face 100g | Hyaluronic Acid for Intense Moisturizing &amp; Skin Strengthening | Barrier Repair with Korean CICA | Lightweight &amp; Non-Sticky | For All Skin Types I For Women and Men I</t>
  </si>
  <si>
    <t>X00261ZAUT</t>
  </si>
  <si>
    <t>B0DHXH6XWB</t>
  </si>
  <si>
    <t>PGMU-CLB1</t>
  </si>
  <si>
    <t>Pilgrim Full Coverage Dream Matte Liquid Concealer 7.3ml | Concealer for Dark Circles with Australian Kakadu Plum &amp; Hyaluronic Acid | Crease resistance &amp; Lightweight | All Day Coverage | Shade Beige</t>
  </si>
  <si>
    <t>X00261ZAV3</t>
  </si>
  <si>
    <t>B0DHXH6M4N</t>
  </si>
  <si>
    <t>PGMU-CLS1</t>
  </si>
  <si>
    <t>Pilgrim Full Coverage Dream Matte Liquid Concealer 7.3ml | Concealer for Dark Circles with Australian Kakadu Plum &amp; Hyaluronic Acid | Crease resistance &amp; Lightweight | All Day Coverage | Shade Sand</t>
  </si>
  <si>
    <t>X00261ZBD5</t>
  </si>
  <si>
    <t>B0DD3QMVH3</t>
  </si>
  <si>
    <t>PGMU-BLCE1</t>
  </si>
  <si>
    <t>Pilgrim Matte Me Up Bullet Lipstick 4.2g | Creamy, Lightweight, Bold, Non Drying | SPF 30 | Enriched With Hyaluronic Acid &amp; Spanish Squalane | Lipstick for dusky skin tone | Coral Envy-01</t>
  </si>
  <si>
    <t>X002621FTD</t>
  </si>
  <si>
    <t>B0DD3PMDXK</t>
  </si>
  <si>
    <t>PGMU-BDCR1</t>
  </si>
  <si>
    <t>Pilgrim 2-IN-1 Blush Duo 9g | Highly Pigmented, Long-lasting, Buildable &amp; Blendable | Goodness of Rosehip Oil &amp; Hydrating Squalane | All Skin Types | Shade Coral Rumba-02</t>
  </si>
  <si>
    <t>X002621FTN</t>
  </si>
  <si>
    <t>B0DD3R2YXH</t>
  </si>
  <si>
    <t>PGMU-BDBB1</t>
  </si>
  <si>
    <t>Pilgrim 2-IN-1 Blush Duo 9g | Highly Pigmented, Long-lasting, Buildable &amp; Blendable | Goodness of Rosehip Oil &amp; Hydrating Squalane | All Skin Types | Shade Berry Beat-03</t>
  </si>
  <si>
    <t>X002622GG9</t>
  </si>
  <si>
    <t>B0DHXCWVXR</t>
  </si>
  <si>
    <t>PGMU-HDGR1</t>
  </si>
  <si>
    <t>Pilgrim Highlighter Duo Lightweight 11G |Long Lasting Highly Pigmented Powder |With Easy To Blend Formula |Shade Champagne Gold &amp; Rose Gold - 01,luminous finish,1 Count</t>
  </si>
  <si>
    <t>X002622GUZ</t>
  </si>
  <si>
    <t>B0DHXGYYJ3</t>
  </si>
  <si>
    <t>PGMU-CLI1</t>
  </si>
  <si>
    <t>Pilgrim Full Coverage Dream Matte Liquid Concealer 7.3ml | Concealer for Dark Circles with Australian Kakadu Plum &amp; Hyaluronic Acid | Crease resistance &amp; Lightweight | All Day Coverage | Shade Ivory</t>
  </si>
  <si>
    <t>X002622GV9</t>
  </si>
  <si>
    <t>B0DD3NK7LJ</t>
  </si>
  <si>
    <t>PGMU-BLNK1</t>
  </si>
  <si>
    <t>Pilgrim Matte Bullet Lipstick Intense Colour Transferproof &amp; Smudgeproof Nude Kiss -31</t>
  </si>
  <si>
    <t>X002622H9F</t>
  </si>
  <si>
    <t>B0DD3NJ6B1</t>
  </si>
  <si>
    <t>PGMU-BLCT1</t>
  </si>
  <si>
    <t>Pilgrim Matte Me Up Bullet Lipstick 4.2g | Creamy, Lightweight, Bold, Non Drying | SPF 30 | Enriched With Hyaluronic Acid &amp; Spanish Squalane | Lipstick for dusky skin tone | Chocolate Tease -32</t>
  </si>
  <si>
    <t>X002622H9P</t>
  </si>
  <si>
    <t>B0DD3PD11S</t>
  </si>
  <si>
    <t>PGMU-BLAB1</t>
  </si>
  <si>
    <t>Pilgrim Matte Bullet Lipstick Intense Colour Transferproof &amp; Smudgeproof Alpha Brown -34</t>
  </si>
  <si>
    <t>X002622LRN</t>
  </si>
  <si>
    <t>B0DD3M8JT2</t>
  </si>
  <si>
    <t>PGMU-BDFP1</t>
  </si>
  <si>
    <t>Pilgrim 2-IN-1 Blush Duo 9g | Highly Pigmented, Long-lasting, Buildable &amp; Blendable | Goodness of Rosehip Oil &amp; Hydrating Squalane | All Skin Types | Shade Flamenco Pink-01</t>
  </si>
  <si>
    <t>X00266S0FV</t>
  </si>
  <si>
    <t>B0DD3QHHGR</t>
  </si>
  <si>
    <t>PGMU-BLCG1</t>
  </si>
  <si>
    <t>Pilgrim Matte Me Up Bullet Lipstick 4.2g | Creamy, Lightweight, Bold, Non Drying | SPF 30 | Enriched With Hyaluronic Acid &amp; Spanish Squalane | Lipstick for dusky skin tone | Caramel Guilt-02</t>
  </si>
  <si>
    <t>X0026HC87V</t>
  </si>
  <si>
    <t>B0DNQ163FY</t>
  </si>
  <si>
    <t>PGMU-GLRN1</t>
  </si>
  <si>
    <t>Pilgrim Glitter Lipstick For Women 4.2gm | Dubai Luxe Lifestyle - Royal Noor Shade | Lipstick Infused with Vitamin E &amp; Olive Oil | Glitter Formula With Matte Finish | Non Drying | All Skin Types</t>
  </si>
  <si>
    <t>X0026HE1HB</t>
  </si>
  <si>
    <t>B0DNQ3NWDX</t>
  </si>
  <si>
    <t>PGMU-GLTK1</t>
  </si>
  <si>
    <t>Pilgrim Glitter Lipstick For Women 4.2gm | Dubai Luxe Lifestyle - The Khalifa Shade | Lipstick Infused with Vitamin E &amp; Olive Oil | Glitter Formula With Matte Finish | Non Drying | All Skin Types</t>
  </si>
  <si>
    <t>X0026HHG1T</t>
  </si>
  <si>
    <t>B0DNQ1J4TY</t>
  </si>
  <si>
    <t>PGMU-GLAN1</t>
  </si>
  <si>
    <t>Pilgrim Glitter Lipstick For Women 4.2gm | Dubai Luxe Lifestyle - Arabian Nites Shade | Lipstick Infused with Vitamin E &amp; Olive Oil | Glitter Formula With Matte Finish | Non Drying | All Skin Types</t>
  </si>
  <si>
    <t>X0026HHGYV</t>
  </si>
  <si>
    <t>B0DNQ4N4HM</t>
  </si>
  <si>
    <t>PGMU-GLCH1</t>
  </si>
  <si>
    <t>Pilgrim Glitter Lipstick For Women 4.2gm | Dubai Luxe Lifestyle - Chic Haseena Shade | Lipstick Infused with Vitamin E &amp; Olive Oil | Glitter Formula With Matte Finish | Non Drying | All Skin Types</t>
  </si>
  <si>
    <t>X0026HHIUN</t>
  </si>
  <si>
    <t>B0DNQ1VT7Z</t>
  </si>
  <si>
    <t>PGMU-GLMH1</t>
  </si>
  <si>
    <t>Pilgrim Glitter Lipstick For Women 4.2gm | Dubai Luxe Lifestyle - My Habibi Shade | Lipstick Infused with Vitamin E &amp; Olive Oil | Glitter Formula With Matte Finish | Non Drying | All Skin Types</t>
  </si>
  <si>
    <t>X0026HHJ3J</t>
  </si>
  <si>
    <t>B0DNQ1MWYN</t>
  </si>
  <si>
    <t>PGMU-GLJJ1</t>
  </si>
  <si>
    <t>Pilgrim Glitter Lipstick For Women 4.2gm | Dubai Luxe Lifestyle - Jumeirah Jewel Shade | Lipstick Infused with Vitamin E &amp; Olive Oil | Glitter Formula With Matte Finish | Non Drying | All Skin Types</t>
  </si>
  <si>
    <t>X0026HHJK7</t>
  </si>
  <si>
    <t>B0DNQ1NCHL</t>
  </si>
  <si>
    <t>PGMU-GLDB1</t>
  </si>
  <si>
    <t>Pilgrim Glitter Lipstick For Women 4.2gm | Dubai Luxe Lifestyle - Dubai Gold Shade | Lipstick Infused with Vitamin E &amp; Olive Oil | Glitter Formula With Matte Finish | Non Drying | All Skin Types</t>
  </si>
  <si>
    <t>X0026HHTM5</t>
  </si>
  <si>
    <t>B0DNQ15QJ6</t>
  </si>
  <si>
    <t>PGMU-GLHH1</t>
  </si>
  <si>
    <t>Pilgrim Glitter Lipstick For Women 4.2gm | Dubai Luxe Lifestyle - Her Highness Shade | Lipstick Infused with Vitamin E &amp; Olive Oil | Glitter Formula With Matte Finish | Non Drying | All Skin Types</t>
  </si>
  <si>
    <t>X0026KYFNX</t>
  </si>
  <si>
    <t>B0DP2CN3Z5</t>
  </si>
  <si>
    <t>PGMU-CPBP1</t>
  </si>
  <si>
    <t>Pilgrim Mega Volume Waterproof Mascara High-definition Volume Smudge-proof Black Passion-02 | 5ml</t>
  </si>
  <si>
    <t>X0026T2A81</t>
  </si>
  <si>
    <t>B0DPMBXHF1</t>
  </si>
  <si>
    <t>PGMU-MCTM1</t>
  </si>
  <si>
    <t>Mega Curl Tubing Mascara Next-Gen Tubing For All-Day, Smudge-Proof Curls - Black Icon-01</t>
  </si>
  <si>
    <t>X0026T9OF3</t>
  </si>
  <si>
    <t>B0DPMTTSKD</t>
  </si>
  <si>
    <t>PGMU-MLLNT1</t>
  </si>
  <si>
    <t>Pilgrim Nude Temptation Mini Liquid Matte Lipstick 4 in 1 Pack Smudgeproof, Hydrating &amp; Lightweight</t>
  </si>
  <si>
    <t>X0026T9OGR</t>
  </si>
  <si>
    <t>B0DPMT42V7</t>
  </si>
  <si>
    <t>PGMU-MLLTPS1</t>
  </si>
  <si>
    <t>Pilgrim Matte Mini Liquid Lipstick 4 in 1 Pack Smudgeproof, Hydrating &amp; Lightweight (The Pink Sin, 4 ml)</t>
  </si>
  <si>
    <t>X0026TE8FJ</t>
  </si>
  <si>
    <t>B0DPMZRR9K</t>
  </si>
  <si>
    <t>PGMU-CPA1</t>
  </si>
  <si>
    <t>Almond-20 Matte Finish Compact Powder SPF 25 Absorbs Oil, Conceals &amp; Gives Radiant Skin</t>
  </si>
  <si>
    <t>X0026TH8K1</t>
  </si>
  <si>
    <t>B0DPMVP7B1</t>
  </si>
  <si>
    <t>PGMU-MLLAOT1</t>
  </si>
  <si>
    <t>Pilgrim Matte Mini Liquid Lipstick 4 in 1 Pack Smudgeproof, Hydrating &amp; Lightweight (Always on Top, 4 ml)</t>
  </si>
  <si>
    <t>X0026TH8KV</t>
  </si>
  <si>
    <t>B0DPMVWNY1</t>
  </si>
  <si>
    <t>PGMU-MLLBM1</t>
  </si>
  <si>
    <t>Pilgrim Matte Mini Liquid Lipstick 4 in 1 Pack Smudgeproof, Hydrating &amp; Lightweight (Bold Mistress, 4 ml)</t>
  </si>
  <si>
    <t>X0026THBV7</t>
  </si>
  <si>
    <t>B0DPN1PJ4J</t>
  </si>
  <si>
    <t>PGMU-CPN1</t>
  </si>
  <si>
    <t>Nude-10 Matte Finish Compact Powder SPF 25 Absorbs Oil, Conceals &amp; Gives Radiant Skin</t>
  </si>
  <si>
    <t>X0026THWJN</t>
  </si>
  <si>
    <t>B0DPMZ65TD</t>
  </si>
  <si>
    <t>PGMU-CPI1</t>
  </si>
  <si>
    <t>Ivory-05 Matte Finish Compact Powder SPF 25 Absorbs Oil, Conceals &amp; Gives Radiant Skin</t>
  </si>
  <si>
    <t>X0026TJ2JL</t>
  </si>
  <si>
    <t>B0DPMZHDDQ</t>
  </si>
  <si>
    <t>PGMU-CPC1</t>
  </si>
  <si>
    <t>Caramel-25 Matte Finish Compact Powder SPF 25 Absorbs Oil, Conceals &amp; Gives Radiant Skin</t>
  </si>
  <si>
    <t>X0026TLMVH</t>
  </si>
  <si>
    <t>B0DPMZ6H52</t>
  </si>
  <si>
    <t>PGMU-CPH1</t>
  </si>
  <si>
    <t>Honey-15 Matte Finish Compact Powder SPF 25 Absorbs Oil, Conceals &amp; Gives Radiant Skin</t>
  </si>
  <si>
    <t>X0027DH29D</t>
  </si>
  <si>
    <t>B0DD3QR51S</t>
  </si>
  <si>
    <t>PGMU-BLMB1</t>
  </si>
  <si>
    <t>Pilgrim Matte Bullet Lipstick Intense Colour Transferproof &amp; Smudgeproof Mocha Bliss-04</t>
  </si>
  <si>
    <t>X0027K56ZN</t>
  </si>
  <si>
    <t>B0DRY4Z2N8</t>
  </si>
  <si>
    <t>PGATT-ADS1-P2</t>
  </si>
  <si>
    <t>Pilgrim Australian Tea Tree Non-Drying Anti-Dandruff Shampoo 200 ml x 2 | 0.01% of Salicylic Acid | Removes Dandruff from Source | Helps with Itching, Irritation | Strong &amp; Smooth Hair | For Men &amp; Women</t>
  </si>
  <si>
    <t>X0027O4M7H</t>
  </si>
  <si>
    <t>B0DSC78ZNR</t>
  </si>
  <si>
    <t>PGMU-ESMS1</t>
  </si>
  <si>
    <t>Pilgrim Eyeshadow Midnight Soiree 12-in-1 Highly Pigmented Shades For The Ultimate Glam | 24Gm</t>
  </si>
  <si>
    <t>X0027O88QD</t>
  </si>
  <si>
    <t>B0DSC6F5GL</t>
  </si>
  <si>
    <t>PGMU-ESFQ1</t>
  </si>
  <si>
    <t>Pilgrim Eyeshadow Fiesta Queen 12-in-1 Highly Pigmented Shades For The Ultimate Glam | 24Gm</t>
  </si>
  <si>
    <t>X0027PYNZR</t>
  </si>
  <si>
    <t>B0DSJDYPZV</t>
  </si>
  <si>
    <t>PGK-NOSLGS50</t>
  </si>
  <si>
    <t>Pilgrim 5% Niacinamide Oil-Free Super Light Gel Sunscreen For Oily Skin SPF 50 PA++++ with Korean White Lotus | No White Cast, Dry Touch, Fast Absorbing | UVA/UVB , Broad Spectrum Protection | Prevents Tanning | For Women and Men | 45ml</t>
  </si>
  <si>
    <t>X0027Q1XBX</t>
  </si>
  <si>
    <t>B0DSJFYRZP</t>
  </si>
  <si>
    <t>PGA-VCBLGS60</t>
  </si>
  <si>
    <t>Pilgrim 5% Vitamin C Brightening Ultra Light Gel Sunscreen SPF 60 PA++++ 45ml | UVA/UVB Protection | No White Cast | Fights Tanning, Brightens Skin | Lightweight &amp; Non-Greasy | For All Skin Type</t>
  </si>
  <si>
    <t>X0027SBZLT</t>
  </si>
  <si>
    <t>B0DSPKW3G5</t>
  </si>
  <si>
    <t>PGMU-SFWM1</t>
  </si>
  <si>
    <t>Pilgrim Dream Matte Serum Lightweight Foundation With Australian Kakadu Plum Vitamin C Warm Mocha-335</t>
  </si>
  <si>
    <t>X0027VUAQR</t>
  </si>
  <si>
    <t>B0DD3Q32ZB</t>
  </si>
  <si>
    <t>PGMU-BLBB1</t>
  </si>
  <si>
    <t>Pilgrim Matte Me Up Bullet Lipstick 4.2g | Creamy, Lightweight, Bold, Non Drying | SPF 30 | Enriched With Hyaluronic Acid &amp; Spanish Squalane | Lipstick for dusky skin tone | Burgundy Blaze -24</t>
  </si>
  <si>
    <t>X0027VUCER</t>
  </si>
  <si>
    <t>B0DD3QWD4J</t>
  </si>
  <si>
    <t>PGMU-BLCL1</t>
  </si>
  <si>
    <t>Pilgrim Matte Me Up Bullet Lipstick 4.2g | Creamy, Lightweight, Bold, Non Drying | SPF 30 | Enriched With Hyaluronic Acid &amp; Spanish Squalane | Lipstick for dusky skin tone | Cinnamon Lust -33</t>
  </si>
  <si>
    <t>X0027VUF5N</t>
  </si>
  <si>
    <t>B0DD3PZL69</t>
  </si>
  <si>
    <t>PGMU-BLNM1</t>
  </si>
  <si>
    <t>Pilgrim Matte Bullet Lipstick Intense Colour Transferproof &amp; Smudgeproof Nude Mystery -05,Peach</t>
  </si>
  <si>
    <t>X0027VYPD1</t>
  </si>
  <si>
    <t>B0DD3QYKM7</t>
  </si>
  <si>
    <t>PGMU-BLPH1</t>
  </si>
  <si>
    <t>Pilgrim Matte Bullet Lipstick Intense Colour Transferproof &amp; Smudgeproof Pink Hotness -12</t>
  </si>
  <si>
    <t>X0027VZZMB</t>
  </si>
  <si>
    <t>B0DD3PDXL9</t>
  </si>
  <si>
    <t>PGMU-BLCC1</t>
  </si>
  <si>
    <t>Pilgrim Matte Me Up Bullet Lipstick 4.2g | Creamy, Lightweight, Bold, Non Drying | SPF 30 | Enriched With Hyaluronic Acid &amp; Spanish Squalane | Lipstick for dusky skin tone |Coco Caress-06</t>
  </si>
  <si>
    <t>X0027W0D0J</t>
  </si>
  <si>
    <t>B0DS62PV5D</t>
  </si>
  <si>
    <t>PGAVC-DBFKPR1</t>
  </si>
  <si>
    <t>Pilgrim Vitamin C Detan &amp; Brightening Facial Kit with Australian Kakadu Plum | Reduces Tan, Smoothens &amp; Brightens Skin | Facial kit for glowing skin with Vitamin C Serum 5ml | All Skin Types |</t>
  </si>
  <si>
    <t>X0027W0D0T</t>
  </si>
  <si>
    <t>B0DD3R6HNZ</t>
  </si>
  <si>
    <t>PGMU-BLSW1</t>
  </si>
  <si>
    <t>Pilgrim Matte Me Up Bullet Lipstick 4.2g | Creamy, Lightweight, Bold, Non Drying | SPF 30 | Enriched With Hyaluronic Acid &amp; Spanish Squalane | Lipstick for dusky skin tone | Sultry Wine-26</t>
  </si>
  <si>
    <t>X0027W0YWB</t>
  </si>
  <si>
    <t>B0DD3R2CZV</t>
  </si>
  <si>
    <t>PGMU-BLUR1</t>
  </si>
  <si>
    <t>Pilgrim Matte Me Up Bullet Lipstick 4.2g | Creamy, Lightweight, Bold, Non Drying | SPF 30 | Enriched With Hyaluronic Acid &amp; Spanish Squalane | Lipstick for dusky skin tone | Coral Untamed Red-22</t>
  </si>
  <si>
    <t>X0027W1R9Z</t>
  </si>
  <si>
    <t>B0DD3QVTGF</t>
  </si>
  <si>
    <t>PGMU-BLFP1</t>
  </si>
  <si>
    <t>Pilgrim Matte Me Up Bullet Lipstick 4.2g | Creamy, Lightweight, Bold, Non Drying | SPF 30 | Enriched With Hyaluronic Acid &amp; Spanish Squalane | Lipstick for dusky skin tone | Forbidden Pink-13</t>
  </si>
  <si>
    <t>X00284FI9H</t>
  </si>
  <si>
    <t>B0DD3PDJK8</t>
  </si>
  <si>
    <t>PGMU-BLRR1</t>
  </si>
  <si>
    <t>Pilgrim Matte Me Up Bullet Lipstick 4.2g | Creamy, Lightweight, Bold, Non Drying | SPF 30 | Enriched With Hyaluronic Acid &amp; Spanish Squalane | Lipstick for dusky skin tone | Ruby Revolt-25</t>
  </si>
  <si>
    <t>X00284KA3B</t>
  </si>
  <si>
    <t>B0DTK6TLGN</t>
  </si>
  <si>
    <t>PGMU-TLP1</t>
  </si>
  <si>
    <t>Pilgrim Translucent Setting Loose Powder Sets Makeup All Day Long Instant Oil Control Non-cakey &amp; Flawless Finish 8g (Translucent, 8gm)</t>
  </si>
  <si>
    <t>X0028IJYEX</t>
  </si>
  <si>
    <t>B0DD3PN29N</t>
  </si>
  <si>
    <t>PGMU-BLPP1</t>
  </si>
  <si>
    <t>Pilgrim Matte Bullet Lipstick Intense Colour Transferproof &amp; Smudgeproof Pink Passion -11</t>
  </si>
  <si>
    <t>X0028IP43N</t>
  </si>
  <si>
    <t>B0DD3PLSLW</t>
  </si>
  <si>
    <t>PGMU-BLFR1</t>
  </si>
  <si>
    <t>Pilgrim Matte Bullet Lipstick Intense Colour Transferproof &amp; Smudgeproof Flamin' Red-21</t>
  </si>
  <si>
    <t>X002916R71</t>
  </si>
  <si>
    <t>B0DYDTD1FX</t>
  </si>
  <si>
    <t>PGK-WLTS50</t>
  </si>
  <si>
    <t>Pilgrim Korean White Lotus Tinted Sunscreen SPF 50+ PA++++ with 3% Niacinamide | No White Cast |Prevents Tanning | Lightweight | For All Skin Types | For Women and Men | 50ml</t>
  </si>
  <si>
    <t>X00291910B</t>
  </si>
  <si>
    <t>B0DYDWG991</t>
  </si>
  <si>
    <t>PGK-ACFS50</t>
  </si>
  <si>
    <t>Pilgrim Korean Aloe Cooling Fluid Sunscreen SPF 50+ PA++++ with Hyaluronic Acid | No White Cast | Prevents Tanning | Lightweight &amp; Water-Resistant | For All Skin Types | For Women and Men | 50ml</t>
  </si>
  <si>
    <t>X0029ONJ3D</t>
  </si>
  <si>
    <t>B0F2J6SDK1</t>
  </si>
  <si>
    <t>PGGTM-RAAHGS1-P2</t>
  </si>
  <si>
    <t>Pilgrim Redensyl 3% + Anagain 4% + Baicapil Advanced Hair Growth Serum for Scalp with Korean Black Rice, Saw Palmetto | Control Hair Fall, Hair Density | Women &amp; Men | 60ml</t>
  </si>
  <si>
    <t>X002A1XFXJ</t>
  </si>
  <si>
    <t>B0F48VNKZK</t>
  </si>
  <si>
    <t>PGASS-P2</t>
  </si>
  <si>
    <t>Pilgrim PatuÃ¡ &amp; Keratin Hair SMOOTHENING SHAMPOO for Dry &amp; Frizzy hair 200 ML (Pack of 2) | Sulphate &amp; Paraben free shampoo for Women &amp; Men | Hair Smoothening &amp; healthy scalp</t>
  </si>
  <si>
    <t>X002ABUF2N</t>
  </si>
  <si>
    <t>B0F4DLD7D7</t>
  </si>
  <si>
    <t>PGA-10VCFS10-P2</t>
  </si>
  <si>
    <t>Pilgrim 10% Vitamin C Face Serum 10 ml (Pack of 2) For Daily Brightness | Face serum for glowing skin | Reduces Dark Spots &amp; Evens Skin Tone | Oily, Combination, Normal Skin Types | For Men and Women</t>
  </si>
  <si>
    <t>X002AI5ORR</t>
  </si>
  <si>
    <t>B0F6D4Q1S5</t>
  </si>
  <si>
    <t>PGK-DRS400</t>
  </si>
  <si>
    <t>Pilgrim Korean Rice Water &amp; Collagen Advanced Damage Repair Shampoo - 400ml | with 17 Amino Acids, Wheat Protein &amp; 5 Ceramides | Paraben-Free | For Dry &amp; Damaged Hair | For Women and Men</t>
  </si>
  <si>
    <t>X002AICRTZ</t>
  </si>
  <si>
    <t>B0F6DDMPFL</t>
  </si>
  <si>
    <t>PGK-DRC1</t>
  </si>
  <si>
    <t>Pilgrim Korean Rice Water &amp; Collagen Advanced Damage Repair Conditioner - 200ml | With 17 Amino Acids, Wheat Protein &amp; Ceramides | Paraben-Free | Deep Nourishment &amp; Shine I For Women &amp; Men</t>
  </si>
  <si>
    <t>BLR4</t>
  </si>
  <si>
    <t>X002AIODIX</t>
  </si>
  <si>
    <t>B0F6JLFPTZ</t>
  </si>
  <si>
    <t>PGK-DRHM1</t>
  </si>
  <si>
    <t>Pilgrim Unscented Korean Rice Water &amp; Collagen Advanced Damage Repair Mask|Deep Repair for Dry,Frizzy &amp; Damaged Hair|With 17 Amino Acids,Wheat Protein &amp; Ceramides|Paraben-Free|For Women&amp;Men,200 gram</t>
  </si>
  <si>
    <t>X002ANN7T9</t>
  </si>
  <si>
    <t>B0F54HQX7Z</t>
  </si>
  <si>
    <t>PGSL-SRAHS1-P2</t>
  </si>
  <si>
    <t>Pilgrim Spanish Rosemary &amp; Biotin Anti Hairfall Shampoo for Reducing Hair Loss &amp; Breakage 200ml (Pack of 2) | Rosemary shampoo for hair growth | Upto 95% stronger hairs | For all hair types | For Men &amp; Women</t>
  </si>
  <si>
    <t>X002ANTAZJ</t>
  </si>
  <si>
    <t>B0F4QXPQMG</t>
  </si>
  <si>
    <t>PGGTM-RAHCS1-P2</t>
  </si>
  <si>
    <t>Pilgrim Redensyl &amp; Anagain Hairfall Control Shampoo with Korean Black Rice 200ml (Pack of 2) | Anti Hairfall shampoo for Men &amp; Women | Reduces Hairfall | Promotes Hair Thickness | For All Hair Types</t>
  </si>
  <si>
    <t>X002AOOMY7</t>
  </si>
  <si>
    <t>B0F6YQKSBX</t>
  </si>
  <si>
    <t>PHD-PRFS1</t>
  </si>
  <si>
    <t>Proven Honest Derma /PHD/ 0.3% Retinol Face Serum with Bakuchiol &amp; Peptides|Face Anti Aging &amp; Wrinkles|Night Serum for Men &amp; Women|Reduces Fine Lines|For Oily,Dry &amp; Combination Skin|30ml</t>
  </si>
  <si>
    <t>X002AWGCWT</t>
  </si>
  <si>
    <t>B0F6YPWYQT</t>
  </si>
  <si>
    <t>PHD-VCBM1</t>
  </si>
  <si>
    <t>/PHD/Vitamin C Brightening Moisturizer | Vitamin C Cream for Face &amp; Glowing Skin | Brightening Moisturizer with Pentavitin, Ferulic Acid &amp; CoQ10 | For Men &amp; Women | Lightweight Day Cream | 50 g</t>
  </si>
  <si>
    <t>X002AWNJ8J</t>
  </si>
  <si>
    <t>B0F6YWK6G9</t>
  </si>
  <si>
    <t>PHD-2HAS1</t>
  </si>
  <si>
    <t>/PHD/ 2% Hyaluronic Acid Dewy Skin Serum | Hyaluronic Acid Face Serum for Dehydrated, Dull &amp; Dry Skin | Hydrating Face Serum with PGA &amp; Panthenol | Deep Hydration &amp; Dewy Finish | Lightweight | 30ml</t>
  </si>
  <si>
    <t>X002AWXLQT</t>
  </si>
  <si>
    <t>B0F6YWM114</t>
  </si>
  <si>
    <t>PHD-10NS1</t>
  </si>
  <si>
    <t>/PHD/ 10% Niacinamide Spot Correcting Serum | Niacinamide for Oily Skin, Acne Scars &amp; Enlarged Pores | Face Serum for Acne-Prone Skin with 2% NAG | Fades Marks, Controls Oil I 30ml</t>
  </si>
  <si>
    <t>X002AWXM95</t>
  </si>
  <si>
    <t>B0F6YQC5LM</t>
  </si>
  <si>
    <t>PHD-10VCBS1</t>
  </si>
  <si>
    <t>/PHD/ 10% Vitamin C Brightening Serum | For Glowing skin, Oily skin, Dry skin | Dark Spots &amp; Uneven Tone Treatment | Face serum for Women &amp; Men | Formulated with Global Dermatologists | 30ml</t>
  </si>
  <si>
    <t>X002AWY0F5</t>
  </si>
  <si>
    <t>B0F6YP63KW</t>
  </si>
  <si>
    <t>PHD-2AADS1</t>
  </si>
  <si>
    <t>/PHD/ 2% Alpha Arbutin Depigmentation Serum | Alpha Arbutin Serum for Pigmentation &amp; Dark Spot | Pigmentation serum for Women &amp; Men | Tyrobrightâ„¢, Niacinamide | 30ml</t>
  </si>
  <si>
    <t>X002AXB101</t>
  </si>
  <si>
    <t>B0F6YQLHZC</t>
  </si>
  <si>
    <t>PHD-2SAAAS1</t>
  </si>
  <si>
    <t>/PHD/ 2% Salicylic Acid Anti-Acne Serum | Salicylic Acid Face Serum for Acne-Prone &amp; Oily Skin | Pore Minimizing serum with Niacinamide &amp; Peptides |Reduces Blackheads &amp; Excess Oil | Men &amp; Women I30 ml</t>
  </si>
  <si>
    <t>X002AXMX7L</t>
  </si>
  <si>
    <t>B0F6YPD6MX</t>
  </si>
  <si>
    <t>PHD-3NOFM1</t>
  </si>
  <si>
    <t>/PHD/ 3% Niacinamide Oil-Free Moisturizer | Face Moisturizer for Oily &amp; Acne-Prone Skin | Lightweight Gel for Men &amp; Women with CICA &amp; Tripeptide | Hydrates &amp; Controls Oil | 50 g</t>
  </si>
  <si>
    <t>X002BC20T7</t>
  </si>
  <si>
    <t>B0F6NTH43P</t>
  </si>
  <si>
    <t>PGK-HGM100</t>
  </si>
  <si>
    <t>Pilgrim Korean Rice Water Hydra Glow Moisturizer 100Gm with 5 Hyaluronic Acids, 3% Niacinamide, 5 Ceramides | 5x Hydration &amp; Instant Glass Skin | Oil-Free, Lightweight Gel | All SkinTypes | Women,Men</t>
  </si>
  <si>
    <t>X002BVBKET</t>
  </si>
  <si>
    <t>B0F6NSQHKZ</t>
  </si>
  <si>
    <t>PGK-HGM50</t>
  </si>
  <si>
    <t>Pilgrim Korean Rice Water Hydra Glow Moisturizer 50Gm with 5 Hyaluronic Acids, 3% Niacinamide, 5 Ceramides | 5x Hydration &amp; Instant Glass Skin | Oil-Free, Lightweight Gel | All SkinTypes | Women,Men</t>
  </si>
  <si>
    <t>X002BVBNAF</t>
  </si>
  <si>
    <t>B0F6D6X1QM</t>
  </si>
  <si>
    <t>PGK-DRS200</t>
  </si>
  <si>
    <t>Pilgrim Korean Rice Water &amp; Collagen Advanced Damage Repair Shampoo - 200ml | with 17 Amino Acids, Wheat Protein &amp; 5 Ceramides | Paraben-Free | For Dry &amp; Damaged Hair | For Women and Men</t>
  </si>
  <si>
    <t>Cost</t>
  </si>
  <si>
    <t>Amt</t>
  </si>
  <si>
    <t>PGK24KGBO1</t>
  </si>
  <si>
    <t>PGATT-ADS1</t>
  </si>
  <si>
    <t>PGKFFW1B</t>
  </si>
  <si>
    <t>PGKSGFFW1</t>
  </si>
  <si>
    <t>PGKS1</t>
  </si>
  <si>
    <t>PGKFMT1</t>
  </si>
  <si>
    <t>PGKDC1</t>
  </si>
  <si>
    <t>PGKFW1</t>
  </si>
  <si>
    <t>PGKNS1</t>
  </si>
  <si>
    <t>PGVNGC1</t>
  </si>
  <si>
    <t>PGVUEC1</t>
  </si>
  <si>
    <t>PGVFS1</t>
  </si>
  <si>
    <t>PGVFC1</t>
  </si>
  <si>
    <t>PGVFW1</t>
  </si>
  <si>
    <t>PGVFM1</t>
  </si>
  <si>
    <t>PGKS20</t>
  </si>
  <si>
    <t>PGKNC1</t>
  </si>
  <si>
    <t>PGKUEC1</t>
  </si>
  <si>
    <t>PGKHC1</t>
  </si>
  <si>
    <t>PGKS-AVBS1</t>
  </si>
  <si>
    <t>PGKS-AAS1</t>
  </si>
  <si>
    <t>PGKS-AHGS1</t>
  </si>
  <si>
    <t>PGKS-LFS1</t>
  </si>
  <si>
    <t>PGKS-SCS1</t>
  </si>
  <si>
    <t>PGKHRK1</t>
  </si>
  <si>
    <t>PGKFWFMTDCNS1</t>
  </si>
  <si>
    <t>PGKSHC1</t>
  </si>
  <si>
    <t>PGKHS1</t>
  </si>
  <si>
    <t>PGSGCSERUM1</t>
  </si>
  <si>
    <t>Revised Rate</t>
  </si>
  <si>
    <t>Revised Amt</t>
  </si>
  <si>
    <t>09/30/2026</t>
  </si>
  <si>
    <t>12/30/2025</t>
  </si>
  <si>
    <t>11/30/2026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</si>
</sst>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8" formatCode="[$-140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43" fontId="0" fillId="0" borderId="0" xfId="42" applyFont="1"/>
    <xf numFmtId="43" fontId="0" fillId="0" borderId="0" xfId="0" applyNumberFormat="1"/>
    <xf numFmtId="0" fontId="0" fillId="34" borderId="0" xfId="0" applyFill="1"/>
    <xf numFmtId="0" fontId="16" fillId="0" borderId="0" xfId="0" applyFont="1"/>
    <xf numFmtId="0" fontId="16" fillId="34" borderId="0" xfId="0" applyFont="1" applyFill="1"/>
    <xf numFmtId="16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nish-Data\F.Y.25-26\Stock%20Reco\combo%20master.xlsx" TargetMode="External"/><Relationship Id="rId1" Type="http://schemas.openxmlformats.org/officeDocument/2006/relationships/externalLinkPath" Target="/Manish-Data/F.Y.25-26/Stock%20Reco/combo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 List"/>
      <sheetName val="Normal"/>
      <sheetName val="Cost Sheet"/>
      <sheetName val="Sheet1"/>
      <sheetName val="Combo Cost Price"/>
      <sheetName val="Sheet2"/>
    </sheetNames>
    <sheetDataSet>
      <sheetData sheetId="0" refreshError="1"/>
      <sheetData sheetId="1" refreshError="1"/>
      <sheetData sheetId="2">
        <row r="1">
          <cell r="C1" t="str">
            <v>SKU</v>
          </cell>
          <cell r="D1" t="str">
            <v>Cost Price- 100%</v>
          </cell>
        </row>
        <row r="2">
          <cell r="C2" t="str">
            <v>PGVFC1</v>
          </cell>
          <cell r="D2">
            <v>52.94</v>
          </cell>
        </row>
        <row r="3">
          <cell r="C3" t="str">
            <v>PGVNGC1</v>
          </cell>
          <cell r="D3">
            <v>42</v>
          </cell>
        </row>
        <row r="4">
          <cell r="C4" t="str">
            <v>PGVFW1</v>
          </cell>
          <cell r="D4">
            <v>35.64</v>
          </cell>
        </row>
        <row r="5">
          <cell r="C5" t="str">
            <v>PGVUEC1</v>
          </cell>
          <cell r="D5">
            <v>40.090000000000003</v>
          </cell>
        </row>
        <row r="6">
          <cell r="C6" t="str">
            <v>PGVFMT1</v>
          </cell>
          <cell r="D6">
            <v>25.87</v>
          </cell>
        </row>
        <row r="7">
          <cell r="C7" t="str">
            <v>PGVFS1</v>
          </cell>
          <cell r="D7">
            <v>41.09</v>
          </cell>
        </row>
        <row r="8">
          <cell r="C8" t="str">
            <v>PGVFM1</v>
          </cell>
          <cell r="D8">
            <v>37.15</v>
          </cell>
        </row>
        <row r="9">
          <cell r="C9" t="str">
            <v>PGVFFWB</v>
          </cell>
          <cell r="D9">
            <v>72.22</v>
          </cell>
        </row>
        <row r="10">
          <cell r="C10" t="str">
            <v>PGVFS</v>
          </cell>
          <cell r="D10">
            <v>61.3</v>
          </cell>
        </row>
        <row r="11">
          <cell r="C11" t="str">
            <v>PGKBB1</v>
          </cell>
          <cell r="D11">
            <v>104.9</v>
          </cell>
        </row>
        <row r="12">
          <cell r="C12" t="str">
            <v>PGKBS1</v>
          </cell>
          <cell r="D12">
            <v>73.14</v>
          </cell>
        </row>
        <row r="13">
          <cell r="C13" t="str">
            <v>PGKFW1</v>
          </cell>
          <cell r="D13">
            <v>38.68</v>
          </cell>
        </row>
        <row r="14">
          <cell r="C14" t="str">
            <v>PGKFMT1</v>
          </cell>
          <cell r="D14">
            <v>27.66</v>
          </cell>
        </row>
        <row r="15">
          <cell r="C15" t="str">
            <v>PGKFS1</v>
          </cell>
          <cell r="D15">
            <v>60.54</v>
          </cell>
        </row>
        <row r="16">
          <cell r="C16" t="str">
            <v>PGKNS1</v>
          </cell>
          <cell r="D16">
            <v>42.21</v>
          </cell>
        </row>
        <row r="17">
          <cell r="C17" t="str">
            <v>PGKDC1</v>
          </cell>
          <cell r="D17">
            <v>94.530000000000015</v>
          </cell>
        </row>
        <row r="18">
          <cell r="C18" t="str">
            <v>PGKS1</v>
          </cell>
          <cell r="D18">
            <v>78.88</v>
          </cell>
        </row>
        <row r="19">
          <cell r="C19" t="str">
            <v>PGKHM1</v>
          </cell>
          <cell r="D19">
            <v>102.91</v>
          </cell>
        </row>
        <row r="20">
          <cell r="C20" t="str">
            <v>PGKHS1</v>
          </cell>
          <cell r="D20">
            <v>100.66</v>
          </cell>
        </row>
        <row r="21">
          <cell r="C21" t="str">
            <v>PGKHC1</v>
          </cell>
          <cell r="D21">
            <v>74.959999999999994</v>
          </cell>
        </row>
        <row r="22">
          <cell r="C22" t="str">
            <v>PGKNC1</v>
          </cell>
          <cell r="D22">
            <v>69.8</v>
          </cell>
        </row>
        <row r="23">
          <cell r="C23" t="str">
            <v>PGKUEC1</v>
          </cell>
          <cell r="D23">
            <v>63.65</v>
          </cell>
        </row>
        <row r="24">
          <cell r="C24" t="str">
            <v>PGKS20</v>
          </cell>
          <cell r="D24">
            <v>88.02</v>
          </cell>
        </row>
        <row r="25">
          <cell r="C25" t="str">
            <v>PGKS-SCS1</v>
          </cell>
          <cell r="D25">
            <v>76.739999999999995</v>
          </cell>
        </row>
        <row r="26">
          <cell r="C26" t="str">
            <v>PGKS-AAS1</v>
          </cell>
          <cell r="D26">
            <v>51.88</v>
          </cell>
        </row>
        <row r="27">
          <cell r="C27" t="str">
            <v>PGKS-LFS1</v>
          </cell>
          <cell r="D27">
            <v>75.27</v>
          </cell>
        </row>
        <row r="28">
          <cell r="C28" t="str">
            <v>PGKS-AVBS1</v>
          </cell>
          <cell r="D28">
            <v>76.59</v>
          </cell>
        </row>
        <row r="29">
          <cell r="C29" t="str">
            <v>PGKS-AHGS1</v>
          </cell>
          <cell r="D29">
            <v>130.22999999999999</v>
          </cell>
        </row>
        <row r="30">
          <cell r="C30" t="str">
            <v>PGK24KGFM1</v>
          </cell>
          <cell r="D30">
            <v>63.4</v>
          </cell>
        </row>
        <row r="31">
          <cell r="C31" t="str">
            <v>PGK24KGBO1</v>
          </cell>
          <cell r="D31">
            <v>101.67</v>
          </cell>
        </row>
        <row r="32">
          <cell r="C32" t="str">
            <v>PGK24KGS20ML</v>
          </cell>
          <cell r="D32">
            <v>70.63</v>
          </cell>
        </row>
        <row r="33">
          <cell r="C33" t="str">
            <v>PGKZAAG1</v>
          </cell>
          <cell r="D33">
            <v>54.45</v>
          </cell>
        </row>
        <row r="34">
          <cell r="C34" t="str">
            <v>PGKFFW1B</v>
          </cell>
          <cell r="D34">
            <v>60.99</v>
          </cell>
        </row>
        <row r="35">
          <cell r="C35" t="str">
            <v>PGKFFW1</v>
          </cell>
          <cell r="D35">
            <v>59.37</v>
          </cell>
        </row>
        <row r="36">
          <cell r="C36" t="str">
            <v>PGKAVG1</v>
          </cell>
          <cell r="D36">
            <v>52.57</v>
          </cell>
        </row>
        <row r="37">
          <cell r="C37" t="str">
            <v>PGKRRNO1</v>
          </cell>
          <cell r="D37">
            <v>80.63</v>
          </cell>
        </row>
        <row r="38">
          <cell r="C38" t="str">
            <v>PGKAO30ML</v>
          </cell>
          <cell r="D38">
            <v>82.5</v>
          </cell>
        </row>
        <row r="39">
          <cell r="C39" t="str">
            <v>PGKAO15ML</v>
          </cell>
          <cell r="D39">
            <v>50.18</v>
          </cell>
        </row>
        <row r="40">
          <cell r="C40" t="str">
            <v>PGKABPPS1</v>
          </cell>
          <cell r="D40">
            <v>53.73</v>
          </cell>
        </row>
        <row r="41">
          <cell r="C41" t="str">
            <v>PGKSNOCS1</v>
          </cell>
          <cell r="D41">
            <v>51.3</v>
          </cell>
        </row>
        <row r="42">
          <cell r="C42" t="str">
            <v>PGKHAHSS1</v>
          </cell>
          <cell r="D42">
            <v>65.650000000000006</v>
          </cell>
        </row>
        <row r="43">
          <cell r="C43" t="str">
            <v>PGKOFGM1</v>
          </cell>
          <cell r="D43">
            <v>72.599999999999994</v>
          </cell>
        </row>
        <row r="44">
          <cell r="C44" t="str">
            <v>PGKSGFFW1</v>
          </cell>
          <cell r="D44">
            <v>66.739999999999995</v>
          </cell>
        </row>
        <row r="45">
          <cell r="C45" t="str">
            <v>PGKTO1</v>
          </cell>
          <cell r="D45">
            <v>106.35</v>
          </cell>
        </row>
        <row r="46">
          <cell r="C46" t="str">
            <v>PGKSSSERUM30</v>
          </cell>
          <cell r="D46">
            <v>52.010000000000005</v>
          </cell>
        </row>
        <row r="47">
          <cell r="C47" t="str">
            <v>PGKSSSERUM50</v>
          </cell>
          <cell r="D47">
            <v>60</v>
          </cell>
        </row>
        <row r="48">
          <cell r="C48" t="str">
            <v>PGSPRGFOIL1</v>
          </cell>
          <cell r="D48">
            <v>84.73</v>
          </cell>
        </row>
        <row r="49">
          <cell r="C49" t="str">
            <v>PGSGBO1</v>
          </cell>
          <cell r="D49">
            <v>63</v>
          </cell>
        </row>
        <row r="50">
          <cell r="C50" t="str">
            <v>PGSOIL1</v>
          </cell>
          <cell r="D50">
            <v>87.78</v>
          </cell>
        </row>
        <row r="51">
          <cell r="C51" t="str">
            <v>PGSFFWASH1</v>
          </cell>
          <cell r="D51">
            <v>61.26</v>
          </cell>
        </row>
        <row r="52">
          <cell r="C52" t="str">
            <v>PGSTMIST1</v>
          </cell>
          <cell r="D52">
            <v>32.49</v>
          </cell>
        </row>
        <row r="53">
          <cell r="C53" t="str">
            <v>PGSL-BLS1</v>
          </cell>
          <cell r="D53">
            <v>31.18</v>
          </cell>
        </row>
        <row r="54">
          <cell r="C54" t="str">
            <v>PGSL-PLS1</v>
          </cell>
          <cell r="D54">
            <v>31.06</v>
          </cell>
        </row>
        <row r="55">
          <cell r="C55" t="str">
            <v>PGSL-SBLS1</v>
          </cell>
          <cell r="D55">
            <v>31.11</v>
          </cell>
        </row>
        <row r="56">
          <cell r="C56" t="str">
            <v>PGSL-BBLS1</v>
          </cell>
          <cell r="D56">
            <v>31.11</v>
          </cell>
        </row>
        <row r="57">
          <cell r="C57" t="str">
            <v>PGSL-BLB1</v>
          </cell>
          <cell r="D57">
            <v>26.42</v>
          </cell>
        </row>
        <row r="58">
          <cell r="C58" t="str">
            <v>PGSL-PLB1</v>
          </cell>
          <cell r="D58">
            <v>26.19</v>
          </cell>
        </row>
        <row r="59">
          <cell r="C59" t="str">
            <v>PGSL-PLSC1</v>
          </cell>
          <cell r="D59">
            <v>27.14</v>
          </cell>
        </row>
        <row r="60">
          <cell r="C60" t="str">
            <v>PGSL-BLSC1</v>
          </cell>
          <cell r="D60">
            <v>26.93</v>
          </cell>
        </row>
        <row r="61">
          <cell r="C61" t="str">
            <v>PGSL-BLSM1</v>
          </cell>
          <cell r="D61">
            <v>37.06</v>
          </cell>
        </row>
        <row r="62">
          <cell r="C62" t="str">
            <v>PGSL-PLSM1</v>
          </cell>
          <cell r="D62">
            <v>37.07</v>
          </cell>
        </row>
        <row r="63">
          <cell r="C63" t="str">
            <v>PGSL-ELPRO1</v>
          </cell>
          <cell r="D63">
            <v>28.74</v>
          </cell>
        </row>
        <row r="64">
          <cell r="C64" t="str">
            <v>PGSPRADCSERUM1</v>
          </cell>
          <cell r="D64">
            <v>72.67</v>
          </cell>
        </row>
        <row r="65">
          <cell r="C65" t="str">
            <v>PGSPRADMOISTURIZER1</v>
          </cell>
          <cell r="D65">
            <v>79.03</v>
          </cell>
        </row>
        <row r="66">
          <cell r="C66" t="str">
            <v>PGSGCSERUM1</v>
          </cell>
          <cell r="D66">
            <v>60.73</v>
          </cell>
        </row>
        <row r="67">
          <cell r="C67" t="str">
            <v>PGSGMOISTURIZER1</v>
          </cell>
          <cell r="D67">
            <v>66.34</v>
          </cell>
        </row>
        <row r="68">
          <cell r="C68" t="str">
            <v>PGSGSMASK1</v>
          </cell>
          <cell r="D68">
            <v>70.2</v>
          </cell>
        </row>
        <row r="69">
          <cell r="C69" t="str">
            <v>PGSUECREAM1</v>
          </cell>
          <cell r="D69">
            <v>69.61</v>
          </cell>
        </row>
        <row r="70">
          <cell r="C70" t="str">
            <v>PGSROUESERUM1</v>
          </cell>
          <cell r="D70">
            <v>75.81</v>
          </cell>
        </row>
        <row r="71">
          <cell r="C71" t="str">
            <v>PGSVCROIL1</v>
          </cell>
          <cell r="D71">
            <v>78.900000000000006</v>
          </cell>
        </row>
        <row r="72">
          <cell r="C72" t="str">
            <v>PGSCQ10ADFOIL1</v>
          </cell>
          <cell r="D72">
            <v>85.81</v>
          </cell>
        </row>
        <row r="73">
          <cell r="C73" t="str">
            <v>PGSBMWATER1</v>
          </cell>
          <cell r="D73">
            <v>80.650000000000006</v>
          </cell>
        </row>
        <row r="74">
          <cell r="C74" t="str">
            <v>PGSS-UMSST1</v>
          </cell>
          <cell r="D74">
            <v>112.63</v>
          </cell>
        </row>
        <row r="75">
          <cell r="C75" t="str">
            <v>PGSBSL-5NC</v>
          </cell>
          <cell r="D75">
            <v>66.42</v>
          </cell>
        </row>
        <row r="76">
          <cell r="C76" t="str">
            <v>PGSBSL-PRHA</v>
          </cell>
          <cell r="D76">
            <v>66.42</v>
          </cell>
        </row>
        <row r="77">
          <cell r="C77" t="str">
            <v>PGSBSL-5LGA</v>
          </cell>
          <cell r="D77">
            <v>66.42</v>
          </cell>
        </row>
        <row r="78">
          <cell r="C78" t="str">
            <v>PGATT-PFFW1</v>
          </cell>
          <cell r="D78">
            <v>62.99</v>
          </cell>
        </row>
        <row r="79">
          <cell r="C79" t="str">
            <v>PGATT-PFWGT1</v>
          </cell>
          <cell r="D79">
            <v>40.29</v>
          </cell>
        </row>
        <row r="80">
          <cell r="C80" t="str">
            <v>PGATT-PT1</v>
          </cell>
          <cell r="D80">
            <v>31.98</v>
          </cell>
        </row>
        <row r="81">
          <cell r="C81" t="str">
            <v>PGATT-NOM1</v>
          </cell>
          <cell r="D81">
            <v>43.71</v>
          </cell>
        </row>
        <row r="82">
          <cell r="C82" t="str">
            <v>PGATT-10NBRS1</v>
          </cell>
          <cell r="D82">
            <v>52.11</v>
          </cell>
        </row>
        <row r="83">
          <cell r="C83" t="str">
            <v>PGATT-EO1</v>
          </cell>
          <cell r="D83">
            <v>55.05</v>
          </cell>
        </row>
        <row r="84">
          <cell r="C84" t="str">
            <v>PGASS</v>
          </cell>
          <cell r="D84">
            <v>92.44</v>
          </cell>
        </row>
        <row r="85">
          <cell r="C85" t="str">
            <v>PGASC</v>
          </cell>
          <cell r="D85">
            <v>77.739999999999995</v>
          </cell>
        </row>
        <row r="86">
          <cell r="C86" t="str">
            <v>PGAHM</v>
          </cell>
          <cell r="D86">
            <v>85.41</v>
          </cell>
        </row>
        <row r="87">
          <cell r="C87" t="str">
            <v>PGASHS</v>
          </cell>
          <cell r="D87">
            <v>113.26</v>
          </cell>
        </row>
        <row r="88">
          <cell r="C88" t="str">
            <v>PGASHO</v>
          </cell>
          <cell r="D88">
            <v>66.69</v>
          </cell>
        </row>
        <row r="89">
          <cell r="C89" t="str">
            <v>PGASSCRUB</v>
          </cell>
          <cell r="D89">
            <v>79.260000000000005</v>
          </cell>
        </row>
        <row r="90">
          <cell r="C90" t="str">
            <v>PGAAGHS</v>
          </cell>
          <cell r="D90">
            <v>100.08</v>
          </cell>
        </row>
        <row r="91">
          <cell r="C91" t="str">
            <v>PGALIC</v>
          </cell>
          <cell r="D91">
            <v>45.01</v>
          </cell>
        </row>
        <row r="92">
          <cell r="C92" t="str">
            <v>PGKFM1</v>
          </cell>
          <cell r="D92">
            <v>58.15</v>
          </cell>
        </row>
        <row r="93">
          <cell r="C93" t="str">
            <v>PGVHNC1</v>
          </cell>
          <cell r="D93">
            <v>27.4</v>
          </cell>
        </row>
        <row r="94">
          <cell r="C94" t="str">
            <v>PGVBW1</v>
          </cell>
          <cell r="D94">
            <v>68.45</v>
          </cell>
        </row>
        <row r="95">
          <cell r="C95" t="str">
            <v>PGVBL1</v>
          </cell>
          <cell r="D95">
            <v>62.45</v>
          </cell>
        </row>
        <row r="96">
          <cell r="C96" t="str">
            <v>PGKBW1</v>
          </cell>
          <cell r="D96">
            <v>72.099999999999994</v>
          </cell>
        </row>
        <row r="97">
          <cell r="C97" t="str">
            <v>PGKBL1</v>
          </cell>
          <cell r="D97">
            <v>59.1</v>
          </cell>
        </row>
        <row r="98">
          <cell r="C98" t="str">
            <v>PGKHNC1</v>
          </cell>
          <cell r="D98">
            <v>33.1</v>
          </cell>
        </row>
        <row r="99">
          <cell r="C99" t="str">
            <v>SAM-HAHSS</v>
          </cell>
          <cell r="D99">
            <v>18.05</v>
          </cell>
        </row>
        <row r="100">
          <cell r="C100" t="str">
            <v>SAM-NC1</v>
          </cell>
          <cell r="D100">
            <v>5.95</v>
          </cell>
        </row>
        <row r="101">
          <cell r="C101" t="str">
            <v>SAM-VFC</v>
          </cell>
          <cell r="D101">
            <v>11.96</v>
          </cell>
        </row>
        <row r="102">
          <cell r="C102" t="str">
            <v>SAM-VNGC</v>
          </cell>
          <cell r="D102">
            <v>6.93</v>
          </cell>
        </row>
        <row r="103">
          <cell r="C103" t="str">
            <v>SAM-AVBS</v>
          </cell>
          <cell r="D103">
            <v>19.850000000000001</v>
          </cell>
        </row>
        <row r="104">
          <cell r="C104" t="str">
            <v>SAMAVBS</v>
          </cell>
          <cell r="D104">
            <v>19.899999999999999</v>
          </cell>
        </row>
        <row r="105">
          <cell r="C105" t="str">
            <v>PGAVC-BSL1</v>
          </cell>
          <cell r="D105">
            <v>61.3</v>
          </cell>
        </row>
        <row r="106">
          <cell r="C106" t="str">
            <v>PGAVC-GFWT1</v>
          </cell>
          <cell r="D106">
            <v>44.39</v>
          </cell>
        </row>
        <row r="107">
          <cell r="C107" t="str">
            <v>PGAVC-1T</v>
          </cell>
          <cell r="D107">
            <v>43.38</v>
          </cell>
        </row>
        <row r="108">
          <cell r="C108" t="str">
            <v>PGAVC-2OFM</v>
          </cell>
          <cell r="D108">
            <v>53.45</v>
          </cell>
        </row>
        <row r="109">
          <cell r="C109" t="str">
            <v>PGSL-SBLB1</v>
          </cell>
          <cell r="D109">
            <v>25.99</v>
          </cell>
        </row>
        <row r="110">
          <cell r="C110" t="str">
            <v>PGBM-NYB1</v>
          </cell>
          <cell r="D110">
            <v>61.45</v>
          </cell>
        </row>
        <row r="111">
          <cell r="C111" t="str">
            <v>PGBM-FK1</v>
          </cell>
          <cell r="D111">
            <v>61.93</v>
          </cell>
        </row>
        <row r="112">
          <cell r="C112" t="str">
            <v>PGBM-SE1</v>
          </cell>
          <cell r="D112">
            <v>56.88</v>
          </cell>
        </row>
        <row r="113">
          <cell r="C113" t="str">
            <v>SAM-ABPPS1</v>
          </cell>
          <cell r="D113">
            <v>10.17</v>
          </cell>
        </row>
        <row r="114">
          <cell r="C114" t="str">
            <v>SAM-24KGFM1</v>
          </cell>
          <cell r="D114">
            <v>8.2799999999999994</v>
          </cell>
        </row>
        <row r="115">
          <cell r="C115" t="str">
            <v>SAM-SGM1</v>
          </cell>
          <cell r="D115">
            <v>14.81</v>
          </cell>
        </row>
        <row r="116">
          <cell r="C116" t="str">
            <v>SAM-SGCS1</v>
          </cell>
          <cell r="D116">
            <v>17.440000000000001</v>
          </cell>
        </row>
        <row r="117">
          <cell r="C117" t="str">
            <v>PGJB1</v>
          </cell>
          <cell r="D117">
            <v>27.89</v>
          </cell>
        </row>
        <row r="118">
          <cell r="C118" t="str">
            <v>PGBB1</v>
          </cell>
          <cell r="D118">
            <v>94</v>
          </cell>
        </row>
        <row r="119">
          <cell r="C119" t="str">
            <v>pink bag/PGSL-PB1</v>
          </cell>
          <cell r="D119">
            <v>65</v>
          </cell>
        </row>
        <row r="120">
          <cell r="C120" t="str">
            <v>MINIS-KLFS1</v>
          </cell>
          <cell r="D120">
            <v>13.070060311439194</v>
          </cell>
        </row>
        <row r="121">
          <cell r="C121" t="str">
            <v>PGAVC-20S</v>
          </cell>
          <cell r="D121">
            <v>131.68</v>
          </cell>
        </row>
        <row r="122">
          <cell r="C122" t="str">
            <v>MINIS-ATTPT1</v>
          </cell>
          <cell r="D122">
            <v>8.6792173182504975</v>
          </cell>
        </row>
        <row r="123">
          <cell r="C123" t="str">
            <v>MINIS-KAAS1</v>
          </cell>
          <cell r="D123">
            <v>15.5</v>
          </cell>
        </row>
        <row r="124">
          <cell r="C124" t="str">
            <v>MINIS-KUEC1</v>
          </cell>
          <cell r="D124">
            <v>8.3651800828736125</v>
          </cell>
        </row>
        <row r="125">
          <cell r="C125" t="str">
            <v>MINIS-SFMT1</v>
          </cell>
          <cell r="D125">
            <v>14.330000000000002</v>
          </cell>
        </row>
        <row r="126">
          <cell r="C126" t="str">
            <v>MINIS-SGSM1</v>
          </cell>
          <cell r="D126">
            <v>15.521093824894169</v>
          </cell>
        </row>
        <row r="127">
          <cell r="C127" t="str">
            <v>MINIS-VFMT1</v>
          </cell>
          <cell r="D127">
            <v>11.917484671424326</v>
          </cell>
        </row>
        <row r="128">
          <cell r="C128" t="str">
            <v>MINIS-VFS1</v>
          </cell>
          <cell r="D128">
            <v>14.709927140516941</v>
          </cell>
        </row>
        <row r="129">
          <cell r="C129" t="str">
            <v>PGEDP-ZEN1</v>
          </cell>
          <cell r="D129">
            <v>106.44999999999999</v>
          </cell>
        </row>
        <row r="130">
          <cell r="C130" t="str">
            <v>PGEDP-ALP1</v>
          </cell>
          <cell r="D130">
            <v>106.23</v>
          </cell>
        </row>
        <row r="131">
          <cell r="C131" t="str">
            <v>PGEDP-GKGOD1</v>
          </cell>
          <cell r="D131">
            <v>116.6</v>
          </cell>
        </row>
        <row r="132">
          <cell r="C132" t="str">
            <v>PGAVC-LLB1</v>
          </cell>
          <cell r="D132">
            <v>28.3</v>
          </cell>
        </row>
        <row r="133">
          <cell r="C133" t="str">
            <v>PGAVC-LLSM1</v>
          </cell>
          <cell r="D133">
            <v>36.78</v>
          </cell>
        </row>
        <row r="134">
          <cell r="C134" t="str">
            <v>PGSAR-120HM1</v>
          </cell>
          <cell r="D134">
            <v>100.13</v>
          </cell>
        </row>
        <row r="135">
          <cell r="C135" t="str">
            <v>PGAVC-LLK1</v>
          </cell>
          <cell r="D135">
            <v>89.66</v>
          </cell>
        </row>
        <row r="136">
          <cell r="C136" t="str">
            <v>PGSAR-HGT1</v>
          </cell>
          <cell r="D136">
            <v>50.09</v>
          </cell>
        </row>
        <row r="137">
          <cell r="C137" t="str">
            <v>PGSAR-OHC1</v>
          </cell>
          <cell r="D137">
            <v>96.77</v>
          </cell>
        </row>
        <row r="138">
          <cell r="C138" t="str">
            <v>PGSAR-12HAS1</v>
          </cell>
          <cell r="D138">
            <v>105.05000000000001</v>
          </cell>
        </row>
        <row r="139">
          <cell r="C139" t="str">
            <v>PGEDP-TIC1</v>
          </cell>
          <cell r="D139">
            <v>130.1</v>
          </cell>
        </row>
        <row r="140">
          <cell r="C140" t="str">
            <v>PGK24K-GGM1</v>
          </cell>
          <cell r="D140">
            <v>103.74</v>
          </cell>
        </row>
        <row r="141">
          <cell r="C141" t="str">
            <v>PGSL-SRAHC1</v>
          </cell>
          <cell r="D141">
            <v>49.08</v>
          </cell>
        </row>
        <row r="142">
          <cell r="C142" t="str">
            <v>PGSL-SREO1</v>
          </cell>
          <cell r="D142">
            <v>45.4</v>
          </cell>
        </row>
        <row r="143">
          <cell r="C143" t="str">
            <v>MINIS-KFMT1</v>
          </cell>
          <cell r="D143">
            <v>7.5210157505820483</v>
          </cell>
        </row>
        <row r="144">
          <cell r="C144" t="str">
            <v>SAM-SGM8G</v>
          </cell>
          <cell r="D144">
            <v>7.71</v>
          </cell>
        </row>
        <row r="145">
          <cell r="C145" t="str">
            <v>SAM-VFC8G</v>
          </cell>
          <cell r="D145">
            <v>7.46</v>
          </cell>
        </row>
        <row r="146">
          <cell r="C146" t="str">
            <v>PGSAR-HFW1</v>
          </cell>
          <cell r="D146">
            <v>48.72</v>
          </cell>
        </row>
        <row r="147">
          <cell r="C147" t="str">
            <v>PGSL-SRAHS1</v>
          </cell>
          <cell r="D147">
            <v>50.8</v>
          </cell>
        </row>
        <row r="148">
          <cell r="C148" t="str">
            <v>PGSL-SRHGO1</v>
          </cell>
          <cell r="D148">
            <v>62.05</v>
          </cell>
        </row>
        <row r="149">
          <cell r="C149" t="str">
            <v>PGK24K-GCGB1</v>
          </cell>
          <cell r="D149">
            <v>431.97</v>
          </cell>
        </row>
        <row r="150">
          <cell r="C150" t="str">
            <v>PGAVC-IVSS1</v>
          </cell>
          <cell r="D150">
            <v>132.01</v>
          </cell>
        </row>
        <row r="151">
          <cell r="C151" t="str">
            <v>PGSAR-PG1</v>
          </cell>
          <cell r="D151">
            <v>70.400000000000006</v>
          </cell>
        </row>
        <row r="152">
          <cell r="C152" t="str">
            <v>PGMU-BBCBG1</v>
          </cell>
          <cell r="D152">
            <v>64.540000000000006</v>
          </cell>
        </row>
        <row r="153">
          <cell r="C153" t="str">
            <v>PGMU-GP1</v>
          </cell>
          <cell r="D153">
            <v>68.349999999999994</v>
          </cell>
        </row>
        <row r="154">
          <cell r="C154" t="str">
            <v>PGK24K-GGFW1</v>
          </cell>
          <cell r="D154">
            <v>53.91</v>
          </cell>
        </row>
        <row r="155">
          <cell r="C155" t="str">
            <v>PGMU-IM1</v>
          </cell>
          <cell r="D155">
            <v>61.98</v>
          </cell>
        </row>
        <row r="156">
          <cell r="C156" t="str">
            <v>PGMU-LLBN1</v>
          </cell>
          <cell r="D156">
            <v>79.14</v>
          </cell>
        </row>
        <row r="157">
          <cell r="C157" t="str">
            <v>PGMU-LLBT1</v>
          </cell>
          <cell r="D157">
            <v>78.709999999999994</v>
          </cell>
        </row>
        <row r="158">
          <cell r="C158" t="str">
            <v>PGMU-LLNO1</v>
          </cell>
          <cell r="D158">
            <v>78.790000000000006</v>
          </cell>
        </row>
        <row r="159">
          <cell r="C159" t="str">
            <v>PGMU-LLPC1</v>
          </cell>
          <cell r="D159">
            <v>78.48</v>
          </cell>
        </row>
        <row r="160">
          <cell r="C160" t="str">
            <v>PGMU-LLWS1</v>
          </cell>
          <cell r="D160">
            <v>79.13</v>
          </cell>
        </row>
        <row r="161">
          <cell r="C161" t="str">
            <v>PGMU-EBS1</v>
          </cell>
          <cell r="D161">
            <v>51.93</v>
          </cell>
        </row>
        <row r="162">
          <cell r="C162" t="str">
            <v>PGMU-MEBB1</v>
          </cell>
          <cell r="D162">
            <v>50.4</v>
          </cell>
        </row>
        <row r="163">
          <cell r="C163" t="str">
            <v>PGMU-BBCAG1</v>
          </cell>
          <cell r="D163">
            <v>64.540000000000006</v>
          </cell>
        </row>
        <row r="164">
          <cell r="C164" t="str">
            <v>PGMU-BBCHG1</v>
          </cell>
          <cell r="D164">
            <v>64.540000000000006</v>
          </cell>
        </row>
        <row r="165">
          <cell r="C165" t="str">
            <v>PGMU-LLBB1</v>
          </cell>
          <cell r="D165">
            <v>78.59</v>
          </cell>
        </row>
        <row r="166">
          <cell r="C166" t="str">
            <v>PGMU-LLFR1</v>
          </cell>
          <cell r="D166">
            <v>78.87</v>
          </cell>
        </row>
        <row r="167">
          <cell r="C167" t="str">
            <v>PGMU-LLKP1</v>
          </cell>
          <cell r="D167">
            <v>78.73</v>
          </cell>
        </row>
        <row r="168">
          <cell r="C168" t="str">
            <v>PGMU-LLMD1</v>
          </cell>
          <cell r="D168">
            <v>79.28</v>
          </cell>
        </row>
        <row r="169">
          <cell r="C169" t="str">
            <v>PGMU-LLPL1</v>
          </cell>
          <cell r="D169">
            <v>38.94</v>
          </cell>
        </row>
        <row r="170">
          <cell r="C170" t="str">
            <v>PGMU-LLSC1</v>
          </cell>
          <cell r="D170">
            <v>78.75</v>
          </cell>
        </row>
        <row r="171">
          <cell r="C171" t="str">
            <v>PGMU-LLTRS1</v>
          </cell>
          <cell r="D171">
            <v>78.44</v>
          </cell>
        </row>
        <row r="172">
          <cell r="C172" t="str">
            <v>PGMU-LLPK1</v>
          </cell>
          <cell r="D172">
            <v>78.8</v>
          </cell>
        </row>
        <row r="173">
          <cell r="C173" t="str">
            <v>PGMU-SFPI1</v>
          </cell>
          <cell r="D173">
            <v>114.81</v>
          </cell>
        </row>
        <row r="174">
          <cell r="C174" t="str">
            <v>PGMU-SFGB1</v>
          </cell>
          <cell r="D174">
            <v>114.80999999999999</v>
          </cell>
        </row>
        <row r="175">
          <cell r="C175" t="str">
            <v>PGMU-SFCN1</v>
          </cell>
          <cell r="D175">
            <v>114.80999999999999</v>
          </cell>
        </row>
        <row r="176">
          <cell r="C176" t="str">
            <v>PGMU-SFWS1</v>
          </cell>
          <cell r="D176">
            <v>114.81</v>
          </cell>
        </row>
        <row r="177">
          <cell r="C177" t="str">
            <v>PGMU-SFNA1</v>
          </cell>
          <cell r="D177">
            <v>114.81</v>
          </cell>
        </row>
        <row r="178">
          <cell r="C178" t="str">
            <v>PGMU-MEBR1</v>
          </cell>
          <cell r="D178">
            <v>63.22</v>
          </cell>
        </row>
        <row r="179">
          <cell r="C179" t="str">
            <v>PGMU-MEGE1</v>
          </cell>
          <cell r="D179">
            <v>53.64</v>
          </cell>
        </row>
        <row r="180">
          <cell r="C180" t="str">
            <v>PGMU-SFRC1</v>
          </cell>
          <cell r="D180">
            <v>114.81</v>
          </cell>
        </row>
        <row r="181">
          <cell r="C181" t="str">
            <v>PGMU-SRM1</v>
          </cell>
          <cell r="D181">
            <v>26</v>
          </cell>
        </row>
        <row r="182">
          <cell r="C182" t="str">
            <v>PG24K-GFK1</v>
          </cell>
          <cell r="D182">
            <v>94.559999999999988</v>
          </cell>
        </row>
        <row r="183">
          <cell r="C183" t="str">
            <v>PGMU-CPCN1</v>
          </cell>
          <cell r="D183">
            <v>83.14</v>
          </cell>
        </row>
        <row r="184">
          <cell r="C184" t="str">
            <v>PGMU-CPGB1</v>
          </cell>
          <cell r="D184">
            <v>83.14</v>
          </cell>
        </row>
        <row r="185">
          <cell r="C185" t="str">
            <v>PGMU-CPPI1</v>
          </cell>
          <cell r="D185">
            <v>83.14</v>
          </cell>
        </row>
        <row r="186">
          <cell r="C186" t="str">
            <v>PGMU-CPRC1</v>
          </cell>
          <cell r="D186">
            <v>83.14</v>
          </cell>
        </row>
        <row r="187">
          <cell r="C187" t="str">
            <v>PGMU-CPWS1</v>
          </cell>
          <cell r="D187">
            <v>83.14</v>
          </cell>
        </row>
        <row r="188">
          <cell r="C188" t="str">
            <v>SAM-ABPPS1</v>
          </cell>
          <cell r="D188">
            <v>10.17</v>
          </cell>
        </row>
        <row r="189">
          <cell r="C189" t="str">
            <v>PG-SIH1</v>
          </cell>
          <cell r="D189">
            <v>32.5</v>
          </cell>
        </row>
        <row r="190">
          <cell r="C190" t="str">
            <v>PGPK-PSB1</v>
          </cell>
          <cell r="D190">
            <v>3.99</v>
          </cell>
        </row>
        <row r="191">
          <cell r="C191" t="str">
            <v>PGGTM-SRAHS1</v>
          </cell>
          <cell r="D191">
            <v>52.39</v>
          </cell>
        </row>
        <row r="192">
          <cell r="C192" t="str">
            <v>PG-ATTAAGW1</v>
          </cell>
          <cell r="D192">
            <v>23.4</v>
          </cell>
        </row>
        <row r="193">
          <cell r="C193" t="str">
            <v>PG-FRVYGFW1</v>
          </cell>
          <cell r="D193">
            <v>26.69</v>
          </cell>
        </row>
        <row r="194">
          <cell r="C194" t="str">
            <v>PG-SSGFW1</v>
          </cell>
          <cell r="D194">
            <v>23.42</v>
          </cell>
        </row>
        <row r="195">
          <cell r="C195" t="str">
            <v>PG-ANVCBGFW1</v>
          </cell>
          <cell r="D195">
            <v>23.39</v>
          </cell>
        </row>
        <row r="196">
          <cell r="C196" t="str">
            <v>PGGTM-RAAHGS1</v>
          </cell>
          <cell r="D196">
            <v>83.65</v>
          </cell>
        </row>
        <row r="197">
          <cell r="C197" t="str">
            <v>PGGTM-RAHCS1</v>
          </cell>
          <cell r="D197">
            <v>53.08</v>
          </cell>
        </row>
        <row r="198">
          <cell r="C198" t="str">
            <v>PGGTM-APSS1</v>
          </cell>
          <cell r="D198">
            <v>94.25</v>
          </cell>
        </row>
        <row r="199">
          <cell r="C199" t="str">
            <v>PGPK-PMB1</v>
          </cell>
          <cell r="D199">
            <v>6.86</v>
          </cell>
        </row>
        <row r="200">
          <cell r="C200" t="str">
            <v>PGPK-PBB1</v>
          </cell>
          <cell r="D200">
            <v>9.6999999999999993</v>
          </cell>
        </row>
        <row r="201">
          <cell r="C201" t="str">
            <v>PGMU-LCETPF1</v>
          </cell>
          <cell r="D201">
            <v>87.9</v>
          </cell>
        </row>
        <row r="202">
          <cell r="C202" t="str">
            <v>PGMU-LCETCS1</v>
          </cell>
          <cell r="D202">
            <v>87.9</v>
          </cell>
        </row>
        <row r="203">
          <cell r="C203" t="str">
            <v>PGMU-LCETTBT1</v>
          </cell>
          <cell r="D203">
            <v>87.899999999999991</v>
          </cell>
        </row>
        <row r="204">
          <cell r="C204" t="str">
            <v>PGGTM-AOSFS1</v>
          </cell>
          <cell r="D204">
            <v>78.88000000000001</v>
          </cell>
        </row>
        <row r="205">
          <cell r="C205" t="str">
            <v>PG-VLAOCFW1</v>
          </cell>
          <cell r="D205">
            <v>23.44</v>
          </cell>
        </row>
        <row r="206">
          <cell r="C206" t="str">
            <v>PGK24K-GCGB2</v>
          </cell>
          <cell r="D206">
            <v>338.61</v>
          </cell>
        </row>
        <row r="207">
          <cell r="C207" t="str">
            <v>PG-GCB</v>
          </cell>
          <cell r="D207">
            <v>116.8</v>
          </cell>
        </row>
        <row r="208">
          <cell r="C208" t="str">
            <v>PGK-KAS</v>
          </cell>
          <cell r="D208">
            <v>45.74</v>
          </cell>
        </row>
        <row r="209">
          <cell r="C209" t="str">
            <v>PGMU-ADMSS1</v>
          </cell>
          <cell r="D209">
            <v>45.21</v>
          </cell>
        </row>
        <row r="210">
          <cell r="C210" t="str">
            <v>PGEDP-TFLC1</v>
          </cell>
          <cell r="D210">
            <v>150.74</v>
          </cell>
        </row>
        <row r="211">
          <cell r="C211" t="str">
            <v>PGGB-KBSPFKGBOX</v>
          </cell>
          <cell r="D211">
            <v>250</v>
          </cell>
        </row>
        <row r="212">
          <cell r="C212" t="str">
            <v>PGSKITBOX</v>
          </cell>
          <cell r="D212">
            <v>250</v>
          </cell>
        </row>
        <row r="213">
          <cell r="C213" t="str">
            <v>PG-BMP1</v>
          </cell>
          <cell r="D213">
            <v>41.5</v>
          </cell>
        </row>
        <row r="214">
          <cell r="C214" t="str">
            <v>PGPK-POB1</v>
          </cell>
          <cell r="D214">
            <v>45.65</v>
          </cell>
        </row>
        <row r="215">
          <cell r="C215" t="str">
            <v>PGPK-PMIB1</v>
          </cell>
          <cell r="D215">
            <v>2.8999999999999995</v>
          </cell>
        </row>
        <row r="216">
          <cell r="C216" t="str">
            <v>PGMU-FRVSCB1</v>
          </cell>
          <cell r="D216">
            <v>61.75</v>
          </cell>
        </row>
        <row r="217">
          <cell r="C217" t="str">
            <v>PG-FSB1</v>
          </cell>
          <cell r="D217">
            <v>32</v>
          </cell>
        </row>
        <row r="218">
          <cell r="C218" t="str">
            <v>PGIS-DAGGK-BOX</v>
          </cell>
          <cell r="D218">
            <v>240</v>
          </cell>
        </row>
        <row r="219">
          <cell r="C219" t="str">
            <v>PGIS-G24KGFK-BOX</v>
          </cell>
          <cell r="D219">
            <v>200</v>
          </cell>
        </row>
        <row r="220">
          <cell r="C220" t="str">
            <v>PGIS-BSCGK-BOX</v>
          </cell>
          <cell r="D220">
            <v>240</v>
          </cell>
        </row>
        <row r="221">
          <cell r="C221" t="str">
            <v>PGIS-DGGKK-BOX</v>
          </cell>
          <cell r="D221">
            <v>240</v>
          </cell>
        </row>
        <row r="222">
          <cell r="C222" t="str">
            <v>PGIS-DLNSK-BOX</v>
          </cell>
          <cell r="D222">
            <v>240</v>
          </cell>
        </row>
        <row r="223">
          <cell r="C223" t="str">
            <v>PGIS-DSGGK-BOX</v>
          </cell>
          <cell r="D223">
            <v>240</v>
          </cell>
        </row>
        <row r="224">
          <cell r="C224" t="str">
            <v>PGIS-GMGK-BOX</v>
          </cell>
          <cell r="D224">
            <v>240</v>
          </cell>
        </row>
        <row r="225">
          <cell r="C225" t="str">
            <v>PGIS-MSGK-BOX</v>
          </cell>
          <cell r="D225">
            <v>240</v>
          </cell>
        </row>
        <row r="226">
          <cell r="C226" t="str">
            <v>PGIS-SHEGK-BOX</v>
          </cell>
          <cell r="D226">
            <v>240</v>
          </cell>
        </row>
        <row r="227">
          <cell r="C227" t="str">
            <v>PGIS-SSHEGK-BOX</v>
          </cell>
          <cell r="D227">
            <v>240</v>
          </cell>
        </row>
        <row r="228">
          <cell r="C228" t="str">
            <v>PG-HGMB1</v>
          </cell>
          <cell r="D228">
            <v>48</v>
          </cell>
        </row>
        <row r="229">
          <cell r="C229" t="str">
            <v>PG-SGMB1</v>
          </cell>
          <cell r="D229">
            <v>48</v>
          </cell>
        </row>
        <row r="230">
          <cell r="C230" t="str">
            <v>PG-BMP2</v>
          </cell>
          <cell r="D230">
            <v>33.24</v>
          </cell>
        </row>
        <row r="231">
          <cell r="C231" t="str">
            <v>PGS-NGSS50</v>
          </cell>
          <cell r="D231">
            <v>50.06</v>
          </cell>
        </row>
        <row r="232">
          <cell r="C232" t="str">
            <v>PGK-HASSG50</v>
          </cell>
          <cell r="D232">
            <v>61.06</v>
          </cell>
        </row>
        <row r="233">
          <cell r="C233" t="str">
            <v>PG-PSMB1</v>
          </cell>
          <cell r="D233">
            <v>48</v>
          </cell>
        </row>
        <row r="234">
          <cell r="C234" t="str">
            <v>PG-RMB1</v>
          </cell>
          <cell r="D234">
            <v>50</v>
          </cell>
        </row>
        <row r="235">
          <cell r="C235" t="str">
            <v>PGA-VCBUEC1</v>
          </cell>
          <cell r="D235">
            <v>40.44</v>
          </cell>
        </row>
        <row r="236">
          <cell r="C236" t="str">
            <v>PGKS-RAAHGS1</v>
          </cell>
          <cell r="D236">
            <v>230.17</v>
          </cell>
        </row>
        <row r="237">
          <cell r="C237" t="str">
            <v>PGMU-GPSAC2</v>
          </cell>
          <cell r="D237">
            <v>3.59</v>
          </cell>
        </row>
        <row r="238">
          <cell r="C238" t="str">
            <v>PGMU-KBM1</v>
          </cell>
          <cell r="D238">
            <v>55.77</v>
          </cell>
        </row>
        <row r="239">
          <cell r="C239" t="str">
            <v>PGSL-SRAHM1</v>
          </cell>
          <cell r="D239">
            <v>59.82</v>
          </cell>
        </row>
        <row r="240">
          <cell r="C240" t="str">
            <v>PGKS-RAHHM1</v>
          </cell>
          <cell r="D240">
            <v>60.9</v>
          </cell>
        </row>
        <row r="241">
          <cell r="C241" t="str">
            <v>PGK-5NFS10</v>
          </cell>
          <cell r="D241">
            <v>37.46</v>
          </cell>
        </row>
        <row r="242">
          <cell r="C242" t="str">
            <v>PGA-15VCFS20</v>
          </cell>
          <cell r="D242">
            <v>76.31</v>
          </cell>
        </row>
        <row r="243">
          <cell r="C243" t="str">
            <v>PGKS-RAHC1</v>
          </cell>
          <cell r="D243">
            <v>53.669999999999995</v>
          </cell>
        </row>
        <row r="244">
          <cell r="C244" t="str">
            <v>PGK-10NFS10</v>
          </cell>
          <cell r="D244">
            <v>28.199999999999996</v>
          </cell>
        </row>
        <row r="245">
          <cell r="C245" t="str">
            <v>PGK-2SAFS10</v>
          </cell>
          <cell r="D245">
            <v>29.02</v>
          </cell>
        </row>
        <row r="246">
          <cell r="C246" t="str">
            <v>PGK-10NFS30</v>
          </cell>
          <cell r="D246">
            <v>45.36</v>
          </cell>
        </row>
        <row r="247">
          <cell r="C247" t="str">
            <v>PGATT-ADHM1</v>
          </cell>
          <cell r="D247">
            <v>56.28</v>
          </cell>
        </row>
        <row r="248">
          <cell r="C248" t="str">
            <v>PGATT-ADS1</v>
          </cell>
          <cell r="D248">
            <v>60.216666666666661</v>
          </cell>
        </row>
        <row r="249">
          <cell r="C249" t="str">
            <v>PGATT-ADC1</v>
          </cell>
          <cell r="D249">
            <v>41.62</v>
          </cell>
        </row>
        <row r="250">
          <cell r="C250" t="str">
            <v>PGATT-ADSS1</v>
          </cell>
          <cell r="D250">
            <v>90.48</v>
          </cell>
        </row>
        <row r="251">
          <cell r="C251" t="str">
            <v>MINI-PGS-NGSSSO</v>
          </cell>
          <cell r="D251">
            <v>4.6900000000000004</v>
          </cell>
        </row>
        <row r="252">
          <cell r="C252" t="str">
            <v>PG-HGMB2</v>
          </cell>
          <cell r="D252">
            <v>83</v>
          </cell>
        </row>
        <row r="253">
          <cell r="C253" t="str">
            <v>PG-SGMB2</v>
          </cell>
          <cell r="D253">
            <v>83</v>
          </cell>
        </row>
        <row r="254">
          <cell r="C254" t="str">
            <v>PG24K-GFKMSP1</v>
          </cell>
          <cell r="D254">
            <v>424.42</v>
          </cell>
        </row>
        <row r="255">
          <cell r="C255" t="str">
            <v>PGA-10VCFS30</v>
          </cell>
          <cell r="D255">
            <v>75.13</v>
          </cell>
        </row>
        <row r="256">
          <cell r="C256" t="str">
            <v>PGA-10VCFS10</v>
          </cell>
          <cell r="D256">
            <v>34.369999999999997</v>
          </cell>
        </row>
        <row r="257">
          <cell r="C257" t="str">
            <v>PG-STB1</v>
          </cell>
          <cell r="D257">
            <v>680</v>
          </cell>
        </row>
        <row r="258">
          <cell r="C258" t="str">
            <v>PG-GWP-C</v>
          </cell>
          <cell r="D258">
            <v>85</v>
          </cell>
        </row>
        <row r="259">
          <cell r="C259" t="str">
            <v>PG-GWP-G</v>
          </cell>
          <cell r="D259">
            <v>120</v>
          </cell>
        </row>
        <row r="260">
          <cell r="C260" t="str">
            <v>PG-RB1</v>
          </cell>
          <cell r="D260">
            <v>30</v>
          </cell>
        </row>
        <row r="261">
          <cell r="C261" t="str">
            <v>PGMU-HDGR1</v>
          </cell>
          <cell r="D261">
            <v>120.58</v>
          </cell>
        </row>
        <row r="262">
          <cell r="C262" t="str">
            <v>PGMU-CLI1</v>
          </cell>
          <cell r="D262">
            <v>73.17</v>
          </cell>
        </row>
        <row r="263">
          <cell r="C263" t="str">
            <v>PGMU-CLS1</v>
          </cell>
          <cell r="D263">
            <v>73.05</v>
          </cell>
        </row>
        <row r="264">
          <cell r="C264" t="str">
            <v>PGMU-CLA1</v>
          </cell>
          <cell r="D264">
            <v>73.05</v>
          </cell>
        </row>
        <row r="265">
          <cell r="C265" t="str">
            <v>PGMU-CLB1</v>
          </cell>
          <cell r="D265">
            <v>73.05</v>
          </cell>
        </row>
        <row r="266">
          <cell r="C266" t="str">
            <v>PGMU-BDFP1</v>
          </cell>
          <cell r="D266">
            <v>86.699999999999989</v>
          </cell>
        </row>
        <row r="267">
          <cell r="C267" t="str">
            <v>PGMU-BDCR1</v>
          </cell>
          <cell r="D267">
            <v>86.7</v>
          </cell>
        </row>
        <row r="268">
          <cell r="C268" t="str">
            <v>PGMU-BDBB1</v>
          </cell>
          <cell r="D268">
            <v>86.7</v>
          </cell>
        </row>
        <row r="269">
          <cell r="C269" t="str">
            <v>PGMU-BLCE1</v>
          </cell>
          <cell r="D269">
            <v>98.3</v>
          </cell>
        </row>
        <row r="270">
          <cell r="C270" t="str">
            <v>PGMU-BLCG1</v>
          </cell>
          <cell r="D270">
            <v>98.3</v>
          </cell>
        </row>
        <row r="271">
          <cell r="C271" t="str">
            <v>PGMU-BLCP1</v>
          </cell>
          <cell r="D271">
            <v>98.3</v>
          </cell>
        </row>
        <row r="272">
          <cell r="C272" t="str">
            <v>PGMU-BLMB1</v>
          </cell>
          <cell r="D272">
            <v>98.3</v>
          </cell>
        </row>
        <row r="273">
          <cell r="C273" t="str">
            <v>PGMU-BLNM1</v>
          </cell>
          <cell r="D273">
            <v>98.3</v>
          </cell>
        </row>
        <row r="274">
          <cell r="C274" t="str">
            <v>PGMU-BLCC1</v>
          </cell>
          <cell r="D274">
            <v>98.3</v>
          </cell>
        </row>
        <row r="275">
          <cell r="C275" t="str">
            <v>PGMU-BLPP1</v>
          </cell>
          <cell r="D275">
            <v>98.299999999999983</v>
          </cell>
        </row>
        <row r="276">
          <cell r="C276" t="str">
            <v>PGMU-BLPH1</v>
          </cell>
          <cell r="D276">
            <v>98.3</v>
          </cell>
        </row>
        <row r="277">
          <cell r="C277" t="str">
            <v>PGMU-BLFP1</v>
          </cell>
          <cell r="D277">
            <v>98.3</v>
          </cell>
        </row>
        <row r="278">
          <cell r="C278" t="str">
            <v>PGMU-BLPR1</v>
          </cell>
          <cell r="D278">
            <v>98.3</v>
          </cell>
        </row>
        <row r="279">
          <cell r="C279" t="str">
            <v>PGMU-BLFR1</v>
          </cell>
          <cell r="D279">
            <v>98.299999999999983</v>
          </cell>
        </row>
        <row r="280">
          <cell r="C280" t="str">
            <v>PGMU-BLUR1</v>
          </cell>
          <cell r="D280">
            <v>98.3</v>
          </cell>
        </row>
        <row r="281">
          <cell r="C281" t="str">
            <v>PGMU-BLMA1</v>
          </cell>
          <cell r="D281">
            <v>98.3</v>
          </cell>
        </row>
        <row r="282">
          <cell r="C282" t="str">
            <v>PGMU-BLBB1</v>
          </cell>
          <cell r="D282">
            <v>98.3</v>
          </cell>
        </row>
        <row r="283">
          <cell r="C283" t="str">
            <v>PGMU-BLRR1</v>
          </cell>
          <cell r="D283">
            <v>98.3</v>
          </cell>
        </row>
        <row r="284">
          <cell r="C284" t="str">
            <v>PGMU-BLSW1</v>
          </cell>
          <cell r="D284">
            <v>98.299999999999983</v>
          </cell>
        </row>
        <row r="285">
          <cell r="C285" t="str">
            <v>PGMU-BLNK1</v>
          </cell>
          <cell r="D285">
            <v>98.299999999999983</v>
          </cell>
        </row>
        <row r="286">
          <cell r="C286" t="str">
            <v>PGMU-BLCT1</v>
          </cell>
          <cell r="D286">
            <v>98.3</v>
          </cell>
        </row>
        <row r="287">
          <cell r="C287" t="str">
            <v>PGMU-BLCL1</v>
          </cell>
          <cell r="D287">
            <v>98.3</v>
          </cell>
        </row>
        <row r="288">
          <cell r="C288" t="str">
            <v>PGMU-BLAB1</v>
          </cell>
          <cell r="D288">
            <v>98.3</v>
          </cell>
        </row>
        <row r="289">
          <cell r="C289" t="str">
            <v>PGMU-LLPCF1</v>
          </cell>
          <cell r="D289">
            <v>79.680000000000007</v>
          </cell>
        </row>
        <row r="290">
          <cell r="C290" t="str">
            <v>PGMU-LLDS1</v>
          </cell>
          <cell r="D290">
            <v>79.709999999999994</v>
          </cell>
        </row>
        <row r="291">
          <cell r="C291" t="str">
            <v>PGMU-LLBM1</v>
          </cell>
          <cell r="D291">
            <v>79.680000000000007</v>
          </cell>
        </row>
        <row r="292">
          <cell r="C292" t="str">
            <v>PGMU-LLMM1</v>
          </cell>
          <cell r="D292">
            <v>79.680000000000007</v>
          </cell>
        </row>
        <row r="293">
          <cell r="C293" t="str">
            <v>PGMU-LLNF1</v>
          </cell>
          <cell r="D293">
            <v>79.680000000000007</v>
          </cell>
        </row>
        <row r="294">
          <cell r="C294" t="str">
            <v>PGMU-LLRR1</v>
          </cell>
          <cell r="D294">
            <v>79.680000000000007</v>
          </cell>
        </row>
        <row r="295">
          <cell r="C295" t="str">
            <v>PGMU-LLRD1</v>
          </cell>
          <cell r="D295">
            <v>79.680000000000007</v>
          </cell>
        </row>
        <row r="296">
          <cell r="C296" t="str">
            <v>PGMU-LLRF1</v>
          </cell>
          <cell r="D296">
            <v>79.14</v>
          </cell>
        </row>
        <row r="297">
          <cell r="C297" t="str">
            <v>PGMU-LLSS1</v>
          </cell>
          <cell r="D297">
            <v>79.680000000000007</v>
          </cell>
        </row>
        <row r="298">
          <cell r="C298" t="str">
            <v>PGMU-LLSR1</v>
          </cell>
          <cell r="D298">
            <v>79.680000000000007</v>
          </cell>
        </row>
        <row r="299">
          <cell r="C299" t="str">
            <v>PGMU-LLWT1</v>
          </cell>
          <cell r="D299">
            <v>79.680000000000007</v>
          </cell>
        </row>
        <row r="300">
          <cell r="C300" t="str">
            <v>PGMU-LLSM1</v>
          </cell>
          <cell r="D300">
            <v>79.62</v>
          </cell>
        </row>
        <row r="301">
          <cell r="C301" t="str">
            <v>PGMU-CPI1</v>
          </cell>
          <cell r="D301">
            <v>51.74</v>
          </cell>
        </row>
        <row r="302">
          <cell r="C302" t="str">
            <v>PGMU-CPN1</v>
          </cell>
          <cell r="D302">
            <v>51.74</v>
          </cell>
        </row>
        <row r="303">
          <cell r="C303" t="str">
            <v>PGMU-CPA1</v>
          </cell>
          <cell r="D303">
            <v>51.74</v>
          </cell>
        </row>
        <row r="304">
          <cell r="C304" t="str">
            <v>PGMU-CPC1</v>
          </cell>
          <cell r="D304">
            <v>51.74</v>
          </cell>
        </row>
        <row r="305">
          <cell r="C305" t="str">
            <v>PGMU-CPH1</v>
          </cell>
          <cell r="D305">
            <v>51.74</v>
          </cell>
        </row>
        <row r="306">
          <cell r="C306" t="str">
            <v>PGMU-GLDB1</v>
          </cell>
          <cell r="D306">
            <v>96.2</v>
          </cell>
        </row>
        <row r="307">
          <cell r="C307" t="str">
            <v>PGMU-GLHH1</v>
          </cell>
          <cell r="D307">
            <v>96.2</v>
          </cell>
        </row>
        <row r="308">
          <cell r="C308" t="str">
            <v>PGMU-GLAN1</v>
          </cell>
          <cell r="D308">
            <v>96.2</v>
          </cell>
        </row>
        <row r="309">
          <cell r="C309" t="str">
            <v>PGMU-GLCH1</v>
          </cell>
          <cell r="D309">
            <v>96.2</v>
          </cell>
        </row>
        <row r="310">
          <cell r="C310" t="str">
            <v>PGMU-ESFQ1</v>
          </cell>
          <cell r="D310">
            <v>168.55</v>
          </cell>
        </row>
        <row r="311">
          <cell r="C311" t="str">
            <v>PG-GWP-BB1</v>
          </cell>
          <cell r="D311">
            <v>475</v>
          </cell>
        </row>
        <row r="312">
          <cell r="C312" t="str">
            <v>PGMU-MLLAOT1</v>
          </cell>
          <cell r="D312">
            <v>129.18</v>
          </cell>
        </row>
        <row r="313">
          <cell r="C313" t="str">
            <v>PGMU-MLLNT1</v>
          </cell>
          <cell r="D313">
            <v>129.18</v>
          </cell>
        </row>
        <row r="314">
          <cell r="C314" t="str">
            <v>PGMU-CPBP1</v>
          </cell>
          <cell r="D314">
            <v>113</v>
          </cell>
        </row>
        <row r="315">
          <cell r="C315" t="str">
            <v>PGSL-RWB1</v>
          </cell>
          <cell r="D315">
            <v>34.880000000000003</v>
          </cell>
        </row>
        <row r="316">
          <cell r="C316" t="str">
            <v>PG-GWP-BP1</v>
          </cell>
          <cell r="D316">
            <v>50</v>
          </cell>
        </row>
        <row r="317">
          <cell r="C317" t="str">
            <v>PG-GWP-MG1</v>
          </cell>
          <cell r="D317">
            <v>70</v>
          </cell>
        </row>
        <row r="318">
          <cell r="C318" t="str">
            <v>PG-GWP-M1</v>
          </cell>
          <cell r="D318">
            <v>83</v>
          </cell>
        </row>
        <row r="319">
          <cell r="C319" t="str">
            <v>PGMU-MLLTPS1</v>
          </cell>
          <cell r="D319">
            <v>129.18</v>
          </cell>
        </row>
        <row r="320">
          <cell r="C320" t="str">
            <v>PGMU-MLLBM1</v>
          </cell>
          <cell r="D320">
            <v>129.18</v>
          </cell>
        </row>
        <row r="321">
          <cell r="C321" t="str">
            <v>PGK-5CBRM1</v>
          </cell>
          <cell r="D321">
            <v>54.79</v>
          </cell>
        </row>
        <row r="322">
          <cell r="C322" t="str">
            <v>PGMU-GLMH1</v>
          </cell>
          <cell r="D322">
            <v>96.2</v>
          </cell>
        </row>
        <row r="323">
          <cell r="C323" t="str">
            <v>PGMU-GLRN1</v>
          </cell>
          <cell r="D323">
            <v>96.2</v>
          </cell>
        </row>
        <row r="324">
          <cell r="C324" t="str">
            <v>PGMU-GLTK1</v>
          </cell>
          <cell r="D324">
            <v>96.2</v>
          </cell>
        </row>
        <row r="325">
          <cell r="C325" t="str">
            <v>PGMU-GLJJ1</v>
          </cell>
          <cell r="D325">
            <v>96.2</v>
          </cell>
        </row>
        <row r="326">
          <cell r="C326" t="str">
            <v>PG-GMP1</v>
          </cell>
          <cell r="D326">
            <v>43.5</v>
          </cell>
        </row>
        <row r="327">
          <cell r="C327" t="str">
            <v>PGMU-TLP1</v>
          </cell>
          <cell r="D327">
            <v>91.39</v>
          </cell>
        </row>
        <row r="328">
          <cell r="C328" t="str">
            <v>PGMU-BLP1</v>
          </cell>
          <cell r="D328">
            <v>91.39</v>
          </cell>
        </row>
        <row r="329">
          <cell r="C329" t="str">
            <v>PG-SB1</v>
          </cell>
          <cell r="D329">
            <v>7.1</v>
          </cell>
        </row>
        <row r="330">
          <cell r="C330" t="str">
            <v>PGMU-SFWM1</v>
          </cell>
          <cell r="D330">
            <v>114.81</v>
          </cell>
        </row>
        <row r="331">
          <cell r="C331" t="str">
            <v>PGV-FRVBL1</v>
          </cell>
          <cell r="D331">
            <v>79.760000000000005</v>
          </cell>
        </row>
        <row r="332">
          <cell r="C332" t="str">
            <v>PGS-SGBL1</v>
          </cell>
          <cell r="D332">
            <v>91.35</v>
          </cell>
        </row>
        <row r="333">
          <cell r="C333" t="str">
            <v>PGMU-MCTM1</v>
          </cell>
          <cell r="D333">
            <v>90.089999999999989</v>
          </cell>
        </row>
        <row r="334">
          <cell r="C334" t="str">
            <v>PGKS-RAAHGSDPS1</v>
          </cell>
          <cell r="D334">
            <v>90.98</v>
          </cell>
        </row>
        <row r="335">
          <cell r="C335" t="str">
            <v>PGSL-RRAAHS1</v>
          </cell>
          <cell r="D335">
            <v>71.959999999999994</v>
          </cell>
        </row>
        <row r="336">
          <cell r="C336" t="str">
            <v>PG-BMP3</v>
          </cell>
          <cell r="D336">
            <v>48</v>
          </cell>
        </row>
        <row r="337">
          <cell r="C337" t="str">
            <v>PGMU-ESMS1</v>
          </cell>
          <cell r="D337">
            <v>168.55</v>
          </cell>
        </row>
        <row r="338">
          <cell r="C338" t="str">
            <v>PGK-WLTS50</v>
          </cell>
          <cell r="D338">
            <v>91.25</v>
          </cell>
        </row>
        <row r="339">
          <cell r="C339" t="str">
            <v>PGAVC-DBFKPR1</v>
          </cell>
          <cell r="D339">
            <v>70.5</v>
          </cell>
        </row>
        <row r="340">
          <cell r="C340" t="str">
            <v>PGK-ACFS50</v>
          </cell>
          <cell r="D340">
            <v>84.2</v>
          </cell>
        </row>
        <row r="341">
          <cell r="C341" t="str">
            <v>PGA-VCBLGS60</v>
          </cell>
          <cell r="D341">
            <v>85.96</v>
          </cell>
        </row>
        <row r="342">
          <cell r="C342" t="str">
            <v>PGK-NOSLGS50</v>
          </cell>
          <cell r="D342">
            <v>87.59</v>
          </cell>
        </row>
        <row r="343">
          <cell r="C343" t="str">
            <v>PGGB-KBGSFCGBOX</v>
          </cell>
          <cell r="D343">
            <v>250</v>
          </cell>
        </row>
        <row r="344">
          <cell r="C344" t="str">
            <v>PGGB-KBSSHSGS-Box</v>
          </cell>
          <cell r="D344">
            <v>250</v>
          </cell>
        </row>
        <row r="345">
          <cell r="C345" t="str">
            <v>PGGB-PSGSBOX</v>
          </cell>
          <cell r="D345">
            <v>169</v>
          </cell>
        </row>
        <row r="346">
          <cell r="C346" t="str">
            <v>CBPG-LIPEXKITBOX</v>
          </cell>
          <cell r="D346">
            <v>305</v>
          </cell>
        </row>
        <row r="347">
          <cell r="C347" t="str">
            <v>PSGB</v>
          </cell>
          <cell r="D347">
            <v>169</v>
          </cell>
        </row>
        <row r="348">
          <cell r="C348" t="str">
            <v>PG-RMB2</v>
          </cell>
          <cell r="D348">
            <v>50</v>
          </cell>
        </row>
        <row r="349">
          <cell r="C349" t="str">
            <v>PUMP-HGS50ml</v>
          </cell>
          <cell r="D349">
            <v>1.9</v>
          </cell>
        </row>
        <row r="350">
          <cell r="C350" t="str">
            <v>PGPK-PXLB1</v>
          </cell>
          <cell r="D350">
            <v>13.04</v>
          </cell>
        </row>
        <row r="351">
          <cell r="C351" t="str">
            <v>PG-GWP-PP1</v>
          </cell>
          <cell r="D351">
            <v>70</v>
          </cell>
        </row>
        <row r="352">
          <cell r="C352" t="str">
            <v>PG-GWP-MVP1</v>
          </cell>
          <cell r="D352">
            <v>69.48</v>
          </cell>
        </row>
        <row r="353">
          <cell r="C353" t="str">
            <v>PGAVC-DBFK1</v>
          </cell>
          <cell r="D353">
            <v>297.47000000000003</v>
          </cell>
        </row>
        <row r="354">
          <cell r="C354" t="str">
            <v>PGSR-PSS1</v>
          </cell>
          <cell r="D354">
            <v>373.12</v>
          </cell>
        </row>
        <row r="355">
          <cell r="C355" t="str">
            <v>PGSR-PSHM1</v>
          </cell>
          <cell r="D355">
            <v>133.82</v>
          </cell>
        </row>
        <row r="356">
          <cell r="C356" t="str">
            <v>PGK-HGM100</v>
          </cell>
          <cell r="D356">
            <v>64.38</v>
          </cell>
        </row>
        <row r="357">
          <cell r="C357" t="str">
            <v>PGSR-VCDC1</v>
          </cell>
          <cell r="D357">
            <v>119.51</v>
          </cell>
        </row>
        <row r="358">
          <cell r="C358" t="str">
            <v>PG-POSMG1</v>
          </cell>
          <cell r="D358">
            <v>34</v>
          </cell>
        </row>
        <row r="359">
          <cell r="C359" t="str">
            <v>PHD-VCBM1</v>
          </cell>
          <cell r="D359">
            <v>99.01</v>
          </cell>
        </row>
        <row r="360">
          <cell r="C360" t="str">
            <v>PHD-2HAS1</v>
          </cell>
          <cell r="D360">
            <v>95.29</v>
          </cell>
        </row>
        <row r="361">
          <cell r="C361" t="str">
            <v>PHD-10NS1</v>
          </cell>
          <cell r="D361">
            <v>87.7</v>
          </cell>
        </row>
        <row r="362">
          <cell r="C362" t="str">
            <v>PHD-10VCBS1</v>
          </cell>
          <cell r="D362">
            <v>117.33</v>
          </cell>
        </row>
        <row r="363">
          <cell r="C363" t="str">
            <v>PHD-2AADS1</v>
          </cell>
          <cell r="D363">
            <v>91.53</v>
          </cell>
        </row>
        <row r="364">
          <cell r="C364" t="str">
            <v>PHD-2SAAAS1</v>
          </cell>
          <cell r="D364">
            <v>86.13</v>
          </cell>
        </row>
        <row r="365">
          <cell r="C365" t="str">
            <v>PHD-3NOFM1</v>
          </cell>
          <cell r="D365">
            <v>103.38</v>
          </cell>
        </row>
        <row r="366">
          <cell r="C366" t="str">
            <v>PHD-BGB1</v>
          </cell>
          <cell r="D366">
            <v>91</v>
          </cell>
        </row>
        <row r="367">
          <cell r="C367" t="str">
            <v>PHD-PMIB1</v>
          </cell>
          <cell r="D367">
            <v>12.5</v>
          </cell>
        </row>
        <row r="368">
          <cell r="C368" t="str">
            <v>PHD-PSB1</v>
          </cell>
          <cell r="D368">
            <v>15.8</v>
          </cell>
        </row>
        <row r="369">
          <cell r="C369" t="str">
            <v>PGK-DRC1</v>
          </cell>
          <cell r="D369">
            <v>62.03</v>
          </cell>
        </row>
        <row r="370">
          <cell r="C370" t="str">
            <v>PGK-DRHM1</v>
          </cell>
          <cell r="D370">
            <v>65.53</v>
          </cell>
        </row>
        <row r="371">
          <cell r="C371" t="str">
            <v>PGK-DRS200</v>
          </cell>
          <cell r="D371">
            <v>40.409999999999997</v>
          </cell>
        </row>
        <row r="372">
          <cell r="C372" t="str">
            <v>PGK-DRS400</v>
          </cell>
          <cell r="D372">
            <v>66.400000000000006</v>
          </cell>
        </row>
        <row r="373">
          <cell r="C373" t="str">
            <v>PGK-HGM50</v>
          </cell>
          <cell r="D373">
            <v>40.33</v>
          </cell>
        </row>
        <row r="374">
          <cell r="C374" t="str">
            <v>PHD-PRFS1</v>
          </cell>
          <cell r="D374">
            <v>89.7</v>
          </cell>
        </row>
        <row r="375">
          <cell r="C375" t="str">
            <v>PGK-AHBHPS10</v>
          </cell>
          <cell r="D375">
            <v>27.16</v>
          </cell>
        </row>
        <row r="376">
          <cell r="C376" t="str">
            <v>PGA-15VCF10</v>
          </cell>
          <cell r="D376">
            <v>44.56</v>
          </cell>
        </row>
        <row r="377">
          <cell r="C377" t="str">
            <v>PHD-PBB1</v>
          </cell>
          <cell r="D377">
            <v>25.3</v>
          </cell>
        </row>
        <row r="378">
          <cell r="C378" t="str">
            <v>PHD-PRBOX1</v>
          </cell>
          <cell r="D378">
            <v>175</v>
          </cell>
        </row>
        <row r="379">
          <cell r="C379" t="str">
            <v>PHD-PRCARD1</v>
          </cell>
          <cell r="D379">
            <v>6.5</v>
          </cell>
        </row>
        <row r="380">
          <cell r="C380" t="str">
            <v>PHD-PMB1</v>
          </cell>
          <cell r="D380">
            <v>21.3</v>
          </cell>
        </row>
        <row r="381">
          <cell r="C381" t="str">
            <v>PHD-CHC1</v>
          </cell>
          <cell r="D381">
            <v>50.05</v>
          </cell>
        </row>
        <row r="382">
          <cell r="C382" t="str">
            <v>PHD-1CC1</v>
          </cell>
          <cell r="D382">
            <v>83.6</v>
          </cell>
        </row>
        <row r="383">
          <cell r="C383" t="str">
            <v>PGMU-PLLBP1</v>
          </cell>
          <cell r="D383">
            <v>149.82</v>
          </cell>
        </row>
        <row r="384">
          <cell r="C384" t="str">
            <v>PGMU-PLLMA1</v>
          </cell>
          <cell r="D384">
            <v>149.82</v>
          </cell>
        </row>
        <row r="385">
          <cell r="C385" t="str">
            <v>PG-GWP-PTB</v>
          </cell>
          <cell r="D385">
            <v>130</v>
          </cell>
        </row>
        <row r="386">
          <cell r="C386" t="str">
            <v>PG-GWP-TB</v>
          </cell>
          <cell r="D386">
            <v>53</v>
          </cell>
        </row>
        <row r="387">
          <cell r="C387" t="str">
            <v>PGASS-T</v>
          </cell>
          <cell r="D387">
            <v>92.44</v>
          </cell>
        </row>
        <row r="388">
          <cell r="C388" t="str">
            <v>MINIS-2SAFS5</v>
          </cell>
          <cell r="D388">
            <v>16.23</v>
          </cell>
        </row>
        <row r="389">
          <cell r="C389" t="str">
            <v>PGSR-24KGFK1</v>
          </cell>
          <cell r="D389">
            <v>174.09</v>
          </cell>
        </row>
        <row r="390">
          <cell r="C390" t="str">
            <v>PGSR-FRVFK1</v>
          </cell>
          <cell r="D390">
            <v>174.19</v>
          </cell>
        </row>
        <row r="391">
          <cell r="C391" t="str">
            <v>PGMU-PLLNE1</v>
          </cell>
          <cell r="D391">
            <v>149.82</v>
          </cell>
        </row>
        <row r="392">
          <cell r="C392" t="str">
            <v>PGMU-PLLRA1</v>
          </cell>
          <cell r="D392">
            <v>149.82</v>
          </cell>
        </row>
        <row r="393">
          <cell r="C393" t="str">
            <v>PGMU-PLLCB1</v>
          </cell>
          <cell r="D393">
            <v>149.82</v>
          </cell>
        </row>
        <row r="394">
          <cell r="C394" t="str">
            <v>PGMU-PLLCM1</v>
          </cell>
          <cell r="D394">
            <v>149.82</v>
          </cell>
        </row>
        <row r="395">
          <cell r="C395" t="str">
            <v>PGMU-PLLRK1</v>
          </cell>
          <cell r="D395">
            <v>149.82</v>
          </cell>
        </row>
        <row r="396">
          <cell r="C396" t="str">
            <v>PGMU-PLLFR1</v>
          </cell>
          <cell r="D396">
            <v>149.82</v>
          </cell>
        </row>
        <row r="397">
          <cell r="C397" t="str">
            <v>PGMU-PLLRC1</v>
          </cell>
          <cell r="D397">
            <v>149.82</v>
          </cell>
        </row>
        <row r="398">
          <cell r="C398" t="str">
            <v>PGMU-PLLWS1</v>
          </cell>
          <cell r="D398">
            <v>149.82</v>
          </cell>
        </row>
        <row r="399">
          <cell r="C399" t="str">
            <v>PGMU-PLLBD1</v>
          </cell>
          <cell r="D399">
            <v>149.82</v>
          </cell>
        </row>
        <row r="400">
          <cell r="C400" t="str">
            <v>PGMU-PLLCC1</v>
          </cell>
          <cell r="D400">
            <v>149.82</v>
          </cell>
        </row>
        <row r="401">
          <cell r="C401" t="str">
            <v>PGMU-BHCSE1</v>
          </cell>
          <cell r="D401">
            <v>137.76</v>
          </cell>
        </row>
        <row r="402">
          <cell r="C402" t="str">
            <v>PGMU-BHCSR1</v>
          </cell>
          <cell r="D402">
            <v>137.76</v>
          </cell>
        </row>
        <row r="403">
          <cell r="C403" t="str">
            <v>PGMU-BHCBC1</v>
          </cell>
          <cell r="D403">
            <v>137.76</v>
          </cell>
        </row>
        <row r="404">
          <cell r="C404" t="str">
            <v>PGK-AHBHPS60</v>
          </cell>
          <cell r="D404">
            <v>86.75</v>
          </cell>
        </row>
        <row r="405">
          <cell r="C405" t="str">
            <v>PGMU-PLLTM1</v>
          </cell>
          <cell r="D405">
            <v>149.82</v>
          </cell>
        </row>
        <row r="406">
          <cell r="C406" t="str">
            <v>MINIS-10NFS5</v>
          </cell>
          <cell r="D406">
            <v>14.55</v>
          </cell>
        </row>
        <row r="407">
          <cell r="C407" t="str">
            <v>MINIS-HGM8</v>
          </cell>
          <cell r="D407">
            <v>11.29</v>
          </cell>
        </row>
        <row r="408">
          <cell r="C408" t="str">
            <v>MINIS-10VCFS5</v>
          </cell>
          <cell r="D408">
            <v>20.99</v>
          </cell>
        </row>
        <row r="409">
          <cell r="C409" t="str">
            <v>PGMU-PLLPA1</v>
          </cell>
          <cell r="D409">
            <v>149.82</v>
          </cell>
        </row>
        <row r="410">
          <cell r="C410" t="str">
            <v>PG-GWP-DTLB</v>
          </cell>
          <cell r="D410">
            <v>46.5</v>
          </cell>
        </row>
        <row r="411">
          <cell r="C411" t="str">
            <v>PG-GWP-DTP</v>
          </cell>
          <cell r="D411">
            <v>46.5</v>
          </cell>
        </row>
        <row r="412">
          <cell r="C412" t="str">
            <v>PG-POSM-DRTTU</v>
          </cell>
          <cell r="D412">
            <v>0.01</v>
          </cell>
        </row>
        <row r="413">
          <cell r="C413" t="str">
            <v>PGMU-FSLV1</v>
          </cell>
          <cell r="D413">
            <v>148.77716931216932</v>
          </cell>
        </row>
        <row r="414">
          <cell r="C414" t="str">
            <v>PGMU-FSDM1</v>
          </cell>
          <cell r="D414">
            <v>148.81716931216931</v>
          </cell>
        </row>
        <row r="415">
          <cell r="C415" t="str">
            <v>PGMU-FSCA1</v>
          </cell>
          <cell r="D415">
            <v>148.77716931216932</v>
          </cell>
        </row>
        <row r="416">
          <cell r="C416" t="str">
            <v>PGMU-FSRW1</v>
          </cell>
          <cell r="D416">
            <v>148.77716931216932</v>
          </cell>
        </row>
        <row r="417">
          <cell r="C417" t="str">
            <v>PGMU-FSLB1</v>
          </cell>
          <cell r="D417">
            <v>148.77716931216932</v>
          </cell>
        </row>
        <row r="418">
          <cell r="C418" t="str">
            <v>PGMU-FSMS1</v>
          </cell>
          <cell r="D418">
            <v>148.77716931216932</v>
          </cell>
        </row>
        <row r="419">
          <cell r="C419" t="str">
            <v>PGMU-FSCN1</v>
          </cell>
          <cell r="D419">
            <v>148.77716931216932</v>
          </cell>
        </row>
        <row r="420">
          <cell r="C420" t="str">
            <v>PGMU-LCTN1</v>
          </cell>
          <cell r="D420">
            <v>134.23714630946628</v>
          </cell>
        </row>
        <row r="421">
          <cell r="C421" t="str">
            <v>PGMU-LCNC1</v>
          </cell>
          <cell r="D421">
            <v>134.23714630946628</v>
          </cell>
        </row>
        <row r="422">
          <cell r="C422" t="str">
            <v>PGMU-LCCA1</v>
          </cell>
          <cell r="D422">
            <v>134.23714630946628</v>
          </cell>
        </row>
        <row r="423">
          <cell r="C423" t="str">
            <v>PGMU-LCRP1</v>
          </cell>
          <cell r="D423">
            <v>134.23714630946628</v>
          </cell>
        </row>
        <row r="424">
          <cell r="C424" t="str">
            <v>PGMU-LCRR1</v>
          </cell>
          <cell r="D424">
            <v>134.23714630946628</v>
          </cell>
        </row>
        <row r="425">
          <cell r="C425" t="str">
            <v>PGMU-LCMO1</v>
          </cell>
          <cell r="D425">
            <v>134.23714630946628</v>
          </cell>
        </row>
        <row r="426">
          <cell r="C426" t="str">
            <v>PGMU-LCMMU1</v>
          </cell>
          <cell r="D426">
            <v>134.23714630946628</v>
          </cell>
        </row>
        <row r="427">
          <cell r="C427" t="str">
            <v>PGMU-LCPF1</v>
          </cell>
          <cell r="D427">
            <v>134.23714630946628</v>
          </cell>
        </row>
        <row r="428">
          <cell r="C428" t="str">
            <v>PGMU-LCMM1</v>
          </cell>
          <cell r="D428">
            <v>134.23714630946628</v>
          </cell>
        </row>
        <row r="429">
          <cell r="C429" t="str">
            <v>PGMU-LCPS1</v>
          </cell>
          <cell r="D429">
            <v>134.23714630946628</v>
          </cell>
        </row>
        <row r="430">
          <cell r="C430" t="str">
            <v>PGMU-LCML1</v>
          </cell>
          <cell r="D430">
            <v>134.23714630946628</v>
          </cell>
        </row>
        <row r="431">
          <cell r="C431" t="str">
            <v>PGMU-LCNW1</v>
          </cell>
          <cell r="D431">
            <v>134.23714630946628</v>
          </cell>
        </row>
        <row r="432">
          <cell r="C432" t="str">
            <v>PGMU-LCVB1</v>
          </cell>
          <cell r="D432">
            <v>134.27294575125228</v>
          </cell>
        </row>
        <row r="443">
          <cell r="C443" t="str">
            <v>PGKS-AHGSAVBSFWS1</v>
          </cell>
          <cell r="D443">
            <v>324.38</v>
          </cell>
        </row>
        <row r="444">
          <cell r="C444" t="str">
            <v>PGK-5CBRM3</v>
          </cell>
          <cell r="D444">
            <v>164.37</v>
          </cell>
        </row>
        <row r="445">
          <cell r="C445" t="str">
            <v>99 9RU6 AS6H</v>
          </cell>
          <cell r="D445">
            <v>72.789999999999992</v>
          </cell>
        </row>
        <row r="446">
          <cell r="C446" t="str">
            <v>CBPGK24KGBO2</v>
          </cell>
          <cell r="D446">
            <v>203.34</v>
          </cell>
        </row>
        <row r="447">
          <cell r="C447" t="str">
            <v>CBPGKANTIACNE</v>
          </cell>
          <cell r="D447">
            <v>137.69</v>
          </cell>
        </row>
        <row r="448">
          <cell r="C448" t="str">
            <v>CBPGKBFF</v>
          </cell>
          <cell r="D448">
            <v>191.36</v>
          </cell>
        </row>
        <row r="449">
          <cell r="C449" t="str">
            <v>CBPGKBRIGHTENING</v>
          </cell>
          <cell r="D449">
            <v>115.27000000000001</v>
          </cell>
        </row>
        <row r="450">
          <cell r="C450" t="str">
            <v>CBPGKCLEARSKIN</v>
          </cell>
          <cell r="D450">
            <v>115.41999999999999</v>
          </cell>
        </row>
        <row r="451">
          <cell r="C451" t="str">
            <v>CBPGKDC2</v>
          </cell>
          <cell r="D451">
            <v>189.06000000000003</v>
          </cell>
        </row>
        <row r="452">
          <cell r="C452" t="str">
            <v>CBPGKFFW2B</v>
          </cell>
          <cell r="D452">
            <v>121.98</v>
          </cell>
        </row>
        <row r="453">
          <cell r="C453" t="str">
            <v>CBPGKGFK</v>
          </cell>
          <cell r="D453">
            <v>259.07</v>
          </cell>
        </row>
        <row r="454">
          <cell r="C454" t="str">
            <v>CBPGKGFK1</v>
          </cell>
          <cell r="D454">
            <v>259.07</v>
          </cell>
        </row>
        <row r="455">
          <cell r="C455" t="str">
            <v>CBPGKGFK-SERUM</v>
          </cell>
          <cell r="D455">
            <v>228.03</v>
          </cell>
        </row>
        <row r="456">
          <cell r="C456" t="str">
            <v>CBPGKHAIRGROWTH</v>
          </cell>
          <cell r="D456">
            <v>312.02</v>
          </cell>
        </row>
        <row r="457">
          <cell r="C457" t="str">
            <v>CBPGKPHC</v>
          </cell>
          <cell r="D457">
            <v>181.73</v>
          </cell>
        </row>
        <row r="458">
          <cell r="C458" t="str">
            <v>CBPGKS2</v>
          </cell>
          <cell r="D458">
            <v>157.76</v>
          </cell>
        </row>
        <row r="459">
          <cell r="C459" t="str">
            <v>CBPGKS-AAS2</v>
          </cell>
          <cell r="D459">
            <v>103.76</v>
          </cell>
        </row>
        <row r="460">
          <cell r="C460" t="str">
            <v>CBPGKS-AVBS2</v>
          </cell>
          <cell r="D460">
            <v>153.18</v>
          </cell>
        </row>
        <row r="461">
          <cell r="C461" t="str">
            <v>CBPGKSGFFW2</v>
          </cell>
          <cell r="D461">
            <v>133.47999999999999</v>
          </cell>
        </row>
        <row r="462">
          <cell r="C462" t="str">
            <v>CBPGKSHM</v>
          </cell>
          <cell r="D462">
            <v>181.79</v>
          </cell>
        </row>
        <row r="463">
          <cell r="C463" t="str">
            <v>CBPGKS-SCS2</v>
          </cell>
          <cell r="D463">
            <v>153.47999999999999</v>
          </cell>
        </row>
        <row r="464">
          <cell r="C464" t="str">
            <v>CBPGKWFH</v>
          </cell>
          <cell r="D464">
            <v>157.88</v>
          </cell>
        </row>
        <row r="465">
          <cell r="C465" t="str">
            <v>CBPGKYOUTHKIT</v>
          </cell>
          <cell r="D465">
            <v>113.94999999999999</v>
          </cell>
        </row>
        <row r="466">
          <cell r="C466" t="str">
            <v>CBPG-LIPEXKIT</v>
          </cell>
          <cell r="D466">
            <v>455.1</v>
          </cell>
        </row>
        <row r="467">
          <cell r="C467" t="str">
            <v>CBPG-LIPEXKITWB1</v>
          </cell>
          <cell r="D467">
            <v>455.1</v>
          </cell>
        </row>
        <row r="468">
          <cell r="C468" t="str">
            <v>CBPG-LKIT-S</v>
          </cell>
          <cell r="D468">
            <v>590.66999999999996</v>
          </cell>
        </row>
        <row r="469">
          <cell r="C469" t="str">
            <v>CBPGLKSBGUM</v>
          </cell>
          <cell r="D469">
            <v>94.66</v>
          </cell>
        </row>
        <row r="470">
          <cell r="C470" t="str">
            <v>CBPGLKSPPOUT</v>
          </cell>
          <cell r="D470">
            <v>95.05</v>
          </cell>
        </row>
        <row r="471">
          <cell r="C471" t="str">
            <v>CBPGLKSPTALK</v>
          </cell>
          <cell r="D471">
            <v>96.86</v>
          </cell>
        </row>
        <row r="472">
          <cell r="C472" t="str">
            <v>CBPGVBFF</v>
          </cell>
          <cell r="D472">
            <v>98.66</v>
          </cell>
        </row>
        <row r="473">
          <cell r="C473" t="str">
            <v>CBPGVFCNGC1</v>
          </cell>
          <cell r="D473">
            <v>94.94</v>
          </cell>
        </row>
        <row r="474">
          <cell r="C474" t="str">
            <v>CBPGVFW2</v>
          </cell>
          <cell r="D474">
            <v>71.28</v>
          </cell>
        </row>
        <row r="475">
          <cell r="C475" t="str">
            <v>CBPGVSKIN20</v>
          </cell>
          <cell r="D475">
            <v>224.43</v>
          </cell>
        </row>
        <row r="476">
          <cell r="C476" t="str">
            <v>CBPGVSKINTEEN</v>
          </cell>
          <cell r="D476">
            <v>142.34</v>
          </cell>
        </row>
        <row r="477">
          <cell r="C477" t="str">
            <v>CBPGVTRAVEL</v>
          </cell>
          <cell r="D477">
            <v>169.74</v>
          </cell>
        </row>
        <row r="478">
          <cell r="C478" t="str">
            <v>MINI-JBKAVBS</v>
          </cell>
          <cell r="D478">
            <v>104.48</v>
          </cell>
        </row>
        <row r="479">
          <cell r="C479" t="str">
            <v>MINI-JBKHAHSS</v>
          </cell>
          <cell r="D479">
            <v>93.54</v>
          </cell>
        </row>
        <row r="480">
          <cell r="C480" t="str">
            <v>MINI-JBKHAHSS1</v>
          </cell>
          <cell r="D480" t="e">
            <v>#N/A</v>
          </cell>
        </row>
        <row r="481">
          <cell r="C481" t="str">
            <v>MINI-JBKNC</v>
          </cell>
          <cell r="D481">
            <v>97.69</v>
          </cell>
        </row>
        <row r="482">
          <cell r="C482" t="str">
            <v>MINI-JBKNCHAHSS1</v>
          </cell>
          <cell r="D482" t="e">
            <v>#N/A</v>
          </cell>
        </row>
        <row r="483">
          <cell r="C483" t="str">
            <v>MINI-JBVFC</v>
          </cell>
          <cell r="D483">
            <v>80.83</v>
          </cell>
        </row>
        <row r="484">
          <cell r="C484" t="str">
            <v>MINI-JBVFCKHAHSS</v>
          </cell>
          <cell r="D484">
            <v>146.48000000000002</v>
          </cell>
        </row>
        <row r="485">
          <cell r="C485" t="str">
            <v>MINI-JBVFCNGC</v>
          </cell>
          <cell r="D485">
            <v>122.83</v>
          </cell>
        </row>
        <row r="486">
          <cell r="C486" t="str">
            <v>MINI-JBVFCNGC1</v>
          </cell>
          <cell r="D486">
            <v>46.78</v>
          </cell>
        </row>
        <row r="487">
          <cell r="C487" t="str">
            <v>MINI-JBVNGC</v>
          </cell>
          <cell r="D487">
            <v>69.89</v>
          </cell>
        </row>
        <row r="488">
          <cell r="C488" t="str">
            <v>PCKVBOFGM1</v>
          </cell>
          <cell r="D488">
            <v>166.6</v>
          </cell>
        </row>
        <row r="489">
          <cell r="C489" t="str">
            <v>PGA-10VCFS10-P2</v>
          </cell>
          <cell r="D489">
            <v>68.739999999999995</v>
          </cell>
        </row>
        <row r="490">
          <cell r="C490" t="str">
            <v>PGA-10VCFS30-P2</v>
          </cell>
          <cell r="D490">
            <v>150.26</v>
          </cell>
        </row>
        <row r="491">
          <cell r="C491" t="str">
            <v>PGA-15VCFS20-P2</v>
          </cell>
          <cell r="D491">
            <v>152.62</v>
          </cell>
        </row>
        <row r="492">
          <cell r="C492" t="str">
            <v>PGAAGHS-P2</v>
          </cell>
          <cell r="D492">
            <v>200.16</v>
          </cell>
        </row>
        <row r="493">
          <cell r="C493" t="str">
            <v>PGAHM-P2</v>
          </cell>
          <cell r="D493">
            <v>170.82</v>
          </cell>
        </row>
        <row r="494">
          <cell r="C494" t="str">
            <v>PGALIC-P2</v>
          </cell>
          <cell r="D494">
            <v>90.02</v>
          </cell>
        </row>
        <row r="495">
          <cell r="C495" t="str">
            <v>PGARJB-HER</v>
          </cell>
          <cell r="D495">
            <v>264.76</v>
          </cell>
        </row>
        <row r="496">
          <cell r="C496" t="str">
            <v>PGARJB-HSR</v>
          </cell>
          <cell r="D496">
            <v>285</v>
          </cell>
        </row>
        <row r="497">
          <cell r="C497" t="str">
            <v>PGARPJB-HER</v>
          </cell>
          <cell r="D497">
            <v>463.43</v>
          </cell>
        </row>
        <row r="498">
          <cell r="C498" t="str">
            <v>PGARPJB-HSR</v>
          </cell>
          <cell r="D498">
            <v>398.26</v>
          </cell>
        </row>
        <row r="499">
          <cell r="C499" t="str">
            <v>PGASC-P2</v>
          </cell>
          <cell r="D499">
            <v>155.47999999999999</v>
          </cell>
        </row>
        <row r="500">
          <cell r="C500" t="str">
            <v>PGASHO-P2</v>
          </cell>
          <cell r="D500">
            <v>133.38</v>
          </cell>
        </row>
        <row r="501">
          <cell r="C501" t="str">
            <v>PGASHS-P2</v>
          </cell>
          <cell r="D501">
            <v>226.52</v>
          </cell>
        </row>
        <row r="502">
          <cell r="C502" t="str">
            <v>PGASSCRUB-P2</v>
          </cell>
          <cell r="D502">
            <v>158.52000000000001</v>
          </cell>
        </row>
        <row r="503">
          <cell r="C503" t="str">
            <v>PGASSHM</v>
          </cell>
          <cell r="D503">
            <v>177.85</v>
          </cell>
        </row>
        <row r="504">
          <cell r="C504" t="str">
            <v>PGASS-P2</v>
          </cell>
          <cell r="D504">
            <v>184.88</v>
          </cell>
        </row>
        <row r="505">
          <cell r="C505" t="str">
            <v>PGASSSC</v>
          </cell>
          <cell r="D505">
            <v>170.18</v>
          </cell>
        </row>
        <row r="506">
          <cell r="C506" t="str">
            <v>PGATT-10NBRS1-P2</v>
          </cell>
          <cell r="D506">
            <v>104.22</v>
          </cell>
        </row>
        <row r="507">
          <cell r="C507" t="str">
            <v>PGATT-ADC1-P2</v>
          </cell>
          <cell r="D507">
            <v>83.24</v>
          </cell>
        </row>
        <row r="508">
          <cell r="C508" t="str">
            <v>PGATT-ADHM1-P2</v>
          </cell>
          <cell r="D508">
            <v>112.56</v>
          </cell>
        </row>
        <row r="509">
          <cell r="C509" t="str">
            <v>PGATT-ADHSC1</v>
          </cell>
          <cell r="D509">
            <v>101.83666666666666</v>
          </cell>
        </row>
        <row r="510">
          <cell r="C510" t="str">
            <v>PGATT-ADHSM1</v>
          </cell>
          <cell r="D510">
            <v>116.49666666666667</v>
          </cell>
        </row>
        <row r="511">
          <cell r="C511" t="str">
            <v>PGATT-ADS1-P2</v>
          </cell>
          <cell r="D511">
            <v>120.43333333333332</v>
          </cell>
        </row>
        <row r="512">
          <cell r="C512" t="str">
            <v>PGATT-ADSCSS1</v>
          </cell>
          <cell r="D512">
            <v>192.31666666666666</v>
          </cell>
        </row>
        <row r="513">
          <cell r="C513" t="str">
            <v>PGATT-ADSS1-P2</v>
          </cell>
          <cell r="D513">
            <v>180.96</v>
          </cell>
        </row>
        <row r="514">
          <cell r="C514" t="str">
            <v>PGATTBSREO</v>
          </cell>
          <cell r="D514">
            <v>107.16</v>
          </cell>
        </row>
        <row r="515">
          <cell r="C515" t="str">
            <v>PGATTFFWPTEO</v>
          </cell>
          <cell r="D515">
            <v>150.01999999999998</v>
          </cell>
        </row>
        <row r="516">
          <cell r="C516" t="str">
            <v>PGATTFFWPTEO-SMYT</v>
          </cell>
          <cell r="D516">
            <v>150.01999999999998</v>
          </cell>
        </row>
        <row r="517">
          <cell r="C517" t="str">
            <v>PGATT-NOM1-P2</v>
          </cell>
          <cell r="D517">
            <v>87.42</v>
          </cell>
        </row>
        <row r="518">
          <cell r="C518" t="str">
            <v>PGATTPFFW2</v>
          </cell>
          <cell r="D518">
            <v>125.98</v>
          </cell>
        </row>
        <row r="519">
          <cell r="C519" t="str">
            <v>PGATTPFFWBRS</v>
          </cell>
          <cell r="D519">
            <v>115.1</v>
          </cell>
        </row>
        <row r="520">
          <cell r="C520" t="str">
            <v>PGATTPFFWEO</v>
          </cell>
          <cell r="D520">
            <v>118.03999999999999</v>
          </cell>
        </row>
        <row r="521">
          <cell r="C521" t="str">
            <v>PGATTPFFWPT</v>
          </cell>
          <cell r="D521">
            <v>94.97</v>
          </cell>
        </row>
        <row r="522">
          <cell r="C522" t="str">
            <v>PGATTPFFWPTBRS</v>
          </cell>
          <cell r="D522">
            <v>147.07999999999998</v>
          </cell>
        </row>
        <row r="523">
          <cell r="C523" t="str">
            <v>PGATTPFFWPTEO</v>
          </cell>
          <cell r="D523">
            <v>150.01999999999998</v>
          </cell>
        </row>
        <row r="524">
          <cell r="C524" t="str">
            <v>PGATTPFWG2</v>
          </cell>
          <cell r="D524">
            <v>80.58</v>
          </cell>
        </row>
        <row r="525">
          <cell r="C525" t="str">
            <v>PGATT-PT1-P2</v>
          </cell>
          <cell r="D525">
            <v>63.96</v>
          </cell>
        </row>
        <row r="526">
          <cell r="C526" t="str">
            <v>PGATTPT2</v>
          </cell>
          <cell r="D526">
            <v>63.96</v>
          </cell>
        </row>
        <row r="527">
          <cell r="C527" t="str">
            <v>PGATTPTBRS</v>
          </cell>
          <cell r="D527">
            <v>84.09</v>
          </cell>
        </row>
        <row r="528">
          <cell r="C528" t="str">
            <v>PGATTPTEO</v>
          </cell>
          <cell r="D528">
            <v>87.03</v>
          </cell>
        </row>
        <row r="529">
          <cell r="C529" t="str">
            <v>PGATTR-DTDR</v>
          </cell>
          <cell r="D529">
            <v>193.73000000000002</v>
          </cell>
        </row>
        <row r="530">
          <cell r="C530" t="str">
            <v>PGATTR-GNR</v>
          </cell>
          <cell r="D530">
            <v>138.68</v>
          </cell>
        </row>
        <row r="531">
          <cell r="C531" t="str">
            <v>PGATTRJB-DTDR</v>
          </cell>
          <cell r="D531">
            <v>221.62</v>
          </cell>
        </row>
        <row r="532">
          <cell r="C532" t="str">
            <v>PGATTRJB-GNR</v>
          </cell>
          <cell r="D532">
            <v>166.57</v>
          </cell>
        </row>
        <row r="533">
          <cell r="C533" t="str">
            <v>PGATTRP-GNR</v>
          </cell>
          <cell r="D533">
            <v>190.79000000000002</v>
          </cell>
        </row>
        <row r="534">
          <cell r="C534" t="str">
            <v>PGATTRPJB-GNR</v>
          </cell>
          <cell r="D534">
            <v>218.68</v>
          </cell>
        </row>
        <row r="535">
          <cell r="C535" t="str">
            <v>PGATTR-SR</v>
          </cell>
          <cell r="D535">
            <v>115.97999999999999</v>
          </cell>
        </row>
        <row r="536">
          <cell r="C536" t="str">
            <v>PGAVC-1T-P2</v>
          </cell>
          <cell r="D536">
            <v>86.76</v>
          </cell>
        </row>
        <row r="537">
          <cell r="C537" t="str">
            <v>PGAVC-2OFM-P2</v>
          </cell>
          <cell r="D537">
            <v>106.9</v>
          </cell>
        </row>
        <row r="538">
          <cell r="C538" t="str">
            <v>PGA-VCBUEC1-P2</v>
          </cell>
          <cell r="D538">
            <v>80.88</v>
          </cell>
        </row>
        <row r="539">
          <cell r="C539" t="str">
            <v>PGAVC-GFWT1-P2</v>
          </cell>
          <cell r="D539">
            <v>88.78</v>
          </cell>
        </row>
        <row r="540">
          <cell r="C540" t="str">
            <v>PGAVC-IVSS1-P2</v>
          </cell>
          <cell r="D540">
            <v>264.02</v>
          </cell>
        </row>
        <row r="541">
          <cell r="C541" t="str">
            <v>PGBM-FK2</v>
          </cell>
          <cell r="D541">
            <v>123.86</v>
          </cell>
        </row>
        <row r="542">
          <cell r="C542" t="str">
            <v>PGBM-FKNYB</v>
          </cell>
          <cell r="D542">
            <v>123.38</v>
          </cell>
        </row>
        <row r="543">
          <cell r="C543" t="str">
            <v>PGBM-FKNYBSE</v>
          </cell>
          <cell r="D543">
            <v>180.26</v>
          </cell>
        </row>
        <row r="544">
          <cell r="C544" t="str">
            <v>PGBM-NYB2</v>
          </cell>
          <cell r="D544">
            <v>122.9</v>
          </cell>
        </row>
        <row r="545">
          <cell r="C545" t="str">
            <v>PGBM-NYBSE</v>
          </cell>
          <cell r="D545">
            <v>118.33000000000001</v>
          </cell>
        </row>
        <row r="546">
          <cell r="C546" t="str">
            <v>PGBM-SE2</v>
          </cell>
          <cell r="D546">
            <v>113.76</v>
          </cell>
        </row>
        <row r="547">
          <cell r="C547" t="str">
            <v>PGBM-SEFK</v>
          </cell>
          <cell r="D547">
            <v>118.81</v>
          </cell>
        </row>
        <row r="548">
          <cell r="C548" t="str">
            <v>PGEDP-ALP2</v>
          </cell>
          <cell r="D548">
            <v>212.46</v>
          </cell>
        </row>
        <row r="549">
          <cell r="C549" t="str">
            <v>PGEDP-ALPGKGOD</v>
          </cell>
          <cell r="D549">
            <v>222.82999999999998</v>
          </cell>
        </row>
        <row r="550">
          <cell r="C550" t="str">
            <v>PGEDP-ALPGKGODZEN</v>
          </cell>
          <cell r="D550">
            <v>329.28</v>
          </cell>
        </row>
        <row r="551">
          <cell r="C551" t="str">
            <v>PGEDP-GKGOD2</v>
          </cell>
          <cell r="D551">
            <v>233.2</v>
          </cell>
        </row>
        <row r="552">
          <cell r="C552" t="str">
            <v>PGEDP-GKGODZEN</v>
          </cell>
          <cell r="D552">
            <v>223.04999999999998</v>
          </cell>
        </row>
        <row r="553">
          <cell r="C553" t="str">
            <v>PGEDP-ZEN2</v>
          </cell>
          <cell r="D553">
            <v>212.89999999999998</v>
          </cell>
        </row>
        <row r="554">
          <cell r="C554" t="str">
            <v>PGEDP-ZENALP</v>
          </cell>
          <cell r="D554">
            <v>212.68</v>
          </cell>
        </row>
        <row r="555">
          <cell r="C555" t="str">
            <v>PGFKFWDC1</v>
          </cell>
          <cell r="D555">
            <v>133.21</v>
          </cell>
        </row>
        <row r="556">
          <cell r="C556" t="str">
            <v>PGGB-KBGSFCGS</v>
          </cell>
          <cell r="D556">
            <v>410.87</v>
          </cell>
        </row>
        <row r="557">
          <cell r="C557" t="str">
            <v>PGGB-KBSPFKGS</v>
          </cell>
          <cell r="D557">
            <v>469.02</v>
          </cell>
        </row>
        <row r="558">
          <cell r="C558" t="str">
            <v>PGGB-KBSSHSGS</v>
          </cell>
          <cell r="D558">
            <v>532.45000000000005</v>
          </cell>
        </row>
        <row r="559">
          <cell r="C559" t="str">
            <v>PGGB-PSGS</v>
          </cell>
          <cell r="D559">
            <v>501.04</v>
          </cell>
        </row>
        <row r="560">
          <cell r="C560" t="str">
            <v>PGGTM-RAAHGS1-P2</v>
          </cell>
          <cell r="D560">
            <v>167.3</v>
          </cell>
        </row>
        <row r="561">
          <cell r="C561" t="str">
            <v>PGGTM-RAHCS1-P2</v>
          </cell>
          <cell r="D561">
            <v>106.16</v>
          </cell>
        </row>
        <row r="562">
          <cell r="C562" t="str">
            <v>PGIS-DGGKK1</v>
          </cell>
          <cell r="D562">
            <v>159.08000000000001</v>
          </cell>
        </row>
        <row r="563">
          <cell r="C563" t="str">
            <v>PGJHM</v>
          </cell>
          <cell r="D563">
            <v>102.91</v>
          </cell>
        </row>
        <row r="564">
          <cell r="C564" t="str">
            <v>PGK-10NFS10-P2</v>
          </cell>
          <cell r="D564">
            <v>56.399999999999991</v>
          </cell>
        </row>
        <row r="565">
          <cell r="C565" t="str">
            <v>PGK-10NFS30-P2</v>
          </cell>
          <cell r="D565">
            <v>90.72</v>
          </cell>
        </row>
        <row r="566">
          <cell r="C566" t="str">
            <v>PGK24KGBO11</v>
          </cell>
          <cell r="D566">
            <v>101.67</v>
          </cell>
        </row>
        <row r="567">
          <cell r="C567" t="str">
            <v>PGK24KGBO1-P2</v>
          </cell>
          <cell r="D567">
            <v>203.34</v>
          </cell>
        </row>
        <row r="568">
          <cell r="C568" t="str">
            <v>PGK24KGBO1P3</v>
          </cell>
          <cell r="D568">
            <v>305.01</v>
          </cell>
        </row>
        <row r="569">
          <cell r="C569" t="str">
            <v>PGK24KGBOFFW1B</v>
          </cell>
          <cell r="D569">
            <v>162.66</v>
          </cell>
        </row>
        <row r="570">
          <cell r="C570" t="str">
            <v>PGK24KGBOFFW24KGFM1</v>
          </cell>
          <cell r="D570">
            <v>224.44</v>
          </cell>
        </row>
        <row r="571">
          <cell r="C571" t="str">
            <v>PGK24KGBOFFWFMT24KGFM1</v>
          </cell>
          <cell r="D571">
            <v>252.1</v>
          </cell>
        </row>
        <row r="572">
          <cell r="C572" t="str">
            <v>PGK24KGBOFMT24KGFM1</v>
          </cell>
          <cell r="D572">
            <v>192.73000000000002</v>
          </cell>
        </row>
        <row r="573">
          <cell r="C573" t="str">
            <v>PGK24KGBOFMTFFW1B</v>
          </cell>
          <cell r="D573">
            <v>190.32</v>
          </cell>
        </row>
        <row r="574">
          <cell r="C574" t="str">
            <v>PGK24KGBOGFM1</v>
          </cell>
          <cell r="D574">
            <v>192.96</v>
          </cell>
        </row>
        <row r="575">
          <cell r="C575" t="str">
            <v>PGK24KGFM1-P2</v>
          </cell>
          <cell r="D575">
            <v>126.8</v>
          </cell>
        </row>
        <row r="576">
          <cell r="C576" t="str">
            <v>PGK24K-GGFW1-P2</v>
          </cell>
          <cell r="D576">
            <v>107.82</v>
          </cell>
        </row>
        <row r="577">
          <cell r="C577" t="str">
            <v>PGK24K-GGM1-P2</v>
          </cell>
          <cell r="D577">
            <v>207.48</v>
          </cell>
        </row>
        <row r="578">
          <cell r="C578" t="str">
            <v>PGK24KGS20GFM1</v>
          </cell>
          <cell r="D578">
            <v>161.91999999999999</v>
          </cell>
        </row>
        <row r="579">
          <cell r="C579" t="str">
            <v>PGK24KGS20ML-P2</v>
          </cell>
          <cell r="D579">
            <v>141.26</v>
          </cell>
        </row>
        <row r="580">
          <cell r="C580" t="str">
            <v>PGK24KGS20MLSROUESERUM</v>
          </cell>
          <cell r="D580">
            <v>146.44</v>
          </cell>
        </row>
        <row r="581">
          <cell r="C581" t="str">
            <v>PGK24KGSSAMNCJB1</v>
          </cell>
          <cell r="D581">
            <v>104.47</v>
          </cell>
        </row>
        <row r="582">
          <cell r="C582" t="str">
            <v>PGK-2SAFS10-P2</v>
          </cell>
          <cell r="D582">
            <v>58.04</v>
          </cell>
        </row>
        <row r="583">
          <cell r="C583" t="str">
            <v>PGK-5NFS10-P2</v>
          </cell>
          <cell r="D583">
            <v>74.92</v>
          </cell>
        </row>
        <row r="584">
          <cell r="C584" t="str">
            <v>PGKABPPS01</v>
          </cell>
          <cell r="D584">
            <v>53.73</v>
          </cell>
        </row>
        <row r="585">
          <cell r="C585" t="str">
            <v>PGKABPPS1-P2</v>
          </cell>
          <cell r="D585">
            <v>107.46</v>
          </cell>
        </row>
        <row r="586">
          <cell r="C586" t="str">
            <v>PGKAO15MLFFW1</v>
          </cell>
          <cell r="D586">
            <v>109.55</v>
          </cell>
        </row>
        <row r="587">
          <cell r="C587" t="str">
            <v>PGKAO15MLFW1</v>
          </cell>
          <cell r="D587">
            <v>88.86</v>
          </cell>
        </row>
        <row r="588">
          <cell r="C588" t="str">
            <v>PGKAO15MLFWFS</v>
          </cell>
          <cell r="D588">
            <v>149.4</v>
          </cell>
        </row>
        <row r="589">
          <cell r="C589" t="str">
            <v>PGKAO15MLFWFS1</v>
          </cell>
          <cell r="D589">
            <v>149.4</v>
          </cell>
        </row>
        <row r="590">
          <cell r="C590" t="str">
            <v>PGKAO15MLS1</v>
          </cell>
          <cell r="D590">
            <v>129.06</v>
          </cell>
        </row>
        <row r="591">
          <cell r="C591" t="str">
            <v>PGKAO15MLSHCHM1</v>
          </cell>
          <cell r="D591">
            <v>306.93</v>
          </cell>
        </row>
        <row r="592">
          <cell r="C592" t="str">
            <v>PGKAO30MLBW1</v>
          </cell>
          <cell r="D592">
            <v>154.6</v>
          </cell>
        </row>
        <row r="593">
          <cell r="C593" t="str">
            <v>PGKAO30MLFWFMT1</v>
          </cell>
          <cell r="D593">
            <v>148.84</v>
          </cell>
        </row>
        <row r="594">
          <cell r="C594" t="str">
            <v>PGKAO30MLFWNC1</v>
          </cell>
          <cell r="D594">
            <v>190.98000000000002</v>
          </cell>
        </row>
        <row r="595">
          <cell r="C595" t="str">
            <v>PGKAO30MLS1</v>
          </cell>
          <cell r="D595">
            <v>161.38</v>
          </cell>
        </row>
        <row r="596">
          <cell r="C596" t="str">
            <v>PGKAO30MLSHC1</v>
          </cell>
          <cell r="D596">
            <v>236.33999999999997</v>
          </cell>
        </row>
        <row r="597">
          <cell r="C597" t="str">
            <v>PGKAVGFMTFW1</v>
          </cell>
          <cell r="D597">
            <v>118.91</v>
          </cell>
        </row>
        <row r="598">
          <cell r="C598" t="str">
            <v>PGKAVGFS1</v>
          </cell>
          <cell r="D598">
            <v>113.11</v>
          </cell>
        </row>
        <row r="599">
          <cell r="C599" t="str">
            <v>PGKAVGNS1</v>
          </cell>
          <cell r="D599">
            <v>94.78</v>
          </cell>
        </row>
        <row r="600">
          <cell r="C600" t="str">
            <v>PGKAVGP1</v>
          </cell>
          <cell r="D600">
            <v>105.14</v>
          </cell>
        </row>
        <row r="601">
          <cell r="C601" t="str">
            <v>PGKAVGS1</v>
          </cell>
          <cell r="D601">
            <v>131.44999999999999</v>
          </cell>
        </row>
        <row r="602">
          <cell r="C602" t="str">
            <v>PGKAVGVFMTFW1</v>
          </cell>
          <cell r="D602">
            <v>114.08000000000001</v>
          </cell>
        </row>
        <row r="603">
          <cell r="C603" t="str">
            <v>PGKAVGVFS1</v>
          </cell>
          <cell r="D603">
            <v>93.66</v>
          </cell>
        </row>
        <row r="604">
          <cell r="C604" t="str">
            <v>PGKBBC1</v>
          </cell>
          <cell r="D604">
            <v>209.8</v>
          </cell>
        </row>
        <row r="605">
          <cell r="C605" t="str">
            <v>PGKBC1</v>
          </cell>
          <cell r="D605">
            <v>178.04000000000002</v>
          </cell>
        </row>
        <row r="606">
          <cell r="C606" t="str">
            <v>PGKBDLT1</v>
          </cell>
          <cell r="D606">
            <v>59.1</v>
          </cell>
        </row>
        <row r="607">
          <cell r="C607" t="str">
            <v>PGKBLHNC1</v>
          </cell>
          <cell r="D607">
            <v>92.2</v>
          </cell>
        </row>
        <row r="608">
          <cell r="C608" t="str">
            <v>PGKBLNC1</v>
          </cell>
          <cell r="D608">
            <v>128.9</v>
          </cell>
        </row>
        <row r="609">
          <cell r="C609" t="str">
            <v>PGKBS1JB</v>
          </cell>
          <cell r="D609">
            <v>101.03</v>
          </cell>
        </row>
        <row r="610">
          <cell r="C610" t="str">
            <v>PGKBSBL1</v>
          </cell>
          <cell r="D610">
            <v>132.24</v>
          </cell>
        </row>
        <row r="611">
          <cell r="C611" t="str">
            <v>PGKBSBLHNC1</v>
          </cell>
          <cell r="D611">
            <v>165.34</v>
          </cell>
        </row>
        <row r="612">
          <cell r="C612" t="str">
            <v>PGKBSBW1</v>
          </cell>
          <cell r="D612">
            <v>145.24</v>
          </cell>
        </row>
        <row r="613">
          <cell r="C613" t="str">
            <v>PGKBSBWBB1</v>
          </cell>
          <cell r="D613">
            <v>250.14000000000001</v>
          </cell>
        </row>
        <row r="614">
          <cell r="C614" t="str">
            <v>PGKBSFSFSM1</v>
          </cell>
          <cell r="D614">
            <v>191.83</v>
          </cell>
        </row>
        <row r="615">
          <cell r="C615" t="str">
            <v>PGKBSP1</v>
          </cell>
          <cell r="D615">
            <v>146.28</v>
          </cell>
        </row>
        <row r="616">
          <cell r="C616" t="str">
            <v>PGKBWBB1</v>
          </cell>
          <cell r="D616">
            <v>177</v>
          </cell>
        </row>
        <row r="617">
          <cell r="C617" t="str">
            <v>PGKBWBBHNC1</v>
          </cell>
          <cell r="D617">
            <v>210.1</v>
          </cell>
        </row>
        <row r="618">
          <cell r="C618" t="str">
            <v>PGKBWBL1</v>
          </cell>
          <cell r="D618">
            <v>131.19999999999999</v>
          </cell>
        </row>
        <row r="619">
          <cell r="C619" t="str">
            <v>PGKBWBLHNC1</v>
          </cell>
          <cell r="D619">
            <v>164.29999999999998</v>
          </cell>
        </row>
        <row r="620">
          <cell r="C620" t="str">
            <v>PGKDCFMT1</v>
          </cell>
          <cell r="D620">
            <v>122.19000000000001</v>
          </cell>
        </row>
        <row r="621">
          <cell r="C621" t="str">
            <v>PGKDCHNCBLHS1</v>
          </cell>
          <cell r="D621">
            <v>287.39</v>
          </cell>
        </row>
        <row r="622">
          <cell r="C622" t="str">
            <v>PGKDCNS1</v>
          </cell>
          <cell r="D622">
            <v>164.63</v>
          </cell>
        </row>
        <row r="623">
          <cell r="C623" t="str">
            <v>PGKDTMC1</v>
          </cell>
          <cell r="D623">
            <v>272.57000000000005</v>
          </cell>
        </row>
        <row r="624">
          <cell r="C624" t="str">
            <v>PGKFCC1</v>
          </cell>
          <cell r="D624">
            <v>175.42000000000002</v>
          </cell>
        </row>
        <row r="625">
          <cell r="C625" t="str">
            <v>PGKFCC1JB1</v>
          </cell>
          <cell r="D625">
            <v>203.31</v>
          </cell>
        </row>
        <row r="626">
          <cell r="C626" t="str">
            <v>PGKFCFMT1</v>
          </cell>
          <cell r="D626">
            <v>122.19000000000001</v>
          </cell>
        </row>
        <row r="627">
          <cell r="C627" t="str">
            <v>PGKFCFMTJB1</v>
          </cell>
          <cell r="D627">
            <v>150.08000000000001</v>
          </cell>
        </row>
        <row r="628">
          <cell r="C628" t="str">
            <v>PGKFCHNC1</v>
          </cell>
          <cell r="D628">
            <v>127.63000000000002</v>
          </cell>
        </row>
        <row r="629">
          <cell r="C629" t="str">
            <v>PGKFCP1</v>
          </cell>
          <cell r="D629">
            <v>189.06000000000003</v>
          </cell>
        </row>
        <row r="630">
          <cell r="C630" t="str">
            <v>PGKFEK1</v>
          </cell>
          <cell r="D630">
            <v>160.87</v>
          </cell>
        </row>
        <row r="631">
          <cell r="C631" t="str">
            <v>PGKFEKJB1</v>
          </cell>
          <cell r="D631">
            <v>188.76</v>
          </cell>
        </row>
        <row r="632">
          <cell r="C632" t="str">
            <v>PGKFFW1 CHILD</v>
          </cell>
          <cell r="D632">
            <v>59.37</v>
          </cell>
        </row>
        <row r="633">
          <cell r="C633" t="str">
            <v>PGKFFW1 NEW</v>
          </cell>
          <cell r="D633">
            <v>59.37</v>
          </cell>
        </row>
        <row r="634">
          <cell r="C634" t="str">
            <v>PGKFFW1B CHILD</v>
          </cell>
          <cell r="D634">
            <v>60.99</v>
          </cell>
        </row>
        <row r="635">
          <cell r="C635" t="str">
            <v>PGKFFW1B NEW</v>
          </cell>
          <cell r="D635">
            <v>60.99</v>
          </cell>
        </row>
        <row r="636">
          <cell r="C636" t="str">
            <v>PGKFFW1B-CHILD</v>
          </cell>
          <cell r="D636">
            <v>60.99</v>
          </cell>
        </row>
        <row r="637">
          <cell r="C637" t="str">
            <v>PGKFFW1BDCFMT1</v>
          </cell>
          <cell r="D637">
            <v>183.18</v>
          </cell>
        </row>
        <row r="638">
          <cell r="C638" t="str">
            <v>PGKFFW1BFMTNC1</v>
          </cell>
          <cell r="D638">
            <v>158.44999999999999</v>
          </cell>
        </row>
        <row r="639">
          <cell r="C639" t="str">
            <v>PGKFFW1BHAHSS1</v>
          </cell>
          <cell r="D639">
            <v>126.64000000000001</v>
          </cell>
        </row>
        <row r="640">
          <cell r="C640" t="str">
            <v>PGKFFW1BNS1</v>
          </cell>
          <cell r="D640">
            <v>103.2</v>
          </cell>
        </row>
        <row r="641">
          <cell r="C641" t="str">
            <v>PGKFFW1B-P2</v>
          </cell>
          <cell r="D641">
            <v>121.98</v>
          </cell>
        </row>
        <row r="642">
          <cell r="C642" t="str">
            <v>PGKFFW1BSNOCS1</v>
          </cell>
          <cell r="D642">
            <v>112.28999999999999</v>
          </cell>
        </row>
        <row r="643">
          <cell r="C643" t="str">
            <v>PGKFFW1BZAAG1</v>
          </cell>
          <cell r="D643">
            <v>115.44</v>
          </cell>
        </row>
        <row r="644">
          <cell r="C644" t="str">
            <v>PGKFFW1-CHILD</v>
          </cell>
          <cell r="D644">
            <v>59.37</v>
          </cell>
        </row>
        <row r="645">
          <cell r="C645" t="str">
            <v>PGKFFWFMT24KGFM1</v>
          </cell>
          <cell r="D645">
            <v>150.43</v>
          </cell>
        </row>
        <row r="646">
          <cell r="C646" t="str">
            <v>PGKFFWFSMFSDC1</v>
          </cell>
          <cell r="D646">
            <v>272.59000000000003</v>
          </cell>
        </row>
        <row r="647">
          <cell r="C647" t="str">
            <v>PGKFFWOFGM1</v>
          </cell>
          <cell r="D647">
            <v>131.97</v>
          </cell>
        </row>
        <row r="648">
          <cell r="C648" t="str">
            <v>PGKFFWS201</v>
          </cell>
          <cell r="D648">
            <v>147.38999999999999</v>
          </cell>
        </row>
        <row r="649">
          <cell r="C649" t="str">
            <v>PGKFFWUECNC1</v>
          </cell>
          <cell r="D649">
            <v>192.82</v>
          </cell>
        </row>
        <row r="650">
          <cell r="C650" t="str">
            <v>PGKFMT-1-P2</v>
          </cell>
          <cell r="D650">
            <v>55.32</v>
          </cell>
        </row>
        <row r="651">
          <cell r="C651" t="str">
            <v>PGKFMTFSDCFSMNS1</v>
          </cell>
          <cell r="D651">
            <v>283.09000000000003</v>
          </cell>
        </row>
        <row r="652">
          <cell r="C652" t="str">
            <v>PGKFMTFSDCFSMNSJB01</v>
          </cell>
          <cell r="D652">
            <v>310.98</v>
          </cell>
        </row>
        <row r="653">
          <cell r="C653" t="str">
            <v>PGKFMTFSDCFSMNSJB1</v>
          </cell>
          <cell r="D653">
            <v>310.98</v>
          </cell>
        </row>
        <row r="654">
          <cell r="C654" t="str">
            <v>PGKFMTHAHSSABPPS</v>
          </cell>
          <cell r="D654">
            <v>147.04000000000002</v>
          </cell>
        </row>
        <row r="655">
          <cell r="C655" t="str">
            <v>PGKFMTHS1</v>
          </cell>
          <cell r="D655">
            <v>128.32</v>
          </cell>
        </row>
        <row r="656">
          <cell r="C656" t="str">
            <v>PGKFMTNCUEC1</v>
          </cell>
          <cell r="D656">
            <v>161.11000000000001</v>
          </cell>
        </row>
        <row r="657">
          <cell r="C657" t="str">
            <v>PGKFMTNS1</v>
          </cell>
          <cell r="D657">
            <v>69.87</v>
          </cell>
        </row>
        <row r="658">
          <cell r="C658" t="str">
            <v>PGKFMTNSJB1</v>
          </cell>
          <cell r="D658">
            <v>97.76</v>
          </cell>
        </row>
        <row r="659">
          <cell r="C659" t="str">
            <v>PGKFMTP1</v>
          </cell>
          <cell r="D659">
            <v>55.32</v>
          </cell>
        </row>
        <row r="660">
          <cell r="C660" t="str">
            <v>PGKFSBS1</v>
          </cell>
          <cell r="D660">
            <v>133.68</v>
          </cell>
        </row>
        <row r="661">
          <cell r="C661" t="str">
            <v>PGKFSBSBBNS1</v>
          </cell>
          <cell r="D661">
            <v>280.79000000000002</v>
          </cell>
        </row>
        <row r="662">
          <cell r="C662" t="str">
            <v>PGKFSFMT1</v>
          </cell>
          <cell r="D662">
            <v>88.2</v>
          </cell>
        </row>
        <row r="663">
          <cell r="C663" t="str">
            <v>PGKFSFMTDCFSMJB1</v>
          </cell>
          <cell r="D663">
            <v>268.77000000000004</v>
          </cell>
        </row>
        <row r="664">
          <cell r="C664" t="str">
            <v>PGKFSFSM1</v>
          </cell>
          <cell r="D664">
            <v>118.69</v>
          </cell>
        </row>
        <row r="665">
          <cell r="C665" t="str">
            <v>PGKFSFTM1</v>
          </cell>
          <cell r="D665">
            <v>88.2</v>
          </cell>
        </row>
        <row r="666">
          <cell r="C666" t="str">
            <v>PGKFSM1</v>
          </cell>
          <cell r="D666">
            <v>58.15</v>
          </cell>
        </row>
        <row r="667">
          <cell r="C667" t="str">
            <v>PGKFSMFC1</v>
          </cell>
          <cell r="D667">
            <v>152.68</v>
          </cell>
        </row>
        <row r="668">
          <cell r="C668" t="str">
            <v>PGKFSMFMT1</v>
          </cell>
          <cell r="D668">
            <v>85.81</v>
          </cell>
        </row>
        <row r="669">
          <cell r="C669" t="str">
            <v>PGKFSMFSFMT1</v>
          </cell>
          <cell r="D669">
            <v>146.35</v>
          </cell>
        </row>
        <row r="670">
          <cell r="C670" t="str">
            <v>PGKFSMFSNS1</v>
          </cell>
          <cell r="D670">
            <v>160.9</v>
          </cell>
        </row>
        <row r="671">
          <cell r="C671" t="str">
            <v>PGKFSMFWFC1</v>
          </cell>
          <cell r="D671">
            <v>191.36</v>
          </cell>
        </row>
        <row r="672">
          <cell r="C672" t="str">
            <v>PGKFSMFWFSFC1</v>
          </cell>
          <cell r="D672">
            <v>251.90000000000003</v>
          </cell>
        </row>
        <row r="673">
          <cell r="C673" t="str">
            <v>PGKFSMFWFSNC1</v>
          </cell>
          <cell r="D673">
            <v>227.17000000000002</v>
          </cell>
        </row>
        <row r="674">
          <cell r="C674" t="str">
            <v>PGKFSMFWNC1</v>
          </cell>
          <cell r="D674">
            <v>166.63</v>
          </cell>
        </row>
        <row r="675">
          <cell r="C675" t="str">
            <v>PGKFSMFWNCUEC1</v>
          </cell>
          <cell r="D675">
            <v>230.27999999999997</v>
          </cell>
        </row>
        <row r="676">
          <cell r="C676" t="str">
            <v>PGKFSMFWNS1</v>
          </cell>
          <cell r="D676">
            <v>139.04</v>
          </cell>
        </row>
        <row r="677">
          <cell r="C677" t="str">
            <v>PGKFSMFWNS201</v>
          </cell>
          <cell r="D677">
            <v>184.85</v>
          </cell>
        </row>
        <row r="678">
          <cell r="C678" t="str">
            <v>PGKFSMNS1</v>
          </cell>
          <cell r="D678">
            <v>100.36</v>
          </cell>
        </row>
        <row r="679">
          <cell r="C679" t="str">
            <v>PGKFSMNS201</v>
          </cell>
          <cell r="D679">
            <v>188.38</v>
          </cell>
        </row>
        <row r="680">
          <cell r="C680" t="str">
            <v>PGKFSP1</v>
          </cell>
          <cell r="D680">
            <v>121.08</v>
          </cell>
        </row>
        <row r="681">
          <cell r="C681" t="str">
            <v>PGKFWBB1</v>
          </cell>
          <cell r="D681">
            <v>143.58000000000001</v>
          </cell>
        </row>
        <row r="682">
          <cell r="C682" t="str">
            <v>PGKFWBS1</v>
          </cell>
          <cell r="D682">
            <v>111.82</v>
          </cell>
        </row>
        <row r="683">
          <cell r="C683" t="str">
            <v>PGKFWBW1</v>
          </cell>
          <cell r="D683">
            <v>110.78</v>
          </cell>
        </row>
        <row r="684">
          <cell r="C684" t="str">
            <v>PGKFWBWS1</v>
          </cell>
          <cell r="D684">
            <v>189.66</v>
          </cell>
        </row>
        <row r="685">
          <cell r="C685" t="str">
            <v>PGKFWC1</v>
          </cell>
          <cell r="D685">
            <v>77.36</v>
          </cell>
        </row>
        <row r="686">
          <cell r="C686" t="str">
            <v>PGKFWDC1</v>
          </cell>
          <cell r="D686">
            <v>133.21</v>
          </cell>
        </row>
        <row r="687">
          <cell r="C687" t="str">
            <v>PGKFWFMT1</v>
          </cell>
          <cell r="D687">
            <v>66.34</v>
          </cell>
        </row>
        <row r="688">
          <cell r="C688" t="str">
            <v>PGKFWFMTDCNS1</v>
          </cell>
          <cell r="D688">
            <v>230.97000000000003</v>
          </cell>
        </row>
        <row r="689">
          <cell r="C689" t="str">
            <v>PGKFWFMTDCNSJB1</v>
          </cell>
          <cell r="D689">
            <v>230.97000000000003</v>
          </cell>
        </row>
        <row r="690">
          <cell r="C690" t="str">
            <v>PGKFWFMTFM1</v>
          </cell>
          <cell r="D690">
            <v>124.49000000000001</v>
          </cell>
        </row>
        <row r="691">
          <cell r="C691" t="str">
            <v>PGKFWFMTS201</v>
          </cell>
          <cell r="D691">
            <v>154.36000000000001</v>
          </cell>
        </row>
        <row r="692">
          <cell r="C692" t="str">
            <v>PGKFWFMTS20UEC1</v>
          </cell>
          <cell r="D692">
            <v>218.01000000000002</v>
          </cell>
        </row>
        <row r="693">
          <cell r="C693" t="str">
            <v>PGKFWFS1</v>
          </cell>
          <cell r="D693">
            <v>99.22</v>
          </cell>
        </row>
        <row r="694">
          <cell r="C694" t="str">
            <v>PGKFWFSDC1</v>
          </cell>
          <cell r="D694">
            <v>193.75000000000003</v>
          </cell>
        </row>
        <row r="695">
          <cell r="C695" t="str">
            <v>PGKFWFSDCFMT1</v>
          </cell>
          <cell r="D695">
            <v>221.41000000000003</v>
          </cell>
        </row>
        <row r="696">
          <cell r="C696" t="str">
            <v>PGKFWFSDCFSMNSJB01</v>
          </cell>
          <cell r="D696">
            <v>322</v>
          </cell>
        </row>
        <row r="697">
          <cell r="C697" t="str">
            <v>PGKFWFSDCFSMNSJB1</v>
          </cell>
          <cell r="D697">
            <v>322</v>
          </cell>
        </row>
        <row r="698">
          <cell r="C698" t="str">
            <v>PGKFWFSFSM1</v>
          </cell>
          <cell r="D698">
            <v>157.37</v>
          </cell>
        </row>
        <row r="699">
          <cell r="C699" t="str">
            <v>PGKFWFSM1</v>
          </cell>
          <cell r="D699">
            <v>96.83</v>
          </cell>
        </row>
        <row r="700">
          <cell r="C700" t="str">
            <v>PGKFWFSMFSNSJB01</v>
          </cell>
          <cell r="D700">
            <v>227.47000000000003</v>
          </cell>
        </row>
        <row r="701">
          <cell r="C701" t="str">
            <v>PGKFWFSMFSNSJB1</v>
          </cell>
          <cell r="D701">
            <v>227.47000000000003</v>
          </cell>
        </row>
        <row r="702">
          <cell r="C702" t="str">
            <v>PGKFWFSNCFSMNSJB01</v>
          </cell>
          <cell r="D702">
            <v>297.27000000000004</v>
          </cell>
        </row>
        <row r="703">
          <cell r="C703" t="str">
            <v>PGKFWFSNCFSMNSJB1</v>
          </cell>
          <cell r="D703">
            <v>297.27</v>
          </cell>
        </row>
        <row r="704">
          <cell r="C704" t="str">
            <v>PGKFWFSNS1</v>
          </cell>
          <cell r="D704">
            <v>141.43</v>
          </cell>
        </row>
        <row r="705">
          <cell r="C705" t="str">
            <v>PGKFWNS1</v>
          </cell>
          <cell r="D705">
            <v>80.89</v>
          </cell>
        </row>
        <row r="706">
          <cell r="C706" t="str">
            <v>PGKFWNSFMT1</v>
          </cell>
          <cell r="D706">
            <v>108.55000000000001</v>
          </cell>
        </row>
        <row r="707">
          <cell r="C707" t="str">
            <v>PGKFWSGFFW1</v>
          </cell>
          <cell r="D707">
            <v>98.05</v>
          </cell>
        </row>
        <row r="708">
          <cell r="C708" t="str">
            <v>PGKFWSHCBW1</v>
          </cell>
          <cell r="D708">
            <v>264.62</v>
          </cell>
        </row>
        <row r="709">
          <cell r="C709" t="str">
            <v>PGKFWVFTNC1</v>
          </cell>
          <cell r="D709">
            <v>106.55</v>
          </cell>
        </row>
        <row r="710">
          <cell r="C710" t="str">
            <v>PGKHAHSS1-P2</v>
          </cell>
          <cell r="D710">
            <v>131.30000000000001</v>
          </cell>
        </row>
        <row r="711">
          <cell r="C711" t="str">
            <v>PGKHAHSSFFW1</v>
          </cell>
          <cell r="D711">
            <v>125.02000000000001</v>
          </cell>
        </row>
        <row r="712">
          <cell r="C712" t="str">
            <v>PGKHAHSSFFWFMT1</v>
          </cell>
          <cell r="D712">
            <v>152.68</v>
          </cell>
        </row>
        <row r="713">
          <cell r="C713" t="str">
            <v>PGKHAHSSFMT24GFM1</v>
          </cell>
          <cell r="D713">
            <v>156.71</v>
          </cell>
        </row>
        <row r="714">
          <cell r="C714" t="str">
            <v>PGKHAHSSFW24KGFM1</v>
          </cell>
          <cell r="D714">
            <v>167.73000000000002</v>
          </cell>
        </row>
        <row r="715">
          <cell r="C715" t="str">
            <v>PGKHAHSSNC1</v>
          </cell>
          <cell r="D715">
            <v>135.44999999999999</v>
          </cell>
        </row>
        <row r="716">
          <cell r="C716" t="str">
            <v>PGKHAHSSZAAG1</v>
          </cell>
          <cell r="D716">
            <v>120.10000000000001</v>
          </cell>
        </row>
        <row r="717">
          <cell r="C717" t="str">
            <v>PGKHC01</v>
          </cell>
          <cell r="D717">
            <v>74.959999999999994</v>
          </cell>
        </row>
        <row r="718">
          <cell r="C718" t="str">
            <v>PGKHC1-P2</v>
          </cell>
          <cell r="D718">
            <v>149.91999999999999</v>
          </cell>
        </row>
        <row r="719">
          <cell r="C719" t="str">
            <v>PGKHMP1</v>
          </cell>
          <cell r="D719">
            <v>205.82</v>
          </cell>
        </row>
        <row r="720">
          <cell r="C720" t="str">
            <v>PGKHNCFMT1</v>
          </cell>
          <cell r="D720">
            <v>60.760000000000005</v>
          </cell>
        </row>
        <row r="721">
          <cell r="C721" t="str">
            <v>PGKHRK1</v>
          </cell>
          <cell r="D721">
            <v>209.68</v>
          </cell>
        </row>
        <row r="722">
          <cell r="C722" t="str">
            <v>PGKHRKJB1</v>
          </cell>
          <cell r="D722">
            <v>209.68</v>
          </cell>
        </row>
        <row r="723">
          <cell r="C723" t="str">
            <v>PGKHS1 1</v>
          </cell>
          <cell r="D723">
            <v>100.66</v>
          </cell>
        </row>
        <row r="724">
          <cell r="C724" t="str">
            <v>PGKHSP1</v>
          </cell>
          <cell r="D724">
            <v>201.32</v>
          </cell>
        </row>
        <row r="725">
          <cell r="C725" t="str">
            <v>PGKJB24KGBO1</v>
          </cell>
          <cell r="D725">
            <v>129.56</v>
          </cell>
        </row>
        <row r="726">
          <cell r="C726" t="str">
            <v>PGKJB24KGFM1</v>
          </cell>
          <cell r="D726">
            <v>91.289999999999992</v>
          </cell>
        </row>
        <row r="727">
          <cell r="C727" t="str">
            <v>PGKJBFMT1</v>
          </cell>
          <cell r="D727">
            <v>55.55</v>
          </cell>
        </row>
        <row r="728">
          <cell r="C728" t="str">
            <v>PGKJBKS1</v>
          </cell>
          <cell r="D728">
            <v>106.77</v>
          </cell>
        </row>
        <row r="729">
          <cell r="C729" t="str">
            <v>PGKJBNS1</v>
          </cell>
          <cell r="D729">
            <v>70.099999999999994</v>
          </cell>
        </row>
        <row r="730">
          <cell r="C730" t="str">
            <v>PGKJBNSFMTFFW24KGFM1</v>
          </cell>
          <cell r="D730">
            <v>157.13</v>
          </cell>
        </row>
        <row r="731">
          <cell r="C731" t="str">
            <v>PGKJBS20</v>
          </cell>
          <cell r="D731">
            <v>115.91</v>
          </cell>
        </row>
        <row r="732">
          <cell r="C732" t="str">
            <v>PGKJBS-AAS1</v>
          </cell>
          <cell r="D732">
            <v>79.77000000000001</v>
          </cell>
        </row>
        <row r="733">
          <cell r="C733" t="str">
            <v>PGKJBS-LFS1</v>
          </cell>
          <cell r="D733">
            <v>103.16</v>
          </cell>
        </row>
        <row r="734">
          <cell r="C734" t="str">
            <v>PGKJBUEC1</v>
          </cell>
          <cell r="D734">
            <v>91.539999999999992</v>
          </cell>
        </row>
        <row r="735">
          <cell r="C735" t="str">
            <v>PGK-KAS-P2</v>
          </cell>
          <cell r="D735">
            <v>91.48</v>
          </cell>
        </row>
        <row r="736">
          <cell r="C736" t="str">
            <v>PGKNC1-P2</v>
          </cell>
          <cell r="D736">
            <v>139.6</v>
          </cell>
        </row>
        <row r="737">
          <cell r="C737" t="str">
            <v>PGKNCNS1</v>
          </cell>
          <cell r="D737">
            <v>112.00999999999999</v>
          </cell>
        </row>
        <row r="738">
          <cell r="C738" t="str">
            <v>PGKNCNSJB01</v>
          </cell>
          <cell r="D738">
            <v>139.89999999999998</v>
          </cell>
        </row>
        <row r="739">
          <cell r="C739" t="str">
            <v>PGKNCNSJB1</v>
          </cell>
          <cell r="D739">
            <v>139.89999999999998</v>
          </cell>
        </row>
        <row r="740">
          <cell r="C740" t="str">
            <v>PGKNCS201</v>
          </cell>
          <cell r="D740">
            <v>157.82</v>
          </cell>
        </row>
        <row r="741">
          <cell r="C741" t="str">
            <v>PGKNCSAMHAHSSJB1</v>
          </cell>
          <cell r="D741" t="e">
            <v>#N/A</v>
          </cell>
        </row>
        <row r="742">
          <cell r="C742" t="str">
            <v>PGKNCSROUESERUM</v>
          </cell>
          <cell r="D742">
            <v>145.61000000000001</v>
          </cell>
        </row>
        <row r="743">
          <cell r="C743" t="str">
            <v>PGKNHCBLDC01</v>
          </cell>
          <cell r="D743">
            <v>186.73000000000002</v>
          </cell>
        </row>
        <row r="744">
          <cell r="C744" t="str">
            <v>PGKNHCBLFC1</v>
          </cell>
          <cell r="D744">
            <v>186.73000000000002</v>
          </cell>
        </row>
        <row r="745">
          <cell r="C745" t="str">
            <v>PGKNS201</v>
          </cell>
          <cell r="D745">
            <v>88.02</v>
          </cell>
        </row>
        <row r="746">
          <cell r="C746" t="str">
            <v>PGKNSFC1</v>
          </cell>
          <cell r="D746">
            <v>136.74</v>
          </cell>
        </row>
        <row r="747">
          <cell r="C747" t="str">
            <v>PGKNSFMTFFW24KGFM1</v>
          </cell>
          <cell r="D747">
            <v>192.64000000000001</v>
          </cell>
        </row>
        <row r="748">
          <cell r="C748" t="str">
            <v>PGKNSGIFTWP</v>
          </cell>
          <cell r="D748">
            <v>42.21</v>
          </cell>
        </row>
        <row r="749">
          <cell r="C749" t="str">
            <v>PGKNSHS1</v>
          </cell>
          <cell r="D749">
            <v>170.76</v>
          </cell>
        </row>
        <row r="750">
          <cell r="C750" t="str">
            <v>PGKNSP1</v>
          </cell>
          <cell r="D750">
            <v>84.42</v>
          </cell>
        </row>
        <row r="751">
          <cell r="C751" t="str">
            <v>PGKNSPJB1</v>
          </cell>
          <cell r="D751">
            <v>70.099999999999994</v>
          </cell>
        </row>
        <row r="752">
          <cell r="C752" t="str">
            <v>PGKNSUEC1</v>
          </cell>
          <cell r="D752">
            <v>105.86</v>
          </cell>
        </row>
        <row r="753">
          <cell r="C753" t="str">
            <v>PGKOFGM1-P2</v>
          </cell>
          <cell r="D753">
            <v>145.19999999999999</v>
          </cell>
        </row>
        <row r="754">
          <cell r="C754" t="str">
            <v>PGKOFGMFW1</v>
          </cell>
          <cell r="D754">
            <v>111.28</v>
          </cell>
        </row>
        <row r="755">
          <cell r="C755" t="str">
            <v>PGKOFGMFWFMT1</v>
          </cell>
          <cell r="D755">
            <v>138.94</v>
          </cell>
        </row>
        <row r="756">
          <cell r="C756" t="str">
            <v>PGKOFGMFWNC1</v>
          </cell>
          <cell r="D756">
            <v>181.07999999999998</v>
          </cell>
        </row>
        <row r="757">
          <cell r="C757" t="str">
            <v>PGKOFGMHAHSS1</v>
          </cell>
          <cell r="D757">
            <v>138.25</v>
          </cell>
        </row>
        <row r="758">
          <cell r="C758" t="str">
            <v>PGKR-BR</v>
          </cell>
          <cell r="D758">
            <v>205.93</v>
          </cell>
        </row>
        <row r="759">
          <cell r="C759" t="str">
            <v>PGKR-DTDR</v>
          </cell>
          <cell r="D759">
            <v>203.31</v>
          </cell>
        </row>
        <row r="760">
          <cell r="C760" t="str">
            <v>PGKR-EBR</v>
          </cell>
          <cell r="D760">
            <v>164.29999999999998</v>
          </cell>
        </row>
        <row r="761">
          <cell r="C761" t="str">
            <v>PGKR-FR</v>
          </cell>
          <cell r="D761">
            <v>221.64000000000004</v>
          </cell>
        </row>
        <row r="762">
          <cell r="C762" t="str">
            <v>PGKR-GNR</v>
          </cell>
          <cell r="D762">
            <v>199.79000000000002</v>
          </cell>
        </row>
        <row r="763">
          <cell r="C763" t="str">
            <v>PGKR-HER</v>
          </cell>
          <cell r="D763">
            <v>254.5</v>
          </cell>
        </row>
        <row r="764">
          <cell r="C764" t="str">
            <v>PGKR-HR</v>
          </cell>
          <cell r="D764">
            <v>209.68</v>
          </cell>
        </row>
        <row r="765">
          <cell r="C765" t="str">
            <v>PGKR-LBR</v>
          </cell>
          <cell r="D765">
            <v>237.44</v>
          </cell>
        </row>
        <row r="766">
          <cell r="C766" t="str">
            <v>PGKR-NRFR</v>
          </cell>
          <cell r="D766">
            <v>161.33999999999997</v>
          </cell>
        </row>
        <row r="767">
          <cell r="C767" t="str">
            <v>PGKRP-FR</v>
          </cell>
          <cell r="D767">
            <v>291.51</v>
          </cell>
        </row>
        <row r="768">
          <cell r="C768" t="str">
            <v>PGKRP-HR</v>
          </cell>
          <cell r="D768">
            <v>357.40999999999997</v>
          </cell>
        </row>
        <row r="769">
          <cell r="C769" t="str">
            <v>PGKRRNOFMT1</v>
          </cell>
          <cell r="D769">
            <v>108.28999999999999</v>
          </cell>
        </row>
        <row r="770">
          <cell r="C770" t="str">
            <v>PGKRRNOSGFFW1</v>
          </cell>
          <cell r="D770">
            <v>140</v>
          </cell>
        </row>
        <row r="771">
          <cell r="C771" t="str">
            <v>PGKR-SR</v>
          </cell>
          <cell r="D771">
            <v>188.76</v>
          </cell>
        </row>
        <row r="772">
          <cell r="C772" t="str">
            <v>PGKR-SRJB1</v>
          </cell>
          <cell r="D772">
            <v>188.76</v>
          </cell>
        </row>
        <row r="773">
          <cell r="C773" t="str">
            <v>PGKS AASFMTFSM1</v>
          </cell>
          <cell r="D773">
            <v>137.69</v>
          </cell>
        </row>
        <row r="774">
          <cell r="C774" t="str">
            <v>PGKS AASFSM1</v>
          </cell>
          <cell r="D774">
            <v>110.03</v>
          </cell>
        </row>
        <row r="775">
          <cell r="C775" t="str">
            <v>PGKS AASFW1</v>
          </cell>
          <cell r="D775">
            <v>90.56</v>
          </cell>
        </row>
        <row r="776">
          <cell r="C776" t="str">
            <v>PGKS AHGSHC1</v>
          </cell>
          <cell r="D776">
            <v>205.19</v>
          </cell>
        </row>
        <row r="777">
          <cell r="C777" t="str">
            <v>PGKS AHGSS1</v>
          </cell>
          <cell r="D777">
            <v>237</v>
          </cell>
        </row>
        <row r="778">
          <cell r="C778" t="str">
            <v>PGKS AHGSSHC01</v>
          </cell>
          <cell r="D778">
            <v>284.07</v>
          </cell>
        </row>
        <row r="779">
          <cell r="C779" t="str">
            <v>PGKS AHGSSHC1</v>
          </cell>
          <cell r="D779">
            <v>284.07</v>
          </cell>
        </row>
        <row r="780">
          <cell r="C780" t="str">
            <v>PGKS AHGSSHM1</v>
          </cell>
          <cell r="D780">
            <v>312.02</v>
          </cell>
        </row>
        <row r="781">
          <cell r="C781" t="str">
            <v>PGKS AVBSFMTFSM1</v>
          </cell>
          <cell r="D781">
            <v>162.4</v>
          </cell>
        </row>
        <row r="782">
          <cell r="C782" t="str">
            <v>PGKS AVBSFW1</v>
          </cell>
          <cell r="D782">
            <v>115.27000000000001</v>
          </cell>
        </row>
        <row r="783">
          <cell r="C783" t="str">
            <v>PGKS AVBSFWFMT1</v>
          </cell>
          <cell r="D783">
            <v>142.93</v>
          </cell>
        </row>
        <row r="784">
          <cell r="C784" t="str">
            <v>PGKS LFSFMT1</v>
          </cell>
          <cell r="D784">
            <v>102.92999999999999</v>
          </cell>
        </row>
        <row r="785">
          <cell r="C785" t="str">
            <v>PGKS LFSFSM1</v>
          </cell>
          <cell r="D785">
            <v>133.41999999999999</v>
          </cell>
        </row>
        <row r="786">
          <cell r="C786" t="str">
            <v>PGKS LFSFWFSM1</v>
          </cell>
          <cell r="D786">
            <v>172.1</v>
          </cell>
        </row>
        <row r="787">
          <cell r="C787" t="str">
            <v>PGKS LFSHS1</v>
          </cell>
          <cell r="D787">
            <v>175.93</v>
          </cell>
        </row>
        <row r="788">
          <cell r="C788" t="str">
            <v>PGKS SCSFMT1</v>
          </cell>
          <cell r="D788">
            <v>104.39999999999999</v>
          </cell>
        </row>
        <row r="789">
          <cell r="C789" t="str">
            <v>PGKS SCSFMTFSM1</v>
          </cell>
          <cell r="D789">
            <v>162.54999999999998</v>
          </cell>
        </row>
        <row r="790">
          <cell r="C790" t="str">
            <v>PGKS SCSFMTFW1</v>
          </cell>
          <cell r="D790">
            <v>143.07999999999998</v>
          </cell>
        </row>
        <row r="791">
          <cell r="C791" t="str">
            <v>PGKS SCSFS1</v>
          </cell>
          <cell r="D791">
            <v>137.28</v>
          </cell>
        </row>
        <row r="792">
          <cell r="C792" t="str">
            <v>PGKS SCSFW1</v>
          </cell>
          <cell r="D792">
            <v>115.41999999999999</v>
          </cell>
        </row>
        <row r="793">
          <cell r="C793" t="str">
            <v>PGKS SCSOFGM1</v>
          </cell>
          <cell r="D793">
            <v>149.33999999999997</v>
          </cell>
        </row>
        <row r="794">
          <cell r="C794" t="str">
            <v>PGKS20DC1</v>
          </cell>
          <cell r="D794">
            <v>182.55</v>
          </cell>
        </row>
        <row r="795">
          <cell r="C795" t="str">
            <v>PGKS20FMT1</v>
          </cell>
          <cell r="D795">
            <v>115.67999999999999</v>
          </cell>
        </row>
        <row r="796">
          <cell r="C796" t="str">
            <v>PGKS20HS1</v>
          </cell>
          <cell r="D796">
            <v>188.68</v>
          </cell>
        </row>
        <row r="797">
          <cell r="C797" t="str">
            <v>PGKS20NC1</v>
          </cell>
          <cell r="D797">
            <v>157.82</v>
          </cell>
        </row>
        <row r="798">
          <cell r="C798" t="str">
            <v>PGKS20-P2</v>
          </cell>
          <cell r="D798">
            <v>176.04</v>
          </cell>
        </row>
        <row r="799">
          <cell r="C799" t="str">
            <v>PGKS20UEC1</v>
          </cell>
          <cell r="D799">
            <v>151.66999999999999</v>
          </cell>
        </row>
        <row r="800">
          <cell r="C800" t="str">
            <v>PGKS-AASFFW1B1</v>
          </cell>
          <cell r="D800">
            <v>112.87</v>
          </cell>
        </row>
        <row r="801">
          <cell r="C801" t="str">
            <v>PGKS-AASFMT1</v>
          </cell>
          <cell r="D801">
            <v>79.540000000000006</v>
          </cell>
        </row>
        <row r="802">
          <cell r="C802" t="str">
            <v>PGKS-AASFMTFSM1</v>
          </cell>
          <cell r="D802">
            <v>137.69</v>
          </cell>
        </row>
        <row r="803">
          <cell r="C803" t="str">
            <v>PGKS-AASFSM1</v>
          </cell>
          <cell r="D803">
            <v>110.03</v>
          </cell>
        </row>
        <row r="804">
          <cell r="C804" t="str">
            <v>PGKS-AASFW01</v>
          </cell>
          <cell r="D804">
            <v>90.56</v>
          </cell>
        </row>
        <row r="805">
          <cell r="C805" t="str">
            <v>PGKS-AASFW1</v>
          </cell>
          <cell r="D805">
            <v>128.62</v>
          </cell>
        </row>
        <row r="806">
          <cell r="C806" t="str">
            <v>PGKS-AASFWFMTDC1</v>
          </cell>
          <cell r="D806">
            <v>212.75</v>
          </cell>
        </row>
        <row r="807">
          <cell r="C807" t="str">
            <v>PGKS-AASFWFSDC1</v>
          </cell>
          <cell r="D807">
            <v>245.63000000000002</v>
          </cell>
        </row>
        <row r="808">
          <cell r="C808" t="str">
            <v>PGKS-AASFWFSFSM1</v>
          </cell>
          <cell r="D808">
            <v>209.25</v>
          </cell>
        </row>
        <row r="809">
          <cell r="C809" t="str">
            <v>PGKS-AASFWFSM1</v>
          </cell>
          <cell r="D809">
            <v>148.71</v>
          </cell>
        </row>
        <row r="810">
          <cell r="C810" t="str">
            <v>PGKS-AHGS80ML</v>
          </cell>
          <cell r="D810">
            <v>213.88</v>
          </cell>
        </row>
        <row r="811">
          <cell r="C811" t="str">
            <v>PGKS-AHGSAVBS</v>
          </cell>
          <cell r="D811">
            <v>206.82</v>
          </cell>
        </row>
        <row r="812">
          <cell r="C812" t="str">
            <v>PGKS-AHGSAVG1</v>
          </cell>
          <cell r="D812">
            <v>182.79999999999998</v>
          </cell>
        </row>
        <row r="813">
          <cell r="C813" t="str">
            <v>PGKS-AHGSAVGS1</v>
          </cell>
          <cell r="D813">
            <v>261.68</v>
          </cell>
        </row>
        <row r="814">
          <cell r="C814" t="str">
            <v>PGKS-AHGSFMT1</v>
          </cell>
          <cell r="D814">
            <v>157.88999999999999</v>
          </cell>
        </row>
        <row r="815">
          <cell r="C815" t="str">
            <v>PGKSAHGSHC</v>
          </cell>
          <cell r="D815">
            <v>284.06999999999994</v>
          </cell>
        </row>
        <row r="816">
          <cell r="C816" t="str">
            <v>PGKS-AHGSHC1</v>
          </cell>
          <cell r="D816">
            <v>205.19</v>
          </cell>
        </row>
        <row r="817">
          <cell r="C817" t="str">
            <v>PGKSAHGSHC-SMYT</v>
          </cell>
          <cell r="D817">
            <v>284.06999999999994</v>
          </cell>
        </row>
        <row r="818">
          <cell r="C818" t="str">
            <v>PGKS-AHGSHM1</v>
          </cell>
          <cell r="D818">
            <v>233.14</v>
          </cell>
        </row>
        <row r="819">
          <cell r="C819" t="str">
            <v>PGKS-AHGSNS1</v>
          </cell>
          <cell r="D819">
            <v>172.44</v>
          </cell>
        </row>
        <row r="820">
          <cell r="C820" t="str">
            <v>PGKS-AHGSP1</v>
          </cell>
          <cell r="D820">
            <v>260.45999999999998</v>
          </cell>
        </row>
        <row r="821">
          <cell r="C821" t="str">
            <v>PGKS-AHGSS1</v>
          </cell>
          <cell r="D821">
            <v>237</v>
          </cell>
        </row>
        <row r="822">
          <cell r="C822" t="str">
            <v>PGKS-AHGSSHC01</v>
          </cell>
          <cell r="D822">
            <v>284.06999999999994</v>
          </cell>
        </row>
        <row r="823">
          <cell r="C823" t="str">
            <v>PGKS-AHGSSHC1</v>
          </cell>
          <cell r="D823">
            <v>284.06999999999994</v>
          </cell>
        </row>
        <row r="824">
          <cell r="C824" t="str">
            <v>PGKS-AHGSSHCHM1</v>
          </cell>
          <cell r="D824">
            <v>386.98</v>
          </cell>
        </row>
        <row r="825">
          <cell r="C825" t="str">
            <v>PGKS-AHGSSHM1</v>
          </cell>
          <cell r="D825">
            <v>312.02</v>
          </cell>
        </row>
        <row r="826">
          <cell r="C826" t="str">
            <v>PGKS-AHGSSJB1</v>
          </cell>
          <cell r="D826">
            <v>237</v>
          </cell>
        </row>
        <row r="827">
          <cell r="C827" t="str">
            <v>PGKS-AVBSAVG1</v>
          </cell>
          <cell r="D827">
            <v>129.16</v>
          </cell>
        </row>
        <row r="828">
          <cell r="C828" t="str">
            <v>PGKS-AVBSFMT1</v>
          </cell>
          <cell r="D828">
            <v>104.25</v>
          </cell>
        </row>
        <row r="829">
          <cell r="C829" t="str">
            <v>PGKS-AVBSFMT24KGFM1</v>
          </cell>
          <cell r="D829">
            <v>167.65</v>
          </cell>
        </row>
        <row r="830">
          <cell r="C830" t="str">
            <v>PGKS-AVBSFMTFSM1</v>
          </cell>
          <cell r="D830">
            <v>162.4</v>
          </cell>
        </row>
        <row r="831">
          <cell r="C831" t="str">
            <v>PGKS-AVBSFW1</v>
          </cell>
          <cell r="D831">
            <v>115.27000000000001</v>
          </cell>
        </row>
        <row r="832">
          <cell r="C832" t="str">
            <v>PGKS-AVBSFWFMT1</v>
          </cell>
          <cell r="D832">
            <v>142.93</v>
          </cell>
        </row>
        <row r="833">
          <cell r="C833" t="str">
            <v>PGKS-AVBSFWNC1</v>
          </cell>
          <cell r="D833">
            <v>185.07</v>
          </cell>
        </row>
        <row r="834">
          <cell r="C834" t="str">
            <v>PGKS-AVBSHAHSS1</v>
          </cell>
          <cell r="D834">
            <v>142.24</v>
          </cell>
        </row>
        <row r="835">
          <cell r="C835" t="str">
            <v>PGKS-AVBSHS1</v>
          </cell>
          <cell r="D835">
            <v>177.25</v>
          </cell>
        </row>
        <row r="836">
          <cell r="C836" t="str">
            <v>PGKSAVBSSAMFCJB1</v>
          </cell>
          <cell r="D836">
            <v>116.44000000000001</v>
          </cell>
        </row>
        <row r="837">
          <cell r="C837" t="str">
            <v>PGKSC1</v>
          </cell>
          <cell r="D837">
            <v>157.76</v>
          </cell>
        </row>
        <row r="838">
          <cell r="C838" t="str">
            <v>PGKSFW1</v>
          </cell>
          <cell r="D838">
            <v>117.56</v>
          </cell>
        </row>
        <row r="839">
          <cell r="C839" t="str">
            <v>PGKSGFFW1 CHILD</v>
          </cell>
          <cell r="D839">
            <v>66.739999999999995</v>
          </cell>
        </row>
        <row r="840">
          <cell r="C840" t="str">
            <v>PGKSGFFW1 NEW</v>
          </cell>
          <cell r="D840">
            <v>66.739999999999995</v>
          </cell>
        </row>
        <row r="841">
          <cell r="C841" t="str">
            <v>PGKSGFFWFMTDC1</v>
          </cell>
          <cell r="D841">
            <v>188.93</v>
          </cell>
        </row>
        <row r="842">
          <cell r="C842" t="str">
            <v>PGKSGFFWHAHSS1</v>
          </cell>
          <cell r="D842">
            <v>132.38999999999999</v>
          </cell>
        </row>
        <row r="843">
          <cell r="C843" t="str">
            <v>PGKSGFFWNS1</v>
          </cell>
          <cell r="D843">
            <v>108.94999999999999</v>
          </cell>
        </row>
        <row r="844">
          <cell r="C844" t="str">
            <v>PGKSHC1</v>
          </cell>
          <cell r="D844">
            <v>181.72999999999996</v>
          </cell>
        </row>
        <row r="845">
          <cell r="C845" t="str">
            <v>PGKSHCHS1</v>
          </cell>
          <cell r="D845">
            <v>254.5</v>
          </cell>
        </row>
        <row r="846">
          <cell r="C846" t="str">
            <v>PGKSHCJB1</v>
          </cell>
          <cell r="D846">
            <v>181.73</v>
          </cell>
        </row>
        <row r="847">
          <cell r="C847" t="str">
            <v>PGKSHMHC1</v>
          </cell>
          <cell r="D847">
            <v>256.75</v>
          </cell>
        </row>
        <row r="848">
          <cell r="C848" t="str">
            <v>PGKSHMHS1</v>
          </cell>
          <cell r="D848">
            <v>282.45</v>
          </cell>
        </row>
        <row r="849">
          <cell r="C849" t="str">
            <v>PGKSHS1</v>
          </cell>
          <cell r="D849">
            <v>179.54</v>
          </cell>
        </row>
        <row r="850">
          <cell r="C850" t="str">
            <v>PGKS-LFS1-P2</v>
          </cell>
          <cell r="D850">
            <v>150.54</v>
          </cell>
        </row>
        <row r="851">
          <cell r="C851" t="str">
            <v>PGKS-LFSAHGSFWS1</v>
          </cell>
          <cell r="D851">
            <v>323.05999999999995</v>
          </cell>
        </row>
        <row r="852">
          <cell r="C852" t="str">
            <v>PGKS-LFSFMT1</v>
          </cell>
          <cell r="D852">
            <v>102.92999999999999</v>
          </cell>
        </row>
        <row r="853">
          <cell r="C853" t="str">
            <v>PGKS-LFSFSM01</v>
          </cell>
          <cell r="D853">
            <v>133.41999999999999</v>
          </cell>
        </row>
        <row r="854">
          <cell r="C854" t="str">
            <v>PGKS-LFSFSM1</v>
          </cell>
          <cell r="D854">
            <v>102.92999999999999</v>
          </cell>
        </row>
        <row r="855">
          <cell r="C855" t="str">
            <v>PGKS-LFSFW1</v>
          </cell>
          <cell r="D855">
            <v>113.94999999999999</v>
          </cell>
        </row>
        <row r="856">
          <cell r="C856" t="str">
            <v>PGKS-LFSFWFMT1</v>
          </cell>
          <cell r="D856">
            <v>141.61000000000001</v>
          </cell>
        </row>
        <row r="857">
          <cell r="C857" t="str">
            <v>PGKS-LFSFWFSFSM1</v>
          </cell>
          <cell r="D857">
            <v>232.64</v>
          </cell>
        </row>
        <row r="858">
          <cell r="C858" t="str">
            <v>PGKS-LFSFWFSM1</v>
          </cell>
          <cell r="D858">
            <v>172.1</v>
          </cell>
        </row>
        <row r="859">
          <cell r="C859" t="str">
            <v>PGKS-LFSHS1</v>
          </cell>
          <cell r="D859">
            <v>175.93</v>
          </cell>
        </row>
        <row r="860">
          <cell r="C860" t="str">
            <v>PGKSNOCS1-P2</v>
          </cell>
          <cell r="D860">
            <v>102.6</v>
          </cell>
        </row>
        <row r="861">
          <cell r="C861" t="str">
            <v>PGKSNOCSFFWFMT1</v>
          </cell>
          <cell r="D861">
            <v>138.32999999999998</v>
          </cell>
        </row>
        <row r="862">
          <cell r="C862" t="str">
            <v>PGKSNOCSFWDC1</v>
          </cell>
          <cell r="D862">
            <v>184.51</v>
          </cell>
        </row>
        <row r="863">
          <cell r="C863" t="str">
            <v>PGKSNOCSFWFMT1</v>
          </cell>
          <cell r="D863">
            <v>117.63999999999999</v>
          </cell>
        </row>
        <row r="864">
          <cell r="C864" t="str">
            <v>PGKS-RAAHGS1-P2</v>
          </cell>
          <cell r="D864">
            <v>460.34</v>
          </cell>
        </row>
        <row r="865">
          <cell r="C865" t="str">
            <v>PGKS-RAHC1-P2</v>
          </cell>
          <cell r="D865">
            <v>107.33999999999999</v>
          </cell>
        </row>
        <row r="866">
          <cell r="C866" t="str">
            <v>PGKS-RAHHM1-P2</v>
          </cell>
          <cell r="D866">
            <v>121.8</v>
          </cell>
        </row>
        <row r="867">
          <cell r="C867" t="str">
            <v>PGKS-RAHSC1</v>
          </cell>
          <cell r="D867">
            <v>106.75</v>
          </cell>
        </row>
        <row r="868">
          <cell r="C868" t="str">
            <v>PGKS-SCSAAS01</v>
          </cell>
          <cell r="D868">
            <v>128.62</v>
          </cell>
        </row>
        <row r="869">
          <cell r="C869" t="str">
            <v>PGKS-SCSAAS1</v>
          </cell>
          <cell r="D869">
            <v>128.62</v>
          </cell>
        </row>
        <row r="870">
          <cell r="C870" t="str">
            <v>PGKS-SCSFFW1</v>
          </cell>
          <cell r="D870">
            <v>136.10999999999999</v>
          </cell>
        </row>
        <row r="871">
          <cell r="C871" t="str">
            <v>PGKS-SCSFMT1</v>
          </cell>
          <cell r="D871">
            <v>104.39999999999999</v>
          </cell>
        </row>
        <row r="872">
          <cell r="C872" t="str">
            <v>PGKS-SCSFMTFSM1</v>
          </cell>
          <cell r="D872">
            <v>162.55000000000001</v>
          </cell>
        </row>
        <row r="873">
          <cell r="C873" t="str">
            <v>PGKS-SCSFMTFW1</v>
          </cell>
          <cell r="D873">
            <v>143.07999999999998</v>
          </cell>
        </row>
        <row r="874">
          <cell r="C874" t="str">
            <v>PGKS-SCSFS1</v>
          </cell>
          <cell r="D874">
            <v>137.28</v>
          </cell>
        </row>
        <row r="875">
          <cell r="C875" t="str">
            <v>PGKS-SCSFSM1</v>
          </cell>
          <cell r="D875">
            <v>134.88999999999999</v>
          </cell>
        </row>
        <row r="876">
          <cell r="C876" t="str">
            <v>PGKS-SCSFW1</v>
          </cell>
          <cell r="D876">
            <v>115.41999999999999</v>
          </cell>
        </row>
        <row r="877">
          <cell r="C877" t="str">
            <v>PGKS-SCSFWNC1</v>
          </cell>
          <cell r="D877">
            <v>185.21999999999997</v>
          </cell>
        </row>
        <row r="878">
          <cell r="C878" t="str">
            <v>PGKS-SCSHS1</v>
          </cell>
          <cell r="D878">
            <v>177.39999999999998</v>
          </cell>
        </row>
        <row r="879">
          <cell r="C879" t="str">
            <v>PGKS-SCSK201</v>
          </cell>
          <cell r="D879">
            <v>164.76</v>
          </cell>
        </row>
        <row r="880">
          <cell r="C880" t="str">
            <v>PGKS-SCSOFGM1</v>
          </cell>
          <cell r="D880">
            <v>149.33999999999997</v>
          </cell>
        </row>
        <row r="881">
          <cell r="C881" t="str">
            <v>PGKS-SCSRRNO1</v>
          </cell>
          <cell r="D881">
            <v>157.37</v>
          </cell>
        </row>
        <row r="882">
          <cell r="C882" t="str">
            <v>PGKS-SCSSGFFW1</v>
          </cell>
          <cell r="D882">
            <v>143.47999999999999</v>
          </cell>
        </row>
        <row r="883">
          <cell r="C883" t="str">
            <v>PGKSSERUM30</v>
          </cell>
          <cell r="D883">
            <v>52.010000000000005</v>
          </cell>
        </row>
        <row r="884">
          <cell r="C884" t="str">
            <v>PGKSSERUM50</v>
          </cell>
          <cell r="D884">
            <v>60</v>
          </cell>
        </row>
        <row r="885">
          <cell r="C885" t="str">
            <v>PGKS-SHCAHGS1</v>
          </cell>
          <cell r="D885">
            <v>190.4</v>
          </cell>
        </row>
        <row r="886">
          <cell r="C886" t="str">
            <v>PGKSSSERUM30-P2</v>
          </cell>
          <cell r="D886">
            <v>104.02000000000001</v>
          </cell>
        </row>
        <row r="887">
          <cell r="C887" t="str">
            <v>PGKSSSERUM50-P2</v>
          </cell>
          <cell r="D887">
            <v>120</v>
          </cell>
        </row>
        <row r="888">
          <cell r="C888" t="str">
            <v>PGKTOFFW1</v>
          </cell>
          <cell r="D888">
            <v>165.72</v>
          </cell>
        </row>
        <row r="889">
          <cell r="C889" t="str">
            <v>PGKTOFMTNCFW1</v>
          </cell>
          <cell r="D889">
            <v>242.48999999999998</v>
          </cell>
        </row>
        <row r="890">
          <cell r="C890" t="str">
            <v>PGKTOFSFW1</v>
          </cell>
          <cell r="D890">
            <v>205.57</v>
          </cell>
        </row>
        <row r="891">
          <cell r="C891" t="str">
            <v>PGKTOFWFMT1</v>
          </cell>
          <cell r="D891">
            <v>172.69</v>
          </cell>
        </row>
        <row r="892">
          <cell r="C892" t="str">
            <v>PGKTOFWNC1</v>
          </cell>
          <cell r="D892">
            <v>214.82999999999998</v>
          </cell>
        </row>
        <row r="893">
          <cell r="C893" t="str">
            <v>PGKUEC1-P2</v>
          </cell>
          <cell r="D893">
            <v>127.3</v>
          </cell>
        </row>
        <row r="894">
          <cell r="C894" t="str">
            <v>PGKUECDC1</v>
          </cell>
          <cell r="D894">
            <v>158.18</v>
          </cell>
        </row>
        <row r="895">
          <cell r="C895" t="str">
            <v>PGKUECFMT1</v>
          </cell>
          <cell r="D895">
            <v>91.31</v>
          </cell>
        </row>
        <row r="896">
          <cell r="C896" t="str">
            <v>PGKUECFMTFW1</v>
          </cell>
          <cell r="D896">
            <v>129.99</v>
          </cell>
        </row>
        <row r="897">
          <cell r="C897" t="str">
            <v>PGKUECNC1</v>
          </cell>
          <cell r="D897">
            <v>133.44999999999999</v>
          </cell>
        </row>
        <row r="898">
          <cell r="C898" t="str">
            <v>PGKVBABPPS1</v>
          </cell>
          <cell r="D898">
            <v>147.72999999999999</v>
          </cell>
        </row>
        <row r="899">
          <cell r="C899" t="str">
            <v>PGKVBDC1</v>
          </cell>
          <cell r="D899">
            <v>188.53000000000003</v>
          </cell>
        </row>
        <row r="900">
          <cell r="C900" t="str">
            <v>PGKVBFCC1</v>
          </cell>
          <cell r="D900">
            <v>315.23</v>
          </cell>
        </row>
        <row r="901">
          <cell r="C901" t="str">
            <v>PGKVBFEK1</v>
          </cell>
          <cell r="D901">
            <v>254.87</v>
          </cell>
        </row>
        <row r="902">
          <cell r="C902" t="str">
            <v>PGKVBFMTNCUEC1</v>
          </cell>
          <cell r="D902">
            <v>255.11</v>
          </cell>
        </row>
        <row r="903">
          <cell r="C903" t="str">
            <v>PGKVBNC1</v>
          </cell>
          <cell r="D903">
            <v>163.80000000000001</v>
          </cell>
        </row>
        <row r="904">
          <cell r="C904" t="str">
            <v>PGKVBNCNS1</v>
          </cell>
          <cell r="D904">
            <v>251.82</v>
          </cell>
        </row>
        <row r="905">
          <cell r="C905" t="str">
            <v>PGKVBR-DTDR</v>
          </cell>
          <cell r="D905">
            <v>315.23</v>
          </cell>
        </row>
        <row r="906">
          <cell r="C906" t="str">
            <v>PGKVBS20</v>
          </cell>
          <cell r="D906">
            <v>182.01999999999998</v>
          </cell>
        </row>
        <row r="907">
          <cell r="C907" t="str">
            <v>PGKVBS-AHGS1</v>
          </cell>
          <cell r="D907">
            <v>224.23</v>
          </cell>
        </row>
        <row r="908">
          <cell r="C908" t="str">
            <v>PGKVBS-AHGSSHC1</v>
          </cell>
          <cell r="D908">
            <v>284.06999999999994</v>
          </cell>
        </row>
        <row r="909">
          <cell r="C909" t="str">
            <v>PGKVBS-AVBS1</v>
          </cell>
          <cell r="D909">
            <v>170.59</v>
          </cell>
        </row>
        <row r="910">
          <cell r="C910" t="str">
            <v>PGKVBS-AVBSFWNC1</v>
          </cell>
          <cell r="D910">
            <v>279.07</v>
          </cell>
        </row>
        <row r="911">
          <cell r="C911" t="str">
            <v>PGKVBSHC1</v>
          </cell>
          <cell r="D911">
            <v>247.83999999999997</v>
          </cell>
        </row>
        <row r="912">
          <cell r="C912" t="str">
            <v>PGKVBUECNC1</v>
          </cell>
          <cell r="D912">
            <v>227.45</v>
          </cell>
        </row>
        <row r="913">
          <cell r="C913" t="str">
            <v>PGKVFT1</v>
          </cell>
          <cell r="D913">
            <v>53.53</v>
          </cell>
        </row>
        <row r="914">
          <cell r="C914" t="str">
            <v>PGKVFW1</v>
          </cell>
          <cell r="D914">
            <v>74.319999999999993</v>
          </cell>
        </row>
        <row r="915">
          <cell r="C915" t="str">
            <v>PGKZAAG</v>
          </cell>
          <cell r="D915">
            <v>54.45</v>
          </cell>
        </row>
        <row r="916">
          <cell r="C916" t="str">
            <v>PGKZAAG1N</v>
          </cell>
          <cell r="D916">
            <v>54.45</v>
          </cell>
        </row>
        <row r="917">
          <cell r="C917" t="str">
            <v>PGKZAAGFFW1</v>
          </cell>
          <cell r="D917">
            <v>113.82</v>
          </cell>
        </row>
        <row r="918">
          <cell r="C918" t="str">
            <v>PGKZAAGFW1</v>
          </cell>
          <cell r="D918">
            <v>93.13</v>
          </cell>
        </row>
        <row r="919">
          <cell r="C919" t="str">
            <v>PGKZAAGFWFMT1</v>
          </cell>
          <cell r="D919">
            <v>120.78999999999999</v>
          </cell>
        </row>
        <row r="920">
          <cell r="C920" t="str">
            <v>PGKZAAGFWFMTDC1</v>
          </cell>
          <cell r="D920">
            <v>215.32</v>
          </cell>
        </row>
        <row r="921">
          <cell r="C921" t="str">
            <v>PGRB-KFCFMT1</v>
          </cell>
          <cell r="D921">
            <v>122.19000000000001</v>
          </cell>
        </row>
        <row r="922">
          <cell r="C922" t="str">
            <v>PGSBMWGM1</v>
          </cell>
          <cell r="D922">
            <v>146.99</v>
          </cell>
        </row>
        <row r="923">
          <cell r="C923" t="str">
            <v>PGSBMWGSM1</v>
          </cell>
          <cell r="D923">
            <v>150.85000000000002</v>
          </cell>
        </row>
        <row r="924">
          <cell r="C924" t="str">
            <v>PGSBMWPRADM1</v>
          </cell>
          <cell r="D924">
            <v>159.68</v>
          </cell>
        </row>
        <row r="925">
          <cell r="C925" t="str">
            <v>PGSBMWVCRO1</v>
          </cell>
          <cell r="D925">
            <v>159.55000000000001</v>
          </cell>
        </row>
        <row r="926">
          <cell r="C926" t="str">
            <v>PGSCQ10ADFOFFW1</v>
          </cell>
          <cell r="D926">
            <v>147.07</v>
          </cell>
        </row>
        <row r="927">
          <cell r="C927" t="str">
            <v>PGSCQ10ADFOGSM1</v>
          </cell>
          <cell r="D927">
            <v>156.01</v>
          </cell>
        </row>
        <row r="928">
          <cell r="C928" t="str">
            <v>PGSCQ10ADFOGSMTMFFW1</v>
          </cell>
          <cell r="D928">
            <v>249.76</v>
          </cell>
        </row>
        <row r="929">
          <cell r="C929" t="str">
            <v>PGSCQ10ADFOPRADCSFFWTM1</v>
          </cell>
          <cell r="D929">
            <v>252.23000000000002</v>
          </cell>
        </row>
        <row r="930">
          <cell r="C930" t="str">
            <v>PGSCQ10ADFOTM1</v>
          </cell>
          <cell r="D930">
            <v>118.30000000000001</v>
          </cell>
        </row>
        <row r="931">
          <cell r="C931" t="str">
            <v>PGSFFWP1</v>
          </cell>
          <cell r="D931">
            <v>122.52</v>
          </cell>
        </row>
        <row r="932">
          <cell r="C932" t="str">
            <v>PGSFFWPRADM1</v>
          </cell>
          <cell r="D932">
            <v>140.29</v>
          </cell>
        </row>
        <row r="933">
          <cell r="C933" t="str">
            <v>PGSFFWROUESGSM1</v>
          </cell>
          <cell r="D933">
            <v>207.27</v>
          </cell>
        </row>
        <row r="934">
          <cell r="C934" t="str">
            <v>PGSFFWTMUECGCS1</v>
          </cell>
          <cell r="D934">
            <v>224.08999999999997</v>
          </cell>
        </row>
        <row r="935">
          <cell r="C935" t="str">
            <v>PGSFFWUECPRADM1</v>
          </cell>
          <cell r="D935">
            <v>209.89999999999998</v>
          </cell>
        </row>
        <row r="936">
          <cell r="C936" t="str">
            <v>PGSFWFMT24KFM</v>
          </cell>
          <cell r="D936">
            <v>157.15</v>
          </cell>
        </row>
        <row r="937">
          <cell r="C937" t="str">
            <v>PGSGCSFFW1</v>
          </cell>
          <cell r="D937">
            <v>121.99</v>
          </cell>
        </row>
        <row r="938">
          <cell r="C938" t="str">
            <v>PGSGCSFFWGSMTM1</v>
          </cell>
          <cell r="D938">
            <v>224.68</v>
          </cell>
        </row>
        <row r="939">
          <cell r="C939" t="str">
            <v>PGSGCSFFWTM1</v>
          </cell>
          <cell r="D939">
            <v>154.47999999999999</v>
          </cell>
        </row>
        <row r="940">
          <cell r="C940" t="str">
            <v>PGSGCSTMROUES1</v>
          </cell>
          <cell r="D940">
            <v>169.03</v>
          </cell>
        </row>
        <row r="941">
          <cell r="C941" t="str">
            <v>PGSGCSUEC1</v>
          </cell>
          <cell r="D941">
            <v>130.34</v>
          </cell>
        </row>
        <row r="942">
          <cell r="C942" t="str">
            <v>PGSGMGFO</v>
          </cell>
          <cell r="D942">
            <v>151.07</v>
          </cell>
        </row>
        <row r="943">
          <cell r="C943" t="str">
            <v>PGSGMGSM1</v>
          </cell>
          <cell r="D943">
            <v>136.54000000000002</v>
          </cell>
        </row>
        <row r="944">
          <cell r="C944" t="str">
            <v>PGSGMOISTURIZER1-P2</v>
          </cell>
          <cell r="D944">
            <v>132.68</v>
          </cell>
        </row>
        <row r="945">
          <cell r="C945" t="str">
            <v>PGSGMPRGFO1</v>
          </cell>
          <cell r="D945">
            <v>152.15</v>
          </cell>
        </row>
        <row r="946">
          <cell r="C946" t="str">
            <v>PGSGMTMCQ10ADFO1</v>
          </cell>
          <cell r="D946">
            <v>184.64000000000001</v>
          </cell>
        </row>
        <row r="947">
          <cell r="C947" t="str">
            <v>PGSGMTMROUES1</v>
          </cell>
          <cell r="D947">
            <v>174.64000000000001</v>
          </cell>
        </row>
        <row r="948">
          <cell r="C948" t="str">
            <v>PGSGSMASK1-P2</v>
          </cell>
          <cell r="D948">
            <v>140.4</v>
          </cell>
        </row>
        <row r="949">
          <cell r="C949" t="str">
            <v>PGSGSMCQ10ADFOTM1</v>
          </cell>
          <cell r="D949">
            <v>188.5</v>
          </cell>
        </row>
        <row r="950">
          <cell r="C950" t="str">
            <v>PGSGSMFFW1</v>
          </cell>
          <cell r="D950">
            <v>131.46</v>
          </cell>
        </row>
        <row r="951">
          <cell r="C951" t="str">
            <v>PGSGSMPRADCSTMFFW1</v>
          </cell>
          <cell r="D951">
            <v>236.62</v>
          </cell>
        </row>
        <row r="952">
          <cell r="C952" t="str">
            <v>PGSGSMPRADM1</v>
          </cell>
          <cell r="D952">
            <v>149.23000000000002</v>
          </cell>
        </row>
        <row r="953">
          <cell r="C953" t="str">
            <v>PGSGSMPRGFOTM1</v>
          </cell>
          <cell r="D953">
            <v>187.42000000000002</v>
          </cell>
        </row>
        <row r="954">
          <cell r="C954" t="str">
            <v>PGSJBCQ10ADFOPRADCSFFWTM1</v>
          </cell>
          <cell r="D954">
            <v>280.12</v>
          </cell>
        </row>
        <row r="955">
          <cell r="C955" t="str">
            <v>PGSJBFFW1</v>
          </cell>
          <cell r="D955">
            <v>89.15</v>
          </cell>
        </row>
        <row r="956">
          <cell r="C956" t="str">
            <v>PGSJBGCS1</v>
          </cell>
          <cell r="D956">
            <v>88.62</v>
          </cell>
        </row>
        <row r="957">
          <cell r="C957" t="str">
            <v>PGSJBGSM1</v>
          </cell>
          <cell r="D957">
            <v>98.09</v>
          </cell>
        </row>
        <row r="958">
          <cell r="C958" t="str">
            <v>PGSJBGSMPRADCSTMFFW1</v>
          </cell>
          <cell r="D958">
            <v>264.51</v>
          </cell>
        </row>
        <row r="959">
          <cell r="C959" t="str">
            <v>PGSJBPRADCSFFWUECPRADMCQ10ADFOIL1</v>
          </cell>
          <cell r="D959">
            <v>396.27</v>
          </cell>
        </row>
        <row r="960">
          <cell r="C960" t="str">
            <v>PGSJBPRADM1</v>
          </cell>
          <cell r="D960">
            <v>106.92</v>
          </cell>
        </row>
        <row r="961">
          <cell r="C961" t="str">
            <v>PGSJBPRADMFFWTMGSM1</v>
          </cell>
          <cell r="D961">
            <v>200.67000000000002</v>
          </cell>
        </row>
        <row r="962">
          <cell r="C962" t="str">
            <v>PGSJBROUESTMFFWGM1</v>
          </cell>
          <cell r="D962">
            <v>263.79000000000002</v>
          </cell>
        </row>
        <row r="963">
          <cell r="C963" t="str">
            <v>PGSJBSOFFWTMGSM1</v>
          </cell>
          <cell r="D963">
            <v>279.62</v>
          </cell>
        </row>
        <row r="964">
          <cell r="C964" t="str">
            <v>PGSJBTMFFWPRGFO1</v>
          </cell>
          <cell r="D964">
            <v>272.70999999999998</v>
          </cell>
        </row>
        <row r="965">
          <cell r="C965" t="str">
            <v>PGSJBUEC1</v>
          </cell>
          <cell r="D965">
            <v>97.5</v>
          </cell>
        </row>
        <row r="966">
          <cell r="C966" t="str">
            <v>PGSLBLBBLSM</v>
          </cell>
          <cell r="D966">
            <v>63.480000000000004</v>
          </cell>
        </row>
        <row r="967">
          <cell r="C967" t="str">
            <v>PGSLBLBELRBLSM</v>
          </cell>
          <cell r="D967">
            <v>92.22</v>
          </cell>
        </row>
        <row r="968">
          <cell r="C968" t="str">
            <v>PGSLBLBPLB</v>
          </cell>
          <cell r="D968">
            <v>57.25</v>
          </cell>
        </row>
        <row r="969">
          <cell r="C969" t="str">
            <v>PGSLBLBPLSMBLSM</v>
          </cell>
          <cell r="D969">
            <v>100.55000000000001</v>
          </cell>
        </row>
        <row r="970">
          <cell r="C970" t="str">
            <v>PGSLBLP2</v>
          </cell>
          <cell r="D970">
            <v>52.84</v>
          </cell>
        </row>
        <row r="971">
          <cell r="C971" t="str">
            <v>PGSLBLPPLSC</v>
          </cell>
          <cell r="D971">
            <v>53.56</v>
          </cell>
        </row>
        <row r="972">
          <cell r="C972" t="str">
            <v>PGSLBLPPLSC1</v>
          </cell>
          <cell r="D972">
            <v>53.56</v>
          </cell>
        </row>
        <row r="973">
          <cell r="C973" t="str">
            <v>PGSLBLS2</v>
          </cell>
          <cell r="D973">
            <v>62.36</v>
          </cell>
        </row>
        <row r="974">
          <cell r="C974" t="str">
            <v>PGSLBLSBLB</v>
          </cell>
          <cell r="D974">
            <v>57.6</v>
          </cell>
        </row>
        <row r="975">
          <cell r="C975" t="str">
            <v>PGSLBLSC2</v>
          </cell>
          <cell r="D975">
            <v>53.86</v>
          </cell>
        </row>
        <row r="976">
          <cell r="C976" t="str">
            <v>PGSLBLSCBLSM</v>
          </cell>
          <cell r="D976">
            <v>63.99</v>
          </cell>
        </row>
        <row r="977">
          <cell r="C977" t="str">
            <v>PGSLBLSM2</v>
          </cell>
          <cell r="D977">
            <v>74.12</v>
          </cell>
        </row>
        <row r="978">
          <cell r="C978" t="str">
            <v>PGSLBLSMELPR</v>
          </cell>
          <cell r="D978">
            <v>65.8</v>
          </cell>
        </row>
        <row r="979">
          <cell r="C979" t="str">
            <v>PGSLBLSMPLSM</v>
          </cell>
          <cell r="D979">
            <v>74.13</v>
          </cell>
        </row>
        <row r="980">
          <cell r="C980" t="str">
            <v>PGSLBLSPLS</v>
          </cell>
          <cell r="D980">
            <v>62.239999999999995</v>
          </cell>
        </row>
        <row r="981">
          <cell r="C981" t="str">
            <v>PGSLBLSPLSC</v>
          </cell>
          <cell r="D981">
            <v>58.32</v>
          </cell>
        </row>
        <row r="982">
          <cell r="C982" t="str">
            <v>PGSLBLSPLSC1</v>
          </cell>
          <cell r="D982">
            <v>58.32</v>
          </cell>
        </row>
        <row r="983">
          <cell r="C983" t="str">
            <v>PGSLBLSPLSCBLSM</v>
          </cell>
          <cell r="D983">
            <v>95.38</v>
          </cell>
        </row>
        <row r="984">
          <cell r="C984" t="str">
            <v>PGSLELPR2</v>
          </cell>
          <cell r="D984">
            <v>28.74</v>
          </cell>
        </row>
        <row r="985">
          <cell r="C985" t="str">
            <v>PGSLKIT</v>
          </cell>
          <cell r="D985">
            <v>94.66</v>
          </cell>
        </row>
        <row r="986">
          <cell r="C986" t="str">
            <v>PGSLKIT-SMYT</v>
          </cell>
          <cell r="D986">
            <v>94.66</v>
          </cell>
        </row>
        <row r="987">
          <cell r="C987" t="str">
            <v>PGSL-KSBGUMPB1</v>
          </cell>
          <cell r="D987">
            <v>94.66</v>
          </cell>
        </row>
        <row r="988">
          <cell r="C988" t="str">
            <v>PGSL-KSPMINTPB1</v>
          </cell>
          <cell r="D988">
            <v>90.4</v>
          </cell>
        </row>
        <row r="989">
          <cell r="C989" t="str">
            <v>PGSL-KSPPOUTPB1</v>
          </cell>
          <cell r="D989">
            <v>91.13</v>
          </cell>
        </row>
        <row r="990">
          <cell r="C990" t="str">
            <v>PGSL-KSPTALKPB1</v>
          </cell>
          <cell r="D990">
            <v>96.86</v>
          </cell>
        </row>
        <row r="991">
          <cell r="C991" t="str">
            <v>PGSL-LIPEXKITBOX1</v>
          </cell>
          <cell r="D991">
            <v>150.1</v>
          </cell>
        </row>
        <row r="992">
          <cell r="C992" t="str">
            <v>PGSLPLBELRBLSM</v>
          </cell>
          <cell r="D992">
            <v>26.19</v>
          </cell>
        </row>
        <row r="993">
          <cell r="C993" t="str">
            <v>PGSLPLBPLSM</v>
          </cell>
          <cell r="D993">
            <v>63.260000000000005</v>
          </cell>
        </row>
        <row r="994">
          <cell r="C994" t="str">
            <v>PGSLPLS2</v>
          </cell>
          <cell r="D994">
            <v>62.12</v>
          </cell>
        </row>
        <row r="995">
          <cell r="C995" t="str">
            <v>PGSLPLSC2</v>
          </cell>
          <cell r="D995">
            <v>54.28</v>
          </cell>
        </row>
        <row r="996">
          <cell r="C996" t="str">
            <v>PGSLPLSCBLSC</v>
          </cell>
          <cell r="D996">
            <v>54.07</v>
          </cell>
        </row>
        <row r="997">
          <cell r="C997" t="str">
            <v>PGSLPLSCBLSM</v>
          </cell>
          <cell r="D997">
            <v>64.2</v>
          </cell>
        </row>
        <row r="998">
          <cell r="C998" t="str">
            <v>PGSLPLSMPLSPLB</v>
          </cell>
          <cell r="D998">
            <v>68.13</v>
          </cell>
        </row>
        <row r="999">
          <cell r="C999" t="str">
            <v>PGSL-SRAHC1-P2</v>
          </cell>
          <cell r="D999">
            <v>98.16</v>
          </cell>
        </row>
        <row r="1000">
          <cell r="C1000" t="str">
            <v>PGSL-SRAHM1-P2</v>
          </cell>
          <cell r="D1000">
            <v>119.64</v>
          </cell>
        </row>
        <row r="1001">
          <cell r="C1001" t="str">
            <v>PGSL-SRAHS1-P2</v>
          </cell>
          <cell r="D1001">
            <v>101.6</v>
          </cell>
        </row>
        <row r="1002">
          <cell r="C1002" t="str">
            <v>PGSL-SRAHSC1</v>
          </cell>
          <cell r="D1002">
            <v>99.88</v>
          </cell>
        </row>
        <row r="1003">
          <cell r="C1003" t="str">
            <v>PGSL-SRAHSM1</v>
          </cell>
          <cell r="D1003">
            <v>110.62</v>
          </cell>
        </row>
        <row r="1004">
          <cell r="C1004" t="str">
            <v>PGSL-SREO1-P2</v>
          </cell>
          <cell r="D1004">
            <v>90.8</v>
          </cell>
        </row>
        <row r="1005">
          <cell r="C1005" t="str">
            <v>PGSL-SRHGO1-P2</v>
          </cell>
          <cell r="D1005">
            <v>124.1</v>
          </cell>
        </row>
        <row r="1006">
          <cell r="C1006" t="str">
            <v>PGS-NGSS50-P2</v>
          </cell>
          <cell r="D1006">
            <v>100.12</v>
          </cell>
        </row>
        <row r="1007">
          <cell r="C1007" t="str">
            <v>PGSOBMW1</v>
          </cell>
          <cell r="D1007">
            <v>168.43</v>
          </cell>
        </row>
        <row r="1008">
          <cell r="C1008" t="str">
            <v>PGSOFFW1</v>
          </cell>
          <cell r="D1008">
            <v>149.04</v>
          </cell>
        </row>
        <row r="1009">
          <cell r="C1009" t="str">
            <v>PGSOFFWPRADM1</v>
          </cell>
          <cell r="D1009">
            <v>228.07</v>
          </cell>
        </row>
        <row r="1010">
          <cell r="C1010" t="str">
            <v>PGSOFFWTM1</v>
          </cell>
          <cell r="D1010">
            <v>181.53</v>
          </cell>
        </row>
        <row r="1011">
          <cell r="C1011" t="str">
            <v>PGSOFFWTMGSM1</v>
          </cell>
          <cell r="D1011">
            <v>251.73000000000002</v>
          </cell>
        </row>
        <row r="1012">
          <cell r="C1012" t="str">
            <v>PGSPRADCSFFW1</v>
          </cell>
          <cell r="D1012">
            <v>133.93</v>
          </cell>
        </row>
        <row r="1013">
          <cell r="C1013" t="str">
            <v>PGSPRADCSFFWUECPRADMCQ10ADFOIL1</v>
          </cell>
          <cell r="D1013">
            <v>368.38</v>
          </cell>
        </row>
        <row r="1014">
          <cell r="C1014" t="str">
            <v>PGSPRADCSROUESFFW1</v>
          </cell>
          <cell r="D1014">
            <v>209.74</v>
          </cell>
        </row>
        <row r="1015">
          <cell r="C1015" t="str">
            <v>PGSPRADCSTM1</v>
          </cell>
          <cell r="D1015">
            <v>105.16</v>
          </cell>
        </row>
        <row r="1016">
          <cell r="C1016" t="str">
            <v>PGSPRADCSTMFFW1</v>
          </cell>
          <cell r="D1016">
            <v>166.42000000000002</v>
          </cell>
        </row>
        <row r="1017">
          <cell r="C1017" t="str">
            <v>PGSPRADMBMW1</v>
          </cell>
          <cell r="D1017">
            <v>159.68</v>
          </cell>
        </row>
        <row r="1018">
          <cell r="C1018" t="str">
            <v>PGSPRADMFFWTM1</v>
          </cell>
          <cell r="D1018">
            <v>172.78</v>
          </cell>
        </row>
        <row r="1019">
          <cell r="C1019" t="str">
            <v>PGSPRADMFFWTMGSM1</v>
          </cell>
          <cell r="D1019">
            <v>242.98000000000002</v>
          </cell>
        </row>
        <row r="1020">
          <cell r="C1020" t="str">
            <v>PGSPRADMFFWTMPRGFCO1</v>
          </cell>
          <cell r="D1020">
            <v>257.51</v>
          </cell>
        </row>
        <row r="1021">
          <cell r="C1021" t="str">
            <v>PGSPRGFOBMW1</v>
          </cell>
          <cell r="D1021">
            <v>165.38</v>
          </cell>
        </row>
        <row r="1022">
          <cell r="C1022" t="str">
            <v>PGSPRGFOFFW1</v>
          </cell>
          <cell r="D1022">
            <v>145.99</v>
          </cell>
        </row>
        <row r="1023">
          <cell r="C1023" t="str">
            <v>PGSPRGFOGSM1</v>
          </cell>
          <cell r="D1023">
            <v>154.93</v>
          </cell>
        </row>
        <row r="1024">
          <cell r="C1024" t="str">
            <v>PGSPRGFOTMFFW1</v>
          </cell>
          <cell r="D1024">
            <v>178.48000000000002</v>
          </cell>
        </row>
        <row r="1025">
          <cell r="C1025" t="str">
            <v>PGSPRGFOTMGM1</v>
          </cell>
          <cell r="D1025">
            <v>183.56</v>
          </cell>
        </row>
        <row r="1026">
          <cell r="C1026" t="str">
            <v>PGSR DTDR</v>
          </cell>
          <cell r="D1026">
            <v>258.18</v>
          </cell>
        </row>
        <row r="1027">
          <cell r="C1027" t="str">
            <v>PGSR-DTDR</v>
          </cell>
          <cell r="D1027">
            <v>258.18</v>
          </cell>
        </row>
        <row r="1028">
          <cell r="C1028" t="str">
            <v>PGSR-GNR</v>
          </cell>
          <cell r="D1028">
            <v>235.15999999999997</v>
          </cell>
        </row>
        <row r="1029">
          <cell r="C1029" t="str">
            <v>PGSR-MR</v>
          </cell>
          <cell r="D1029">
            <v>237.79000000000002</v>
          </cell>
        </row>
        <row r="1030">
          <cell r="C1030" t="str">
            <v>PGSROUESERUM1-P2</v>
          </cell>
          <cell r="D1030">
            <v>151.62</v>
          </cell>
        </row>
        <row r="1031">
          <cell r="C1031" t="str">
            <v>PGSROUESFFW1</v>
          </cell>
          <cell r="D1031">
            <v>137.07</v>
          </cell>
        </row>
        <row r="1032">
          <cell r="C1032" t="str">
            <v>PGSROUESFFWTM1</v>
          </cell>
          <cell r="D1032">
            <v>169.56</v>
          </cell>
        </row>
        <row r="1033">
          <cell r="C1033" t="str">
            <v>PGSROUESGCS1</v>
          </cell>
          <cell r="D1033">
            <v>136.54</v>
          </cell>
        </row>
        <row r="1034">
          <cell r="C1034" t="str">
            <v>PGSROUESPRADCSTM1</v>
          </cell>
          <cell r="D1034">
            <v>180.97000000000003</v>
          </cell>
        </row>
        <row r="1035">
          <cell r="C1035" t="str">
            <v>PGSROUESTMFFWGM1</v>
          </cell>
          <cell r="D1035">
            <v>235.9</v>
          </cell>
        </row>
        <row r="1036">
          <cell r="C1036" t="str">
            <v>PGSRP DTDR</v>
          </cell>
          <cell r="D1036">
            <v>396.27</v>
          </cell>
        </row>
        <row r="1037">
          <cell r="C1037" t="str">
            <v>PGSRP-DTDR</v>
          </cell>
          <cell r="D1037">
            <v>396.27</v>
          </cell>
        </row>
        <row r="1038">
          <cell r="C1038" t="str">
            <v>PGSRP-GNR</v>
          </cell>
          <cell r="D1038">
            <v>328.38</v>
          </cell>
        </row>
        <row r="1039">
          <cell r="C1039" t="str">
            <v>PGSR-SR</v>
          </cell>
          <cell r="D1039">
            <v>187.98000000000002</v>
          </cell>
        </row>
        <row r="1040">
          <cell r="C1040" t="str">
            <v>PGSS-UMSST1-P2</v>
          </cell>
          <cell r="D1040">
            <v>225.26</v>
          </cell>
        </row>
        <row r="1041">
          <cell r="C1041" t="str">
            <v>PGSTMFFWPRGFO1</v>
          </cell>
          <cell r="D1041">
            <v>244.82000000000002</v>
          </cell>
        </row>
        <row r="1042">
          <cell r="C1042" t="str">
            <v>PGSTMGM1</v>
          </cell>
          <cell r="D1042">
            <v>98.830000000000013</v>
          </cell>
        </row>
        <row r="1043">
          <cell r="C1043" t="str">
            <v>PGSTMP1</v>
          </cell>
          <cell r="D1043">
            <v>64.98</v>
          </cell>
        </row>
        <row r="1044">
          <cell r="C1044" t="str">
            <v>PGSTMPRADM1</v>
          </cell>
          <cell r="D1044">
            <v>111.52000000000001</v>
          </cell>
        </row>
        <row r="1045">
          <cell r="C1045" t="str">
            <v>PGSTMPRGFO1</v>
          </cell>
          <cell r="D1045">
            <v>117.22</v>
          </cell>
        </row>
        <row r="1046">
          <cell r="C1046" t="str">
            <v>PGSTMSO1</v>
          </cell>
          <cell r="D1046">
            <v>120.27000000000001</v>
          </cell>
        </row>
        <row r="1047">
          <cell r="C1047" t="str">
            <v>PGSUECFFW1</v>
          </cell>
          <cell r="D1047">
            <v>130.87</v>
          </cell>
        </row>
        <row r="1048">
          <cell r="C1048" t="str">
            <v>PGSUECFFWGM1</v>
          </cell>
          <cell r="D1048">
            <v>197.20999999999998</v>
          </cell>
        </row>
        <row r="1049">
          <cell r="C1049" t="str">
            <v>PGSUECGCSFFWTM1</v>
          </cell>
          <cell r="D1049">
            <v>224.08999999999997</v>
          </cell>
        </row>
        <row r="1050">
          <cell r="C1050" t="str">
            <v>PGSUECPRADCS1</v>
          </cell>
          <cell r="D1050">
            <v>142.28</v>
          </cell>
        </row>
        <row r="1051">
          <cell r="C1051" t="str">
            <v>PGSUECPRADCSFFW1</v>
          </cell>
          <cell r="D1051">
            <v>203.54000000000002</v>
          </cell>
        </row>
        <row r="1052">
          <cell r="C1052" t="str">
            <v>PGSUECREAM1-P2</v>
          </cell>
          <cell r="D1052">
            <v>139.22</v>
          </cell>
        </row>
        <row r="1053">
          <cell r="C1053" t="str">
            <v>PGSVBFFWROUESGSM1</v>
          </cell>
          <cell r="D1053">
            <v>301.27</v>
          </cell>
        </row>
        <row r="1054">
          <cell r="C1054" t="str">
            <v>PGSVBGCSFFW1</v>
          </cell>
          <cell r="D1054">
            <v>215.98999999999998</v>
          </cell>
        </row>
        <row r="1055">
          <cell r="C1055" t="str">
            <v>PGSVBGM1</v>
          </cell>
          <cell r="D1055">
            <v>160.34</v>
          </cell>
        </row>
        <row r="1056">
          <cell r="C1056" t="str">
            <v>PGSVBROUES1</v>
          </cell>
          <cell r="D1056">
            <v>169.81</v>
          </cell>
        </row>
        <row r="1057">
          <cell r="C1057" t="str">
            <v>PGSVCROFFW1</v>
          </cell>
          <cell r="D1057">
            <v>140.16</v>
          </cell>
        </row>
        <row r="1058">
          <cell r="C1058" t="str">
            <v>PGSVCROFFWTM1</v>
          </cell>
          <cell r="D1058">
            <v>172.65</v>
          </cell>
        </row>
        <row r="1059">
          <cell r="C1059" t="str">
            <v>PGSVCROFFWTMPRADM1</v>
          </cell>
          <cell r="D1059">
            <v>251.68</v>
          </cell>
        </row>
        <row r="1060">
          <cell r="C1060" t="str">
            <v>PGSVCROGMTM1</v>
          </cell>
          <cell r="D1060">
            <v>177.73000000000002</v>
          </cell>
        </row>
        <row r="1061">
          <cell r="C1061" t="str">
            <v>PGSVCROTM1</v>
          </cell>
          <cell r="D1061">
            <v>111.39000000000001</v>
          </cell>
        </row>
        <row r="1062">
          <cell r="C1062" t="str">
            <v>PGVBLBW1</v>
          </cell>
          <cell r="D1062">
            <v>130.9</v>
          </cell>
        </row>
        <row r="1063">
          <cell r="C1063" t="str">
            <v>PGVBLBWHNC1</v>
          </cell>
          <cell r="D1063">
            <v>158.30000000000001</v>
          </cell>
        </row>
        <row r="1064">
          <cell r="C1064" t="str">
            <v>PGVBLFC1</v>
          </cell>
          <cell r="D1064">
            <v>115.39</v>
          </cell>
        </row>
        <row r="1065">
          <cell r="C1065" t="str">
            <v>PGVBLHNC1</v>
          </cell>
          <cell r="D1065">
            <v>89.85</v>
          </cell>
        </row>
        <row r="1066">
          <cell r="C1066" t="str">
            <v>PGVBLP1</v>
          </cell>
          <cell r="D1066">
            <v>124.9</v>
          </cell>
        </row>
        <row r="1067">
          <cell r="C1067" t="str">
            <v>PGVBWC1</v>
          </cell>
          <cell r="D1067">
            <v>68.45</v>
          </cell>
        </row>
        <row r="1068">
          <cell r="C1068" t="str">
            <v>PGVBWP1</v>
          </cell>
          <cell r="D1068">
            <v>136.9</v>
          </cell>
        </row>
        <row r="1069">
          <cell r="C1069" t="str">
            <v>PGVFC1-P2</v>
          </cell>
          <cell r="D1069">
            <v>105.88</v>
          </cell>
        </row>
        <row r="1070">
          <cell r="C1070" t="str">
            <v>PGVFCBLNC1</v>
          </cell>
          <cell r="D1070">
            <v>157.38999999999999</v>
          </cell>
        </row>
        <row r="1071">
          <cell r="C1071" t="str">
            <v>PGVFCHNC1</v>
          </cell>
          <cell r="D1071">
            <v>80.34</v>
          </cell>
        </row>
        <row r="1072">
          <cell r="C1072" t="str">
            <v>PGVFCNGC1</v>
          </cell>
          <cell r="D1072">
            <v>122.83</v>
          </cell>
        </row>
        <row r="1073">
          <cell r="C1073" t="str">
            <v>PGVFCNGC1JB</v>
          </cell>
          <cell r="D1073">
            <v>122.83</v>
          </cell>
        </row>
        <row r="1074">
          <cell r="C1074" t="str">
            <v>PGVFCSAMHAHSSJB1</v>
          </cell>
          <cell r="D1074" t="e">
            <v>#N/A</v>
          </cell>
        </row>
        <row r="1075">
          <cell r="C1075" t="str">
            <v>PGVFCSAMNGCJB1</v>
          </cell>
          <cell r="D1075">
            <v>87.759999999999991</v>
          </cell>
        </row>
        <row r="1076">
          <cell r="C1076" t="str">
            <v>PGVFFW1</v>
          </cell>
          <cell r="D1076">
            <v>72.22</v>
          </cell>
        </row>
        <row r="1077">
          <cell r="C1077" t="str">
            <v>PGVFFW12</v>
          </cell>
          <cell r="D1077">
            <v>144.44</v>
          </cell>
        </row>
        <row r="1078">
          <cell r="C1078" t="str">
            <v>PGVFFWFC</v>
          </cell>
          <cell r="D1078">
            <v>125.16</v>
          </cell>
        </row>
        <row r="1079">
          <cell r="C1079" t="str">
            <v>PGVFFWFCFMFS1</v>
          </cell>
          <cell r="D1079">
            <v>251.5</v>
          </cell>
        </row>
        <row r="1080">
          <cell r="C1080" t="str">
            <v>PGVFFWFCFMT</v>
          </cell>
          <cell r="D1080">
            <v>151.03</v>
          </cell>
        </row>
        <row r="1081">
          <cell r="C1081" t="str">
            <v>PGVFFWFCFSE</v>
          </cell>
          <cell r="D1081">
            <v>186.45999999999998</v>
          </cell>
        </row>
        <row r="1082">
          <cell r="C1082" t="str">
            <v>PGVFFWFCUE</v>
          </cell>
          <cell r="D1082">
            <v>165.25</v>
          </cell>
        </row>
        <row r="1083">
          <cell r="C1083" t="str">
            <v>PGVFFWFM</v>
          </cell>
          <cell r="D1083">
            <v>240.56</v>
          </cell>
        </row>
        <row r="1084">
          <cell r="C1084" t="str">
            <v>PGVFFWFMFSNGC1</v>
          </cell>
          <cell r="D1084">
            <v>240.56</v>
          </cell>
        </row>
        <row r="1085">
          <cell r="C1085" t="str">
            <v>PGVFFWFSE</v>
          </cell>
          <cell r="D1085">
            <v>98.09</v>
          </cell>
        </row>
        <row r="1086">
          <cell r="C1086" t="str">
            <v>PGVFFWFSFM</v>
          </cell>
          <cell r="D1086">
            <v>150.46</v>
          </cell>
        </row>
        <row r="1087">
          <cell r="C1087" t="str">
            <v>PGVFFWFSFSNGC1</v>
          </cell>
          <cell r="D1087">
            <v>244.5</v>
          </cell>
        </row>
        <row r="1088">
          <cell r="C1088" t="str">
            <v>PGVFFWSE</v>
          </cell>
          <cell r="D1088">
            <v>133.51999999999998</v>
          </cell>
        </row>
        <row r="1089">
          <cell r="C1089" t="str">
            <v>PGVFFWUECFSNGC1</v>
          </cell>
          <cell r="D1089">
            <v>243.5</v>
          </cell>
        </row>
        <row r="1090">
          <cell r="C1090" t="str">
            <v>PGVFM1-P2</v>
          </cell>
          <cell r="D1090">
            <v>74.3</v>
          </cell>
        </row>
        <row r="1091">
          <cell r="C1091" t="str">
            <v>PGVFMFC1</v>
          </cell>
          <cell r="D1091">
            <v>90.09</v>
          </cell>
        </row>
        <row r="1092">
          <cell r="C1092" t="str">
            <v>PGVFMFMT1</v>
          </cell>
          <cell r="D1092">
            <v>63.019999999999996</v>
          </cell>
        </row>
        <row r="1093">
          <cell r="C1093" t="str">
            <v>PGVFMFWFC1</v>
          </cell>
          <cell r="D1093">
            <v>125.72999999999999</v>
          </cell>
        </row>
        <row r="1094">
          <cell r="C1094" t="str">
            <v>PGVFMNGC1</v>
          </cell>
          <cell r="D1094">
            <v>79.150000000000006</v>
          </cell>
        </row>
        <row r="1095">
          <cell r="C1095" t="str">
            <v>PGVFMNGCUEC1</v>
          </cell>
          <cell r="D1095">
            <v>119.24000000000001</v>
          </cell>
        </row>
        <row r="1096">
          <cell r="C1096" t="str">
            <v>PGVFMT1-P2</v>
          </cell>
          <cell r="D1096">
            <v>51.74</v>
          </cell>
        </row>
        <row r="1097">
          <cell r="C1097" t="str">
            <v>PGVFMTFSFCFMJB1</v>
          </cell>
          <cell r="D1097">
            <v>184.94</v>
          </cell>
        </row>
        <row r="1098">
          <cell r="C1098" t="str">
            <v>PGVFMTHNC1</v>
          </cell>
          <cell r="D1098">
            <v>53.269999999999996</v>
          </cell>
        </row>
        <row r="1099">
          <cell r="C1099" t="str">
            <v>PGVFMTKHS1</v>
          </cell>
          <cell r="D1099">
            <v>126.53</v>
          </cell>
        </row>
        <row r="1100">
          <cell r="C1100" t="str">
            <v>PGVFS1-P2</v>
          </cell>
          <cell r="D1100">
            <v>82.18</v>
          </cell>
        </row>
        <row r="1101">
          <cell r="C1101" t="str">
            <v>PGVFSE2</v>
          </cell>
          <cell r="D1101">
            <v>122.6</v>
          </cell>
        </row>
        <row r="1102">
          <cell r="C1102" t="str">
            <v>PGVFSEFCUE</v>
          </cell>
          <cell r="D1102">
            <v>154.32999999999998</v>
          </cell>
        </row>
        <row r="1103">
          <cell r="C1103" t="str">
            <v>PGVFSEFM</v>
          </cell>
          <cell r="D1103">
            <v>127.26</v>
          </cell>
        </row>
        <row r="1104">
          <cell r="C1104" t="str">
            <v>PGVFSEFMT</v>
          </cell>
          <cell r="D1104">
            <v>87.17</v>
          </cell>
        </row>
        <row r="1105">
          <cell r="C1105" t="str">
            <v>PGVFSEFMTUE</v>
          </cell>
          <cell r="D1105">
            <v>127.26</v>
          </cell>
        </row>
        <row r="1106">
          <cell r="C1106" t="str">
            <v>PGVFSEFS</v>
          </cell>
          <cell r="D1106">
            <v>102.39</v>
          </cell>
        </row>
        <row r="1107">
          <cell r="C1107" t="str">
            <v>PGVFSEFSFC</v>
          </cell>
          <cell r="D1107">
            <v>139.54000000000002</v>
          </cell>
        </row>
        <row r="1108">
          <cell r="C1108" t="str">
            <v>PGVFSEFSFMT</v>
          </cell>
          <cell r="D1108">
            <v>128.26</v>
          </cell>
        </row>
        <row r="1109">
          <cell r="C1109" t="str">
            <v>PGVFSENGC</v>
          </cell>
          <cell r="D1109">
            <v>103.3</v>
          </cell>
        </row>
        <row r="1110">
          <cell r="C1110" t="str">
            <v>PGVFSERUM1</v>
          </cell>
          <cell r="D1110">
            <v>61.3</v>
          </cell>
        </row>
        <row r="1111">
          <cell r="C1111" t="str">
            <v>PGVFSFM1</v>
          </cell>
          <cell r="D1111">
            <v>78.240000000000009</v>
          </cell>
        </row>
        <row r="1112">
          <cell r="C1112" t="str">
            <v>PGVFSSAMNGCJB1</v>
          </cell>
          <cell r="D1112">
            <v>96.11999999999999</v>
          </cell>
        </row>
        <row r="1113">
          <cell r="C1113" t="str">
            <v>PGVFSSAMVFCJB1</v>
          </cell>
          <cell r="D1113">
            <v>101.15</v>
          </cell>
        </row>
        <row r="1114">
          <cell r="C1114" t="str">
            <v>PGVFWBW1</v>
          </cell>
          <cell r="D1114">
            <v>104.09</v>
          </cell>
        </row>
        <row r="1115">
          <cell r="C1115" t="str">
            <v>PGVFWBWJB1</v>
          </cell>
          <cell r="D1115">
            <v>131.98000000000002</v>
          </cell>
        </row>
        <row r="1116">
          <cell r="C1116" t="str">
            <v>PGVFWFC1</v>
          </cell>
          <cell r="D1116">
            <v>88.58</v>
          </cell>
        </row>
        <row r="1117">
          <cell r="C1117" t="str">
            <v>PGVFWFCBLBW1</v>
          </cell>
          <cell r="D1117">
            <v>219.48000000000002</v>
          </cell>
        </row>
        <row r="1118">
          <cell r="C1118" t="str">
            <v>PGVFWFCFMT1</v>
          </cell>
          <cell r="D1118">
            <v>142.34</v>
          </cell>
        </row>
        <row r="1119">
          <cell r="C1119" t="str">
            <v>PGVFWFCFMTJB1</v>
          </cell>
          <cell r="D1119">
            <v>142.34</v>
          </cell>
        </row>
        <row r="1120">
          <cell r="C1120" t="str">
            <v>PGVFWFCJB1</v>
          </cell>
          <cell r="D1120">
            <v>116.47</v>
          </cell>
        </row>
        <row r="1121">
          <cell r="C1121" t="str">
            <v>PGVFWFCNCG1</v>
          </cell>
          <cell r="D1121">
            <v>130.57999999999998</v>
          </cell>
        </row>
        <row r="1122">
          <cell r="C1122" t="str">
            <v>PGVFWFCNGC1</v>
          </cell>
          <cell r="D1122">
            <v>130.57999999999998</v>
          </cell>
        </row>
        <row r="1123">
          <cell r="C1123" t="str">
            <v>PGVFWFMT1</v>
          </cell>
          <cell r="D1123">
            <v>61.510000000000005</v>
          </cell>
        </row>
        <row r="1124">
          <cell r="C1124" t="str">
            <v>PGVFWFMTFCNCUEC1</v>
          </cell>
          <cell r="D1124">
            <v>196.54000000000002</v>
          </cell>
        </row>
        <row r="1125">
          <cell r="C1125" t="str">
            <v>PGVFWFMTFCNCUECJB1</v>
          </cell>
          <cell r="D1125">
            <v>224.43</v>
          </cell>
        </row>
        <row r="1126">
          <cell r="C1126" t="str">
            <v>PGVFWFMTFSFC1</v>
          </cell>
          <cell r="D1126">
            <v>155.54000000000002</v>
          </cell>
        </row>
        <row r="1127">
          <cell r="C1127" t="str">
            <v>PGVFWFMTFSFMFC1</v>
          </cell>
          <cell r="D1127">
            <v>192.69</v>
          </cell>
        </row>
        <row r="1128">
          <cell r="C1128" t="str">
            <v>PGVFWFMTFSFMFCJB1</v>
          </cell>
          <cell r="D1128">
            <v>220.57999999999998</v>
          </cell>
        </row>
        <row r="1129">
          <cell r="C1129" t="str">
            <v>PGVFWFMTJB1</v>
          </cell>
          <cell r="D1129">
            <v>89.4</v>
          </cell>
        </row>
        <row r="1130">
          <cell r="C1130" t="str">
            <v>PGVFWFMTNGC1</v>
          </cell>
          <cell r="D1130">
            <v>131.4</v>
          </cell>
        </row>
        <row r="1131">
          <cell r="C1131" t="str">
            <v>PGVFWFMTNGCJB1</v>
          </cell>
          <cell r="D1131">
            <v>131.4</v>
          </cell>
        </row>
        <row r="1132">
          <cell r="C1132" t="str">
            <v>PGVFWFS1</v>
          </cell>
          <cell r="D1132">
            <v>76.73</v>
          </cell>
        </row>
        <row r="1133">
          <cell r="C1133" t="str">
            <v>PGVFWFSFM1</v>
          </cell>
          <cell r="D1133">
            <v>113.88</v>
          </cell>
        </row>
        <row r="1134">
          <cell r="C1134" t="str">
            <v>PGVFWKNS1</v>
          </cell>
          <cell r="D1134">
            <v>77.849999999999994</v>
          </cell>
        </row>
        <row r="1135">
          <cell r="C1135" t="str">
            <v>PGVFWNCUEC1</v>
          </cell>
          <cell r="D1135">
            <v>117.73</v>
          </cell>
        </row>
        <row r="1136">
          <cell r="C1136" t="str">
            <v>PGVJBNGC1</v>
          </cell>
          <cell r="D1136">
            <v>69.89</v>
          </cell>
        </row>
        <row r="1137">
          <cell r="C1137" t="str">
            <v>PGVNCUEC1</v>
          </cell>
          <cell r="D1137">
            <v>82.09</v>
          </cell>
        </row>
        <row r="1138">
          <cell r="C1138" t="str">
            <v>PGVNGC1-P2</v>
          </cell>
          <cell r="D1138">
            <v>84</v>
          </cell>
        </row>
        <row r="1139">
          <cell r="C1139" t="str">
            <v>PGVNGCHNCUEC1</v>
          </cell>
          <cell r="D1139">
            <v>109.49000000000001</v>
          </cell>
        </row>
        <row r="1140">
          <cell r="C1140" t="str">
            <v>PGVNGCSAMFCJB1</v>
          </cell>
          <cell r="D1140">
            <v>81.849999999999994</v>
          </cell>
        </row>
        <row r="1141">
          <cell r="C1141" t="str">
            <v>PGVR-BR</v>
          </cell>
          <cell r="D1141">
            <v>186.19000000000003</v>
          </cell>
        </row>
        <row r="1142">
          <cell r="C1142" t="str">
            <v>PGVR-BR-CRED</v>
          </cell>
          <cell r="D1142">
            <v>158.30000000000001</v>
          </cell>
        </row>
        <row r="1143">
          <cell r="C1143" t="str">
            <v>PGVR-DTDR</v>
          </cell>
          <cell r="D1143">
            <v>158.47</v>
          </cell>
        </row>
        <row r="1144">
          <cell r="C1144" t="str">
            <v>PGVR-FR</v>
          </cell>
          <cell r="D1144">
            <v>141.77000000000001</v>
          </cell>
        </row>
        <row r="1145">
          <cell r="C1145" t="str">
            <v>PGVR-FRMEN</v>
          </cell>
          <cell r="D1145">
            <v>153.62</v>
          </cell>
        </row>
        <row r="1146">
          <cell r="C1146" t="str">
            <v>PGVR-GNR</v>
          </cell>
          <cell r="D1146">
            <v>131.4</v>
          </cell>
        </row>
        <row r="1147">
          <cell r="C1147" t="str">
            <v>PGVRP-DTDR</v>
          </cell>
          <cell r="D1147">
            <v>224.43</v>
          </cell>
        </row>
        <row r="1148">
          <cell r="C1148" t="str">
            <v>PGVRP-FR</v>
          </cell>
          <cell r="D1148">
            <v>220.58</v>
          </cell>
        </row>
        <row r="1149">
          <cell r="C1149" t="str">
            <v>PGVRSEFC</v>
          </cell>
          <cell r="D1149">
            <v>114.24</v>
          </cell>
        </row>
        <row r="1150">
          <cell r="C1150" t="str">
            <v>PGVR-SR</v>
          </cell>
          <cell r="D1150">
            <v>142.34</v>
          </cell>
        </row>
        <row r="1151">
          <cell r="C1151" t="str">
            <v>PGVUEC1-P2</v>
          </cell>
          <cell r="D1151">
            <v>80.180000000000007</v>
          </cell>
        </row>
        <row r="1152">
          <cell r="C1152" t="str">
            <v>PGVUECFC1</v>
          </cell>
          <cell r="D1152">
            <v>93.03</v>
          </cell>
        </row>
        <row r="1153">
          <cell r="C1153" t="str">
            <v>PGVUECFCBLHNC1</v>
          </cell>
          <cell r="D1153">
            <v>182.88000000000002</v>
          </cell>
        </row>
        <row r="1154">
          <cell r="C1154" t="str">
            <v>PGVVBFC1</v>
          </cell>
          <cell r="D1154">
            <v>146.94</v>
          </cell>
        </row>
        <row r="1155">
          <cell r="C1155" t="str">
            <v>PGVVBFCNGC1</v>
          </cell>
          <cell r="D1155">
            <v>185.07</v>
          </cell>
        </row>
        <row r="1156">
          <cell r="C1156" t="str">
            <v>PGVVBFWFCFMT1</v>
          </cell>
          <cell r="D1156">
            <v>208.45</v>
          </cell>
        </row>
        <row r="1157">
          <cell r="C1157" t="str">
            <v>PKFFWBFSMLFSDC1</v>
          </cell>
          <cell r="D1157">
            <v>316.83</v>
          </cell>
        </row>
        <row r="1158">
          <cell r="C1158" t="str">
            <v>PKFFWBHASOFMFM01</v>
          </cell>
          <cell r="D1158">
            <v>285.27999999999997</v>
          </cell>
        </row>
        <row r="1159">
          <cell r="C1159" t="str">
            <v>PKFFWBHASOFMFM1</v>
          </cell>
          <cell r="D1159">
            <v>285.27999999999997</v>
          </cell>
        </row>
        <row r="1160">
          <cell r="C1160" t="str">
            <v>PKFFWBPSHACDC1</v>
          </cell>
          <cell r="D1160">
            <v>302.79000000000002</v>
          </cell>
        </row>
        <row r="1161">
          <cell r="C1161" t="str">
            <v>PKSGFFWAASAAGOFM1</v>
          </cell>
          <cell r="D1161">
            <v>273.56</v>
          </cell>
        </row>
        <row r="1162">
          <cell r="C1162" t="str">
            <v>PKSGFFWAASOFMFM1</v>
          </cell>
          <cell r="D1162">
            <v>277.26</v>
          </cell>
        </row>
        <row r="1163">
          <cell r="C1163" t="str">
            <v>PKSGFFWPSAASOFGM01</v>
          </cell>
          <cell r="D1163">
            <v>272.83999999999997</v>
          </cell>
        </row>
        <row r="1164">
          <cell r="C1164" t="str">
            <v>PKSGFFWPSHASOFGM1</v>
          </cell>
          <cell r="D1164">
            <v>286.61</v>
          </cell>
        </row>
        <row r="1165">
          <cell r="C1165" t="str">
            <v>PSGB_DEL</v>
          </cell>
          <cell r="D1165">
            <v>169</v>
          </cell>
        </row>
        <row r="1166">
          <cell r="C1166" t="str">
            <v>PSGPRADMROUES1</v>
          </cell>
          <cell r="D1166">
            <v>154.84</v>
          </cell>
        </row>
        <row r="1167">
          <cell r="C1167" t="str">
            <v>PSGTMUEC1</v>
          </cell>
          <cell r="D1167">
            <v>102.1</v>
          </cell>
        </row>
        <row r="1168">
          <cell r="C1168" t="str">
            <v>SAM-HAHSS1</v>
          </cell>
          <cell r="D1168" t="e">
            <v>#N/A</v>
          </cell>
        </row>
        <row r="1169">
          <cell r="C1169" t="str">
            <v>SAMHAHSS</v>
          </cell>
          <cell r="D1169" t="e">
            <v>#N/A</v>
          </cell>
        </row>
        <row r="1170">
          <cell r="C1170" t="str">
            <v>PGKS-AHGSAVGS01</v>
          </cell>
          <cell r="D1170">
            <v>261.68</v>
          </cell>
        </row>
        <row r="1171">
          <cell r="C1171" t="str">
            <v>PGIS-BSCGK1</v>
          </cell>
          <cell r="D1171">
            <v>381.22</v>
          </cell>
        </row>
        <row r="1172">
          <cell r="C1172" t="str">
            <v>PGSAR-120HM1-P2</v>
          </cell>
          <cell r="D1172">
            <v>200.26</v>
          </cell>
        </row>
        <row r="1173">
          <cell r="C1173" t="str">
            <v>PHD-2AADS1 P2</v>
          </cell>
          <cell r="D1173">
            <v>183.06</v>
          </cell>
        </row>
        <row r="1174">
          <cell r="C1174" t="str">
            <v>PHD-PRFS1 P2</v>
          </cell>
          <cell r="D1174">
            <v>179.4</v>
          </cell>
        </row>
        <row r="1175">
          <cell r="C1175" t="str">
            <v>PHD-VCBM1 P3</v>
          </cell>
          <cell r="D1175">
            <v>297.03000000000003</v>
          </cell>
        </row>
        <row r="1176">
          <cell r="C1176" t="str">
            <v>PHD-2SAAAS1 P2</v>
          </cell>
          <cell r="D1176">
            <v>172.26</v>
          </cell>
        </row>
        <row r="1177">
          <cell r="C1177" t="str">
            <v>PHD-2HAS1 P3</v>
          </cell>
          <cell r="D1177">
            <v>285.87</v>
          </cell>
        </row>
        <row r="1178">
          <cell r="C1178" t="str">
            <v>PHD-10VCBS1 P3</v>
          </cell>
          <cell r="D1178">
            <v>351.99</v>
          </cell>
        </row>
        <row r="1179">
          <cell r="C1179" t="str">
            <v>PHD-2HAS1 P2</v>
          </cell>
          <cell r="D1179">
            <v>190.58</v>
          </cell>
        </row>
        <row r="1180">
          <cell r="C1180" t="str">
            <v>PHD-VCBM1 P2</v>
          </cell>
          <cell r="D1180">
            <v>198.02</v>
          </cell>
        </row>
        <row r="1181">
          <cell r="C1181" t="str">
            <v>PHD-2AADS1 P3</v>
          </cell>
          <cell r="D1181">
            <v>274.59000000000003</v>
          </cell>
        </row>
        <row r="1182">
          <cell r="C1182" t="str">
            <v>PHD-PRFS1 P3</v>
          </cell>
          <cell r="D1182">
            <v>269.10000000000002</v>
          </cell>
        </row>
        <row r="1183">
          <cell r="C1183" t="str">
            <v>PHD-2SAAAS1 P3</v>
          </cell>
          <cell r="D1183">
            <v>258.39</v>
          </cell>
        </row>
        <row r="1184">
          <cell r="C1184" t="str">
            <v>PHD-10VCBS1 P2</v>
          </cell>
          <cell r="D1184">
            <v>234.66</v>
          </cell>
        </row>
        <row r="1185">
          <cell r="C1185" t="str">
            <v>PG-PSCC1</v>
          </cell>
          <cell r="D1185">
            <v>170.18</v>
          </cell>
        </row>
        <row r="1186">
          <cell r="C1186" t="str">
            <v>PGSGCSERUM1-P2</v>
          </cell>
          <cell r="D1186">
            <v>121.46</v>
          </cell>
        </row>
        <row r="1189">
          <cell r="C1189" t="str">
            <v>TESTER-PG24K-GFK1</v>
          </cell>
          <cell r="D1189">
            <v>94.559999999999988</v>
          </cell>
        </row>
        <row r="1190">
          <cell r="C1190" t="str">
            <v>TESTER-PGA-10VCFS10</v>
          </cell>
          <cell r="D1190">
            <v>34.369999999999997</v>
          </cell>
        </row>
        <row r="1191">
          <cell r="C1191" t="str">
            <v>TESTER-PGA-10VCFS30</v>
          </cell>
          <cell r="D1191">
            <v>75.13</v>
          </cell>
        </row>
        <row r="1192">
          <cell r="C1192" t="str">
            <v>TESTER-PGA-15VCFS20</v>
          </cell>
          <cell r="D1192">
            <v>76.31</v>
          </cell>
        </row>
        <row r="1193">
          <cell r="C1193" t="str">
            <v>TESTER-PGAAGHS</v>
          </cell>
          <cell r="D1193">
            <v>100.08</v>
          </cell>
        </row>
        <row r="1194">
          <cell r="C1194" t="str">
            <v>TESTER-PGAHM</v>
          </cell>
          <cell r="D1194">
            <v>85.41</v>
          </cell>
        </row>
        <row r="1195">
          <cell r="C1195" t="str">
            <v>TESTER-PGALIC</v>
          </cell>
          <cell r="D1195">
            <v>45.01</v>
          </cell>
        </row>
        <row r="1196">
          <cell r="C1196" t="str">
            <v>TESTER-PGASHO</v>
          </cell>
          <cell r="D1196">
            <v>66.69</v>
          </cell>
        </row>
        <row r="1197">
          <cell r="C1197" t="str">
            <v>TESTER-PGASHS</v>
          </cell>
          <cell r="D1197">
            <v>113.26</v>
          </cell>
        </row>
        <row r="1198">
          <cell r="C1198" t="str">
            <v>TESTER-PGASSCRUB</v>
          </cell>
          <cell r="D1198">
            <v>79.260000000000005</v>
          </cell>
        </row>
        <row r="1199">
          <cell r="C1199" t="str">
            <v>TESTER-PGATT-10NBRS1</v>
          </cell>
          <cell r="D1199">
            <v>52.11</v>
          </cell>
        </row>
        <row r="1200">
          <cell r="C1200" t="str">
            <v>TESTER-PGATT-ADSS1</v>
          </cell>
          <cell r="D1200">
            <v>90.48</v>
          </cell>
        </row>
        <row r="1201">
          <cell r="C1201" t="str">
            <v>TESTER-PGATT-NOM1</v>
          </cell>
          <cell r="D1201">
            <v>43.71</v>
          </cell>
        </row>
        <row r="1202">
          <cell r="C1202" t="str">
            <v>TESTER-PGATT-PFWGT1</v>
          </cell>
          <cell r="D1202">
            <v>40.29</v>
          </cell>
        </row>
        <row r="1203">
          <cell r="C1203" t="str">
            <v>TESTER-PGATT-PT1</v>
          </cell>
          <cell r="D1203">
            <v>31.98</v>
          </cell>
        </row>
        <row r="1204">
          <cell r="C1204" t="str">
            <v>TESTER-PGAVC-1T</v>
          </cell>
          <cell r="D1204">
            <v>43.38</v>
          </cell>
        </row>
        <row r="1205">
          <cell r="C1205" t="str">
            <v>TESTER-PGAVC-20S</v>
          </cell>
          <cell r="D1205">
            <v>131.68</v>
          </cell>
        </row>
        <row r="1206">
          <cell r="C1206" t="str">
            <v>TESTER-PGAVC-2OFM</v>
          </cell>
          <cell r="D1206">
            <v>53.45</v>
          </cell>
        </row>
        <row r="1207">
          <cell r="C1207" t="str">
            <v>TESTER-PGAVC-BSL1</v>
          </cell>
          <cell r="D1207">
            <v>61.3</v>
          </cell>
        </row>
        <row r="1208">
          <cell r="C1208" t="str">
            <v>TESTER-PGA-VCBUEC1</v>
          </cell>
          <cell r="D1208">
            <v>40.44</v>
          </cell>
        </row>
        <row r="1209">
          <cell r="C1209" t="str">
            <v>TESTER-PGAVC-GFWT1</v>
          </cell>
          <cell r="D1209">
            <v>44.39</v>
          </cell>
        </row>
        <row r="1210">
          <cell r="C1210" t="str">
            <v>TESTER-PGAVC-IVSS1</v>
          </cell>
          <cell r="D1210">
            <v>132.01</v>
          </cell>
        </row>
        <row r="1211">
          <cell r="C1211" t="str">
            <v>TESTER-PGAVC-LLB1</v>
          </cell>
          <cell r="D1211">
            <v>28.3</v>
          </cell>
        </row>
        <row r="1212">
          <cell r="C1212" t="str">
            <v>TESTER-PGAVC-LLK1</v>
          </cell>
          <cell r="D1212">
            <v>89.66</v>
          </cell>
        </row>
        <row r="1213">
          <cell r="C1213" t="str">
            <v>TESTER-PGAVC-LLSM1</v>
          </cell>
          <cell r="D1213">
            <v>36.78</v>
          </cell>
        </row>
        <row r="1214">
          <cell r="C1214" t="str">
            <v>TESTER-PGBM-FK1</v>
          </cell>
          <cell r="D1214">
            <v>61.93</v>
          </cell>
        </row>
        <row r="1215">
          <cell r="C1215" t="str">
            <v>TESTER-PGBM-NYB1</v>
          </cell>
          <cell r="D1215">
            <v>61.45</v>
          </cell>
        </row>
        <row r="1216">
          <cell r="C1216" t="str">
            <v>TESTER-PGBM-SE1</v>
          </cell>
          <cell r="D1216">
            <v>56.88</v>
          </cell>
        </row>
        <row r="1217">
          <cell r="C1217" t="str">
            <v>TESTER-PGEDP-ALP1</v>
          </cell>
          <cell r="D1217">
            <v>106.23</v>
          </cell>
        </row>
        <row r="1218">
          <cell r="C1218" t="str">
            <v>TESTER-PGEDP-GKGOD1</v>
          </cell>
          <cell r="D1218">
            <v>116.6</v>
          </cell>
        </row>
        <row r="1219">
          <cell r="C1219" t="str">
            <v>TESTER-PGEDP-TFLC1</v>
          </cell>
          <cell r="D1219">
            <v>150.74</v>
          </cell>
        </row>
        <row r="1220">
          <cell r="C1220" t="str">
            <v>TESTER-PGEDP-TIC1</v>
          </cell>
          <cell r="D1220">
            <v>130.1</v>
          </cell>
        </row>
        <row r="1221">
          <cell r="C1221" t="str">
            <v>TESTER-PGEDP-ZEN1</v>
          </cell>
          <cell r="D1221">
            <v>106.44999999999999</v>
          </cell>
        </row>
        <row r="1222">
          <cell r="C1222" t="str">
            <v>TESTER-PGGTM-RAAHGS1</v>
          </cell>
          <cell r="D1222">
            <v>83.65</v>
          </cell>
        </row>
        <row r="1223">
          <cell r="C1223" t="str">
            <v>TESTER-PGK-10NFS10</v>
          </cell>
          <cell r="D1223">
            <v>28.199999999999996</v>
          </cell>
        </row>
        <row r="1224">
          <cell r="C1224" t="str">
            <v>TESTER-PGK-10NFS30</v>
          </cell>
          <cell r="D1224">
            <v>45.36</v>
          </cell>
        </row>
        <row r="1225">
          <cell r="C1225" t="str">
            <v>TESTER-PGK24KGBO1</v>
          </cell>
          <cell r="D1225">
            <v>101.67</v>
          </cell>
        </row>
        <row r="1226">
          <cell r="C1226" t="str">
            <v>TESTER-PGK24KGFM1</v>
          </cell>
          <cell r="D1226">
            <v>63.4</v>
          </cell>
        </row>
        <row r="1227">
          <cell r="C1227" t="str">
            <v>TESTER-PGK24K-GGM1</v>
          </cell>
          <cell r="D1227">
            <v>103.74</v>
          </cell>
        </row>
        <row r="1228">
          <cell r="C1228" t="str">
            <v>TESTER-PGK24KGS20ML</v>
          </cell>
          <cell r="D1228">
            <v>70.63</v>
          </cell>
        </row>
        <row r="1229">
          <cell r="C1229" t="str">
            <v>TESTER-PGK-2SAFS10</v>
          </cell>
          <cell r="D1229">
            <v>29.02</v>
          </cell>
        </row>
        <row r="1230">
          <cell r="C1230" t="str">
            <v>TESTER-PGK-5CBRM1</v>
          </cell>
          <cell r="D1230">
            <v>54.79</v>
          </cell>
        </row>
        <row r="1231">
          <cell r="C1231" t="str">
            <v>TESTER-PGK-5NFS10</v>
          </cell>
          <cell r="D1231">
            <v>37.46</v>
          </cell>
        </row>
        <row r="1232">
          <cell r="C1232" t="str">
            <v>TESTER-PGKABPPS1</v>
          </cell>
          <cell r="D1232">
            <v>53.73</v>
          </cell>
        </row>
        <row r="1233">
          <cell r="C1233" t="str">
            <v>TESTER-PGKAVG1</v>
          </cell>
          <cell r="D1233">
            <v>52.57</v>
          </cell>
        </row>
        <row r="1234">
          <cell r="C1234" t="str">
            <v>TESTER-PGKDC1</v>
          </cell>
          <cell r="D1234">
            <v>94.530000000000015</v>
          </cell>
        </row>
        <row r="1235">
          <cell r="C1235" t="str">
            <v>TESTER-PGKFMT1</v>
          </cell>
          <cell r="D1235">
            <v>27.66</v>
          </cell>
        </row>
        <row r="1236">
          <cell r="C1236" t="str">
            <v>TESTER-PGKFS1</v>
          </cell>
          <cell r="D1236">
            <v>60.54</v>
          </cell>
        </row>
        <row r="1237">
          <cell r="C1237" t="str">
            <v>TESTER-PGKHAHSS1</v>
          </cell>
          <cell r="D1237">
            <v>65.650000000000006</v>
          </cell>
        </row>
        <row r="1238">
          <cell r="C1238" t="str">
            <v>TESTER-PGK-HASSG50</v>
          </cell>
          <cell r="D1238">
            <v>61.06</v>
          </cell>
        </row>
        <row r="1239">
          <cell r="C1239" t="str">
            <v>TESTER-PGKHC1</v>
          </cell>
          <cell r="D1239">
            <v>74.959999999999994</v>
          </cell>
        </row>
        <row r="1240">
          <cell r="C1240" t="str">
            <v>TESTER-PGKHS1</v>
          </cell>
          <cell r="D1240">
            <v>100.66</v>
          </cell>
        </row>
        <row r="1241">
          <cell r="C1241" t="str">
            <v>TESTER-PGK-KAS</v>
          </cell>
          <cell r="D1241">
            <v>45.74</v>
          </cell>
        </row>
        <row r="1242">
          <cell r="C1242" t="str">
            <v>TESTER-PGKNC1</v>
          </cell>
          <cell r="D1242">
            <v>69.8</v>
          </cell>
        </row>
        <row r="1243">
          <cell r="C1243" t="str">
            <v>TESTER-PGKNS1</v>
          </cell>
          <cell r="D1243">
            <v>42.21</v>
          </cell>
        </row>
        <row r="1244">
          <cell r="C1244" t="str">
            <v>TESTER-PGKOFGM1</v>
          </cell>
          <cell r="D1244">
            <v>72.599999999999994</v>
          </cell>
        </row>
        <row r="1245">
          <cell r="C1245" t="str">
            <v>TESTER-PGKS1</v>
          </cell>
          <cell r="D1245">
            <v>78.88</v>
          </cell>
        </row>
        <row r="1246">
          <cell r="C1246" t="str">
            <v>TESTER-PGKS20</v>
          </cell>
          <cell r="D1246">
            <v>88.02</v>
          </cell>
        </row>
        <row r="1247">
          <cell r="C1247" t="str">
            <v>TESTER-PGKS-AAS1</v>
          </cell>
          <cell r="D1247">
            <v>51.88</v>
          </cell>
        </row>
        <row r="1248">
          <cell r="C1248" t="str">
            <v>TESTER-PGKS-AHGS1</v>
          </cell>
          <cell r="D1248">
            <v>130.22999999999999</v>
          </cell>
        </row>
        <row r="1249">
          <cell r="C1249" t="str">
            <v>TESTER-PGKS-AVBS1</v>
          </cell>
          <cell r="D1249">
            <v>76.59</v>
          </cell>
        </row>
        <row r="1250">
          <cell r="C1250" t="str">
            <v>TESTER-PGKS-LFS1</v>
          </cell>
          <cell r="D1250">
            <v>75.27</v>
          </cell>
        </row>
        <row r="1251">
          <cell r="C1251" t="str">
            <v>TESTER-PGKSNOCS1</v>
          </cell>
          <cell r="D1251">
            <v>51.3</v>
          </cell>
        </row>
        <row r="1252">
          <cell r="C1252" t="str">
            <v>TESTER-PGKS-RAAHGS1</v>
          </cell>
          <cell r="D1252">
            <v>230.17</v>
          </cell>
        </row>
        <row r="1253">
          <cell r="C1253" t="str">
            <v>TESTER-PGKS-RAAHGSDPS1</v>
          </cell>
          <cell r="D1253">
            <v>90.98</v>
          </cell>
        </row>
        <row r="1254">
          <cell r="C1254" t="str">
            <v>TESTER-PGKS-SCS1</v>
          </cell>
          <cell r="D1254">
            <v>76.739999999999995</v>
          </cell>
        </row>
        <row r="1255">
          <cell r="C1255" t="str">
            <v>TESTER-PGKSSSERUM30</v>
          </cell>
          <cell r="D1255">
            <v>52.010000000000005</v>
          </cell>
        </row>
        <row r="1256">
          <cell r="C1256" t="str">
            <v>TESTER-PGKSSSERUM50</v>
          </cell>
          <cell r="D1256">
            <v>60</v>
          </cell>
        </row>
        <row r="1257">
          <cell r="C1257" t="str">
            <v>TESTER-PGKUEC1</v>
          </cell>
          <cell r="D1257">
            <v>63.65</v>
          </cell>
        </row>
        <row r="1258">
          <cell r="C1258" t="str">
            <v>TESTER-PGMU-ADMSS1</v>
          </cell>
          <cell r="D1258">
            <v>45.21</v>
          </cell>
        </row>
        <row r="1259">
          <cell r="C1259" t="str">
            <v>TESTER-PGMU-BBCAG1</v>
          </cell>
          <cell r="D1259">
            <v>64.540000000000006</v>
          </cell>
        </row>
        <row r="1260">
          <cell r="C1260" t="str">
            <v>TESTER-PGMU-BBCBG1</v>
          </cell>
          <cell r="D1260">
            <v>64.540000000000006</v>
          </cell>
        </row>
        <row r="1261">
          <cell r="C1261" t="str">
            <v>TESTER-PGMU-BBCHG1</v>
          </cell>
          <cell r="D1261">
            <v>64.540000000000006</v>
          </cell>
        </row>
        <row r="1262">
          <cell r="C1262" t="str">
            <v>TESTER-PGMU-BDBB1</v>
          </cell>
          <cell r="D1262">
            <v>86.7</v>
          </cell>
        </row>
        <row r="1263">
          <cell r="C1263" t="str">
            <v>TESTER-PGMU-BDCR1</v>
          </cell>
          <cell r="D1263">
            <v>86.7</v>
          </cell>
        </row>
        <row r="1264">
          <cell r="C1264" t="str">
            <v>TESTER-PGMU-BDFP1</v>
          </cell>
          <cell r="D1264">
            <v>86.699999999999989</v>
          </cell>
        </row>
        <row r="1265">
          <cell r="C1265" t="str">
            <v>TESTER-PGMU-BLAB1</v>
          </cell>
          <cell r="D1265">
            <v>98.3</v>
          </cell>
        </row>
        <row r="1266">
          <cell r="C1266" t="str">
            <v>TESTER-PGMU-BLBB1</v>
          </cell>
          <cell r="D1266">
            <v>98.3</v>
          </cell>
        </row>
        <row r="1267">
          <cell r="C1267" t="str">
            <v>TESTER-PGMU-BLCC1</v>
          </cell>
          <cell r="D1267">
            <v>98.3</v>
          </cell>
        </row>
        <row r="1268">
          <cell r="C1268" t="str">
            <v>TESTER-PGMU-BLCE1</v>
          </cell>
          <cell r="D1268">
            <v>98.3</v>
          </cell>
        </row>
        <row r="1269">
          <cell r="C1269" t="str">
            <v>TESTER-PGMU-BLCG1</v>
          </cell>
          <cell r="D1269">
            <v>98.3</v>
          </cell>
        </row>
        <row r="1270">
          <cell r="C1270" t="str">
            <v>TESTER-PGMU-BLCL1</v>
          </cell>
          <cell r="D1270">
            <v>98.3</v>
          </cell>
        </row>
        <row r="1271">
          <cell r="C1271" t="str">
            <v>TESTER-PGMU-BLCP1</v>
          </cell>
          <cell r="D1271">
            <v>98.3</v>
          </cell>
        </row>
        <row r="1272">
          <cell r="C1272" t="str">
            <v>TESTER-PGMU-BLCT1</v>
          </cell>
          <cell r="D1272">
            <v>98.3</v>
          </cell>
        </row>
        <row r="1273">
          <cell r="C1273" t="str">
            <v>TESTER-PGMU-BLFP1</v>
          </cell>
          <cell r="D1273">
            <v>98.3</v>
          </cell>
        </row>
        <row r="1274">
          <cell r="C1274" t="str">
            <v>TESTER-PGMU-BLFR1</v>
          </cell>
          <cell r="D1274">
            <v>98.299999999999983</v>
          </cell>
        </row>
        <row r="1275">
          <cell r="C1275" t="str">
            <v>TESTER-PGMU-BLMA1</v>
          </cell>
          <cell r="D1275">
            <v>98.3</v>
          </cell>
        </row>
        <row r="1276">
          <cell r="C1276" t="str">
            <v>TESTER-PGMU-BLMB1</v>
          </cell>
          <cell r="D1276">
            <v>98.3</v>
          </cell>
        </row>
        <row r="1277">
          <cell r="C1277" t="str">
            <v>TESTER-PGMU-BLNK1</v>
          </cell>
          <cell r="D1277">
            <v>98.299999999999983</v>
          </cell>
        </row>
        <row r="1278">
          <cell r="C1278" t="str">
            <v>TESTER-PGMU-BLNM1</v>
          </cell>
          <cell r="D1278">
            <v>98.3</v>
          </cell>
        </row>
        <row r="1279">
          <cell r="C1279" t="str">
            <v>TESTER-PGMU-BLP1</v>
          </cell>
          <cell r="D1279">
            <v>91.39</v>
          </cell>
        </row>
        <row r="1280">
          <cell r="C1280" t="str">
            <v>TESTER-PGMU-BLPH1</v>
          </cell>
          <cell r="D1280">
            <v>98.3</v>
          </cell>
        </row>
        <row r="1281">
          <cell r="C1281" t="str">
            <v>TESTER-PGMU-BLPP1</v>
          </cell>
          <cell r="D1281">
            <v>98.299999999999983</v>
          </cell>
        </row>
        <row r="1282">
          <cell r="C1282" t="str">
            <v>TESTER-PGMU-BLPR1</v>
          </cell>
          <cell r="D1282">
            <v>98.3</v>
          </cell>
        </row>
        <row r="1283">
          <cell r="C1283" t="str">
            <v>TESTER-PGMU-BLRR1</v>
          </cell>
          <cell r="D1283">
            <v>98.3</v>
          </cell>
        </row>
        <row r="1284">
          <cell r="C1284" t="str">
            <v>TESTER-PGMU-BLSW1</v>
          </cell>
          <cell r="D1284">
            <v>98.299999999999983</v>
          </cell>
        </row>
        <row r="1285">
          <cell r="C1285" t="str">
            <v>TESTER-PGMU-BLUR1</v>
          </cell>
          <cell r="D1285">
            <v>98.3</v>
          </cell>
        </row>
        <row r="1286">
          <cell r="C1286" t="str">
            <v>TESTER-PGMU-CLA1</v>
          </cell>
          <cell r="D1286">
            <v>73.05</v>
          </cell>
        </row>
        <row r="1287">
          <cell r="C1287" t="str">
            <v>TESTER-PGMU-CLB1</v>
          </cell>
          <cell r="D1287">
            <v>73.05</v>
          </cell>
        </row>
        <row r="1288">
          <cell r="C1288" t="str">
            <v>TESTER-PGMU-CLI1</v>
          </cell>
          <cell r="D1288">
            <v>73.17</v>
          </cell>
        </row>
        <row r="1289">
          <cell r="C1289" t="str">
            <v>TESTER-PGMU-CLS1</v>
          </cell>
          <cell r="D1289">
            <v>73.05</v>
          </cell>
        </row>
        <row r="1290">
          <cell r="C1290" t="str">
            <v>TESTER-PGMU-CPA1</v>
          </cell>
          <cell r="D1290">
            <v>51.74</v>
          </cell>
        </row>
        <row r="1291">
          <cell r="C1291" t="str">
            <v>TESTER-PGMU-CPBP1</v>
          </cell>
          <cell r="D1291">
            <v>113</v>
          </cell>
        </row>
        <row r="1292">
          <cell r="C1292" t="str">
            <v>TESTER-PGMU-CPC1</v>
          </cell>
          <cell r="D1292">
            <v>51.74</v>
          </cell>
        </row>
        <row r="1293">
          <cell r="C1293" t="str">
            <v>TESTER-PGMU-CPCN1</v>
          </cell>
          <cell r="D1293">
            <v>83.14</v>
          </cell>
        </row>
        <row r="1294">
          <cell r="C1294" t="str">
            <v>TESTER-PGMU-CPGB1</v>
          </cell>
          <cell r="D1294">
            <v>83.14</v>
          </cell>
        </row>
        <row r="1295">
          <cell r="C1295" t="str">
            <v>TESTER-PGMU-CPH1</v>
          </cell>
          <cell r="D1295">
            <v>51.74</v>
          </cell>
        </row>
        <row r="1296">
          <cell r="C1296" t="str">
            <v>TESTER-PGMU-CPI1</v>
          </cell>
          <cell r="D1296">
            <v>51.74</v>
          </cell>
        </row>
        <row r="1297">
          <cell r="C1297" t="str">
            <v>TESTER-PGMU-CPN1</v>
          </cell>
          <cell r="D1297">
            <v>51.74</v>
          </cell>
        </row>
        <row r="1298">
          <cell r="C1298" t="str">
            <v>TESTER-PGMU-CPPI1</v>
          </cell>
          <cell r="D1298">
            <v>83.14</v>
          </cell>
        </row>
        <row r="1299">
          <cell r="C1299" t="str">
            <v>TESTER-PGMU-CPRC1</v>
          </cell>
          <cell r="D1299">
            <v>83.14</v>
          </cell>
        </row>
        <row r="1300">
          <cell r="C1300" t="str">
            <v>TESTER-PGMU-CPWS1</v>
          </cell>
          <cell r="D1300">
            <v>83.14</v>
          </cell>
        </row>
        <row r="1301">
          <cell r="C1301" t="str">
            <v>TESTER-PGMU-EBS1</v>
          </cell>
          <cell r="D1301">
            <v>51.93</v>
          </cell>
        </row>
        <row r="1302">
          <cell r="C1302" t="str">
            <v>TESTER-PGMU-ESFQ1</v>
          </cell>
          <cell r="D1302">
            <v>168.55</v>
          </cell>
        </row>
        <row r="1303">
          <cell r="C1303" t="str">
            <v>TESTER-PGMU-FRVSCB1</v>
          </cell>
          <cell r="D1303">
            <v>61.75</v>
          </cell>
        </row>
        <row r="1304">
          <cell r="C1304" t="str">
            <v>TESTER-PGMU-GLAN1</v>
          </cell>
          <cell r="D1304">
            <v>96.2</v>
          </cell>
        </row>
        <row r="1305">
          <cell r="C1305" t="str">
            <v>TESTER-PGMU-GLCH1</v>
          </cell>
          <cell r="D1305">
            <v>96.2</v>
          </cell>
        </row>
        <row r="1306">
          <cell r="C1306" t="str">
            <v>TESTER-PGMU-GLDB1</v>
          </cell>
          <cell r="D1306">
            <v>96.2</v>
          </cell>
        </row>
        <row r="1307">
          <cell r="C1307" t="str">
            <v>TESTER-PGMU-GLHH1</v>
          </cell>
          <cell r="D1307">
            <v>96.2</v>
          </cell>
        </row>
        <row r="1308">
          <cell r="C1308" t="str">
            <v>TESTER-PGMU-GLJJ1</v>
          </cell>
          <cell r="D1308">
            <v>96.2</v>
          </cell>
        </row>
        <row r="1309">
          <cell r="C1309" t="str">
            <v>TESTER-PGMU-GLMH1</v>
          </cell>
          <cell r="D1309">
            <v>96.2</v>
          </cell>
        </row>
        <row r="1310">
          <cell r="C1310" t="str">
            <v>TESTER-PGMU-GLRN1</v>
          </cell>
          <cell r="D1310">
            <v>96.2</v>
          </cell>
        </row>
        <row r="1311">
          <cell r="C1311" t="str">
            <v>TESTER-PGMU-GLTK1</v>
          </cell>
          <cell r="D1311">
            <v>96.2</v>
          </cell>
        </row>
        <row r="1312">
          <cell r="C1312" t="str">
            <v>TESTER-PGMU-GP1</v>
          </cell>
          <cell r="D1312">
            <v>68.349999999999994</v>
          </cell>
        </row>
        <row r="1313">
          <cell r="C1313" t="str">
            <v>TESTER-PGMU-HDGR1</v>
          </cell>
          <cell r="D1313">
            <v>120.58</v>
          </cell>
        </row>
        <row r="1314">
          <cell r="C1314" t="str">
            <v>TESTER-PGMU-IM1</v>
          </cell>
          <cell r="D1314">
            <v>61.98</v>
          </cell>
        </row>
        <row r="1315">
          <cell r="C1315" t="str">
            <v>TESTER-PGMU-KBM1</v>
          </cell>
          <cell r="D1315">
            <v>55.77</v>
          </cell>
        </row>
        <row r="1316">
          <cell r="C1316" t="str">
            <v>TESTER-PGMU-LCETCS1</v>
          </cell>
          <cell r="D1316">
            <v>87.9</v>
          </cell>
        </row>
        <row r="1317">
          <cell r="C1317" t="str">
            <v>TESTER-PGMU-LCETPF1</v>
          </cell>
          <cell r="D1317">
            <v>87.9</v>
          </cell>
        </row>
        <row r="1318">
          <cell r="C1318" t="str">
            <v>TESTER-PGMU-LCETTBT1</v>
          </cell>
          <cell r="D1318">
            <v>87.899999999999991</v>
          </cell>
        </row>
        <row r="1319">
          <cell r="C1319" t="str">
            <v>TESTER-PGMU-LLBB1</v>
          </cell>
          <cell r="D1319">
            <v>78.59</v>
          </cell>
        </row>
        <row r="1320">
          <cell r="C1320" t="str">
            <v>TESTER-PGMU-LLBM1</v>
          </cell>
          <cell r="D1320">
            <v>79.680000000000007</v>
          </cell>
        </row>
        <row r="1321">
          <cell r="C1321" t="str">
            <v>TESTER-PGMU-LLBN1</v>
          </cell>
          <cell r="D1321">
            <v>79.14</v>
          </cell>
        </row>
        <row r="1322">
          <cell r="C1322" t="str">
            <v>TESTER-PGMU-LLBT1</v>
          </cell>
          <cell r="D1322">
            <v>78.709999999999994</v>
          </cell>
        </row>
        <row r="1323">
          <cell r="C1323" t="str">
            <v>TESTER-PGMU-LLDS1</v>
          </cell>
          <cell r="D1323">
            <v>79.709999999999994</v>
          </cell>
        </row>
        <row r="1324">
          <cell r="C1324" t="str">
            <v>TESTER-PGMU-LLFR1</v>
          </cell>
          <cell r="D1324">
            <v>78.87</v>
          </cell>
        </row>
        <row r="1325">
          <cell r="C1325" t="str">
            <v>TESTER-PGMU-LLKP1</v>
          </cell>
          <cell r="D1325">
            <v>78.73</v>
          </cell>
        </row>
        <row r="1326">
          <cell r="C1326" t="str">
            <v>TESTER-PGMU-LLMD1</v>
          </cell>
          <cell r="D1326">
            <v>79.28</v>
          </cell>
        </row>
        <row r="1327">
          <cell r="C1327" t="str">
            <v>TESTER-PGMU-LLMM1</v>
          </cell>
          <cell r="D1327">
            <v>79.680000000000007</v>
          </cell>
        </row>
        <row r="1328">
          <cell r="C1328" t="str">
            <v>TESTER-PGMU-LLNF1</v>
          </cell>
          <cell r="D1328">
            <v>79.680000000000007</v>
          </cell>
        </row>
        <row r="1329">
          <cell r="C1329" t="str">
            <v>TESTER-PGMU-LLNO1</v>
          </cell>
          <cell r="D1329">
            <v>78.790000000000006</v>
          </cell>
        </row>
        <row r="1330">
          <cell r="C1330" t="str">
            <v>TESTER-PGMU-LLPC1</v>
          </cell>
          <cell r="D1330">
            <v>78.48</v>
          </cell>
        </row>
        <row r="1331">
          <cell r="C1331" t="str">
            <v>TESTER-PGMU-LLPCF1</v>
          </cell>
          <cell r="D1331">
            <v>79.680000000000007</v>
          </cell>
        </row>
        <row r="1332">
          <cell r="C1332" t="str">
            <v>TESTER-PGMU-LLPK1</v>
          </cell>
          <cell r="D1332">
            <v>78.8</v>
          </cell>
        </row>
        <row r="1333">
          <cell r="C1333" t="str">
            <v>TESTER-PGMU-LLPL1</v>
          </cell>
          <cell r="D1333">
            <v>38.94</v>
          </cell>
        </row>
        <row r="1334">
          <cell r="C1334" t="str">
            <v>TESTER-PGMU-LLRD1</v>
          </cell>
          <cell r="D1334">
            <v>79.680000000000007</v>
          </cell>
        </row>
        <row r="1335">
          <cell r="C1335" t="str">
            <v>TESTER-PGMU-LLRF1</v>
          </cell>
          <cell r="D1335">
            <v>79.14</v>
          </cell>
        </row>
        <row r="1336">
          <cell r="C1336" t="str">
            <v>TESTER-PGMU-LLRR1</v>
          </cell>
          <cell r="D1336">
            <v>79.680000000000007</v>
          </cell>
        </row>
        <row r="1337">
          <cell r="C1337" t="str">
            <v>TESTER-PGMU-LLSC1</v>
          </cell>
          <cell r="D1337">
            <v>78.75</v>
          </cell>
        </row>
        <row r="1338">
          <cell r="C1338" t="str">
            <v>TESTER-PGMU-LLSM1</v>
          </cell>
          <cell r="D1338">
            <v>79.62</v>
          </cell>
        </row>
        <row r="1339">
          <cell r="C1339" t="str">
            <v>TESTER-PGMU-LLSR1</v>
          </cell>
          <cell r="D1339">
            <v>79.680000000000007</v>
          </cell>
        </row>
        <row r="1340">
          <cell r="C1340" t="str">
            <v>TESTER-PGMU-LLSS1</v>
          </cell>
          <cell r="D1340">
            <v>79.680000000000007</v>
          </cell>
        </row>
        <row r="1341">
          <cell r="C1341" t="str">
            <v>TESTER-PGMU-LLTRS1</v>
          </cell>
          <cell r="D1341">
            <v>78.44</v>
          </cell>
        </row>
        <row r="1342">
          <cell r="C1342" t="str">
            <v>TESTER-PGMU-LLWS1</v>
          </cell>
          <cell r="D1342">
            <v>79.13</v>
          </cell>
        </row>
        <row r="1343">
          <cell r="C1343" t="str">
            <v>TESTER-PGMU-LLWT1</v>
          </cell>
          <cell r="D1343">
            <v>79.680000000000007</v>
          </cell>
        </row>
        <row r="1344">
          <cell r="C1344" t="str">
            <v>TESTER-PGMU-MCTM1</v>
          </cell>
          <cell r="D1344">
            <v>90.089999999999989</v>
          </cell>
        </row>
        <row r="1345">
          <cell r="C1345" t="str">
            <v>TESTER-PGMU-MEBB1</v>
          </cell>
          <cell r="D1345">
            <v>50.4</v>
          </cell>
        </row>
        <row r="1346">
          <cell r="C1346" t="str">
            <v>TESTER-PGMU-MEBR1</v>
          </cell>
          <cell r="D1346">
            <v>63.22</v>
          </cell>
        </row>
        <row r="1347">
          <cell r="C1347" t="str">
            <v>TESTER-PGMU-MEGE1</v>
          </cell>
          <cell r="D1347">
            <v>53.64</v>
          </cell>
        </row>
        <row r="1348">
          <cell r="C1348" t="str">
            <v>TESTER-PGMU-MLLAOT1</v>
          </cell>
          <cell r="D1348">
            <v>129.18</v>
          </cell>
        </row>
        <row r="1349">
          <cell r="C1349" t="str">
            <v>TESTER-PGMU-MLLBM1</v>
          </cell>
          <cell r="D1349">
            <v>129.18</v>
          </cell>
        </row>
        <row r="1350">
          <cell r="C1350" t="str">
            <v>TESTER-PGMU-MLLNT1</v>
          </cell>
          <cell r="D1350">
            <v>129.18</v>
          </cell>
        </row>
        <row r="1351">
          <cell r="C1351" t="str">
            <v>TESTER-PGMU-MLLTPS1</v>
          </cell>
          <cell r="D1351">
            <v>129.18</v>
          </cell>
        </row>
        <row r="1352">
          <cell r="C1352" t="str">
            <v>TESTER-PGMU-SFCN1</v>
          </cell>
          <cell r="D1352">
            <v>114.80999999999999</v>
          </cell>
        </row>
        <row r="1353">
          <cell r="C1353" t="str">
            <v>TESTER-PGMU-SFGB1</v>
          </cell>
          <cell r="D1353">
            <v>114.80999999999999</v>
          </cell>
        </row>
        <row r="1354">
          <cell r="C1354" t="str">
            <v>TESTER-PGMU-SFNA1</v>
          </cell>
          <cell r="D1354">
            <v>114.81</v>
          </cell>
        </row>
        <row r="1355">
          <cell r="C1355" t="str">
            <v>TESTER-PGMU-SFPI1</v>
          </cell>
          <cell r="D1355">
            <v>114.81</v>
          </cell>
        </row>
        <row r="1356">
          <cell r="C1356" t="str">
            <v>TESTER-PGMU-SFRC1</v>
          </cell>
          <cell r="D1356">
            <v>114.81</v>
          </cell>
        </row>
        <row r="1357">
          <cell r="C1357" t="str">
            <v>Tester-PGMU-SFWM1</v>
          </cell>
          <cell r="D1357">
            <v>114.81</v>
          </cell>
        </row>
        <row r="1358">
          <cell r="C1358" t="str">
            <v>TESTER-PGMU-SFWS1</v>
          </cell>
          <cell r="D1358">
            <v>114.81</v>
          </cell>
        </row>
        <row r="1359">
          <cell r="C1359" t="str">
            <v>TESTER-PGMU-SRM1</v>
          </cell>
          <cell r="D1359">
            <v>26</v>
          </cell>
        </row>
        <row r="1360">
          <cell r="C1360" t="str">
            <v>TESTER-PGMU-TLP1</v>
          </cell>
          <cell r="D1360">
            <v>91.39</v>
          </cell>
        </row>
        <row r="1361">
          <cell r="C1361" t="str">
            <v>TESTER-PGSAR-120HM1</v>
          </cell>
          <cell r="D1361">
            <v>100.13</v>
          </cell>
        </row>
        <row r="1362">
          <cell r="C1362" t="str">
            <v>TESTER-PGSAR-12HAS1</v>
          </cell>
          <cell r="D1362">
            <v>105.05000000000001</v>
          </cell>
        </row>
        <row r="1363">
          <cell r="C1363" t="str">
            <v>TESTER-PGSAR-HGT1</v>
          </cell>
          <cell r="D1363">
            <v>50.09</v>
          </cell>
        </row>
        <row r="1364">
          <cell r="C1364" t="str">
            <v>TESTER-PGSAR-OHC1</v>
          </cell>
          <cell r="D1364">
            <v>96.77</v>
          </cell>
        </row>
        <row r="1365">
          <cell r="C1365" t="str">
            <v>TESTER-PGSAR-PG1</v>
          </cell>
          <cell r="D1365">
            <v>70.400000000000006</v>
          </cell>
        </row>
        <row r="1366">
          <cell r="C1366" t="str">
            <v>TESTER-PGSFFWASH1</v>
          </cell>
          <cell r="D1366">
            <v>61.26</v>
          </cell>
        </row>
        <row r="1367">
          <cell r="C1367" t="str">
            <v>TESTER-PGSGCSERUM1</v>
          </cell>
          <cell r="D1367">
            <v>60.73</v>
          </cell>
        </row>
        <row r="1368">
          <cell r="C1368" t="str">
            <v>TESTER-PGSGMOISTURIZER1</v>
          </cell>
          <cell r="D1368">
            <v>66.34</v>
          </cell>
        </row>
        <row r="1369">
          <cell r="C1369" t="str">
            <v>TESTER-PGSGSMASK1</v>
          </cell>
          <cell r="D1369">
            <v>70.2</v>
          </cell>
        </row>
        <row r="1370">
          <cell r="C1370" t="str">
            <v>TESTER-PGSL-BLB1</v>
          </cell>
          <cell r="D1370">
            <v>26.42</v>
          </cell>
        </row>
        <row r="1371">
          <cell r="C1371" t="str">
            <v>TESTER-PGSL-BLS1</v>
          </cell>
          <cell r="D1371">
            <v>31.18</v>
          </cell>
        </row>
        <row r="1372">
          <cell r="C1372" t="str">
            <v>TESTER-PGSL-BLSC1</v>
          </cell>
          <cell r="D1372">
            <v>26.93</v>
          </cell>
        </row>
        <row r="1373">
          <cell r="C1373" t="str">
            <v>TESTER-PGSL-BLSM1</v>
          </cell>
          <cell r="D1373">
            <v>37.06</v>
          </cell>
        </row>
        <row r="1374">
          <cell r="C1374" t="str">
            <v>TESTER-PGSL-ELPRO1</v>
          </cell>
          <cell r="D1374">
            <v>28.74</v>
          </cell>
        </row>
        <row r="1375">
          <cell r="C1375" t="str">
            <v>TESTER-PGSL-PLS1</v>
          </cell>
          <cell r="D1375">
            <v>31.06</v>
          </cell>
        </row>
        <row r="1376">
          <cell r="C1376" t="str">
            <v>TESTER-PGSL-RRAAHS1</v>
          </cell>
          <cell r="D1376">
            <v>71.959999999999994</v>
          </cell>
        </row>
        <row r="1377">
          <cell r="C1377" t="str">
            <v>TESTER-PGSL-RWB1</v>
          </cell>
          <cell r="D1377">
            <v>34.880000000000003</v>
          </cell>
        </row>
        <row r="1378">
          <cell r="C1378" t="str">
            <v>TESTER-PGSL-SBLB1</v>
          </cell>
          <cell r="D1378">
            <v>25.99</v>
          </cell>
        </row>
        <row r="1379">
          <cell r="C1379" t="str">
            <v>TESTER-PGSL-SBLS1</v>
          </cell>
          <cell r="D1379">
            <v>31.11</v>
          </cell>
        </row>
        <row r="1380">
          <cell r="C1380" t="str">
            <v>TESTER-PGSL-SREO1</v>
          </cell>
          <cell r="D1380">
            <v>45.4</v>
          </cell>
        </row>
        <row r="1381">
          <cell r="C1381" t="str">
            <v>TESTER-PGSL-SRHGO1</v>
          </cell>
          <cell r="D1381">
            <v>62.05</v>
          </cell>
        </row>
        <row r="1382">
          <cell r="C1382" t="str">
            <v>TESTER-PGS-NGSS50</v>
          </cell>
          <cell r="D1382">
            <v>50.06</v>
          </cell>
        </row>
        <row r="1383">
          <cell r="C1383" t="str">
            <v>TESTER-PGSROUESERUM1</v>
          </cell>
          <cell r="D1383">
            <v>75.81</v>
          </cell>
        </row>
        <row r="1384">
          <cell r="C1384" t="str">
            <v>Tester-PGS-SGBL1</v>
          </cell>
          <cell r="D1384">
            <v>91.35</v>
          </cell>
        </row>
        <row r="1385">
          <cell r="C1385" t="str">
            <v>TESTER-PGSS-UMSST1</v>
          </cell>
          <cell r="D1385">
            <v>112.63</v>
          </cell>
        </row>
        <row r="1386">
          <cell r="C1386" t="str">
            <v>TESTER-PGSTMIST1</v>
          </cell>
          <cell r="D1386">
            <v>32.49</v>
          </cell>
        </row>
        <row r="1387">
          <cell r="C1387" t="str">
            <v>TESTER-PGSUECREAM1</v>
          </cell>
          <cell r="D1387">
            <v>69.61</v>
          </cell>
        </row>
        <row r="1388">
          <cell r="C1388" t="str">
            <v>TESTER-PGVFC1</v>
          </cell>
          <cell r="D1388">
            <v>52.94</v>
          </cell>
        </row>
        <row r="1389">
          <cell r="C1389" t="str">
            <v>TESTER-PGVFM1</v>
          </cell>
          <cell r="D1389">
            <v>37.15</v>
          </cell>
        </row>
        <row r="1390">
          <cell r="C1390" t="str">
            <v>TESTER-PGVFMT1</v>
          </cell>
          <cell r="D1390">
            <v>25.87</v>
          </cell>
        </row>
        <row r="1391">
          <cell r="C1391" t="str">
            <v>Tester-PGV-FRVBL1</v>
          </cell>
          <cell r="D1391">
            <v>79.760000000000005</v>
          </cell>
        </row>
        <row r="1392">
          <cell r="C1392" t="str">
            <v>TESTER-PGVFS</v>
          </cell>
          <cell r="D1392">
            <v>61.3</v>
          </cell>
        </row>
        <row r="1393">
          <cell r="C1393" t="str">
            <v>TESTER-PGVFS1</v>
          </cell>
          <cell r="D1393">
            <v>41.09</v>
          </cell>
        </row>
        <row r="1394">
          <cell r="C1394" t="str">
            <v>TESTER-PGVFW1</v>
          </cell>
          <cell r="D1394">
            <v>35.64</v>
          </cell>
        </row>
        <row r="1395">
          <cell r="C1395" t="str">
            <v>TESTER-PGVNGC1</v>
          </cell>
          <cell r="D1395">
            <v>42</v>
          </cell>
        </row>
        <row r="1396">
          <cell r="C1396" t="str">
            <v>TESTER-PGVUEC1</v>
          </cell>
          <cell r="D1396">
            <v>40.090000000000003</v>
          </cell>
        </row>
        <row r="1397">
          <cell r="C1397" t="str">
            <v>TESTER-PGKFW1</v>
          </cell>
          <cell r="D1397">
            <v>38.68</v>
          </cell>
        </row>
        <row r="1398">
          <cell r="C1398" t="str">
            <v>TESTER-PGKSGFFW1</v>
          </cell>
          <cell r="D1398">
            <v>66.739999999999995</v>
          </cell>
        </row>
        <row r="1399">
          <cell r="C1399" t="str">
            <v>TESTER-PGKFFW1B</v>
          </cell>
          <cell r="D1399">
            <v>60.99</v>
          </cell>
        </row>
        <row r="1400">
          <cell r="C1400" t="str">
            <v>TESTER-PGASS</v>
          </cell>
          <cell r="D1400">
            <v>92.44</v>
          </cell>
        </row>
        <row r="1401">
          <cell r="C1401" t="str">
            <v>TESTER-PGKHM1</v>
          </cell>
          <cell r="D1401">
            <v>102.91</v>
          </cell>
        </row>
        <row r="1402">
          <cell r="C1402" t="str">
            <v>TESTER-PGK24K-GGFW1</v>
          </cell>
          <cell r="D1402">
            <v>53.91</v>
          </cell>
        </row>
        <row r="1403">
          <cell r="C1403" t="str">
            <v>TESTER-PGKS-RAHHM1</v>
          </cell>
          <cell r="D1403">
            <v>60.9</v>
          </cell>
        </row>
        <row r="1404">
          <cell r="C1404" t="str">
            <v>TESTER-PGATT-ADC1</v>
          </cell>
          <cell r="D1404">
            <v>41.62</v>
          </cell>
        </row>
        <row r="1405">
          <cell r="C1405" t="str">
            <v>TESTER-PGATT-ADS1</v>
          </cell>
          <cell r="D1405">
            <v>60.216666666666661</v>
          </cell>
        </row>
        <row r="1406">
          <cell r="C1406" t="str">
            <v>TESTER-PGSBSL-5LGA</v>
          </cell>
          <cell r="D1406">
            <v>66.42</v>
          </cell>
        </row>
        <row r="1407">
          <cell r="C1407" t="str">
            <v>TESTER1-PGATT-EO1</v>
          </cell>
          <cell r="D1407">
            <v>55.05</v>
          </cell>
        </row>
        <row r="1408">
          <cell r="C1408" t="str">
            <v>TESTER-PGATT-ADHM1</v>
          </cell>
          <cell r="D1408">
            <v>56.28</v>
          </cell>
        </row>
        <row r="1409">
          <cell r="C1409" t="str">
            <v>TESTER-PGATT-PFFW1</v>
          </cell>
          <cell r="D1409">
            <v>62.99</v>
          </cell>
        </row>
        <row r="1410">
          <cell r="C1410" t="str">
            <v>TESTER-PGAVC-DBFKPR1</v>
          </cell>
          <cell r="D1410">
            <v>70.5</v>
          </cell>
        </row>
        <row r="1411">
          <cell r="C1411" t="str">
            <v>TESTER-PGK-NOSLGS50</v>
          </cell>
          <cell r="D1411">
            <v>87.59</v>
          </cell>
        </row>
        <row r="1412">
          <cell r="C1412" t="str">
            <v>TESTER-PG-ANVCBGFW1</v>
          </cell>
          <cell r="D1412">
            <v>23.39</v>
          </cell>
        </row>
        <row r="1413">
          <cell r="C1413" t="str">
            <v>Tester-PGATT-EO1</v>
          </cell>
          <cell r="D1413">
            <v>55.05</v>
          </cell>
        </row>
        <row r="1414">
          <cell r="C1414" t="str">
            <v>TESTER-PG-FRVYGFW1</v>
          </cell>
          <cell r="D1414">
            <v>26.69</v>
          </cell>
        </row>
        <row r="1415">
          <cell r="C1415" t="str">
            <v>TESTER-PGGTM-RAHCS1</v>
          </cell>
          <cell r="D1415">
            <v>53.08</v>
          </cell>
        </row>
        <row r="1416">
          <cell r="C1416" t="str">
            <v>TESTER-PGKS-RAHC1</v>
          </cell>
          <cell r="D1416">
            <v>53.669999999999995</v>
          </cell>
        </row>
        <row r="1417">
          <cell r="C1417" t="str">
            <v>TESTER-PGMU-ESMS1</v>
          </cell>
          <cell r="D1417">
            <v>168.55</v>
          </cell>
        </row>
        <row r="1418">
          <cell r="C1418" t="str">
            <v>TESTER-PGSAR-HFW1</v>
          </cell>
          <cell r="D1418">
            <v>48.72</v>
          </cell>
        </row>
        <row r="1419">
          <cell r="C1419" t="str">
            <v>TESTER-PGSL-SRAHC1</v>
          </cell>
          <cell r="D1419">
            <v>49.08</v>
          </cell>
        </row>
        <row r="1420">
          <cell r="C1420" t="str">
            <v>TESTER-PGSL-SRAHM1</v>
          </cell>
          <cell r="D1420">
            <v>59.82</v>
          </cell>
        </row>
        <row r="1421">
          <cell r="C1421" t="str">
            <v>TESTER-PGSL-SRAHS1</v>
          </cell>
          <cell r="D1421">
            <v>50.8</v>
          </cell>
        </row>
        <row r="1422">
          <cell r="C1422" t="str">
            <v>TESTER-PG-VLAOCFW1</v>
          </cell>
          <cell r="D1422">
            <v>23.44</v>
          </cell>
        </row>
        <row r="1423">
          <cell r="C1423" t="str">
            <v>TESTER1-PGAVC-DBFKPR1</v>
          </cell>
          <cell r="D1423">
            <v>70.5</v>
          </cell>
        </row>
        <row r="1424">
          <cell r="C1424" t="str">
            <v>TESTER1-PGK-ACFS50</v>
          </cell>
          <cell r="D1424">
            <v>84.2</v>
          </cell>
        </row>
        <row r="1425">
          <cell r="C1425" t="str">
            <v>TESTER1-PGK-NOSLGS50</v>
          </cell>
          <cell r="D1425">
            <v>87.59</v>
          </cell>
        </row>
        <row r="1426">
          <cell r="C1426" t="str">
            <v>TESTER1-PGK-WLTS50</v>
          </cell>
          <cell r="D1426">
            <v>91.25</v>
          </cell>
        </row>
        <row r="1427">
          <cell r="C1427" t="str">
            <v>TESTER-PGASC</v>
          </cell>
          <cell r="D1427">
            <v>77.739999999999995</v>
          </cell>
        </row>
        <row r="1428">
          <cell r="C1428" t="str">
            <v>TESTER-PGK-HGM100</v>
          </cell>
          <cell r="D1428">
            <v>64.38</v>
          </cell>
        </row>
        <row r="1429">
          <cell r="C1429" t="str">
            <v>TESTER1-PGA-VCBLGS60</v>
          </cell>
          <cell r="D1429">
            <v>85.96</v>
          </cell>
        </row>
        <row r="1430">
          <cell r="C1430" t="str">
            <v>TESTER-PGK-HGM50</v>
          </cell>
          <cell r="D1430">
            <v>40.33</v>
          </cell>
        </row>
        <row r="1431">
          <cell r="C1431" t="str">
            <v>TSTR-PGMU-FSLV1</v>
          </cell>
          <cell r="D1431">
            <v>148.77716931216932</v>
          </cell>
        </row>
        <row r="1432">
          <cell r="C1432" t="str">
            <v>TSTR-PGMU-FSDM1</v>
          </cell>
          <cell r="D1432">
            <v>148.81716931216931</v>
          </cell>
        </row>
        <row r="1433">
          <cell r="C1433" t="str">
            <v>TSTR-PGMU-FSCA1</v>
          </cell>
          <cell r="D1433">
            <v>148.77716931216932</v>
          </cell>
        </row>
        <row r="1434">
          <cell r="C1434" t="str">
            <v>TSTR-PGMU-FSRW1</v>
          </cell>
          <cell r="D1434">
            <v>148.77716931216932</v>
          </cell>
        </row>
        <row r="1435">
          <cell r="C1435" t="str">
            <v>TSTR-PGMU-FSLB1</v>
          </cell>
          <cell r="D1435">
            <v>148.77716931216932</v>
          </cell>
        </row>
        <row r="1436">
          <cell r="C1436" t="str">
            <v>TSTR-PGMU-FSMS1</v>
          </cell>
          <cell r="D1436">
            <v>148.77716931216932</v>
          </cell>
        </row>
        <row r="1437">
          <cell r="C1437" t="str">
            <v>TSTR-PGMU-FSCN1</v>
          </cell>
          <cell r="D1437">
            <v>148.77716931216932</v>
          </cell>
        </row>
        <row r="1441">
          <cell r="C1441" t="str">
            <v>PG-GWP-WT</v>
          </cell>
          <cell r="D1441">
            <v>300</v>
          </cell>
        </row>
        <row r="1442">
          <cell r="C1442" t="str">
            <v>PGK-5CBRM2</v>
          </cell>
          <cell r="D1442">
            <v>112.6</v>
          </cell>
        </row>
        <row r="1443">
          <cell r="C1443" t="str">
            <v>PG-TSB-ES1</v>
          </cell>
          <cell r="D1443">
            <v>203</v>
          </cell>
        </row>
        <row r="1444">
          <cell r="C1444" t="str">
            <v>PG-TSB-L1</v>
          </cell>
          <cell r="D1444">
            <v>203</v>
          </cell>
        </row>
        <row r="1445">
          <cell r="C1445" t="str">
            <v>PG-TSB-M1</v>
          </cell>
          <cell r="D1445">
            <v>203</v>
          </cell>
        </row>
        <row r="1446">
          <cell r="C1446" t="str">
            <v>PG-TSB-S1</v>
          </cell>
          <cell r="D1446">
            <v>203</v>
          </cell>
        </row>
        <row r="1447">
          <cell r="C1447" t="str">
            <v>PG-TSB-XL1</v>
          </cell>
          <cell r="D1447">
            <v>203</v>
          </cell>
        </row>
        <row r="1448">
          <cell r="C1448" t="str">
            <v>PG-TSE-ES1</v>
          </cell>
          <cell r="D1448">
            <v>234</v>
          </cell>
        </row>
        <row r="1449">
          <cell r="C1449" t="str">
            <v>PG-TSE-L1</v>
          </cell>
          <cell r="D1449">
            <v>234</v>
          </cell>
        </row>
        <row r="1450">
          <cell r="C1450" t="str">
            <v>PG-TSE-M1</v>
          </cell>
          <cell r="D1450">
            <v>234</v>
          </cell>
        </row>
        <row r="1451">
          <cell r="C1451" t="str">
            <v>PG-TSE-S1</v>
          </cell>
          <cell r="D1451">
            <v>234</v>
          </cell>
        </row>
        <row r="1452">
          <cell r="C1452" t="str">
            <v>PG-TSE-XL1</v>
          </cell>
          <cell r="D1452">
            <v>234</v>
          </cell>
        </row>
        <row r="1453">
          <cell r="C1453" t="str">
            <v>PG-TSL-ES1</v>
          </cell>
          <cell r="D1453">
            <v>234</v>
          </cell>
        </row>
        <row r="1454">
          <cell r="C1454" t="str">
            <v>PG-TSL-L1</v>
          </cell>
          <cell r="D1454">
            <v>234</v>
          </cell>
        </row>
        <row r="1455">
          <cell r="C1455" t="str">
            <v>PG-TSL-M1</v>
          </cell>
          <cell r="D1455">
            <v>234</v>
          </cell>
        </row>
        <row r="1456">
          <cell r="C1456" t="str">
            <v>PG-TSL-S1</v>
          </cell>
          <cell r="D1456">
            <v>234</v>
          </cell>
        </row>
        <row r="1457">
          <cell r="C1457" t="str">
            <v>PG-TSL-XL1</v>
          </cell>
          <cell r="D1457">
            <v>234</v>
          </cell>
        </row>
        <row r="1458">
          <cell r="C1458" t="str">
            <v>PGV-FRVBL2</v>
          </cell>
          <cell r="D1458">
            <v>159.52000000000001</v>
          </cell>
        </row>
        <row r="1459">
          <cell r="C1459" t="str">
            <v>PGV-FRVBL3</v>
          </cell>
          <cell r="D1459">
            <v>239.28</v>
          </cell>
        </row>
        <row r="1460">
          <cell r="C1460" t="str">
            <v>PGGB-KBSSHSGBOX</v>
          </cell>
          <cell r="D1460">
            <v>250</v>
          </cell>
        </row>
        <row r="1461">
          <cell r="C1461" t="str">
            <v>PGGB-PSGBOX</v>
          </cell>
          <cell r="D1461">
            <v>250</v>
          </cell>
        </row>
        <row r="1462">
          <cell r="C1462" t="str">
            <v>PGMU-LCETTBT01</v>
          </cell>
          <cell r="D1462">
            <v>87.9</v>
          </cell>
        </row>
        <row r="1463">
          <cell r="C1463" t="str">
            <v>PGSAR-POSMDU1</v>
          </cell>
          <cell r="D1463">
            <v>875</v>
          </cell>
        </row>
        <row r="1464">
          <cell r="C1464" t="str">
            <v>TTBlush</v>
          </cell>
          <cell r="D1464">
            <v>86.7</v>
          </cell>
        </row>
        <row r="1465">
          <cell r="C1465" t="str">
            <v>PGIS-FT1</v>
          </cell>
          <cell r="D1465">
            <v>39</v>
          </cell>
        </row>
        <row r="1466">
          <cell r="C1466" t="str">
            <v>PGIS-GMGK1</v>
          </cell>
          <cell r="D1466">
            <v>200</v>
          </cell>
        </row>
        <row r="1467">
          <cell r="C1467" t="str">
            <v>PGSUECREAM01</v>
          </cell>
          <cell r="D1467">
            <v>69.95</v>
          </cell>
        </row>
        <row r="1468">
          <cell r="C1468" t="str">
            <v>PG-SPOSM1</v>
          </cell>
          <cell r="D1468">
            <v>70</v>
          </cell>
        </row>
        <row r="1469">
          <cell r="C1469" t="str">
            <v>PG-CL25</v>
          </cell>
          <cell r="D1469">
            <v>27.5</v>
          </cell>
        </row>
        <row r="1470">
          <cell r="C1470" t="str">
            <v>PG-OFTC2</v>
          </cell>
          <cell r="D1470">
            <v>34</v>
          </cell>
        </row>
        <row r="1471">
          <cell r="C1471" t="str">
            <v>PG-OFTC1</v>
          </cell>
          <cell r="D1471">
            <v>34</v>
          </cell>
        </row>
        <row r="1473">
          <cell r="C1473" t="str">
            <v>PG-DPRB2</v>
          </cell>
          <cell r="D1473">
            <v>65</v>
          </cell>
        </row>
        <row r="1474">
          <cell r="C1474" t="str">
            <v>PG-DPRPB2</v>
          </cell>
          <cell r="D1474">
            <v>65</v>
          </cell>
        </row>
        <row r="1475">
          <cell r="C1475" t="str">
            <v>PGIS-WC1</v>
          </cell>
          <cell r="D1475">
            <v>65</v>
          </cell>
        </row>
        <row r="1476">
          <cell r="C1476" t="str">
            <v>PGKNSDC1</v>
          </cell>
          <cell r="D1476">
            <v>65</v>
          </cell>
        </row>
        <row r="1477">
          <cell r="C1477" t="str">
            <v>PG-OFFTTU</v>
          </cell>
          <cell r="D1477">
            <v>65</v>
          </cell>
        </row>
        <row r="1478">
          <cell r="C1478" t="str">
            <v>PGSB</v>
          </cell>
          <cell r="D1478">
            <v>65</v>
          </cell>
        </row>
        <row r="1479">
          <cell r="C1479" t="str">
            <v>PGSL-PB1</v>
          </cell>
          <cell r="D1479">
            <v>65</v>
          </cell>
        </row>
        <row r="1480">
          <cell r="C1480" t="str">
            <v>PGS-SGBL2</v>
          </cell>
          <cell r="D1480">
            <v>65</v>
          </cell>
        </row>
        <row r="1481">
          <cell r="C1481" t="str">
            <v>PGS-SGFRVBL</v>
          </cell>
          <cell r="D1481">
            <v>65</v>
          </cell>
        </row>
        <row r="1482">
          <cell r="C1482" t="str">
            <v>TTCOMPACT</v>
          </cell>
          <cell r="D1482">
            <v>65</v>
          </cell>
        </row>
        <row r="1483">
          <cell r="C1483" t="str">
            <v>TTHighlighter</v>
          </cell>
          <cell r="D1483">
            <v>65</v>
          </cell>
        </row>
        <row r="1489">
          <cell r="C1489" t="str">
            <v>PG-GWP-BTP1</v>
          </cell>
          <cell r="D1489">
            <v>45</v>
          </cell>
        </row>
        <row r="1490">
          <cell r="C1490" t="str">
            <v>PG-GWP-P1</v>
          </cell>
          <cell r="D1490">
            <v>70</v>
          </cell>
        </row>
        <row r="1491">
          <cell r="C1491" t="str">
            <v>PG-GWP-RB1</v>
          </cell>
          <cell r="D1491">
            <v>30</v>
          </cell>
        </row>
        <row r="1492">
          <cell r="C1492" t="str">
            <v>PG-GWP-RSV1</v>
          </cell>
          <cell r="D1492">
            <v>110</v>
          </cell>
        </row>
        <row r="1493">
          <cell r="C1493" t="str">
            <v>PG-GWP-TFHB1</v>
          </cell>
          <cell r="D1493">
            <v>55</v>
          </cell>
        </row>
        <row r="1494">
          <cell r="C1494" t="str">
            <v>PG-AN1</v>
          </cell>
          <cell r="D1494">
            <v>1.2</v>
          </cell>
        </row>
        <row r="1495">
          <cell r="C1495" t="str">
            <v>PG-DO1</v>
          </cell>
          <cell r="D1495">
            <v>235</v>
          </cell>
        </row>
        <row r="1496">
          <cell r="C1496" t="str">
            <v>PG-DPRB2</v>
          </cell>
          <cell r="D1496">
            <v>65</v>
          </cell>
        </row>
        <row r="1497">
          <cell r="C1497" t="str">
            <v>PGGB-KBGSFCGS1</v>
          </cell>
          <cell r="D1497">
            <v>410.87</v>
          </cell>
        </row>
        <row r="1498">
          <cell r="C1498" t="str">
            <v>PGGB-KBSPFKGB</v>
          </cell>
          <cell r="D1498">
            <v>469.02</v>
          </cell>
        </row>
        <row r="1499">
          <cell r="C1499" t="str">
            <v>PGIS-BP1</v>
          </cell>
          <cell r="D1499">
            <v>70</v>
          </cell>
        </row>
        <row r="1500">
          <cell r="C1500" t="str">
            <v>PGIS-DAGGK1</v>
          </cell>
          <cell r="D1500">
            <v>209.82923076923078</v>
          </cell>
        </row>
        <row r="1501">
          <cell r="C1501" t="str">
            <v>PGIS-DLNSK</v>
          </cell>
          <cell r="D1501">
            <v>360.81028571428573</v>
          </cell>
        </row>
        <row r="1502">
          <cell r="C1502" t="str">
            <v>PGIS-DLNSK1</v>
          </cell>
          <cell r="D1502">
            <v>360.81028571428573</v>
          </cell>
        </row>
        <row r="1503">
          <cell r="C1503" t="str">
            <v>PGIS-DSGGK1</v>
          </cell>
          <cell r="D1503">
            <v>449.82923076923078</v>
          </cell>
        </row>
        <row r="1504">
          <cell r="C1504" t="str">
            <v>PGIS-G24KGFK1</v>
          </cell>
          <cell r="D1504">
            <v>473.3</v>
          </cell>
        </row>
        <row r="1505">
          <cell r="C1505" t="str">
            <v>PGIS-MSGK1</v>
          </cell>
          <cell r="D1505">
            <v>471.99923076923073</v>
          </cell>
        </row>
        <row r="1506">
          <cell r="C1506" t="str">
            <v>PGIS-S24KGFK1</v>
          </cell>
          <cell r="D1506">
            <v>169.94</v>
          </cell>
        </row>
        <row r="1507">
          <cell r="C1507" t="str">
            <v>PGIS-SHEGK1</v>
          </cell>
          <cell r="D1507">
            <v>523.44000000000005</v>
          </cell>
        </row>
        <row r="1508">
          <cell r="C1508" t="str">
            <v>PGIS-SSHEGK1</v>
          </cell>
          <cell r="D1508">
            <v>495.59000000000003</v>
          </cell>
        </row>
        <row r="1509">
          <cell r="C1509" t="str">
            <v>PGIS-WC1</v>
          </cell>
        </row>
        <row r="1510">
          <cell r="C1510" t="str">
            <v>PGK-HASSG50</v>
          </cell>
          <cell r="D1510">
            <v>61.06</v>
          </cell>
        </row>
        <row r="1511">
          <cell r="C1511" t="str">
            <v>PGMGB1</v>
          </cell>
        </row>
        <row r="1512">
          <cell r="C1512" t="str">
            <v>PG-OFFTTU</v>
          </cell>
        </row>
        <row r="1513">
          <cell r="C1513" t="str">
            <v>PGSL-PB1</v>
          </cell>
        </row>
        <row r="1514">
          <cell r="C1514" t="str">
            <v>PGSR-PBHT1</v>
          </cell>
          <cell r="D1514">
            <v>1932.66</v>
          </cell>
        </row>
        <row r="1515">
          <cell r="C1515" t="str">
            <v>PGSR-PNHT1</v>
          </cell>
          <cell r="D1515">
            <v>2532.66</v>
          </cell>
        </row>
        <row r="1516">
          <cell r="C1516" t="str">
            <v>POTB1</v>
          </cell>
          <cell r="D1516">
            <v>100</v>
          </cell>
        </row>
        <row r="1517">
          <cell r="C1517" t="str">
            <v>PGSA-B1</v>
          </cell>
          <cell r="D1517">
            <v>11</v>
          </cell>
        </row>
        <row r="1518">
          <cell r="C1518" t="str">
            <v>PGSA-BO1</v>
          </cell>
          <cell r="D1518">
            <v>24</v>
          </cell>
        </row>
        <row r="1519">
          <cell r="C1519" t="str">
            <v>PGSR-VCFK1</v>
          </cell>
          <cell r="D1519">
            <v>174.51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B35F-AB91-405B-9B01-2AE40986152A}">
  <dimension ref="A1:Z2662"/>
  <sheetViews>
    <sheetView tabSelected="1" workbookViewId="0">
      <selection sqref="A1:A1048576"/>
    </sheetView>
  </sheetViews>
  <sheetFormatPr defaultRowHeight="14.4" x14ac:dyDescent="0.3"/>
  <cols>
    <col min="1" max="1" width="20.6640625" style="7" customWidth="1"/>
    <col min="2" max="2" width="12.88671875" bestFit="1" customWidth="1"/>
    <col min="3" max="3" width="13.5546875" bestFit="1" customWidth="1"/>
    <col min="4" max="4" width="20.33203125" bestFit="1" customWidth="1"/>
    <col min="5" max="5" width="4.33203125" bestFit="1" customWidth="1"/>
    <col min="6" max="6" width="21.33203125" bestFit="1" customWidth="1"/>
    <col min="7" max="7" width="23.88671875" bestFit="1" customWidth="1"/>
    <col min="8" max="8" width="26.44140625" bestFit="1" customWidth="1"/>
    <col min="9" max="9" width="8" bestFit="1" customWidth="1"/>
    <col min="10" max="10" width="17.88671875" bestFit="1" customWidth="1"/>
    <col min="11" max="11" width="15.5546875" bestFit="1" customWidth="1"/>
    <col min="12" max="12" width="13.44140625" bestFit="1" customWidth="1"/>
    <col min="13" max="13" width="22.88671875" bestFit="1" customWidth="1"/>
    <col min="14" max="14" width="6" bestFit="1" customWidth="1"/>
    <col min="15" max="15" width="4.33203125" bestFit="1" customWidth="1"/>
    <col min="16" max="16" width="8.6640625" bestFit="1" customWidth="1"/>
    <col min="17" max="17" width="8.44140625" bestFit="1" customWidth="1"/>
    <col min="18" max="18" width="11.109375" bestFit="1" customWidth="1"/>
    <col min="19" max="19" width="23.109375" bestFit="1" customWidth="1"/>
    <col min="20" max="20" width="14.109375" bestFit="1" customWidth="1"/>
    <col min="21" max="21" width="7.88671875" bestFit="1" customWidth="1"/>
    <col min="22" max="22" width="7.88671875" customWidth="1"/>
    <col min="24" max="24" width="11.77734375" bestFit="1" customWidth="1"/>
    <col min="26" max="26" width="11.21875" bestFit="1" customWidth="1"/>
  </cols>
  <sheetData>
    <row r="1" spans="1:26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W1" t="s">
        <v>1019</v>
      </c>
      <c r="X1" t="s">
        <v>1020</v>
      </c>
      <c r="Y1" s="4" t="s">
        <v>1050</v>
      </c>
      <c r="Z1" s="4" t="s">
        <v>1051</v>
      </c>
    </row>
    <row r="2" spans="1:26" x14ac:dyDescent="0.3">
      <c r="A2" s="7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 t="s">
        <v>27</v>
      </c>
      <c r="W2" s="2">
        <v>86.75</v>
      </c>
      <c r="X2" s="3">
        <f>S2*W2</f>
        <v>173.5</v>
      </c>
      <c r="Y2">
        <f>VLOOKUP(D2,'[1]Cost Sheet'!$C:$D,2,0)</f>
        <v>86.75</v>
      </c>
      <c r="Z2" s="3">
        <f>Y2*S2</f>
        <v>173.5</v>
      </c>
    </row>
    <row r="3" spans="1:26" x14ac:dyDescent="0.3">
      <c r="A3" s="7" t="s">
        <v>21</v>
      </c>
      <c r="B3" t="s">
        <v>28</v>
      </c>
      <c r="C3" t="s">
        <v>29</v>
      </c>
      <c r="D3" t="s">
        <v>30</v>
      </c>
      <c r="E3" t="s">
        <v>31</v>
      </c>
      <c r="F3" t="s">
        <v>26</v>
      </c>
      <c r="G3">
        <v>2</v>
      </c>
      <c r="H3">
        <v>0</v>
      </c>
      <c r="I3">
        <v>0</v>
      </c>
      <c r="J3">
        <v>-1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 t="s">
        <v>32</v>
      </c>
      <c r="W3" s="2">
        <v>183.06</v>
      </c>
      <c r="X3" s="3">
        <f t="shared" ref="X3:X66" si="0">S3*W3</f>
        <v>183.06</v>
      </c>
      <c r="Y3">
        <f>VLOOKUP(D3,'[1]Cost Sheet'!$C:$D,2,0)</f>
        <v>183.06</v>
      </c>
      <c r="Z3" s="3">
        <f t="shared" ref="Z3:Z66" si="1">Y3*S3</f>
        <v>183.06</v>
      </c>
    </row>
    <row r="4" spans="1:26" x14ac:dyDescent="0.3">
      <c r="A4" s="7" t="s">
        <v>21</v>
      </c>
      <c r="B4" t="s">
        <v>28</v>
      </c>
      <c r="C4" t="s">
        <v>29</v>
      </c>
      <c r="D4" t="s">
        <v>30</v>
      </c>
      <c r="E4" t="s">
        <v>31</v>
      </c>
      <c r="F4" t="s">
        <v>26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 t="s">
        <v>33</v>
      </c>
      <c r="W4" s="2">
        <v>183.06</v>
      </c>
      <c r="X4" s="3">
        <f t="shared" si="0"/>
        <v>183.06</v>
      </c>
      <c r="Y4">
        <f>VLOOKUP(D4,'[1]Cost Sheet'!$C:$D,2,0)</f>
        <v>183.06</v>
      </c>
      <c r="Z4" s="3">
        <f t="shared" si="1"/>
        <v>183.06</v>
      </c>
    </row>
    <row r="5" spans="1:26" x14ac:dyDescent="0.3">
      <c r="A5" s="7" t="s">
        <v>21</v>
      </c>
      <c r="B5" t="s">
        <v>34</v>
      </c>
      <c r="C5" t="s">
        <v>35</v>
      </c>
      <c r="D5" t="s">
        <v>36</v>
      </c>
      <c r="E5" t="s">
        <v>37</v>
      </c>
      <c r="F5" t="s">
        <v>26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 t="s">
        <v>38</v>
      </c>
      <c r="W5" s="2">
        <v>179.4</v>
      </c>
      <c r="X5" s="3">
        <f t="shared" si="0"/>
        <v>538.20000000000005</v>
      </c>
      <c r="Y5">
        <f>VLOOKUP(D5,'[1]Cost Sheet'!$C:$D,2,0)</f>
        <v>179.4</v>
      </c>
      <c r="Z5" s="3">
        <f t="shared" si="1"/>
        <v>538.20000000000005</v>
      </c>
    </row>
    <row r="6" spans="1:26" x14ac:dyDescent="0.3">
      <c r="A6" s="7" t="s">
        <v>21</v>
      </c>
      <c r="B6" t="s">
        <v>34</v>
      </c>
      <c r="C6" t="s">
        <v>35</v>
      </c>
      <c r="D6" t="s">
        <v>36</v>
      </c>
      <c r="E6" t="s">
        <v>37</v>
      </c>
      <c r="F6" t="s">
        <v>26</v>
      </c>
      <c r="G6">
        <v>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</v>
      </c>
      <c r="T6">
        <v>0</v>
      </c>
      <c r="U6" t="s">
        <v>39</v>
      </c>
      <c r="W6" s="2">
        <v>179.4</v>
      </c>
      <c r="X6" s="3">
        <f t="shared" si="0"/>
        <v>3049.8</v>
      </c>
      <c r="Y6">
        <f>VLOOKUP(D6,'[1]Cost Sheet'!$C:$D,2,0)</f>
        <v>179.4</v>
      </c>
      <c r="Z6" s="3">
        <f t="shared" si="1"/>
        <v>3049.8</v>
      </c>
    </row>
    <row r="7" spans="1:26" x14ac:dyDescent="0.3">
      <c r="A7" s="7" t="s">
        <v>21</v>
      </c>
      <c r="B7" t="s">
        <v>34</v>
      </c>
      <c r="C7" t="s">
        <v>35</v>
      </c>
      <c r="D7" t="s">
        <v>36</v>
      </c>
      <c r="E7" t="s">
        <v>37</v>
      </c>
      <c r="F7" t="s">
        <v>26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 t="s">
        <v>32</v>
      </c>
      <c r="W7" s="2">
        <v>179.4</v>
      </c>
      <c r="X7" s="3">
        <f t="shared" si="0"/>
        <v>538.20000000000005</v>
      </c>
      <c r="Y7">
        <f>VLOOKUP(D7,'[1]Cost Sheet'!$C:$D,2,0)</f>
        <v>179.4</v>
      </c>
      <c r="Z7" s="3">
        <f t="shared" si="1"/>
        <v>538.20000000000005</v>
      </c>
    </row>
    <row r="8" spans="1:26" x14ac:dyDescent="0.3">
      <c r="A8" s="7" t="s">
        <v>1054</v>
      </c>
      <c r="B8" t="s">
        <v>34</v>
      </c>
      <c r="C8" t="s">
        <v>35</v>
      </c>
      <c r="D8" t="s">
        <v>36</v>
      </c>
      <c r="E8" t="s">
        <v>37</v>
      </c>
      <c r="F8" t="s">
        <v>26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 t="s">
        <v>40</v>
      </c>
      <c r="W8" s="2">
        <v>179.4</v>
      </c>
      <c r="X8" s="3">
        <f t="shared" si="0"/>
        <v>358.8</v>
      </c>
      <c r="Y8">
        <f>VLOOKUP(D8,'[1]Cost Sheet'!$C:$D,2,0)</f>
        <v>179.4</v>
      </c>
      <c r="Z8" s="3">
        <f t="shared" si="1"/>
        <v>358.8</v>
      </c>
    </row>
    <row r="9" spans="1:26" x14ac:dyDescent="0.3">
      <c r="A9" s="7" t="s">
        <v>21</v>
      </c>
      <c r="B9" t="s">
        <v>41</v>
      </c>
      <c r="C9" t="s">
        <v>42</v>
      </c>
      <c r="D9" t="s">
        <v>43</v>
      </c>
      <c r="E9" t="s">
        <v>44</v>
      </c>
      <c r="F9" t="s">
        <v>26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 t="s">
        <v>45</v>
      </c>
      <c r="W9" s="2">
        <v>297.03000000000003</v>
      </c>
      <c r="X9" s="3">
        <f t="shared" si="0"/>
        <v>297.03000000000003</v>
      </c>
      <c r="Y9">
        <f>VLOOKUP(D9,'[1]Cost Sheet'!$C:$D,2,0)</f>
        <v>297.03000000000003</v>
      </c>
      <c r="Z9" s="3">
        <f t="shared" si="1"/>
        <v>297.03000000000003</v>
      </c>
    </row>
    <row r="10" spans="1:26" x14ac:dyDescent="0.3">
      <c r="A10" s="7" t="s">
        <v>21</v>
      </c>
      <c r="B10" t="s">
        <v>41</v>
      </c>
      <c r="C10" t="s">
        <v>42</v>
      </c>
      <c r="D10" t="s">
        <v>43</v>
      </c>
      <c r="E10" t="s">
        <v>44</v>
      </c>
      <c r="F10" t="s">
        <v>26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 t="s">
        <v>39</v>
      </c>
      <c r="W10" s="2">
        <v>297.03000000000003</v>
      </c>
      <c r="X10" s="3">
        <f t="shared" si="0"/>
        <v>594.06000000000006</v>
      </c>
      <c r="Y10">
        <f>VLOOKUP(D10,'[1]Cost Sheet'!$C:$D,2,0)</f>
        <v>297.03000000000003</v>
      </c>
      <c r="Z10" s="3">
        <f t="shared" si="1"/>
        <v>594.06000000000006</v>
      </c>
    </row>
    <row r="11" spans="1:26" x14ac:dyDescent="0.3">
      <c r="A11" s="7" t="s">
        <v>21</v>
      </c>
      <c r="B11" t="s">
        <v>41</v>
      </c>
      <c r="C11" t="s">
        <v>42</v>
      </c>
      <c r="D11" t="s">
        <v>43</v>
      </c>
      <c r="E11" t="s">
        <v>44</v>
      </c>
      <c r="F11" t="s">
        <v>26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 t="s">
        <v>32</v>
      </c>
      <c r="W11" s="2">
        <v>297.03000000000003</v>
      </c>
      <c r="X11" s="3">
        <f t="shared" si="0"/>
        <v>297.03000000000003</v>
      </c>
      <c r="Y11">
        <f>VLOOKUP(D11,'[1]Cost Sheet'!$C:$D,2,0)</f>
        <v>297.03000000000003</v>
      </c>
      <c r="Z11" s="3">
        <f t="shared" si="1"/>
        <v>297.03000000000003</v>
      </c>
    </row>
    <row r="12" spans="1:26" x14ac:dyDescent="0.3">
      <c r="A12" s="7" t="s">
        <v>21</v>
      </c>
      <c r="B12" t="s">
        <v>41</v>
      </c>
      <c r="C12" t="s">
        <v>42</v>
      </c>
      <c r="D12" t="s">
        <v>43</v>
      </c>
      <c r="E12" t="s">
        <v>44</v>
      </c>
      <c r="F12" t="s">
        <v>26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  <c r="U12" t="s">
        <v>33</v>
      </c>
      <c r="W12" s="2">
        <v>297.03000000000003</v>
      </c>
      <c r="X12" s="3">
        <f t="shared" si="0"/>
        <v>594.06000000000006</v>
      </c>
      <c r="Y12">
        <f>VLOOKUP(D12,'[1]Cost Sheet'!$C:$D,2,0)</f>
        <v>297.03000000000003</v>
      </c>
      <c r="Z12" s="3">
        <f t="shared" si="1"/>
        <v>594.06000000000006</v>
      </c>
    </row>
    <row r="13" spans="1:26" x14ac:dyDescent="0.3">
      <c r="A13" s="7" t="s">
        <v>21</v>
      </c>
      <c r="B13" t="s">
        <v>41</v>
      </c>
      <c r="C13" t="s">
        <v>42</v>
      </c>
      <c r="D13" t="s">
        <v>43</v>
      </c>
      <c r="E13" t="s">
        <v>44</v>
      </c>
      <c r="F13" t="s">
        <v>26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 t="s">
        <v>46</v>
      </c>
      <c r="W13" s="2">
        <v>297.03000000000003</v>
      </c>
      <c r="X13" s="3">
        <f t="shared" si="0"/>
        <v>297.03000000000003</v>
      </c>
      <c r="Y13">
        <f>VLOOKUP(D13,'[1]Cost Sheet'!$C:$D,2,0)</f>
        <v>297.03000000000003</v>
      </c>
      <c r="Z13" s="3">
        <f t="shared" si="1"/>
        <v>297.03000000000003</v>
      </c>
    </row>
    <row r="14" spans="1:26" x14ac:dyDescent="0.3">
      <c r="A14" s="7" t="s">
        <v>21</v>
      </c>
      <c r="B14" t="s">
        <v>41</v>
      </c>
      <c r="C14" t="s">
        <v>42</v>
      </c>
      <c r="D14" t="s">
        <v>43</v>
      </c>
      <c r="E14" t="s">
        <v>44</v>
      </c>
      <c r="F14" t="s">
        <v>26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 t="s">
        <v>47</v>
      </c>
      <c r="W14" s="2">
        <v>297.03000000000003</v>
      </c>
      <c r="X14" s="3">
        <f t="shared" si="0"/>
        <v>297.03000000000003</v>
      </c>
      <c r="Y14">
        <f>VLOOKUP(D14,'[1]Cost Sheet'!$C:$D,2,0)</f>
        <v>297.03000000000003</v>
      </c>
      <c r="Z14" s="3">
        <f t="shared" si="1"/>
        <v>297.03000000000003</v>
      </c>
    </row>
    <row r="15" spans="1:26" x14ac:dyDescent="0.3">
      <c r="A15" s="7" t="s">
        <v>21</v>
      </c>
      <c r="B15" t="s">
        <v>41</v>
      </c>
      <c r="C15" t="s">
        <v>42</v>
      </c>
      <c r="D15" t="s">
        <v>43</v>
      </c>
      <c r="E15" t="s">
        <v>44</v>
      </c>
      <c r="F15" t="s">
        <v>26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 t="s">
        <v>48</v>
      </c>
      <c r="W15" s="2">
        <v>297.03000000000003</v>
      </c>
      <c r="X15" s="3">
        <f t="shared" si="0"/>
        <v>594.06000000000006</v>
      </c>
      <c r="Y15">
        <f>VLOOKUP(D15,'[1]Cost Sheet'!$C:$D,2,0)</f>
        <v>297.03000000000003</v>
      </c>
      <c r="Z15" s="3">
        <f t="shared" si="1"/>
        <v>594.06000000000006</v>
      </c>
    </row>
    <row r="16" spans="1:26" x14ac:dyDescent="0.3">
      <c r="A16" s="7" t="s">
        <v>21</v>
      </c>
      <c r="B16" t="s">
        <v>49</v>
      </c>
      <c r="C16" t="s">
        <v>50</v>
      </c>
      <c r="D16" t="s">
        <v>51</v>
      </c>
      <c r="E16" t="s">
        <v>52</v>
      </c>
      <c r="F16" t="s">
        <v>26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 t="s">
        <v>45</v>
      </c>
      <c r="W16" s="2">
        <v>172.26</v>
      </c>
      <c r="X16" s="3">
        <f t="shared" si="0"/>
        <v>172.26</v>
      </c>
      <c r="Y16">
        <f>VLOOKUP(D16,'[1]Cost Sheet'!$C:$D,2,0)</f>
        <v>172.26</v>
      </c>
      <c r="Z16" s="3">
        <f t="shared" si="1"/>
        <v>172.26</v>
      </c>
    </row>
    <row r="17" spans="1:26" x14ac:dyDescent="0.3">
      <c r="A17" s="7" t="s">
        <v>21</v>
      </c>
      <c r="B17" t="s">
        <v>49</v>
      </c>
      <c r="C17" t="s">
        <v>50</v>
      </c>
      <c r="D17" t="s">
        <v>51</v>
      </c>
      <c r="E17" t="s">
        <v>52</v>
      </c>
      <c r="F17" t="s">
        <v>26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 t="s">
        <v>39</v>
      </c>
      <c r="W17" s="2">
        <v>172.26</v>
      </c>
      <c r="X17" s="3">
        <f t="shared" si="0"/>
        <v>172.26</v>
      </c>
      <c r="Y17">
        <f>VLOOKUP(D17,'[1]Cost Sheet'!$C:$D,2,0)</f>
        <v>172.26</v>
      </c>
      <c r="Z17" s="3">
        <f t="shared" si="1"/>
        <v>172.26</v>
      </c>
    </row>
    <row r="18" spans="1:26" x14ac:dyDescent="0.3">
      <c r="A18" s="7" t="s">
        <v>21</v>
      </c>
      <c r="B18" t="s">
        <v>49</v>
      </c>
      <c r="C18" t="s">
        <v>50</v>
      </c>
      <c r="D18" t="s">
        <v>51</v>
      </c>
      <c r="E18" t="s">
        <v>52</v>
      </c>
      <c r="F18" t="s">
        <v>26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 t="s">
        <v>53</v>
      </c>
      <c r="W18" s="2">
        <v>172.26</v>
      </c>
      <c r="X18" s="3">
        <f t="shared" si="0"/>
        <v>172.26</v>
      </c>
      <c r="Y18">
        <f>VLOOKUP(D18,'[1]Cost Sheet'!$C:$D,2,0)</f>
        <v>172.26</v>
      </c>
      <c r="Z18" s="3">
        <f t="shared" si="1"/>
        <v>172.26</v>
      </c>
    </row>
    <row r="19" spans="1:26" x14ac:dyDescent="0.3">
      <c r="A19" s="7" t="s">
        <v>21</v>
      </c>
      <c r="B19" t="s">
        <v>49</v>
      </c>
      <c r="C19" t="s">
        <v>50</v>
      </c>
      <c r="D19" t="s">
        <v>51</v>
      </c>
      <c r="E19" t="s">
        <v>52</v>
      </c>
      <c r="F19" t="s">
        <v>26</v>
      </c>
      <c r="G19">
        <v>1</v>
      </c>
      <c r="H19">
        <v>0</v>
      </c>
      <c r="I19">
        <v>0</v>
      </c>
      <c r="J19">
        <v>-1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54</v>
      </c>
      <c r="W19" s="2">
        <v>172.26</v>
      </c>
      <c r="X19" s="3">
        <f t="shared" si="0"/>
        <v>0</v>
      </c>
      <c r="Y19">
        <f>VLOOKUP(D19,'[1]Cost Sheet'!$C:$D,2,0)</f>
        <v>172.26</v>
      </c>
      <c r="Z19" s="3">
        <f t="shared" si="1"/>
        <v>0</v>
      </c>
    </row>
    <row r="20" spans="1:26" x14ac:dyDescent="0.3">
      <c r="A20" s="7" t="s">
        <v>21</v>
      </c>
      <c r="B20" t="s">
        <v>49</v>
      </c>
      <c r="C20" t="s">
        <v>50</v>
      </c>
      <c r="D20" t="s">
        <v>51</v>
      </c>
      <c r="E20" t="s">
        <v>52</v>
      </c>
      <c r="F20" t="s">
        <v>26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16</v>
      </c>
      <c r="T20">
        <v>0</v>
      </c>
      <c r="U20" t="s">
        <v>32</v>
      </c>
      <c r="W20" s="2">
        <v>172.26</v>
      </c>
      <c r="X20" s="3">
        <f t="shared" si="0"/>
        <v>2756.16</v>
      </c>
      <c r="Y20">
        <f>VLOOKUP(D20,'[1]Cost Sheet'!$C:$D,2,0)</f>
        <v>172.26</v>
      </c>
      <c r="Z20" s="3">
        <f t="shared" si="1"/>
        <v>2756.16</v>
      </c>
    </row>
    <row r="21" spans="1:26" x14ac:dyDescent="0.3">
      <c r="A21" s="7" t="s">
        <v>21</v>
      </c>
      <c r="B21" t="s">
        <v>49</v>
      </c>
      <c r="C21" t="s">
        <v>50</v>
      </c>
      <c r="D21" t="s">
        <v>51</v>
      </c>
      <c r="E21" t="s">
        <v>52</v>
      </c>
      <c r="F21" t="s">
        <v>26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 t="s">
        <v>40</v>
      </c>
      <c r="W21" s="2">
        <v>172.26</v>
      </c>
      <c r="X21" s="3">
        <f t="shared" si="0"/>
        <v>172.26</v>
      </c>
      <c r="Y21">
        <f>VLOOKUP(D21,'[1]Cost Sheet'!$C:$D,2,0)</f>
        <v>172.26</v>
      </c>
      <c r="Z21" s="3">
        <f t="shared" si="1"/>
        <v>172.26</v>
      </c>
    </row>
    <row r="22" spans="1:26" x14ac:dyDescent="0.3">
      <c r="A22" s="7" t="s">
        <v>21</v>
      </c>
      <c r="B22" t="s">
        <v>55</v>
      </c>
      <c r="C22" t="s">
        <v>56</v>
      </c>
      <c r="D22" t="s">
        <v>57</v>
      </c>
      <c r="E22" t="s">
        <v>58</v>
      </c>
      <c r="F22" t="s">
        <v>26</v>
      </c>
      <c r="G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8</v>
      </c>
      <c r="T22">
        <v>0</v>
      </c>
      <c r="U22" t="s">
        <v>38</v>
      </c>
      <c r="W22" s="2">
        <v>285.87</v>
      </c>
      <c r="X22" s="3">
        <f t="shared" si="0"/>
        <v>2286.96</v>
      </c>
      <c r="Y22">
        <f>VLOOKUP(D22,'[1]Cost Sheet'!$C:$D,2,0)</f>
        <v>285.87</v>
      </c>
      <c r="Z22" s="3">
        <f t="shared" si="1"/>
        <v>2286.96</v>
      </c>
    </row>
    <row r="23" spans="1:26" x14ac:dyDescent="0.3">
      <c r="A23" s="7" t="s">
        <v>21</v>
      </c>
      <c r="B23" t="s">
        <v>55</v>
      </c>
      <c r="C23" t="s">
        <v>56</v>
      </c>
      <c r="D23" t="s">
        <v>57</v>
      </c>
      <c r="E23" t="s">
        <v>58</v>
      </c>
      <c r="F23" t="s">
        <v>26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 t="s">
        <v>45</v>
      </c>
      <c r="W23" s="2">
        <v>285.87</v>
      </c>
      <c r="X23" s="3">
        <f t="shared" si="0"/>
        <v>571.74</v>
      </c>
      <c r="Y23">
        <f>VLOOKUP(D23,'[1]Cost Sheet'!$C:$D,2,0)</f>
        <v>285.87</v>
      </c>
      <c r="Z23" s="3">
        <f t="shared" si="1"/>
        <v>571.74</v>
      </c>
    </row>
    <row r="24" spans="1:26" x14ac:dyDescent="0.3">
      <c r="A24" s="7" t="s">
        <v>21</v>
      </c>
      <c r="B24" t="s">
        <v>55</v>
      </c>
      <c r="C24" t="s">
        <v>56</v>
      </c>
      <c r="D24" t="s">
        <v>57</v>
      </c>
      <c r="E24" t="s">
        <v>58</v>
      </c>
      <c r="F24" t="s">
        <v>26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 t="s">
        <v>39</v>
      </c>
      <c r="W24" s="2">
        <v>285.87</v>
      </c>
      <c r="X24" s="3">
        <f t="shared" si="0"/>
        <v>285.87</v>
      </c>
      <c r="Y24">
        <f>VLOOKUP(D24,'[1]Cost Sheet'!$C:$D,2,0)</f>
        <v>285.87</v>
      </c>
      <c r="Z24" s="3">
        <f t="shared" si="1"/>
        <v>285.87</v>
      </c>
    </row>
    <row r="25" spans="1:26" x14ac:dyDescent="0.3">
      <c r="A25" s="7" t="s">
        <v>21</v>
      </c>
      <c r="B25" t="s">
        <v>55</v>
      </c>
      <c r="C25" t="s">
        <v>56</v>
      </c>
      <c r="D25" t="s">
        <v>57</v>
      </c>
      <c r="E25" t="s">
        <v>58</v>
      </c>
      <c r="F25" t="s">
        <v>26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 t="s">
        <v>53</v>
      </c>
      <c r="W25" s="2">
        <v>285.87</v>
      </c>
      <c r="X25" s="3">
        <f t="shared" si="0"/>
        <v>285.87</v>
      </c>
      <c r="Y25">
        <f>VLOOKUP(D25,'[1]Cost Sheet'!$C:$D,2,0)</f>
        <v>285.87</v>
      </c>
      <c r="Z25" s="3">
        <f t="shared" si="1"/>
        <v>285.87</v>
      </c>
    </row>
    <row r="26" spans="1:26" x14ac:dyDescent="0.3">
      <c r="A26" s="7" t="s">
        <v>21</v>
      </c>
      <c r="B26" t="s">
        <v>55</v>
      </c>
      <c r="C26" t="s">
        <v>56</v>
      </c>
      <c r="D26" t="s">
        <v>57</v>
      </c>
      <c r="E26" t="s">
        <v>58</v>
      </c>
      <c r="F26" t="s">
        <v>26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 t="s">
        <v>54</v>
      </c>
      <c r="W26" s="2">
        <v>285.87</v>
      </c>
      <c r="X26" s="3">
        <f t="shared" si="0"/>
        <v>571.74</v>
      </c>
      <c r="Y26">
        <f>VLOOKUP(D26,'[1]Cost Sheet'!$C:$D,2,0)</f>
        <v>285.87</v>
      </c>
      <c r="Z26" s="3">
        <f t="shared" si="1"/>
        <v>571.74</v>
      </c>
    </row>
    <row r="27" spans="1:26" x14ac:dyDescent="0.3">
      <c r="A27" s="7" t="s">
        <v>21</v>
      </c>
      <c r="B27" t="s">
        <v>55</v>
      </c>
      <c r="C27" t="s">
        <v>56</v>
      </c>
      <c r="D27" t="s">
        <v>57</v>
      </c>
      <c r="E27" t="s">
        <v>58</v>
      </c>
      <c r="F27" t="s">
        <v>26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46</v>
      </c>
      <c r="W27" s="2">
        <v>285.87</v>
      </c>
      <c r="X27" s="3">
        <f t="shared" si="0"/>
        <v>285.87</v>
      </c>
      <c r="Y27">
        <f>VLOOKUP(D27,'[1]Cost Sheet'!$C:$D,2,0)</f>
        <v>285.87</v>
      </c>
      <c r="Z27" s="3">
        <f t="shared" si="1"/>
        <v>285.87</v>
      </c>
    </row>
    <row r="28" spans="1:26" x14ac:dyDescent="0.3">
      <c r="A28" s="7" t="s">
        <v>21</v>
      </c>
      <c r="B28" t="s">
        <v>55</v>
      </c>
      <c r="C28" t="s">
        <v>56</v>
      </c>
      <c r="D28" t="s">
        <v>57</v>
      </c>
      <c r="E28" t="s">
        <v>58</v>
      </c>
      <c r="F28" t="s">
        <v>26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 t="s">
        <v>40</v>
      </c>
      <c r="W28" s="2">
        <v>285.87</v>
      </c>
      <c r="X28" s="3">
        <f t="shared" si="0"/>
        <v>571.74</v>
      </c>
      <c r="Y28">
        <f>VLOOKUP(D28,'[1]Cost Sheet'!$C:$D,2,0)</f>
        <v>285.87</v>
      </c>
      <c r="Z28" s="3">
        <f t="shared" si="1"/>
        <v>571.74</v>
      </c>
    </row>
    <row r="29" spans="1:26" x14ac:dyDescent="0.3">
      <c r="A29" s="7" t="s">
        <v>21</v>
      </c>
      <c r="B29" t="s">
        <v>55</v>
      </c>
      <c r="C29" t="s">
        <v>56</v>
      </c>
      <c r="D29" t="s">
        <v>57</v>
      </c>
      <c r="E29" t="s">
        <v>58</v>
      </c>
      <c r="F29" t="s">
        <v>26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 t="s">
        <v>48</v>
      </c>
      <c r="W29" s="2">
        <v>285.87</v>
      </c>
      <c r="X29" s="3">
        <f t="shared" si="0"/>
        <v>285.87</v>
      </c>
      <c r="Y29">
        <f>VLOOKUP(D29,'[1]Cost Sheet'!$C:$D,2,0)</f>
        <v>285.87</v>
      </c>
      <c r="Z29" s="3">
        <f t="shared" si="1"/>
        <v>285.87</v>
      </c>
    </row>
    <row r="30" spans="1:26" x14ac:dyDescent="0.3">
      <c r="A30" s="7" t="s">
        <v>21</v>
      </c>
      <c r="B30" t="s">
        <v>55</v>
      </c>
      <c r="C30" t="s">
        <v>56</v>
      </c>
      <c r="D30" t="s">
        <v>57</v>
      </c>
      <c r="E30" t="s">
        <v>58</v>
      </c>
      <c r="F30" t="s">
        <v>26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 t="s">
        <v>59</v>
      </c>
      <c r="W30" s="2">
        <v>285.87</v>
      </c>
      <c r="X30" s="3">
        <f t="shared" si="0"/>
        <v>285.87</v>
      </c>
      <c r="Y30">
        <f>VLOOKUP(D30,'[1]Cost Sheet'!$C:$D,2,0)</f>
        <v>285.87</v>
      </c>
      <c r="Z30" s="3">
        <f t="shared" si="1"/>
        <v>285.87</v>
      </c>
    </row>
    <row r="31" spans="1:26" x14ac:dyDescent="0.3">
      <c r="A31" s="7" t="s">
        <v>21</v>
      </c>
      <c r="B31" t="s">
        <v>60</v>
      </c>
      <c r="C31" t="s">
        <v>61</v>
      </c>
      <c r="D31" t="s">
        <v>62</v>
      </c>
      <c r="E31" t="s">
        <v>63</v>
      </c>
      <c r="F31" t="s">
        <v>26</v>
      </c>
      <c r="G31">
        <v>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</v>
      </c>
      <c r="T31">
        <v>0</v>
      </c>
      <c r="U31" t="s">
        <v>38</v>
      </c>
      <c r="W31" s="2">
        <v>351.99</v>
      </c>
      <c r="X31" s="3">
        <f t="shared" si="0"/>
        <v>2111.94</v>
      </c>
      <c r="Y31">
        <f>VLOOKUP(D31,'[1]Cost Sheet'!$C:$D,2,0)</f>
        <v>351.99</v>
      </c>
      <c r="Z31" s="3">
        <f t="shared" si="1"/>
        <v>2111.94</v>
      </c>
    </row>
    <row r="32" spans="1:26" x14ac:dyDescent="0.3">
      <c r="A32" s="7" t="s">
        <v>21</v>
      </c>
      <c r="B32" t="s">
        <v>60</v>
      </c>
      <c r="C32" t="s">
        <v>61</v>
      </c>
      <c r="D32" t="s">
        <v>62</v>
      </c>
      <c r="E32" t="s">
        <v>63</v>
      </c>
      <c r="F32" t="s">
        <v>26</v>
      </c>
      <c r="G32">
        <v>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</v>
      </c>
      <c r="T32">
        <v>0</v>
      </c>
      <c r="U32" t="s">
        <v>39</v>
      </c>
      <c r="W32" s="2">
        <v>351.99</v>
      </c>
      <c r="X32" s="3">
        <f t="shared" si="0"/>
        <v>2463.9300000000003</v>
      </c>
      <c r="Y32">
        <f>VLOOKUP(D32,'[1]Cost Sheet'!$C:$D,2,0)</f>
        <v>351.99</v>
      </c>
      <c r="Z32" s="3">
        <f t="shared" si="1"/>
        <v>2463.9300000000003</v>
      </c>
    </row>
    <row r="33" spans="1:26" x14ac:dyDescent="0.3">
      <c r="A33" s="7" t="s">
        <v>21</v>
      </c>
      <c r="B33" t="s">
        <v>60</v>
      </c>
      <c r="C33" t="s">
        <v>61</v>
      </c>
      <c r="D33" t="s">
        <v>62</v>
      </c>
      <c r="E33" t="s">
        <v>63</v>
      </c>
      <c r="F33" t="s">
        <v>26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5</v>
      </c>
      <c r="T33">
        <v>0</v>
      </c>
      <c r="U33" t="s">
        <v>33</v>
      </c>
      <c r="W33" s="2">
        <v>351.99</v>
      </c>
      <c r="X33" s="3">
        <f t="shared" si="0"/>
        <v>1759.95</v>
      </c>
      <c r="Y33">
        <f>VLOOKUP(D33,'[1]Cost Sheet'!$C:$D,2,0)</f>
        <v>351.99</v>
      </c>
      <c r="Z33" s="3">
        <f t="shared" si="1"/>
        <v>1759.95</v>
      </c>
    </row>
    <row r="34" spans="1:26" x14ac:dyDescent="0.3">
      <c r="A34" s="7" t="s">
        <v>21</v>
      </c>
      <c r="B34" t="s">
        <v>64</v>
      </c>
      <c r="C34" t="s">
        <v>65</v>
      </c>
      <c r="D34" t="s">
        <v>66</v>
      </c>
      <c r="E34" t="s">
        <v>67</v>
      </c>
      <c r="F34" t="s">
        <v>26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 t="s">
        <v>45</v>
      </c>
      <c r="W34" s="2">
        <v>190.58</v>
      </c>
      <c r="X34" s="3">
        <f t="shared" si="0"/>
        <v>381.16</v>
      </c>
      <c r="Y34">
        <f>VLOOKUP(D34,'[1]Cost Sheet'!$C:$D,2,0)</f>
        <v>190.58</v>
      </c>
      <c r="Z34" s="3">
        <f t="shared" si="1"/>
        <v>381.16</v>
      </c>
    </row>
    <row r="35" spans="1:26" x14ac:dyDescent="0.3">
      <c r="A35" s="7" t="s">
        <v>21</v>
      </c>
      <c r="B35" t="s">
        <v>64</v>
      </c>
      <c r="C35" t="s">
        <v>65</v>
      </c>
      <c r="D35" t="s">
        <v>66</v>
      </c>
      <c r="E35" t="s">
        <v>67</v>
      </c>
      <c r="F35" t="s">
        <v>26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 t="s">
        <v>33</v>
      </c>
      <c r="W35" s="2">
        <v>190.58</v>
      </c>
      <c r="X35" s="3">
        <f t="shared" si="0"/>
        <v>190.58</v>
      </c>
      <c r="Y35">
        <f>VLOOKUP(D35,'[1]Cost Sheet'!$C:$D,2,0)</f>
        <v>190.58</v>
      </c>
      <c r="Z35" s="3">
        <f t="shared" si="1"/>
        <v>190.58</v>
      </c>
    </row>
    <row r="36" spans="1:26" x14ac:dyDescent="0.3">
      <c r="A36" s="7" t="s">
        <v>21</v>
      </c>
      <c r="B36" t="s">
        <v>64</v>
      </c>
      <c r="C36" t="s">
        <v>65</v>
      </c>
      <c r="D36" t="s">
        <v>66</v>
      </c>
      <c r="E36" t="s">
        <v>67</v>
      </c>
      <c r="F36" t="s">
        <v>26</v>
      </c>
      <c r="G36">
        <v>21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21</v>
      </c>
      <c r="T36">
        <v>0</v>
      </c>
      <c r="U36" t="s">
        <v>40</v>
      </c>
      <c r="W36" s="2">
        <v>190.58</v>
      </c>
      <c r="X36" s="3">
        <f t="shared" si="0"/>
        <v>4002.1800000000003</v>
      </c>
      <c r="Y36">
        <f>VLOOKUP(D36,'[1]Cost Sheet'!$C:$D,2,0)</f>
        <v>190.58</v>
      </c>
      <c r="Z36" s="3">
        <f t="shared" si="1"/>
        <v>4002.1800000000003</v>
      </c>
    </row>
    <row r="37" spans="1:26" x14ac:dyDescent="0.3">
      <c r="A37" s="7" t="s">
        <v>21</v>
      </c>
      <c r="B37" t="s">
        <v>68</v>
      </c>
      <c r="C37" t="s">
        <v>69</v>
      </c>
      <c r="D37" t="s">
        <v>70</v>
      </c>
      <c r="E37" t="s">
        <v>71</v>
      </c>
      <c r="F37" t="s">
        <v>26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 t="s">
        <v>39</v>
      </c>
      <c r="W37" s="2">
        <v>198.02</v>
      </c>
      <c r="X37" s="3">
        <f t="shared" si="0"/>
        <v>198.02</v>
      </c>
      <c r="Y37">
        <f>VLOOKUP(D37,'[1]Cost Sheet'!$C:$D,2,0)</f>
        <v>198.02</v>
      </c>
      <c r="Z37" s="3">
        <f t="shared" si="1"/>
        <v>198.02</v>
      </c>
    </row>
    <row r="38" spans="1:26" x14ac:dyDescent="0.3">
      <c r="A38" s="7" t="s">
        <v>21</v>
      </c>
      <c r="B38" t="s">
        <v>68</v>
      </c>
      <c r="C38" t="s">
        <v>69</v>
      </c>
      <c r="D38" t="s">
        <v>70</v>
      </c>
      <c r="E38" t="s">
        <v>71</v>
      </c>
      <c r="F38" t="s">
        <v>26</v>
      </c>
      <c r="G38">
        <v>8</v>
      </c>
      <c r="H38">
        <v>0</v>
      </c>
      <c r="I38">
        <v>0</v>
      </c>
      <c r="J38">
        <v>-1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7</v>
      </c>
      <c r="T38">
        <v>0</v>
      </c>
      <c r="U38" t="s">
        <v>32</v>
      </c>
      <c r="W38" s="2">
        <v>198.02</v>
      </c>
      <c r="X38" s="3">
        <f t="shared" si="0"/>
        <v>1386.14</v>
      </c>
      <c r="Y38">
        <f>VLOOKUP(D38,'[1]Cost Sheet'!$C:$D,2,0)</f>
        <v>198.02</v>
      </c>
      <c r="Z38" s="3">
        <f t="shared" si="1"/>
        <v>1386.14</v>
      </c>
    </row>
    <row r="39" spans="1:26" x14ac:dyDescent="0.3">
      <c r="A39" s="7" t="s">
        <v>21</v>
      </c>
      <c r="B39" t="s">
        <v>68</v>
      </c>
      <c r="C39" t="s">
        <v>69</v>
      </c>
      <c r="D39" t="s">
        <v>70</v>
      </c>
      <c r="E39" t="s">
        <v>71</v>
      </c>
      <c r="F39" t="s">
        <v>26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 t="s">
        <v>33</v>
      </c>
      <c r="W39" s="2">
        <v>198.02</v>
      </c>
      <c r="X39" s="3">
        <f t="shared" si="0"/>
        <v>198.02</v>
      </c>
      <c r="Y39">
        <f>VLOOKUP(D39,'[1]Cost Sheet'!$C:$D,2,0)</f>
        <v>198.02</v>
      </c>
      <c r="Z39" s="3">
        <f t="shared" si="1"/>
        <v>198.02</v>
      </c>
    </row>
    <row r="40" spans="1:26" x14ac:dyDescent="0.3">
      <c r="A40" s="7" t="s">
        <v>21</v>
      </c>
      <c r="B40" t="s">
        <v>68</v>
      </c>
      <c r="C40" t="s">
        <v>69</v>
      </c>
      <c r="D40" t="s">
        <v>70</v>
      </c>
      <c r="E40" t="s">
        <v>71</v>
      </c>
      <c r="F40" t="s">
        <v>26</v>
      </c>
      <c r="G40">
        <v>1</v>
      </c>
      <c r="H40">
        <v>0</v>
      </c>
      <c r="I40">
        <v>0</v>
      </c>
      <c r="J40">
        <v>-1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47</v>
      </c>
      <c r="W40" s="2">
        <v>198.02</v>
      </c>
      <c r="X40" s="3">
        <f t="shared" si="0"/>
        <v>0</v>
      </c>
      <c r="Y40">
        <f>VLOOKUP(D40,'[1]Cost Sheet'!$C:$D,2,0)</f>
        <v>198.02</v>
      </c>
      <c r="Z40" s="3">
        <f t="shared" si="1"/>
        <v>0</v>
      </c>
    </row>
    <row r="41" spans="1:26" x14ac:dyDescent="0.3">
      <c r="A41" s="7" t="s">
        <v>21</v>
      </c>
      <c r="B41" t="s">
        <v>68</v>
      </c>
      <c r="C41" t="s">
        <v>69</v>
      </c>
      <c r="D41" t="s">
        <v>70</v>
      </c>
      <c r="E41" t="s">
        <v>71</v>
      </c>
      <c r="F41" t="s">
        <v>26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0</v>
      </c>
      <c r="U41" t="s">
        <v>48</v>
      </c>
      <c r="W41" s="2">
        <v>198.02</v>
      </c>
      <c r="X41" s="3">
        <f t="shared" si="0"/>
        <v>396.04</v>
      </c>
      <c r="Y41">
        <f>VLOOKUP(D41,'[1]Cost Sheet'!$C:$D,2,0)</f>
        <v>198.02</v>
      </c>
      <c r="Z41" s="3">
        <f t="shared" si="1"/>
        <v>396.04</v>
      </c>
    </row>
    <row r="42" spans="1:26" x14ac:dyDescent="0.3">
      <c r="A42" s="7" t="s">
        <v>21</v>
      </c>
      <c r="B42" t="s">
        <v>68</v>
      </c>
      <c r="C42" t="s">
        <v>69</v>
      </c>
      <c r="D42" t="s">
        <v>70</v>
      </c>
      <c r="E42" t="s">
        <v>71</v>
      </c>
      <c r="F42" t="s">
        <v>26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 t="s">
        <v>27</v>
      </c>
      <c r="W42" s="2">
        <v>198.02</v>
      </c>
      <c r="X42" s="3">
        <f t="shared" si="0"/>
        <v>396.04</v>
      </c>
      <c r="Y42">
        <f>VLOOKUP(D42,'[1]Cost Sheet'!$C:$D,2,0)</f>
        <v>198.02</v>
      </c>
      <c r="Z42" s="3">
        <f t="shared" si="1"/>
        <v>396.04</v>
      </c>
    </row>
    <row r="43" spans="1:26" x14ac:dyDescent="0.3">
      <c r="A43" s="7" t="s">
        <v>21</v>
      </c>
      <c r="B43" t="s">
        <v>72</v>
      </c>
      <c r="C43" t="s">
        <v>73</v>
      </c>
      <c r="D43" t="s">
        <v>74</v>
      </c>
      <c r="E43" t="s">
        <v>75</v>
      </c>
      <c r="F43" t="s">
        <v>26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 t="s">
        <v>45</v>
      </c>
      <c r="W43" s="2">
        <v>274.59000000000003</v>
      </c>
      <c r="X43" s="3">
        <f t="shared" si="0"/>
        <v>549.18000000000006</v>
      </c>
      <c r="Y43">
        <f>VLOOKUP(D43,'[1]Cost Sheet'!$C:$D,2,0)</f>
        <v>274.59000000000003</v>
      </c>
      <c r="Z43" s="3">
        <f t="shared" si="1"/>
        <v>549.18000000000006</v>
      </c>
    </row>
    <row r="44" spans="1:26" x14ac:dyDescent="0.3">
      <c r="A44" s="7" t="s">
        <v>21</v>
      </c>
      <c r="B44" t="s">
        <v>72</v>
      </c>
      <c r="C44" t="s">
        <v>73</v>
      </c>
      <c r="D44" t="s">
        <v>74</v>
      </c>
      <c r="E44" t="s">
        <v>75</v>
      </c>
      <c r="F44" t="s">
        <v>26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 t="s">
        <v>53</v>
      </c>
      <c r="W44" s="2">
        <v>274.59000000000003</v>
      </c>
      <c r="X44" s="3">
        <f t="shared" si="0"/>
        <v>274.59000000000003</v>
      </c>
      <c r="Y44">
        <f>VLOOKUP(D44,'[1]Cost Sheet'!$C:$D,2,0)</f>
        <v>274.59000000000003</v>
      </c>
      <c r="Z44" s="3">
        <f t="shared" si="1"/>
        <v>274.59000000000003</v>
      </c>
    </row>
    <row r="45" spans="1:26" x14ac:dyDescent="0.3">
      <c r="A45" s="7" t="s">
        <v>21</v>
      </c>
      <c r="B45" t="s">
        <v>72</v>
      </c>
      <c r="C45" t="s">
        <v>73</v>
      </c>
      <c r="D45" t="s">
        <v>74</v>
      </c>
      <c r="E45" t="s">
        <v>75</v>
      </c>
      <c r="F45" t="s">
        <v>26</v>
      </c>
      <c r="G45">
        <v>11</v>
      </c>
      <c r="H45">
        <v>0</v>
      </c>
      <c r="I45">
        <v>0</v>
      </c>
      <c r="J45">
        <v>-1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10</v>
      </c>
      <c r="T45">
        <v>0</v>
      </c>
      <c r="U45" t="s">
        <v>32</v>
      </c>
      <c r="W45" s="2">
        <v>274.59000000000003</v>
      </c>
      <c r="X45" s="3">
        <f t="shared" si="0"/>
        <v>2745.9000000000005</v>
      </c>
      <c r="Y45">
        <f>VLOOKUP(D45,'[1]Cost Sheet'!$C:$D,2,0)</f>
        <v>274.59000000000003</v>
      </c>
      <c r="Z45" s="3">
        <f t="shared" si="1"/>
        <v>2745.9000000000005</v>
      </c>
    </row>
    <row r="46" spans="1:26" x14ac:dyDescent="0.3">
      <c r="A46" s="7" t="s">
        <v>21</v>
      </c>
      <c r="B46" t="s">
        <v>72</v>
      </c>
      <c r="C46" t="s">
        <v>73</v>
      </c>
      <c r="D46" t="s">
        <v>74</v>
      </c>
      <c r="E46" t="s">
        <v>75</v>
      </c>
      <c r="F46" t="s">
        <v>26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 t="s">
        <v>48</v>
      </c>
      <c r="W46" s="2">
        <v>274.59000000000003</v>
      </c>
      <c r="X46" s="3">
        <f t="shared" si="0"/>
        <v>274.59000000000003</v>
      </c>
      <c r="Y46">
        <f>VLOOKUP(D46,'[1]Cost Sheet'!$C:$D,2,0)</f>
        <v>274.59000000000003</v>
      </c>
      <c r="Z46" s="3">
        <f t="shared" si="1"/>
        <v>274.59000000000003</v>
      </c>
    </row>
    <row r="47" spans="1:26" x14ac:dyDescent="0.3">
      <c r="A47" s="7" t="s">
        <v>21</v>
      </c>
      <c r="B47" t="s">
        <v>76</v>
      </c>
      <c r="C47" t="s">
        <v>77</v>
      </c>
      <c r="D47" t="s">
        <v>78</v>
      </c>
      <c r="E47" t="s">
        <v>79</v>
      </c>
      <c r="F47" t="s">
        <v>26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 t="s">
        <v>45</v>
      </c>
      <c r="W47" s="2">
        <v>269.10000000000002</v>
      </c>
      <c r="X47" s="3">
        <f t="shared" si="0"/>
        <v>538.20000000000005</v>
      </c>
      <c r="Y47">
        <f>VLOOKUP(D47,'[1]Cost Sheet'!$C:$D,2,0)</f>
        <v>269.10000000000002</v>
      </c>
      <c r="Z47" s="3">
        <f t="shared" si="1"/>
        <v>538.20000000000005</v>
      </c>
    </row>
    <row r="48" spans="1:26" x14ac:dyDescent="0.3">
      <c r="A48" s="7" t="s">
        <v>21</v>
      </c>
      <c r="B48" t="s">
        <v>76</v>
      </c>
      <c r="C48" t="s">
        <v>77</v>
      </c>
      <c r="D48" t="s">
        <v>78</v>
      </c>
      <c r="E48" t="s">
        <v>79</v>
      </c>
      <c r="F48" t="s">
        <v>26</v>
      </c>
      <c r="G48">
        <v>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</v>
      </c>
      <c r="T48">
        <v>0</v>
      </c>
      <c r="U48" t="s">
        <v>39</v>
      </c>
      <c r="W48" s="2">
        <v>269.10000000000002</v>
      </c>
      <c r="X48" s="3">
        <f t="shared" si="0"/>
        <v>1883.7000000000003</v>
      </c>
      <c r="Y48">
        <f>VLOOKUP(D48,'[1]Cost Sheet'!$C:$D,2,0)</f>
        <v>269.10000000000002</v>
      </c>
      <c r="Z48" s="3">
        <f t="shared" si="1"/>
        <v>1883.7000000000003</v>
      </c>
    </row>
    <row r="49" spans="1:26" x14ac:dyDescent="0.3">
      <c r="A49" s="7" t="s">
        <v>21</v>
      </c>
      <c r="B49" t="s">
        <v>76</v>
      </c>
      <c r="C49" t="s">
        <v>77</v>
      </c>
      <c r="D49" t="s">
        <v>78</v>
      </c>
      <c r="E49" t="s">
        <v>79</v>
      </c>
      <c r="F49" t="s">
        <v>26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 t="s">
        <v>46</v>
      </c>
      <c r="W49" s="2">
        <v>269.10000000000002</v>
      </c>
      <c r="X49" s="3">
        <f t="shared" si="0"/>
        <v>269.10000000000002</v>
      </c>
      <c r="Y49">
        <f>VLOOKUP(D49,'[1]Cost Sheet'!$C:$D,2,0)</f>
        <v>269.10000000000002</v>
      </c>
      <c r="Z49" s="3">
        <f t="shared" si="1"/>
        <v>269.10000000000002</v>
      </c>
    </row>
    <row r="50" spans="1:26" x14ac:dyDescent="0.3">
      <c r="A50" s="7" t="s">
        <v>21</v>
      </c>
      <c r="B50" t="s">
        <v>76</v>
      </c>
      <c r="C50" t="s">
        <v>77</v>
      </c>
      <c r="D50" t="s">
        <v>78</v>
      </c>
      <c r="E50" t="s">
        <v>79</v>
      </c>
      <c r="F50" t="s">
        <v>26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 t="s">
        <v>40</v>
      </c>
      <c r="W50" s="2">
        <v>269.10000000000002</v>
      </c>
      <c r="X50" s="3">
        <f t="shared" si="0"/>
        <v>269.10000000000002</v>
      </c>
      <c r="Y50">
        <f>VLOOKUP(D50,'[1]Cost Sheet'!$C:$D,2,0)</f>
        <v>269.10000000000002</v>
      </c>
      <c r="Z50" s="3">
        <f t="shared" si="1"/>
        <v>269.10000000000002</v>
      </c>
    </row>
    <row r="51" spans="1:26" x14ac:dyDescent="0.3">
      <c r="A51" s="7" t="s">
        <v>21</v>
      </c>
      <c r="B51" t="s">
        <v>76</v>
      </c>
      <c r="C51" t="s">
        <v>77</v>
      </c>
      <c r="D51" t="s">
        <v>78</v>
      </c>
      <c r="E51" t="s">
        <v>79</v>
      </c>
      <c r="F51" t="s">
        <v>26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 t="s">
        <v>48</v>
      </c>
      <c r="W51" s="2">
        <v>269.10000000000002</v>
      </c>
      <c r="X51" s="3">
        <f t="shared" si="0"/>
        <v>269.10000000000002</v>
      </c>
      <c r="Y51">
        <f>VLOOKUP(D51,'[1]Cost Sheet'!$C:$D,2,0)</f>
        <v>269.10000000000002</v>
      </c>
      <c r="Z51" s="3">
        <f t="shared" si="1"/>
        <v>269.10000000000002</v>
      </c>
    </row>
    <row r="52" spans="1:26" x14ac:dyDescent="0.3">
      <c r="A52" s="7" t="s">
        <v>21</v>
      </c>
      <c r="B52" t="s">
        <v>76</v>
      </c>
      <c r="C52" t="s">
        <v>77</v>
      </c>
      <c r="D52" t="s">
        <v>78</v>
      </c>
      <c r="E52" t="s">
        <v>79</v>
      </c>
      <c r="F52" t="s">
        <v>26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</v>
      </c>
      <c r="T52">
        <v>0</v>
      </c>
      <c r="U52" t="s">
        <v>59</v>
      </c>
      <c r="W52" s="2">
        <v>269.10000000000002</v>
      </c>
      <c r="X52" s="3">
        <f t="shared" si="0"/>
        <v>2152.8000000000002</v>
      </c>
      <c r="Y52">
        <f>VLOOKUP(D52,'[1]Cost Sheet'!$C:$D,2,0)</f>
        <v>269.10000000000002</v>
      </c>
      <c r="Z52" s="3">
        <f t="shared" si="1"/>
        <v>2152.8000000000002</v>
      </c>
    </row>
    <row r="53" spans="1:26" x14ac:dyDescent="0.3">
      <c r="A53" s="7" t="s">
        <v>21</v>
      </c>
      <c r="B53" t="s">
        <v>80</v>
      </c>
      <c r="C53" t="s">
        <v>81</v>
      </c>
      <c r="D53" t="s">
        <v>82</v>
      </c>
      <c r="E53" t="s">
        <v>83</v>
      </c>
      <c r="F53" t="s">
        <v>26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 t="s">
        <v>38</v>
      </c>
      <c r="W53" s="2">
        <v>258.39</v>
      </c>
      <c r="X53" s="3">
        <f t="shared" si="0"/>
        <v>516.78</v>
      </c>
      <c r="Y53">
        <f>VLOOKUP(D53,'[1]Cost Sheet'!$C:$D,2,0)</f>
        <v>258.39</v>
      </c>
      <c r="Z53" s="3">
        <f t="shared" si="1"/>
        <v>516.78</v>
      </c>
    </row>
    <row r="54" spans="1:26" x14ac:dyDescent="0.3">
      <c r="A54" s="7" t="s">
        <v>21</v>
      </c>
      <c r="B54" t="s">
        <v>80</v>
      </c>
      <c r="C54" t="s">
        <v>81</v>
      </c>
      <c r="D54" t="s">
        <v>82</v>
      </c>
      <c r="E54" t="s">
        <v>83</v>
      </c>
      <c r="F54" t="s">
        <v>26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 t="s">
        <v>39</v>
      </c>
      <c r="W54" s="2">
        <v>258.39</v>
      </c>
      <c r="X54" s="3">
        <f t="shared" si="0"/>
        <v>258.39</v>
      </c>
      <c r="Y54">
        <f>VLOOKUP(D54,'[1]Cost Sheet'!$C:$D,2,0)</f>
        <v>258.39</v>
      </c>
      <c r="Z54" s="3">
        <f t="shared" si="1"/>
        <v>258.39</v>
      </c>
    </row>
    <row r="55" spans="1:26" x14ac:dyDescent="0.3">
      <c r="A55" s="7" t="s">
        <v>21</v>
      </c>
      <c r="B55" t="s">
        <v>80</v>
      </c>
      <c r="C55" t="s">
        <v>81</v>
      </c>
      <c r="D55" t="s">
        <v>82</v>
      </c>
      <c r="E55" t="s">
        <v>83</v>
      </c>
      <c r="F55" t="s">
        <v>26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 t="s">
        <v>53</v>
      </c>
      <c r="W55" s="2">
        <v>258.39</v>
      </c>
      <c r="X55" s="3">
        <f t="shared" si="0"/>
        <v>258.39</v>
      </c>
      <c r="Y55">
        <f>VLOOKUP(D55,'[1]Cost Sheet'!$C:$D,2,0)</f>
        <v>258.39</v>
      </c>
      <c r="Z55" s="3">
        <f t="shared" si="1"/>
        <v>258.39</v>
      </c>
    </row>
    <row r="56" spans="1:26" x14ac:dyDescent="0.3">
      <c r="A56" s="7" t="s">
        <v>21</v>
      </c>
      <c r="B56" t="s">
        <v>80</v>
      </c>
      <c r="C56" t="s">
        <v>81</v>
      </c>
      <c r="D56" t="s">
        <v>82</v>
      </c>
      <c r="E56" t="s">
        <v>83</v>
      </c>
      <c r="F56" t="s">
        <v>26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 t="s">
        <v>54</v>
      </c>
      <c r="W56" s="2">
        <v>258.39</v>
      </c>
      <c r="X56" s="3">
        <f t="shared" si="0"/>
        <v>516.78</v>
      </c>
      <c r="Y56">
        <f>VLOOKUP(D56,'[1]Cost Sheet'!$C:$D,2,0)</f>
        <v>258.39</v>
      </c>
      <c r="Z56" s="3">
        <f t="shared" si="1"/>
        <v>516.78</v>
      </c>
    </row>
    <row r="57" spans="1:26" x14ac:dyDescent="0.3">
      <c r="A57" s="7" t="s">
        <v>21</v>
      </c>
      <c r="B57" t="s">
        <v>80</v>
      </c>
      <c r="C57" t="s">
        <v>81</v>
      </c>
      <c r="D57" t="s">
        <v>82</v>
      </c>
      <c r="E57" t="s">
        <v>83</v>
      </c>
      <c r="F57" t="s">
        <v>26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 t="s">
        <v>33</v>
      </c>
      <c r="W57" s="2">
        <v>258.39</v>
      </c>
      <c r="X57" s="3">
        <f t="shared" si="0"/>
        <v>258.39</v>
      </c>
      <c r="Y57">
        <f>VLOOKUP(D57,'[1]Cost Sheet'!$C:$D,2,0)</f>
        <v>258.39</v>
      </c>
      <c r="Z57" s="3">
        <f t="shared" si="1"/>
        <v>258.39</v>
      </c>
    </row>
    <row r="58" spans="1:26" x14ac:dyDescent="0.3">
      <c r="A58" s="7" t="s">
        <v>21</v>
      </c>
      <c r="B58" t="s">
        <v>80</v>
      </c>
      <c r="C58" t="s">
        <v>81</v>
      </c>
      <c r="D58" t="s">
        <v>82</v>
      </c>
      <c r="E58" t="s">
        <v>83</v>
      </c>
      <c r="F58" t="s">
        <v>26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 t="s">
        <v>46</v>
      </c>
      <c r="W58" s="2">
        <v>258.39</v>
      </c>
      <c r="X58" s="3">
        <f t="shared" si="0"/>
        <v>516.78</v>
      </c>
      <c r="Y58">
        <f>VLOOKUP(D58,'[1]Cost Sheet'!$C:$D,2,0)</f>
        <v>258.39</v>
      </c>
      <c r="Z58" s="3">
        <f t="shared" si="1"/>
        <v>516.78</v>
      </c>
    </row>
    <row r="59" spans="1:26" x14ac:dyDescent="0.3">
      <c r="A59" s="7" t="s">
        <v>21</v>
      </c>
      <c r="B59" t="s">
        <v>80</v>
      </c>
      <c r="C59" t="s">
        <v>81</v>
      </c>
      <c r="D59" t="s">
        <v>82</v>
      </c>
      <c r="E59" t="s">
        <v>83</v>
      </c>
      <c r="F59" t="s">
        <v>26</v>
      </c>
      <c r="G59">
        <v>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13</v>
      </c>
      <c r="T59">
        <v>0</v>
      </c>
      <c r="U59" t="s">
        <v>40</v>
      </c>
      <c r="W59" s="2">
        <v>258.39</v>
      </c>
      <c r="X59" s="3">
        <f t="shared" si="0"/>
        <v>3359.0699999999997</v>
      </c>
      <c r="Y59">
        <f>VLOOKUP(D59,'[1]Cost Sheet'!$C:$D,2,0)</f>
        <v>258.39</v>
      </c>
      <c r="Z59" s="3">
        <f t="shared" si="1"/>
        <v>3359.0699999999997</v>
      </c>
    </row>
    <row r="60" spans="1:26" x14ac:dyDescent="0.3">
      <c r="A60" s="7" t="s">
        <v>21</v>
      </c>
      <c r="B60" t="s">
        <v>80</v>
      </c>
      <c r="C60" t="s">
        <v>81</v>
      </c>
      <c r="D60" t="s">
        <v>82</v>
      </c>
      <c r="E60" t="s">
        <v>83</v>
      </c>
      <c r="F60" t="s">
        <v>26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 t="s">
        <v>48</v>
      </c>
      <c r="W60" s="2">
        <v>258.39</v>
      </c>
      <c r="X60" s="3">
        <f t="shared" si="0"/>
        <v>258.39</v>
      </c>
      <c r="Y60">
        <f>VLOOKUP(D60,'[1]Cost Sheet'!$C:$D,2,0)</f>
        <v>258.39</v>
      </c>
      <c r="Z60" s="3">
        <f t="shared" si="1"/>
        <v>258.39</v>
      </c>
    </row>
    <row r="61" spans="1:26" x14ac:dyDescent="0.3">
      <c r="A61" s="7" t="s">
        <v>21</v>
      </c>
      <c r="B61" t="s">
        <v>84</v>
      </c>
      <c r="C61" t="s">
        <v>85</v>
      </c>
      <c r="D61" t="s">
        <v>86</v>
      </c>
      <c r="E61" t="s">
        <v>87</v>
      </c>
      <c r="F61" t="s">
        <v>26</v>
      </c>
      <c r="G61">
        <v>68</v>
      </c>
      <c r="H61">
        <v>0</v>
      </c>
      <c r="I61">
        <v>0</v>
      </c>
      <c r="J61">
        <v>-3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65</v>
      </c>
      <c r="T61">
        <v>0</v>
      </c>
      <c r="U61" t="s">
        <v>38</v>
      </c>
      <c r="W61" s="2">
        <v>50.05</v>
      </c>
      <c r="X61" s="3">
        <f t="shared" si="0"/>
        <v>3253.25</v>
      </c>
      <c r="Y61">
        <f>VLOOKUP(D61,'[1]Cost Sheet'!$C:$D,2,0)</f>
        <v>50.05</v>
      </c>
      <c r="Z61" s="3">
        <f t="shared" si="1"/>
        <v>3253.25</v>
      </c>
    </row>
    <row r="62" spans="1:26" x14ac:dyDescent="0.3">
      <c r="A62" s="7" t="s">
        <v>21</v>
      </c>
      <c r="B62" t="s">
        <v>84</v>
      </c>
      <c r="C62" t="s">
        <v>85</v>
      </c>
      <c r="D62" t="s">
        <v>86</v>
      </c>
      <c r="E62" t="s">
        <v>87</v>
      </c>
      <c r="F62" t="s">
        <v>26</v>
      </c>
      <c r="G62">
        <v>52</v>
      </c>
      <c r="H62">
        <v>0</v>
      </c>
      <c r="I62">
        <v>0</v>
      </c>
      <c r="J62">
        <v>-3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49</v>
      </c>
      <c r="T62">
        <v>0</v>
      </c>
      <c r="U62" t="s">
        <v>39</v>
      </c>
      <c r="W62" s="2">
        <v>50.05</v>
      </c>
      <c r="X62" s="3">
        <f t="shared" si="0"/>
        <v>2452.4499999999998</v>
      </c>
      <c r="Y62">
        <f>VLOOKUP(D62,'[1]Cost Sheet'!$C:$D,2,0)</f>
        <v>50.05</v>
      </c>
      <c r="Z62" s="3">
        <f t="shared" si="1"/>
        <v>2452.4499999999998</v>
      </c>
    </row>
    <row r="63" spans="1:26" x14ac:dyDescent="0.3">
      <c r="A63" s="7" t="s">
        <v>21</v>
      </c>
      <c r="B63" t="s">
        <v>84</v>
      </c>
      <c r="C63" t="s">
        <v>85</v>
      </c>
      <c r="D63" t="s">
        <v>86</v>
      </c>
      <c r="E63" t="s">
        <v>87</v>
      </c>
      <c r="F63" t="s">
        <v>26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 t="s">
        <v>53</v>
      </c>
      <c r="W63" s="2">
        <v>50.05</v>
      </c>
      <c r="X63" s="3">
        <f t="shared" si="0"/>
        <v>50.05</v>
      </c>
      <c r="Y63">
        <f>VLOOKUP(D63,'[1]Cost Sheet'!$C:$D,2,0)</f>
        <v>50.05</v>
      </c>
      <c r="Z63" s="3">
        <f t="shared" si="1"/>
        <v>50.05</v>
      </c>
    </row>
    <row r="64" spans="1:26" x14ac:dyDescent="0.3">
      <c r="A64" s="7" t="s">
        <v>21</v>
      </c>
      <c r="B64" t="s">
        <v>84</v>
      </c>
      <c r="C64" t="s">
        <v>85</v>
      </c>
      <c r="D64" t="s">
        <v>86</v>
      </c>
      <c r="E64" t="s">
        <v>87</v>
      </c>
      <c r="F64" t="s">
        <v>26</v>
      </c>
      <c r="G64">
        <v>7</v>
      </c>
      <c r="H64">
        <v>0</v>
      </c>
      <c r="I64">
        <v>0</v>
      </c>
      <c r="J64">
        <v>-6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 t="s">
        <v>32</v>
      </c>
      <c r="W64" s="2">
        <v>50.05</v>
      </c>
      <c r="X64" s="3">
        <f t="shared" si="0"/>
        <v>50.05</v>
      </c>
      <c r="Y64">
        <f>VLOOKUP(D64,'[1]Cost Sheet'!$C:$D,2,0)</f>
        <v>50.05</v>
      </c>
      <c r="Z64" s="3">
        <f t="shared" si="1"/>
        <v>50.05</v>
      </c>
    </row>
    <row r="65" spans="1:26" x14ac:dyDescent="0.3">
      <c r="A65" s="7" t="s">
        <v>21</v>
      </c>
      <c r="B65" t="s">
        <v>84</v>
      </c>
      <c r="C65" t="s">
        <v>85</v>
      </c>
      <c r="D65" t="s">
        <v>86</v>
      </c>
      <c r="E65" t="s">
        <v>87</v>
      </c>
      <c r="F65" t="s">
        <v>26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-1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 t="s">
        <v>88</v>
      </c>
      <c r="W65" s="2">
        <v>50.05</v>
      </c>
      <c r="X65" s="3">
        <f t="shared" si="0"/>
        <v>50.05</v>
      </c>
      <c r="Y65">
        <f>VLOOKUP(D65,'[1]Cost Sheet'!$C:$D,2,0)</f>
        <v>50.05</v>
      </c>
      <c r="Z65" s="3">
        <f t="shared" si="1"/>
        <v>50.05</v>
      </c>
    </row>
    <row r="66" spans="1:26" x14ac:dyDescent="0.3">
      <c r="A66" s="7" t="s">
        <v>21</v>
      </c>
      <c r="B66" t="s">
        <v>84</v>
      </c>
      <c r="C66" t="s">
        <v>85</v>
      </c>
      <c r="D66" t="s">
        <v>86</v>
      </c>
      <c r="E66" t="s">
        <v>87</v>
      </c>
      <c r="F66" t="s">
        <v>26</v>
      </c>
      <c r="G66">
        <v>15</v>
      </c>
      <c r="H66">
        <v>0</v>
      </c>
      <c r="I66">
        <v>0</v>
      </c>
      <c r="J66">
        <v>-3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12</v>
      </c>
      <c r="T66">
        <v>0</v>
      </c>
      <c r="U66" t="s">
        <v>33</v>
      </c>
      <c r="W66" s="2">
        <v>50.05</v>
      </c>
      <c r="X66" s="3">
        <f t="shared" si="0"/>
        <v>600.59999999999991</v>
      </c>
      <c r="Y66">
        <f>VLOOKUP(D66,'[1]Cost Sheet'!$C:$D,2,0)</f>
        <v>50.05</v>
      </c>
      <c r="Z66" s="3">
        <f t="shared" si="1"/>
        <v>600.59999999999991</v>
      </c>
    </row>
    <row r="67" spans="1:26" x14ac:dyDescent="0.3">
      <c r="A67" s="7" t="s">
        <v>21</v>
      </c>
      <c r="B67" t="s">
        <v>84</v>
      </c>
      <c r="C67" t="s">
        <v>85</v>
      </c>
      <c r="D67" t="s">
        <v>86</v>
      </c>
      <c r="E67" t="s">
        <v>87</v>
      </c>
      <c r="F67" t="s">
        <v>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 t="s">
        <v>46</v>
      </c>
      <c r="W67" s="2">
        <v>50.05</v>
      </c>
      <c r="X67" s="3">
        <f t="shared" ref="X67:X130" si="2">S67*W67</f>
        <v>50.05</v>
      </c>
      <c r="Y67">
        <f>VLOOKUP(D67,'[1]Cost Sheet'!$C:$D,2,0)</f>
        <v>50.05</v>
      </c>
      <c r="Z67" s="3">
        <f t="shared" ref="Z67:Z130" si="3">Y67*S67</f>
        <v>50.05</v>
      </c>
    </row>
    <row r="68" spans="1:26" x14ac:dyDescent="0.3">
      <c r="A68" s="7" t="s">
        <v>21</v>
      </c>
      <c r="B68" t="s">
        <v>84</v>
      </c>
      <c r="C68" t="s">
        <v>85</v>
      </c>
      <c r="D68" t="s">
        <v>86</v>
      </c>
      <c r="E68" t="s">
        <v>87</v>
      </c>
      <c r="F68" t="s">
        <v>26</v>
      </c>
      <c r="G68">
        <v>12</v>
      </c>
      <c r="H68">
        <v>0</v>
      </c>
      <c r="I68">
        <v>0</v>
      </c>
      <c r="J68">
        <v>-4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</v>
      </c>
      <c r="T68">
        <v>0</v>
      </c>
      <c r="U68" t="s">
        <v>40</v>
      </c>
      <c r="W68" s="2">
        <v>50.05</v>
      </c>
      <c r="X68" s="3">
        <f t="shared" si="2"/>
        <v>400.4</v>
      </c>
      <c r="Y68">
        <f>VLOOKUP(D68,'[1]Cost Sheet'!$C:$D,2,0)</f>
        <v>50.05</v>
      </c>
      <c r="Z68" s="3">
        <f t="shared" si="3"/>
        <v>400.4</v>
      </c>
    </row>
    <row r="69" spans="1:26" x14ac:dyDescent="0.3">
      <c r="A69" s="7" t="s">
        <v>21</v>
      </c>
      <c r="B69" t="s">
        <v>84</v>
      </c>
      <c r="C69" t="s">
        <v>85</v>
      </c>
      <c r="D69" t="s">
        <v>86</v>
      </c>
      <c r="E69" t="s">
        <v>87</v>
      </c>
      <c r="F69" t="s">
        <v>26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</v>
      </c>
      <c r="T69">
        <v>0</v>
      </c>
      <c r="U69" t="s">
        <v>48</v>
      </c>
      <c r="W69" s="2">
        <v>50.05</v>
      </c>
      <c r="X69" s="3">
        <f t="shared" si="2"/>
        <v>100.1</v>
      </c>
      <c r="Y69">
        <f>VLOOKUP(D69,'[1]Cost Sheet'!$C:$D,2,0)</f>
        <v>50.05</v>
      </c>
      <c r="Z69" s="3">
        <f t="shared" si="3"/>
        <v>100.1</v>
      </c>
    </row>
    <row r="70" spans="1:26" x14ac:dyDescent="0.3">
      <c r="A70" s="7" t="s">
        <v>21</v>
      </c>
      <c r="B70" t="s">
        <v>84</v>
      </c>
      <c r="C70" t="s">
        <v>85</v>
      </c>
      <c r="D70" t="s">
        <v>86</v>
      </c>
      <c r="E70" t="s">
        <v>87</v>
      </c>
      <c r="F70" t="s">
        <v>26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 t="s">
        <v>59</v>
      </c>
      <c r="W70" s="2">
        <v>50.05</v>
      </c>
      <c r="X70" s="3">
        <f t="shared" si="2"/>
        <v>50.05</v>
      </c>
      <c r="Y70">
        <f>VLOOKUP(D70,'[1]Cost Sheet'!$C:$D,2,0)</f>
        <v>50.05</v>
      </c>
      <c r="Z70" s="3">
        <f t="shared" si="3"/>
        <v>50.05</v>
      </c>
    </row>
    <row r="71" spans="1:26" x14ac:dyDescent="0.3">
      <c r="A71" s="7" t="s">
        <v>21</v>
      </c>
      <c r="B71" t="s">
        <v>84</v>
      </c>
      <c r="C71" t="s">
        <v>85</v>
      </c>
      <c r="D71" t="s">
        <v>86</v>
      </c>
      <c r="E71" t="s">
        <v>87</v>
      </c>
      <c r="F71" t="s">
        <v>26</v>
      </c>
      <c r="G71">
        <v>19</v>
      </c>
      <c r="H71">
        <v>0</v>
      </c>
      <c r="I71">
        <v>0</v>
      </c>
      <c r="J71">
        <v>-3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16</v>
      </c>
      <c r="T71">
        <v>0</v>
      </c>
      <c r="U71" t="s">
        <v>27</v>
      </c>
      <c r="W71" s="2">
        <v>50.05</v>
      </c>
      <c r="X71" s="3">
        <f t="shared" si="2"/>
        <v>800.8</v>
      </c>
      <c r="Y71">
        <f>VLOOKUP(D71,'[1]Cost Sheet'!$C:$D,2,0)</f>
        <v>50.05</v>
      </c>
      <c r="Z71" s="3">
        <f t="shared" si="3"/>
        <v>800.8</v>
      </c>
    </row>
    <row r="72" spans="1:26" x14ac:dyDescent="0.3">
      <c r="A72" s="7" t="s">
        <v>21</v>
      </c>
      <c r="B72" t="s">
        <v>89</v>
      </c>
      <c r="C72" t="s">
        <v>90</v>
      </c>
      <c r="D72" t="s">
        <v>91</v>
      </c>
      <c r="E72" t="s">
        <v>92</v>
      </c>
      <c r="F72" t="s">
        <v>93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 t="s">
        <v>47</v>
      </c>
      <c r="W72" s="2">
        <v>83.6</v>
      </c>
      <c r="X72" s="3">
        <f t="shared" si="2"/>
        <v>83.6</v>
      </c>
      <c r="Y72">
        <f>VLOOKUP(D72,'[1]Cost Sheet'!$C:$D,2,0)</f>
        <v>83.6</v>
      </c>
      <c r="Z72" s="3">
        <f t="shared" si="3"/>
        <v>83.6</v>
      </c>
    </row>
    <row r="73" spans="1:26" x14ac:dyDescent="0.3">
      <c r="A73" s="7" t="s">
        <v>21</v>
      </c>
      <c r="B73" t="s">
        <v>89</v>
      </c>
      <c r="C73" t="s">
        <v>90</v>
      </c>
      <c r="D73" t="s">
        <v>91</v>
      </c>
      <c r="E73" t="s">
        <v>92</v>
      </c>
      <c r="F73" t="s">
        <v>26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 t="s">
        <v>38</v>
      </c>
      <c r="W73" s="2">
        <v>83.6</v>
      </c>
      <c r="X73" s="3">
        <f t="shared" si="2"/>
        <v>83.6</v>
      </c>
      <c r="Y73">
        <f>VLOOKUP(D73,'[1]Cost Sheet'!$C:$D,2,0)</f>
        <v>83.6</v>
      </c>
      <c r="Z73" s="3">
        <f t="shared" si="3"/>
        <v>83.6</v>
      </c>
    </row>
    <row r="74" spans="1:26" x14ac:dyDescent="0.3">
      <c r="A74" s="7" t="s">
        <v>21</v>
      </c>
      <c r="B74" t="s">
        <v>89</v>
      </c>
      <c r="C74" t="s">
        <v>90</v>
      </c>
      <c r="D74" t="s">
        <v>91</v>
      </c>
      <c r="E74" t="s">
        <v>92</v>
      </c>
      <c r="F74" t="s">
        <v>26</v>
      </c>
      <c r="G74">
        <v>57</v>
      </c>
      <c r="H74">
        <v>0</v>
      </c>
      <c r="I74">
        <v>0</v>
      </c>
      <c r="J74">
        <v>-1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56</v>
      </c>
      <c r="T74">
        <v>0</v>
      </c>
      <c r="U74" t="s">
        <v>45</v>
      </c>
      <c r="W74" s="2">
        <v>83.6</v>
      </c>
      <c r="X74" s="3">
        <f t="shared" si="2"/>
        <v>4681.5999999999995</v>
      </c>
      <c r="Y74">
        <f>VLOOKUP(D74,'[1]Cost Sheet'!$C:$D,2,0)</f>
        <v>83.6</v>
      </c>
      <c r="Z74" s="3">
        <f t="shared" si="3"/>
        <v>4681.5999999999995</v>
      </c>
    </row>
    <row r="75" spans="1:26" x14ac:dyDescent="0.3">
      <c r="A75" s="7" t="s">
        <v>21</v>
      </c>
      <c r="B75" t="s">
        <v>89</v>
      </c>
      <c r="C75" t="s">
        <v>90</v>
      </c>
      <c r="D75" t="s">
        <v>91</v>
      </c>
      <c r="E75" t="s">
        <v>92</v>
      </c>
      <c r="F75" t="s">
        <v>26</v>
      </c>
      <c r="G75">
        <v>46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46</v>
      </c>
      <c r="T75">
        <v>0</v>
      </c>
      <c r="U75" t="s">
        <v>39</v>
      </c>
      <c r="W75" s="2">
        <v>83.6</v>
      </c>
      <c r="X75" s="3">
        <f t="shared" si="2"/>
        <v>3845.6</v>
      </c>
      <c r="Y75">
        <f>VLOOKUP(D75,'[1]Cost Sheet'!$C:$D,2,0)</f>
        <v>83.6</v>
      </c>
      <c r="Z75" s="3">
        <f t="shared" si="3"/>
        <v>3845.6</v>
      </c>
    </row>
    <row r="76" spans="1:26" x14ac:dyDescent="0.3">
      <c r="A76" s="7" t="s">
        <v>21</v>
      </c>
      <c r="B76" t="s">
        <v>89</v>
      </c>
      <c r="C76" t="s">
        <v>90</v>
      </c>
      <c r="D76" t="s">
        <v>91</v>
      </c>
      <c r="E76" t="s">
        <v>92</v>
      </c>
      <c r="F76" t="s">
        <v>26</v>
      </c>
      <c r="G76">
        <v>31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31</v>
      </c>
      <c r="T76">
        <v>0</v>
      </c>
      <c r="U76" t="s">
        <v>32</v>
      </c>
      <c r="W76" s="2">
        <v>83.6</v>
      </c>
      <c r="X76" s="3">
        <f t="shared" si="2"/>
        <v>2591.6</v>
      </c>
      <c r="Y76">
        <f>VLOOKUP(D76,'[1]Cost Sheet'!$C:$D,2,0)</f>
        <v>83.6</v>
      </c>
      <c r="Z76" s="3">
        <f t="shared" si="3"/>
        <v>2591.6</v>
      </c>
    </row>
    <row r="77" spans="1:26" x14ac:dyDescent="0.3">
      <c r="A77" s="7" t="s">
        <v>21</v>
      </c>
      <c r="B77" t="s">
        <v>89</v>
      </c>
      <c r="C77" t="s">
        <v>90</v>
      </c>
      <c r="D77" t="s">
        <v>91</v>
      </c>
      <c r="E77" t="s">
        <v>92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 t="s">
        <v>88</v>
      </c>
      <c r="W77" s="2">
        <v>83.6</v>
      </c>
      <c r="X77" s="3">
        <f t="shared" si="2"/>
        <v>83.6</v>
      </c>
      <c r="Y77">
        <f>VLOOKUP(D77,'[1]Cost Sheet'!$C:$D,2,0)</f>
        <v>83.6</v>
      </c>
      <c r="Z77" s="3">
        <f t="shared" si="3"/>
        <v>83.6</v>
      </c>
    </row>
    <row r="78" spans="1:26" x14ac:dyDescent="0.3">
      <c r="A78" s="7" t="s">
        <v>21</v>
      </c>
      <c r="B78" t="s">
        <v>89</v>
      </c>
      <c r="C78" t="s">
        <v>90</v>
      </c>
      <c r="D78" t="s">
        <v>91</v>
      </c>
      <c r="E78" t="s">
        <v>92</v>
      </c>
      <c r="F78" t="s">
        <v>26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</v>
      </c>
      <c r="T78">
        <v>0</v>
      </c>
      <c r="U78" t="s">
        <v>33</v>
      </c>
      <c r="W78" s="2">
        <v>83.6</v>
      </c>
      <c r="X78" s="3">
        <f t="shared" si="2"/>
        <v>418</v>
      </c>
      <c r="Y78">
        <f>VLOOKUP(D78,'[1]Cost Sheet'!$C:$D,2,0)</f>
        <v>83.6</v>
      </c>
      <c r="Z78" s="3">
        <f t="shared" si="3"/>
        <v>418</v>
      </c>
    </row>
    <row r="79" spans="1:26" x14ac:dyDescent="0.3">
      <c r="A79" s="7" t="s">
        <v>21</v>
      </c>
      <c r="B79" t="s">
        <v>89</v>
      </c>
      <c r="C79" t="s">
        <v>90</v>
      </c>
      <c r="D79" t="s">
        <v>91</v>
      </c>
      <c r="E79" t="s">
        <v>92</v>
      </c>
      <c r="F79" t="s">
        <v>26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 t="s">
        <v>46</v>
      </c>
      <c r="W79" s="2">
        <v>83.6</v>
      </c>
      <c r="X79" s="3">
        <f t="shared" si="2"/>
        <v>167.2</v>
      </c>
      <c r="Y79">
        <f>VLOOKUP(D79,'[1]Cost Sheet'!$C:$D,2,0)</f>
        <v>83.6</v>
      </c>
      <c r="Z79" s="3">
        <f t="shared" si="3"/>
        <v>167.2</v>
      </c>
    </row>
    <row r="80" spans="1:26" x14ac:dyDescent="0.3">
      <c r="A80" s="7" t="s">
        <v>21</v>
      </c>
      <c r="B80" t="s">
        <v>89</v>
      </c>
      <c r="C80" t="s">
        <v>90</v>
      </c>
      <c r="D80" t="s">
        <v>91</v>
      </c>
      <c r="E80" t="s">
        <v>92</v>
      </c>
      <c r="F80" t="s">
        <v>26</v>
      </c>
      <c r="G80">
        <v>69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69</v>
      </c>
      <c r="T80">
        <v>0</v>
      </c>
      <c r="U80" t="s">
        <v>40</v>
      </c>
      <c r="W80" s="2">
        <v>83.6</v>
      </c>
      <c r="X80" s="3">
        <f t="shared" si="2"/>
        <v>5768.4</v>
      </c>
      <c r="Y80">
        <f>VLOOKUP(D80,'[1]Cost Sheet'!$C:$D,2,0)</f>
        <v>83.6</v>
      </c>
      <c r="Z80" s="3">
        <f t="shared" si="3"/>
        <v>5768.4</v>
      </c>
    </row>
    <row r="81" spans="1:26" x14ac:dyDescent="0.3">
      <c r="A81" s="7" t="s">
        <v>21</v>
      </c>
      <c r="B81" t="s">
        <v>89</v>
      </c>
      <c r="C81" t="s">
        <v>90</v>
      </c>
      <c r="D81" t="s">
        <v>91</v>
      </c>
      <c r="E81" t="s">
        <v>92</v>
      </c>
      <c r="F81" t="s">
        <v>26</v>
      </c>
      <c r="G81">
        <v>1</v>
      </c>
      <c r="H81">
        <v>0</v>
      </c>
      <c r="I81">
        <v>0</v>
      </c>
      <c r="J81">
        <v>-1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59</v>
      </c>
      <c r="W81" s="2">
        <v>83.6</v>
      </c>
      <c r="X81" s="3">
        <f t="shared" si="2"/>
        <v>0</v>
      </c>
      <c r="Y81">
        <f>VLOOKUP(D81,'[1]Cost Sheet'!$C:$D,2,0)</f>
        <v>83.6</v>
      </c>
      <c r="Z81" s="3">
        <f t="shared" si="3"/>
        <v>0</v>
      </c>
    </row>
    <row r="82" spans="1:26" x14ac:dyDescent="0.3">
      <c r="A82" s="7" t="s">
        <v>21</v>
      </c>
      <c r="B82" t="s">
        <v>89</v>
      </c>
      <c r="C82" t="s">
        <v>90</v>
      </c>
      <c r="D82" t="s">
        <v>91</v>
      </c>
      <c r="E82" t="s">
        <v>92</v>
      </c>
      <c r="F82" t="s">
        <v>26</v>
      </c>
      <c r="G82">
        <v>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</v>
      </c>
      <c r="T82">
        <v>0</v>
      </c>
      <c r="U82" t="s">
        <v>27</v>
      </c>
      <c r="W82" s="2">
        <v>83.6</v>
      </c>
      <c r="X82" s="3">
        <f t="shared" si="2"/>
        <v>334.4</v>
      </c>
      <c r="Y82">
        <f>VLOOKUP(D82,'[1]Cost Sheet'!$C:$D,2,0)</f>
        <v>83.6</v>
      </c>
      <c r="Z82" s="3">
        <f t="shared" si="3"/>
        <v>334.4</v>
      </c>
    </row>
    <row r="83" spans="1:26" x14ac:dyDescent="0.3">
      <c r="A83" s="7" t="s">
        <v>21</v>
      </c>
      <c r="B83" t="s">
        <v>94</v>
      </c>
      <c r="C83" t="s">
        <v>95</v>
      </c>
      <c r="D83" t="s">
        <v>96</v>
      </c>
      <c r="E83" t="s">
        <v>97</v>
      </c>
      <c r="F83" t="s">
        <v>26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 t="s">
        <v>54</v>
      </c>
      <c r="W83" s="2">
        <v>184.45923076923077</v>
      </c>
      <c r="X83" s="3">
        <f t="shared" si="2"/>
        <v>368.91846153846154</v>
      </c>
      <c r="Y83">
        <f>VLOOKUP(D83,'[1]Cost Sheet'!$C:$D,2,0)</f>
        <v>185.07</v>
      </c>
      <c r="Z83" s="3">
        <f t="shared" si="3"/>
        <v>370.14</v>
      </c>
    </row>
    <row r="84" spans="1:26" x14ac:dyDescent="0.3">
      <c r="A84" s="7" t="s">
        <v>21</v>
      </c>
      <c r="B84" t="s">
        <v>94</v>
      </c>
      <c r="C84" t="s">
        <v>95</v>
      </c>
      <c r="D84" t="s">
        <v>96</v>
      </c>
      <c r="E84" t="s">
        <v>97</v>
      </c>
      <c r="F84" t="s">
        <v>26</v>
      </c>
      <c r="G84">
        <v>25</v>
      </c>
      <c r="H84">
        <v>0</v>
      </c>
      <c r="I84">
        <v>0</v>
      </c>
      <c r="J84">
        <v>-2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23</v>
      </c>
      <c r="T84">
        <v>0</v>
      </c>
      <c r="U84" t="s">
        <v>32</v>
      </c>
      <c r="W84" s="2">
        <v>184.45923076923077</v>
      </c>
      <c r="X84" s="3">
        <f t="shared" si="2"/>
        <v>4242.5623076923075</v>
      </c>
      <c r="Y84">
        <f>VLOOKUP(D84,'[1]Cost Sheet'!$C:$D,2,0)</f>
        <v>185.07</v>
      </c>
      <c r="Z84" s="3">
        <f t="shared" si="3"/>
        <v>4256.6099999999997</v>
      </c>
    </row>
    <row r="85" spans="1:26" x14ac:dyDescent="0.3">
      <c r="A85" s="7" t="s">
        <v>21</v>
      </c>
      <c r="B85" t="s">
        <v>98</v>
      </c>
      <c r="C85" t="s">
        <v>99</v>
      </c>
      <c r="D85" t="s">
        <v>100</v>
      </c>
      <c r="E85" t="s">
        <v>101</v>
      </c>
      <c r="F85" t="s">
        <v>26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</v>
      </c>
      <c r="T85">
        <v>0</v>
      </c>
      <c r="U85" t="s">
        <v>32</v>
      </c>
      <c r="W85" s="2">
        <v>151.38</v>
      </c>
      <c r="X85" s="3">
        <f t="shared" si="2"/>
        <v>1211.04</v>
      </c>
      <c r="Y85">
        <f>VLOOKUP(D85,'[1]Cost Sheet'!$C:$D,2,0)</f>
        <v>153.47999999999999</v>
      </c>
      <c r="Z85" s="3">
        <f t="shared" si="3"/>
        <v>1227.8399999999999</v>
      </c>
    </row>
    <row r="86" spans="1:26" x14ac:dyDescent="0.3">
      <c r="A86" s="7" t="s">
        <v>21</v>
      </c>
      <c r="B86" t="s">
        <v>102</v>
      </c>
      <c r="C86" t="s">
        <v>103</v>
      </c>
      <c r="D86" t="s">
        <v>104</v>
      </c>
      <c r="E86" t="s">
        <v>105</v>
      </c>
      <c r="F86" t="s">
        <v>106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</v>
      </c>
      <c r="T86">
        <v>0</v>
      </c>
      <c r="U86" t="s">
        <v>107</v>
      </c>
      <c r="W86" s="2">
        <v>27.16</v>
      </c>
      <c r="X86" s="3">
        <f t="shared" si="2"/>
        <v>81.48</v>
      </c>
      <c r="Y86">
        <f>VLOOKUP(D86,'[1]Cost Sheet'!$C:$D,2,0)</f>
        <v>27.16</v>
      </c>
      <c r="Z86" s="3">
        <f t="shared" si="3"/>
        <v>81.48</v>
      </c>
    </row>
    <row r="87" spans="1:26" x14ac:dyDescent="0.3">
      <c r="A87" s="7" t="s">
        <v>21</v>
      </c>
      <c r="B87" t="s">
        <v>102</v>
      </c>
      <c r="C87" t="s">
        <v>103</v>
      </c>
      <c r="D87" t="s">
        <v>104</v>
      </c>
      <c r="E87" t="s">
        <v>105</v>
      </c>
      <c r="F87" t="s">
        <v>26</v>
      </c>
      <c r="G87">
        <v>23</v>
      </c>
      <c r="H87">
        <v>0</v>
      </c>
      <c r="I87">
        <v>0</v>
      </c>
      <c r="J87">
        <v>-3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20</v>
      </c>
      <c r="T87">
        <v>0</v>
      </c>
      <c r="U87" t="s">
        <v>38</v>
      </c>
      <c r="W87" s="2">
        <v>27.16</v>
      </c>
      <c r="X87" s="3">
        <f t="shared" si="2"/>
        <v>543.20000000000005</v>
      </c>
      <c r="Y87">
        <f>VLOOKUP(D87,'[1]Cost Sheet'!$C:$D,2,0)</f>
        <v>27.16</v>
      </c>
      <c r="Z87" s="3">
        <f t="shared" si="3"/>
        <v>543.20000000000005</v>
      </c>
    </row>
    <row r="88" spans="1:26" x14ac:dyDescent="0.3">
      <c r="A88" s="7" t="s">
        <v>21</v>
      </c>
      <c r="B88" t="s">
        <v>102</v>
      </c>
      <c r="C88" t="s">
        <v>103</v>
      </c>
      <c r="D88" t="s">
        <v>104</v>
      </c>
      <c r="E88" t="s">
        <v>105</v>
      </c>
      <c r="F88" t="s">
        <v>26</v>
      </c>
      <c r="G88">
        <v>397</v>
      </c>
      <c r="H88">
        <v>0</v>
      </c>
      <c r="I88">
        <v>0</v>
      </c>
      <c r="J88">
        <v>-3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395</v>
      </c>
      <c r="T88">
        <v>0</v>
      </c>
      <c r="U88" t="s">
        <v>107</v>
      </c>
      <c r="W88" s="2">
        <v>27.16</v>
      </c>
      <c r="X88" s="3">
        <f t="shared" si="2"/>
        <v>10728.2</v>
      </c>
      <c r="Y88">
        <f>VLOOKUP(D88,'[1]Cost Sheet'!$C:$D,2,0)</f>
        <v>27.16</v>
      </c>
      <c r="Z88" s="3">
        <f t="shared" si="3"/>
        <v>10728.2</v>
      </c>
    </row>
    <row r="89" spans="1:26" x14ac:dyDescent="0.3">
      <c r="A89" s="7" t="s">
        <v>21</v>
      </c>
      <c r="B89" t="s">
        <v>102</v>
      </c>
      <c r="C89" t="s">
        <v>103</v>
      </c>
      <c r="D89" t="s">
        <v>104</v>
      </c>
      <c r="E89" t="s">
        <v>105</v>
      </c>
      <c r="F89" t="s">
        <v>26</v>
      </c>
      <c r="G89">
        <v>183</v>
      </c>
      <c r="H89">
        <v>0</v>
      </c>
      <c r="I89">
        <v>0</v>
      </c>
      <c r="J89">
        <v>-5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178</v>
      </c>
      <c r="T89">
        <v>0</v>
      </c>
      <c r="U89" t="s">
        <v>45</v>
      </c>
      <c r="W89" s="2">
        <v>27.16</v>
      </c>
      <c r="X89" s="3">
        <f t="shared" si="2"/>
        <v>4834.4800000000005</v>
      </c>
      <c r="Y89">
        <f>VLOOKUP(D89,'[1]Cost Sheet'!$C:$D,2,0)</f>
        <v>27.16</v>
      </c>
      <c r="Z89" s="3">
        <f t="shared" si="3"/>
        <v>4834.4800000000005</v>
      </c>
    </row>
    <row r="90" spans="1:26" x14ac:dyDescent="0.3">
      <c r="A90" s="7" t="s">
        <v>21</v>
      </c>
      <c r="B90" t="s">
        <v>102</v>
      </c>
      <c r="C90" t="s">
        <v>103</v>
      </c>
      <c r="D90" t="s">
        <v>104</v>
      </c>
      <c r="E90" t="s">
        <v>105</v>
      </c>
      <c r="F90" t="s">
        <v>26</v>
      </c>
      <c r="G90">
        <v>0</v>
      </c>
      <c r="H90">
        <v>3</v>
      </c>
      <c r="I90">
        <v>0</v>
      </c>
      <c r="J90">
        <v>0</v>
      </c>
      <c r="K90">
        <v>5</v>
      </c>
      <c r="L90">
        <v>0</v>
      </c>
      <c r="M90">
        <v>-5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108</v>
      </c>
      <c r="W90" s="2">
        <v>27.16</v>
      </c>
      <c r="X90" s="3">
        <f t="shared" si="2"/>
        <v>0</v>
      </c>
      <c r="Y90">
        <f>VLOOKUP(D90,'[1]Cost Sheet'!$C:$D,2,0)</f>
        <v>27.16</v>
      </c>
      <c r="Z90" s="3">
        <f t="shared" si="3"/>
        <v>0</v>
      </c>
    </row>
    <row r="91" spans="1:26" x14ac:dyDescent="0.3">
      <c r="A91" s="7" t="s">
        <v>21</v>
      </c>
      <c r="B91" t="s">
        <v>102</v>
      </c>
      <c r="C91" t="s">
        <v>103</v>
      </c>
      <c r="D91" t="s">
        <v>104</v>
      </c>
      <c r="E91" t="s">
        <v>105</v>
      </c>
      <c r="F91" t="s">
        <v>26</v>
      </c>
      <c r="G91">
        <v>5</v>
      </c>
      <c r="H91">
        <v>0</v>
      </c>
      <c r="I91">
        <v>0</v>
      </c>
      <c r="J91">
        <v>-3</v>
      </c>
      <c r="K91">
        <v>0</v>
      </c>
      <c r="L91">
        <v>0</v>
      </c>
      <c r="M91">
        <v>4</v>
      </c>
      <c r="N91">
        <v>0</v>
      </c>
      <c r="O91">
        <v>0</v>
      </c>
      <c r="P91">
        <v>0</v>
      </c>
      <c r="Q91">
        <v>0</v>
      </c>
      <c r="R91">
        <v>0</v>
      </c>
      <c r="S91">
        <v>6</v>
      </c>
      <c r="T91">
        <v>0</v>
      </c>
      <c r="U91" t="s">
        <v>39</v>
      </c>
      <c r="W91" s="2">
        <v>27.16</v>
      </c>
      <c r="X91" s="3">
        <f t="shared" si="2"/>
        <v>162.96</v>
      </c>
      <c r="Y91">
        <f>VLOOKUP(D91,'[1]Cost Sheet'!$C:$D,2,0)</f>
        <v>27.16</v>
      </c>
      <c r="Z91" s="3">
        <f t="shared" si="3"/>
        <v>162.96</v>
      </c>
    </row>
    <row r="92" spans="1:26" x14ac:dyDescent="0.3">
      <c r="A92" s="7" t="s">
        <v>21</v>
      </c>
      <c r="B92" t="s">
        <v>102</v>
      </c>
      <c r="C92" t="s">
        <v>103</v>
      </c>
      <c r="D92" t="s">
        <v>104</v>
      </c>
      <c r="E92" t="s">
        <v>105</v>
      </c>
      <c r="F92" t="s">
        <v>26</v>
      </c>
      <c r="G92">
        <v>36</v>
      </c>
      <c r="H92">
        <v>0</v>
      </c>
      <c r="I92">
        <v>0</v>
      </c>
      <c r="J92">
        <v>-13</v>
      </c>
      <c r="K92">
        <v>0</v>
      </c>
      <c r="L92">
        <v>0</v>
      </c>
      <c r="M92">
        <v>-2</v>
      </c>
      <c r="N92">
        <v>0</v>
      </c>
      <c r="O92">
        <v>0</v>
      </c>
      <c r="P92">
        <v>0</v>
      </c>
      <c r="Q92">
        <v>0</v>
      </c>
      <c r="R92">
        <v>0</v>
      </c>
      <c r="S92">
        <v>21</v>
      </c>
      <c r="T92">
        <v>0</v>
      </c>
      <c r="U92" t="s">
        <v>53</v>
      </c>
      <c r="W92" s="2">
        <v>27.16</v>
      </c>
      <c r="X92" s="3">
        <f t="shared" si="2"/>
        <v>570.36</v>
      </c>
      <c r="Y92">
        <f>VLOOKUP(D92,'[1]Cost Sheet'!$C:$D,2,0)</f>
        <v>27.16</v>
      </c>
      <c r="Z92" s="3">
        <f t="shared" si="3"/>
        <v>570.36</v>
      </c>
    </row>
    <row r="93" spans="1:26" x14ac:dyDescent="0.3">
      <c r="A93" s="7" t="s">
        <v>21</v>
      </c>
      <c r="B93" t="s">
        <v>102</v>
      </c>
      <c r="C93" t="s">
        <v>103</v>
      </c>
      <c r="D93" t="s">
        <v>104</v>
      </c>
      <c r="E93" t="s">
        <v>105</v>
      </c>
      <c r="F93" t="s">
        <v>26</v>
      </c>
      <c r="G93">
        <v>483</v>
      </c>
      <c r="H93">
        <v>0</v>
      </c>
      <c r="I93">
        <v>0</v>
      </c>
      <c r="J93">
        <v>-2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481</v>
      </c>
      <c r="T93">
        <v>0</v>
      </c>
      <c r="U93" t="s">
        <v>54</v>
      </c>
      <c r="W93" s="2">
        <v>27.16</v>
      </c>
      <c r="X93" s="3">
        <f t="shared" si="2"/>
        <v>13063.960000000001</v>
      </c>
      <c r="Y93">
        <f>VLOOKUP(D93,'[1]Cost Sheet'!$C:$D,2,0)</f>
        <v>27.16</v>
      </c>
      <c r="Z93" s="3">
        <f t="shared" si="3"/>
        <v>13063.960000000001</v>
      </c>
    </row>
    <row r="94" spans="1:26" x14ac:dyDescent="0.3">
      <c r="A94" s="7" t="s">
        <v>21</v>
      </c>
      <c r="B94" t="s">
        <v>102</v>
      </c>
      <c r="C94" t="s">
        <v>103</v>
      </c>
      <c r="D94" t="s">
        <v>104</v>
      </c>
      <c r="E94" t="s">
        <v>105</v>
      </c>
      <c r="F94" t="s">
        <v>26</v>
      </c>
      <c r="G94">
        <v>4097</v>
      </c>
      <c r="H94">
        <v>0</v>
      </c>
      <c r="I94">
        <v>0</v>
      </c>
      <c r="J94">
        <v>-6</v>
      </c>
      <c r="K94">
        <v>0</v>
      </c>
      <c r="L94">
        <v>0</v>
      </c>
      <c r="M94">
        <v>110</v>
      </c>
      <c r="N94">
        <v>0</v>
      </c>
      <c r="O94">
        <v>0</v>
      </c>
      <c r="P94">
        <v>0</v>
      </c>
      <c r="Q94">
        <v>0</v>
      </c>
      <c r="R94">
        <v>0</v>
      </c>
      <c r="S94">
        <v>4201</v>
      </c>
      <c r="T94">
        <v>0</v>
      </c>
      <c r="U94" t="s">
        <v>32</v>
      </c>
      <c r="W94" s="2">
        <v>27.16</v>
      </c>
      <c r="X94" s="3">
        <f t="shared" si="2"/>
        <v>114099.16</v>
      </c>
      <c r="Y94">
        <f>VLOOKUP(D94,'[1]Cost Sheet'!$C:$D,2,0)</f>
        <v>27.16</v>
      </c>
      <c r="Z94" s="3">
        <f t="shared" si="3"/>
        <v>114099.16</v>
      </c>
    </row>
    <row r="95" spans="1:26" x14ac:dyDescent="0.3">
      <c r="A95" s="7" t="s">
        <v>21</v>
      </c>
      <c r="B95" t="s">
        <v>102</v>
      </c>
      <c r="C95" t="s">
        <v>103</v>
      </c>
      <c r="D95" t="s">
        <v>104</v>
      </c>
      <c r="E95" t="s">
        <v>105</v>
      </c>
      <c r="F95" t="s">
        <v>26</v>
      </c>
      <c r="G95">
        <v>0</v>
      </c>
      <c r="H95">
        <v>180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109</v>
      </c>
      <c r="W95" s="2">
        <v>27.16</v>
      </c>
      <c r="X95" s="3">
        <f t="shared" si="2"/>
        <v>0</v>
      </c>
      <c r="Y95">
        <f>VLOOKUP(D95,'[1]Cost Sheet'!$C:$D,2,0)</f>
        <v>27.16</v>
      </c>
      <c r="Z95" s="3">
        <f t="shared" si="3"/>
        <v>0</v>
      </c>
    </row>
    <row r="96" spans="1:26" x14ac:dyDescent="0.3">
      <c r="A96" s="7" t="s">
        <v>21</v>
      </c>
      <c r="B96" t="s">
        <v>102</v>
      </c>
      <c r="C96" t="s">
        <v>103</v>
      </c>
      <c r="D96" t="s">
        <v>104</v>
      </c>
      <c r="E96" t="s">
        <v>105</v>
      </c>
      <c r="F96" t="s">
        <v>26</v>
      </c>
      <c r="G96">
        <v>2</v>
      </c>
      <c r="H96">
        <v>1</v>
      </c>
      <c r="I96">
        <v>0</v>
      </c>
      <c r="J96">
        <v>0</v>
      </c>
      <c r="K96">
        <v>1</v>
      </c>
      <c r="L96">
        <v>0</v>
      </c>
      <c r="M96">
        <v>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88</v>
      </c>
      <c r="W96" s="2">
        <v>27.16</v>
      </c>
      <c r="X96" s="3">
        <f t="shared" si="2"/>
        <v>0</v>
      </c>
      <c r="Y96">
        <f>VLOOKUP(D96,'[1]Cost Sheet'!$C:$D,2,0)</f>
        <v>27.16</v>
      </c>
      <c r="Z96" s="3">
        <f t="shared" si="3"/>
        <v>0</v>
      </c>
    </row>
    <row r="97" spans="1:26" x14ac:dyDescent="0.3">
      <c r="A97" s="7" t="s">
        <v>21</v>
      </c>
      <c r="B97" t="s">
        <v>102</v>
      </c>
      <c r="C97" t="s">
        <v>103</v>
      </c>
      <c r="D97" t="s">
        <v>104</v>
      </c>
      <c r="E97" t="s">
        <v>105</v>
      </c>
      <c r="F97" t="s">
        <v>26</v>
      </c>
      <c r="G97">
        <v>5</v>
      </c>
      <c r="H97">
        <v>0</v>
      </c>
      <c r="I97">
        <v>0</v>
      </c>
      <c r="J97">
        <v>-3</v>
      </c>
      <c r="K97">
        <v>0</v>
      </c>
      <c r="L97">
        <v>0</v>
      </c>
      <c r="M97">
        <v>3</v>
      </c>
      <c r="N97">
        <v>0</v>
      </c>
      <c r="O97">
        <v>0</v>
      </c>
      <c r="P97">
        <v>0</v>
      </c>
      <c r="Q97">
        <v>0</v>
      </c>
      <c r="R97">
        <v>0</v>
      </c>
      <c r="S97">
        <v>5</v>
      </c>
      <c r="T97">
        <v>0</v>
      </c>
      <c r="U97" t="s">
        <v>33</v>
      </c>
      <c r="W97" s="2">
        <v>27.16</v>
      </c>
      <c r="X97" s="3">
        <f t="shared" si="2"/>
        <v>135.80000000000001</v>
      </c>
      <c r="Y97">
        <f>VLOOKUP(D97,'[1]Cost Sheet'!$C:$D,2,0)</f>
        <v>27.16</v>
      </c>
      <c r="Z97" s="3">
        <f t="shared" si="3"/>
        <v>135.80000000000001</v>
      </c>
    </row>
    <row r="98" spans="1:26" x14ac:dyDescent="0.3">
      <c r="A98" s="7" t="s">
        <v>21</v>
      </c>
      <c r="B98" t="s">
        <v>102</v>
      </c>
      <c r="C98" t="s">
        <v>103</v>
      </c>
      <c r="D98" t="s">
        <v>104</v>
      </c>
      <c r="E98" t="s">
        <v>105</v>
      </c>
      <c r="F98" t="s">
        <v>26</v>
      </c>
      <c r="G98">
        <v>17</v>
      </c>
      <c r="H98">
        <v>0</v>
      </c>
      <c r="I98">
        <v>0</v>
      </c>
      <c r="J98">
        <v>-2</v>
      </c>
      <c r="K98">
        <v>0</v>
      </c>
      <c r="L98">
        <v>0</v>
      </c>
      <c r="M98">
        <v>7</v>
      </c>
      <c r="N98">
        <v>0</v>
      </c>
      <c r="O98">
        <v>0</v>
      </c>
      <c r="P98">
        <v>0</v>
      </c>
      <c r="Q98">
        <v>0</v>
      </c>
      <c r="R98">
        <v>0</v>
      </c>
      <c r="S98">
        <v>22</v>
      </c>
      <c r="T98">
        <v>0</v>
      </c>
      <c r="U98" t="s">
        <v>46</v>
      </c>
      <c r="W98" s="2">
        <v>27.16</v>
      </c>
      <c r="X98" s="3">
        <f t="shared" si="2"/>
        <v>597.52</v>
      </c>
      <c r="Y98">
        <f>VLOOKUP(D98,'[1]Cost Sheet'!$C:$D,2,0)</f>
        <v>27.16</v>
      </c>
      <c r="Z98" s="3">
        <f t="shared" si="3"/>
        <v>597.52</v>
      </c>
    </row>
    <row r="99" spans="1:26" x14ac:dyDescent="0.3">
      <c r="A99" s="7" t="s">
        <v>21</v>
      </c>
      <c r="B99" t="s">
        <v>102</v>
      </c>
      <c r="C99" t="s">
        <v>103</v>
      </c>
      <c r="D99" t="s">
        <v>104</v>
      </c>
      <c r="E99" t="s">
        <v>105</v>
      </c>
      <c r="F99" t="s">
        <v>26</v>
      </c>
      <c r="G99">
        <v>4</v>
      </c>
      <c r="H99">
        <v>0</v>
      </c>
      <c r="I99">
        <v>0</v>
      </c>
      <c r="J99">
        <v>-1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 t="s">
        <v>110</v>
      </c>
      <c r="W99" s="2">
        <v>27.16</v>
      </c>
      <c r="X99" s="3">
        <f t="shared" si="2"/>
        <v>81.48</v>
      </c>
      <c r="Y99">
        <f>VLOOKUP(D99,'[1]Cost Sheet'!$C:$D,2,0)</f>
        <v>27.16</v>
      </c>
      <c r="Z99" s="3">
        <f t="shared" si="3"/>
        <v>81.48</v>
      </c>
    </row>
    <row r="100" spans="1:26" x14ac:dyDescent="0.3">
      <c r="A100" s="7" t="s">
        <v>21</v>
      </c>
      <c r="B100" t="s">
        <v>102</v>
      </c>
      <c r="C100" t="s">
        <v>103</v>
      </c>
      <c r="D100" t="s">
        <v>104</v>
      </c>
      <c r="E100" t="s">
        <v>105</v>
      </c>
      <c r="F100" t="s">
        <v>26</v>
      </c>
      <c r="G100">
        <v>3</v>
      </c>
      <c r="H100">
        <v>0</v>
      </c>
      <c r="I100">
        <v>0</v>
      </c>
      <c r="J100">
        <v>-1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0</v>
      </c>
      <c r="U100" t="s">
        <v>111</v>
      </c>
      <c r="W100" s="2">
        <v>27.16</v>
      </c>
      <c r="X100" s="3">
        <f t="shared" si="2"/>
        <v>81.48</v>
      </c>
      <c r="Y100">
        <f>VLOOKUP(D100,'[1]Cost Sheet'!$C:$D,2,0)</f>
        <v>27.16</v>
      </c>
      <c r="Z100" s="3">
        <f t="shared" si="3"/>
        <v>81.48</v>
      </c>
    </row>
    <row r="101" spans="1:26" x14ac:dyDescent="0.3">
      <c r="A101" s="7" t="s">
        <v>21</v>
      </c>
      <c r="B101" t="s">
        <v>102</v>
      </c>
      <c r="C101" t="s">
        <v>103</v>
      </c>
      <c r="D101" t="s">
        <v>104</v>
      </c>
      <c r="E101" t="s">
        <v>105</v>
      </c>
      <c r="F101" t="s">
        <v>26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 t="s">
        <v>47</v>
      </c>
      <c r="W101" s="2">
        <v>27.16</v>
      </c>
      <c r="X101" s="3">
        <f t="shared" si="2"/>
        <v>27.16</v>
      </c>
      <c r="Y101">
        <f>VLOOKUP(D101,'[1]Cost Sheet'!$C:$D,2,0)</f>
        <v>27.16</v>
      </c>
      <c r="Z101" s="3">
        <f t="shared" si="3"/>
        <v>27.16</v>
      </c>
    </row>
    <row r="102" spans="1:26" x14ac:dyDescent="0.3">
      <c r="A102" s="7" t="s">
        <v>21</v>
      </c>
      <c r="B102" t="s">
        <v>102</v>
      </c>
      <c r="C102" t="s">
        <v>103</v>
      </c>
      <c r="D102" t="s">
        <v>104</v>
      </c>
      <c r="E102" t="s">
        <v>105</v>
      </c>
      <c r="F102" t="s">
        <v>26</v>
      </c>
      <c r="G102">
        <v>118</v>
      </c>
      <c r="H102">
        <v>1</v>
      </c>
      <c r="I102">
        <v>0</v>
      </c>
      <c r="J102">
        <v>-3</v>
      </c>
      <c r="K102">
        <v>0</v>
      </c>
      <c r="L102">
        <v>0</v>
      </c>
      <c r="M102">
        <v>-1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114</v>
      </c>
      <c r="T102">
        <v>0</v>
      </c>
      <c r="U102" t="s">
        <v>40</v>
      </c>
      <c r="W102" s="2">
        <v>27.16</v>
      </c>
      <c r="X102" s="3">
        <f t="shared" si="2"/>
        <v>3096.2400000000002</v>
      </c>
      <c r="Y102">
        <f>VLOOKUP(D102,'[1]Cost Sheet'!$C:$D,2,0)</f>
        <v>27.16</v>
      </c>
      <c r="Z102" s="3">
        <f t="shared" si="3"/>
        <v>3096.2400000000002</v>
      </c>
    </row>
    <row r="103" spans="1:26" x14ac:dyDescent="0.3">
      <c r="A103" s="7" t="s">
        <v>21</v>
      </c>
      <c r="B103" t="s">
        <v>102</v>
      </c>
      <c r="C103" t="s">
        <v>103</v>
      </c>
      <c r="D103" t="s">
        <v>104</v>
      </c>
      <c r="E103" t="s">
        <v>105</v>
      </c>
      <c r="F103" t="s">
        <v>26</v>
      </c>
      <c r="G103">
        <v>0</v>
      </c>
      <c r="H103">
        <v>38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112</v>
      </c>
      <c r="W103" s="2">
        <v>27.16</v>
      </c>
      <c r="X103" s="3">
        <f t="shared" si="2"/>
        <v>0</v>
      </c>
      <c r="Y103">
        <f>VLOOKUP(D103,'[1]Cost Sheet'!$C:$D,2,0)</f>
        <v>27.16</v>
      </c>
      <c r="Z103" s="3">
        <f t="shared" si="3"/>
        <v>0</v>
      </c>
    </row>
    <row r="104" spans="1:26" x14ac:dyDescent="0.3">
      <c r="A104" s="7" t="s">
        <v>21</v>
      </c>
      <c r="B104" t="s">
        <v>102</v>
      </c>
      <c r="C104" t="s">
        <v>103</v>
      </c>
      <c r="D104" t="s">
        <v>104</v>
      </c>
      <c r="E104" t="s">
        <v>105</v>
      </c>
      <c r="F104" t="s">
        <v>26</v>
      </c>
      <c r="G104">
        <v>3</v>
      </c>
      <c r="H104">
        <v>0</v>
      </c>
      <c r="I104">
        <v>0</v>
      </c>
      <c r="J104">
        <v>-1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>
        <v>0</v>
      </c>
      <c r="U104" t="s">
        <v>113</v>
      </c>
      <c r="W104" s="2">
        <v>27.16</v>
      </c>
      <c r="X104" s="3">
        <f t="shared" si="2"/>
        <v>81.48</v>
      </c>
      <c r="Y104">
        <f>VLOOKUP(D104,'[1]Cost Sheet'!$C:$D,2,0)</f>
        <v>27.16</v>
      </c>
      <c r="Z104" s="3">
        <f t="shared" si="3"/>
        <v>81.48</v>
      </c>
    </row>
    <row r="105" spans="1:26" x14ac:dyDescent="0.3">
      <c r="A105" s="7" t="s">
        <v>21</v>
      </c>
      <c r="B105" t="s">
        <v>102</v>
      </c>
      <c r="C105" t="s">
        <v>103</v>
      </c>
      <c r="D105" t="s">
        <v>104</v>
      </c>
      <c r="E105" t="s">
        <v>105</v>
      </c>
      <c r="F105" t="s">
        <v>26</v>
      </c>
      <c r="G105">
        <v>279</v>
      </c>
      <c r="H105">
        <v>0</v>
      </c>
      <c r="I105">
        <v>0</v>
      </c>
      <c r="J105">
        <v>-11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270</v>
      </c>
      <c r="T105">
        <v>0</v>
      </c>
      <c r="U105" t="s">
        <v>48</v>
      </c>
      <c r="W105" s="2">
        <v>27.16</v>
      </c>
      <c r="X105" s="3">
        <f t="shared" si="2"/>
        <v>7333.2</v>
      </c>
      <c r="Y105">
        <f>VLOOKUP(D105,'[1]Cost Sheet'!$C:$D,2,0)</f>
        <v>27.16</v>
      </c>
      <c r="Z105" s="3">
        <f t="shared" si="3"/>
        <v>7333.2</v>
      </c>
    </row>
    <row r="106" spans="1:26" x14ac:dyDescent="0.3">
      <c r="A106" s="7" t="s">
        <v>21</v>
      </c>
      <c r="B106" t="s">
        <v>102</v>
      </c>
      <c r="C106" t="s">
        <v>103</v>
      </c>
      <c r="D106" t="s">
        <v>104</v>
      </c>
      <c r="E106" t="s">
        <v>105</v>
      </c>
      <c r="F106" t="s">
        <v>26</v>
      </c>
      <c r="G106">
        <v>217</v>
      </c>
      <c r="H106">
        <v>0</v>
      </c>
      <c r="I106">
        <v>0</v>
      </c>
      <c r="J106">
        <v>-3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214</v>
      </c>
      <c r="T106">
        <v>0</v>
      </c>
      <c r="U106" t="s">
        <v>59</v>
      </c>
      <c r="W106" s="2">
        <v>27.16</v>
      </c>
      <c r="X106" s="3">
        <f t="shared" si="2"/>
        <v>5812.24</v>
      </c>
      <c r="Y106">
        <f>VLOOKUP(D106,'[1]Cost Sheet'!$C:$D,2,0)</f>
        <v>27.16</v>
      </c>
      <c r="Z106" s="3">
        <f t="shared" si="3"/>
        <v>5812.24</v>
      </c>
    </row>
    <row r="107" spans="1:26" x14ac:dyDescent="0.3">
      <c r="A107" s="7" t="s">
        <v>21</v>
      </c>
      <c r="B107" t="s">
        <v>102</v>
      </c>
      <c r="C107" t="s">
        <v>103</v>
      </c>
      <c r="D107" t="s">
        <v>104</v>
      </c>
      <c r="E107" t="s">
        <v>105</v>
      </c>
      <c r="F107" t="s">
        <v>114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 t="s">
        <v>88</v>
      </c>
      <c r="W107" s="2">
        <v>27.16</v>
      </c>
      <c r="X107" s="3">
        <f t="shared" si="2"/>
        <v>27.16</v>
      </c>
      <c r="Y107">
        <f>VLOOKUP(D107,'[1]Cost Sheet'!$C:$D,2,0)</f>
        <v>27.16</v>
      </c>
      <c r="Z107" s="3">
        <f t="shared" si="3"/>
        <v>27.16</v>
      </c>
    </row>
    <row r="108" spans="1:26" x14ac:dyDescent="0.3">
      <c r="A108" s="7" t="s">
        <v>21</v>
      </c>
      <c r="B108" t="s">
        <v>115</v>
      </c>
      <c r="C108" t="s">
        <v>116</v>
      </c>
      <c r="D108" t="s">
        <v>117</v>
      </c>
      <c r="E108" t="s">
        <v>118</v>
      </c>
      <c r="F108" t="s">
        <v>26</v>
      </c>
      <c r="G108">
        <v>41</v>
      </c>
      <c r="H108">
        <v>0</v>
      </c>
      <c r="I108">
        <v>0</v>
      </c>
      <c r="J108">
        <v>-1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40</v>
      </c>
      <c r="T108">
        <v>0</v>
      </c>
      <c r="U108" t="s">
        <v>46</v>
      </c>
      <c r="W108" s="2">
        <v>102.91</v>
      </c>
      <c r="X108" s="3">
        <f t="shared" si="2"/>
        <v>4116.3999999999996</v>
      </c>
      <c r="Y108">
        <f>VLOOKUP(D108,'[1]Cost Sheet'!$C:$D,2,0)</f>
        <v>102.91</v>
      </c>
      <c r="Z108" s="3">
        <f t="shared" si="3"/>
        <v>4116.3999999999996</v>
      </c>
    </row>
    <row r="109" spans="1:26" x14ac:dyDescent="0.3">
      <c r="A109" s="7" t="s">
        <v>21</v>
      </c>
      <c r="B109" t="s">
        <v>115</v>
      </c>
      <c r="C109" t="s">
        <v>116</v>
      </c>
      <c r="D109" t="s">
        <v>117</v>
      </c>
      <c r="E109" t="s">
        <v>118</v>
      </c>
      <c r="F109" t="s">
        <v>26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 t="s">
        <v>119</v>
      </c>
      <c r="W109" s="2">
        <v>102.91</v>
      </c>
      <c r="X109" s="3">
        <f t="shared" si="2"/>
        <v>411.64</v>
      </c>
      <c r="Y109">
        <f>VLOOKUP(D109,'[1]Cost Sheet'!$C:$D,2,0)</f>
        <v>102.91</v>
      </c>
      <c r="Z109" s="3">
        <f t="shared" si="3"/>
        <v>411.64</v>
      </c>
    </row>
    <row r="110" spans="1:26" x14ac:dyDescent="0.3">
      <c r="A110" s="7" t="s">
        <v>21</v>
      </c>
      <c r="B110" t="s">
        <v>115</v>
      </c>
      <c r="C110" t="s">
        <v>116</v>
      </c>
      <c r="D110" t="s">
        <v>117</v>
      </c>
      <c r="E110" t="s">
        <v>118</v>
      </c>
      <c r="F110" t="s">
        <v>26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0</v>
      </c>
      <c r="U110" t="s">
        <v>110</v>
      </c>
      <c r="W110" s="2">
        <v>102.91</v>
      </c>
      <c r="X110" s="3">
        <f t="shared" si="2"/>
        <v>205.82</v>
      </c>
      <c r="Y110">
        <f>VLOOKUP(D110,'[1]Cost Sheet'!$C:$D,2,0)</f>
        <v>102.91</v>
      </c>
      <c r="Z110" s="3">
        <f t="shared" si="3"/>
        <v>205.82</v>
      </c>
    </row>
    <row r="111" spans="1:26" x14ac:dyDescent="0.3">
      <c r="A111" s="7" t="s">
        <v>21</v>
      </c>
      <c r="B111" t="s">
        <v>115</v>
      </c>
      <c r="C111" t="s">
        <v>116</v>
      </c>
      <c r="D111" t="s">
        <v>117</v>
      </c>
      <c r="E111" t="s">
        <v>118</v>
      </c>
      <c r="F111" t="s">
        <v>26</v>
      </c>
      <c r="G111">
        <v>2</v>
      </c>
      <c r="H111">
        <v>0</v>
      </c>
      <c r="I111">
        <v>0</v>
      </c>
      <c r="J111">
        <v>-1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0</v>
      </c>
      <c r="U111" t="s">
        <v>111</v>
      </c>
      <c r="W111" s="2">
        <v>102.91</v>
      </c>
      <c r="X111" s="3">
        <f t="shared" si="2"/>
        <v>205.82</v>
      </c>
      <c r="Y111">
        <f>VLOOKUP(D111,'[1]Cost Sheet'!$C:$D,2,0)</f>
        <v>102.91</v>
      </c>
      <c r="Z111" s="3">
        <f t="shared" si="3"/>
        <v>205.82</v>
      </c>
    </row>
    <row r="112" spans="1:26" x14ac:dyDescent="0.3">
      <c r="A112" s="7" t="s">
        <v>21</v>
      </c>
      <c r="B112" t="s">
        <v>115</v>
      </c>
      <c r="C112" t="s">
        <v>116</v>
      </c>
      <c r="D112" t="s">
        <v>117</v>
      </c>
      <c r="E112" t="s">
        <v>118</v>
      </c>
      <c r="F112" t="s">
        <v>26</v>
      </c>
      <c r="G112">
        <v>39</v>
      </c>
      <c r="H112">
        <v>0</v>
      </c>
      <c r="I112">
        <v>0</v>
      </c>
      <c r="J112">
        <v>-1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38</v>
      </c>
      <c r="T112">
        <v>0</v>
      </c>
      <c r="U112" t="s">
        <v>47</v>
      </c>
      <c r="W112" s="2">
        <v>102.91</v>
      </c>
      <c r="X112" s="3">
        <f t="shared" si="2"/>
        <v>3910.58</v>
      </c>
      <c r="Y112">
        <f>VLOOKUP(D112,'[1]Cost Sheet'!$C:$D,2,0)</f>
        <v>102.91</v>
      </c>
      <c r="Z112" s="3">
        <f t="shared" si="3"/>
        <v>3910.58</v>
      </c>
    </row>
    <row r="113" spans="1:26" x14ac:dyDescent="0.3">
      <c r="A113" s="7" t="s">
        <v>21</v>
      </c>
      <c r="B113" t="s">
        <v>115</v>
      </c>
      <c r="C113" t="s">
        <v>116</v>
      </c>
      <c r="D113" t="s">
        <v>117</v>
      </c>
      <c r="E113" t="s">
        <v>118</v>
      </c>
      <c r="F113" t="s">
        <v>26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 t="s">
        <v>40</v>
      </c>
      <c r="W113" s="2">
        <v>102.91</v>
      </c>
      <c r="X113" s="3">
        <f t="shared" si="2"/>
        <v>205.82</v>
      </c>
      <c r="Y113">
        <f>VLOOKUP(D113,'[1]Cost Sheet'!$C:$D,2,0)</f>
        <v>102.91</v>
      </c>
      <c r="Z113" s="3">
        <f t="shared" si="3"/>
        <v>205.82</v>
      </c>
    </row>
    <row r="114" spans="1:26" x14ac:dyDescent="0.3">
      <c r="A114" s="7" t="s">
        <v>21</v>
      </c>
      <c r="B114" t="s">
        <v>115</v>
      </c>
      <c r="C114" t="s">
        <v>116</v>
      </c>
      <c r="D114" t="s">
        <v>117</v>
      </c>
      <c r="E114" t="s">
        <v>118</v>
      </c>
      <c r="F114" t="s">
        <v>26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8</v>
      </c>
      <c r="T114">
        <v>0</v>
      </c>
      <c r="U114" t="s">
        <v>120</v>
      </c>
      <c r="W114" s="2">
        <v>102.91</v>
      </c>
      <c r="X114" s="3">
        <f t="shared" si="2"/>
        <v>823.28</v>
      </c>
      <c r="Y114">
        <f>VLOOKUP(D114,'[1]Cost Sheet'!$C:$D,2,0)</f>
        <v>102.91</v>
      </c>
      <c r="Z114" s="3">
        <f t="shared" si="3"/>
        <v>823.28</v>
      </c>
    </row>
    <row r="115" spans="1:26" x14ac:dyDescent="0.3">
      <c r="A115" s="7" t="s">
        <v>21</v>
      </c>
      <c r="B115" t="s">
        <v>115</v>
      </c>
      <c r="C115" t="s">
        <v>116</v>
      </c>
      <c r="D115" t="s">
        <v>117</v>
      </c>
      <c r="E115" t="s">
        <v>118</v>
      </c>
      <c r="F115" t="s">
        <v>26</v>
      </c>
      <c r="G115">
        <v>61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61</v>
      </c>
      <c r="T115">
        <v>0</v>
      </c>
      <c r="U115" t="s">
        <v>113</v>
      </c>
      <c r="W115" s="2">
        <v>102.91</v>
      </c>
      <c r="X115" s="3">
        <f t="shared" si="2"/>
        <v>6277.51</v>
      </c>
      <c r="Y115">
        <f>VLOOKUP(D115,'[1]Cost Sheet'!$C:$D,2,0)</f>
        <v>102.91</v>
      </c>
      <c r="Z115" s="3">
        <f t="shared" si="3"/>
        <v>6277.51</v>
      </c>
    </row>
    <row r="116" spans="1:26" x14ac:dyDescent="0.3">
      <c r="A116" s="7" t="s">
        <v>21</v>
      </c>
      <c r="B116" t="s">
        <v>115</v>
      </c>
      <c r="C116" t="s">
        <v>116</v>
      </c>
      <c r="D116" t="s">
        <v>117</v>
      </c>
      <c r="E116" t="s">
        <v>118</v>
      </c>
      <c r="F116" t="s">
        <v>26</v>
      </c>
      <c r="G116">
        <v>6</v>
      </c>
      <c r="H116">
        <v>0</v>
      </c>
      <c r="I116">
        <v>0</v>
      </c>
      <c r="J116">
        <v>-1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</v>
      </c>
      <c r="T116">
        <v>0</v>
      </c>
      <c r="U116" t="s">
        <v>48</v>
      </c>
      <c r="W116" s="2">
        <v>102.91</v>
      </c>
      <c r="X116" s="3">
        <f t="shared" si="2"/>
        <v>514.54999999999995</v>
      </c>
      <c r="Y116">
        <f>VLOOKUP(D116,'[1]Cost Sheet'!$C:$D,2,0)</f>
        <v>102.91</v>
      </c>
      <c r="Z116" s="3">
        <f t="shared" si="3"/>
        <v>514.54999999999995</v>
      </c>
    </row>
    <row r="117" spans="1:26" x14ac:dyDescent="0.3">
      <c r="A117" s="7" t="s">
        <v>21</v>
      </c>
      <c r="B117" t="s">
        <v>115</v>
      </c>
      <c r="C117" t="s">
        <v>116</v>
      </c>
      <c r="D117" t="s">
        <v>117</v>
      </c>
      <c r="E117" t="s">
        <v>118</v>
      </c>
      <c r="F117" t="s">
        <v>26</v>
      </c>
      <c r="G117">
        <v>31</v>
      </c>
      <c r="H117">
        <v>0</v>
      </c>
      <c r="I117">
        <v>0</v>
      </c>
      <c r="J117">
        <v>-2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29</v>
      </c>
      <c r="T117">
        <v>0</v>
      </c>
      <c r="U117" t="s">
        <v>59</v>
      </c>
      <c r="W117" s="2">
        <v>102.91</v>
      </c>
      <c r="X117" s="3">
        <f t="shared" si="2"/>
        <v>2984.39</v>
      </c>
      <c r="Y117">
        <f>VLOOKUP(D117,'[1]Cost Sheet'!$C:$D,2,0)</f>
        <v>102.91</v>
      </c>
      <c r="Z117" s="3">
        <f t="shared" si="3"/>
        <v>2984.39</v>
      </c>
    </row>
    <row r="118" spans="1:26" x14ac:dyDescent="0.3">
      <c r="A118" s="7" t="s">
        <v>21</v>
      </c>
      <c r="B118" t="s">
        <v>115</v>
      </c>
      <c r="C118" t="s">
        <v>116</v>
      </c>
      <c r="D118" t="s">
        <v>117</v>
      </c>
      <c r="E118" t="s">
        <v>118</v>
      </c>
      <c r="F118" t="s">
        <v>26</v>
      </c>
      <c r="G118">
        <v>27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27</v>
      </c>
      <c r="T118">
        <v>0</v>
      </c>
      <c r="U118" t="s">
        <v>27</v>
      </c>
      <c r="W118" s="2">
        <v>102.91</v>
      </c>
      <c r="X118" s="3">
        <f t="shared" si="2"/>
        <v>2778.5699999999997</v>
      </c>
      <c r="Y118">
        <f>VLOOKUP(D118,'[1]Cost Sheet'!$C:$D,2,0)</f>
        <v>102.91</v>
      </c>
      <c r="Z118" s="3">
        <f t="shared" si="3"/>
        <v>2778.5699999999997</v>
      </c>
    </row>
    <row r="119" spans="1:26" x14ac:dyDescent="0.3">
      <c r="A119" s="7" t="s">
        <v>21</v>
      </c>
      <c r="B119" t="s">
        <v>121</v>
      </c>
      <c r="C119" t="s">
        <v>122</v>
      </c>
      <c r="D119" t="s">
        <v>123</v>
      </c>
      <c r="E119" t="s">
        <v>124</v>
      </c>
      <c r="F119" t="s">
        <v>125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 t="s">
        <v>53</v>
      </c>
      <c r="W119" s="2">
        <v>63.26</v>
      </c>
      <c r="X119" s="3">
        <f t="shared" si="2"/>
        <v>63.26</v>
      </c>
      <c r="Y119">
        <f>VLOOKUP(D119,'[1]Cost Sheet'!$C:$D,2,0)</f>
        <v>63.4</v>
      </c>
      <c r="Z119" s="3">
        <f t="shared" si="3"/>
        <v>63.4</v>
      </c>
    </row>
    <row r="120" spans="1:26" x14ac:dyDescent="0.3">
      <c r="A120" s="7" t="s">
        <v>21</v>
      </c>
      <c r="B120" t="s">
        <v>121</v>
      </c>
      <c r="C120" t="s">
        <v>122</v>
      </c>
      <c r="D120" t="s">
        <v>123</v>
      </c>
      <c r="E120" t="s">
        <v>124</v>
      </c>
      <c r="F120" t="s">
        <v>125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 t="s">
        <v>88</v>
      </c>
      <c r="W120" s="2">
        <v>63.26</v>
      </c>
      <c r="X120" s="3">
        <f t="shared" si="2"/>
        <v>63.26</v>
      </c>
      <c r="Y120">
        <f>VLOOKUP(D120,'[1]Cost Sheet'!$C:$D,2,0)</f>
        <v>63.4</v>
      </c>
      <c r="Z120" s="3">
        <f t="shared" si="3"/>
        <v>63.4</v>
      </c>
    </row>
    <row r="121" spans="1:26" x14ac:dyDescent="0.3">
      <c r="A121" s="7" t="s">
        <v>21</v>
      </c>
      <c r="B121" t="s">
        <v>121</v>
      </c>
      <c r="C121" t="s">
        <v>122</v>
      </c>
      <c r="D121" t="s">
        <v>123</v>
      </c>
      <c r="E121" t="s">
        <v>124</v>
      </c>
      <c r="F121" t="s">
        <v>106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 t="s">
        <v>45</v>
      </c>
      <c r="W121" s="2">
        <v>63.26</v>
      </c>
      <c r="X121" s="3">
        <f t="shared" si="2"/>
        <v>63.26</v>
      </c>
      <c r="Y121">
        <f>VLOOKUP(D121,'[1]Cost Sheet'!$C:$D,2,0)</f>
        <v>63.4</v>
      </c>
      <c r="Z121" s="3">
        <f t="shared" si="3"/>
        <v>63.4</v>
      </c>
    </row>
    <row r="122" spans="1:26" x14ac:dyDescent="0.3">
      <c r="A122" s="7" t="s">
        <v>21</v>
      </c>
      <c r="B122" t="s">
        <v>121</v>
      </c>
      <c r="C122" t="s">
        <v>122</v>
      </c>
      <c r="D122" t="s">
        <v>123</v>
      </c>
      <c r="E122" t="s">
        <v>124</v>
      </c>
      <c r="F122" t="s">
        <v>106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0</v>
      </c>
      <c r="U122" t="s">
        <v>54</v>
      </c>
      <c r="W122" s="2">
        <v>63.26</v>
      </c>
      <c r="X122" s="3">
        <f t="shared" si="2"/>
        <v>126.52</v>
      </c>
      <c r="Y122">
        <f>VLOOKUP(D122,'[1]Cost Sheet'!$C:$D,2,0)</f>
        <v>63.4</v>
      </c>
      <c r="Z122" s="3">
        <f t="shared" si="3"/>
        <v>126.8</v>
      </c>
    </row>
    <row r="123" spans="1:26" x14ac:dyDescent="0.3">
      <c r="A123" s="7" t="s">
        <v>21</v>
      </c>
      <c r="B123" t="s">
        <v>121</v>
      </c>
      <c r="C123" t="s">
        <v>122</v>
      </c>
      <c r="D123" t="s">
        <v>123</v>
      </c>
      <c r="E123" t="s">
        <v>124</v>
      </c>
      <c r="F123" t="s">
        <v>93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-1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47</v>
      </c>
      <c r="W123" s="2">
        <v>63.26</v>
      </c>
      <c r="X123" s="3">
        <f t="shared" si="2"/>
        <v>0</v>
      </c>
      <c r="Y123">
        <f>VLOOKUP(D123,'[1]Cost Sheet'!$C:$D,2,0)</f>
        <v>63.4</v>
      </c>
      <c r="Z123" s="3">
        <f t="shared" si="3"/>
        <v>0</v>
      </c>
    </row>
    <row r="124" spans="1:26" x14ac:dyDescent="0.3">
      <c r="A124" s="7" t="s">
        <v>21</v>
      </c>
      <c r="B124" t="s">
        <v>121</v>
      </c>
      <c r="C124" t="s">
        <v>122</v>
      </c>
      <c r="D124" t="s">
        <v>123</v>
      </c>
      <c r="E124" t="s">
        <v>124</v>
      </c>
      <c r="F124" t="s">
        <v>26</v>
      </c>
      <c r="G124">
        <v>48</v>
      </c>
      <c r="H124">
        <v>1</v>
      </c>
      <c r="I124">
        <v>0</v>
      </c>
      <c r="J124">
        <v>-2</v>
      </c>
      <c r="K124">
        <v>0</v>
      </c>
      <c r="L124">
        <v>0</v>
      </c>
      <c r="M124">
        <v>-1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45</v>
      </c>
      <c r="T124">
        <v>0</v>
      </c>
      <c r="U124" t="s">
        <v>38</v>
      </c>
      <c r="W124" s="2">
        <v>63.26</v>
      </c>
      <c r="X124" s="3">
        <f t="shared" si="2"/>
        <v>2846.7</v>
      </c>
      <c r="Y124">
        <f>VLOOKUP(D124,'[1]Cost Sheet'!$C:$D,2,0)</f>
        <v>63.4</v>
      </c>
      <c r="Z124" s="3">
        <f t="shared" si="3"/>
        <v>2853</v>
      </c>
    </row>
    <row r="125" spans="1:26" x14ac:dyDescent="0.3">
      <c r="A125" s="7" t="s">
        <v>21</v>
      </c>
      <c r="B125" t="s">
        <v>121</v>
      </c>
      <c r="C125" t="s">
        <v>122</v>
      </c>
      <c r="D125" t="s">
        <v>123</v>
      </c>
      <c r="E125" t="s">
        <v>124</v>
      </c>
      <c r="F125" t="s">
        <v>26</v>
      </c>
      <c r="G125">
        <v>52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52</v>
      </c>
      <c r="T125">
        <v>0</v>
      </c>
      <c r="U125" t="s">
        <v>107</v>
      </c>
      <c r="W125" s="2">
        <v>63.26</v>
      </c>
      <c r="X125" s="3">
        <f t="shared" si="2"/>
        <v>3289.52</v>
      </c>
      <c r="Y125">
        <f>VLOOKUP(D125,'[1]Cost Sheet'!$C:$D,2,0)</f>
        <v>63.4</v>
      </c>
      <c r="Z125" s="3">
        <f t="shared" si="3"/>
        <v>3296.7999999999997</v>
      </c>
    </row>
    <row r="126" spans="1:26" x14ac:dyDescent="0.3">
      <c r="A126" s="7" t="s">
        <v>21</v>
      </c>
      <c r="B126" t="s">
        <v>121</v>
      </c>
      <c r="C126" t="s">
        <v>122</v>
      </c>
      <c r="D126" t="s">
        <v>123</v>
      </c>
      <c r="E126" t="s">
        <v>124</v>
      </c>
      <c r="F126" t="s">
        <v>26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0</v>
      </c>
      <c r="U126" t="s">
        <v>45</v>
      </c>
      <c r="W126" s="2">
        <v>63.26</v>
      </c>
      <c r="X126" s="3">
        <f t="shared" si="2"/>
        <v>126.52</v>
      </c>
      <c r="Y126">
        <f>VLOOKUP(D126,'[1]Cost Sheet'!$C:$D,2,0)</f>
        <v>63.4</v>
      </c>
      <c r="Z126" s="3">
        <f t="shared" si="3"/>
        <v>126.8</v>
      </c>
    </row>
    <row r="127" spans="1:26" x14ac:dyDescent="0.3">
      <c r="A127" s="7" t="s">
        <v>21</v>
      </c>
      <c r="B127" t="s">
        <v>121</v>
      </c>
      <c r="C127" t="s">
        <v>122</v>
      </c>
      <c r="D127" t="s">
        <v>123</v>
      </c>
      <c r="E127" t="s">
        <v>124</v>
      </c>
      <c r="F127" t="s">
        <v>26</v>
      </c>
      <c r="G127">
        <v>15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15</v>
      </c>
      <c r="T127">
        <v>0</v>
      </c>
      <c r="U127" t="s">
        <v>39</v>
      </c>
      <c r="W127" s="2">
        <v>63.26</v>
      </c>
      <c r="X127" s="3">
        <f t="shared" si="2"/>
        <v>948.9</v>
      </c>
      <c r="Y127">
        <f>VLOOKUP(D127,'[1]Cost Sheet'!$C:$D,2,0)</f>
        <v>63.4</v>
      </c>
      <c r="Z127" s="3">
        <f t="shared" si="3"/>
        <v>951</v>
      </c>
    </row>
    <row r="128" spans="1:26" x14ac:dyDescent="0.3">
      <c r="A128" s="7" t="s">
        <v>21</v>
      </c>
      <c r="B128" t="s">
        <v>121</v>
      </c>
      <c r="C128" t="s">
        <v>122</v>
      </c>
      <c r="D128" t="s">
        <v>123</v>
      </c>
      <c r="E128" t="s">
        <v>124</v>
      </c>
      <c r="F128" t="s">
        <v>26</v>
      </c>
      <c r="G128">
        <v>1</v>
      </c>
      <c r="H128">
        <v>0</v>
      </c>
      <c r="I128">
        <v>0</v>
      </c>
      <c r="J128">
        <v>-1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53</v>
      </c>
      <c r="W128" s="2">
        <v>63.26</v>
      </c>
      <c r="X128" s="3">
        <f t="shared" si="2"/>
        <v>0</v>
      </c>
      <c r="Y128">
        <f>VLOOKUP(D128,'[1]Cost Sheet'!$C:$D,2,0)</f>
        <v>63.4</v>
      </c>
      <c r="Z128" s="3">
        <f t="shared" si="3"/>
        <v>0</v>
      </c>
    </row>
    <row r="129" spans="1:26" x14ac:dyDescent="0.3">
      <c r="A129" s="7" t="s">
        <v>21</v>
      </c>
      <c r="B129" t="s">
        <v>121</v>
      </c>
      <c r="C129" t="s">
        <v>122</v>
      </c>
      <c r="D129" t="s">
        <v>123</v>
      </c>
      <c r="E129" t="s">
        <v>124</v>
      </c>
      <c r="F129" t="s">
        <v>26</v>
      </c>
      <c r="G129">
        <v>48</v>
      </c>
      <c r="H129">
        <v>0</v>
      </c>
      <c r="I129">
        <v>0</v>
      </c>
      <c r="J129">
        <v>-1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47</v>
      </c>
      <c r="T129">
        <v>0</v>
      </c>
      <c r="U129" t="s">
        <v>54</v>
      </c>
      <c r="W129" s="2">
        <v>63.26</v>
      </c>
      <c r="X129" s="3">
        <f t="shared" si="2"/>
        <v>2973.22</v>
      </c>
      <c r="Y129">
        <f>VLOOKUP(D129,'[1]Cost Sheet'!$C:$D,2,0)</f>
        <v>63.4</v>
      </c>
      <c r="Z129" s="3">
        <f t="shared" si="3"/>
        <v>2979.7999999999997</v>
      </c>
    </row>
    <row r="130" spans="1:26" x14ac:dyDescent="0.3">
      <c r="A130" s="7" t="s">
        <v>21</v>
      </c>
      <c r="B130" t="s">
        <v>121</v>
      </c>
      <c r="C130" t="s">
        <v>122</v>
      </c>
      <c r="D130" t="s">
        <v>123</v>
      </c>
      <c r="E130" t="s">
        <v>124</v>
      </c>
      <c r="F130" t="s">
        <v>26</v>
      </c>
      <c r="G130">
        <v>4</v>
      </c>
      <c r="H130">
        <v>0</v>
      </c>
      <c r="I130">
        <v>0</v>
      </c>
      <c r="J130">
        <v>-2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0</v>
      </c>
      <c r="U130" t="s">
        <v>32</v>
      </c>
      <c r="W130" s="2">
        <v>63.26</v>
      </c>
      <c r="X130" s="3">
        <f t="shared" si="2"/>
        <v>126.52</v>
      </c>
      <c r="Y130">
        <f>VLOOKUP(D130,'[1]Cost Sheet'!$C:$D,2,0)</f>
        <v>63.4</v>
      </c>
      <c r="Z130" s="3">
        <f t="shared" si="3"/>
        <v>126.8</v>
      </c>
    </row>
    <row r="131" spans="1:26" x14ac:dyDescent="0.3">
      <c r="A131" s="7" t="s">
        <v>21</v>
      </c>
      <c r="B131" t="s">
        <v>121</v>
      </c>
      <c r="C131" t="s">
        <v>122</v>
      </c>
      <c r="D131" t="s">
        <v>123</v>
      </c>
      <c r="E131" t="s">
        <v>124</v>
      </c>
      <c r="F131" t="s">
        <v>26</v>
      </c>
      <c r="G131">
        <v>45</v>
      </c>
      <c r="H131">
        <v>0</v>
      </c>
      <c r="I131">
        <v>0</v>
      </c>
      <c r="J131">
        <v>-3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42</v>
      </c>
      <c r="T131">
        <v>0</v>
      </c>
      <c r="U131" t="s">
        <v>33</v>
      </c>
      <c r="W131" s="2">
        <v>63.26</v>
      </c>
      <c r="X131" s="3">
        <f t="shared" ref="X131:X194" si="4">S131*W131</f>
        <v>2656.92</v>
      </c>
      <c r="Y131">
        <f>VLOOKUP(D131,'[1]Cost Sheet'!$C:$D,2,0)</f>
        <v>63.4</v>
      </c>
      <c r="Z131" s="3">
        <f t="shared" ref="Z131:Z194" si="5">Y131*S131</f>
        <v>2662.7999999999997</v>
      </c>
    </row>
    <row r="132" spans="1:26" x14ac:dyDescent="0.3">
      <c r="A132" s="7" t="s">
        <v>21</v>
      </c>
      <c r="B132" t="s">
        <v>121</v>
      </c>
      <c r="C132" t="s">
        <v>122</v>
      </c>
      <c r="D132" t="s">
        <v>123</v>
      </c>
      <c r="E132" t="s">
        <v>124</v>
      </c>
      <c r="F132" t="s">
        <v>26</v>
      </c>
      <c r="G132">
        <v>37</v>
      </c>
      <c r="H132">
        <v>0</v>
      </c>
      <c r="I132">
        <v>0</v>
      </c>
      <c r="J132">
        <v>-3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35</v>
      </c>
      <c r="T132">
        <v>0</v>
      </c>
      <c r="U132" t="s">
        <v>46</v>
      </c>
      <c r="W132" s="2">
        <v>63.26</v>
      </c>
      <c r="X132" s="3">
        <f t="shared" si="4"/>
        <v>2214.1</v>
      </c>
      <c r="Y132">
        <f>VLOOKUP(D132,'[1]Cost Sheet'!$C:$D,2,0)</f>
        <v>63.4</v>
      </c>
      <c r="Z132" s="3">
        <f t="shared" si="5"/>
        <v>2219</v>
      </c>
    </row>
    <row r="133" spans="1:26" x14ac:dyDescent="0.3">
      <c r="A133" s="7" t="s">
        <v>21</v>
      </c>
      <c r="B133" t="s">
        <v>121</v>
      </c>
      <c r="C133" t="s">
        <v>122</v>
      </c>
      <c r="D133" t="s">
        <v>123</v>
      </c>
      <c r="E133" t="s">
        <v>124</v>
      </c>
      <c r="F133" t="s">
        <v>26</v>
      </c>
      <c r="G133">
        <v>1</v>
      </c>
      <c r="H133">
        <v>0</v>
      </c>
      <c r="I133">
        <v>0</v>
      </c>
      <c r="J133">
        <v>-1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40</v>
      </c>
      <c r="W133" s="2">
        <v>63.26</v>
      </c>
      <c r="X133" s="3">
        <f t="shared" si="4"/>
        <v>0</v>
      </c>
      <c r="Y133">
        <f>VLOOKUP(D133,'[1]Cost Sheet'!$C:$D,2,0)</f>
        <v>63.4</v>
      </c>
      <c r="Z133" s="3">
        <f t="shared" si="5"/>
        <v>0</v>
      </c>
    </row>
    <row r="134" spans="1:26" x14ac:dyDescent="0.3">
      <c r="A134" s="7" t="s">
        <v>21</v>
      </c>
      <c r="B134" t="s">
        <v>121</v>
      </c>
      <c r="C134" t="s">
        <v>122</v>
      </c>
      <c r="D134" t="s">
        <v>123</v>
      </c>
      <c r="E134" t="s">
        <v>124</v>
      </c>
      <c r="F134" t="s">
        <v>26</v>
      </c>
      <c r="G134">
        <v>62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62</v>
      </c>
      <c r="T134">
        <v>0</v>
      </c>
      <c r="U134" t="s">
        <v>120</v>
      </c>
      <c r="W134" s="2">
        <v>63.26</v>
      </c>
      <c r="X134" s="3">
        <f t="shared" si="4"/>
        <v>3922.12</v>
      </c>
      <c r="Y134">
        <f>VLOOKUP(D134,'[1]Cost Sheet'!$C:$D,2,0)</f>
        <v>63.4</v>
      </c>
      <c r="Z134" s="3">
        <f t="shared" si="5"/>
        <v>3930.7999999999997</v>
      </c>
    </row>
    <row r="135" spans="1:26" x14ac:dyDescent="0.3">
      <c r="A135" s="7" t="s">
        <v>21</v>
      </c>
      <c r="B135" t="s">
        <v>121</v>
      </c>
      <c r="C135" t="s">
        <v>122</v>
      </c>
      <c r="D135" t="s">
        <v>123</v>
      </c>
      <c r="E135" t="s">
        <v>124</v>
      </c>
      <c r="F135" t="s">
        <v>26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 t="s">
        <v>48</v>
      </c>
      <c r="W135" s="2">
        <v>63.26</v>
      </c>
      <c r="X135" s="3">
        <f t="shared" si="4"/>
        <v>63.26</v>
      </c>
      <c r="Y135">
        <f>VLOOKUP(D135,'[1]Cost Sheet'!$C:$D,2,0)</f>
        <v>63.4</v>
      </c>
      <c r="Z135" s="3">
        <f t="shared" si="5"/>
        <v>63.4</v>
      </c>
    </row>
    <row r="136" spans="1:26" x14ac:dyDescent="0.3">
      <c r="A136" s="7" t="s">
        <v>21</v>
      </c>
      <c r="B136" t="s">
        <v>126</v>
      </c>
      <c r="C136" t="s">
        <v>127</v>
      </c>
      <c r="D136" t="s">
        <v>128</v>
      </c>
      <c r="E136" t="s">
        <v>129</v>
      </c>
      <c r="F136" t="s">
        <v>130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 t="s">
        <v>39</v>
      </c>
      <c r="W136" s="2">
        <v>191.81250793650796</v>
      </c>
      <c r="X136" s="3">
        <f t="shared" si="4"/>
        <v>191.81250793650796</v>
      </c>
      <c r="Y136">
        <f>VLOOKUP(D136,'[1]Cost Sheet'!$C:$D,2,0)</f>
        <v>192.69</v>
      </c>
      <c r="Z136" s="3">
        <f t="shared" si="5"/>
        <v>192.69</v>
      </c>
    </row>
    <row r="137" spans="1:26" x14ac:dyDescent="0.3">
      <c r="A137" s="7" t="s">
        <v>21</v>
      </c>
      <c r="B137" t="s">
        <v>126</v>
      </c>
      <c r="C137" t="s">
        <v>127</v>
      </c>
      <c r="D137" t="s">
        <v>128</v>
      </c>
      <c r="E137" t="s">
        <v>129</v>
      </c>
      <c r="F137" t="s">
        <v>93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 t="s">
        <v>39</v>
      </c>
      <c r="W137" s="2">
        <v>191.81250793650796</v>
      </c>
      <c r="X137" s="3">
        <f t="shared" si="4"/>
        <v>191.81250793650796</v>
      </c>
      <c r="Y137">
        <f>VLOOKUP(D137,'[1]Cost Sheet'!$C:$D,2,0)</f>
        <v>192.69</v>
      </c>
      <c r="Z137" s="3">
        <f t="shared" si="5"/>
        <v>192.69</v>
      </c>
    </row>
    <row r="138" spans="1:26" x14ac:dyDescent="0.3">
      <c r="A138" s="7" t="s">
        <v>21</v>
      </c>
      <c r="B138" t="s">
        <v>126</v>
      </c>
      <c r="C138" t="s">
        <v>127</v>
      </c>
      <c r="D138" t="s">
        <v>128</v>
      </c>
      <c r="E138" t="s">
        <v>129</v>
      </c>
      <c r="F138" t="s">
        <v>26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 t="s">
        <v>38</v>
      </c>
      <c r="W138" s="2">
        <v>191.81250793650796</v>
      </c>
      <c r="X138" s="3">
        <f t="shared" si="4"/>
        <v>191.81250793650796</v>
      </c>
      <c r="Y138">
        <f>VLOOKUP(D138,'[1]Cost Sheet'!$C:$D,2,0)</f>
        <v>192.69</v>
      </c>
      <c r="Z138" s="3">
        <f t="shared" si="5"/>
        <v>192.69</v>
      </c>
    </row>
    <row r="139" spans="1:26" x14ac:dyDescent="0.3">
      <c r="A139" s="7" t="s">
        <v>21</v>
      </c>
      <c r="B139" t="s">
        <v>126</v>
      </c>
      <c r="C139" t="s">
        <v>127</v>
      </c>
      <c r="D139" t="s">
        <v>128</v>
      </c>
      <c r="E139" t="s">
        <v>129</v>
      </c>
      <c r="F139" t="s">
        <v>26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</v>
      </c>
      <c r="T139">
        <v>0</v>
      </c>
      <c r="U139" t="s">
        <v>45</v>
      </c>
      <c r="W139" s="2">
        <v>191.81250793650796</v>
      </c>
      <c r="X139" s="3">
        <f t="shared" si="4"/>
        <v>959.06253968253975</v>
      </c>
      <c r="Y139">
        <f>VLOOKUP(D139,'[1]Cost Sheet'!$C:$D,2,0)</f>
        <v>192.69</v>
      </c>
      <c r="Z139" s="3">
        <f t="shared" si="5"/>
        <v>963.45</v>
      </c>
    </row>
    <row r="140" spans="1:26" x14ac:dyDescent="0.3">
      <c r="A140" s="7" t="s">
        <v>21</v>
      </c>
      <c r="B140" t="s">
        <v>126</v>
      </c>
      <c r="C140" t="s">
        <v>127</v>
      </c>
      <c r="D140" t="s">
        <v>128</v>
      </c>
      <c r="E140" t="s">
        <v>129</v>
      </c>
      <c r="F140" t="s">
        <v>26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23</v>
      </c>
      <c r="T140">
        <v>0</v>
      </c>
      <c r="U140" t="s">
        <v>46</v>
      </c>
      <c r="W140" s="2">
        <v>191.81250793650796</v>
      </c>
      <c r="X140" s="3">
        <f t="shared" si="4"/>
        <v>4411.687682539683</v>
      </c>
      <c r="Y140">
        <f>VLOOKUP(D140,'[1]Cost Sheet'!$C:$D,2,0)</f>
        <v>192.69</v>
      </c>
      <c r="Z140" s="3">
        <f t="shared" si="5"/>
        <v>4431.87</v>
      </c>
    </row>
    <row r="141" spans="1:26" x14ac:dyDescent="0.3">
      <c r="A141" s="7" t="s">
        <v>21</v>
      </c>
      <c r="B141" t="s">
        <v>126</v>
      </c>
      <c r="C141" t="s">
        <v>127</v>
      </c>
      <c r="D141" t="s">
        <v>128</v>
      </c>
      <c r="E141" t="s">
        <v>129</v>
      </c>
      <c r="F141" t="s">
        <v>26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 t="s">
        <v>40</v>
      </c>
      <c r="W141" s="2">
        <v>191.81250793650796</v>
      </c>
      <c r="X141" s="3">
        <f t="shared" si="4"/>
        <v>191.81250793650796</v>
      </c>
      <c r="Y141">
        <f>VLOOKUP(D141,'[1]Cost Sheet'!$C:$D,2,0)</f>
        <v>192.69</v>
      </c>
      <c r="Z141" s="3">
        <f t="shared" si="5"/>
        <v>192.69</v>
      </c>
    </row>
    <row r="142" spans="1:26" x14ac:dyDescent="0.3">
      <c r="A142" s="7" t="s">
        <v>21</v>
      </c>
      <c r="B142" t="s">
        <v>126</v>
      </c>
      <c r="C142" t="s">
        <v>127</v>
      </c>
      <c r="D142" t="s">
        <v>128</v>
      </c>
      <c r="E142" t="s">
        <v>129</v>
      </c>
      <c r="F142" t="s">
        <v>26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 t="s">
        <v>48</v>
      </c>
      <c r="W142" s="2">
        <v>191.81250793650796</v>
      </c>
      <c r="X142" s="3">
        <f t="shared" si="4"/>
        <v>191.81250793650796</v>
      </c>
      <c r="Y142">
        <f>VLOOKUP(D142,'[1]Cost Sheet'!$C:$D,2,0)</f>
        <v>192.69</v>
      </c>
      <c r="Z142" s="3">
        <f t="shared" si="5"/>
        <v>192.69</v>
      </c>
    </row>
    <row r="143" spans="1:26" x14ac:dyDescent="0.3">
      <c r="A143" s="7" t="s">
        <v>21</v>
      </c>
      <c r="B143" t="s">
        <v>126</v>
      </c>
      <c r="C143" t="s">
        <v>127</v>
      </c>
      <c r="D143" t="s">
        <v>128</v>
      </c>
      <c r="E143" t="s">
        <v>129</v>
      </c>
      <c r="F143" t="s">
        <v>114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 t="s">
        <v>88</v>
      </c>
      <c r="W143" s="2">
        <v>191.81250793650796</v>
      </c>
      <c r="X143" s="3">
        <f t="shared" si="4"/>
        <v>191.81250793650796</v>
      </c>
      <c r="Y143">
        <f>VLOOKUP(D143,'[1]Cost Sheet'!$C:$D,2,0)</f>
        <v>192.69</v>
      </c>
      <c r="Z143" s="3">
        <f t="shared" si="5"/>
        <v>192.69</v>
      </c>
    </row>
    <row r="144" spans="1:26" x14ac:dyDescent="0.3">
      <c r="A144" s="7" t="s">
        <v>21</v>
      </c>
      <c r="B144" t="s">
        <v>131</v>
      </c>
      <c r="C144" t="s">
        <v>132</v>
      </c>
      <c r="D144" t="s">
        <v>133</v>
      </c>
      <c r="E144" t="s">
        <v>134</v>
      </c>
      <c r="F144" t="s">
        <v>93</v>
      </c>
      <c r="G144">
        <v>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13</v>
      </c>
      <c r="T144">
        <v>0</v>
      </c>
      <c r="U144" t="s">
        <v>38</v>
      </c>
      <c r="W144" s="2">
        <v>122.80555555555554</v>
      </c>
      <c r="X144" s="3">
        <f t="shared" si="4"/>
        <v>1596.4722222222222</v>
      </c>
      <c r="Y144">
        <f>VLOOKUP(D144,'[1]Cost Sheet'!$C:$D,2,0)</f>
        <v>122.83</v>
      </c>
      <c r="Z144" s="3">
        <f t="shared" si="5"/>
        <v>1596.79</v>
      </c>
    </row>
    <row r="145" spans="1:26" x14ac:dyDescent="0.3">
      <c r="A145" s="7" t="s">
        <v>21</v>
      </c>
      <c r="B145" t="s">
        <v>131</v>
      </c>
      <c r="C145" t="s">
        <v>132</v>
      </c>
      <c r="D145" t="s">
        <v>133</v>
      </c>
      <c r="E145" t="s">
        <v>134</v>
      </c>
      <c r="F145" t="s">
        <v>26</v>
      </c>
      <c r="G145">
        <v>38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38</v>
      </c>
      <c r="T145">
        <v>0</v>
      </c>
      <c r="U145" t="s">
        <v>38</v>
      </c>
      <c r="W145" s="2">
        <v>122.80555555555554</v>
      </c>
      <c r="X145" s="3">
        <f t="shared" si="4"/>
        <v>4666.6111111111104</v>
      </c>
      <c r="Y145">
        <f>VLOOKUP(D145,'[1]Cost Sheet'!$C:$D,2,0)</f>
        <v>122.83</v>
      </c>
      <c r="Z145" s="3">
        <f t="shared" si="5"/>
        <v>4667.54</v>
      </c>
    </row>
    <row r="146" spans="1:26" x14ac:dyDescent="0.3">
      <c r="A146" s="7" t="s">
        <v>21</v>
      </c>
      <c r="B146" t="s">
        <v>131</v>
      </c>
      <c r="C146" t="s">
        <v>132</v>
      </c>
      <c r="D146" t="s">
        <v>133</v>
      </c>
      <c r="E146" t="s">
        <v>134</v>
      </c>
      <c r="F146" t="s">
        <v>26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 t="s">
        <v>45</v>
      </c>
      <c r="W146" s="2">
        <v>122.80555555555554</v>
      </c>
      <c r="X146" s="3">
        <f t="shared" si="4"/>
        <v>122.80555555555554</v>
      </c>
      <c r="Y146">
        <f>VLOOKUP(D146,'[1]Cost Sheet'!$C:$D,2,0)</f>
        <v>122.83</v>
      </c>
      <c r="Z146" s="3">
        <f t="shared" si="5"/>
        <v>122.83</v>
      </c>
    </row>
    <row r="147" spans="1:26" x14ac:dyDescent="0.3">
      <c r="A147" s="7" t="s">
        <v>21</v>
      </c>
      <c r="B147" t="s">
        <v>131</v>
      </c>
      <c r="C147" t="s">
        <v>132</v>
      </c>
      <c r="D147" t="s">
        <v>133</v>
      </c>
      <c r="E147" t="s">
        <v>134</v>
      </c>
      <c r="F147" t="s">
        <v>26</v>
      </c>
      <c r="G147">
        <v>10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</v>
      </c>
      <c r="T147">
        <v>0</v>
      </c>
      <c r="U147" t="s">
        <v>39</v>
      </c>
      <c r="W147" s="2">
        <v>122.80555555555554</v>
      </c>
      <c r="X147" s="3">
        <f t="shared" si="4"/>
        <v>1228.0555555555554</v>
      </c>
      <c r="Y147">
        <f>VLOOKUP(D147,'[1]Cost Sheet'!$C:$D,2,0)</f>
        <v>122.83</v>
      </c>
      <c r="Z147" s="3">
        <f t="shared" si="5"/>
        <v>1228.3</v>
      </c>
    </row>
    <row r="148" spans="1:26" x14ac:dyDescent="0.3">
      <c r="A148" s="7" t="s">
        <v>21</v>
      </c>
      <c r="B148" t="s">
        <v>131</v>
      </c>
      <c r="C148" t="s">
        <v>132</v>
      </c>
      <c r="D148" t="s">
        <v>133</v>
      </c>
      <c r="E148" t="s">
        <v>134</v>
      </c>
      <c r="F148" t="s">
        <v>26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6</v>
      </c>
      <c r="T148">
        <v>0</v>
      </c>
      <c r="U148" t="s">
        <v>32</v>
      </c>
      <c r="W148" s="2">
        <v>122.80555555555554</v>
      </c>
      <c r="X148" s="3">
        <f t="shared" si="4"/>
        <v>736.83333333333326</v>
      </c>
      <c r="Y148">
        <f>VLOOKUP(D148,'[1]Cost Sheet'!$C:$D,2,0)</f>
        <v>122.83</v>
      </c>
      <c r="Z148" s="3">
        <f t="shared" si="5"/>
        <v>736.98</v>
      </c>
    </row>
    <row r="149" spans="1:26" x14ac:dyDescent="0.3">
      <c r="A149" s="7" t="s">
        <v>21</v>
      </c>
      <c r="B149" t="s">
        <v>131</v>
      </c>
      <c r="C149" t="s">
        <v>132</v>
      </c>
      <c r="D149" t="s">
        <v>133</v>
      </c>
      <c r="E149" t="s">
        <v>134</v>
      </c>
      <c r="F149" t="s">
        <v>26</v>
      </c>
      <c r="G149">
        <v>13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13</v>
      </c>
      <c r="T149">
        <v>0</v>
      </c>
      <c r="U149" t="s">
        <v>33</v>
      </c>
      <c r="W149" s="2">
        <v>122.80555555555554</v>
      </c>
      <c r="X149" s="3">
        <f t="shared" si="4"/>
        <v>1596.4722222222222</v>
      </c>
      <c r="Y149">
        <f>VLOOKUP(D149,'[1]Cost Sheet'!$C:$D,2,0)</f>
        <v>122.83</v>
      </c>
      <c r="Z149" s="3">
        <f t="shared" si="5"/>
        <v>1596.79</v>
      </c>
    </row>
    <row r="150" spans="1:26" x14ac:dyDescent="0.3">
      <c r="A150" s="7" t="s">
        <v>21</v>
      </c>
      <c r="B150" t="s">
        <v>131</v>
      </c>
      <c r="C150" t="s">
        <v>132</v>
      </c>
      <c r="D150" t="s">
        <v>133</v>
      </c>
      <c r="E150" t="s">
        <v>134</v>
      </c>
      <c r="F150" t="s">
        <v>26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 t="s">
        <v>48</v>
      </c>
      <c r="W150" s="2">
        <v>122.80555555555554</v>
      </c>
      <c r="X150" s="3">
        <f t="shared" si="4"/>
        <v>122.80555555555554</v>
      </c>
      <c r="Y150">
        <f>VLOOKUP(D150,'[1]Cost Sheet'!$C:$D,2,0)</f>
        <v>122.83</v>
      </c>
      <c r="Z150" s="3">
        <f t="shared" si="5"/>
        <v>122.83</v>
      </c>
    </row>
    <row r="151" spans="1:26" x14ac:dyDescent="0.3">
      <c r="A151" s="7" t="s">
        <v>21</v>
      </c>
      <c r="B151" t="s">
        <v>135</v>
      </c>
      <c r="C151" t="s">
        <v>136</v>
      </c>
      <c r="D151" t="s">
        <v>137</v>
      </c>
      <c r="E151" t="s">
        <v>138</v>
      </c>
      <c r="F151" t="s">
        <v>106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 t="s">
        <v>53</v>
      </c>
      <c r="W151" s="2">
        <v>61.48</v>
      </c>
      <c r="X151" s="3">
        <f t="shared" si="4"/>
        <v>122.96</v>
      </c>
      <c r="Y151">
        <f>VLOOKUP(D151,'[1]Cost Sheet'!$C:$D,2,0)</f>
        <v>61.26</v>
      </c>
      <c r="Z151" s="3">
        <f t="shared" si="5"/>
        <v>122.52</v>
      </c>
    </row>
    <row r="152" spans="1:26" x14ac:dyDescent="0.3">
      <c r="A152" s="7" t="s">
        <v>21</v>
      </c>
      <c r="B152" t="s">
        <v>135</v>
      </c>
      <c r="C152" t="s">
        <v>136</v>
      </c>
      <c r="D152" t="s">
        <v>137</v>
      </c>
      <c r="E152" t="s">
        <v>138</v>
      </c>
      <c r="F152" t="s">
        <v>106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 t="s">
        <v>32</v>
      </c>
      <c r="W152" s="2">
        <v>61.48</v>
      </c>
      <c r="X152" s="3">
        <f t="shared" si="4"/>
        <v>61.48</v>
      </c>
      <c r="Y152">
        <f>VLOOKUP(D152,'[1]Cost Sheet'!$C:$D,2,0)</f>
        <v>61.26</v>
      </c>
      <c r="Z152" s="3">
        <f t="shared" si="5"/>
        <v>61.26</v>
      </c>
    </row>
    <row r="153" spans="1:26" x14ac:dyDescent="0.3">
      <c r="A153" s="7" t="s">
        <v>21</v>
      </c>
      <c r="B153" t="s">
        <v>135</v>
      </c>
      <c r="C153" t="s">
        <v>136</v>
      </c>
      <c r="D153" t="s">
        <v>137</v>
      </c>
      <c r="E153" t="s">
        <v>138</v>
      </c>
      <c r="F153" t="s">
        <v>26</v>
      </c>
      <c r="G153">
        <v>4</v>
      </c>
      <c r="H153">
        <v>0</v>
      </c>
      <c r="I153">
        <v>0</v>
      </c>
      <c r="J153">
        <v>-1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 t="s">
        <v>38</v>
      </c>
      <c r="W153" s="2">
        <v>61.48</v>
      </c>
      <c r="X153" s="3">
        <f t="shared" si="4"/>
        <v>184.44</v>
      </c>
      <c r="Y153">
        <f>VLOOKUP(D153,'[1]Cost Sheet'!$C:$D,2,0)</f>
        <v>61.26</v>
      </c>
      <c r="Z153" s="3">
        <f t="shared" si="5"/>
        <v>183.78</v>
      </c>
    </row>
    <row r="154" spans="1:26" x14ac:dyDescent="0.3">
      <c r="A154" s="7" t="s">
        <v>21</v>
      </c>
      <c r="B154" t="s">
        <v>135</v>
      </c>
      <c r="C154" t="s">
        <v>136</v>
      </c>
      <c r="D154" t="s">
        <v>137</v>
      </c>
      <c r="E154" t="s">
        <v>138</v>
      </c>
      <c r="F154" t="s">
        <v>26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 t="s">
        <v>45</v>
      </c>
      <c r="W154" s="2">
        <v>61.48</v>
      </c>
      <c r="X154" s="3">
        <f t="shared" si="4"/>
        <v>61.48</v>
      </c>
      <c r="Y154">
        <f>VLOOKUP(D154,'[1]Cost Sheet'!$C:$D,2,0)</f>
        <v>61.26</v>
      </c>
      <c r="Z154" s="3">
        <f t="shared" si="5"/>
        <v>61.26</v>
      </c>
    </row>
    <row r="155" spans="1:26" x14ac:dyDescent="0.3">
      <c r="A155" s="7" t="s">
        <v>21</v>
      </c>
      <c r="B155" t="s">
        <v>135</v>
      </c>
      <c r="C155" t="s">
        <v>136</v>
      </c>
      <c r="D155" t="s">
        <v>137</v>
      </c>
      <c r="E155" t="s">
        <v>138</v>
      </c>
      <c r="F155" t="s">
        <v>26</v>
      </c>
      <c r="G155">
        <v>23</v>
      </c>
      <c r="H155">
        <v>0</v>
      </c>
      <c r="I155">
        <v>0</v>
      </c>
      <c r="J155">
        <v>-1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22</v>
      </c>
      <c r="T155">
        <v>0</v>
      </c>
      <c r="U155" t="s">
        <v>39</v>
      </c>
      <c r="W155" s="2">
        <v>61.48</v>
      </c>
      <c r="X155" s="3">
        <f t="shared" si="4"/>
        <v>1352.56</v>
      </c>
      <c r="Y155">
        <f>VLOOKUP(D155,'[1]Cost Sheet'!$C:$D,2,0)</f>
        <v>61.26</v>
      </c>
      <c r="Z155" s="3">
        <f t="shared" si="5"/>
        <v>1347.72</v>
      </c>
    </row>
    <row r="156" spans="1:26" x14ac:dyDescent="0.3">
      <c r="A156" s="7" t="s">
        <v>21</v>
      </c>
      <c r="B156" t="s">
        <v>135</v>
      </c>
      <c r="C156" t="s">
        <v>136</v>
      </c>
      <c r="D156" t="s">
        <v>137</v>
      </c>
      <c r="E156" t="s">
        <v>138</v>
      </c>
      <c r="F156" t="s">
        <v>26</v>
      </c>
      <c r="G156">
        <v>2</v>
      </c>
      <c r="H156">
        <v>0</v>
      </c>
      <c r="I156">
        <v>0</v>
      </c>
      <c r="J156">
        <v>-1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 t="s">
        <v>53</v>
      </c>
      <c r="W156" s="2">
        <v>61.48</v>
      </c>
      <c r="X156" s="3">
        <f t="shared" si="4"/>
        <v>61.48</v>
      </c>
      <c r="Y156">
        <f>VLOOKUP(D156,'[1]Cost Sheet'!$C:$D,2,0)</f>
        <v>61.26</v>
      </c>
      <c r="Z156" s="3">
        <f t="shared" si="5"/>
        <v>61.26</v>
      </c>
    </row>
    <row r="157" spans="1:26" x14ac:dyDescent="0.3">
      <c r="A157" s="7" t="s">
        <v>21</v>
      </c>
      <c r="B157" t="s">
        <v>135</v>
      </c>
      <c r="C157" t="s">
        <v>136</v>
      </c>
      <c r="D157" t="s">
        <v>137</v>
      </c>
      <c r="E157" t="s">
        <v>138</v>
      </c>
      <c r="F157" t="s">
        <v>26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</v>
      </c>
      <c r="T157">
        <v>0</v>
      </c>
      <c r="U157" t="s">
        <v>54</v>
      </c>
      <c r="W157" s="2">
        <v>61.48</v>
      </c>
      <c r="X157" s="3">
        <f t="shared" si="4"/>
        <v>491.84</v>
      </c>
      <c r="Y157">
        <f>VLOOKUP(D157,'[1]Cost Sheet'!$C:$D,2,0)</f>
        <v>61.26</v>
      </c>
      <c r="Z157" s="3">
        <f t="shared" si="5"/>
        <v>490.08</v>
      </c>
    </row>
    <row r="158" spans="1:26" x14ac:dyDescent="0.3">
      <c r="A158" s="7" t="s">
        <v>21</v>
      </c>
      <c r="B158" t="s">
        <v>135</v>
      </c>
      <c r="C158" t="s">
        <v>136</v>
      </c>
      <c r="D158" t="s">
        <v>137</v>
      </c>
      <c r="E158" t="s">
        <v>138</v>
      </c>
      <c r="F158" t="s">
        <v>26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-1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88</v>
      </c>
      <c r="W158" s="2">
        <v>61.48</v>
      </c>
      <c r="X158" s="3">
        <f t="shared" si="4"/>
        <v>0</v>
      </c>
      <c r="Y158">
        <f>VLOOKUP(D158,'[1]Cost Sheet'!$C:$D,2,0)</f>
        <v>61.26</v>
      </c>
      <c r="Z158" s="3">
        <f t="shared" si="5"/>
        <v>0</v>
      </c>
    </row>
    <row r="159" spans="1:26" x14ac:dyDescent="0.3">
      <c r="A159" s="7" t="s">
        <v>21</v>
      </c>
      <c r="B159" t="s">
        <v>135</v>
      </c>
      <c r="C159" t="s">
        <v>136</v>
      </c>
      <c r="D159" t="s">
        <v>137</v>
      </c>
      <c r="E159" t="s">
        <v>138</v>
      </c>
      <c r="F159" t="s">
        <v>26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</v>
      </c>
      <c r="T159">
        <v>0</v>
      </c>
      <c r="U159" t="s">
        <v>48</v>
      </c>
      <c r="W159" s="2">
        <v>61.48</v>
      </c>
      <c r="X159" s="3">
        <f t="shared" si="4"/>
        <v>184.44</v>
      </c>
      <c r="Y159">
        <f>VLOOKUP(D159,'[1]Cost Sheet'!$C:$D,2,0)</f>
        <v>61.26</v>
      </c>
      <c r="Z159" s="3">
        <f t="shared" si="5"/>
        <v>183.78</v>
      </c>
    </row>
    <row r="160" spans="1:26" x14ac:dyDescent="0.3">
      <c r="A160" s="7" t="s">
        <v>21</v>
      </c>
      <c r="B160" t="s">
        <v>135</v>
      </c>
      <c r="C160" t="s">
        <v>136</v>
      </c>
      <c r="D160" t="s">
        <v>137</v>
      </c>
      <c r="E160" t="s">
        <v>138</v>
      </c>
      <c r="F160" t="s">
        <v>26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0</v>
      </c>
      <c r="U160" t="s">
        <v>27</v>
      </c>
      <c r="W160" s="2">
        <v>61.48</v>
      </c>
      <c r="X160" s="3">
        <f t="shared" si="4"/>
        <v>122.96</v>
      </c>
      <c r="Y160">
        <f>VLOOKUP(D160,'[1]Cost Sheet'!$C:$D,2,0)</f>
        <v>61.26</v>
      </c>
      <c r="Z160" s="3">
        <f t="shared" si="5"/>
        <v>122.52</v>
      </c>
    </row>
    <row r="161" spans="1:26" x14ac:dyDescent="0.3">
      <c r="A161" s="7" t="s">
        <v>21</v>
      </c>
      <c r="B161" t="s">
        <v>139</v>
      </c>
      <c r="C161" t="s">
        <v>140</v>
      </c>
      <c r="D161" t="s">
        <v>141</v>
      </c>
      <c r="E161" t="s">
        <v>142</v>
      </c>
      <c r="F161" t="s">
        <v>125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 t="s">
        <v>88</v>
      </c>
      <c r="W161" s="2">
        <v>75.81</v>
      </c>
      <c r="X161" s="3">
        <f t="shared" si="4"/>
        <v>75.81</v>
      </c>
      <c r="Y161">
        <f>VLOOKUP(D161,'[1]Cost Sheet'!$C:$D,2,0)</f>
        <v>75.81</v>
      </c>
      <c r="Z161" s="3">
        <f t="shared" si="5"/>
        <v>75.81</v>
      </c>
    </row>
    <row r="162" spans="1:26" x14ac:dyDescent="0.3">
      <c r="A162" s="7" t="s">
        <v>21</v>
      </c>
      <c r="B162" t="s">
        <v>139</v>
      </c>
      <c r="C162" t="s">
        <v>140</v>
      </c>
      <c r="D162" t="s">
        <v>141</v>
      </c>
      <c r="E162" t="s">
        <v>142</v>
      </c>
      <c r="F162" t="s">
        <v>106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 t="s">
        <v>45</v>
      </c>
      <c r="W162" s="2">
        <v>75.81</v>
      </c>
      <c r="X162" s="3">
        <f t="shared" si="4"/>
        <v>75.81</v>
      </c>
      <c r="Y162">
        <f>VLOOKUP(D162,'[1]Cost Sheet'!$C:$D,2,0)</f>
        <v>75.81</v>
      </c>
      <c r="Z162" s="3">
        <f t="shared" si="5"/>
        <v>75.81</v>
      </c>
    </row>
    <row r="163" spans="1:26" x14ac:dyDescent="0.3">
      <c r="A163" s="7" t="s">
        <v>21</v>
      </c>
      <c r="B163" t="s">
        <v>139</v>
      </c>
      <c r="C163" t="s">
        <v>140</v>
      </c>
      <c r="D163" t="s">
        <v>141</v>
      </c>
      <c r="E163" t="s">
        <v>142</v>
      </c>
      <c r="F163" t="s">
        <v>106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 t="s">
        <v>53</v>
      </c>
      <c r="W163" s="2">
        <v>75.81</v>
      </c>
      <c r="X163" s="3">
        <f t="shared" si="4"/>
        <v>75.81</v>
      </c>
      <c r="Y163">
        <f>VLOOKUP(D163,'[1]Cost Sheet'!$C:$D,2,0)</f>
        <v>75.81</v>
      </c>
      <c r="Z163" s="3">
        <f t="shared" si="5"/>
        <v>75.81</v>
      </c>
    </row>
    <row r="164" spans="1:26" x14ac:dyDescent="0.3">
      <c r="A164" s="7" t="s">
        <v>21</v>
      </c>
      <c r="B164" t="s">
        <v>139</v>
      </c>
      <c r="C164" t="s">
        <v>140</v>
      </c>
      <c r="D164" t="s">
        <v>141</v>
      </c>
      <c r="E164" t="s">
        <v>142</v>
      </c>
      <c r="F164" t="s">
        <v>130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-1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39</v>
      </c>
      <c r="W164" s="2">
        <v>75.81</v>
      </c>
      <c r="X164" s="3">
        <f t="shared" si="4"/>
        <v>0</v>
      </c>
      <c r="Y164">
        <f>VLOOKUP(D164,'[1]Cost Sheet'!$C:$D,2,0)</f>
        <v>75.81</v>
      </c>
      <c r="Z164" s="3">
        <f t="shared" si="5"/>
        <v>0</v>
      </c>
    </row>
    <row r="165" spans="1:26" x14ac:dyDescent="0.3">
      <c r="A165" s="7" t="s">
        <v>21</v>
      </c>
      <c r="B165" t="s">
        <v>139</v>
      </c>
      <c r="C165" t="s">
        <v>140</v>
      </c>
      <c r="D165" t="s">
        <v>141</v>
      </c>
      <c r="E165" t="s">
        <v>142</v>
      </c>
      <c r="F165" t="s">
        <v>130</v>
      </c>
      <c r="G165">
        <v>22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22</v>
      </c>
      <c r="T165">
        <v>0</v>
      </c>
      <c r="U165" t="s">
        <v>32</v>
      </c>
      <c r="W165" s="2">
        <v>75.81</v>
      </c>
      <c r="X165" s="3">
        <f t="shared" si="4"/>
        <v>1667.8200000000002</v>
      </c>
      <c r="Y165">
        <f>VLOOKUP(D165,'[1]Cost Sheet'!$C:$D,2,0)</f>
        <v>75.81</v>
      </c>
      <c r="Z165" s="3">
        <f t="shared" si="5"/>
        <v>1667.8200000000002</v>
      </c>
    </row>
    <row r="166" spans="1:26" x14ac:dyDescent="0.3">
      <c r="A166" s="7" t="s">
        <v>21</v>
      </c>
      <c r="B166" t="s">
        <v>139</v>
      </c>
      <c r="C166" t="s">
        <v>140</v>
      </c>
      <c r="D166" t="s">
        <v>141</v>
      </c>
      <c r="E166" t="s">
        <v>142</v>
      </c>
      <c r="F166" t="s">
        <v>26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0</v>
      </c>
      <c r="U166" t="s">
        <v>38</v>
      </c>
      <c r="W166" s="2">
        <v>75.81</v>
      </c>
      <c r="X166" s="3">
        <f t="shared" si="4"/>
        <v>151.62</v>
      </c>
      <c r="Y166">
        <f>VLOOKUP(D166,'[1]Cost Sheet'!$C:$D,2,0)</f>
        <v>75.81</v>
      </c>
      <c r="Z166" s="3">
        <f t="shared" si="5"/>
        <v>151.62</v>
      </c>
    </row>
    <row r="167" spans="1:26" x14ac:dyDescent="0.3">
      <c r="A167" s="7" t="s">
        <v>21</v>
      </c>
      <c r="B167" t="s">
        <v>139</v>
      </c>
      <c r="C167" t="s">
        <v>140</v>
      </c>
      <c r="D167" t="s">
        <v>141</v>
      </c>
      <c r="E167" t="s">
        <v>142</v>
      </c>
      <c r="F167" t="s">
        <v>26</v>
      </c>
      <c r="G167">
        <v>1</v>
      </c>
      <c r="H167">
        <v>0</v>
      </c>
      <c r="I167">
        <v>0</v>
      </c>
      <c r="J167">
        <v>-1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54</v>
      </c>
      <c r="W167" s="2">
        <v>75.81</v>
      </c>
      <c r="X167" s="3">
        <f t="shared" si="4"/>
        <v>0</v>
      </c>
      <c r="Y167">
        <f>VLOOKUP(D167,'[1]Cost Sheet'!$C:$D,2,0)</f>
        <v>75.81</v>
      </c>
      <c r="Z167" s="3">
        <f t="shared" si="5"/>
        <v>0</v>
      </c>
    </row>
    <row r="168" spans="1:26" x14ac:dyDescent="0.3">
      <c r="A168" s="7" t="s">
        <v>21</v>
      </c>
      <c r="B168" t="s">
        <v>139</v>
      </c>
      <c r="C168" t="s">
        <v>140</v>
      </c>
      <c r="D168" t="s">
        <v>141</v>
      </c>
      <c r="E168" t="s">
        <v>142</v>
      </c>
      <c r="F168" t="s">
        <v>26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 t="s">
        <v>111</v>
      </c>
      <c r="W168" s="2">
        <v>75.81</v>
      </c>
      <c r="X168" s="3">
        <f t="shared" si="4"/>
        <v>75.81</v>
      </c>
      <c r="Y168">
        <f>VLOOKUP(D168,'[1]Cost Sheet'!$C:$D,2,0)</f>
        <v>75.81</v>
      </c>
      <c r="Z168" s="3">
        <f t="shared" si="5"/>
        <v>75.81</v>
      </c>
    </row>
    <row r="169" spans="1:26" x14ac:dyDescent="0.3">
      <c r="A169" s="7" t="s">
        <v>21</v>
      </c>
      <c r="B169" t="s">
        <v>139</v>
      </c>
      <c r="C169" t="s">
        <v>140</v>
      </c>
      <c r="D169" t="s">
        <v>141</v>
      </c>
      <c r="E169" t="s">
        <v>142</v>
      </c>
      <c r="F169" t="s">
        <v>26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7</v>
      </c>
      <c r="T169">
        <v>0</v>
      </c>
      <c r="U169" t="s">
        <v>40</v>
      </c>
      <c r="W169" s="2">
        <v>75.81</v>
      </c>
      <c r="X169" s="3">
        <f t="shared" si="4"/>
        <v>530.67000000000007</v>
      </c>
      <c r="Y169">
        <f>VLOOKUP(D169,'[1]Cost Sheet'!$C:$D,2,0)</f>
        <v>75.81</v>
      </c>
      <c r="Z169" s="3">
        <f t="shared" si="5"/>
        <v>530.67000000000007</v>
      </c>
    </row>
    <row r="170" spans="1:26" x14ac:dyDescent="0.3">
      <c r="A170" s="7" t="s">
        <v>21</v>
      </c>
      <c r="B170" t="s">
        <v>139</v>
      </c>
      <c r="C170" t="s">
        <v>140</v>
      </c>
      <c r="D170" t="s">
        <v>141</v>
      </c>
      <c r="E170" t="s">
        <v>142</v>
      </c>
      <c r="F170" t="s">
        <v>26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 t="s">
        <v>59</v>
      </c>
      <c r="W170" s="2">
        <v>75.81</v>
      </c>
      <c r="X170" s="3">
        <f t="shared" si="4"/>
        <v>75.81</v>
      </c>
      <c r="Y170">
        <f>VLOOKUP(D170,'[1]Cost Sheet'!$C:$D,2,0)</f>
        <v>75.81</v>
      </c>
      <c r="Z170" s="3">
        <f t="shared" si="5"/>
        <v>75.81</v>
      </c>
    </row>
    <row r="171" spans="1:26" x14ac:dyDescent="0.3">
      <c r="A171" s="7" t="s">
        <v>21</v>
      </c>
      <c r="B171" t="s">
        <v>143</v>
      </c>
      <c r="C171" t="s">
        <v>144</v>
      </c>
      <c r="D171" t="s">
        <v>145</v>
      </c>
      <c r="E171" t="s">
        <v>146</v>
      </c>
      <c r="F171" t="s">
        <v>26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</v>
      </c>
      <c r="T171">
        <v>0</v>
      </c>
      <c r="U171" t="s">
        <v>38</v>
      </c>
      <c r="W171" s="2">
        <v>70.2</v>
      </c>
      <c r="X171" s="3">
        <f t="shared" si="4"/>
        <v>702</v>
      </c>
      <c r="Y171">
        <f>VLOOKUP(D171,'[1]Cost Sheet'!$C:$D,2,0)</f>
        <v>70.2</v>
      </c>
      <c r="Z171" s="3">
        <f t="shared" si="5"/>
        <v>702</v>
      </c>
    </row>
    <row r="172" spans="1:26" x14ac:dyDescent="0.3">
      <c r="A172" s="7" t="s">
        <v>21</v>
      </c>
      <c r="B172" t="s">
        <v>143</v>
      </c>
      <c r="C172" t="s">
        <v>144</v>
      </c>
      <c r="D172" t="s">
        <v>145</v>
      </c>
      <c r="E172" t="s">
        <v>146</v>
      </c>
      <c r="F172" t="s">
        <v>26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 t="s">
        <v>107</v>
      </c>
      <c r="W172" s="2">
        <v>70.2</v>
      </c>
      <c r="X172" s="3">
        <f t="shared" si="4"/>
        <v>70.2</v>
      </c>
      <c r="Y172">
        <f>VLOOKUP(D172,'[1]Cost Sheet'!$C:$D,2,0)</f>
        <v>70.2</v>
      </c>
      <c r="Z172" s="3">
        <f t="shared" si="5"/>
        <v>70.2</v>
      </c>
    </row>
    <row r="173" spans="1:26" x14ac:dyDescent="0.3">
      <c r="A173" s="7" t="s">
        <v>21</v>
      </c>
      <c r="B173" t="s">
        <v>143</v>
      </c>
      <c r="C173" t="s">
        <v>144</v>
      </c>
      <c r="D173" t="s">
        <v>145</v>
      </c>
      <c r="E173" t="s">
        <v>146</v>
      </c>
      <c r="F173" t="s">
        <v>26</v>
      </c>
      <c r="G173">
        <v>70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70</v>
      </c>
      <c r="T173">
        <v>0</v>
      </c>
      <c r="U173" t="s">
        <v>53</v>
      </c>
      <c r="W173" s="2">
        <v>70.2</v>
      </c>
      <c r="X173" s="3">
        <f t="shared" si="4"/>
        <v>4914</v>
      </c>
      <c r="Y173">
        <f>VLOOKUP(D173,'[1]Cost Sheet'!$C:$D,2,0)</f>
        <v>70.2</v>
      </c>
      <c r="Z173" s="3">
        <f t="shared" si="5"/>
        <v>4914</v>
      </c>
    </row>
    <row r="174" spans="1:26" x14ac:dyDescent="0.3">
      <c r="A174" s="7" t="s">
        <v>21</v>
      </c>
      <c r="B174" t="s">
        <v>143</v>
      </c>
      <c r="C174" t="s">
        <v>144</v>
      </c>
      <c r="D174" t="s">
        <v>145</v>
      </c>
      <c r="E174" t="s">
        <v>146</v>
      </c>
      <c r="F174" t="s">
        <v>26</v>
      </c>
      <c r="G174">
        <v>54</v>
      </c>
      <c r="H174">
        <v>0</v>
      </c>
      <c r="I174">
        <v>0</v>
      </c>
      <c r="J174">
        <v>-2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52</v>
      </c>
      <c r="T174">
        <v>0</v>
      </c>
      <c r="U174" t="s">
        <v>32</v>
      </c>
      <c r="W174" s="2">
        <v>70.2</v>
      </c>
      <c r="X174" s="3">
        <f t="shared" si="4"/>
        <v>3650.4</v>
      </c>
      <c r="Y174">
        <f>VLOOKUP(D174,'[1]Cost Sheet'!$C:$D,2,0)</f>
        <v>70.2</v>
      </c>
      <c r="Z174" s="3">
        <f t="shared" si="5"/>
        <v>3650.4</v>
      </c>
    </row>
    <row r="175" spans="1:26" x14ac:dyDescent="0.3">
      <c r="A175" s="7" t="s">
        <v>21</v>
      </c>
      <c r="B175" t="s">
        <v>143</v>
      </c>
      <c r="C175" t="s">
        <v>144</v>
      </c>
      <c r="D175" t="s">
        <v>145</v>
      </c>
      <c r="E175" t="s">
        <v>146</v>
      </c>
      <c r="F175" t="s">
        <v>26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 t="s">
        <v>46</v>
      </c>
      <c r="W175" s="2">
        <v>70.2</v>
      </c>
      <c r="X175" s="3">
        <f t="shared" si="4"/>
        <v>70.2</v>
      </c>
      <c r="Y175">
        <f>VLOOKUP(D175,'[1]Cost Sheet'!$C:$D,2,0)</f>
        <v>70.2</v>
      </c>
      <c r="Z175" s="3">
        <f t="shared" si="5"/>
        <v>70.2</v>
      </c>
    </row>
    <row r="176" spans="1:26" x14ac:dyDescent="0.3">
      <c r="A176" s="7" t="s">
        <v>21</v>
      </c>
      <c r="B176" t="s">
        <v>143</v>
      </c>
      <c r="C176" t="s">
        <v>144</v>
      </c>
      <c r="D176" t="s">
        <v>145</v>
      </c>
      <c r="E176" t="s">
        <v>146</v>
      </c>
      <c r="F176" t="s">
        <v>26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-1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11</v>
      </c>
      <c r="T176">
        <v>0</v>
      </c>
      <c r="U176" t="s">
        <v>47</v>
      </c>
      <c r="W176" s="2">
        <v>70.2</v>
      </c>
      <c r="X176" s="3">
        <f t="shared" si="4"/>
        <v>772.2</v>
      </c>
      <c r="Y176">
        <f>VLOOKUP(D176,'[1]Cost Sheet'!$C:$D,2,0)</f>
        <v>70.2</v>
      </c>
      <c r="Z176" s="3">
        <f t="shared" si="5"/>
        <v>772.2</v>
      </c>
    </row>
    <row r="177" spans="1:26" x14ac:dyDescent="0.3">
      <c r="A177" s="7" t="s">
        <v>21</v>
      </c>
      <c r="B177" t="s">
        <v>143</v>
      </c>
      <c r="C177" t="s">
        <v>144</v>
      </c>
      <c r="D177" t="s">
        <v>145</v>
      </c>
      <c r="E177" t="s">
        <v>146</v>
      </c>
      <c r="F177" t="s">
        <v>26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 t="s">
        <v>40</v>
      </c>
      <c r="W177" s="2">
        <v>70.2</v>
      </c>
      <c r="X177" s="3">
        <f t="shared" si="4"/>
        <v>70.2</v>
      </c>
      <c r="Y177">
        <f>VLOOKUP(D177,'[1]Cost Sheet'!$C:$D,2,0)</f>
        <v>70.2</v>
      </c>
      <c r="Z177" s="3">
        <f t="shared" si="5"/>
        <v>70.2</v>
      </c>
    </row>
    <row r="178" spans="1:26" x14ac:dyDescent="0.3">
      <c r="A178" s="7" t="s">
        <v>21</v>
      </c>
      <c r="B178" t="s">
        <v>143</v>
      </c>
      <c r="C178" t="s">
        <v>144</v>
      </c>
      <c r="D178" t="s">
        <v>145</v>
      </c>
      <c r="E178" t="s">
        <v>146</v>
      </c>
      <c r="F178" t="s">
        <v>26</v>
      </c>
      <c r="G178">
        <v>7</v>
      </c>
      <c r="H178">
        <v>0</v>
      </c>
      <c r="I178">
        <v>0</v>
      </c>
      <c r="J178">
        <v>-1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6</v>
      </c>
      <c r="T178">
        <v>0</v>
      </c>
      <c r="U178" t="s">
        <v>113</v>
      </c>
      <c r="W178" s="2">
        <v>70.2</v>
      </c>
      <c r="X178" s="3">
        <f t="shared" si="4"/>
        <v>421.20000000000005</v>
      </c>
      <c r="Y178">
        <f>VLOOKUP(D178,'[1]Cost Sheet'!$C:$D,2,0)</f>
        <v>70.2</v>
      </c>
      <c r="Z178" s="3">
        <f t="shared" si="5"/>
        <v>421.20000000000005</v>
      </c>
    </row>
    <row r="179" spans="1:26" x14ac:dyDescent="0.3">
      <c r="A179" s="7" t="s">
        <v>21</v>
      </c>
      <c r="B179" t="s">
        <v>143</v>
      </c>
      <c r="C179" t="s">
        <v>144</v>
      </c>
      <c r="D179" t="s">
        <v>145</v>
      </c>
      <c r="E179" t="s">
        <v>146</v>
      </c>
      <c r="F179" t="s">
        <v>26</v>
      </c>
      <c r="G179">
        <v>67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67</v>
      </c>
      <c r="T179">
        <v>0</v>
      </c>
      <c r="U179" t="s">
        <v>59</v>
      </c>
      <c r="W179" s="2">
        <v>70.2</v>
      </c>
      <c r="X179" s="3">
        <f t="shared" si="4"/>
        <v>4703.4000000000005</v>
      </c>
      <c r="Y179">
        <f>VLOOKUP(D179,'[1]Cost Sheet'!$C:$D,2,0)</f>
        <v>70.2</v>
      </c>
      <c r="Z179" s="3">
        <f t="shared" si="5"/>
        <v>4703.4000000000005</v>
      </c>
    </row>
    <row r="180" spans="1:26" x14ac:dyDescent="0.3">
      <c r="A180" s="7" t="s">
        <v>21</v>
      </c>
      <c r="B180" t="s">
        <v>147</v>
      </c>
      <c r="C180" t="s">
        <v>148</v>
      </c>
      <c r="D180" t="s">
        <v>149</v>
      </c>
      <c r="E180" t="s">
        <v>150</v>
      </c>
      <c r="F180" t="s">
        <v>106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 t="s">
        <v>38</v>
      </c>
      <c r="W180" s="2">
        <v>66.328461538461553</v>
      </c>
      <c r="X180" s="3">
        <f t="shared" si="4"/>
        <v>66.328461538461553</v>
      </c>
      <c r="Y180">
        <f>VLOOKUP(D180,'[1]Cost Sheet'!$C:$D,2,0)</f>
        <v>66.34</v>
      </c>
      <c r="Z180" s="3">
        <f t="shared" si="5"/>
        <v>66.34</v>
      </c>
    </row>
    <row r="181" spans="1:26" x14ac:dyDescent="0.3">
      <c r="A181" s="7" t="s">
        <v>21</v>
      </c>
      <c r="B181" t="s">
        <v>147</v>
      </c>
      <c r="C181" t="s">
        <v>148</v>
      </c>
      <c r="D181" t="s">
        <v>149</v>
      </c>
      <c r="E181" t="s">
        <v>150</v>
      </c>
      <c r="F181" t="s">
        <v>106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-2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 t="s">
        <v>45</v>
      </c>
      <c r="W181" s="2">
        <v>66.328461538461553</v>
      </c>
      <c r="X181" s="3">
        <f t="shared" si="4"/>
        <v>66.328461538461553</v>
      </c>
      <c r="Y181">
        <f>VLOOKUP(D181,'[1]Cost Sheet'!$C:$D,2,0)</f>
        <v>66.34</v>
      </c>
      <c r="Z181" s="3">
        <f t="shared" si="5"/>
        <v>66.34</v>
      </c>
    </row>
    <row r="182" spans="1:26" x14ac:dyDescent="0.3">
      <c r="A182" s="7" t="s">
        <v>21</v>
      </c>
      <c r="B182" t="s">
        <v>147</v>
      </c>
      <c r="C182" t="s">
        <v>148</v>
      </c>
      <c r="D182" t="s">
        <v>149</v>
      </c>
      <c r="E182" t="s">
        <v>150</v>
      </c>
      <c r="F182" t="s">
        <v>106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 t="s">
        <v>39</v>
      </c>
      <c r="W182" s="2">
        <v>66.328461538461553</v>
      </c>
      <c r="X182" s="3">
        <f t="shared" si="4"/>
        <v>66.328461538461553</v>
      </c>
      <c r="Y182">
        <f>VLOOKUP(D182,'[1]Cost Sheet'!$C:$D,2,0)</f>
        <v>66.34</v>
      </c>
      <c r="Z182" s="3">
        <f t="shared" si="5"/>
        <v>66.34</v>
      </c>
    </row>
    <row r="183" spans="1:26" x14ac:dyDescent="0.3">
      <c r="A183" s="7" t="s">
        <v>21</v>
      </c>
      <c r="B183" t="s">
        <v>147</v>
      </c>
      <c r="C183" t="s">
        <v>148</v>
      </c>
      <c r="D183" t="s">
        <v>149</v>
      </c>
      <c r="E183" t="s">
        <v>150</v>
      </c>
      <c r="F183" t="s">
        <v>106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 t="s">
        <v>53</v>
      </c>
      <c r="W183" s="2">
        <v>66.328461538461553</v>
      </c>
      <c r="X183" s="3">
        <f t="shared" si="4"/>
        <v>132.65692307692311</v>
      </c>
      <c r="Y183">
        <f>VLOOKUP(D183,'[1]Cost Sheet'!$C:$D,2,0)</f>
        <v>66.34</v>
      </c>
      <c r="Z183" s="3">
        <f t="shared" si="5"/>
        <v>132.68</v>
      </c>
    </row>
    <row r="184" spans="1:26" x14ac:dyDescent="0.3">
      <c r="A184" s="7" t="s">
        <v>21</v>
      </c>
      <c r="B184" t="s">
        <v>147</v>
      </c>
      <c r="C184" t="s">
        <v>148</v>
      </c>
      <c r="D184" t="s">
        <v>149</v>
      </c>
      <c r="E184" t="s">
        <v>150</v>
      </c>
      <c r="F184" t="s">
        <v>106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 t="s">
        <v>54</v>
      </c>
      <c r="W184" s="2">
        <v>66.328461538461553</v>
      </c>
      <c r="X184" s="3">
        <f t="shared" si="4"/>
        <v>66.328461538461553</v>
      </c>
      <c r="Y184">
        <f>VLOOKUP(D184,'[1]Cost Sheet'!$C:$D,2,0)</f>
        <v>66.34</v>
      </c>
      <c r="Z184" s="3">
        <f t="shared" si="5"/>
        <v>66.34</v>
      </c>
    </row>
    <row r="185" spans="1:26" x14ac:dyDescent="0.3">
      <c r="A185" s="7" t="s">
        <v>21</v>
      </c>
      <c r="B185" t="s">
        <v>147</v>
      </c>
      <c r="C185" t="s">
        <v>148</v>
      </c>
      <c r="D185" t="s">
        <v>149</v>
      </c>
      <c r="E185" t="s">
        <v>150</v>
      </c>
      <c r="F185" t="s">
        <v>106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0</v>
      </c>
      <c r="U185" t="s">
        <v>32</v>
      </c>
      <c r="W185" s="2">
        <v>66.328461538461553</v>
      </c>
      <c r="X185" s="3">
        <f t="shared" si="4"/>
        <v>198.98538461538465</v>
      </c>
      <c r="Y185">
        <f>VLOOKUP(D185,'[1]Cost Sheet'!$C:$D,2,0)</f>
        <v>66.34</v>
      </c>
      <c r="Z185" s="3">
        <f t="shared" si="5"/>
        <v>199.02</v>
      </c>
    </row>
    <row r="186" spans="1:26" x14ac:dyDescent="0.3">
      <c r="A186" s="7" t="s">
        <v>21</v>
      </c>
      <c r="B186" t="s">
        <v>147</v>
      </c>
      <c r="C186" t="s">
        <v>148</v>
      </c>
      <c r="D186" t="s">
        <v>149</v>
      </c>
      <c r="E186" t="s">
        <v>150</v>
      </c>
      <c r="F186" t="s">
        <v>106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</v>
      </c>
      <c r="T186">
        <v>0</v>
      </c>
      <c r="U186" t="s">
        <v>40</v>
      </c>
      <c r="W186" s="2">
        <v>66.328461538461553</v>
      </c>
      <c r="X186" s="3">
        <f t="shared" si="4"/>
        <v>265.31384615384621</v>
      </c>
      <c r="Y186">
        <f>VLOOKUP(D186,'[1]Cost Sheet'!$C:$D,2,0)</f>
        <v>66.34</v>
      </c>
      <c r="Z186" s="3">
        <f t="shared" si="5"/>
        <v>265.36</v>
      </c>
    </row>
    <row r="187" spans="1:26" x14ac:dyDescent="0.3">
      <c r="A187" s="7" t="s">
        <v>21</v>
      </c>
      <c r="B187" t="s">
        <v>147</v>
      </c>
      <c r="C187" t="s">
        <v>148</v>
      </c>
      <c r="D187" t="s">
        <v>149</v>
      </c>
      <c r="E187" t="s">
        <v>150</v>
      </c>
      <c r="F187" t="s">
        <v>106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0</v>
      </c>
      <c r="U187" t="s">
        <v>48</v>
      </c>
      <c r="W187" s="2">
        <v>66.328461538461553</v>
      </c>
      <c r="X187" s="3">
        <f t="shared" si="4"/>
        <v>198.98538461538465</v>
      </c>
      <c r="Y187">
        <f>VLOOKUP(D187,'[1]Cost Sheet'!$C:$D,2,0)</f>
        <v>66.34</v>
      </c>
      <c r="Z187" s="3">
        <f t="shared" si="5"/>
        <v>199.02</v>
      </c>
    </row>
    <row r="188" spans="1:26" x14ac:dyDescent="0.3">
      <c r="A188" s="7" t="s">
        <v>21</v>
      </c>
      <c r="B188" t="s">
        <v>147</v>
      </c>
      <c r="C188" t="s">
        <v>148</v>
      </c>
      <c r="D188" t="s">
        <v>149</v>
      </c>
      <c r="E188" t="s">
        <v>150</v>
      </c>
      <c r="F188" t="s">
        <v>93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s">
        <v>53</v>
      </c>
      <c r="W188" s="2">
        <v>66.328461538461553</v>
      </c>
      <c r="X188" s="3">
        <f t="shared" si="4"/>
        <v>66.328461538461553</v>
      </c>
      <c r="Y188">
        <f>VLOOKUP(D188,'[1]Cost Sheet'!$C:$D,2,0)</f>
        <v>66.34</v>
      </c>
      <c r="Z188" s="3">
        <f t="shared" si="5"/>
        <v>66.34</v>
      </c>
    </row>
    <row r="189" spans="1:26" x14ac:dyDescent="0.3">
      <c r="A189" s="7" t="s">
        <v>21</v>
      </c>
      <c r="B189" t="s">
        <v>147</v>
      </c>
      <c r="C189" t="s">
        <v>148</v>
      </c>
      <c r="D189" t="s">
        <v>149</v>
      </c>
      <c r="E189" t="s">
        <v>150</v>
      </c>
      <c r="F189" t="s">
        <v>93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 t="s">
        <v>54</v>
      </c>
      <c r="W189" s="2">
        <v>66.328461538461553</v>
      </c>
      <c r="X189" s="3">
        <f t="shared" si="4"/>
        <v>66.328461538461553</v>
      </c>
      <c r="Y189">
        <f>VLOOKUP(D189,'[1]Cost Sheet'!$C:$D,2,0)</f>
        <v>66.34</v>
      </c>
      <c r="Z189" s="3">
        <f t="shared" si="5"/>
        <v>66.34</v>
      </c>
    </row>
    <row r="190" spans="1:26" x14ac:dyDescent="0.3">
      <c r="A190" s="7" t="s">
        <v>21</v>
      </c>
      <c r="B190" t="s">
        <v>147</v>
      </c>
      <c r="C190" t="s">
        <v>148</v>
      </c>
      <c r="D190" t="s">
        <v>149</v>
      </c>
      <c r="E190" t="s">
        <v>150</v>
      </c>
      <c r="F190" t="s">
        <v>93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 t="s">
        <v>48</v>
      </c>
      <c r="W190" s="2">
        <v>66.328461538461553</v>
      </c>
      <c r="X190" s="3">
        <f t="shared" si="4"/>
        <v>66.328461538461553</v>
      </c>
      <c r="Y190">
        <f>VLOOKUP(D190,'[1]Cost Sheet'!$C:$D,2,0)</f>
        <v>66.34</v>
      </c>
      <c r="Z190" s="3">
        <f t="shared" si="5"/>
        <v>66.34</v>
      </c>
    </row>
    <row r="191" spans="1:26" x14ac:dyDescent="0.3">
      <c r="A191" s="7" t="s">
        <v>21</v>
      </c>
      <c r="B191" t="s">
        <v>147</v>
      </c>
      <c r="C191" t="s">
        <v>148</v>
      </c>
      <c r="D191" t="s">
        <v>149</v>
      </c>
      <c r="E191" t="s">
        <v>150</v>
      </c>
      <c r="F191" t="s">
        <v>26</v>
      </c>
      <c r="G191">
        <v>135</v>
      </c>
      <c r="H191">
        <v>0</v>
      </c>
      <c r="I191">
        <v>0</v>
      </c>
      <c r="J191">
        <v>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133</v>
      </c>
      <c r="T191">
        <v>0</v>
      </c>
      <c r="U191" t="s">
        <v>38</v>
      </c>
      <c r="W191" s="2">
        <v>66.328461538461553</v>
      </c>
      <c r="X191" s="3">
        <f t="shared" si="4"/>
        <v>8821.6853846153863</v>
      </c>
      <c r="Y191">
        <f>VLOOKUP(D191,'[1]Cost Sheet'!$C:$D,2,0)</f>
        <v>66.34</v>
      </c>
      <c r="Z191" s="3">
        <f t="shared" si="5"/>
        <v>8823.2200000000012</v>
      </c>
    </row>
    <row r="192" spans="1:26" x14ac:dyDescent="0.3">
      <c r="A192" s="7" t="s">
        <v>21</v>
      </c>
      <c r="B192" t="s">
        <v>147</v>
      </c>
      <c r="C192" t="s">
        <v>148</v>
      </c>
      <c r="D192" t="s">
        <v>149</v>
      </c>
      <c r="E192" t="s">
        <v>150</v>
      </c>
      <c r="F192" t="s">
        <v>26</v>
      </c>
      <c r="G192">
        <v>293</v>
      </c>
      <c r="H192">
        <v>0</v>
      </c>
      <c r="I192">
        <v>0</v>
      </c>
      <c r="J192">
        <v>-4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289</v>
      </c>
      <c r="T192">
        <v>0</v>
      </c>
      <c r="U192" t="s">
        <v>107</v>
      </c>
      <c r="W192" s="2">
        <v>66.328461538461553</v>
      </c>
      <c r="X192" s="3">
        <f t="shared" si="4"/>
        <v>19168.925384615388</v>
      </c>
      <c r="Y192">
        <f>VLOOKUP(D192,'[1]Cost Sheet'!$C:$D,2,0)</f>
        <v>66.34</v>
      </c>
      <c r="Z192" s="3">
        <f t="shared" si="5"/>
        <v>19172.260000000002</v>
      </c>
    </row>
    <row r="193" spans="1:26" x14ac:dyDescent="0.3">
      <c r="A193" s="7" t="s">
        <v>21</v>
      </c>
      <c r="B193" t="s">
        <v>147</v>
      </c>
      <c r="C193" t="s">
        <v>148</v>
      </c>
      <c r="D193" t="s">
        <v>149</v>
      </c>
      <c r="E193" t="s">
        <v>150</v>
      </c>
      <c r="F193" t="s">
        <v>26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 t="s">
        <v>151</v>
      </c>
      <c r="W193" s="2">
        <v>66.328461538461553</v>
      </c>
      <c r="X193" s="3">
        <f t="shared" si="4"/>
        <v>66.328461538461553</v>
      </c>
      <c r="Y193">
        <f>VLOOKUP(D193,'[1]Cost Sheet'!$C:$D,2,0)</f>
        <v>66.34</v>
      </c>
      <c r="Z193" s="3">
        <f t="shared" si="5"/>
        <v>66.34</v>
      </c>
    </row>
    <row r="194" spans="1:26" x14ac:dyDescent="0.3">
      <c r="A194" s="7" t="s">
        <v>21</v>
      </c>
      <c r="B194" t="s">
        <v>147</v>
      </c>
      <c r="C194" t="s">
        <v>148</v>
      </c>
      <c r="D194" t="s">
        <v>149</v>
      </c>
      <c r="E194" t="s">
        <v>150</v>
      </c>
      <c r="F194" t="s">
        <v>26</v>
      </c>
      <c r="G194">
        <v>107</v>
      </c>
      <c r="H194">
        <v>0</v>
      </c>
      <c r="I194">
        <v>0</v>
      </c>
      <c r="J194">
        <v>-6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101</v>
      </c>
      <c r="T194">
        <v>0</v>
      </c>
      <c r="U194" t="s">
        <v>45</v>
      </c>
      <c r="W194" s="2">
        <v>66.328461538461553</v>
      </c>
      <c r="X194" s="3">
        <f t="shared" si="4"/>
        <v>6699.174615384617</v>
      </c>
      <c r="Y194">
        <f>VLOOKUP(D194,'[1]Cost Sheet'!$C:$D,2,0)</f>
        <v>66.34</v>
      </c>
      <c r="Z194" s="3">
        <f t="shared" si="5"/>
        <v>6700.34</v>
      </c>
    </row>
    <row r="195" spans="1:26" x14ac:dyDescent="0.3">
      <c r="A195" s="7" t="s">
        <v>21</v>
      </c>
      <c r="B195" t="s">
        <v>147</v>
      </c>
      <c r="C195" t="s">
        <v>148</v>
      </c>
      <c r="D195" t="s">
        <v>149</v>
      </c>
      <c r="E195" t="s">
        <v>150</v>
      </c>
      <c r="F195" t="s">
        <v>26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-1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108</v>
      </c>
      <c r="W195" s="2">
        <v>66.328461538461553</v>
      </c>
      <c r="X195" s="3">
        <f t="shared" ref="X195:X258" si="6">S195*W195</f>
        <v>0</v>
      </c>
      <c r="Y195">
        <f>VLOOKUP(D195,'[1]Cost Sheet'!$C:$D,2,0)</f>
        <v>66.34</v>
      </c>
      <c r="Z195" s="3">
        <f t="shared" ref="Z195:Z258" si="7">Y195*S195</f>
        <v>0</v>
      </c>
    </row>
    <row r="196" spans="1:26" x14ac:dyDescent="0.3">
      <c r="A196" s="7" t="s">
        <v>21</v>
      </c>
      <c r="B196" t="s">
        <v>147</v>
      </c>
      <c r="C196" t="s">
        <v>148</v>
      </c>
      <c r="D196" t="s">
        <v>149</v>
      </c>
      <c r="E196" t="s">
        <v>150</v>
      </c>
      <c r="F196" t="s">
        <v>26</v>
      </c>
      <c r="G196">
        <v>81</v>
      </c>
      <c r="H196">
        <v>0</v>
      </c>
      <c r="I196">
        <v>0</v>
      </c>
      <c r="J196">
        <v>-8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73</v>
      </c>
      <c r="T196">
        <v>0</v>
      </c>
      <c r="U196" t="s">
        <v>39</v>
      </c>
      <c r="W196" s="2">
        <v>66.328461538461553</v>
      </c>
      <c r="X196" s="3">
        <f t="shared" si="6"/>
        <v>4841.9776923076934</v>
      </c>
      <c r="Y196">
        <f>VLOOKUP(D196,'[1]Cost Sheet'!$C:$D,2,0)</f>
        <v>66.34</v>
      </c>
      <c r="Z196" s="3">
        <f t="shared" si="7"/>
        <v>4842.8200000000006</v>
      </c>
    </row>
    <row r="197" spans="1:26" x14ac:dyDescent="0.3">
      <c r="A197" s="7" t="s">
        <v>21</v>
      </c>
      <c r="B197" t="s">
        <v>147</v>
      </c>
      <c r="C197" t="s">
        <v>148</v>
      </c>
      <c r="D197" t="s">
        <v>149</v>
      </c>
      <c r="E197" t="s">
        <v>150</v>
      </c>
      <c r="F197" t="s">
        <v>26</v>
      </c>
      <c r="G197">
        <v>198</v>
      </c>
      <c r="H197">
        <v>0</v>
      </c>
      <c r="I197">
        <v>0</v>
      </c>
      <c r="J197">
        <v>-9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189</v>
      </c>
      <c r="T197">
        <v>0</v>
      </c>
      <c r="U197" t="s">
        <v>53</v>
      </c>
      <c r="W197" s="2">
        <v>66.328461538461553</v>
      </c>
      <c r="X197" s="3">
        <f t="shared" si="6"/>
        <v>12536.079230769234</v>
      </c>
      <c r="Y197">
        <f>VLOOKUP(D197,'[1]Cost Sheet'!$C:$D,2,0)</f>
        <v>66.34</v>
      </c>
      <c r="Z197" s="3">
        <f t="shared" si="7"/>
        <v>12538.26</v>
      </c>
    </row>
    <row r="198" spans="1:26" x14ac:dyDescent="0.3">
      <c r="A198" s="7" t="s">
        <v>21</v>
      </c>
      <c r="B198" t="s">
        <v>147</v>
      </c>
      <c r="C198" t="s">
        <v>148</v>
      </c>
      <c r="D198" t="s">
        <v>149</v>
      </c>
      <c r="E198" t="s">
        <v>150</v>
      </c>
      <c r="F198" t="s">
        <v>26</v>
      </c>
      <c r="G198">
        <v>479</v>
      </c>
      <c r="H198">
        <v>0</v>
      </c>
      <c r="I198">
        <v>0</v>
      </c>
      <c r="J198">
        <v>-7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472</v>
      </c>
      <c r="T198">
        <v>0</v>
      </c>
      <c r="U198" t="s">
        <v>54</v>
      </c>
      <c r="W198" s="2">
        <v>66.328461538461553</v>
      </c>
      <c r="X198" s="3">
        <f t="shared" si="6"/>
        <v>31307.033846153852</v>
      </c>
      <c r="Y198">
        <f>VLOOKUP(D198,'[1]Cost Sheet'!$C:$D,2,0)</f>
        <v>66.34</v>
      </c>
      <c r="Z198" s="3">
        <f t="shared" si="7"/>
        <v>31312.480000000003</v>
      </c>
    </row>
    <row r="199" spans="1:26" x14ac:dyDescent="0.3">
      <c r="A199" s="7" t="s">
        <v>21</v>
      </c>
      <c r="B199" t="s">
        <v>147</v>
      </c>
      <c r="C199" t="s">
        <v>148</v>
      </c>
      <c r="D199" t="s">
        <v>149</v>
      </c>
      <c r="E199" t="s">
        <v>150</v>
      </c>
      <c r="F199" t="s">
        <v>26</v>
      </c>
      <c r="G199">
        <v>0</v>
      </c>
      <c r="H199">
        <v>720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152</v>
      </c>
      <c r="W199" s="2">
        <v>66.328461538461553</v>
      </c>
      <c r="X199" s="3">
        <f t="shared" si="6"/>
        <v>0</v>
      </c>
      <c r="Y199">
        <f>VLOOKUP(D199,'[1]Cost Sheet'!$C:$D,2,0)</f>
        <v>66.34</v>
      </c>
      <c r="Z199" s="3">
        <f t="shared" si="7"/>
        <v>0</v>
      </c>
    </row>
    <row r="200" spans="1:26" x14ac:dyDescent="0.3">
      <c r="A200" s="7" t="s">
        <v>21</v>
      </c>
      <c r="B200" t="s">
        <v>147</v>
      </c>
      <c r="C200" t="s">
        <v>148</v>
      </c>
      <c r="D200" t="s">
        <v>149</v>
      </c>
      <c r="E200" t="s">
        <v>150</v>
      </c>
      <c r="F200" t="s">
        <v>26</v>
      </c>
      <c r="G200">
        <v>726</v>
      </c>
      <c r="H200">
        <v>0</v>
      </c>
      <c r="I200">
        <v>0</v>
      </c>
      <c r="J200">
        <v>-13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713</v>
      </c>
      <c r="T200">
        <v>0</v>
      </c>
      <c r="U200" t="s">
        <v>32</v>
      </c>
      <c r="W200" s="2">
        <v>66.328461538461553</v>
      </c>
      <c r="X200" s="3">
        <f t="shared" si="6"/>
        <v>47292.193076923089</v>
      </c>
      <c r="Y200">
        <f>VLOOKUP(D200,'[1]Cost Sheet'!$C:$D,2,0)</f>
        <v>66.34</v>
      </c>
      <c r="Z200" s="3">
        <f t="shared" si="7"/>
        <v>47300.420000000006</v>
      </c>
    </row>
    <row r="201" spans="1:26" x14ac:dyDescent="0.3">
      <c r="A201" s="7" t="s">
        <v>21</v>
      </c>
      <c r="B201" t="s">
        <v>147</v>
      </c>
      <c r="C201" t="s">
        <v>148</v>
      </c>
      <c r="D201" t="s">
        <v>149</v>
      </c>
      <c r="E201" t="s">
        <v>150</v>
      </c>
      <c r="F201" t="s">
        <v>26</v>
      </c>
      <c r="G201">
        <v>96</v>
      </c>
      <c r="H201">
        <v>0</v>
      </c>
      <c r="I201">
        <v>0</v>
      </c>
      <c r="J201">
        <v>-3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93</v>
      </c>
      <c r="T201">
        <v>0</v>
      </c>
      <c r="U201" t="s">
        <v>33</v>
      </c>
      <c r="W201" s="2">
        <v>66.328461538461553</v>
      </c>
      <c r="X201" s="3">
        <f t="shared" si="6"/>
        <v>6168.546923076924</v>
      </c>
      <c r="Y201">
        <f>VLOOKUP(D201,'[1]Cost Sheet'!$C:$D,2,0)</f>
        <v>66.34</v>
      </c>
      <c r="Z201" s="3">
        <f t="shared" si="7"/>
        <v>6169.62</v>
      </c>
    </row>
    <row r="202" spans="1:26" x14ac:dyDescent="0.3">
      <c r="A202" s="7" t="s">
        <v>21</v>
      </c>
      <c r="B202" t="s">
        <v>147</v>
      </c>
      <c r="C202" t="s">
        <v>148</v>
      </c>
      <c r="D202" t="s">
        <v>149</v>
      </c>
      <c r="E202" t="s">
        <v>150</v>
      </c>
      <c r="F202" t="s">
        <v>26</v>
      </c>
      <c r="G202">
        <v>214</v>
      </c>
      <c r="H202">
        <v>1</v>
      </c>
      <c r="I202">
        <v>0</v>
      </c>
      <c r="J202">
        <v>-4</v>
      </c>
      <c r="K202">
        <v>0</v>
      </c>
      <c r="L202">
        <v>0</v>
      </c>
      <c r="M202">
        <v>71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281</v>
      </c>
      <c r="T202">
        <v>0</v>
      </c>
      <c r="U202" t="s">
        <v>46</v>
      </c>
      <c r="W202" s="2">
        <v>66.328461538461553</v>
      </c>
      <c r="X202" s="3">
        <f t="shared" si="6"/>
        <v>18638.297692307697</v>
      </c>
      <c r="Y202">
        <f>VLOOKUP(D202,'[1]Cost Sheet'!$C:$D,2,0)</f>
        <v>66.34</v>
      </c>
      <c r="Z202" s="3">
        <f t="shared" si="7"/>
        <v>18641.54</v>
      </c>
    </row>
    <row r="203" spans="1:26" x14ac:dyDescent="0.3">
      <c r="A203" s="7" t="s">
        <v>21</v>
      </c>
      <c r="B203" t="s">
        <v>147</v>
      </c>
      <c r="C203" t="s">
        <v>148</v>
      </c>
      <c r="D203" t="s">
        <v>149</v>
      </c>
      <c r="E203" t="s">
        <v>150</v>
      </c>
      <c r="F203" t="s">
        <v>26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10</v>
      </c>
      <c r="T203">
        <v>0</v>
      </c>
      <c r="U203" t="s">
        <v>119</v>
      </c>
      <c r="W203" s="2">
        <v>66.328461538461553</v>
      </c>
      <c r="X203" s="3">
        <f t="shared" si="6"/>
        <v>663.28461538461556</v>
      </c>
      <c r="Y203">
        <f>VLOOKUP(D203,'[1]Cost Sheet'!$C:$D,2,0)</f>
        <v>66.34</v>
      </c>
      <c r="Z203" s="3">
        <f t="shared" si="7"/>
        <v>663.40000000000009</v>
      </c>
    </row>
    <row r="204" spans="1:26" x14ac:dyDescent="0.3">
      <c r="A204" s="7" t="s">
        <v>21</v>
      </c>
      <c r="B204" t="s">
        <v>147</v>
      </c>
      <c r="C204" t="s">
        <v>148</v>
      </c>
      <c r="D204" t="s">
        <v>149</v>
      </c>
      <c r="E204" t="s">
        <v>150</v>
      </c>
      <c r="F204" t="s">
        <v>26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-1</v>
      </c>
      <c r="U204" t="s">
        <v>110</v>
      </c>
      <c r="W204" s="2">
        <v>66.328461538461553</v>
      </c>
      <c r="X204" s="3">
        <f t="shared" si="6"/>
        <v>132.65692307692311</v>
      </c>
      <c r="Y204">
        <f>VLOOKUP(D204,'[1]Cost Sheet'!$C:$D,2,0)</f>
        <v>66.34</v>
      </c>
      <c r="Z204" s="3">
        <f t="shared" si="7"/>
        <v>132.68</v>
      </c>
    </row>
    <row r="205" spans="1:26" x14ac:dyDescent="0.3">
      <c r="A205" s="7" t="s">
        <v>21</v>
      </c>
      <c r="B205" t="s">
        <v>147</v>
      </c>
      <c r="C205" t="s">
        <v>148</v>
      </c>
      <c r="D205" t="s">
        <v>149</v>
      </c>
      <c r="E205" t="s">
        <v>150</v>
      </c>
      <c r="F205" t="s">
        <v>26</v>
      </c>
      <c r="G205">
        <v>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</v>
      </c>
      <c r="T205">
        <v>0</v>
      </c>
      <c r="U205" t="s">
        <v>111</v>
      </c>
      <c r="W205" s="2">
        <v>66.328461538461553</v>
      </c>
      <c r="X205" s="3">
        <f t="shared" si="6"/>
        <v>596.95615384615394</v>
      </c>
      <c r="Y205">
        <f>VLOOKUP(D205,'[1]Cost Sheet'!$C:$D,2,0)</f>
        <v>66.34</v>
      </c>
      <c r="Z205" s="3">
        <f t="shared" si="7"/>
        <v>597.06000000000006</v>
      </c>
    </row>
    <row r="206" spans="1:26" x14ac:dyDescent="0.3">
      <c r="A206" s="7" t="s">
        <v>21</v>
      </c>
      <c r="B206" t="s">
        <v>147</v>
      </c>
      <c r="C206" t="s">
        <v>148</v>
      </c>
      <c r="D206" t="s">
        <v>149</v>
      </c>
      <c r="E206" t="s">
        <v>150</v>
      </c>
      <c r="F206" t="s">
        <v>26</v>
      </c>
      <c r="G206">
        <v>123</v>
      </c>
      <c r="H206">
        <v>0</v>
      </c>
      <c r="I206">
        <v>0</v>
      </c>
      <c r="J206">
        <v>-5</v>
      </c>
      <c r="K206">
        <v>0</v>
      </c>
      <c r="L206">
        <v>0</v>
      </c>
      <c r="M206">
        <v>-2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116</v>
      </c>
      <c r="T206">
        <v>0</v>
      </c>
      <c r="U206" t="s">
        <v>47</v>
      </c>
      <c r="W206" s="2">
        <v>66.328461538461553</v>
      </c>
      <c r="X206" s="3">
        <f t="shared" si="6"/>
        <v>7694.1015384615403</v>
      </c>
      <c r="Y206">
        <f>VLOOKUP(D206,'[1]Cost Sheet'!$C:$D,2,0)</f>
        <v>66.34</v>
      </c>
      <c r="Z206" s="3">
        <f t="shared" si="7"/>
        <v>7695.4400000000005</v>
      </c>
    </row>
    <row r="207" spans="1:26" x14ac:dyDescent="0.3">
      <c r="A207" s="7" t="s">
        <v>21</v>
      </c>
      <c r="B207" t="s">
        <v>147</v>
      </c>
      <c r="C207" t="s">
        <v>148</v>
      </c>
      <c r="D207" t="s">
        <v>149</v>
      </c>
      <c r="E207" t="s">
        <v>150</v>
      </c>
      <c r="F207" t="s">
        <v>26</v>
      </c>
      <c r="G207">
        <v>7</v>
      </c>
      <c r="H207">
        <v>0</v>
      </c>
      <c r="I207">
        <v>0</v>
      </c>
      <c r="J207">
        <v>-6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</v>
      </c>
      <c r="T207">
        <v>0</v>
      </c>
      <c r="U207" t="s">
        <v>40</v>
      </c>
      <c r="W207" s="2">
        <v>66.328461538461553</v>
      </c>
      <c r="X207" s="3">
        <f t="shared" si="6"/>
        <v>198.98538461538465</v>
      </c>
      <c r="Y207">
        <f>VLOOKUP(D207,'[1]Cost Sheet'!$C:$D,2,0)</f>
        <v>66.34</v>
      </c>
      <c r="Z207" s="3">
        <f t="shared" si="7"/>
        <v>199.02</v>
      </c>
    </row>
    <row r="208" spans="1:26" x14ac:dyDescent="0.3">
      <c r="A208" s="7" t="s">
        <v>21</v>
      </c>
      <c r="B208" t="s">
        <v>147</v>
      </c>
      <c r="C208" t="s">
        <v>148</v>
      </c>
      <c r="D208" t="s">
        <v>149</v>
      </c>
      <c r="E208" t="s">
        <v>150</v>
      </c>
      <c r="F208" t="s">
        <v>26</v>
      </c>
      <c r="G208">
        <v>65</v>
      </c>
      <c r="H208">
        <v>0</v>
      </c>
      <c r="I208">
        <v>0</v>
      </c>
      <c r="J208">
        <v>-1</v>
      </c>
      <c r="K208">
        <v>0</v>
      </c>
      <c r="L208">
        <v>0</v>
      </c>
      <c r="M208">
        <v>72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136</v>
      </c>
      <c r="T208">
        <v>0</v>
      </c>
      <c r="U208" t="s">
        <v>120</v>
      </c>
      <c r="W208" s="2">
        <v>66.328461538461553</v>
      </c>
      <c r="X208" s="3">
        <f t="shared" si="6"/>
        <v>9020.6707692307718</v>
      </c>
      <c r="Y208">
        <f>VLOOKUP(D208,'[1]Cost Sheet'!$C:$D,2,0)</f>
        <v>66.34</v>
      </c>
      <c r="Z208" s="3">
        <f t="shared" si="7"/>
        <v>9022.24</v>
      </c>
    </row>
    <row r="209" spans="1:26" x14ac:dyDescent="0.3">
      <c r="A209" s="7" t="s">
        <v>21</v>
      </c>
      <c r="B209" t="s">
        <v>147</v>
      </c>
      <c r="C209" t="s">
        <v>148</v>
      </c>
      <c r="D209" t="s">
        <v>149</v>
      </c>
      <c r="E209" t="s">
        <v>150</v>
      </c>
      <c r="F209" t="s">
        <v>26</v>
      </c>
      <c r="G209">
        <v>117</v>
      </c>
      <c r="H209">
        <v>0</v>
      </c>
      <c r="I209">
        <v>0</v>
      </c>
      <c r="J209">
        <v>-10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107</v>
      </c>
      <c r="T209">
        <v>0</v>
      </c>
      <c r="U209" t="s">
        <v>113</v>
      </c>
      <c r="W209" s="2">
        <v>66.328461538461553</v>
      </c>
      <c r="X209" s="3">
        <f t="shared" si="6"/>
        <v>7097.1453846153863</v>
      </c>
      <c r="Y209">
        <f>VLOOKUP(D209,'[1]Cost Sheet'!$C:$D,2,0)</f>
        <v>66.34</v>
      </c>
      <c r="Z209" s="3">
        <f t="shared" si="7"/>
        <v>7098.38</v>
      </c>
    </row>
    <row r="210" spans="1:26" x14ac:dyDescent="0.3">
      <c r="A210" s="7" t="s">
        <v>21</v>
      </c>
      <c r="B210" t="s">
        <v>147</v>
      </c>
      <c r="C210" t="s">
        <v>148</v>
      </c>
      <c r="D210" t="s">
        <v>149</v>
      </c>
      <c r="E210" t="s">
        <v>150</v>
      </c>
      <c r="F210" t="s">
        <v>26</v>
      </c>
      <c r="G210">
        <v>247</v>
      </c>
      <c r="H210">
        <v>0</v>
      </c>
      <c r="I210">
        <v>0</v>
      </c>
      <c r="J210">
        <v>-7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240</v>
      </c>
      <c r="T210">
        <v>0</v>
      </c>
      <c r="U210" t="s">
        <v>48</v>
      </c>
      <c r="W210" s="2">
        <v>66.328461538461553</v>
      </c>
      <c r="X210" s="3">
        <f t="shared" si="6"/>
        <v>15918.830769230774</v>
      </c>
      <c r="Y210">
        <f>VLOOKUP(D210,'[1]Cost Sheet'!$C:$D,2,0)</f>
        <v>66.34</v>
      </c>
      <c r="Z210" s="3">
        <f t="shared" si="7"/>
        <v>15921.6</v>
      </c>
    </row>
    <row r="211" spans="1:26" x14ac:dyDescent="0.3">
      <c r="A211" s="7" t="s">
        <v>21</v>
      </c>
      <c r="B211" t="s">
        <v>147</v>
      </c>
      <c r="C211" t="s">
        <v>148</v>
      </c>
      <c r="D211" t="s">
        <v>149</v>
      </c>
      <c r="E211" t="s">
        <v>150</v>
      </c>
      <c r="F211" t="s">
        <v>26</v>
      </c>
      <c r="G211">
        <v>778</v>
      </c>
      <c r="H211">
        <v>0</v>
      </c>
      <c r="I211">
        <v>0</v>
      </c>
      <c r="J211">
        <v>-6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772</v>
      </c>
      <c r="T211">
        <v>0</v>
      </c>
      <c r="U211" t="s">
        <v>59</v>
      </c>
      <c r="W211" s="2">
        <v>66.328461538461553</v>
      </c>
      <c r="X211" s="3">
        <f t="shared" si="6"/>
        <v>51205.572307692317</v>
      </c>
      <c r="Y211">
        <f>VLOOKUP(D211,'[1]Cost Sheet'!$C:$D,2,0)</f>
        <v>66.34</v>
      </c>
      <c r="Z211" s="3">
        <f t="shared" si="7"/>
        <v>51214.48</v>
      </c>
    </row>
    <row r="212" spans="1:26" x14ac:dyDescent="0.3">
      <c r="A212" s="7" t="s">
        <v>21</v>
      </c>
      <c r="B212" t="s">
        <v>147</v>
      </c>
      <c r="C212" t="s">
        <v>148</v>
      </c>
      <c r="D212" t="s">
        <v>149</v>
      </c>
      <c r="E212" t="s">
        <v>150</v>
      </c>
      <c r="F212" t="s">
        <v>26</v>
      </c>
      <c r="G212">
        <v>257</v>
      </c>
      <c r="H212">
        <v>0</v>
      </c>
      <c r="I212">
        <v>0</v>
      </c>
      <c r="J212">
        <v>-9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248</v>
      </c>
      <c r="T212">
        <v>0</v>
      </c>
      <c r="U212" t="s">
        <v>27</v>
      </c>
      <c r="W212" s="2">
        <v>66.328461538461553</v>
      </c>
      <c r="X212" s="3">
        <f t="shared" si="6"/>
        <v>16449.458461538467</v>
      </c>
      <c r="Y212">
        <f>VLOOKUP(D212,'[1]Cost Sheet'!$C:$D,2,0)</f>
        <v>66.34</v>
      </c>
      <c r="Z212" s="3">
        <f t="shared" si="7"/>
        <v>16452.32</v>
      </c>
    </row>
    <row r="213" spans="1:26" x14ac:dyDescent="0.3">
      <c r="A213" s="7" t="s">
        <v>21</v>
      </c>
      <c r="B213" t="s">
        <v>147</v>
      </c>
      <c r="C213" t="s">
        <v>148</v>
      </c>
      <c r="D213" t="s">
        <v>149</v>
      </c>
      <c r="E213" t="s">
        <v>150</v>
      </c>
      <c r="F213" t="s">
        <v>114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 t="s">
        <v>108</v>
      </c>
      <c r="W213" s="2">
        <v>66.328461538461553</v>
      </c>
      <c r="X213" s="3">
        <f t="shared" si="6"/>
        <v>66.328461538461553</v>
      </c>
      <c r="Y213">
        <f>VLOOKUP(D213,'[1]Cost Sheet'!$C:$D,2,0)</f>
        <v>66.34</v>
      </c>
      <c r="Z213" s="3">
        <f t="shared" si="7"/>
        <v>66.34</v>
      </c>
    </row>
    <row r="214" spans="1:26" x14ac:dyDescent="0.3">
      <c r="A214" s="7" t="s">
        <v>21</v>
      </c>
      <c r="B214" t="s">
        <v>153</v>
      </c>
      <c r="C214" t="s">
        <v>154</v>
      </c>
      <c r="D214" t="s">
        <v>155</v>
      </c>
      <c r="E214" t="s">
        <v>156</v>
      </c>
      <c r="F214" t="s">
        <v>26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 t="s">
        <v>32</v>
      </c>
      <c r="W214" s="2">
        <v>201.32</v>
      </c>
      <c r="X214" s="3">
        <f t="shared" si="6"/>
        <v>201.32</v>
      </c>
      <c r="Y214">
        <f>VLOOKUP(D214,'[1]Cost Sheet'!$C:$D,2,0)</f>
        <v>201.32</v>
      </c>
      <c r="Z214" s="3">
        <f t="shared" si="7"/>
        <v>201.32</v>
      </c>
    </row>
    <row r="215" spans="1:26" x14ac:dyDescent="0.3">
      <c r="A215" s="7" t="s">
        <v>21</v>
      </c>
      <c r="B215" t="s">
        <v>153</v>
      </c>
      <c r="C215" t="s">
        <v>154</v>
      </c>
      <c r="D215" t="s">
        <v>155</v>
      </c>
      <c r="E215" t="s">
        <v>156</v>
      </c>
      <c r="F215" t="s">
        <v>26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 t="s">
        <v>109</v>
      </c>
      <c r="W215" s="2">
        <v>201.32</v>
      </c>
      <c r="X215" s="3">
        <f t="shared" si="6"/>
        <v>201.32</v>
      </c>
      <c r="Y215">
        <f>VLOOKUP(D215,'[1]Cost Sheet'!$C:$D,2,0)</f>
        <v>201.32</v>
      </c>
      <c r="Z215" s="3">
        <f t="shared" si="7"/>
        <v>201.32</v>
      </c>
    </row>
    <row r="216" spans="1:26" x14ac:dyDescent="0.3">
      <c r="A216" s="7" t="s">
        <v>21</v>
      </c>
      <c r="B216" t="s">
        <v>153</v>
      </c>
      <c r="C216" t="s">
        <v>154</v>
      </c>
      <c r="D216" t="s">
        <v>155</v>
      </c>
      <c r="E216" t="s">
        <v>156</v>
      </c>
      <c r="F216" t="s">
        <v>26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0</v>
      </c>
      <c r="U216" t="s">
        <v>33</v>
      </c>
      <c r="W216" s="2">
        <v>201.32</v>
      </c>
      <c r="X216" s="3">
        <f t="shared" si="6"/>
        <v>402.64</v>
      </c>
      <c r="Y216">
        <f>VLOOKUP(D216,'[1]Cost Sheet'!$C:$D,2,0)</f>
        <v>201.32</v>
      </c>
      <c r="Z216" s="3">
        <f t="shared" si="7"/>
        <v>402.64</v>
      </c>
    </row>
    <row r="217" spans="1:26" x14ac:dyDescent="0.3">
      <c r="A217" s="7" t="s">
        <v>21</v>
      </c>
      <c r="B217" t="s">
        <v>153</v>
      </c>
      <c r="C217" t="s">
        <v>154</v>
      </c>
      <c r="D217" t="s">
        <v>155</v>
      </c>
      <c r="E217" t="s">
        <v>156</v>
      </c>
      <c r="F217" t="s">
        <v>26</v>
      </c>
      <c r="G217">
        <v>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</v>
      </c>
      <c r="T217">
        <v>0</v>
      </c>
      <c r="U217" t="s">
        <v>46</v>
      </c>
      <c r="W217" s="2">
        <v>201.32</v>
      </c>
      <c r="X217" s="3">
        <f t="shared" si="6"/>
        <v>1006.5999999999999</v>
      </c>
      <c r="Y217">
        <f>VLOOKUP(D217,'[1]Cost Sheet'!$C:$D,2,0)</f>
        <v>201.32</v>
      </c>
      <c r="Z217" s="3">
        <f t="shared" si="7"/>
        <v>1006.5999999999999</v>
      </c>
    </row>
    <row r="218" spans="1:26" x14ac:dyDescent="0.3">
      <c r="A218" s="7" t="s">
        <v>21</v>
      </c>
      <c r="B218" t="s">
        <v>153</v>
      </c>
      <c r="C218" t="s">
        <v>154</v>
      </c>
      <c r="D218" t="s">
        <v>155</v>
      </c>
      <c r="E218" t="s">
        <v>156</v>
      </c>
      <c r="F218" t="s">
        <v>26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 t="s">
        <v>47</v>
      </c>
      <c r="W218" s="2">
        <v>201.32</v>
      </c>
      <c r="X218" s="3">
        <f t="shared" si="6"/>
        <v>201.32</v>
      </c>
      <c r="Y218">
        <f>VLOOKUP(D218,'[1]Cost Sheet'!$C:$D,2,0)</f>
        <v>201.32</v>
      </c>
      <c r="Z218" s="3">
        <f t="shared" si="7"/>
        <v>201.32</v>
      </c>
    </row>
    <row r="219" spans="1:26" x14ac:dyDescent="0.3">
      <c r="A219" s="7" t="s">
        <v>21</v>
      </c>
      <c r="B219" t="s">
        <v>153</v>
      </c>
      <c r="C219" t="s">
        <v>154</v>
      </c>
      <c r="D219" t="s">
        <v>155</v>
      </c>
      <c r="E219" t="s">
        <v>156</v>
      </c>
      <c r="F219" t="s">
        <v>26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</v>
      </c>
      <c r="T219">
        <v>0</v>
      </c>
      <c r="U219" t="s">
        <v>48</v>
      </c>
      <c r="W219" s="2">
        <v>201.32</v>
      </c>
      <c r="X219" s="3">
        <f t="shared" si="6"/>
        <v>1006.5999999999999</v>
      </c>
      <c r="Y219">
        <f>VLOOKUP(D219,'[1]Cost Sheet'!$C:$D,2,0)</f>
        <v>201.32</v>
      </c>
      <c r="Z219" s="3">
        <f t="shared" si="7"/>
        <v>1006.5999999999999</v>
      </c>
    </row>
    <row r="220" spans="1:26" x14ac:dyDescent="0.3">
      <c r="A220" s="7" t="s">
        <v>21</v>
      </c>
      <c r="B220" t="s">
        <v>153</v>
      </c>
      <c r="C220" t="s">
        <v>154</v>
      </c>
      <c r="D220" t="s">
        <v>155</v>
      </c>
      <c r="E220" t="s">
        <v>156</v>
      </c>
      <c r="F220" t="s">
        <v>26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0</v>
      </c>
      <c r="U220" t="s">
        <v>59</v>
      </c>
      <c r="W220" s="2">
        <v>201.32</v>
      </c>
      <c r="X220" s="3">
        <f t="shared" si="6"/>
        <v>402.64</v>
      </c>
      <c r="Y220">
        <f>VLOOKUP(D220,'[1]Cost Sheet'!$C:$D,2,0)</f>
        <v>201.32</v>
      </c>
      <c r="Z220" s="3">
        <f t="shared" si="7"/>
        <v>402.64</v>
      </c>
    </row>
    <row r="221" spans="1:26" x14ac:dyDescent="0.3">
      <c r="A221" s="7" t="s">
        <v>21</v>
      </c>
      <c r="B221" t="s">
        <v>157</v>
      </c>
      <c r="C221" t="s">
        <v>158</v>
      </c>
      <c r="D221" t="s">
        <v>159</v>
      </c>
      <c r="E221" t="s">
        <v>160</v>
      </c>
      <c r="F221" t="s">
        <v>26</v>
      </c>
      <c r="G221">
        <v>18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18</v>
      </c>
      <c r="T221">
        <v>0</v>
      </c>
      <c r="U221" t="s">
        <v>38</v>
      </c>
      <c r="W221" s="2">
        <v>284.28230769230765</v>
      </c>
      <c r="X221" s="3">
        <f t="shared" si="6"/>
        <v>5117.081538461538</v>
      </c>
      <c r="Y221">
        <f>VLOOKUP(D221,'[1]Cost Sheet'!$C:$D,2,0)</f>
        <v>284.06999999999994</v>
      </c>
      <c r="Z221" s="3">
        <f t="shared" si="7"/>
        <v>5113.2599999999984</v>
      </c>
    </row>
    <row r="222" spans="1:26" x14ac:dyDescent="0.3">
      <c r="A222" s="7" t="s">
        <v>21</v>
      </c>
      <c r="B222" t="s">
        <v>157</v>
      </c>
      <c r="C222" t="s">
        <v>158</v>
      </c>
      <c r="D222" t="s">
        <v>159</v>
      </c>
      <c r="E222" t="s">
        <v>160</v>
      </c>
      <c r="F222" t="s">
        <v>26</v>
      </c>
      <c r="G222">
        <v>11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11</v>
      </c>
      <c r="T222">
        <v>0</v>
      </c>
      <c r="U222" t="s">
        <v>107</v>
      </c>
      <c r="W222" s="2">
        <v>284.28230769230765</v>
      </c>
      <c r="X222" s="3">
        <f t="shared" si="6"/>
        <v>3127.1053846153841</v>
      </c>
      <c r="Y222">
        <f>VLOOKUP(D222,'[1]Cost Sheet'!$C:$D,2,0)</f>
        <v>284.06999999999994</v>
      </c>
      <c r="Z222" s="3">
        <f t="shared" si="7"/>
        <v>3124.7699999999995</v>
      </c>
    </row>
    <row r="223" spans="1:26" x14ac:dyDescent="0.3">
      <c r="A223" s="7" t="s">
        <v>21</v>
      </c>
      <c r="B223" t="s">
        <v>157</v>
      </c>
      <c r="C223" t="s">
        <v>158</v>
      </c>
      <c r="D223" t="s">
        <v>159</v>
      </c>
      <c r="E223" t="s">
        <v>160</v>
      </c>
      <c r="F223" t="s">
        <v>26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 t="s">
        <v>113</v>
      </c>
      <c r="W223" s="2">
        <v>284.28230769230765</v>
      </c>
      <c r="X223" s="3">
        <f t="shared" si="6"/>
        <v>568.56461538461531</v>
      </c>
      <c r="Y223">
        <f>VLOOKUP(D223,'[1]Cost Sheet'!$C:$D,2,0)</f>
        <v>284.06999999999994</v>
      </c>
      <c r="Z223" s="3">
        <f t="shared" si="7"/>
        <v>568.13999999999987</v>
      </c>
    </row>
    <row r="224" spans="1:26" x14ac:dyDescent="0.3">
      <c r="A224" s="7" t="s">
        <v>21</v>
      </c>
      <c r="B224" t="s">
        <v>161</v>
      </c>
      <c r="C224" t="s">
        <v>162</v>
      </c>
      <c r="D224" t="s">
        <v>163</v>
      </c>
      <c r="E224" t="s">
        <v>164</v>
      </c>
      <c r="F224" t="s">
        <v>130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 t="s">
        <v>33</v>
      </c>
      <c r="W224" s="2">
        <v>77.36</v>
      </c>
      <c r="X224" s="3">
        <f t="shared" si="6"/>
        <v>77.36</v>
      </c>
      <c r="Y224">
        <f>VLOOKUP(D224,'[1]Cost Sheet'!$C:$D,2,0)</f>
        <v>77.36</v>
      </c>
      <c r="Z224" s="3">
        <f t="shared" si="7"/>
        <v>77.36</v>
      </c>
    </row>
    <row r="225" spans="1:26" x14ac:dyDescent="0.3">
      <c r="A225" s="7" t="s">
        <v>21</v>
      </c>
      <c r="B225" t="s">
        <v>161</v>
      </c>
      <c r="C225" t="s">
        <v>162</v>
      </c>
      <c r="D225" t="s">
        <v>163</v>
      </c>
      <c r="E225" t="s">
        <v>164</v>
      </c>
      <c r="F225" t="s">
        <v>26</v>
      </c>
      <c r="G225">
        <v>5</v>
      </c>
      <c r="H225">
        <v>0</v>
      </c>
      <c r="I225">
        <v>0</v>
      </c>
      <c r="J225">
        <v>-1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4</v>
      </c>
      <c r="T225">
        <v>0</v>
      </c>
      <c r="U225" t="s">
        <v>39</v>
      </c>
      <c r="W225" s="2">
        <v>77.36</v>
      </c>
      <c r="X225" s="3">
        <f t="shared" si="6"/>
        <v>309.44</v>
      </c>
      <c r="Y225">
        <f>VLOOKUP(D225,'[1]Cost Sheet'!$C:$D,2,0)</f>
        <v>77.36</v>
      </c>
      <c r="Z225" s="3">
        <f t="shared" si="7"/>
        <v>309.44</v>
      </c>
    </row>
    <row r="226" spans="1:26" x14ac:dyDescent="0.3">
      <c r="A226" s="7" t="s">
        <v>21</v>
      </c>
      <c r="B226" t="s">
        <v>161</v>
      </c>
      <c r="C226" t="s">
        <v>162</v>
      </c>
      <c r="D226" t="s">
        <v>163</v>
      </c>
      <c r="E226" t="s">
        <v>164</v>
      </c>
      <c r="F226" t="s">
        <v>26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 t="s">
        <v>40</v>
      </c>
      <c r="W226" s="2">
        <v>77.36</v>
      </c>
      <c r="X226" s="3">
        <f t="shared" si="6"/>
        <v>154.72</v>
      </c>
      <c r="Y226">
        <f>VLOOKUP(D226,'[1]Cost Sheet'!$C:$D,2,0)</f>
        <v>77.36</v>
      </c>
      <c r="Z226" s="3">
        <f t="shared" si="7"/>
        <v>154.72</v>
      </c>
    </row>
    <row r="227" spans="1:26" x14ac:dyDescent="0.3">
      <c r="A227" s="7" t="s">
        <v>21</v>
      </c>
      <c r="B227" t="s">
        <v>165</v>
      </c>
      <c r="C227" t="s">
        <v>166</v>
      </c>
      <c r="D227" t="s">
        <v>167</v>
      </c>
      <c r="E227" t="s">
        <v>168</v>
      </c>
      <c r="F227" t="s">
        <v>169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 t="s">
        <v>88</v>
      </c>
      <c r="W227" s="2">
        <v>60.46</v>
      </c>
      <c r="X227" s="3">
        <f t="shared" si="6"/>
        <v>60.46</v>
      </c>
      <c r="Y227">
        <f>VLOOKUP(D227,'[1]Cost Sheet'!$C:$D,2,0)</f>
        <v>61.3</v>
      </c>
      <c r="Z227" s="3">
        <f t="shared" si="7"/>
        <v>61.3</v>
      </c>
    </row>
    <row r="228" spans="1:26" x14ac:dyDescent="0.3">
      <c r="A228" s="7" t="s">
        <v>21</v>
      </c>
      <c r="B228" t="s">
        <v>165</v>
      </c>
      <c r="C228" t="s">
        <v>166</v>
      </c>
      <c r="D228" t="s">
        <v>167</v>
      </c>
      <c r="E228" t="s">
        <v>168</v>
      </c>
      <c r="F228" t="s">
        <v>106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 t="s">
        <v>45</v>
      </c>
      <c r="W228" s="2">
        <v>60.46</v>
      </c>
      <c r="X228" s="3">
        <f t="shared" si="6"/>
        <v>60.46</v>
      </c>
      <c r="Y228">
        <f>VLOOKUP(D228,'[1]Cost Sheet'!$C:$D,2,0)</f>
        <v>61.3</v>
      </c>
      <c r="Z228" s="3">
        <f t="shared" si="7"/>
        <v>61.3</v>
      </c>
    </row>
    <row r="229" spans="1:26" x14ac:dyDescent="0.3">
      <c r="A229" s="7" t="s">
        <v>21</v>
      </c>
      <c r="B229" t="s">
        <v>165</v>
      </c>
      <c r="C229" t="s">
        <v>166</v>
      </c>
      <c r="D229" t="s">
        <v>167</v>
      </c>
      <c r="E229" t="s">
        <v>168</v>
      </c>
      <c r="F229" t="s">
        <v>106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 t="s">
        <v>32</v>
      </c>
      <c r="W229" s="2">
        <v>60.46</v>
      </c>
      <c r="X229" s="3">
        <f t="shared" si="6"/>
        <v>60.46</v>
      </c>
      <c r="Y229">
        <f>VLOOKUP(D229,'[1]Cost Sheet'!$C:$D,2,0)</f>
        <v>61.3</v>
      </c>
      <c r="Z229" s="3">
        <f t="shared" si="7"/>
        <v>61.3</v>
      </c>
    </row>
    <row r="230" spans="1:26" x14ac:dyDescent="0.3">
      <c r="A230" s="7" t="s">
        <v>21</v>
      </c>
      <c r="B230" t="s">
        <v>165</v>
      </c>
      <c r="C230" t="s">
        <v>166</v>
      </c>
      <c r="D230" t="s">
        <v>167</v>
      </c>
      <c r="E230" t="s">
        <v>168</v>
      </c>
      <c r="F230" t="s">
        <v>26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</v>
      </c>
      <c r="T230">
        <v>0</v>
      </c>
      <c r="U230" t="s">
        <v>38</v>
      </c>
      <c r="W230" s="2">
        <v>60.46</v>
      </c>
      <c r="X230" s="3">
        <f t="shared" si="6"/>
        <v>181.38</v>
      </c>
      <c r="Y230">
        <f>VLOOKUP(D230,'[1]Cost Sheet'!$C:$D,2,0)</f>
        <v>61.3</v>
      </c>
      <c r="Z230" s="3">
        <f t="shared" si="7"/>
        <v>183.89999999999998</v>
      </c>
    </row>
    <row r="231" spans="1:26" x14ac:dyDescent="0.3">
      <c r="A231" s="7" t="s">
        <v>21</v>
      </c>
      <c r="B231" t="s">
        <v>165</v>
      </c>
      <c r="C231" t="s">
        <v>166</v>
      </c>
      <c r="D231" t="s">
        <v>167</v>
      </c>
      <c r="E231" t="s">
        <v>168</v>
      </c>
      <c r="F231" t="s">
        <v>26</v>
      </c>
      <c r="G231">
        <v>68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68</v>
      </c>
      <c r="T231">
        <v>0</v>
      </c>
      <c r="U231" t="s">
        <v>45</v>
      </c>
      <c r="W231" s="2">
        <v>60.46</v>
      </c>
      <c r="X231" s="3">
        <f t="shared" si="6"/>
        <v>4111.28</v>
      </c>
      <c r="Y231">
        <f>VLOOKUP(D231,'[1]Cost Sheet'!$C:$D,2,0)</f>
        <v>61.3</v>
      </c>
      <c r="Z231" s="3">
        <f t="shared" si="7"/>
        <v>4168.3999999999996</v>
      </c>
    </row>
    <row r="232" spans="1:26" x14ac:dyDescent="0.3">
      <c r="A232" s="7" t="s">
        <v>21</v>
      </c>
      <c r="B232" t="s">
        <v>165</v>
      </c>
      <c r="C232" t="s">
        <v>166</v>
      </c>
      <c r="D232" t="s">
        <v>167</v>
      </c>
      <c r="E232" t="s">
        <v>168</v>
      </c>
      <c r="F232" t="s">
        <v>26</v>
      </c>
      <c r="G232">
        <v>54</v>
      </c>
      <c r="H232">
        <v>0</v>
      </c>
      <c r="I232">
        <v>0</v>
      </c>
      <c r="J232">
        <v>-1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53</v>
      </c>
      <c r="T232">
        <v>0</v>
      </c>
      <c r="U232" t="s">
        <v>53</v>
      </c>
      <c r="W232" s="2">
        <v>60.46</v>
      </c>
      <c r="X232" s="3">
        <f t="shared" si="6"/>
        <v>3204.38</v>
      </c>
      <c r="Y232">
        <f>VLOOKUP(D232,'[1]Cost Sheet'!$C:$D,2,0)</f>
        <v>61.3</v>
      </c>
      <c r="Z232" s="3">
        <f t="shared" si="7"/>
        <v>3248.8999999999996</v>
      </c>
    </row>
    <row r="233" spans="1:26" x14ac:dyDescent="0.3">
      <c r="A233" s="7" t="s">
        <v>21</v>
      </c>
      <c r="B233" t="s">
        <v>165</v>
      </c>
      <c r="C233" t="s">
        <v>166</v>
      </c>
      <c r="D233" t="s">
        <v>167</v>
      </c>
      <c r="E233" t="s">
        <v>168</v>
      </c>
      <c r="F233" t="s">
        <v>26</v>
      </c>
      <c r="G233">
        <v>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6</v>
      </c>
      <c r="T233">
        <v>0</v>
      </c>
      <c r="U233" t="s">
        <v>54</v>
      </c>
      <c r="W233" s="2">
        <v>60.46</v>
      </c>
      <c r="X233" s="3">
        <f t="shared" si="6"/>
        <v>362.76</v>
      </c>
      <c r="Y233">
        <f>VLOOKUP(D233,'[1]Cost Sheet'!$C:$D,2,0)</f>
        <v>61.3</v>
      </c>
      <c r="Z233" s="3">
        <f t="shared" si="7"/>
        <v>367.79999999999995</v>
      </c>
    </row>
    <row r="234" spans="1:26" x14ac:dyDescent="0.3">
      <c r="A234" s="7" t="s">
        <v>21</v>
      </c>
      <c r="B234" t="s">
        <v>165</v>
      </c>
      <c r="C234" t="s">
        <v>166</v>
      </c>
      <c r="D234" t="s">
        <v>167</v>
      </c>
      <c r="E234" t="s">
        <v>168</v>
      </c>
      <c r="F234" t="s">
        <v>26</v>
      </c>
      <c r="G234">
        <v>56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56</v>
      </c>
      <c r="T234">
        <v>0</v>
      </c>
      <c r="U234" t="s">
        <v>32</v>
      </c>
      <c r="W234" s="2">
        <v>60.46</v>
      </c>
      <c r="X234" s="3">
        <f t="shared" si="6"/>
        <v>3385.76</v>
      </c>
      <c r="Y234">
        <f>VLOOKUP(D234,'[1]Cost Sheet'!$C:$D,2,0)</f>
        <v>61.3</v>
      </c>
      <c r="Z234" s="3">
        <f t="shared" si="7"/>
        <v>3432.7999999999997</v>
      </c>
    </row>
    <row r="235" spans="1:26" x14ac:dyDescent="0.3">
      <c r="A235" s="7" t="s">
        <v>21</v>
      </c>
      <c r="B235" t="s">
        <v>165</v>
      </c>
      <c r="C235" t="s">
        <v>166</v>
      </c>
      <c r="D235" t="s">
        <v>167</v>
      </c>
      <c r="E235" t="s">
        <v>168</v>
      </c>
      <c r="F235" t="s">
        <v>26</v>
      </c>
      <c r="G235">
        <v>1</v>
      </c>
      <c r="H235">
        <v>0</v>
      </c>
      <c r="I235">
        <v>0</v>
      </c>
      <c r="J235">
        <v>-1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46</v>
      </c>
      <c r="W235" s="2">
        <v>60.46</v>
      </c>
      <c r="X235" s="3">
        <f t="shared" si="6"/>
        <v>0</v>
      </c>
      <c r="Y235">
        <f>VLOOKUP(D235,'[1]Cost Sheet'!$C:$D,2,0)</f>
        <v>61.3</v>
      </c>
      <c r="Z235" s="3">
        <f t="shared" si="7"/>
        <v>0</v>
      </c>
    </row>
    <row r="236" spans="1:26" x14ac:dyDescent="0.3">
      <c r="A236" s="7" t="s">
        <v>21</v>
      </c>
      <c r="B236" t="s">
        <v>165</v>
      </c>
      <c r="C236" t="s">
        <v>166</v>
      </c>
      <c r="D236" t="s">
        <v>167</v>
      </c>
      <c r="E236" t="s">
        <v>168</v>
      </c>
      <c r="F236" t="s">
        <v>26</v>
      </c>
      <c r="G236">
        <v>57</v>
      </c>
      <c r="H236">
        <v>0</v>
      </c>
      <c r="I236">
        <v>0</v>
      </c>
      <c r="J236">
        <v>-1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56</v>
      </c>
      <c r="T236">
        <v>0</v>
      </c>
      <c r="U236" t="s">
        <v>40</v>
      </c>
      <c r="W236" s="2">
        <v>60.46</v>
      </c>
      <c r="X236" s="3">
        <f t="shared" si="6"/>
        <v>3385.76</v>
      </c>
      <c r="Y236">
        <f>VLOOKUP(D236,'[1]Cost Sheet'!$C:$D,2,0)</f>
        <v>61.3</v>
      </c>
      <c r="Z236" s="3">
        <f t="shared" si="7"/>
        <v>3432.7999999999997</v>
      </c>
    </row>
    <row r="237" spans="1:26" x14ac:dyDescent="0.3">
      <c r="A237" s="7" t="s">
        <v>21</v>
      </c>
      <c r="B237" t="s">
        <v>165</v>
      </c>
      <c r="C237" t="s">
        <v>166</v>
      </c>
      <c r="D237" t="s">
        <v>167</v>
      </c>
      <c r="E237" t="s">
        <v>168</v>
      </c>
      <c r="F237" t="s">
        <v>26</v>
      </c>
      <c r="G237">
        <v>8</v>
      </c>
      <c r="H237">
        <v>0</v>
      </c>
      <c r="I237">
        <v>0</v>
      </c>
      <c r="J237">
        <v>-1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</v>
      </c>
      <c r="T237">
        <v>0</v>
      </c>
      <c r="U237" t="s">
        <v>48</v>
      </c>
      <c r="W237" s="2">
        <v>60.46</v>
      </c>
      <c r="X237" s="3">
        <f t="shared" si="6"/>
        <v>423.22</v>
      </c>
      <c r="Y237">
        <f>VLOOKUP(D237,'[1]Cost Sheet'!$C:$D,2,0)</f>
        <v>61.3</v>
      </c>
      <c r="Z237" s="3">
        <f t="shared" si="7"/>
        <v>429.09999999999997</v>
      </c>
    </row>
    <row r="238" spans="1:26" x14ac:dyDescent="0.3">
      <c r="A238" s="7" t="s">
        <v>21</v>
      </c>
      <c r="B238" t="s">
        <v>165</v>
      </c>
      <c r="C238" t="s">
        <v>166</v>
      </c>
      <c r="D238" t="s">
        <v>167</v>
      </c>
      <c r="E238" t="s">
        <v>168</v>
      </c>
      <c r="F238" t="s">
        <v>26</v>
      </c>
      <c r="G238">
        <v>59</v>
      </c>
      <c r="H238">
        <v>0</v>
      </c>
      <c r="I238">
        <v>0</v>
      </c>
      <c r="J238">
        <v>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57</v>
      </c>
      <c r="T238">
        <v>0</v>
      </c>
      <c r="U238" t="s">
        <v>59</v>
      </c>
      <c r="W238" s="2">
        <v>60.46</v>
      </c>
      <c r="X238" s="3">
        <f t="shared" si="6"/>
        <v>3446.2200000000003</v>
      </c>
      <c r="Y238">
        <f>VLOOKUP(D238,'[1]Cost Sheet'!$C:$D,2,0)</f>
        <v>61.3</v>
      </c>
      <c r="Z238" s="3">
        <f t="shared" si="7"/>
        <v>3494.1</v>
      </c>
    </row>
    <row r="239" spans="1:26" x14ac:dyDescent="0.3">
      <c r="A239" s="7" t="s">
        <v>21</v>
      </c>
      <c r="B239" t="s">
        <v>165</v>
      </c>
      <c r="C239" t="s">
        <v>166</v>
      </c>
      <c r="D239" t="s">
        <v>167</v>
      </c>
      <c r="E239" t="s">
        <v>168</v>
      </c>
      <c r="F239" t="s">
        <v>26</v>
      </c>
      <c r="G239">
        <v>2</v>
      </c>
      <c r="H239">
        <v>0</v>
      </c>
      <c r="I239">
        <v>0</v>
      </c>
      <c r="J239">
        <v>-1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 t="s">
        <v>27</v>
      </c>
      <c r="W239" s="2">
        <v>60.46</v>
      </c>
      <c r="X239" s="3">
        <f t="shared" si="6"/>
        <v>60.46</v>
      </c>
      <c r="Y239">
        <f>VLOOKUP(D239,'[1]Cost Sheet'!$C:$D,2,0)</f>
        <v>61.3</v>
      </c>
      <c r="Z239" s="3">
        <f t="shared" si="7"/>
        <v>61.3</v>
      </c>
    </row>
    <row r="240" spans="1:26" x14ac:dyDescent="0.3">
      <c r="A240" s="7" t="s">
        <v>21</v>
      </c>
      <c r="B240" t="s">
        <v>170</v>
      </c>
      <c r="C240" t="s">
        <v>171</v>
      </c>
      <c r="D240" t="s">
        <v>172</v>
      </c>
      <c r="E240" t="s">
        <v>173</v>
      </c>
      <c r="F240" t="s">
        <v>26</v>
      </c>
      <c r="G240">
        <v>1</v>
      </c>
      <c r="H240">
        <v>0</v>
      </c>
      <c r="I240">
        <v>0</v>
      </c>
      <c r="J240">
        <v>-1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 t="s">
        <v>39</v>
      </c>
      <c r="W240" s="2">
        <v>32.03</v>
      </c>
      <c r="X240" s="3">
        <f t="shared" si="6"/>
        <v>32.03</v>
      </c>
      <c r="Y240">
        <f>VLOOKUP(D240,'[1]Cost Sheet'!$C:$D,2,0)</f>
        <v>32.49</v>
      </c>
      <c r="Z240" s="3">
        <f t="shared" si="7"/>
        <v>32.49</v>
      </c>
    </row>
    <row r="241" spans="1:26" x14ac:dyDescent="0.3">
      <c r="A241" s="7" t="s">
        <v>21</v>
      </c>
      <c r="B241" t="s">
        <v>170</v>
      </c>
      <c r="C241" t="s">
        <v>171</v>
      </c>
      <c r="D241" t="s">
        <v>172</v>
      </c>
      <c r="E241" t="s">
        <v>173</v>
      </c>
      <c r="F241" t="s">
        <v>26</v>
      </c>
      <c r="G241">
        <v>23</v>
      </c>
      <c r="H241">
        <v>0</v>
      </c>
      <c r="I241">
        <v>0</v>
      </c>
      <c r="J241">
        <v>-4</v>
      </c>
      <c r="K241">
        <v>0</v>
      </c>
      <c r="L241">
        <v>0</v>
      </c>
      <c r="M241">
        <v>-1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18</v>
      </c>
      <c r="T241">
        <v>0</v>
      </c>
      <c r="U241" t="s">
        <v>53</v>
      </c>
      <c r="W241" s="2">
        <v>32.03</v>
      </c>
      <c r="X241" s="3">
        <f t="shared" si="6"/>
        <v>576.54</v>
      </c>
      <c r="Y241">
        <f>VLOOKUP(D241,'[1]Cost Sheet'!$C:$D,2,0)</f>
        <v>32.49</v>
      </c>
      <c r="Z241" s="3">
        <f t="shared" si="7"/>
        <v>584.82000000000005</v>
      </c>
    </row>
    <row r="242" spans="1:26" x14ac:dyDescent="0.3">
      <c r="A242" s="7" t="s">
        <v>21</v>
      </c>
      <c r="B242" t="s">
        <v>170</v>
      </c>
      <c r="C242" t="s">
        <v>171</v>
      </c>
      <c r="D242" t="s">
        <v>172</v>
      </c>
      <c r="E242" t="s">
        <v>173</v>
      </c>
      <c r="F242" t="s">
        <v>26</v>
      </c>
      <c r="G242">
        <v>1</v>
      </c>
      <c r="H242">
        <v>0</v>
      </c>
      <c r="I242">
        <v>0</v>
      </c>
      <c r="J242">
        <v>-1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33</v>
      </c>
      <c r="W242" s="2">
        <v>32.03</v>
      </c>
      <c r="X242" s="3">
        <f t="shared" si="6"/>
        <v>0</v>
      </c>
      <c r="Y242">
        <f>VLOOKUP(D242,'[1]Cost Sheet'!$C:$D,2,0)</f>
        <v>32.49</v>
      </c>
      <c r="Z242" s="3">
        <f t="shared" si="7"/>
        <v>0</v>
      </c>
    </row>
    <row r="243" spans="1:26" x14ac:dyDescent="0.3">
      <c r="A243" s="7" t="s">
        <v>21</v>
      </c>
      <c r="B243" t="s">
        <v>170</v>
      </c>
      <c r="C243" t="s">
        <v>171</v>
      </c>
      <c r="D243" t="s">
        <v>172</v>
      </c>
      <c r="E243" t="s">
        <v>173</v>
      </c>
      <c r="F243" t="s">
        <v>26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 t="s">
        <v>46</v>
      </c>
      <c r="W243" s="2">
        <v>32.03</v>
      </c>
      <c r="X243" s="3">
        <f t="shared" si="6"/>
        <v>32.03</v>
      </c>
      <c r="Y243">
        <f>VLOOKUP(D243,'[1]Cost Sheet'!$C:$D,2,0)</f>
        <v>32.49</v>
      </c>
      <c r="Z243" s="3">
        <f t="shared" si="7"/>
        <v>32.49</v>
      </c>
    </row>
    <row r="244" spans="1:26" x14ac:dyDescent="0.3">
      <c r="A244" s="7" t="s">
        <v>21</v>
      </c>
      <c r="B244" t="s">
        <v>170</v>
      </c>
      <c r="C244" t="s">
        <v>171</v>
      </c>
      <c r="D244" t="s">
        <v>172</v>
      </c>
      <c r="E244" t="s">
        <v>173</v>
      </c>
      <c r="F244" t="s">
        <v>26</v>
      </c>
      <c r="G244">
        <v>23</v>
      </c>
      <c r="H244">
        <v>0</v>
      </c>
      <c r="I244">
        <v>0</v>
      </c>
      <c r="J244">
        <v>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21</v>
      </c>
      <c r="T244">
        <v>0</v>
      </c>
      <c r="U244" t="s">
        <v>47</v>
      </c>
      <c r="W244" s="2">
        <v>32.03</v>
      </c>
      <c r="X244" s="3">
        <f t="shared" si="6"/>
        <v>672.63</v>
      </c>
      <c r="Y244">
        <f>VLOOKUP(D244,'[1]Cost Sheet'!$C:$D,2,0)</f>
        <v>32.49</v>
      </c>
      <c r="Z244" s="3">
        <f t="shared" si="7"/>
        <v>682.29000000000008</v>
      </c>
    </row>
    <row r="245" spans="1:26" x14ac:dyDescent="0.3">
      <c r="A245" s="7" t="s">
        <v>21</v>
      </c>
      <c r="B245" t="s">
        <v>170</v>
      </c>
      <c r="C245" t="s">
        <v>171</v>
      </c>
      <c r="D245" t="s">
        <v>172</v>
      </c>
      <c r="E245" t="s">
        <v>173</v>
      </c>
      <c r="F245" t="s">
        <v>26</v>
      </c>
      <c r="G245">
        <v>1</v>
      </c>
      <c r="H245">
        <v>0</v>
      </c>
      <c r="I245">
        <v>0</v>
      </c>
      <c r="J245">
        <v>-1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40</v>
      </c>
      <c r="W245" s="2">
        <v>32.03</v>
      </c>
      <c r="X245" s="3">
        <f t="shared" si="6"/>
        <v>0</v>
      </c>
      <c r="Y245">
        <f>VLOOKUP(D245,'[1]Cost Sheet'!$C:$D,2,0)</f>
        <v>32.49</v>
      </c>
      <c r="Z245" s="3">
        <f t="shared" si="7"/>
        <v>0</v>
      </c>
    </row>
    <row r="246" spans="1:26" x14ac:dyDescent="0.3">
      <c r="A246" s="7" t="s">
        <v>21</v>
      </c>
      <c r="B246" t="s">
        <v>174</v>
      </c>
      <c r="C246" t="s">
        <v>175</v>
      </c>
      <c r="D246" t="s">
        <v>176</v>
      </c>
      <c r="E246" t="s">
        <v>177</v>
      </c>
      <c r="F246" t="s">
        <v>26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</v>
      </c>
      <c r="T246">
        <v>0</v>
      </c>
      <c r="U246" t="s">
        <v>107</v>
      </c>
      <c r="W246" s="2">
        <v>69.61</v>
      </c>
      <c r="X246" s="3">
        <f t="shared" si="6"/>
        <v>278.44</v>
      </c>
      <c r="Y246">
        <f>VLOOKUP(D246,'[1]Cost Sheet'!$C:$D,2,0)</f>
        <v>69.95</v>
      </c>
      <c r="Z246" s="3">
        <f t="shared" si="7"/>
        <v>279.8</v>
      </c>
    </row>
    <row r="247" spans="1:26" x14ac:dyDescent="0.3">
      <c r="A247" s="7" t="s">
        <v>21</v>
      </c>
      <c r="B247" t="s">
        <v>174</v>
      </c>
      <c r="C247" t="s">
        <v>175</v>
      </c>
      <c r="D247" t="s">
        <v>176</v>
      </c>
      <c r="E247" t="s">
        <v>177</v>
      </c>
      <c r="F247" t="s">
        <v>26</v>
      </c>
      <c r="G247">
        <v>12</v>
      </c>
      <c r="H247">
        <v>0</v>
      </c>
      <c r="I247">
        <v>0</v>
      </c>
      <c r="J247">
        <v>-2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10</v>
      </c>
      <c r="T247">
        <v>0</v>
      </c>
      <c r="U247" t="s">
        <v>45</v>
      </c>
      <c r="W247" s="2">
        <v>69.61</v>
      </c>
      <c r="X247" s="3">
        <f t="shared" si="6"/>
        <v>696.1</v>
      </c>
      <c r="Y247">
        <f>VLOOKUP(D247,'[1]Cost Sheet'!$C:$D,2,0)</f>
        <v>69.95</v>
      </c>
      <c r="Z247" s="3">
        <f t="shared" si="7"/>
        <v>699.5</v>
      </c>
    </row>
    <row r="248" spans="1:26" x14ac:dyDescent="0.3">
      <c r="A248" s="7" t="s">
        <v>21</v>
      </c>
      <c r="B248" t="s">
        <v>174</v>
      </c>
      <c r="C248" t="s">
        <v>175</v>
      </c>
      <c r="D248" t="s">
        <v>176</v>
      </c>
      <c r="E248" t="s">
        <v>177</v>
      </c>
      <c r="F248" t="s">
        <v>26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 t="s">
        <v>53</v>
      </c>
      <c r="W248" s="2">
        <v>69.61</v>
      </c>
      <c r="X248" s="3">
        <f t="shared" si="6"/>
        <v>139.22</v>
      </c>
      <c r="Y248">
        <f>VLOOKUP(D248,'[1]Cost Sheet'!$C:$D,2,0)</f>
        <v>69.95</v>
      </c>
      <c r="Z248" s="3">
        <f t="shared" si="7"/>
        <v>139.9</v>
      </c>
    </row>
    <row r="249" spans="1:26" x14ac:dyDescent="0.3">
      <c r="A249" s="7" t="s">
        <v>21</v>
      </c>
      <c r="B249" t="s">
        <v>174</v>
      </c>
      <c r="C249" t="s">
        <v>175</v>
      </c>
      <c r="D249" t="s">
        <v>176</v>
      </c>
      <c r="E249" t="s">
        <v>177</v>
      </c>
      <c r="F249" t="s">
        <v>26</v>
      </c>
      <c r="G249">
        <v>45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45</v>
      </c>
      <c r="T249">
        <v>0</v>
      </c>
      <c r="U249" t="s">
        <v>32</v>
      </c>
      <c r="W249" s="2">
        <v>69.61</v>
      </c>
      <c r="X249" s="3">
        <f t="shared" si="6"/>
        <v>3132.45</v>
      </c>
      <c r="Y249">
        <f>VLOOKUP(D249,'[1]Cost Sheet'!$C:$D,2,0)</f>
        <v>69.95</v>
      </c>
      <c r="Z249" s="3">
        <f t="shared" si="7"/>
        <v>3147.75</v>
      </c>
    </row>
    <row r="250" spans="1:26" x14ac:dyDescent="0.3">
      <c r="A250" s="7" t="s">
        <v>21</v>
      </c>
      <c r="B250" t="s">
        <v>174</v>
      </c>
      <c r="C250" t="s">
        <v>175</v>
      </c>
      <c r="D250" t="s">
        <v>176</v>
      </c>
      <c r="E250" t="s">
        <v>177</v>
      </c>
      <c r="F250" t="s">
        <v>26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0</v>
      </c>
      <c r="U250" t="s">
        <v>46</v>
      </c>
      <c r="W250" s="2">
        <v>69.61</v>
      </c>
      <c r="X250" s="3">
        <f t="shared" si="6"/>
        <v>208.82999999999998</v>
      </c>
      <c r="Y250">
        <f>VLOOKUP(D250,'[1]Cost Sheet'!$C:$D,2,0)</f>
        <v>69.95</v>
      </c>
      <c r="Z250" s="3">
        <f t="shared" si="7"/>
        <v>209.85000000000002</v>
      </c>
    </row>
    <row r="251" spans="1:26" x14ac:dyDescent="0.3">
      <c r="A251" s="7" t="s">
        <v>21</v>
      </c>
      <c r="B251" t="s">
        <v>174</v>
      </c>
      <c r="C251" t="s">
        <v>175</v>
      </c>
      <c r="D251" t="s">
        <v>176</v>
      </c>
      <c r="E251" t="s">
        <v>177</v>
      </c>
      <c r="F251" t="s">
        <v>26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10</v>
      </c>
      <c r="T251">
        <v>0</v>
      </c>
      <c r="U251" t="s">
        <v>40</v>
      </c>
      <c r="W251" s="2">
        <v>69.61</v>
      </c>
      <c r="X251" s="3">
        <f t="shared" si="6"/>
        <v>696.1</v>
      </c>
      <c r="Y251">
        <f>VLOOKUP(D251,'[1]Cost Sheet'!$C:$D,2,0)</f>
        <v>69.95</v>
      </c>
      <c r="Z251" s="3">
        <f t="shared" si="7"/>
        <v>699.5</v>
      </c>
    </row>
    <row r="252" spans="1:26" x14ac:dyDescent="0.3">
      <c r="A252" s="7" t="s">
        <v>21</v>
      </c>
      <c r="B252" t="s">
        <v>174</v>
      </c>
      <c r="C252" t="s">
        <v>175</v>
      </c>
      <c r="D252" t="s">
        <v>176</v>
      </c>
      <c r="E252" t="s">
        <v>177</v>
      </c>
      <c r="F252" t="s">
        <v>26</v>
      </c>
      <c r="G252">
        <v>30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30</v>
      </c>
      <c r="T252">
        <v>0</v>
      </c>
      <c r="U252" t="s">
        <v>120</v>
      </c>
      <c r="W252" s="2">
        <v>69.61</v>
      </c>
      <c r="X252" s="3">
        <f t="shared" si="6"/>
        <v>2088.3000000000002</v>
      </c>
      <c r="Y252">
        <f>VLOOKUP(D252,'[1]Cost Sheet'!$C:$D,2,0)</f>
        <v>69.95</v>
      </c>
      <c r="Z252" s="3">
        <f t="shared" si="7"/>
        <v>2098.5</v>
      </c>
    </row>
    <row r="253" spans="1:26" x14ac:dyDescent="0.3">
      <c r="A253" s="7" t="s">
        <v>21</v>
      </c>
      <c r="B253" t="s">
        <v>174</v>
      </c>
      <c r="C253" t="s">
        <v>175</v>
      </c>
      <c r="D253" t="s">
        <v>176</v>
      </c>
      <c r="E253" t="s">
        <v>177</v>
      </c>
      <c r="F253" t="s">
        <v>26</v>
      </c>
      <c r="G253">
        <v>5</v>
      </c>
      <c r="H253">
        <v>0</v>
      </c>
      <c r="I253">
        <v>0</v>
      </c>
      <c r="J253">
        <v>-1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</v>
      </c>
      <c r="T253">
        <v>0</v>
      </c>
      <c r="U253" t="s">
        <v>113</v>
      </c>
      <c r="W253" s="2">
        <v>69.61</v>
      </c>
      <c r="X253" s="3">
        <f t="shared" si="6"/>
        <v>278.44</v>
      </c>
      <c r="Y253">
        <f>VLOOKUP(D253,'[1]Cost Sheet'!$C:$D,2,0)</f>
        <v>69.95</v>
      </c>
      <c r="Z253" s="3">
        <f t="shared" si="7"/>
        <v>279.8</v>
      </c>
    </row>
    <row r="254" spans="1:26" x14ac:dyDescent="0.3">
      <c r="A254" s="7" t="s">
        <v>21</v>
      </c>
      <c r="B254" t="s">
        <v>174</v>
      </c>
      <c r="C254" t="s">
        <v>175</v>
      </c>
      <c r="D254" t="s">
        <v>176</v>
      </c>
      <c r="E254" t="s">
        <v>177</v>
      </c>
      <c r="F254" t="s">
        <v>26</v>
      </c>
      <c r="G254">
        <v>2</v>
      </c>
      <c r="H254">
        <v>0</v>
      </c>
      <c r="I254">
        <v>0</v>
      </c>
      <c r="J254">
        <v>-1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 t="s">
        <v>59</v>
      </c>
      <c r="W254" s="2">
        <v>69.61</v>
      </c>
      <c r="X254" s="3">
        <f t="shared" si="6"/>
        <v>69.61</v>
      </c>
      <c r="Y254">
        <f>VLOOKUP(D254,'[1]Cost Sheet'!$C:$D,2,0)</f>
        <v>69.95</v>
      </c>
      <c r="Z254" s="3">
        <f t="shared" si="7"/>
        <v>69.95</v>
      </c>
    </row>
    <row r="255" spans="1:26" x14ac:dyDescent="0.3">
      <c r="A255" s="7" t="s">
        <v>21</v>
      </c>
      <c r="B255" t="s">
        <v>178</v>
      </c>
      <c r="C255" t="s">
        <v>179</v>
      </c>
      <c r="D255" t="s">
        <v>180</v>
      </c>
      <c r="E255" t="s">
        <v>181</v>
      </c>
      <c r="F255" t="s">
        <v>125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 t="s">
        <v>45</v>
      </c>
      <c r="W255" s="2">
        <v>70.52</v>
      </c>
      <c r="X255" s="3">
        <f t="shared" si="6"/>
        <v>70.52</v>
      </c>
      <c r="Y255">
        <f>VLOOKUP(D255,'[1]Cost Sheet'!$C:$D,2,0)</f>
        <v>70.63</v>
      </c>
      <c r="Z255" s="3">
        <f t="shared" si="7"/>
        <v>70.63</v>
      </c>
    </row>
    <row r="256" spans="1:26" x14ac:dyDescent="0.3">
      <c r="A256" s="7" t="s">
        <v>21</v>
      </c>
      <c r="B256" t="s">
        <v>178</v>
      </c>
      <c r="C256" t="s">
        <v>179</v>
      </c>
      <c r="D256" t="s">
        <v>180</v>
      </c>
      <c r="E256" t="s">
        <v>181</v>
      </c>
      <c r="F256" t="s">
        <v>106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 t="s">
        <v>38</v>
      </c>
      <c r="W256" s="2">
        <v>70.52</v>
      </c>
      <c r="X256" s="3">
        <f t="shared" si="6"/>
        <v>70.52</v>
      </c>
      <c r="Y256">
        <f>VLOOKUP(D256,'[1]Cost Sheet'!$C:$D,2,0)</f>
        <v>70.63</v>
      </c>
      <c r="Z256" s="3">
        <f t="shared" si="7"/>
        <v>70.63</v>
      </c>
    </row>
    <row r="257" spans="1:26" x14ac:dyDescent="0.3">
      <c r="A257" s="7" t="s">
        <v>21</v>
      </c>
      <c r="B257" t="s">
        <v>178</v>
      </c>
      <c r="C257" t="s">
        <v>179</v>
      </c>
      <c r="D257" t="s">
        <v>180</v>
      </c>
      <c r="E257" t="s">
        <v>181</v>
      </c>
      <c r="F257" t="s">
        <v>106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 t="s">
        <v>46</v>
      </c>
      <c r="W257" s="2">
        <v>70.52</v>
      </c>
      <c r="X257" s="3">
        <f t="shared" si="6"/>
        <v>70.52</v>
      </c>
      <c r="Y257">
        <f>VLOOKUP(D257,'[1]Cost Sheet'!$C:$D,2,0)</f>
        <v>70.63</v>
      </c>
      <c r="Z257" s="3">
        <f t="shared" si="7"/>
        <v>70.63</v>
      </c>
    </row>
    <row r="258" spans="1:26" x14ac:dyDescent="0.3">
      <c r="A258" s="7" t="s">
        <v>21</v>
      </c>
      <c r="B258" t="s">
        <v>178</v>
      </c>
      <c r="C258" t="s">
        <v>179</v>
      </c>
      <c r="D258" t="s">
        <v>180</v>
      </c>
      <c r="E258" t="s">
        <v>181</v>
      </c>
      <c r="F258" t="s">
        <v>26</v>
      </c>
      <c r="G258">
        <v>37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37</v>
      </c>
      <c r="T258">
        <v>0</v>
      </c>
      <c r="U258" t="s">
        <v>38</v>
      </c>
      <c r="W258" s="2">
        <v>70.52</v>
      </c>
      <c r="X258" s="3">
        <f t="shared" si="6"/>
        <v>2609.2399999999998</v>
      </c>
      <c r="Y258">
        <f>VLOOKUP(D258,'[1]Cost Sheet'!$C:$D,2,0)</f>
        <v>70.63</v>
      </c>
      <c r="Z258" s="3">
        <f t="shared" si="7"/>
        <v>2613.31</v>
      </c>
    </row>
    <row r="259" spans="1:26" x14ac:dyDescent="0.3">
      <c r="A259" s="7" t="s">
        <v>21</v>
      </c>
      <c r="B259" t="s">
        <v>178</v>
      </c>
      <c r="C259" t="s">
        <v>179</v>
      </c>
      <c r="D259" t="s">
        <v>180</v>
      </c>
      <c r="E259" t="s">
        <v>181</v>
      </c>
      <c r="F259" t="s">
        <v>26</v>
      </c>
      <c r="G259">
        <v>56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56</v>
      </c>
      <c r="T259">
        <v>0</v>
      </c>
      <c r="U259" t="s">
        <v>107</v>
      </c>
      <c r="W259" s="2">
        <v>70.52</v>
      </c>
      <c r="X259" s="3">
        <f t="shared" ref="X259:X322" si="8">S259*W259</f>
        <v>3949.12</v>
      </c>
      <c r="Y259">
        <f>VLOOKUP(D259,'[1]Cost Sheet'!$C:$D,2,0)</f>
        <v>70.63</v>
      </c>
      <c r="Z259" s="3">
        <f t="shared" ref="Z259:Z322" si="9">Y259*S259</f>
        <v>3955.2799999999997</v>
      </c>
    </row>
    <row r="260" spans="1:26" x14ac:dyDescent="0.3">
      <c r="A260" s="7" t="s">
        <v>21</v>
      </c>
      <c r="B260" t="s">
        <v>178</v>
      </c>
      <c r="C260" t="s">
        <v>179</v>
      </c>
      <c r="D260" t="s">
        <v>180</v>
      </c>
      <c r="E260" t="s">
        <v>181</v>
      </c>
      <c r="F260" t="s">
        <v>26</v>
      </c>
      <c r="G260">
        <v>42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43</v>
      </c>
      <c r="T260">
        <v>0</v>
      </c>
      <c r="U260" t="s">
        <v>45</v>
      </c>
      <c r="W260" s="2">
        <v>70.52</v>
      </c>
      <c r="X260" s="3">
        <f t="shared" si="8"/>
        <v>3032.3599999999997</v>
      </c>
      <c r="Y260">
        <f>VLOOKUP(D260,'[1]Cost Sheet'!$C:$D,2,0)</f>
        <v>70.63</v>
      </c>
      <c r="Z260" s="3">
        <f t="shared" si="9"/>
        <v>3037.0899999999997</v>
      </c>
    </row>
    <row r="261" spans="1:26" x14ac:dyDescent="0.3">
      <c r="A261" s="7" t="s">
        <v>21</v>
      </c>
      <c r="B261" t="s">
        <v>178</v>
      </c>
      <c r="C261" t="s">
        <v>179</v>
      </c>
      <c r="D261" t="s">
        <v>180</v>
      </c>
      <c r="E261" t="s">
        <v>181</v>
      </c>
      <c r="F261" t="s">
        <v>26</v>
      </c>
      <c r="G261">
        <v>52</v>
      </c>
      <c r="H261">
        <v>0</v>
      </c>
      <c r="I261">
        <v>0</v>
      </c>
      <c r="J261">
        <v>-2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50</v>
      </c>
      <c r="T261">
        <v>0</v>
      </c>
      <c r="U261" t="s">
        <v>39</v>
      </c>
      <c r="W261" s="2">
        <v>70.52</v>
      </c>
      <c r="X261" s="3">
        <f t="shared" si="8"/>
        <v>3526</v>
      </c>
      <c r="Y261">
        <f>VLOOKUP(D261,'[1]Cost Sheet'!$C:$D,2,0)</f>
        <v>70.63</v>
      </c>
      <c r="Z261" s="3">
        <f t="shared" si="9"/>
        <v>3531.5</v>
      </c>
    </row>
    <row r="262" spans="1:26" x14ac:dyDescent="0.3">
      <c r="A262" s="7" t="s">
        <v>21</v>
      </c>
      <c r="B262" t="s">
        <v>178</v>
      </c>
      <c r="C262" t="s">
        <v>179</v>
      </c>
      <c r="D262" t="s">
        <v>180</v>
      </c>
      <c r="E262" t="s">
        <v>181</v>
      </c>
      <c r="F262" t="s">
        <v>26</v>
      </c>
      <c r="G262">
        <v>50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50</v>
      </c>
      <c r="T262">
        <v>0</v>
      </c>
      <c r="U262" t="s">
        <v>53</v>
      </c>
      <c r="W262" s="2">
        <v>70.52</v>
      </c>
      <c r="X262" s="3">
        <f t="shared" si="8"/>
        <v>3526</v>
      </c>
      <c r="Y262">
        <f>VLOOKUP(D262,'[1]Cost Sheet'!$C:$D,2,0)</f>
        <v>70.63</v>
      </c>
      <c r="Z262" s="3">
        <f t="shared" si="9"/>
        <v>3531.5</v>
      </c>
    </row>
    <row r="263" spans="1:26" x14ac:dyDescent="0.3">
      <c r="A263" s="7" t="s">
        <v>21</v>
      </c>
      <c r="B263" t="s">
        <v>178</v>
      </c>
      <c r="C263" t="s">
        <v>179</v>
      </c>
      <c r="D263" t="s">
        <v>180</v>
      </c>
      <c r="E263" t="s">
        <v>181</v>
      </c>
      <c r="F263" t="s">
        <v>26</v>
      </c>
      <c r="G263">
        <v>51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51</v>
      </c>
      <c r="T263">
        <v>0</v>
      </c>
      <c r="U263" t="s">
        <v>54</v>
      </c>
      <c r="W263" s="2">
        <v>70.52</v>
      </c>
      <c r="X263" s="3">
        <f t="shared" si="8"/>
        <v>3596.52</v>
      </c>
      <c r="Y263">
        <f>VLOOKUP(D263,'[1]Cost Sheet'!$C:$D,2,0)</f>
        <v>70.63</v>
      </c>
      <c r="Z263" s="3">
        <f t="shared" si="9"/>
        <v>3602.1299999999997</v>
      </c>
    </row>
    <row r="264" spans="1:26" x14ac:dyDescent="0.3">
      <c r="A264" s="7" t="s">
        <v>21</v>
      </c>
      <c r="B264" t="s">
        <v>178</v>
      </c>
      <c r="C264" t="s">
        <v>179</v>
      </c>
      <c r="D264" t="s">
        <v>180</v>
      </c>
      <c r="E264" t="s">
        <v>181</v>
      </c>
      <c r="F264" t="s">
        <v>26</v>
      </c>
      <c r="G264">
        <v>82</v>
      </c>
      <c r="H264">
        <v>0</v>
      </c>
      <c r="I264">
        <v>0</v>
      </c>
      <c r="J264">
        <v>-4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79</v>
      </c>
      <c r="T264">
        <v>0</v>
      </c>
      <c r="U264" t="s">
        <v>32</v>
      </c>
      <c r="W264" s="2">
        <v>70.52</v>
      </c>
      <c r="X264" s="3">
        <f t="shared" si="8"/>
        <v>5571.08</v>
      </c>
      <c r="Y264">
        <f>VLOOKUP(D264,'[1]Cost Sheet'!$C:$D,2,0)</f>
        <v>70.63</v>
      </c>
      <c r="Z264" s="3">
        <f t="shared" si="9"/>
        <v>5579.7699999999995</v>
      </c>
    </row>
    <row r="265" spans="1:26" x14ac:dyDescent="0.3">
      <c r="A265" s="7" t="s">
        <v>21</v>
      </c>
      <c r="B265" t="s">
        <v>178</v>
      </c>
      <c r="C265" t="s">
        <v>179</v>
      </c>
      <c r="D265" t="s">
        <v>180</v>
      </c>
      <c r="E265" t="s">
        <v>181</v>
      </c>
      <c r="F265" t="s">
        <v>26</v>
      </c>
      <c r="G265">
        <v>133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133</v>
      </c>
      <c r="T265">
        <v>0</v>
      </c>
      <c r="U265" t="s">
        <v>33</v>
      </c>
      <c r="W265" s="2">
        <v>70.52</v>
      </c>
      <c r="X265" s="3">
        <f t="shared" si="8"/>
        <v>9379.16</v>
      </c>
      <c r="Y265">
        <f>VLOOKUP(D265,'[1]Cost Sheet'!$C:$D,2,0)</f>
        <v>70.63</v>
      </c>
      <c r="Z265" s="3">
        <f t="shared" si="9"/>
        <v>9393.7899999999991</v>
      </c>
    </row>
    <row r="266" spans="1:26" x14ac:dyDescent="0.3">
      <c r="A266" s="7" t="s">
        <v>21</v>
      </c>
      <c r="B266" t="s">
        <v>178</v>
      </c>
      <c r="C266" t="s">
        <v>179</v>
      </c>
      <c r="D266" t="s">
        <v>180</v>
      </c>
      <c r="E266" t="s">
        <v>181</v>
      </c>
      <c r="F266" t="s">
        <v>26</v>
      </c>
      <c r="G266">
        <v>30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-1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29</v>
      </c>
      <c r="T266">
        <v>0</v>
      </c>
      <c r="U266" t="s">
        <v>46</v>
      </c>
      <c r="W266" s="2">
        <v>70.52</v>
      </c>
      <c r="X266" s="3">
        <f t="shared" si="8"/>
        <v>2045.08</v>
      </c>
      <c r="Y266">
        <f>VLOOKUP(D266,'[1]Cost Sheet'!$C:$D,2,0)</f>
        <v>70.63</v>
      </c>
      <c r="Z266" s="3">
        <f t="shared" si="9"/>
        <v>2048.27</v>
      </c>
    </row>
    <row r="267" spans="1:26" x14ac:dyDescent="0.3">
      <c r="A267" s="7" t="s">
        <v>21</v>
      </c>
      <c r="B267" t="s">
        <v>178</v>
      </c>
      <c r="C267" t="s">
        <v>179</v>
      </c>
      <c r="D267" t="s">
        <v>180</v>
      </c>
      <c r="E267" t="s">
        <v>181</v>
      </c>
      <c r="F267" t="s">
        <v>26</v>
      </c>
      <c r="G267">
        <v>65</v>
      </c>
      <c r="H267">
        <v>0</v>
      </c>
      <c r="I267">
        <v>0</v>
      </c>
      <c r="J267">
        <v>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63</v>
      </c>
      <c r="T267">
        <v>0</v>
      </c>
      <c r="U267" t="s">
        <v>47</v>
      </c>
      <c r="W267" s="2">
        <v>70.52</v>
      </c>
      <c r="X267" s="3">
        <f t="shared" si="8"/>
        <v>4442.7599999999993</v>
      </c>
      <c r="Y267">
        <f>VLOOKUP(D267,'[1]Cost Sheet'!$C:$D,2,0)</f>
        <v>70.63</v>
      </c>
      <c r="Z267" s="3">
        <f t="shared" si="9"/>
        <v>4449.6899999999996</v>
      </c>
    </row>
    <row r="268" spans="1:26" x14ac:dyDescent="0.3">
      <c r="A268" s="7" t="s">
        <v>21</v>
      </c>
      <c r="B268" t="s">
        <v>178</v>
      </c>
      <c r="C268" t="s">
        <v>179</v>
      </c>
      <c r="D268" t="s">
        <v>180</v>
      </c>
      <c r="E268" t="s">
        <v>181</v>
      </c>
      <c r="F268" t="s">
        <v>26</v>
      </c>
      <c r="G268">
        <v>28</v>
      </c>
      <c r="H268">
        <v>0</v>
      </c>
      <c r="I268">
        <v>0</v>
      </c>
      <c r="J268">
        <v>-2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26</v>
      </c>
      <c r="T268">
        <v>0</v>
      </c>
      <c r="U268" t="s">
        <v>40</v>
      </c>
      <c r="W268" s="2">
        <v>70.52</v>
      </c>
      <c r="X268" s="3">
        <f t="shared" si="8"/>
        <v>1833.52</v>
      </c>
      <c r="Y268">
        <f>VLOOKUP(D268,'[1]Cost Sheet'!$C:$D,2,0)</f>
        <v>70.63</v>
      </c>
      <c r="Z268" s="3">
        <f t="shared" si="9"/>
        <v>1836.3799999999999</v>
      </c>
    </row>
    <row r="269" spans="1:26" x14ac:dyDescent="0.3">
      <c r="A269" s="7" t="s">
        <v>21</v>
      </c>
      <c r="B269" t="s">
        <v>178</v>
      </c>
      <c r="C269" t="s">
        <v>179</v>
      </c>
      <c r="D269" t="s">
        <v>180</v>
      </c>
      <c r="E269" t="s">
        <v>181</v>
      </c>
      <c r="F269" t="s">
        <v>26</v>
      </c>
      <c r="G269">
        <v>44</v>
      </c>
      <c r="H269">
        <v>0</v>
      </c>
      <c r="I269">
        <v>0</v>
      </c>
      <c r="J269">
        <v>-3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41</v>
      </c>
      <c r="T269">
        <v>0</v>
      </c>
      <c r="U269" t="s">
        <v>48</v>
      </c>
      <c r="W269" s="2">
        <v>70.52</v>
      </c>
      <c r="X269" s="3">
        <f t="shared" si="8"/>
        <v>2891.3199999999997</v>
      </c>
      <c r="Y269">
        <f>VLOOKUP(D269,'[1]Cost Sheet'!$C:$D,2,0)</f>
        <v>70.63</v>
      </c>
      <c r="Z269" s="3">
        <f t="shared" si="9"/>
        <v>2895.83</v>
      </c>
    </row>
    <row r="270" spans="1:26" x14ac:dyDescent="0.3">
      <c r="A270" s="7" t="s">
        <v>21</v>
      </c>
      <c r="B270" t="s">
        <v>178</v>
      </c>
      <c r="C270" t="s">
        <v>179</v>
      </c>
      <c r="D270" t="s">
        <v>180</v>
      </c>
      <c r="E270" t="s">
        <v>181</v>
      </c>
      <c r="F270" t="s">
        <v>26</v>
      </c>
      <c r="G270">
        <v>41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41</v>
      </c>
      <c r="T270">
        <v>0</v>
      </c>
      <c r="U270" t="s">
        <v>59</v>
      </c>
      <c r="W270" s="2">
        <v>70.52</v>
      </c>
      <c r="X270" s="3">
        <f t="shared" si="8"/>
        <v>2891.3199999999997</v>
      </c>
      <c r="Y270">
        <f>VLOOKUP(D270,'[1]Cost Sheet'!$C:$D,2,0)</f>
        <v>70.63</v>
      </c>
      <c r="Z270" s="3">
        <f t="shared" si="9"/>
        <v>2895.83</v>
      </c>
    </row>
    <row r="271" spans="1:26" x14ac:dyDescent="0.3">
      <c r="A271" s="7" t="s">
        <v>21</v>
      </c>
      <c r="B271" t="s">
        <v>178</v>
      </c>
      <c r="C271" t="s">
        <v>179</v>
      </c>
      <c r="D271" t="s">
        <v>180</v>
      </c>
      <c r="E271" t="s">
        <v>181</v>
      </c>
      <c r="F271" t="s">
        <v>26</v>
      </c>
      <c r="G271">
        <v>45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45</v>
      </c>
      <c r="T271">
        <v>0</v>
      </c>
      <c r="U271" t="s">
        <v>27</v>
      </c>
      <c r="W271" s="2">
        <v>70.52</v>
      </c>
      <c r="X271" s="3">
        <f t="shared" si="8"/>
        <v>3173.3999999999996</v>
      </c>
      <c r="Y271">
        <f>VLOOKUP(D271,'[1]Cost Sheet'!$C:$D,2,0)</f>
        <v>70.63</v>
      </c>
      <c r="Z271" s="3">
        <f t="shared" si="9"/>
        <v>3178.35</v>
      </c>
    </row>
    <row r="272" spans="1:26" x14ac:dyDescent="0.3">
      <c r="A272" s="7" t="s">
        <v>21</v>
      </c>
      <c r="B272" t="s">
        <v>182</v>
      </c>
      <c r="C272" t="s">
        <v>183</v>
      </c>
      <c r="D272" t="s">
        <v>1021</v>
      </c>
      <c r="E272" t="s">
        <v>184</v>
      </c>
      <c r="F272" t="s">
        <v>26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 t="s">
        <v>38</v>
      </c>
      <c r="W272" s="2">
        <v>99.42</v>
      </c>
      <c r="X272" s="3">
        <f t="shared" si="8"/>
        <v>99.42</v>
      </c>
      <c r="Y272">
        <f>VLOOKUP(D272,'[1]Cost Sheet'!$C:$D,2,0)</f>
        <v>101.67</v>
      </c>
      <c r="Z272" s="3">
        <f t="shared" si="9"/>
        <v>101.67</v>
      </c>
    </row>
    <row r="273" spans="1:26" x14ac:dyDescent="0.3">
      <c r="A273" s="7" t="s">
        <v>21</v>
      </c>
      <c r="B273" t="s">
        <v>182</v>
      </c>
      <c r="C273" t="s">
        <v>183</v>
      </c>
      <c r="D273" t="s">
        <v>1021</v>
      </c>
      <c r="E273" t="s">
        <v>184</v>
      </c>
      <c r="F273" t="s">
        <v>26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 t="s">
        <v>53</v>
      </c>
      <c r="W273" s="2">
        <v>99.42</v>
      </c>
      <c r="X273" s="3">
        <f t="shared" si="8"/>
        <v>99.42</v>
      </c>
      <c r="Y273">
        <f>VLOOKUP(D273,'[1]Cost Sheet'!$C:$D,2,0)</f>
        <v>101.67</v>
      </c>
      <c r="Z273" s="3">
        <f t="shared" si="9"/>
        <v>101.67</v>
      </c>
    </row>
    <row r="274" spans="1:26" x14ac:dyDescent="0.3">
      <c r="A274" s="7" t="s">
        <v>21</v>
      </c>
      <c r="B274" t="s">
        <v>182</v>
      </c>
      <c r="C274" t="s">
        <v>183</v>
      </c>
      <c r="D274" t="s">
        <v>1021</v>
      </c>
      <c r="E274" t="s">
        <v>184</v>
      </c>
      <c r="F274" t="s">
        <v>26</v>
      </c>
      <c r="G274">
        <v>20</v>
      </c>
      <c r="H274">
        <v>0</v>
      </c>
      <c r="I274">
        <v>0</v>
      </c>
      <c r="J274">
        <v>-1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19</v>
      </c>
      <c r="T274">
        <v>0</v>
      </c>
      <c r="U274" t="s">
        <v>54</v>
      </c>
      <c r="W274" s="2">
        <v>99.42</v>
      </c>
      <c r="X274" s="3">
        <f t="shared" si="8"/>
        <v>1888.98</v>
      </c>
      <c r="Y274">
        <f>VLOOKUP(D274,'[1]Cost Sheet'!$C:$D,2,0)</f>
        <v>101.67</v>
      </c>
      <c r="Z274" s="3">
        <f t="shared" si="9"/>
        <v>1931.73</v>
      </c>
    </row>
    <row r="275" spans="1:26" x14ac:dyDescent="0.3">
      <c r="A275" s="7" t="s">
        <v>21</v>
      </c>
      <c r="B275" t="s">
        <v>182</v>
      </c>
      <c r="C275" t="s">
        <v>183</v>
      </c>
      <c r="D275" t="s">
        <v>1021</v>
      </c>
      <c r="E275" t="s">
        <v>184</v>
      </c>
      <c r="F275" t="s">
        <v>26</v>
      </c>
      <c r="G275">
        <v>1</v>
      </c>
      <c r="H275">
        <v>0</v>
      </c>
      <c r="I275">
        <v>0</v>
      </c>
      <c r="J275">
        <v>-1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W275" s="2">
        <v>99.42</v>
      </c>
      <c r="X275" s="3">
        <f t="shared" si="8"/>
        <v>0</v>
      </c>
      <c r="Y275">
        <f>VLOOKUP(D275,'[1]Cost Sheet'!$C:$D,2,0)</f>
        <v>101.67</v>
      </c>
      <c r="Z275" s="3">
        <f t="shared" si="9"/>
        <v>0</v>
      </c>
    </row>
    <row r="276" spans="1:26" x14ac:dyDescent="0.3">
      <c r="A276" s="7" t="s">
        <v>21</v>
      </c>
      <c r="B276" t="s">
        <v>182</v>
      </c>
      <c r="C276" t="s">
        <v>183</v>
      </c>
      <c r="D276" t="s">
        <v>1021</v>
      </c>
      <c r="E276" t="s">
        <v>184</v>
      </c>
      <c r="F276" t="s">
        <v>26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 t="s">
        <v>47</v>
      </c>
      <c r="W276" s="2">
        <v>99.42</v>
      </c>
      <c r="X276" s="3">
        <f t="shared" si="8"/>
        <v>99.42</v>
      </c>
      <c r="Y276">
        <f>VLOOKUP(D276,'[1]Cost Sheet'!$C:$D,2,0)</f>
        <v>101.67</v>
      </c>
      <c r="Z276" s="3">
        <f t="shared" si="9"/>
        <v>101.67</v>
      </c>
    </row>
    <row r="277" spans="1:26" x14ac:dyDescent="0.3">
      <c r="A277" s="7" t="s">
        <v>21</v>
      </c>
      <c r="B277" t="s">
        <v>182</v>
      </c>
      <c r="C277" t="s">
        <v>183</v>
      </c>
      <c r="D277" t="s">
        <v>1021</v>
      </c>
      <c r="E277" t="s">
        <v>184</v>
      </c>
      <c r="F277" t="s">
        <v>26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</v>
      </c>
      <c r="T277">
        <v>0</v>
      </c>
      <c r="U277" t="s">
        <v>40</v>
      </c>
      <c r="W277" s="2">
        <v>99.42</v>
      </c>
      <c r="X277" s="3">
        <f t="shared" si="8"/>
        <v>198.84</v>
      </c>
      <c r="Y277">
        <f>VLOOKUP(D277,'[1]Cost Sheet'!$C:$D,2,0)</f>
        <v>101.67</v>
      </c>
      <c r="Z277" s="3">
        <f t="shared" si="9"/>
        <v>203.34</v>
      </c>
    </row>
    <row r="278" spans="1:26" x14ac:dyDescent="0.3">
      <c r="A278" s="7" t="s">
        <v>21</v>
      </c>
      <c r="B278" t="s">
        <v>182</v>
      </c>
      <c r="C278" t="s">
        <v>183</v>
      </c>
      <c r="D278" t="s">
        <v>1021</v>
      </c>
      <c r="E278" t="s">
        <v>184</v>
      </c>
      <c r="F278" t="s">
        <v>26</v>
      </c>
      <c r="G278">
        <v>18</v>
      </c>
      <c r="H278">
        <v>0</v>
      </c>
      <c r="I278">
        <v>0</v>
      </c>
      <c r="J278">
        <v>-1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17</v>
      </c>
      <c r="T278">
        <v>0</v>
      </c>
      <c r="U278" t="s">
        <v>48</v>
      </c>
      <c r="W278" s="2">
        <v>99.42</v>
      </c>
      <c r="X278" s="3">
        <f t="shared" si="8"/>
        <v>1690.14</v>
      </c>
      <c r="Y278">
        <f>VLOOKUP(D278,'[1]Cost Sheet'!$C:$D,2,0)</f>
        <v>101.67</v>
      </c>
      <c r="Z278" s="3">
        <f t="shared" si="9"/>
        <v>1728.39</v>
      </c>
    </row>
    <row r="279" spans="1:26" x14ac:dyDescent="0.3">
      <c r="A279" s="7" t="s">
        <v>21</v>
      </c>
      <c r="B279" t="s">
        <v>185</v>
      </c>
      <c r="C279" t="s">
        <v>186</v>
      </c>
      <c r="D279" t="s">
        <v>187</v>
      </c>
      <c r="E279" t="s">
        <v>188</v>
      </c>
      <c r="F279" t="s">
        <v>26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16</v>
      </c>
      <c r="T279">
        <v>0</v>
      </c>
      <c r="U279" t="s">
        <v>38</v>
      </c>
      <c r="W279" s="2">
        <v>112.63</v>
      </c>
      <c r="X279" s="3">
        <f t="shared" si="8"/>
        <v>1802.08</v>
      </c>
      <c r="Y279">
        <f>VLOOKUP(D279,'[1]Cost Sheet'!$C:$D,2,0)</f>
        <v>112.63</v>
      </c>
      <c r="Z279" s="3">
        <f t="shared" si="9"/>
        <v>1802.08</v>
      </c>
    </row>
    <row r="280" spans="1:26" x14ac:dyDescent="0.3">
      <c r="A280" s="7" t="s">
        <v>21</v>
      </c>
      <c r="B280" t="s">
        <v>185</v>
      </c>
      <c r="C280" t="s">
        <v>186</v>
      </c>
      <c r="D280" t="s">
        <v>187</v>
      </c>
      <c r="E280" t="s">
        <v>188</v>
      </c>
      <c r="F280" t="s">
        <v>26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 t="s">
        <v>107</v>
      </c>
      <c r="W280" s="2">
        <v>112.63</v>
      </c>
      <c r="X280" s="3">
        <f t="shared" si="8"/>
        <v>112.63</v>
      </c>
      <c r="Y280">
        <f>VLOOKUP(D280,'[1]Cost Sheet'!$C:$D,2,0)</f>
        <v>112.63</v>
      </c>
      <c r="Z280" s="3">
        <f t="shared" si="9"/>
        <v>112.63</v>
      </c>
    </row>
    <row r="281" spans="1:26" x14ac:dyDescent="0.3">
      <c r="A281" s="7" t="s">
        <v>21</v>
      </c>
      <c r="B281" t="s">
        <v>185</v>
      </c>
      <c r="C281" t="s">
        <v>186</v>
      </c>
      <c r="D281" t="s">
        <v>187</v>
      </c>
      <c r="E281" t="s">
        <v>188</v>
      </c>
      <c r="F281" t="s">
        <v>26</v>
      </c>
      <c r="G281">
        <v>29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29</v>
      </c>
      <c r="T281">
        <v>0</v>
      </c>
      <c r="U281" t="s">
        <v>45</v>
      </c>
      <c r="W281" s="2">
        <v>112.63</v>
      </c>
      <c r="X281" s="3">
        <f t="shared" si="8"/>
        <v>3266.27</v>
      </c>
      <c r="Y281">
        <f>VLOOKUP(D281,'[1]Cost Sheet'!$C:$D,2,0)</f>
        <v>112.63</v>
      </c>
      <c r="Z281" s="3">
        <f t="shared" si="9"/>
        <v>3266.27</v>
      </c>
    </row>
    <row r="282" spans="1:26" x14ac:dyDescent="0.3">
      <c r="A282" s="7" t="s">
        <v>21</v>
      </c>
      <c r="B282" t="s">
        <v>185</v>
      </c>
      <c r="C282" t="s">
        <v>186</v>
      </c>
      <c r="D282" t="s">
        <v>187</v>
      </c>
      <c r="E282" t="s">
        <v>188</v>
      </c>
      <c r="F282" t="s">
        <v>26</v>
      </c>
      <c r="G282">
        <v>24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24</v>
      </c>
      <c r="T282">
        <v>0</v>
      </c>
      <c r="U282" t="s">
        <v>39</v>
      </c>
      <c r="W282" s="2">
        <v>112.63</v>
      </c>
      <c r="X282" s="3">
        <f t="shared" si="8"/>
        <v>2703.12</v>
      </c>
      <c r="Y282">
        <f>VLOOKUP(D282,'[1]Cost Sheet'!$C:$D,2,0)</f>
        <v>112.63</v>
      </c>
      <c r="Z282" s="3">
        <f t="shared" si="9"/>
        <v>2703.12</v>
      </c>
    </row>
    <row r="283" spans="1:26" x14ac:dyDescent="0.3">
      <c r="A283" s="7" t="s">
        <v>21</v>
      </c>
      <c r="B283" t="s">
        <v>185</v>
      </c>
      <c r="C283" t="s">
        <v>186</v>
      </c>
      <c r="D283" t="s">
        <v>187</v>
      </c>
      <c r="E283" t="s">
        <v>188</v>
      </c>
      <c r="F283" t="s">
        <v>26</v>
      </c>
      <c r="G283">
        <v>13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13</v>
      </c>
      <c r="T283">
        <v>0</v>
      </c>
      <c r="U283" t="s">
        <v>53</v>
      </c>
      <c r="W283" s="2">
        <v>112.63</v>
      </c>
      <c r="X283" s="3">
        <f t="shared" si="8"/>
        <v>1464.19</v>
      </c>
      <c r="Y283">
        <f>VLOOKUP(D283,'[1]Cost Sheet'!$C:$D,2,0)</f>
        <v>112.63</v>
      </c>
      <c r="Z283" s="3">
        <f t="shared" si="9"/>
        <v>1464.19</v>
      </c>
    </row>
    <row r="284" spans="1:26" x14ac:dyDescent="0.3">
      <c r="A284" s="7" t="s">
        <v>21</v>
      </c>
      <c r="B284" t="s">
        <v>185</v>
      </c>
      <c r="C284" t="s">
        <v>186</v>
      </c>
      <c r="D284" t="s">
        <v>187</v>
      </c>
      <c r="E284" t="s">
        <v>188</v>
      </c>
      <c r="F284" t="s">
        <v>26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6</v>
      </c>
      <c r="T284">
        <v>0</v>
      </c>
      <c r="U284" t="s">
        <v>54</v>
      </c>
      <c r="W284" s="2">
        <v>112.63</v>
      </c>
      <c r="X284" s="3">
        <f t="shared" si="8"/>
        <v>675.78</v>
      </c>
      <c r="Y284">
        <f>VLOOKUP(D284,'[1]Cost Sheet'!$C:$D,2,0)</f>
        <v>112.63</v>
      </c>
      <c r="Z284" s="3">
        <f t="shared" si="9"/>
        <v>675.78</v>
      </c>
    </row>
    <row r="285" spans="1:26" x14ac:dyDescent="0.3">
      <c r="A285" s="7" t="s">
        <v>21</v>
      </c>
      <c r="B285" t="s">
        <v>185</v>
      </c>
      <c r="C285" t="s">
        <v>186</v>
      </c>
      <c r="D285" t="s">
        <v>187</v>
      </c>
      <c r="E285" t="s">
        <v>188</v>
      </c>
      <c r="F285" t="s">
        <v>26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 t="s">
        <v>32</v>
      </c>
      <c r="W285" s="2">
        <v>112.63</v>
      </c>
      <c r="X285" s="3">
        <f t="shared" si="8"/>
        <v>112.63</v>
      </c>
      <c r="Y285">
        <f>VLOOKUP(D285,'[1]Cost Sheet'!$C:$D,2,0)</f>
        <v>112.63</v>
      </c>
      <c r="Z285" s="3">
        <f t="shared" si="9"/>
        <v>112.63</v>
      </c>
    </row>
    <row r="286" spans="1:26" x14ac:dyDescent="0.3">
      <c r="A286" s="7" t="s">
        <v>21</v>
      </c>
      <c r="B286" t="s">
        <v>185</v>
      </c>
      <c r="C286" t="s">
        <v>186</v>
      </c>
      <c r="D286" t="s">
        <v>187</v>
      </c>
      <c r="E286" t="s">
        <v>188</v>
      </c>
      <c r="F286" t="s">
        <v>26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 t="s">
        <v>33</v>
      </c>
      <c r="W286" s="2">
        <v>112.63</v>
      </c>
      <c r="X286" s="3">
        <f t="shared" si="8"/>
        <v>112.63</v>
      </c>
      <c r="Y286">
        <f>VLOOKUP(D286,'[1]Cost Sheet'!$C:$D,2,0)</f>
        <v>112.63</v>
      </c>
      <c r="Z286" s="3">
        <f t="shared" si="9"/>
        <v>112.63</v>
      </c>
    </row>
    <row r="287" spans="1:26" x14ac:dyDescent="0.3">
      <c r="A287" s="7" t="s">
        <v>21</v>
      </c>
      <c r="B287" t="s">
        <v>185</v>
      </c>
      <c r="C287" t="s">
        <v>186</v>
      </c>
      <c r="D287" t="s">
        <v>187</v>
      </c>
      <c r="E287" t="s">
        <v>188</v>
      </c>
      <c r="F287" t="s">
        <v>26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12</v>
      </c>
      <c r="T287">
        <v>0</v>
      </c>
      <c r="U287" t="s">
        <v>46</v>
      </c>
      <c r="W287" s="2">
        <v>112.63</v>
      </c>
      <c r="X287" s="3">
        <f t="shared" si="8"/>
        <v>1351.56</v>
      </c>
      <c r="Y287">
        <f>VLOOKUP(D287,'[1]Cost Sheet'!$C:$D,2,0)</f>
        <v>112.63</v>
      </c>
      <c r="Z287" s="3">
        <f t="shared" si="9"/>
        <v>1351.56</v>
      </c>
    </row>
    <row r="288" spans="1:26" x14ac:dyDescent="0.3">
      <c r="A288" s="7" t="s">
        <v>21</v>
      </c>
      <c r="B288" t="s">
        <v>185</v>
      </c>
      <c r="C288" t="s">
        <v>186</v>
      </c>
      <c r="D288" t="s">
        <v>187</v>
      </c>
      <c r="E288" t="s">
        <v>188</v>
      </c>
      <c r="F288" t="s">
        <v>26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7</v>
      </c>
      <c r="T288">
        <v>0</v>
      </c>
      <c r="U288" t="s">
        <v>47</v>
      </c>
      <c r="W288" s="2">
        <v>112.63</v>
      </c>
      <c r="X288" s="3">
        <f t="shared" si="8"/>
        <v>788.41</v>
      </c>
      <c r="Y288">
        <f>VLOOKUP(D288,'[1]Cost Sheet'!$C:$D,2,0)</f>
        <v>112.63</v>
      </c>
      <c r="Z288" s="3">
        <f t="shared" si="9"/>
        <v>788.41</v>
      </c>
    </row>
    <row r="289" spans="1:26" x14ac:dyDescent="0.3">
      <c r="A289" s="7" t="s">
        <v>21</v>
      </c>
      <c r="B289" t="s">
        <v>185</v>
      </c>
      <c r="C289" t="s">
        <v>186</v>
      </c>
      <c r="D289" t="s">
        <v>187</v>
      </c>
      <c r="E289" t="s">
        <v>188</v>
      </c>
      <c r="F289" t="s">
        <v>26</v>
      </c>
      <c r="G289">
        <v>12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12</v>
      </c>
      <c r="T289">
        <v>0</v>
      </c>
      <c r="U289" t="s">
        <v>40</v>
      </c>
      <c r="W289" s="2">
        <v>112.63</v>
      </c>
      <c r="X289" s="3">
        <f t="shared" si="8"/>
        <v>1351.56</v>
      </c>
      <c r="Y289">
        <f>VLOOKUP(D289,'[1]Cost Sheet'!$C:$D,2,0)</f>
        <v>112.63</v>
      </c>
      <c r="Z289" s="3">
        <f t="shared" si="9"/>
        <v>1351.56</v>
      </c>
    </row>
    <row r="290" spans="1:26" x14ac:dyDescent="0.3">
      <c r="A290" s="7" t="s">
        <v>21</v>
      </c>
      <c r="B290" t="s">
        <v>185</v>
      </c>
      <c r="C290" t="s">
        <v>186</v>
      </c>
      <c r="D290" t="s">
        <v>187</v>
      </c>
      <c r="E290" t="s">
        <v>188</v>
      </c>
      <c r="F290" t="s">
        <v>26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 t="s">
        <v>113</v>
      </c>
      <c r="W290" s="2">
        <v>112.63</v>
      </c>
      <c r="X290" s="3">
        <f t="shared" si="8"/>
        <v>112.63</v>
      </c>
      <c r="Y290">
        <f>VLOOKUP(D290,'[1]Cost Sheet'!$C:$D,2,0)</f>
        <v>112.63</v>
      </c>
      <c r="Z290" s="3">
        <f t="shared" si="9"/>
        <v>112.63</v>
      </c>
    </row>
    <row r="291" spans="1:26" x14ac:dyDescent="0.3">
      <c r="A291" s="7" t="s">
        <v>21</v>
      </c>
      <c r="B291" t="s">
        <v>185</v>
      </c>
      <c r="C291" t="s">
        <v>186</v>
      </c>
      <c r="D291" t="s">
        <v>187</v>
      </c>
      <c r="E291" t="s">
        <v>188</v>
      </c>
      <c r="F291" t="s">
        <v>26</v>
      </c>
      <c r="G291">
        <v>63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63</v>
      </c>
      <c r="T291">
        <v>0</v>
      </c>
      <c r="U291" t="s">
        <v>48</v>
      </c>
      <c r="W291" s="2">
        <v>112.63</v>
      </c>
      <c r="X291" s="3">
        <f t="shared" si="8"/>
        <v>7095.69</v>
      </c>
      <c r="Y291">
        <f>VLOOKUP(D291,'[1]Cost Sheet'!$C:$D,2,0)</f>
        <v>112.63</v>
      </c>
      <c r="Z291" s="3">
        <f t="shared" si="9"/>
        <v>7095.69</v>
      </c>
    </row>
    <row r="292" spans="1:26" x14ac:dyDescent="0.3">
      <c r="A292" s="7" t="s">
        <v>21</v>
      </c>
      <c r="B292" t="s">
        <v>185</v>
      </c>
      <c r="C292" t="s">
        <v>186</v>
      </c>
      <c r="D292" t="s">
        <v>187</v>
      </c>
      <c r="E292" t="s">
        <v>188</v>
      </c>
      <c r="F292" t="s">
        <v>26</v>
      </c>
      <c r="G292">
        <v>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30</v>
      </c>
      <c r="T292">
        <v>0</v>
      </c>
      <c r="U292" t="s">
        <v>59</v>
      </c>
      <c r="W292" s="2">
        <v>112.63</v>
      </c>
      <c r="X292" s="3">
        <f t="shared" si="8"/>
        <v>3378.8999999999996</v>
      </c>
      <c r="Y292">
        <f>VLOOKUP(D292,'[1]Cost Sheet'!$C:$D,2,0)</f>
        <v>112.63</v>
      </c>
      <c r="Z292" s="3">
        <f t="shared" si="9"/>
        <v>3378.8999999999996</v>
      </c>
    </row>
    <row r="293" spans="1:26" x14ac:dyDescent="0.3">
      <c r="A293" s="7" t="s">
        <v>21</v>
      </c>
      <c r="B293" t="s">
        <v>189</v>
      </c>
      <c r="C293" t="s">
        <v>190</v>
      </c>
      <c r="D293" t="s">
        <v>191</v>
      </c>
      <c r="E293" t="s">
        <v>192</v>
      </c>
      <c r="F293" t="s">
        <v>26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 t="s">
        <v>54</v>
      </c>
      <c r="W293" s="2">
        <v>52.11</v>
      </c>
      <c r="X293" s="3">
        <f t="shared" si="8"/>
        <v>52.11</v>
      </c>
      <c r="Y293">
        <f>VLOOKUP(D293,'[1]Cost Sheet'!$C:$D,2,0)</f>
        <v>52.11</v>
      </c>
      <c r="Z293" s="3">
        <f t="shared" si="9"/>
        <v>52.11</v>
      </c>
    </row>
    <row r="294" spans="1:26" x14ac:dyDescent="0.3">
      <c r="A294" s="7" t="s">
        <v>21</v>
      </c>
      <c r="B294" t="s">
        <v>189</v>
      </c>
      <c r="C294" t="s">
        <v>190</v>
      </c>
      <c r="D294" t="s">
        <v>191</v>
      </c>
      <c r="E294" t="s">
        <v>192</v>
      </c>
      <c r="F294" t="s">
        <v>26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 t="s">
        <v>46</v>
      </c>
      <c r="W294" s="2">
        <v>52.11</v>
      </c>
      <c r="X294" s="3">
        <f t="shared" si="8"/>
        <v>52.11</v>
      </c>
      <c r="Y294">
        <f>VLOOKUP(D294,'[1]Cost Sheet'!$C:$D,2,0)</f>
        <v>52.11</v>
      </c>
      <c r="Z294" s="3">
        <f t="shared" si="9"/>
        <v>52.11</v>
      </c>
    </row>
    <row r="295" spans="1:26" x14ac:dyDescent="0.3">
      <c r="A295" s="7" t="s">
        <v>21</v>
      </c>
      <c r="B295" t="s">
        <v>193</v>
      </c>
      <c r="C295" t="s">
        <v>194</v>
      </c>
      <c r="D295" t="s">
        <v>195</v>
      </c>
      <c r="E295" t="s">
        <v>196</v>
      </c>
      <c r="F295" t="s">
        <v>106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0</v>
      </c>
      <c r="U295" t="s">
        <v>107</v>
      </c>
      <c r="W295" s="2">
        <v>31.706666666666667</v>
      </c>
      <c r="X295" s="3">
        <f t="shared" si="8"/>
        <v>63.413333333333334</v>
      </c>
      <c r="Y295">
        <f>VLOOKUP(D295,'[1]Cost Sheet'!$C:$D,2,0)</f>
        <v>31.98</v>
      </c>
      <c r="Z295" s="3">
        <f t="shared" si="9"/>
        <v>63.96</v>
      </c>
    </row>
    <row r="296" spans="1:26" x14ac:dyDescent="0.3">
      <c r="A296" s="7" t="s">
        <v>21</v>
      </c>
      <c r="B296" t="s">
        <v>193</v>
      </c>
      <c r="C296" t="s">
        <v>194</v>
      </c>
      <c r="D296" t="s">
        <v>195</v>
      </c>
      <c r="E296" t="s">
        <v>196</v>
      </c>
      <c r="F296" t="s">
        <v>106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 t="s">
        <v>45</v>
      </c>
      <c r="W296" s="2">
        <v>31.706666666666667</v>
      </c>
      <c r="X296" s="3">
        <f t="shared" si="8"/>
        <v>31.706666666666667</v>
      </c>
      <c r="Y296">
        <f>VLOOKUP(D296,'[1]Cost Sheet'!$C:$D,2,0)</f>
        <v>31.98</v>
      </c>
      <c r="Z296" s="3">
        <f t="shared" si="9"/>
        <v>31.98</v>
      </c>
    </row>
    <row r="297" spans="1:26" x14ac:dyDescent="0.3">
      <c r="A297" s="7" t="s">
        <v>21</v>
      </c>
      <c r="B297" t="s">
        <v>193</v>
      </c>
      <c r="C297" t="s">
        <v>194</v>
      </c>
      <c r="D297" t="s">
        <v>195</v>
      </c>
      <c r="E297" t="s">
        <v>196</v>
      </c>
      <c r="F297" t="s">
        <v>106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 t="s">
        <v>32</v>
      </c>
      <c r="W297" s="2">
        <v>31.706666666666667</v>
      </c>
      <c r="X297" s="3">
        <f t="shared" si="8"/>
        <v>31.706666666666667</v>
      </c>
      <c r="Y297">
        <f>VLOOKUP(D297,'[1]Cost Sheet'!$C:$D,2,0)</f>
        <v>31.98</v>
      </c>
      <c r="Z297" s="3">
        <f t="shared" si="9"/>
        <v>31.98</v>
      </c>
    </row>
    <row r="298" spans="1:26" x14ac:dyDescent="0.3">
      <c r="A298" s="7" t="s">
        <v>21</v>
      </c>
      <c r="B298" t="s">
        <v>193</v>
      </c>
      <c r="C298" t="s">
        <v>194</v>
      </c>
      <c r="D298" t="s">
        <v>195</v>
      </c>
      <c r="E298" t="s">
        <v>196</v>
      </c>
      <c r="F298" t="s">
        <v>106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 t="s">
        <v>33</v>
      </c>
      <c r="W298" s="2">
        <v>31.706666666666667</v>
      </c>
      <c r="X298" s="3">
        <f t="shared" si="8"/>
        <v>31.706666666666667</v>
      </c>
      <c r="Y298">
        <f>VLOOKUP(D298,'[1]Cost Sheet'!$C:$D,2,0)</f>
        <v>31.98</v>
      </c>
      <c r="Z298" s="3">
        <f t="shared" si="9"/>
        <v>31.98</v>
      </c>
    </row>
    <row r="299" spans="1:26" x14ac:dyDescent="0.3">
      <c r="A299" s="7" t="s">
        <v>21</v>
      </c>
      <c r="B299" t="s">
        <v>193</v>
      </c>
      <c r="C299" t="s">
        <v>194</v>
      </c>
      <c r="D299" t="s">
        <v>195</v>
      </c>
      <c r="E299" t="s">
        <v>196</v>
      </c>
      <c r="F299" t="s">
        <v>106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113</v>
      </c>
      <c r="W299" s="2">
        <v>31.706666666666667</v>
      </c>
      <c r="X299" s="3">
        <f t="shared" si="8"/>
        <v>0</v>
      </c>
      <c r="Y299">
        <f>VLOOKUP(D299,'[1]Cost Sheet'!$C:$D,2,0)</f>
        <v>31.98</v>
      </c>
      <c r="Z299" s="3">
        <f t="shared" si="9"/>
        <v>0</v>
      </c>
    </row>
    <row r="300" spans="1:26" x14ac:dyDescent="0.3">
      <c r="A300" s="7" t="s">
        <v>21</v>
      </c>
      <c r="B300" t="s">
        <v>193</v>
      </c>
      <c r="C300" t="s">
        <v>194</v>
      </c>
      <c r="D300" t="s">
        <v>195</v>
      </c>
      <c r="E300" t="s">
        <v>196</v>
      </c>
      <c r="F300" t="s">
        <v>26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</v>
      </c>
      <c r="T300">
        <v>0</v>
      </c>
      <c r="U300" t="s">
        <v>38</v>
      </c>
      <c r="W300" s="2">
        <v>31.706666666666667</v>
      </c>
      <c r="X300" s="3">
        <f t="shared" si="8"/>
        <v>95.12</v>
      </c>
      <c r="Y300">
        <f>VLOOKUP(D300,'[1]Cost Sheet'!$C:$D,2,0)</f>
        <v>31.98</v>
      </c>
      <c r="Z300" s="3">
        <f t="shared" si="9"/>
        <v>95.94</v>
      </c>
    </row>
    <row r="301" spans="1:26" x14ac:dyDescent="0.3">
      <c r="A301" s="7" t="s">
        <v>21</v>
      </c>
      <c r="B301" t="s">
        <v>193</v>
      </c>
      <c r="C301" t="s">
        <v>194</v>
      </c>
      <c r="D301" t="s">
        <v>195</v>
      </c>
      <c r="E301" t="s">
        <v>196</v>
      </c>
      <c r="F301" t="s">
        <v>26</v>
      </c>
      <c r="G301">
        <v>8</v>
      </c>
      <c r="H301">
        <v>0</v>
      </c>
      <c r="I301">
        <v>0</v>
      </c>
      <c r="J301">
        <v>-1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7</v>
      </c>
      <c r="T301">
        <v>0</v>
      </c>
      <c r="U301" t="s">
        <v>107</v>
      </c>
      <c r="W301" s="2">
        <v>31.706666666666667</v>
      </c>
      <c r="X301" s="3">
        <f t="shared" si="8"/>
        <v>221.94666666666666</v>
      </c>
      <c r="Y301">
        <f>VLOOKUP(D301,'[1]Cost Sheet'!$C:$D,2,0)</f>
        <v>31.98</v>
      </c>
      <c r="Z301" s="3">
        <f t="shared" si="9"/>
        <v>223.86</v>
      </c>
    </row>
    <row r="302" spans="1:26" x14ac:dyDescent="0.3">
      <c r="A302" s="7" t="s">
        <v>21</v>
      </c>
      <c r="B302" t="s">
        <v>193</v>
      </c>
      <c r="C302" t="s">
        <v>194</v>
      </c>
      <c r="D302" t="s">
        <v>195</v>
      </c>
      <c r="E302" t="s">
        <v>196</v>
      </c>
      <c r="F302" t="s">
        <v>26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151</v>
      </c>
      <c r="W302" s="2">
        <v>31.706666666666667</v>
      </c>
      <c r="X302" s="3">
        <f t="shared" si="8"/>
        <v>0</v>
      </c>
      <c r="Y302">
        <f>VLOOKUP(D302,'[1]Cost Sheet'!$C:$D,2,0)</f>
        <v>31.98</v>
      </c>
      <c r="Z302" s="3">
        <f t="shared" si="9"/>
        <v>0</v>
      </c>
    </row>
    <row r="303" spans="1:26" x14ac:dyDescent="0.3">
      <c r="A303" s="7" t="s">
        <v>21</v>
      </c>
      <c r="B303" t="s">
        <v>193</v>
      </c>
      <c r="C303" t="s">
        <v>194</v>
      </c>
      <c r="D303" t="s">
        <v>195</v>
      </c>
      <c r="E303" t="s">
        <v>196</v>
      </c>
      <c r="F303" t="s">
        <v>26</v>
      </c>
      <c r="G303">
        <v>46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46</v>
      </c>
      <c r="T303">
        <v>0</v>
      </c>
      <c r="U303" t="s">
        <v>45</v>
      </c>
      <c r="W303" s="2">
        <v>31.706666666666667</v>
      </c>
      <c r="X303" s="3">
        <f t="shared" si="8"/>
        <v>1458.5066666666667</v>
      </c>
      <c r="Y303">
        <f>VLOOKUP(D303,'[1]Cost Sheet'!$C:$D,2,0)</f>
        <v>31.98</v>
      </c>
      <c r="Z303" s="3">
        <f t="shared" si="9"/>
        <v>1471.08</v>
      </c>
    </row>
    <row r="304" spans="1:26" x14ac:dyDescent="0.3">
      <c r="A304" s="7" t="s">
        <v>21</v>
      </c>
      <c r="B304" t="s">
        <v>193</v>
      </c>
      <c r="C304" t="s">
        <v>194</v>
      </c>
      <c r="D304" t="s">
        <v>195</v>
      </c>
      <c r="E304" t="s">
        <v>196</v>
      </c>
      <c r="F304" t="s">
        <v>26</v>
      </c>
      <c r="G304">
        <v>25</v>
      </c>
      <c r="H304">
        <v>0</v>
      </c>
      <c r="I304">
        <v>0</v>
      </c>
      <c r="J304">
        <v>-4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21</v>
      </c>
      <c r="T304">
        <v>0</v>
      </c>
      <c r="U304" t="s">
        <v>39</v>
      </c>
      <c r="W304" s="2">
        <v>31.706666666666667</v>
      </c>
      <c r="X304" s="3">
        <f t="shared" si="8"/>
        <v>665.84</v>
      </c>
      <c r="Y304">
        <f>VLOOKUP(D304,'[1]Cost Sheet'!$C:$D,2,0)</f>
        <v>31.98</v>
      </c>
      <c r="Z304" s="3">
        <f t="shared" si="9"/>
        <v>671.58</v>
      </c>
    </row>
    <row r="305" spans="1:26" x14ac:dyDescent="0.3">
      <c r="A305" s="7" t="s">
        <v>21</v>
      </c>
      <c r="B305" t="s">
        <v>193</v>
      </c>
      <c r="C305" t="s">
        <v>194</v>
      </c>
      <c r="D305" t="s">
        <v>195</v>
      </c>
      <c r="E305" t="s">
        <v>196</v>
      </c>
      <c r="F305" t="s">
        <v>26</v>
      </c>
      <c r="G305">
        <v>9</v>
      </c>
      <c r="H305">
        <v>0</v>
      </c>
      <c r="I305">
        <v>0</v>
      </c>
      <c r="J305">
        <v>-1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</v>
      </c>
      <c r="T305">
        <v>0</v>
      </c>
      <c r="U305" t="s">
        <v>54</v>
      </c>
      <c r="W305" s="2">
        <v>31.706666666666667</v>
      </c>
      <c r="X305" s="3">
        <f t="shared" si="8"/>
        <v>253.65333333333334</v>
      </c>
      <c r="Y305">
        <f>VLOOKUP(D305,'[1]Cost Sheet'!$C:$D,2,0)</f>
        <v>31.98</v>
      </c>
      <c r="Z305" s="3">
        <f t="shared" si="9"/>
        <v>255.84</v>
      </c>
    </row>
    <row r="306" spans="1:26" x14ac:dyDescent="0.3">
      <c r="A306" s="7" t="s">
        <v>21</v>
      </c>
      <c r="B306" t="s">
        <v>193</v>
      </c>
      <c r="C306" t="s">
        <v>194</v>
      </c>
      <c r="D306" t="s">
        <v>195</v>
      </c>
      <c r="E306" t="s">
        <v>196</v>
      </c>
      <c r="F306" t="s">
        <v>26</v>
      </c>
      <c r="G306">
        <v>25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25</v>
      </c>
      <c r="T306">
        <v>0</v>
      </c>
      <c r="U306" t="s">
        <v>32</v>
      </c>
      <c r="W306" s="2">
        <v>31.706666666666667</v>
      </c>
      <c r="X306" s="3">
        <f t="shared" si="8"/>
        <v>792.66666666666663</v>
      </c>
      <c r="Y306">
        <f>VLOOKUP(D306,'[1]Cost Sheet'!$C:$D,2,0)</f>
        <v>31.98</v>
      </c>
      <c r="Z306" s="3">
        <f t="shared" si="9"/>
        <v>799.5</v>
      </c>
    </row>
    <row r="307" spans="1:26" x14ac:dyDescent="0.3">
      <c r="A307" s="7" t="s">
        <v>21</v>
      </c>
      <c r="B307" t="s">
        <v>193</v>
      </c>
      <c r="C307" t="s">
        <v>194</v>
      </c>
      <c r="D307" t="s">
        <v>195</v>
      </c>
      <c r="E307" t="s">
        <v>196</v>
      </c>
      <c r="F307" t="s">
        <v>26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 t="s">
        <v>33</v>
      </c>
      <c r="W307" s="2">
        <v>31.706666666666667</v>
      </c>
      <c r="X307" s="3">
        <f t="shared" si="8"/>
        <v>31.706666666666667</v>
      </c>
      <c r="Y307">
        <f>VLOOKUP(D307,'[1]Cost Sheet'!$C:$D,2,0)</f>
        <v>31.98</v>
      </c>
      <c r="Z307" s="3">
        <f t="shared" si="9"/>
        <v>31.98</v>
      </c>
    </row>
    <row r="308" spans="1:26" x14ac:dyDescent="0.3">
      <c r="A308" s="7" t="s">
        <v>21</v>
      </c>
      <c r="B308" t="s">
        <v>193</v>
      </c>
      <c r="C308" t="s">
        <v>194</v>
      </c>
      <c r="D308" t="s">
        <v>195</v>
      </c>
      <c r="E308" t="s">
        <v>196</v>
      </c>
      <c r="F308" t="s">
        <v>26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 t="s">
        <v>46</v>
      </c>
      <c r="W308" s="2">
        <v>31.706666666666667</v>
      </c>
      <c r="X308" s="3">
        <f t="shared" si="8"/>
        <v>31.706666666666667</v>
      </c>
      <c r="Y308">
        <f>VLOOKUP(D308,'[1]Cost Sheet'!$C:$D,2,0)</f>
        <v>31.98</v>
      </c>
      <c r="Z308" s="3">
        <f t="shared" si="9"/>
        <v>31.98</v>
      </c>
    </row>
    <row r="309" spans="1:26" x14ac:dyDescent="0.3">
      <c r="A309" s="7" t="s">
        <v>21</v>
      </c>
      <c r="B309" t="s">
        <v>193</v>
      </c>
      <c r="C309" t="s">
        <v>194</v>
      </c>
      <c r="D309" t="s">
        <v>195</v>
      </c>
      <c r="E309" t="s">
        <v>196</v>
      </c>
      <c r="F309" t="s">
        <v>26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 t="s">
        <v>47</v>
      </c>
      <c r="W309" s="2">
        <v>31.706666666666667</v>
      </c>
      <c r="X309" s="3">
        <f t="shared" si="8"/>
        <v>31.706666666666667</v>
      </c>
      <c r="Y309">
        <f>VLOOKUP(D309,'[1]Cost Sheet'!$C:$D,2,0)</f>
        <v>31.98</v>
      </c>
      <c r="Z309" s="3">
        <f t="shared" si="9"/>
        <v>31.98</v>
      </c>
    </row>
    <row r="310" spans="1:26" x14ac:dyDescent="0.3">
      <c r="A310" s="7" t="s">
        <v>21</v>
      </c>
      <c r="B310" t="s">
        <v>193</v>
      </c>
      <c r="C310" t="s">
        <v>194</v>
      </c>
      <c r="D310" t="s">
        <v>195</v>
      </c>
      <c r="E310" t="s">
        <v>196</v>
      </c>
      <c r="F310" t="s">
        <v>26</v>
      </c>
      <c r="G310">
        <v>39</v>
      </c>
      <c r="H310">
        <v>0</v>
      </c>
      <c r="I310">
        <v>0</v>
      </c>
      <c r="J310">
        <v>-1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38</v>
      </c>
      <c r="T310">
        <v>0</v>
      </c>
      <c r="U310" t="s">
        <v>40</v>
      </c>
      <c r="W310" s="2">
        <v>31.706666666666667</v>
      </c>
      <c r="X310" s="3">
        <f t="shared" si="8"/>
        <v>1204.8533333333332</v>
      </c>
      <c r="Y310">
        <f>VLOOKUP(D310,'[1]Cost Sheet'!$C:$D,2,0)</f>
        <v>31.98</v>
      </c>
      <c r="Z310" s="3">
        <f t="shared" si="9"/>
        <v>1215.24</v>
      </c>
    </row>
    <row r="311" spans="1:26" x14ac:dyDescent="0.3">
      <c r="A311" s="7" t="s">
        <v>21</v>
      </c>
      <c r="B311" t="s">
        <v>193</v>
      </c>
      <c r="C311" t="s">
        <v>194</v>
      </c>
      <c r="D311" t="s">
        <v>195</v>
      </c>
      <c r="E311" t="s">
        <v>196</v>
      </c>
      <c r="F311" t="s">
        <v>26</v>
      </c>
      <c r="G311">
        <v>22</v>
      </c>
      <c r="H311">
        <v>0</v>
      </c>
      <c r="I311">
        <v>0</v>
      </c>
      <c r="J311">
        <v>-2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20</v>
      </c>
      <c r="T311">
        <v>0</v>
      </c>
      <c r="U311" t="s">
        <v>113</v>
      </c>
      <c r="W311" s="2">
        <v>31.706666666666667</v>
      </c>
      <c r="X311" s="3">
        <f t="shared" si="8"/>
        <v>634.13333333333333</v>
      </c>
      <c r="Y311">
        <f>VLOOKUP(D311,'[1]Cost Sheet'!$C:$D,2,0)</f>
        <v>31.98</v>
      </c>
      <c r="Z311" s="3">
        <f t="shared" si="9"/>
        <v>639.6</v>
      </c>
    </row>
    <row r="312" spans="1:26" x14ac:dyDescent="0.3">
      <c r="A312" s="7" t="s">
        <v>21</v>
      </c>
      <c r="B312" t="s">
        <v>193</v>
      </c>
      <c r="C312" t="s">
        <v>194</v>
      </c>
      <c r="D312" t="s">
        <v>195</v>
      </c>
      <c r="E312" t="s">
        <v>196</v>
      </c>
      <c r="F312" t="s">
        <v>26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48</v>
      </c>
      <c r="W312" s="2">
        <v>31.706666666666667</v>
      </c>
      <c r="X312" s="3">
        <f t="shared" si="8"/>
        <v>0</v>
      </c>
      <c r="Y312">
        <f>VLOOKUP(D312,'[1]Cost Sheet'!$C:$D,2,0)</f>
        <v>31.98</v>
      </c>
      <c r="Z312" s="3">
        <f t="shared" si="9"/>
        <v>0</v>
      </c>
    </row>
    <row r="313" spans="1:26" x14ac:dyDescent="0.3">
      <c r="A313" s="7" t="s">
        <v>21</v>
      </c>
      <c r="B313" t="s">
        <v>193</v>
      </c>
      <c r="C313" t="s">
        <v>194</v>
      </c>
      <c r="D313" t="s">
        <v>195</v>
      </c>
      <c r="E313" t="s">
        <v>196</v>
      </c>
      <c r="F313" t="s">
        <v>26</v>
      </c>
      <c r="G313">
        <v>44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44</v>
      </c>
      <c r="T313">
        <v>0</v>
      </c>
      <c r="U313" t="s">
        <v>59</v>
      </c>
      <c r="W313" s="2">
        <v>31.706666666666667</v>
      </c>
      <c r="X313" s="3">
        <f t="shared" si="8"/>
        <v>1395.0933333333332</v>
      </c>
      <c r="Y313">
        <f>VLOOKUP(D313,'[1]Cost Sheet'!$C:$D,2,0)</f>
        <v>31.98</v>
      </c>
      <c r="Z313" s="3">
        <f t="shared" si="9"/>
        <v>1407.1200000000001</v>
      </c>
    </row>
    <row r="314" spans="1:26" x14ac:dyDescent="0.3">
      <c r="A314" s="7" t="s">
        <v>21</v>
      </c>
      <c r="B314" t="s">
        <v>197</v>
      </c>
      <c r="C314" t="s">
        <v>198</v>
      </c>
      <c r="D314" t="s">
        <v>199</v>
      </c>
      <c r="E314" t="s">
        <v>200</v>
      </c>
      <c r="F314" t="s">
        <v>26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 t="s">
        <v>38</v>
      </c>
      <c r="W314" s="2">
        <v>26.914999999999996</v>
      </c>
      <c r="X314" s="3">
        <f t="shared" si="8"/>
        <v>26.914999999999996</v>
      </c>
      <c r="Y314">
        <f>VLOOKUP(D314,'[1]Cost Sheet'!$C:$D,2,0)</f>
        <v>26.93</v>
      </c>
      <c r="Z314" s="3">
        <f t="shared" si="9"/>
        <v>26.93</v>
      </c>
    </row>
    <row r="315" spans="1:26" x14ac:dyDescent="0.3">
      <c r="A315" s="7" t="s">
        <v>21</v>
      </c>
      <c r="B315" t="s">
        <v>197</v>
      </c>
      <c r="C315" t="s">
        <v>198</v>
      </c>
      <c r="D315" t="s">
        <v>199</v>
      </c>
      <c r="E315" t="s">
        <v>200</v>
      </c>
      <c r="F315" t="s">
        <v>26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 t="s">
        <v>45</v>
      </c>
      <c r="W315" s="2">
        <v>26.914999999999996</v>
      </c>
      <c r="X315" s="3">
        <f t="shared" si="8"/>
        <v>26.914999999999996</v>
      </c>
      <c r="Y315">
        <f>VLOOKUP(D315,'[1]Cost Sheet'!$C:$D,2,0)</f>
        <v>26.93</v>
      </c>
      <c r="Z315" s="3">
        <f t="shared" si="9"/>
        <v>26.93</v>
      </c>
    </row>
    <row r="316" spans="1:26" x14ac:dyDescent="0.3">
      <c r="A316" s="7" t="s">
        <v>21</v>
      </c>
      <c r="B316" t="s">
        <v>197</v>
      </c>
      <c r="C316" t="s">
        <v>198</v>
      </c>
      <c r="D316" t="s">
        <v>199</v>
      </c>
      <c r="E316" t="s">
        <v>200</v>
      </c>
      <c r="F316" t="s">
        <v>26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6</v>
      </c>
      <c r="T316">
        <v>0</v>
      </c>
      <c r="U316" t="s">
        <v>39</v>
      </c>
      <c r="W316" s="2">
        <v>26.914999999999996</v>
      </c>
      <c r="X316" s="3">
        <f t="shared" si="8"/>
        <v>161.48999999999998</v>
      </c>
      <c r="Y316">
        <f>VLOOKUP(D316,'[1]Cost Sheet'!$C:$D,2,0)</f>
        <v>26.93</v>
      </c>
      <c r="Z316" s="3">
        <f t="shared" si="9"/>
        <v>161.57999999999998</v>
      </c>
    </row>
    <row r="317" spans="1:26" x14ac:dyDescent="0.3">
      <c r="A317" s="7" t="s">
        <v>21</v>
      </c>
      <c r="B317" t="s">
        <v>197</v>
      </c>
      <c r="C317" t="s">
        <v>198</v>
      </c>
      <c r="D317" t="s">
        <v>199</v>
      </c>
      <c r="E317" t="s">
        <v>200</v>
      </c>
      <c r="F317" t="s">
        <v>26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 t="s">
        <v>40</v>
      </c>
      <c r="W317" s="2">
        <v>26.914999999999996</v>
      </c>
      <c r="X317" s="3">
        <f t="shared" si="8"/>
        <v>26.914999999999996</v>
      </c>
      <c r="Y317">
        <f>VLOOKUP(D317,'[1]Cost Sheet'!$C:$D,2,0)</f>
        <v>26.93</v>
      </c>
      <c r="Z317" s="3">
        <f t="shared" si="9"/>
        <v>26.93</v>
      </c>
    </row>
    <row r="318" spans="1:26" x14ac:dyDescent="0.3">
      <c r="A318" s="7" t="s">
        <v>21</v>
      </c>
      <c r="B318" t="s">
        <v>201</v>
      </c>
      <c r="C318" t="s">
        <v>202</v>
      </c>
      <c r="D318" t="s">
        <v>203</v>
      </c>
      <c r="E318" t="s">
        <v>204</v>
      </c>
      <c r="F318" t="s">
        <v>93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 t="s">
        <v>46</v>
      </c>
      <c r="W318" s="2">
        <v>28.82</v>
      </c>
      <c r="X318" s="3">
        <f t="shared" si="8"/>
        <v>28.82</v>
      </c>
      <c r="Y318">
        <f>VLOOKUP(D318,'[1]Cost Sheet'!$C:$D,2,0)</f>
        <v>28.74</v>
      </c>
      <c r="Z318" s="3">
        <f t="shared" si="9"/>
        <v>28.74</v>
      </c>
    </row>
    <row r="319" spans="1:26" x14ac:dyDescent="0.3">
      <c r="A319" s="7" t="s">
        <v>21</v>
      </c>
      <c r="B319" t="s">
        <v>201</v>
      </c>
      <c r="C319" t="s">
        <v>202</v>
      </c>
      <c r="D319" t="s">
        <v>203</v>
      </c>
      <c r="E319" t="s">
        <v>204</v>
      </c>
      <c r="F319" t="s">
        <v>26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 t="s">
        <v>113</v>
      </c>
      <c r="W319" s="2">
        <v>28.82</v>
      </c>
      <c r="X319" s="3">
        <f t="shared" si="8"/>
        <v>28.82</v>
      </c>
      <c r="Y319">
        <f>VLOOKUP(D319,'[1]Cost Sheet'!$C:$D,2,0)</f>
        <v>28.74</v>
      </c>
      <c r="Z319" s="3">
        <f t="shared" si="9"/>
        <v>28.74</v>
      </c>
    </row>
    <row r="320" spans="1:26" x14ac:dyDescent="0.3">
      <c r="A320" s="7" t="s">
        <v>21</v>
      </c>
      <c r="B320" t="s">
        <v>205</v>
      </c>
      <c r="C320" t="s">
        <v>206</v>
      </c>
      <c r="D320" t="s">
        <v>207</v>
      </c>
      <c r="E320" t="s">
        <v>208</v>
      </c>
      <c r="F320" t="s">
        <v>106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 t="s">
        <v>40</v>
      </c>
      <c r="W320" s="2">
        <v>43.71</v>
      </c>
      <c r="X320" s="3">
        <f t="shared" si="8"/>
        <v>43.71</v>
      </c>
      <c r="Y320">
        <f>VLOOKUP(D320,'[1]Cost Sheet'!$C:$D,2,0)</f>
        <v>43.71</v>
      </c>
      <c r="Z320" s="3">
        <f t="shared" si="9"/>
        <v>43.71</v>
      </c>
    </row>
    <row r="321" spans="1:26" x14ac:dyDescent="0.3">
      <c r="A321" s="7" t="s">
        <v>21</v>
      </c>
      <c r="B321" t="s">
        <v>205</v>
      </c>
      <c r="C321" t="s">
        <v>206</v>
      </c>
      <c r="D321" t="s">
        <v>207</v>
      </c>
      <c r="E321" t="s">
        <v>208</v>
      </c>
      <c r="F321" t="s">
        <v>26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 t="s">
        <v>40</v>
      </c>
      <c r="W321" s="2">
        <v>43.71</v>
      </c>
      <c r="X321" s="3">
        <f t="shared" si="8"/>
        <v>43.71</v>
      </c>
      <c r="Y321">
        <f>VLOOKUP(D321,'[1]Cost Sheet'!$C:$D,2,0)</f>
        <v>43.71</v>
      </c>
      <c r="Z321" s="3">
        <f t="shared" si="9"/>
        <v>43.71</v>
      </c>
    </row>
    <row r="322" spans="1:26" x14ac:dyDescent="0.3">
      <c r="A322" s="7" t="s">
        <v>21</v>
      </c>
      <c r="B322" t="s">
        <v>209</v>
      </c>
      <c r="C322" t="s">
        <v>210</v>
      </c>
      <c r="D322" t="s">
        <v>211</v>
      </c>
      <c r="E322" t="s">
        <v>212</v>
      </c>
      <c r="F322" t="s">
        <v>106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 t="s">
        <v>45</v>
      </c>
      <c r="W322" s="2">
        <v>40.29</v>
      </c>
      <c r="X322" s="3">
        <f t="shared" si="8"/>
        <v>40.29</v>
      </c>
      <c r="Y322">
        <f>VLOOKUP(D322,'[1]Cost Sheet'!$C:$D,2,0)</f>
        <v>40.29</v>
      </c>
      <c r="Z322" s="3">
        <f t="shared" si="9"/>
        <v>40.29</v>
      </c>
    </row>
    <row r="323" spans="1:26" x14ac:dyDescent="0.3">
      <c r="A323" s="7" t="s">
        <v>21</v>
      </c>
      <c r="B323" t="s">
        <v>209</v>
      </c>
      <c r="C323" t="s">
        <v>210</v>
      </c>
      <c r="D323" t="s">
        <v>211</v>
      </c>
      <c r="E323" t="s">
        <v>212</v>
      </c>
      <c r="F323" t="s">
        <v>106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 t="s">
        <v>53</v>
      </c>
      <c r="W323" s="2">
        <v>40.29</v>
      </c>
      <c r="X323" s="3">
        <f t="shared" ref="X323:X386" si="10">S323*W323</f>
        <v>40.29</v>
      </c>
      <c r="Y323">
        <f>VLOOKUP(D323,'[1]Cost Sheet'!$C:$D,2,0)</f>
        <v>40.29</v>
      </c>
      <c r="Z323" s="3">
        <f t="shared" ref="Z323:Z386" si="11">Y323*S323</f>
        <v>40.29</v>
      </c>
    </row>
    <row r="324" spans="1:26" x14ac:dyDescent="0.3">
      <c r="A324" s="7" t="s">
        <v>21</v>
      </c>
      <c r="B324" t="s">
        <v>209</v>
      </c>
      <c r="C324" t="s">
        <v>210</v>
      </c>
      <c r="D324" t="s">
        <v>211</v>
      </c>
      <c r="E324" t="s">
        <v>212</v>
      </c>
      <c r="F324" t="s">
        <v>26</v>
      </c>
      <c r="G324">
        <v>5</v>
      </c>
      <c r="H324">
        <v>0</v>
      </c>
      <c r="I324">
        <v>0</v>
      </c>
      <c r="J324">
        <v>-1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4</v>
      </c>
      <c r="T324">
        <v>0</v>
      </c>
      <c r="U324" t="s">
        <v>38</v>
      </c>
      <c r="W324" s="2">
        <v>40.29</v>
      </c>
      <c r="X324" s="3">
        <f t="shared" si="10"/>
        <v>161.16</v>
      </c>
      <c r="Y324">
        <f>VLOOKUP(D324,'[1]Cost Sheet'!$C:$D,2,0)</f>
        <v>40.29</v>
      </c>
      <c r="Z324" s="3">
        <f t="shared" si="11"/>
        <v>161.16</v>
      </c>
    </row>
    <row r="325" spans="1:26" x14ac:dyDescent="0.3">
      <c r="A325" s="7" t="s">
        <v>21</v>
      </c>
      <c r="B325" t="s">
        <v>209</v>
      </c>
      <c r="C325" t="s">
        <v>210</v>
      </c>
      <c r="D325" t="s">
        <v>211</v>
      </c>
      <c r="E325" t="s">
        <v>212</v>
      </c>
      <c r="F325" t="s">
        <v>26</v>
      </c>
      <c r="G325">
        <v>175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175</v>
      </c>
      <c r="T325">
        <v>0</v>
      </c>
      <c r="U325" t="s">
        <v>107</v>
      </c>
      <c r="W325" s="2">
        <v>40.29</v>
      </c>
      <c r="X325" s="3">
        <f t="shared" si="10"/>
        <v>7050.75</v>
      </c>
      <c r="Y325">
        <f>VLOOKUP(D325,'[1]Cost Sheet'!$C:$D,2,0)</f>
        <v>40.29</v>
      </c>
      <c r="Z325" s="3">
        <f t="shared" si="11"/>
        <v>7050.75</v>
      </c>
    </row>
    <row r="326" spans="1:26" x14ac:dyDescent="0.3">
      <c r="A326" s="7" t="s">
        <v>21</v>
      </c>
      <c r="B326" t="s">
        <v>209</v>
      </c>
      <c r="C326" t="s">
        <v>210</v>
      </c>
      <c r="D326" t="s">
        <v>211</v>
      </c>
      <c r="E326" t="s">
        <v>212</v>
      </c>
      <c r="F326" t="s">
        <v>26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151</v>
      </c>
      <c r="W326" s="2">
        <v>40.29</v>
      </c>
      <c r="X326" s="3">
        <f t="shared" si="10"/>
        <v>0</v>
      </c>
      <c r="Y326">
        <f>VLOOKUP(D326,'[1]Cost Sheet'!$C:$D,2,0)</f>
        <v>40.29</v>
      </c>
      <c r="Z326" s="3">
        <f t="shared" si="11"/>
        <v>0</v>
      </c>
    </row>
    <row r="327" spans="1:26" x14ac:dyDescent="0.3">
      <c r="A327" s="7" t="s">
        <v>21</v>
      </c>
      <c r="B327" t="s">
        <v>209</v>
      </c>
      <c r="C327" t="s">
        <v>210</v>
      </c>
      <c r="D327" t="s">
        <v>211</v>
      </c>
      <c r="E327" t="s">
        <v>212</v>
      </c>
      <c r="F327" t="s">
        <v>26</v>
      </c>
      <c r="G327">
        <v>73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73</v>
      </c>
      <c r="T327">
        <v>0</v>
      </c>
      <c r="U327" t="s">
        <v>45</v>
      </c>
      <c r="W327" s="2">
        <v>40.29</v>
      </c>
      <c r="X327" s="3">
        <f t="shared" si="10"/>
        <v>2941.17</v>
      </c>
      <c r="Y327">
        <f>VLOOKUP(D327,'[1]Cost Sheet'!$C:$D,2,0)</f>
        <v>40.29</v>
      </c>
      <c r="Z327" s="3">
        <f t="shared" si="11"/>
        <v>2941.17</v>
      </c>
    </row>
    <row r="328" spans="1:26" x14ac:dyDescent="0.3">
      <c r="A328" s="7" t="s">
        <v>21</v>
      </c>
      <c r="B328" t="s">
        <v>209</v>
      </c>
      <c r="C328" t="s">
        <v>210</v>
      </c>
      <c r="D328" t="s">
        <v>211</v>
      </c>
      <c r="E328" t="s">
        <v>212</v>
      </c>
      <c r="F328" t="s">
        <v>26</v>
      </c>
      <c r="G328">
        <v>150</v>
      </c>
      <c r="H328">
        <v>0</v>
      </c>
      <c r="I328">
        <v>0</v>
      </c>
      <c r="J328">
        <v>-1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149</v>
      </c>
      <c r="T328">
        <v>0</v>
      </c>
      <c r="U328" t="s">
        <v>39</v>
      </c>
      <c r="W328" s="2">
        <v>40.29</v>
      </c>
      <c r="X328" s="3">
        <f t="shared" si="10"/>
        <v>6003.21</v>
      </c>
      <c r="Y328">
        <f>VLOOKUP(D328,'[1]Cost Sheet'!$C:$D,2,0)</f>
        <v>40.29</v>
      </c>
      <c r="Z328" s="3">
        <f t="shared" si="11"/>
        <v>6003.21</v>
      </c>
    </row>
    <row r="329" spans="1:26" x14ac:dyDescent="0.3">
      <c r="A329" s="7" t="s">
        <v>21</v>
      </c>
      <c r="B329" t="s">
        <v>209</v>
      </c>
      <c r="C329" t="s">
        <v>210</v>
      </c>
      <c r="D329" t="s">
        <v>211</v>
      </c>
      <c r="E329" t="s">
        <v>212</v>
      </c>
      <c r="F329" t="s">
        <v>26</v>
      </c>
      <c r="G329">
        <v>43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43</v>
      </c>
      <c r="T329">
        <v>0</v>
      </c>
      <c r="U329" t="s">
        <v>53</v>
      </c>
      <c r="W329" s="2">
        <v>40.29</v>
      </c>
      <c r="X329" s="3">
        <f t="shared" si="10"/>
        <v>1732.47</v>
      </c>
      <c r="Y329">
        <f>VLOOKUP(D329,'[1]Cost Sheet'!$C:$D,2,0)</f>
        <v>40.29</v>
      </c>
      <c r="Z329" s="3">
        <f t="shared" si="11"/>
        <v>1732.47</v>
      </c>
    </row>
    <row r="330" spans="1:26" x14ac:dyDescent="0.3">
      <c r="A330" s="7" t="s">
        <v>21</v>
      </c>
      <c r="B330" t="s">
        <v>209</v>
      </c>
      <c r="C330" t="s">
        <v>210</v>
      </c>
      <c r="D330" t="s">
        <v>211</v>
      </c>
      <c r="E330" t="s">
        <v>212</v>
      </c>
      <c r="F330" t="s">
        <v>26</v>
      </c>
      <c r="G330">
        <v>58</v>
      </c>
      <c r="H330">
        <v>0</v>
      </c>
      <c r="I330">
        <v>0</v>
      </c>
      <c r="J330">
        <v>-1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57</v>
      </c>
      <c r="T330">
        <v>0</v>
      </c>
      <c r="U330" t="s">
        <v>54</v>
      </c>
      <c r="W330" s="2">
        <v>40.29</v>
      </c>
      <c r="X330" s="3">
        <f t="shared" si="10"/>
        <v>2296.5299999999997</v>
      </c>
      <c r="Y330">
        <f>VLOOKUP(D330,'[1]Cost Sheet'!$C:$D,2,0)</f>
        <v>40.29</v>
      </c>
      <c r="Z330" s="3">
        <f t="shared" si="11"/>
        <v>2296.5299999999997</v>
      </c>
    </row>
    <row r="331" spans="1:26" x14ac:dyDescent="0.3">
      <c r="A331" s="7" t="s">
        <v>21</v>
      </c>
      <c r="B331" t="s">
        <v>209</v>
      </c>
      <c r="C331" t="s">
        <v>210</v>
      </c>
      <c r="D331" t="s">
        <v>211</v>
      </c>
      <c r="E331" t="s">
        <v>212</v>
      </c>
      <c r="F331" t="s">
        <v>26</v>
      </c>
      <c r="G331">
        <v>265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265</v>
      </c>
      <c r="T331">
        <v>0</v>
      </c>
      <c r="U331" t="s">
        <v>32</v>
      </c>
      <c r="W331" s="2">
        <v>40.29</v>
      </c>
      <c r="X331" s="3">
        <f t="shared" si="10"/>
        <v>10676.85</v>
      </c>
      <c r="Y331">
        <f>VLOOKUP(D331,'[1]Cost Sheet'!$C:$D,2,0)</f>
        <v>40.29</v>
      </c>
      <c r="Z331" s="3">
        <f t="shared" si="11"/>
        <v>10676.85</v>
      </c>
    </row>
    <row r="332" spans="1:26" x14ac:dyDescent="0.3">
      <c r="A332" s="7" t="s">
        <v>21</v>
      </c>
      <c r="B332" t="s">
        <v>209</v>
      </c>
      <c r="C332" t="s">
        <v>210</v>
      </c>
      <c r="D332" t="s">
        <v>211</v>
      </c>
      <c r="E332" t="s">
        <v>212</v>
      </c>
      <c r="F332" t="s">
        <v>26</v>
      </c>
      <c r="G332">
        <v>1</v>
      </c>
      <c r="H332">
        <v>1</v>
      </c>
      <c r="I332">
        <v>0</v>
      </c>
      <c r="J332">
        <v>0</v>
      </c>
      <c r="K332">
        <v>2</v>
      </c>
      <c r="L332">
        <v>0</v>
      </c>
      <c r="M332">
        <v>-1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0</v>
      </c>
      <c r="U332" t="s">
        <v>88</v>
      </c>
      <c r="W332" s="2">
        <v>40.29</v>
      </c>
      <c r="X332" s="3">
        <f t="shared" si="10"/>
        <v>80.58</v>
      </c>
      <c r="Y332">
        <f>VLOOKUP(D332,'[1]Cost Sheet'!$C:$D,2,0)</f>
        <v>40.29</v>
      </c>
      <c r="Z332" s="3">
        <f t="shared" si="11"/>
        <v>80.58</v>
      </c>
    </row>
    <row r="333" spans="1:26" x14ac:dyDescent="0.3">
      <c r="A333" s="7" t="s">
        <v>21</v>
      </c>
      <c r="B333" t="s">
        <v>209</v>
      </c>
      <c r="C333" t="s">
        <v>210</v>
      </c>
      <c r="D333" t="s">
        <v>211</v>
      </c>
      <c r="E333" t="s">
        <v>212</v>
      </c>
      <c r="F333" t="s">
        <v>26</v>
      </c>
      <c r="G333">
        <v>154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154</v>
      </c>
      <c r="T333">
        <v>0</v>
      </c>
      <c r="U333" t="s">
        <v>33</v>
      </c>
      <c r="W333" s="2">
        <v>40.29</v>
      </c>
      <c r="X333" s="3">
        <f t="shared" si="10"/>
        <v>6204.66</v>
      </c>
      <c r="Y333">
        <f>VLOOKUP(D333,'[1]Cost Sheet'!$C:$D,2,0)</f>
        <v>40.29</v>
      </c>
      <c r="Z333" s="3">
        <f t="shared" si="11"/>
        <v>6204.66</v>
      </c>
    </row>
    <row r="334" spans="1:26" x14ac:dyDescent="0.3">
      <c r="A334" s="7" t="s">
        <v>21</v>
      </c>
      <c r="B334" t="s">
        <v>209</v>
      </c>
      <c r="C334" t="s">
        <v>210</v>
      </c>
      <c r="D334" t="s">
        <v>211</v>
      </c>
      <c r="E334" t="s">
        <v>212</v>
      </c>
      <c r="F334" t="s">
        <v>26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0</v>
      </c>
      <c r="U334" t="s">
        <v>46</v>
      </c>
      <c r="W334" s="2">
        <v>40.29</v>
      </c>
      <c r="X334" s="3">
        <f t="shared" si="10"/>
        <v>80.58</v>
      </c>
      <c r="Y334">
        <f>VLOOKUP(D334,'[1]Cost Sheet'!$C:$D,2,0)</f>
        <v>40.29</v>
      </c>
      <c r="Z334" s="3">
        <f t="shared" si="11"/>
        <v>80.58</v>
      </c>
    </row>
    <row r="335" spans="1:26" x14ac:dyDescent="0.3">
      <c r="A335" s="7" t="s">
        <v>21</v>
      </c>
      <c r="B335" t="s">
        <v>209</v>
      </c>
      <c r="C335" t="s">
        <v>210</v>
      </c>
      <c r="D335" t="s">
        <v>211</v>
      </c>
      <c r="E335" t="s">
        <v>212</v>
      </c>
      <c r="F335" t="s">
        <v>26</v>
      </c>
      <c r="G335">
        <v>51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51</v>
      </c>
      <c r="T335">
        <v>0</v>
      </c>
      <c r="U335" t="s">
        <v>47</v>
      </c>
      <c r="W335" s="2">
        <v>40.29</v>
      </c>
      <c r="X335" s="3">
        <f t="shared" si="10"/>
        <v>2054.79</v>
      </c>
      <c r="Y335">
        <f>VLOOKUP(D335,'[1]Cost Sheet'!$C:$D,2,0)</f>
        <v>40.29</v>
      </c>
      <c r="Z335" s="3">
        <f t="shared" si="11"/>
        <v>2054.79</v>
      </c>
    </row>
    <row r="336" spans="1:26" x14ac:dyDescent="0.3">
      <c r="A336" s="7" t="s">
        <v>21</v>
      </c>
      <c r="B336" t="s">
        <v>209</v>
      </c>
      <c r="C336" t="s">
        <v>210</v>
      </c>
      <c r="D336" t="s">
        <v>211</v>
      </c>
      <c r="E336" t="s">
        <v>212</v>
      </c>
      <c r="F336" t="s">
        <v>26</v>
      </c>
      <c r="G336">
        <v>21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21</v>
      </c>
      <c r="T336">
        <v>0</v>
      </c>
      <c r="U336" t="s">
        <v>40</v>
      </c>
      <c r="W336" s="2">
        <v>40.29</v>
      </c>
      <c r="X336" s="3">
        <f t="shared" si="10"/>
        <v>846.09</v>
      </c>
      <c r="Y336">
        <f>VLOOKUP(D336,'[1]Cost Sheet'!$C:$D,2,0)</f>
        <v>40.29</v>
      </c>
      <c r="Z336" s="3">
        <f t="shared" si="11"/>
        <v>846.09</v>
      </c>
    </row>
    <row r="337" spans="1:26" x14ac:dyDescent="0.3">
      <c r="A337" s="7" t="s">
        <v>21</v>
      </c>
      <c r="B337" t="s">
        <v>209</v>
      </c>
      <c r="C337" t="s">
        <v>210</v>
      </c>
      <c r="D337" t="s">
        <v>211</v>
      </c>
      <c r="E337" t="s">
        <v>212</v>
      </c>
      <c r="F337" t="s">
        <v>26</v>
      </c>
      <c r="G337">
        <v>48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48</v>
      </c>
      <c r="T337">
        <v>0</v>
      </c>
      <c r="U337" t="s">
        <v>120</v>
      </c>
      <c r="W337" s="2">
        <v>40.29</v>
      </c>
      <c r="X337" s="3">
        <f t="shared" si="10"/>
        <v>1933.92</v>
      </c>
      <c r="Y337">
        <f>VLOOKUP(D337,'[1]Cost Sheet'!$C:$D,2,0)</f>
        <v>40.29</v>
      </c>
      <c r="Z337" s="3">
        <f t="shared" si="11"/>
        <v>1933.92</v>
      </c>
    </row>
    <row r="338" spans="1:26" x14ac:dyDescent="0.3">
      <c r="A338" s="7" t="s">
        <v>21</v>
      </c>
      <c r="B338" t="s">
        <v>209</v>
      </c>
      <c r="C338" t="s">
        <v>210</v>
      </c>
      <c r="D338" t="s">
        <v>211</v>
      </c>
      <c r="E338" t="s">
        <v>212</v>
      </c>
      <c r="F338" t="s">
        <v>26</v>
      </c>
      <c r="G338">
        <v>32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32</v>
      </c>
      <c r="T338">
        <v>0</v>
      </c>
      <c r="U338" t="s">
        <v>113</v>
      </c>
      <c r="W338" s="2">
        <v>40.29</v>
      </c>
      <c r="X338" s="3">
        <f t="shared" si="10"/>
        <v>1289.28</v>
      </c>
      <c r="Y338">
        <f>VLOOKUP(D338,'[1]Cost Sheet'!$C:$D,2,0)</f>
        <v>40.29</v>
      </c>
      <c r="Z338" s="3">
        <f t="shared" si="11"/>
        <v>1289.28</v>
      </c>
    </row>
    <row r="339" spans="1:26" x14ac:dyDescent="0.3">
      <c r="A339" s="7" t="s">
        <v>21</v>
      </c>
      <c r="B339" t="s">
        <v>209</v>
      </c>
      <c r="C339" t="s">
        <v>210</v>
      </c>
      <c r="D339" t="s">
        <v>211</v>
      </c>
      <c r="E339" t="s">
        <v>212</v>
      </c>
      <c r="F339" t="s">
        <v>26</v>
      </c>
      <c r="G339">
        <v>153</v>
      </c>
      <c r="H339">
        <v>0</v>
      </c>
      <c r="I339">
        <v>0</v>
      </c>
      <c r="J339">
        <v>-2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151</v>
      </c>
      <c r="T339">
        <v>0</v>
      </c>
      <c r="U339" t="s">
        <v>48</v>
      </c>
      <c r="W339" s="2">
        <v>40.29</v>
      </c>
      <c r="X339" s="3">
        <f t="shared" si="10"/>
        <v>6083.79</v>
      </c>
      <c r="Y339">
        <f>VLOOKUP(D339,'[1]Cost Sheet'!$C:$D,2,0)</f>
        <v>40.29</v>
      </c>
      <c r="Z339" s="3">
        <f t="shared" si="11"/>
        <v>6083.79</v>
      </c>
    </row>
    <row r="340" spans="1:26" x14ac:dyDescent="0.3">
      <c r="A340" s="7" t="s">
        <v>21</v>
      </c>
      <c r="B340" t="s">
        <v>209</v>
      </c>
      <c r="C340" t="s">
        <v>210</v>
      </c>
      <c r="D340" t="s">
        <v>211</v>
      </c>
      <c r="E340" t="s">
        <v>212</v>
      </c>
      <c r="F340" t="s">
        <v>26</v>
      </c>
      <c r="G340">
        <v>42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42</v>
      </c>
      <c r="T340">
        <v>0</v>
      </c>
      <c r="U340" t="s">
        <v>59</v>
      </c>
      <c r="W340" s="2">
        <v>40.29</v>
      </c>
      <c r="X340" s="3">
        <f t="shared" si="10"/>
        <v>1692.18</v>
      </c>
      <c r="Y340">
        <f>VLOOKUP(D340,'[1]Cost Sheet'!$C:$D,2,0)</f>
        <v>40.29</v>
      </c>
      <c r="Z340" s="3">
        <f t="shared" si="11"/>
        <v>1692.18</v>
      </c>
    </row>
    <row r="341" spans="1:26" x14ac:dyDescent="0.3">
      <c r="A341" s="7" t="s">
        <v>21</v>
      </c>
      <c r="B341" t="s">
        <v>209</v>
      </c>
      <c r="C341" t="s">
        <v>210</v>
      </c>
      <c r="D341" t="s">
        <v>211</v>
      </c>
      <c r="E341" t="s">
        <v>212</v>
      </c>
      <c r="F341" t="s">
        <v>26</v>
      </c>
      <c r="G341">
        <v>38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38</v>
      </c>
      <c r="T341">
        <v>0</v>
      </c>
      <c r="U341" t="s">
        <v>27</v>
      </c>
      <c r="W341" s="2">
        <v>40.29</v>
      </c>
      <c r="X341" s="3">
        <f t="shared" si="10"/>
        <v>1531.02</v>
      </c>
      <c r="Y341">
        <f>VLOOKUP(D341,'[1]Cost Sheet'!$C:$D,2,0)</f>
        <v>40.29</v>
      </c>
      <c r="Z341" s="3">
        <f t="shared" si="11"/>
        <v>1531.02</v>
      </c>
    </row>
    <row r="342" spans="1:26" x14ac:dyDescent="0.3">
      <c r="A342" s="7" t="s">
        <v>21</v>
      </c>
      <c r="B342" t="s">
        <v>213</v>
      </c>
      <c r="C342" t="s">
        <v>214</v>
      </c>
      <c r="D342" t="s">
        <v>215</v>
      </c>
      <c r="E342" t="s">
        <v>216</v>
      </c>
      <c r="F342" t="s">
        <v>130</v>
      </c>
      <c r="G342">
        <v>23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23</v>
      </c>
      <c r="T342">
        <v>0</v>
      </c>
      <c r="U342" t="s">
        <v>32</v>
      </c>
      <c r="W342" s="2">
        <v>19.899999999999999</v>
      </c>
      <c r="X342" s="3">
        <f t="shared" si="10"/>
        <v>457.7</v>
      </c>
      <c r="Y342">
        <f>VLOOKUP(D342,'[1]Cost Sheet'!$C:$D,2,0)</f>
        <v>19.850000000000001</v>
      </c>
      <c r="Z342" s="3">
        <f t="shared" si="11"/>
        <v>456.55</v>
      </c>
    </row>
    <row r="343" spans="1:26" x14ac:dyDescent="0.3">
      <c r="A343" s="7" t="s">
        <v>21</v>
      </c>
      <c r="B343" t="s">
        <v>213</v>
      </c>
      <c r="C343" t="s">
        <v>214</v>
      </c>
      <c r="D343" t="s">
        <v>215</v>
      </c>
      <c r="E343" t="s">
        <v>216</v>
      </c>
      <c r="F343" t="s">
        <v>26</v>
      </c>
      <c r="G343">
        <v>12</v>
      </c>
      <c r="H343">
        <v>1</v>
      </c>
      <c r="I343">
        <v>0</v>
      </c>
      <c r="J343">
        <v>-2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10</v>
      </c>
      <c r="T343">
        <v>0</v>
      </c>
      <c r="U343" t="s">
        <v>54</v>
      </c>
      <c r="W343" s="2">
        <v>19.899999999999999</v>
      </c>
      <c r="X343" s="3">
        <f t="shared" si="10"/>
        <v>199</v>
      </c>
      <c r="Y343">
        <f>VLOOKUP(D343,'[1]Cost Sheet'!$C:$D,2,0)</f>
        <v>19.850000000000001</v>
      </c>
      <c r="Z343" s="3">
        <f t="shared" si="11"/>
        <v>198.5</v>
      </c>
    </row>
    <row r="344" spans="1:26" x14ac:dyDescent="0.3">
      <c r="A344" s="7" t="s">
        <v>21</v>
      </c>
      <c r="B344" t="s">
        <v>213</v>
      </c>
      <c r="C344" t="s">
        <v>214</v>
      </c>
      <c r="D344" t="s">
        <v>215</v>
      </c>
      <c r="E344" t="s">
        <v>216</v>
      </c>
      <c r="F344" t="s">
        <v>26</v>
      </c>
      <c r="G344">
        <v>37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38</v>
      </c>
      <c r="T344">
        <v>0</v>
      </c>
      <c r="U344" t="s">
        <v>32</v>
      </c>
      <c r="W344" s="2">
        <v>19.899999999999999</v>
      </c>
      <c r="X344" s="3">
        <f t="shared" si="10"/>
        <v>756.19999999999993</v>
      </c>
      <c r="Y344">
        <f>VLOOKUP(D344,'[1]Cost Sheet'!$C:$D,2,0)</f>
        <v>19.850000000000001</v>
      </c>
      <c r="Z344" s="3">
        <f t="shared" si="11"/>
        <v>754.30000000000007</v>
      </c>
    </row>
    <row r="345" spans="1:26" x14ac:dyDescent="0.3">
      <c r="A345" s="7" t="s">
        <v>21</v>
      </c>
      <c r="B345" t="s">
        <v>213</v>
      </c>
      <c r="C345" t="s">
        <v>214</v>
      </c>
      <c r="D345" t="s">
        <v>215</v>
      </c>
      <c r="E345" t="s">
        <v>216</v>
      </c>
      <c r="F345" t="s">
        <v>26</v>
      </c>
      <c r="G345">
        <v>0</v>
      </c>
      <c r="H345">
        <v>0</v>
      </c>
      <c r="I345">
        <v>0</v>
      </c>
      <c r="J345">
        <v>-1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33</v>
      </c>
      <c r="W345" s="2">
        <v>19.899999999999999</v>
      </c>
      <c r="X345" s="3">
        <f t="shared" si="10"/>
        <v>0</v>
      </c>
      <c r="Y345">
        <f>VLOOKUP(D345,'[1]Cost Sheet'!$C:$D,2,0)</f>
        <v>19.850000000000001</v>
      </c>
      <c r="Z345" s="3">
        <f t="shared" si="11"/>
        <v>0</v>
      </c>
    </row>
    <row r="346" spans="1:26" x14ac:dyDescent="0.3">
      <c r="A346" s="7" t="s">
        <v>21</v>
      </c>
      <c r="B346" t="s">
        <v>213</v>
      </c>
      <c r="C346" t="s">
        <v>214</v>
      </c>
      <c r="D346" t="s">
        <v>215</v>
      </c>
      <c r="E346" t="s">
        <v>216</v>
      </c>
      <c r="F346" t="s">
        <v>26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-1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0</v>
      </c>
      <c r="U346" t="s">
        <v>46</v>
      </c>
      <c r="W346" s="2">
        <v>19.899999999999999</v>
      </c>
      <c r="X346" s="3">
        <f t="shared" si="10"/>
        <v>39.799999999999997</v>
      </c>
      <c r="Y346">
        <f>VLOOKUP(D346,'[1]Cost Sheet'!$C:$D,2,0)</f>
        <v>19.850000000000001</v>
      </c>
      <c r="Z346" s="3">
        <f t="shared" si="11"/>
        <v>39.700000000000003</v>
      </c>
    </row>
    <row r="347" spans="1:26" x14ac:dyDescent="0.3">
      <c r="A347" s="7" t="s">
        <v>21</v>
      </c>
      <c r="B347" t="s">
        <v>213</v>
      </c>
      <c r="C347" t="s">
        <v>214</v>
      </c>
      <c r="D347" t="s">
        <v>215</v>
      </c>
      <c r="E347" t="s">
        <v>216</v>
      </c>
      <c r="F347" t="s">
        <v>26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 t="s">
        <v>113</v>
      </c>
      <c r="W347" s="2">
        <v>19.899999999999999</v>
      </c>
      <c r="X347" s="3">
        <f t="shared" si="10"/>
        <v>19.899999999999999</v>
      </c>
      <c r="Y347">
        <f>VLOOKUP(D347,'[1]Cost Sheet'!$C:$D,2,0)</f>
        <v>19.850000000000001</v>
      </c>
      <c r="Z347" s="3">
        <f t="shared" si="11"/>
        <v>19.850000000000001</v>
      </c>
    </row>
    <row r="348" spans="1:26" x14ac:dyDescent="0.3">
      <c r="A348" s="7" t="s">
        <v>21</v>
      </c>
      <c r="B348" t="s">
        <v>213</v>
      </c>
      <c r="C348" t="s">
        <v>214</v>
      </c>
      <c r="D348" t="s">
        <v>215</v>
      </c>
      <c r="E348" t="s">
        <v>216</v>
      </c>
      <c r="F348" t="s">
        <v>26</v>
      </c>
      <c r="G348">
        <v>44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44</v>
      </c>
      <c r="T348">
        <v>0</v>
      </c>
      <c r="U348" t="s">
        <v>48</v>
      </c>
      <c r="W348" s="2">
        <v>19.899999999999999</v>
      </c>
      <c r="X348" s="3">
        <f t="shared" si="10"/>
        <v>875.59999999999991</v>
      </c>
      <c r="Y348">
        <f>VLOOKUP(D348,'[1]Cost Sheet'!$C:$D,2,0)</f>
        <v>19.850000000000001</v>
      </c>
      <c r="Z348" s="3">
        <f t="shared" si="11"/>
        <v>873.40000000000009</v>
      </c>
    </row>
    <row r="349" spans="1:26" x14ac:dyDescent="0.3">
      <c r="A349" s="7" t="s">
        <v>21</v>
      </c>
      <c r="B349" t="s">
        <v>213</v>
      </c>
      <c r="C349" t="s">
        <v>214</v>
      </c>
      <c r="D349" t="s">
        <v>215</v>
      </c>
      <c r="E349" t="s">
        <v>216</v>
      </c>
      <c r="F349" t="s">
        <v>26</v>
      </c>
      <c r="G349">
        <v>71</v>
      </c>
      <c r="H349">
        <v>1</v>
      </c>
      <c r="I349">
        <v>0</v>
      </c>
      <c r="J349">
        <v>-4</v>
      </c>
      <c r="K349">
        <v>0</v>
      </c>
      <c r="L349">
        <v>0</v>
      </c>
      <c r="M349">
        <v>-1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66</v>
      </c>
      <c r="T349">
        <v>0</v>
      </c>
      <c r="U349" t="s">
        <v>59</v>
      </c>
      <c r="W349" s="2">
        <v>19.899999999999999</v>
      </c>
      <c r="X349" s="3">
        <f t="shared" si="10"/>
        <v>1313.3999999999999</v>
      </c>
      <c r="Y349">
        <f>VLOOKUP(D349,'[1]Cost Sheet'!$C:$D,2,0)</f>
        <v>19.850000000000001</v>
      </c>
      <c r="Z349" s="3">
        <f t="shared" si="11"/>
        <v>1310.1000000000001</v>
      </c>
    </row>
    <row r="350" spans="1:26" x14ac:dyDescent="0.3">
      <c r="A350" s="7" t="s">
        <v>21</v>
      </c>
      <c r="B350" t="s">
        <v>217</v>
      </c>
      <c r="C350" t="s">
        <v>218</v>
      </c>
      <c r="D350" t="s">
        <v>219</v>
      </c>
      <c r="E350" t="s">
        <v>220</v>
      </c>
      <c r="F350" t="s">
        <v>125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-2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151</v>
      </c>
      <c r="W350" s="2">
        <v>77.739999999999995</v>
      </c>
      <c r="X350" s="3">
        <f t="shared" si="10"/>
        <v>0</v>
      </c>
      <c r="Y350">
        <f>VLOOKUP(D350,'[1]Cost Sheet'!$C:$D,2,0)</f>
        <v>77.739999999999995</v>
      </c>
      <c r="Z350" s="3">
        <f t="shared" si="11"/>
        <v>0</v>
      </c>
    </row>
    <row r="351" spans="1:26" x14ac:dyDescent="0.3">
      <c r="A351" s="7" t="s">
        <v>21</v>
      </c>
      <c r="B351" t="s">
        <v>217</v>
      </c>
      <c r="C351" t="s">
        <v>218</v>
      </c>
      <c r="D351" t="s">
        <v>219</v>
      </c>
      <c r="E351" t="s">
        <v>220</v>
      </c>
      <c r="F351" t="s">
        <v>106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-1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45</v>
      </c>
      <c r="W351" s="2">
        <v>77.739999999999995</v>
      </c>
      <c r="X351" s="3">
        <f t="shared" si="10"/>
        <v>0</v>
      </c>
      <c r="Y351">
        <f>VLOOKUP(D351,'[1]Cost Sheet'!$C:$D,2,0)</f>
        <v>77.739999999999995</v>
      </c>
      <c r="Z351" s="3">
        <f t="shared" si="11"/>
        <v>0</v>
      </c>
    </row>
    <row r="352" spans="1:26" x14ac:dyDescent="0.3">
      <c r="A352" s="7" t="s">
        <v>21</v>
      </c>
      <c r="B352" t="s">
        <v>217</v>
      </c>
      <c r="C352" t="s">
        <v>218</v>
      </c>
      <c r="D352" t="s">
        <v>219</v>
      </c>
      <c r="E352" t="s">
        <v>220</v>
      </c>
      <c r="F352" t="s">
        <v>106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-1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 t="s">
        <v>39</v>
      </c>
      <c r="W352" s="2">
        <v>77.739999999999995</v>
      </c>
      <c r="X352" s="3">
        <f t="shared" si="10"/>
        <v>77.739999999999995</v>
      </c>
      <c r="Y352">
        <f>VLOOKUP(D352,'[1]Cost Sheet'!$C:$D,2,0)</f>
        <v>77.739999999999995</v>
      </c>
      <c r="Z352" s="3">
        <f t="shared" si="11"/>
        <v>77.739999999999995</v>
      </c>
    </row>
    <row r="353" spans="1:26" x14ac:dyDescent="0.3">
      <c r="A353" s="7" t="s">
        <v>21</v>
      </c>
      <c r="B353" t="s">
        <v>217</v>
      </c>
      <c r="C353" t="s">
        <v>218</v>
      </c>
      <c r="D353" t="s">
        <v>219</v>
      </c>
      <c r="E353" t="s">
        <v>220</v>
      </c>
      <c r="F353" t="s">
        <v>106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3</v>
      </c>
      <c r="T353">
        <v>0</v>
      </c>
      <c r="U353" t="s">
        <v>53</v>
      </c>
      <c r="W353" s="2">
        <v>77.739999999999995</v>
      </c>
      <c r="X353" s="3">
        <f t="shared" si="10"/>
        <v>233.21999999999997</v>
      </c>
      <c r="Y353">
        <f>VLOOKUP(D353,'[1]Cost Sheet'!$C:$D,2,0)</f>
        <v>77.739999999999995</v>
      </c>
      <c r="Z353" s="3">
        <f t="shared" si="11"/>
        <v>233.21999999999997</v>
      </c>
    </row>
    <row r="354" spans="1:26" x14ac:dyDescent="0.3">
      <c r="A354" s="7" t="s">
        <v>21</v>
      </c>
      <c r="B354" t="s">
        <v>217</v>
      </c>
      <c r="C354" t="s">
        <v>218</v>
      </c>
      <c r="D354" t="s">
        <v>219</v>
      </c>
      <c r="E354" t="s">
        <v>220</v>
      </c>
      <c r="F354" t="s">
        <v>106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 t="s">
        <v>32</v>
      </c>
      <c r="W354" s="2">
        <v>77.739999999999995</v>
      </c>
      <c r="X354" s="3">
        <f t="shared" si="10"/>
        <v>310.95999999999998</v>
      </c>
      <c r="Y354">
        <f>VLOOKUP(D354,'[1]Cost Sheet'!$C:$D,2,0)</f>
        <v>77.739999999999995</v>
      </c>
      <c r="Z354" s="3">
        <f t="shared" si="11"/>
        <v>310.95999999999998</v>
      </c>
    </row>
    <row r="355" spans="1:26" x14ac:dyDescent="0.3">
      <c r="A355" s="7" t="s">
        <v>21</v>
      </c>
      <c r="B355" t="s">
        <v>217</v>
      </c>
      <c r="C355" t="s">
        <v>218</v>
      </c>
      <c r="D355" t="s">
        <v>219</v>
      </c>
      <c r="E355" t="s">
        <v>220</v>
      </c>
      <c r="F355" t="s">
        <v>106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 t="s">
        <v>33</v>
      </c>
      <c r="W355" s="2">
        <v>77.739999999999995</v>
      </c>
      <c r="X355" s="3">
        <f t="shared" si="10"/>
        <v>77.739999999999995</v>
      </c>
      <c r="Y355">
        <f>VLOOKUP(D355,'[1]Cost Sheet'!$C:$D,2,0)</f>
        <v>77.739999999999995</v>
      </c>
      <c r="Z355" s="3">
        <f t="shared" si="11"/>
        <v>77.739999999999995</v>
      </c>
    </row>
    <row r="356" spans="1:26" x14ac:dyDescent="0.3">
      <c r="A356" s="7" t="s">
        <v>21</v>
      </c>
      <c r="B356" t="s">
        <v>217</v>
      </c>
      <c r="C356" t="s">
        <v>218</v>
      </c>
      <c r="D356" t="s">
        <v>219</v>
      </c>
      <c r="E356" t="s">
        <v>220</v>
      </c>
      <c r="F356" t="s">
        <v>106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-2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46</v>
      </c>
      <c r="W356" s="2">
        <v>77.739999999999995</v>
      </c>
      <c r="X356" s="3">
        <f t="shared" si="10"/>
        <v>0</v>
      </c>
      <c r="Y356">
        <f>VLOOKUP(D356,'[1]Cost Sheet'!$C:$D,2,0)</f>
        <v>77.739999999999995</v>
      </c>
      <c r="Z356" s="3">
        <f t="shared" si="11"/>
        <v>0</v>
      </c>
    </row>
    <row r="357" spans="1:26" x14ac:dyDescent="0.3">
      <c r="A357" s="7" t="s">
        <v>21</v>
      </c>
      <c r="B357" t="s">
        <v>217</v>
      </c>
      <c r="C357" t="s">
        <v>218</v>
      </c>
      <c r="D357" t="s">
        <v>219</v>
      </c>
      <c r="E357" t="s">
        <v>220</v>
      </c>
      <c r="F357" t="s">
        <v>106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 t="s">
        <v>40</v>
      </c>
      <c r="W357" s="2">
        <v>77.739999999999995</v>
      </c>
      <c r="X357" s="3">
        <f t="shared" si="10"/>
        <v>77.739999999999995</v>
      </c>
      <c r="Y357">
        <f>VLOOKUP(D357,'[1]Cost Sheet'!$C:$D,2,0)</f>
        <v>77.739999999999995</v>
      </c>
      <c r="Z357" s="3">
        <f t="shared" si="11"/>
        <v>77.739999999999995</v>
      </c>
    </row>
    <row r="358" spans="1:26" x14ac:dyDescent="0.3">
      <c r="A358" s="7" t="s">
        <v>21</v>
      </c>
      <c r="B358" t="s">
        <v>217</v>
      </c>
      <c r="C358" t="s">
        <v>218</v>
      </c>
      <c r="D358" t="s">
        <v>219</v>
      </c>
      <c r="E358" t="s">
        <v>220</v>
      </c>
      <c r="F358" t="s">
        <v>106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 t="s">
        <v>48</v>
      </c>
      <c r="W358" s="2">
        <v>77.739999999999995</v>
      </c>
      <c r="X358" s="3">
        <f t="shared" si="10"/>
        <v>77.739999999999995</v>
      </c>
      <c r="Y358">
        <f>VLOOKUP(D358,'[1]Cost Sheet'!$C:$D,2,0)</f>
        <v>77.739999999999995</v>
      </c>
      <c r="Z358" s="3">
        <f t="shared" si="11"/>
        <v>77.739999999999995</v>
      </c>
    </row>
    <row r="359" spans="1:26" x14ac:dyDescent="0.3">
      <c r="A359" s="7" t="s">
        <v>21</v>
      </c>
      <c r="B359" t="s">
        <v>217</v>
      </c>
      <c r="C359" t="s">
        <v>218</v>
      </c>
      <c r="D359" t="s">
        <v>219</v>
      </c>
      <c r="E359" t="s">
        <v>220</v>
      </c>
      <c r="F359" t="s">
        <v>130</v>
      </c>
      <c r="G359">
        <v>24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24</v>
      </c>
      <c r="T359">
        <v>0</v>
      </c>
      <c r="U359" t="s">
        <v>27</v>
      </c>
      <c r="W359" s="2">
        <v>77.739999999999995</v>
      </c>
      <c r="X359" s="3">
        <f t="shared" si="10"/>
        <v>1865.7599999999998</v>
      </c>
      <c r="Y359">
        <f>VLOOKUP(D359,'[1]Cost Sheet'!$C:$D,2,0)</f>
        <v>77.739999999999995</v>
      </c>
      <c r="Z359" s="3">
        <f t="shared" si="11"/>
        <v>1865.7599999999998</v>
      </c>
    </row>
    <row r="360" spans="1:26" x14ac:dyDescent="0.3">
      <c r="A360" s="7" t="s">
        <v>21</v>
      </c>
      <c r="B360" t="s">
        <v>217</v>
      </c>
      <c r="C360" t="s">
        <v>218</v>
      </c>
      <c r="D360" t="s">
        <v>219</v>
      </c>
      <c r="E360" t="s">
        <v>220</v>
      </c>
      <c r="F360" t="s">
        <v>26</v>
      </c>
      <c r="G360">
        <v>137</v>
      </c>
      <c r="H360">
        <v>0</v>
      </c>
      <c r="I360">
        <v>0</v>
      </c>
      <c r="J360">
        <v>-3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134</v>
      </c>
      <c r="T360">
        <v>0</v>
      </c>
      <c r="U360" t="s">
        <v>38</v>
      </c>
      <c r="W360" s="2">
        <v>77.739999999999995</v>
      </c>
      <c r="X360" s="3">
        <f t="shared" si="10"/>
        <v>10417.16</v>
      </c>
      <c r="Y360">
        <f>VLOOKUP(D360,'[1]Cost Sheet'!$C:$D,2,0)</f>
        <v>77.739999999999995</v>
      </c>
      <c r="Z360" s="3">
        <f t="shared" si="11"/>
        <v>10417.16</v>
      </c>
    </row>
    <row r="361" spans="1:26" x14ac:dyDescent="0.3">
      <c r="A361" s="7" t="s">
        <v>21</v>
      </c>
      <c r="B361" t="s">
        <v>217</v>
      </c>
      <c r="C361" t="s">
        <v>218</v>
      </c>
      <c r="D361" t="s">
        <v>219</v>
      </c>
      <c r="E361" t="s">
        <v>220</v>
      </c>
      <c r="F361" t="s">
        <v>26</v>
      </c>
      <c r="G361">
        <v>1430</v>
      </c>
      <c r="H361">
        <v>0</v>
      </c>
      <c r="I361">
        <v>0</v>
      </c>
      <c r="J361">
        <v>-1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1429</v>
      </c>
      <c r="T361">
        <v>0</v>
      </c>
      <c r="U361" t="s">
        <v>107</v>
      </c>
      <c r="W361" s="2">
        <v>77.739999999999995</v>
      </c>
      <c r="X361" s="3">
        <f t="shared" si="10"/>
        <v>111090.45999999999</v>
      </c>
      <c r="Y361">
        <f>VLOOKUP(D361,'[1]Cost Sheet'!$C:$D,2,0)</f>
        <v>77.739999999999995</v>
      </c>
      <c r="Z361" s="3">
        <f t="shared" si="11"/>
        <v>111090.45999999999</v>
      </c>
    </row>
    <row r="362" spans="1:26" x14ac:dyDescent="0.3">
      <c r="A362" s="7" t="s">
        <v>21</v>
      </c>
      <c r="B362" t="s">
        <v>217</v>
      </c>
      <c r="C362" t="s">
        <v>218</v>
      </c>
      <c r="D362" t="s">
        <v>219</v>
      </c>
      <c r="E362" t="s">
        <v>220</v>
      </c>
      <c r="F362" t="s">
        <v>26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 t="s">
        <v>151</v>
      </c>
      <c r="W362" s="2">
        <v>77.739999999999995</v>
      </c>
      <c r="X362" s="3">
        <f t="shared" si="10"/>
        <v>77.739999999999995</v>
      </c>
      <c r="Y362">
        <f>VLOOKUP(D362,'[1]Cost Sheet'!$C:$D,2,0)</f>
        <v>77.739999999999995</v>
      </c>
      <c r="Z362" s="3">
        <f t="shared" si="11"/>
        <v>77.739999999999995</v>
      </c>
    </row>
    <row r="363" spans="1:26" x14ac:dyDescent="0.3">
      <c r="A363" s="7" t="s">
        <v>21</v>
      </c>
      <c r="B363" t="s">
        <v>217</v>
      </c>
      <c r="C363" t="s">
        <v>218</v>
      </c>
      <c r="D363" t="s">
        <v>219</v>
      </c>
      <c r="E363" t="s">
        <v>220</v>
      </c>
      <c r="F363" t="s">
        <v>26</v>
      </c>
      <c r="G363">
        <v>273</v>
      </c>
      <c r="H363">
        <v>0</v>
      </c>
      <c r="I363">
        <v>0</v>
      </c>
      <c r="J363">
        <v>-3</v>
      </c>
      <c r="K363">
        <v>0</v>
      </c>
      <c r="L363">
        <v>0</v>
      </c>
      <c r="M363">
        <v>48</v>
      </c>
      <c r="N363">
        <v>0</v>
      </c>
      <c r="O363">
        <v>-1</v>
      </c>
      <c r="P363">
        <v>0</v>
      </c>
      <c r="Q363">
        <v>0</v>
      </c>
      <c r="R363">
        <v>0</v>
      </c>
      <c r="S363">
        <v>317</v>
      </c>
      <c r="T363">
        <v>0</v>
      </c>
      <c r="U363" t="s">
        <v>45</v>
      </c>
      <c r="W363" s="2">
        <v>77.739999999999995</v>
      </c>
      <c r="X363" s="3">
        <f t="shared" si="10"/>
        <v>24643.579999999998</v>
      </c>
      <c r="Y363">
        <f>VLOOKUP(D363,'[1]Cost Sheet'!$C:$D,2,0)</f>
        <v>77.739999999999995</v>
      </c>
      <c r="Z363" s="3">
        <f t="shared" si="11"/>
        <v>24643.579999999998</v>
      </c>
    </row>
    <row r="364" spans="1:26" x14ac:dyDescent="0.3">
      <c r="A364" s="7" t="s">
        <v>21</v>
      </c>
      <c r="B364" t="s">
        <v>217</v>
      </c>
      <c r="C364" t="s">
        <v>218</v>
      </c>
      <c r="D364" t="s">
        <v>219</v>
      </c>
      <c r="E364" t="s">
        <v>220</v>
      </c>
      <c r="F364" t="s">
        <v>26</v>
      </c>
      <c r="G364">
        <v>0</v>
      </c>
      <c r="H364">
        <v>2</v>
      </c>
      <c r="I364">
        <v>0</v>
      </c>
      <c r="J364">
        <v>0</v>
      </c>
      <c r="K364">
        <v>2</v>
      </c>
      <c r="L364">
        <v>0</v>
      </c>
      <c r="M364">
        <v>-2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108</v>
      </c>
      <c r="W364" s="2">
        <v>77.739999999999995</v>
      </c>
      <c r="X364" s="3">
        <f t="shared" si="10"/>
        <v>0</v>
      </c>
      <c r="Y364">
        <f>VLOOKUP(D364,'[1]Cost Sheet'!$C:$D,2,0)</f>
        <v>77.739999999999995</v>
      </c>
      <c r="Z364" s="3">
        <f t="shared" si="11"/>
        <v>0</v>
      </c>
    </row>
    <row r="365" spans="1:26" x14ac:dyDescent="0.3">
      <c r="A365" s="7" t="s">
        <v>21</v>
      </c>
      <c r="B365" t="s">
        <v>217</v>
      </c>
      <c r="C365" t="s">
        <v>218</v>
      </c>
      <c r="D365" t="s">
        <v>219</v>
      </c>
      <c r="E365" t="s">
        <v>220</v>
      </c>
      <c r="F365" t="s">
        <v>26</v>
      </c>
      <c r="G365">
        <v>116</v>
      </c>
      <c r="H365">
        <v>0</v>
      </c>
      <c r="I365">
        <v>0</v>
      </c>
      <c r="J365">
        <v>-2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115</v>
      </c>
      <c r="T365">
        <v>0</v>
      </c>
      <c r="U365" t="s">
        <v>39</v>
      </c>
      <c r="W365" s="2">
        <v>77.739999999999995</v>
      </c>
      <c r="X365" s="3">
        <f t="shared" si="10"/>
        <v>8940.0999999999985</v>
      </c>
      <c r="Y365">
        <f>VLOOKUP(D365,'[1]Cost Sheet'!$C:$D,2,0)</f>
        <v>77.739999999999995</v>
      </c>
      <c r="Z365" s="3">
        <f t="shared" si="11"/>
        <v>8940.0999999999985</v>
      </c>
    </row>
    <row r="366" spans="1:26" x14ac:dyDescent="0.3">
      <c r="A366" s="7" t="s">
        <v>21</v>
      </c>
      <c r="B366" t="s">
        <v>217</v>
      </c>
      <c r="C366" t="s">
        <v>218</v>
      </c>
      <c r="D366" t="s">
        <v>219</v>
      </c>
      <c r="E366" t="s">
        <v>220</v>
      </c>
      <c r="F366" t="s">
        <v>26</v>
      </c>
      <c r="G366">
        <v>1343</v>
      </c>
      <c r="H366">
        <v>0</v>
      </c>
      <c r="I366">
        <v>0</v>
      </c>
      <c r="J366">
        <v>-5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-1</v>
      </c>
      <c r="S366">
        <v>1337</v>
      </c>
      <c r="T366">
        <v>0</v>
      </c>
      <c r="U366" t="s">
        <v>53</v>
      </c>
      <c r="W366" s="2">
        <v>77.739999999999995</v>
      </c>
      <c r="X366" s="3">
        <f t="shared" si="10"/>
        <v>103938.37999999999</v>
      </c>
      <c r="Y366">
        <f>VLOOKUP(D366,'[1]Cost Sheet'!$C:$D,2,0)</f>
        <v>77.739999999999995</v>
      </c>
      <c r="Z366" s="3">
        <f t="shared" si="11"/>
        <v>103938.37999999999</v>
      </c>
    </row>
    <row r="367" spans="1:26" x14ac:dyDescent="0.3">
      <c r="A367" s="7" t="s">
        <v>21</v>
      </c>
      <c r="B367" t="s">
        <v>217</v>
      </c>
      <c r="C367" t="s">
        <v>218</v>
      </c>
      <c r="D367" t="s">
        <v>219</v>
      </c>
      <c r="E367" t="s">
        <v>220</v>
      </c>
      <c r="F367" t="s">
        <v>26</v>
      </c>
      <c r="G367">
        <v>1068</v>
      </c>
      <c r="H367">
        <v>0</v>
      </c>
      <c r="I367">
        <v>0</v>
      </c>
      <c r="J367">
        <v>-1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1067</v>
      </c>
      <c r="T367">
        <v>0</v>
      </c>
      <c r="U367" t="s">
        <v>54</v>
      </c>
      <c r="W367" s="2">
        <v>77.739999999999995</v>
      </c>
      <c r="X367" s="3">
        <f t="shared" si="10"/>
        <v>82948.58</v>
      </c>
      <c r="Y367">
        <f>VLOOKUP(D367,'[1]Cost Sheet'!$C:$D,2,0)</f>
        <v>77.739999999999995</v>
      </c>
      <c r="Z367" s="3">
        <f t="shared" si="11"/>
        <v>82948.58</v>
      </c>
    </row>
    <row r="368" spans="1:26" x14ac:dyDescent="0.3">
      <c r="A368" s="7" t="s">
        <v>21</v>
      </c>
      <c r="B368" t="s">
        <v>217</v>
      </c>
      <c r="C368" t="s">
        <v>218</v>
      </c>
      <c r="D368" t="s">
        <v>219</v>
      </c>
      <c r="E368" t="s">
        <v>220</v>
      </c>
      <c r="F368" t="s">
        <v>26</v>
      </c>
      <c r="G368">
        <v>24</v>
      </c>
      <c r="H368">
        <v>120</v>
      </c>
      <c r="I368">
        <v>0</v>
      </c>
      <c r="J368">
        <v>0</v>
      </c>
      <c r="K368">
        <v>0</v>
      </c>
      <c r="L368">
        <v>0</v>
      </c>
      <c r="M368">
        <v>-24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152</v>
      </c>
      <c r="W368" s="2">
        <v>77.739999999999995</v>
      </c>
      <c r="X368" s="3">
        <f t="shared" si="10"/>
        <v>0</v>
      </c>
      <c r="Y368">
        <f>VLOOKUP(D368,'[1]Cost Sheet'!$C:$D,2,0)</f>
        <v>77.739999999999995</v>
      </c>
      <c r="Z368" s="3">
        <f t="shared" si="11"/>
        <v>0</v>
      </c>
    </row>
    <row r="369" spans="1:26" x14ac:dyDescent="0.3">
      <c r="A369" s="7" t="s">
        <v>21</v>
      </c>
      <c r="B369" t="s">
        <v>217</v>
      </c>
      <c r="C369" t="s">
        <v>218</v>
      </c>
      <c r="D369" t="s">
        <v>219</v>
      </c>
      <c r="E369" t="s">
        <v>220</v>
      </c>
      <c r="F369" t="s">
        <v>26</v>
      </c>
      <c r="G369">
        <v>2470</v>
      </c>
      <c r="H369">
        <v>0</v>
      </c>
      <c r="I369">
        <v>0</v>
      </c>
      <c r="J369">
        <v>-2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2468</v>
      </c>
      <c r="T369">
        <v>0</v>
      </c>
      <c r="U369" t="s">
        <v>32</v>
      </c>
      <c r="W369" s="2">
        <v>77.739999999999995</v>
      </c>
      <c r="X369" s="3">
        <f t="shared" si="10"/>
        <v>191862.31999999998</v>
      </c>
      <c r="Y369">
        <f>VLOOKUP(D369,'[1]Cost Sheet'!$C:$D,2,0)</f>
        <v>77.739999999999995</v>
      </c>
      <c r="Z369" s="3">
        <f t="shared" si="11"/>
        <v>191862.31999999998</v>
      </c>
    </row>
    <row r="370" spans="1:26" x14ac:dyDescent="0.3">
      <c r="A370" s="7" t="s">
        <v>21</v>
      </c>
      <c r="B370" t="s">
        <v>217</v>
      </c>
      <c r="C370" t="s">
        <v>218</v>
      </c>
      <c r="D370" t="s">
        <v>219</v>
      </c>
      <c r="E370" t="s">
        <v>220</v>
      </c>
      <c r="F370" t="s">
        <v>26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 t="s">
        <v>88</v>
      </c>
      <c r="W370" s="2">
        <v>77.739999999999995</v>
      </c>
      <c r="X370" s="3">
        <f t="shared" si="10"/>
        <v>155.47999999999999</v>
      </c>
      <c r="Y370">
        <f>VLOOKUP(D370,'[1]Cost Sheet'!$C:$D,2,0)</f>
        <v>77.739999999999995</v>
      </c>
      <c r="Z370" s="3">
        <f t="shared" si="11"/>
        <v>155.47999999999999</v>
      </c>
    </row>
    <row r="371" spans="1:26" x14ac:dyDescent="0.3">
      <c r="A371" s="7" t="s">
        <v>21</v>
      </c>
      <c r="B371" t="s">
        <v>217</v>
      </c>
      <c r="C371" t="s">
        <v>218</v>
      </c>
      <c r="D371" t="s">
        <v>219</v>
      </c>
      <c r="E371" t="s">
        <v>220</v>
      </c>
      <c r="F371" t="s">
        <v>26</v>
      </c>
      <c r="G371">
        <v>153</v>
      </c>
      <c r="H371">
        <v>0</v>
      </c>
      <c r="I371">
        <v>0</v>
      </c>
      <c r="J371">
        <v>-3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150</v>
      </c>
      <c r="T371">
        <v>0</v>
      </c>
      <c r="U371" t="s">
        <v>33</v>
      </c>
      <c r="W371" s="2">
        <v>77.739999999999995</v>
      </c>
      <c r="X371" s="3">
        <f t="shared" si="10"/>
        <v>11661</v>
      </c>
      <c r="Y371">
        <f>VLOOKUP(D371,'[1]Cost Sheet'!$C:$D,2,0)</f>
        <v>77.739999999999995</v>
      </c>
      <c r="Z371" s="3">
        <f t="shared" si="11"/>
        <v>11661</v>
      </c>
    </row>
    <row r="372" spans="1:26" x14ac:dyDescent="0.3">
      <c r="A372" s="7" t="s">
        <v>21</v>
      </c>
      <c r="B372" t="s">
        <v>217</v>
      </c>
      <c r="C372" t="s">
        <v>218</v>
      </c>
      <c r="D372" t="s">
        <v>219</v>
      </c>
      <c r="E372" t="s">
        <v>220</v>
      </c>
      <c r="F372" t="s">
        <v>26</v>
      </c>
      <c r="G372">
        <v>202</v>
      </c>
      <c r="H372">
        <v>0</v>
      </c>
      <c r="I372">
        <v>0</v>
      </c>
      <c r="J372">
        <v>-4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198</v>
      </c>
      <c r="T372">
        <v>0</v>
      </c>
      <c r="U372" t="s">
        <v>46</v>
      </c>
      <c r="W372" s="2">
        <v>77.739999999999995</v>
      </c>
      <c r="X372" s="3">
        <f t="shared" si="10"/>
        <v>15392.519999999999</v>
      </c>
      <c r="Y372">
        <f>VLOOKUP(D372,'[1]Cost Sheet'!$C:$D,2,0)</f>
        <v>77.739999999999995</v>
      </c>
      <c r="Z372" s="3">
        <f t="shared" si="11"/>
        <v>15392.519999999999</v>
      </c>
    </row>
    <row r="373" spans="1:26" x14ac:dyDescent="0.3">
      <c r="A373" s="7" t="s">
        <v>21</v>
      </c>
      <c r="B373" t="s">
        <v>217</v>
      </c>
      <c r="C373" t="s">
        <v>218</v>
      </c>
      <c r="D373" t="s">
        <v>219</v>
      </c>
      <c r="E373" t="s">
        <v>220</v>
      </c>
      <c r="F373" t="s">
        <v>26</v>
      </c>
      <c r="G373">
        <v>2</v>
      </c>
      <c r="H373">
        <v>0</v>
      </c>
      <c r="I373">
        <v>0</v>
      </c>
      <c r="J373">
        <v>-1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 t="s">
        <v>110</v>
      </c>
      <c r="W373" s="2">
        <v>77.739999999999995</v>
      </c>
      <c r="X373" s="3">
        <f t="shared" si="10"/>
        <v>77.739999999999995</v>
      </c>
      <c r="Y373">
        <f>VLOOKUP(D373,'[1]Cost Sheet'!$C:$D,2,0)</f>
        <v>77.739999999999995</v>
      </c>
      <c r="Z373" s="3">
        <f t="shared" si="11"/>
        <v>77.739999999999995</v>
      </c>
    </row>
    <row r="374" spans="1:26" x14ac:dyDescent="0.3">
      <c r="A374" s="7" t="s">
        <v>21</v>
      </c>
      <c r="B374" t="s">
        <v>217</v>
      </c>
      <c r="C374" t="s">
        <v>218</v>
      </c>
      <c r="D374" t="s">
        <v>219</v>
      </c>
      <c r="E374" t="s">
        <v>220</v>
      </c>
      <c r="F374" t="s">
        <v>26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0</v>
      </c>
      <c r="U374" t="s">
        <v>111</v>
      </c>
      <c r="W374" s="2">
        <v>77.739999999999995</v>
      </c>
      <c r="X374" s="3">
        <f t="shared" si="10"/>
        <v>233.21999999999997</v>
      </c>
      <c r="Y374">
        <f>VLOOKUP(D374,'[1]Cost Sheet'!$C:$D,2,0)</f>
        <v>77.739999999999995</v>
      </c>
      <c r="Z374" s="3">
        <f t="shared" si="11"/>
        <v>233.21999999999997</v>
      </c>
    </row>
    <row r="375" spans="1:26" x14ac:dyDescent="0.3">
      <c r="A375" s="7" t="s">
        <v>21</v>
      </c>
      <c r="B375" t="s">
        <v>217</v>
      </c>
      <c r="C375" t="s">
        <v>218</v>
      </c>
      <c r="D375" t="s">
        <v>219</v>
      </c>
      <c r="E375" t="s">
        <v>220</v>
      </c>
      <c r="F375" t="s">
        <v>26</v>
      </c>
      <c r="G375">
        <v>16</v>
      </c>
      <c r="H375">
        <v>0</v>
      </c>
      <c r="I375">
        <v>0</v>
      </c>
      <c r="J375">
        <v>-2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15</v>
      </c>
      <c r="T375">
        <v>0</v>
      </c>
      <c r="U375" t="s">
        <v>47</v>
      </c>
      <c r="W375" s="2">
        <v>77.739999999999995</v>
      </c>
      <c r="X375" s="3">
        <f t="shared" si="10"/>
        <v>1166.0999999999999</v>
      </c>
      <c r="Y375">
        <f>VLOOKUP(D375,'[1]Cost Sheet'!$C:$D,2,0)</f>
        <v>77.739999999999995</v>
      </c>
      <c r="Z375" s="3">
        <f t="shared" si="11"/>
        <v>1166.0999999999999</v>
      </c>
    </row>
    <row r="376" spans="1:26" x14ac:dyDescent="0.3">
      <c r="A376" s="7" t="s">
        <v>21</v>
      </c>
      <c r="B376" t="s">
        <v>217</v>
      </c>
      <c r="C376" t="s">
        <v>218</v>
      </c>
      <c r="D376" t="s">
        <v>219</v>
      </c>
      <c r="E376" t="s">
        <v>220</v>
      </c>
      <c r="F376" t="s">
        <v>26</v>
      </c>
      <c r="G376">
        <v>256</v>
      </c>
      <c r="H376">
        <v>2</v>
      </c>
      <c r="I376">
        <v>0</v>
      </c>
      <c r="J376">
        <v>-6</v>
      </c>
      <c r="K376">
        <v>0</v>
      </c>
      <c r="L376">
        <v>0</v>
      </c>
      <c r="M376">
        <v>-2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248</v>
      </c>
      <c r="T376">
        <v>0</v>
      </c>
      <c r="U376" t="s">
        <v>40</v>
      </c>
      <c r="W376" s="2">
        <v>77.739999999999995</v>
      </c>
      <c r="X376" s="3">
        <f t="shared" si="10"/>
        <v>19279.52</v>
      </c>
      <c r="Y376">
        <f>VLOOKUP(D376,'[1]Cost Sheet'!$C:$D,2,0)</f>
        <v>77.739999999999995</v>
      </c>
      <c r="Z376" s="3">
        <f t="shared" si="11"/>
        <v>19279.52</v>
      </c>
    </row>
    <row r="377" spans="1:26" x14ac:dyDescent="0.3">
      <c r="A377" s="7" t="s">
        <v>21</v>
      </c>
      <c r="B377" t="s">
        <v>217</v>
      </c>
      <c r="C377" t="s">
        <v>218</v>
      </c>
      <c r="D377" t="s">
        <v>219</v>
      </c>
      <c r="E377" t="s">
        <v>220</v>
      </c>
      <c r="F377" t="s">
        <v>26</v>
      </c>
      <c r="G377">
        <v>33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33</v>
      </c>
      <c r="T377">
        <v>0</v>
      </c>
      <c r="U377" t="s">
        <v>120</v>
      </c>
      <c r="W377" s="2">
        <v>77.739999999999995</v>
      </c>
      <c r="X377" s="3">
        <f t="shared" si="10"/>
        <v>2565.4199999999996</v>
      </c>
      <c r="Y377">
        <f>VLOOKUP(D377,'[1]Cost Sheet'!$C:$D,2,0)</f>
        <v>77.739999999999995</v>
      </c>
      <c r="Z377" s="3">
        <f t="shared" si="11"/>
        <v>2565.4199999999996</v>
      </c>
    </row>
    <row r="378" spans="1:26" x14ac:dyDescent="0.3">
      <c r="A378" s="7" t="s">
        <v>21</v>
      </c>
      <c r="B378" t="s">
        <v>217</v>
      </c>
      <c r="C378" t="s">
        <v>218</v>
      </c>
      <c r="D378" t="s">
        <v>219</v>
      </c>
      <c r="E378" t="s">
        <v>220</v>
      </c>
      <c r="F378" t="s">
        <v>26</v>
      </c>
      <c r="G378">
        <v>174</v>
      </c>
      <c r="H378">
        <v>0</v>
      </c>
      <c r="I378">
        <v>0</v>
      </c>
      <c r="J378">
        <v>-3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171</v>
      </c>
      <c r="T378">
        <v>0</v>
      </c>
      <c r="U378" t="s">
        <v>113</v>
      </c>
      <c r="W378" s="2">
        <v>77.739999999999995</v>
      </c>
      <c r="X378" s="3">
        <f t="shared" si="10"/>
        <v>13293.539999999999</v>
      </c>
      <c r="Y378">
        <f>VLOOKUP(D378,'[1]Cost Sheet'!$C:$D,2,0)</f>
        <v>77.739999999999995</v>
      </c>
      <c r="Z378" s="3">
        <f t="shared" si="11"/>
        <v>13293.539999999999</v>
      </c>
    </row>
    <row r="379" spans="1:26" x14ac:dyDescent="0.3">
      <c r="A379" s="7" t="s">
        <v>21</v>
      </c>
      <c r="B379" t="s">
        <v>217</v>
      </c>
      <c r="C379" t="s">
        <v>218</v>
      </c>
      <c r="D379" t="s">
        <v>219</v>
      </c>
      <c r="E379" t="s">
        <v>220</v>
      </c>
      <c r="F379" t="s">
        <v>26</v>
      </c>
      <c r="G379">
        <v>251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251</v>
      </c>
      <c r="T379">
        <v>0</v>
      </c>
      <c r="U379" t="s">
        <v>48</v>
      </c>
      <c r="W379" s="2">
        <v>77.739999999999995</v>
      </c>
      <c r="X379" s="3">
        <f t="shared" si="10"/>
        <v>19512.739999999998</v>
      </c>
      <c r="Y379">
        <f>VLOOKUP(D379,'[1]Cost Sheet'!$C:$D,2,0)</f>
        <v>77.739999999999995</v>
      </c>
      <c r="Z379" s="3">
        <f t="shared" si="11"/>
        <v>19512.739999999998</v>
      </c>
    </row>
    <row r="380" spans="1:26" x14ac:dyDescent="0.3">
      <c r="A380" s="7" t="s">
        <v>21</v>
      </c>
      <c r="B380" t="s">
        <v>217</v>
      </c>
      <c r="C380" t="s">
        <v>218</v>
      </c>
      <c r="D380" t="s">
        <v>219</v>
      </c>
      <c r="E380" t="s">
        <v>220</v>
      </c>
      <c r="F380" t="s">
        <v>26</v>
      </c>
      <c r="G380">
        <v>137</v>
      </c>
      <c r="H380">
        <v>0</v>
      </c>
      <c r="I380">
        <v>0</v>
      </c>
      <c r="J380">
        <v>-3</v>
      </c>
      <c r="K380">
        <v>0</v>
      </c>
      <c r="L380">
        <v>0</v>
      </c>
      <c r="M380">
        <v>152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286</v>
      </c>
      <c r="T380">
        <v>0</v>
      </c>
      <c r="U380" t="s">
        <v>59</v>
      </c>
      <c r="W380" s="2">
        <v>77.739999999999995</v>
      </c>
      <c r="X380" s="3">
        <f t="shared" si="10"/>
        <v>22233.64</v>
      </c>
      <c r="Y380">
        <f>VLOOKUP(D380,'[1]Cost Sheet'!$C:$D,2,0)</f>
        <v>77.739999999999995</v>
      </c>
      <c r="Z380" s="3">
        <f t="shared" si="11"/>
        <v>22233.64</v>
      </c>
    </row>
    <row r="381" spans="1:26" x14ac:dyDescent="0.3">
      <c r="A381" s="7" t="s">
        <v>21</v>
      </c>
      <c r="B381" t="s">
        <v>217</v>
      </c>
      <c r="C381" t="s">
        <v>218</v>
      </c>
      <c r="D381" t="s">
        <v>219</v>
      </c>
      <c r="E381" t="s">
        <v>220</v>
      </c>
      <c r="F381" t="s">
        <v>26</v>
      </c>
      <c r="G381">
        <v>112</v>
      </c>
      <c r="H381">
        <v>0</v>
      </c>
      <c r="I381">
        <v>0</v>
      </c>
      <c r="J381">
        <v>-3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109</v>
      </c>
      <c r="T381">
        <v>0</v>
      </c>
      <c r="U381" t="s">
        <v>27</v>
      </c>
      <c r="W381" s="2">
        <v>77.739999999999995</v>
      </c>
      <c r="X381" s="3">
        <f t="shared" si="10"/>
        <v>8473.66</v>
      </c>
      <c r="Y381">
        <f>VLOOKUP(D381,'[1]Cost Sheet'!$C:$D,2,0)</f>
        <v>77.739999999999995</v>
      </c>
      <c r="Z381" s="3">
        <f t="shared" si="11"/>
        <v>8473.66</v>
      </c>
    </row>
    <row r="382" spans="1:26" x14ac:dyDescent="0.3">
      <c r="A382" s="7" t="s">
        <v>21</v>
      </c>
      <c r="B382" t="s">
        <v>221</v>
      </c>
      <c r="C382" t="s">
        <v>222</v>
      </c>
      <c r="D382" t="s">
        <v>223</v>
      </c>
      <c r="E382" t="s">
        <v>224</v>
      </c>
      <c r="F382" t="s">
        <v>125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 t="s">
        <v>108</v>
      </c>
      <c r="W382" s="2">
        <v>82.6</v>
      </c>
      <c r="X382" s="3">
        <f t="shared" si="10"/>
        <v>82.6</v>
      </c>
      <c r="Y382">
        <f>VLOOKUP(D382,'[1]Cost Sheet'!$C:$D,2,0)</f>
        <v>92.44</v>
      </c>
      <c r="Z382" s="3">
        <f t="shared" si="11"/>
        <v>92.44</v>
      </c>
    </row>
    <row r="383" spans="1:26" x14ac:dyDescent="0.3">
      <c r="A383" s="7" t="s">
        <v>21</v>
      </c>
      <c r="B383" t="s">
        <v>221</v>
      </c>
      <c r="C383" t="s">
        <v>222</v>
      </c>
      <c r="D383" t="s">
        <v>223</v>
      </c>
      <c r="E383" t="s">
        <v>224</v>
      </c>
      <c r="F383" t="s">
        <v>125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 t="s">
        <v>88</v>
      </c>
      <c r="W383" s="2">
        <v>82.6</v>
      </c>
      <c r="X383" s="3">
        <f t="shared" si="10"/>
        <v>330.4</v>
      </c>
      <c r="Y383">
        <f>VLOOKUP(D383,'[1]Cost Sheet'!$C:$D,2,0)</f>
        <v>92.44</v>
      </c>
      <c r="Z383" s="3">
        <f t="shared" si="11"/>
        <v>369.76</v>
      </c>
    </row>
    <row r="384" spans="1:26" x14ac:dyDescent="0.3">
      <c r="A384" s="7" t="s">
        <v>21</v>
      </c>
      <c r="B384" t="s">
        <v>221</v>
      </c>
      <c r="C384" t="s">
        <v>222</v>
      </c>
      <c r="D384" t="s">
        <v>223</v>
      </c>
      <c r="E384" t="s">
        <v>224</v>
      </c>
      <c r="F384" t="s">
        <v>125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0</v>
      </c>
      <c r="U384" t="s">
        <v>113</v>
      </c>
      <c r="W384" s="2">
        <v>82.6</v>
      </c>
      <c r="X384" s="3">
        <f t="shared" si="10"/>
        <v>165.2</v>
      </c>
      <c r="Y384">
        <f>VLOOKUP(D384,'[1]Cost Sheet'!$C:$D,2,0)</f>
        <v>92.44</v>
      </c>
      <c r="Z384" s="3">
        <f t="shared" si="11"/>
        <v>184.88</v>
      </c>
    </row>
    <row r="385" spans="1:26" x14ac:dyDescent="0.3">
      <c r="A385" s="7" t="s">
        <v>21</v>
      </c>
      <c r="B385" t="s">
        <v>221</v>
      </c>
      <c r="C385" t="s">
        <v>222</v>
      </c>
      <c r="D385" t="s">
        <v>223</v>
      </c>
      <c r="E385" t="s">
        <v>224</v>
      </c>
      <c r="F385" t="s">
        <v>106</v>
      </c>
      <c r="G385">
        <v>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8</v>
      </c>
      <c r="T385">
        <v>0</v>
      </c>
      <c r="U385" t="s">
        <v>38</v>
      </c>
      <c r="W385" s="2">
        <v>82.6</v>
      </c>
      <c r="X385" s="3">
        <f t="shared" si="10"/>
        <v>660.8</v>
      </c>
      <c r="Y385">
        <f>VLOOKUP(D385,'[1]Cost Sheet'!$C:$D,2,0)</f>
        <v>92.44</v>
      </c>
      <c r="Z385" s="3">
        <f t="shared" si="11"/>
        <v>739.52</v>
      </c>
    </row>
    <row r="386" spans="1:26" x14ac:dyDescent="0.3">
      <c r="A386" s="7" t="s">
        <v>21</v>
      </c>
      <c r="B386" t="s">
        <v>221</v>
      </c>
      <c r="C386" t="s">
        <v>222</v>
      </c>
      <c r="D386" t="s">
        <v>223</v>
      </c>
      <c r="E386" t="s">
        <v>224</v>
      </c>
      <c r="F386" t="s">
        <v>106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-1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107</v>
      </c>
      <c r="W386" s="2">
        <v>82.6</v>
      </c>
      <c r="X386" s="3">
        <f t="shared" si="10"/>
        <v>0</v>
      </c>
      <c r="Y386">
        <f>VLOOKUP(D386,'[1]Cost Sheet'!$C:$D,2,0)</f>
        <v>92.44</v>
      </c>
      <c r="Z386" s="3">
        <f t="shared" si="11"/>
        <v>0</v>
      </c>
    </row>
    <row r="387" spans="1:26" x14ac:dyDescent="0.3">
      <c r="A387" s="7" t="s">
        <v>21</v>
      </c>
      <c r="B387" t="s">
        <v>221</v>
      </c>
      <c r="C387" t="s">
        <v>222</v>
      </c>
      <c r="D387" t="s">
        <v>223</v>
      </c>
      <c r="E387" t="s">
        <v>224</v>
      </c>
      <c r="F387" t="s">
        <v>106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-2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3</v>
      </c>
      <c r="T387">
        <v>0</v>
      </c>
      <c r="U387" t="s">
        <v>45</v>
      </c>
      <c r="W387" s="2">
        <v>82.6</v>
      </c>
      <c r="X387" s="3">
        <f t="shared" ref="X387:X450" si="12">S387*W387</f>
        <v>247.79999999999998</v>
      </c>
      <c r="Y387">
        <f>VLOOKUP(D387,'[1]Cost Sheet'!$C:$D,2,0)</f>
        <v>92.44</v>
      </c>
      <c r="Z387" s="3">
        <f t="shared" ref="Z387:Z450" si="13">Y387*S387</f>
        <v>277.32</v>
      </c>
    </row>
    <row r="388" spans="1:26" x14ac:dyDescent="0.3">
      <c r="A388" s="7" t="s">
        <v>21</v>
      </c>
      <c r="B388" t="s">
        <v>221</v>
      </c>
      <c r="C388" t="s">
        <v>222</v>
      </c>
      <c r="D388" t="s">
        <v>223</v>
      </c>
      <c r="E388" t="s">
        <v>224</v>
      </c>
      <c r="F388" t="s">
        <v>106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-3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2</v>
      </c>
      <c r="T388">
        <v>0</v>
      </c>
      <c r="U388" t="s">
        <v>39</v>
      </c>
      <c r="W388" s="2">
        <v>82.6</v>
      </c>
      <c r="X388" s="3">
        <f t="shared" si="12"/>
        <v>165.2</v>
      </c>
      <c r="Y388">
        <f>VLOOKUP(D388,'[1]Cost Sheet'!$C:$D,2,0)</f>
        <v>92.44</v>
      </c>
      <c r="Z388" s="3">
        <f t="shared" si="13"/>
        <v>184.88</v>
      </c>
    </row>
    <row r="389" spans="1:26" x14ac:dyDescent="0.3">
      <c r="A389" s="7" t="s">
        <v>21</v>
      </c>
      <c r="B389" t="s">
        <v>221</v>
      </c>
      <c r="C389" t="s">
        <v>222</v>
      </c>
      <c r="D389" t="s">
        <v>223</v>
      </c>
      <c r="E389" t="s">
        <v>224</v>
      </c>
      <c r="F389" t="s">
        <v>106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 t="s">
        <v>53</v>
      </c>
      <c r="W389" s="2">
        <v>82.6</v>
      </c>
      <c r="X389" s="3">
        <f t="shared" si="12"/>
        <v>82.6</v>
      </c>
      <c r="Y389">
        <f>VLOOKUP(D389,'[1]Cost Sheet'!$C:$D,2,0)</f>
        <v>92.44</v>
      </c>
      <c r="Z389" s="3">
        <f t="shared" si="13"/>
        <v>92.44</v>
      </c>
    </row>
    <row r="390" spans="1:26" x14ac:dyDescent="0.3">
      <c r="A390" s="7" t="s">
        <v>21</v>
      </c>
      <c r="B390" t="s">
        <v>221</v>
      </c>
      <c r="C390" t="s">
        <v>222</v>
      </c>
      <c r="D390" t="s">
        <v>223</v>
      </c>
      <c r="E390" t="s">
        <v>224</v>
      </c>
      <c r="F390" t="s">
        <v>106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</v>
      </c>
      <c r="T390">
        <v>0</v>
      </c>
      <c r="U390" t="s">
        <v>54</v>
      </c>
      <c r="W390" s="2">
        <v>82.6</v>
      </c>
      <c r="X390" s="3">
        <f t="shared" si="12"/>
        <v>247.79999999999998</v>
      </c>
      <c r="Y390">
        <f>VLOOKUP(D390,'[1]Cost Sheet'!$C:$D,2,0)</f>
        <v>92.44</v>
      </c>
      <c r="Z390" s="3">
        <f t="shared" si="13"/>
        <v>277.32</v>
      </c>
    </row>
    <row r="391" spans="1:26" x14ac:dyDescent="0.3">
      <c r="A391" s="7" t="s">
        <v>21</v>
      </c>
      <c r="B391" t="s">
        <v>221</v>
      </c>
      <c r="C391" t="s">
        <v>222</v>
      </c>
      <c r="D391" t="s">
        <v>223</v>
      </c>
      <c r="E391" t="s">
        <v>224</v>
      </c>
      <c r="F391" t="s">
        <v>106</v>
      </c>
      <c r="G391">
        <v>22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22</v>
      </c>
      <c r="T391">
        <v>0</v>
      </c>
      <c r="U391" t="s">
        <v>32</v>
      </c>
      <c r="W391" s="2">
        <v>82.6</v>
      </c>
      <c r="X391" s="3">
        <f t="shared" si="12"/>
        <v>1817.1999999999998</v>
      </c>
      <c r="Y391">
        <f>VLOOKUP(D391,'[1]Cost Sheet'!$C:$D,2,0)</f>
        <v>92.44</v>
      </c>
      <c r="Z391" s="3">
        <f t="shared" si="13"/>
        <v>2033.6799999999998</v>
      </c>
    </row>
    <row r="392" spans="1:26" x14ac:dyDescent="0.3">
      <c r="A392" s="7" t="s">
        <v>21</v>
      </c>
      <c r="B392" t="s">
        <v>221</v>
      </c>
      <c r="C392" t="s">
        <v>222</v>
      </c>
      <c r="D392" t="s">
        <v>223</v>
      </c>
      <c r="E392" t="s">
        <v>224</v>
      </c>
      <c r="F392" t="s">
        <v>106</v>
      </c>
      <c r="G392">
        <v>13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13</v>
      </c>
      <c r="T392">
        <v>0</v>
      </c>
      <c r="U392" t="s">
        <v>88</v>
      </c>
      <c r="W392" s="2">
        <v>82.6</v>
      </c>
      <c r="X392" s="3">
        <f t="shared" si="12"/>
        <v>1073.8</v>
      </c>
      <c r="Y392">
        <f>VLOOKUP(D392,'[1]Cost Sheet'!$C:$D,2,0)</f>
        <v>92.44</v>
      </c>
      <c r="Z392" s="3">
        <f t="shared" si="13"/>
        <v>1201.72</v>
      </c>
    </row>
    <row r="393" spans="1:26" x14ac:dyDescent="0.3">
      <c r="A393" s="7" t="s">
        <v>21</v>
      </c>
      <c r="B393" t="s">
        <v>221</v>
      </c>
      <c r="C393" t="s">
        <v>222</v>
      </c>
      <c r="D393" t="s">
        <v>223</v>
      </c>
      <c r="E393" t="s">
        <v>224</v>
      </c>
      <c r="F393" t="s">
        <v>106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</v>
      </c>
      <c r="T393">
        <v>0</v>
      </c>
      <c r="U393" t="s">
        <v>33</v>
      </c>
      <c r="W393" s="2">
        <v>82.6</v>
      </c>
      <c r="X393" s="3">
        <f t="shared" si="12"/>
        <v>165.2</v>
      </c>
      <c r="Y393">
        <f>VLOOKUP(D393,'[1]Cost Sheet'!$C:$D,2,0)</f>
        <v>92.44</v>
      </c>
      <c r="Z393" s="3">
        <f t="shared" si="13"/>
        <v>184.88</v>
      </c>
    </row>
    <row r="394" spans="1:26" x14ac:dyDescent="0.3">
      <c r="A394" s="7" t="s">
        <v>21</v>
      </c>
      <c r="B394" t="s">
        <v>221</v>
      </c>
      <c r="C394" t="s">
        <v>222</v>
      </c>
      <c r="D394" t="s">
        <v>223</v>
      </c>
      <c r="E394" t="s">
        <v>224</v>
      </c>
      <c r="F394" t="s">
        <v>106</v>
      </c>
      <c r="G394">
        <v>31</v>
      </c>
      <c r="H394">
        <v>0</v>
      </c>
      <c r="I394">
        <v>0</v>
      </c>
      <c r="J394">
        <v>0</v>
      </c>
      <c r="K394">
        <v>0</v>
      </c>
      <c r="L394">
        <v>-3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28</v>
      </c>
      <c r="T394">
        <v>0</v>
      </c>
      <c r="U394" t="s">
        <v>46</v>
      </c>
      <c r="W394" s="2">
        <v>82.6</v>
      </c>
      <c r="X394" s="3">
        <f t="shared" si="12"/>
        <v>2312.7999999999997</v>
      </c>
      <c r="Y394">
        <f>VLOOKUP(D394,'[1]Cost Sheet'!$C:$D,2,0)</f>
        <v>92.44</v>
      </c>
      <c r="Z394" s="3">
        <f t="shared" si="13"/>
        <v>2588.3199999999997</v>
      </c>
    </row>
    <row r="395" spans="1:26" x14ac:dyDescent="0.3">
      <c r="A395" s="7" t="s">
        <v>21</v>
      </c>
      <c r="B395" t="s">
        <v>221</v>
      </c>
      <c r="C395" t="s">
        <v>222</v>
      </c>
      <c r="D395" t="s">
        <v>223</v>
      </c>
      <c r="E395" t="s">
        <v>224</v>
      </c>
      <c r="F395" t="s">
        <v>106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 t="s">
        <v>47</v>
      </c>
      <c r="W395" s="2">
        <v>82.6</v>
      </c>
      <c r="X395" s="3">
        <f t="shared" si="12"/>
        <v>82.6</v>
      </c>
      <c r="Y395">
        <f>VLOOKUP(D395,'[1]Cost Sheet'!$C:$D,2,0)</f>
        <v>92.44</v>
      </c>
      <c r="Z395" s="3">
        <f t="shared" si="13"/>
        <v>92.44</v>
      </c>
    </row>
    <row r="396" spans="1:26" x14ac:dyDescent="0.3">
      <c r="A396" s="7" t="s">
        <v>21</v>
      </c>
      <c r="B396" t="s">
        <v>221</v>
      </c>
      <c r="C396" t="s">
        <v>222</v>
      </c>
      <c r="D396" t="s">
        <v>223</v>
      </c>
      <c r="E396" t="s">
        <v>224</v>
      </c>
      <c r="F396" t="s">
        <v>106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3</v>
      </c>
      <c r="T396">
        <v>0</v>
      </c>
      <c r="U396" t="s">
        <v>40</v>
      </c>
      <c r="W396" s="2">
        <v>82.6</v>
      </c>
      <c r="X396" s="3">
        <f t="shared" si="12"/>
        <v>247.79999999999998</v>
      </c>
      <c r="Y396">
        <f>VLOOKUP(D396,'[1]Cost Sheet'!$C:$D,2,0)</f>
        <v>92.44</v>
      </c>
      <c r="Z396" s="3">
        <f t="shared" si="13"/>
        <v>277.32</v>
      </c>
    </row>
    <row r="397" spans="1:26" x14ac:dyDescent="0.3">
      <c r="A397" s="7" t="s">
        <v>21</v>
      </c>
      <c r="B397" t="s">
        <v>221</v>
      </c>
      <c r="C397" t="s">
        <v>222</v>
      </c>
      <c r="D397" t="s">
        <v>223</v>
      </c>
      <c r="E397" t="s">
        <v>224</v>
      </c>
      <c r="F397" t="s">
        <v>106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3</v>
      </c>
      <c r="T397">
        <v>0</v>
      </c>
      <c r="U397" t="s">
        <v>113</v>
      </c>
      <c r="W397" s="2">
        <v>82.6</v>
      </c>
      <c r="X397" s="3">
        <f t="shared" si="12"/>
        <v>247.79999999999998</v>
      </c>
      <c r="Y397">
        <f>VLOOKUP(D397,'[1]Cost Sheet'!$C:$D,2,0)</f>
        <v>92.44</v>
      </c>
      <c r="Z397" s="3">
        <f t="shared" si="13"/>
        <v>277.32</v>
      </c>
    </row>
    <row r="398" spans="1:26" x14ac:dyDescent="0.3">
      <c r="A398" s="7" t="s">
        <v>21</v>
      </c>
      <c r="B398" t="s">
        <v>221</v>
      </c>
      <c r="C398" t="s">
        <v>222</v>
      </c>
      <c r="D398" t="s">
        <v>223</v>
      </c>
      <c r="E398" t="s">
        <v>224</v>
      </c>
      <c r="F398" t="s">
        <v>106</v>
      </c>
      <c r="G398">
        <v>25</v>
      </c>
      <c r="H398">
        <v>0</v>
      </c>
      <c r="I398">
        <v>0</v>
      </c>
      <c r="J398">
        <v>0</v>
      </c>
      <c r="K398">
        <v>0</v>
      </c>
      <c r="L398">
        <v>-3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22</v>
      </c>
      <c r="T398">
        <v>0</v>
      </c>
      <c r="U398" t="s">
        <v>48</v>
      </c>
      <c r="W398" s="2">
        <v>82.6</v>
      </c>
      <c r="X398" s="3">
        <f t="shared" si="12"/>
        <v>1817.1999999999998</v>
      </c>
      <c r="Y398">
        <f>VLOOKUP(D398,'[1]Cost Sheet'!$C:$D,2,0)</f>
        <v>92.44</v>
      </c>
      <c r="Z398" s="3">
        <f t="shared" si="13"/>
        <v>2033.6799999999998</v>
      </c>
    </row>
    <row r="399" spans="1:26" x14ac:dyDescent="0.3">
      <c r="A399" s="7" t="s">
        <v>21</v>
      </c>
      <c r="B399" t="s">
        <v>221</v>
      </c>
      <c r="C399" t="s">
        <v>222</v>
      </c>
      <c r="D399" t="s">
        <v>223</v>
      </c>
      <c r="E399" t="s">
        <v>224</v>
      </c>
      <c r="F399" t="s">
        <v>106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-1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</v>
      </c>
      <c r="T399">
        <v>0</v>
      </c>
      <c r="U399" t="s">
        <v>27</v>
      </c>
      <c r="W399" s="2">
        <v>82.6</v>
      </c>
      <c r="X399" s="3">
        <f t="shared" si="12"/>
        <v>247.79999999999998</v>
      </c>
      <c r="Y399">
        <f>VLOOKUP(D399,'[1]Cost Sheet'!$C:$D,2,0)</f>
        <v>92.44</v>
      </c>
      <c r="Z399" s="3">
        <f t="shared" si="13"/>
        <v>277.32</v>
      </c>
    </row>
    <row r="400" spans="1:26" x14ac:dyDescent="0.3">
      <c r="A400" s="7" t="s">
        <v>21</v>
      </c>
      <c r="B400" t="s">
        <v>221</v>
      </c>
      <c r="C400" t="s">
        <v>222</v>
      </c>
      <c r="D400" t="s">
        <v>223</v>
      </c>
      <c r="E400" t="s">
        <v>224</v>
      </c>
      <c r="F400" t="s">
        <v>93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-1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39</v>
      </c>
      <c r="W400" s="2">
        <v>82.6</v>
      </c>
      <c r="X400" s="3">
        <f t="shared" si="12"/>
        <v>0</v>
      </c>
      <c r="Y400">
        <f>VLOOKUP(D400,'[1]Cost Sheet'!$C:$D,2,0)</f>
        <v>92.44</v>
      </c>
      <c r="Z400" s="3">
        <f t="shared" si="13"/>
        <v>0</v>
      </c>
    </row>
    <row r="401" spans="1:26" x14ac:dyDescent="0.3">
      <c r="A401" s="7" t="s">
        <v>21</v>
      </c>
      <c r="B401" t="s">
        <v>221</v>
      </c>
      <c r="C401" t="s">
        <v>222</v>
      </c>
      <c r="D401" t="s">
        <v>223</v>
      </c>
      <c r="E401" t="s">
        <v>224</v>
      </c>
      <c r="F401" t="s">
        <v>93</v>
      </c>
      <c r="G401">
        <v>24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24</v>
      </c>
      <c r="T401">
        <v>0</v>
      </c>
      <c r="U401" t="s">
        <v>32</v>
      </c>
      <c r="W401" s="2">
        <v>82.6</v>
      </c>
      <c r="X401" s="3">
        <f t="shared" si="12"/>
        <v>1982.3999999999999</v>
      </c>
      <c r="Y401">
        <f>VLOOKUP(D401,'[1]Cost Sheet'!$C:$D,2,0)</f>
        <v>92.44</v>
      </c>
      <c r="Z401" s="3">
        <f t="shared" si="13"/>
        <v>2218.56</v>
      </c>
    </row>
    <row r="402" spans="1:26" x14ac:dyDescent="0.3">
      <c r="A402" s="7" t="s">
        <v>21</v>
      </c>
      <c r="B402" t="s">
        <v>221</v>
      </c>
      <c r="C402" t="s">
        <v>222</v>
      </c>
      <c r="D402" t="s">
        <v>223</v>
      </c>
      <c r="E402" t="s">
        <v>224</v>
      </c>
      <c r="F402" t="s">
        <v>26</v>
      </c>
      <c r="G402">
        <v>115</v>
      </c>
      <c r="H402">
        <v>0</v>
      </c>
      <c r="I402">
        <v>0</v>
      </c>
      <c r="J402">
        <v>-39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76</v>
      </c>
      <c r="T402">
        <v>0</v>
      </c>
      <c r="U402" t="s">
        <v>38</v>
      </c>
      <c r="W402" s="2">
        <v>82.6</v>
      </c>
      <c r="X402" s="3">
        <f t="shared" si="12"/>
        <v>6277.5999999999995</v>
      </c>
      <c r="Y402">
        <f>VLOOKUP(D402,'[1]Cost Sheet'!$C:$D,2,0)</f>
        <v>92.44</v>
      </c>
      <c r="Z402" s="3">
        <f t="shared" si="13"/>
        <v>7025.44</v>
      </c>
    </row>
    <row r="403" spans="1:26" x14ac:dyDescent="0.3">
      <c r="A403" s="7" t="s">
        <v>21</v>
      </c>
      <c r="B403" t="s">
        <v>221</v>
      </c>
      <c r="C403" t="s">
        <v>222</v>
      </c>
      <c r="D403" t="s">
        <v>223</v>
      </c>
      <c r="E403" t="s">
        <v>224</v>
      </c>
      <c r="F403" t="s">
        <v>26</v>
      </c>
      <c r="G403">
        <v>13</v>
      </c>
      <c r="H403">
        <v>0</v>
      </c>
      <c r="I403">
        <v>0</v>
      </c>
      <c r="J403">
        <v>-5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8</v>
      </c>
      <c r="T403">
        <v>0</v>
      </c>
      <c r="U403" t="s">
        <v>107</v>
      </c>
      <c r="W403" s="2">
        <v>82.6</v>
      </c>
      <c r="X403" s="3">
        <f t="shared" si="12"/>
        <v>660.8</v>
      </c>
      <c r="Y403">
        <f>VLOOKUP(D403,'[1]Cost Sheet'!$C:$D,2,0)</f>
        <v>92.44</v>
      </c>
      <c r="Z403" s="3">
        <f t="shared" si="13"/>
        <v>739.52</v>
      </c>
    </row>
    <row r="404" spans="1:26" x14ac:dyDescent="0.3">
      <c r="A404" s="7" t="s">
        <v>21</v>
      </c>
      <c r="B404" t="s">
        <v>221</v>
      </c>
      <c r="C404" t="s">
        <v>222</v>
      </c>
      <c r="D404" t="s">
        <v>223</v>
      </c>
      <c r="E404" t="s">
        <v>224</v>
      </c>
      <c r="F404" t="s">
        <v>26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-1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151</v>
      </c>
      <c r="W404" s="2">
        <v>82.6</v>
      </c>
      <c r="X404" s="3">
        <f t="shared" si="12"/>
        <v>0</v>
      </c>
      <c r="Y404">
        <f>VLOOKUP(D404,'[1]Cost Sheet'!$C:$D,2,0)</f>
        <v>92.44</v>
      </c>
      <c r="Z404" s="3">
        <f t="shared" si="13"/>
        <v>0</v>
      </c>
    </row>
    <row r="405" spans="1:26" x14ac:dyDescent="0.3">
      <c r="A405" s="7" t="s">
        <v>21</v>
      </c>
      <c r="B405" t="s">
        <v>221</v>
      </c>
      <c r="C405" t="s">
        <v>222</v>
      </c>
      <c r="D405" t="s">
        <v>223</v>
      </c>
      <c r="E405" t="s">
        <v>224</v>
      </c>
      <c r="F405" t="s">
        <v>26</v>
      </c>
      <c r="G405">
        <v>6</v>
      </c>
      <c r="H405">
        <v>0</v>
      </c>
      <c r="I405">
        <v>-1</v>
      </c>
      <c r="J405">
        <v>-5</v>
      </c>
      <c r="K405">
        <v>1</v>
      </c>
      <c r="L405">
        <v>0</v>
      </c>
      <c r="M405">
        <v>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9</v>
      </c>
      <c r="T405">
        <v>0</v>
      </c>
      <c r="U405" t="s">
        <v>45</v>
      </c>
      <c r="W405" s="2">
        <v>82.6</v>
      </c>
      <c r="X405" s="3">
        <f t="shared" si="12"/>
        <v>743.4</v>
      </c>
      <c r="Y405">
        <f>VLOOKUP(D405,'[1]Cost Sheet'!$C:$D,2,0)</f>
        <v>92.44</v>
      </c>
      <c r="Z405" s="3">
        <f t="shared" si="13"/>
        <v>831.96</v>
      </c>
    </row>
    <row r="406" spans="1:26" x14ac:dyDescent="0.3">
      <c r="A406" s="7" t="s">
        <v>21</v>
      </c>
      <c r="B406" t="s">
        <v>221</v>
      </c>
      <c r="C406" t="s">
        <v>222</v>
      </c>
      <c r="D406" t="s">
        <v>223</v>
      </c>
      <c r="E406" t="s">
        <v>224</v>
      </c>
      <c r="F406" t="s">
        <v>26</v>
      </c>
      <c r="G406">
        <v>1</v>
      </c>
      <c r="H406">
        <v>5</v>
      </c>
      <c r="I406">
        <v>0</v>
      </c>
      <c r="J406">
        <v>0</v>
      </c>
      <c r="K406">
        <v>6</v>
      </c>
      <c r="L406">
        <v>0</v>
      </c>
      <c r="M406">
        <v>-6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 t="s">
        <v>108</v>
      </c>
      <c r="W406" s="2">
        <v>82.6</v>
      </c>
      <c r="X406" s="3">
        <f t="shared" si="12"/>
        <v>82.6</v>
      </c>
      <c r="Y406">
        <f>VLOOKUP(D406,'[1]Cost Sheet'!$C:$D,2,0)</f>
        <v>92.44</v>
      </c>
      <c r="Z406" s="3">
        <f t="shared" si="13"/>
        <v>92.44</v>
      </c>
    </row>
    <row r="407" spans="1:26" x14ac:dyDescent="0.3">
      <c r="A407" s="7" t="s">
        <v>21</v>
      </c>
      <c r="B407" t="s">
        <v>221</v>
      </c>
      <c r="C407" t="s">
        <v>222</v>
      </c>
      <c r="D407" t="s">
        <v>223</v>
      </c>
      <c r="E407" t="s">
        <v>224</v>
      </c>
      <c r="F407" t="s">
        <v>26</v>
      </c>
      <c r="G407">
        <v>1008</v>
      </c>
      <c r="H407">
        <v>0</v>
      </c>
      <c r="I407">
        <v>0</v>
      </c>
      <c r="J407">
        <v>-69</v>
      </c>
      <c r="K407">
        <v>1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-1</v>
      </c>
      <c r="S407">
        <v>941</v>
      </c>
      <c r="T407">
        <v>0</v>
      </c>
      <c r="U407" t="s">
        <v>39</v>
      </c>
      <c r="W407" s="2">
        <v>82.6</v>
      </c>
      <c r="X407" s="3">
        <f t="shared" si="12"/>
        <v>77726.599999999991</v>
      </c>
      <c r="Y407">
        <f>VLOOKUP(D407,'[1]Cost Sheet'!$C:$D,2,0)</f>
        <v>92.44</v>
      </c>
      <c r="Z407" s="3">
        <f t="shared" si="13"/>
        <v>86986.04</v>
      </c>
    </row>
    <row r="408" spans="1:26" x14ac:dyDescent="0.3">
      <c r="A408" s="7" t="s">
        <v>21</v>
      </c>
      <c r="B408" t="s">
        <v>221</v>
      </c>
      <c r="C408" t="s">
        <v>222</v>
      </c>
      <c r="D408" t="s">
        <v>223</v>
      </c>
      <c r="E408" t="s">
        <v>224</v>
      </c>
      <c r="F408" t="s">
        <v>26</v>
      </c>
      <c r="G408">
        <v>8</v>
      </c>
      <c r="H408">
        <v>0</v>
      </c>
      <c r="I408">
        <v>0</v>
      </c>
      <c r="J408">
        <v>-6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0</v>
      </c>
      <c r="U408" t="s">
        <v>53</v>
      </c>
      <c r="W408" s="2">
        <v>82.6</v>
      </c>
      <c r="X408" s="3">
        <f t="shared" si="12"/>
        <v>247.79999999999998</v>
      </c>
      <c r="Y408">
        <f>VLOOKUP(D408,'[1]Cost Sheet'!$C:$D,2,0)</f>
        <v>92.44</v>
      </c>
      <c r="Z408" s="3">
        <f t="shared" si="13"/>
        <v>277.32</v>
      </c>
    </row>
    <row r="409" spans="1:26" x14ac:dyDescent="0.3">
      <c r="A409" s="7" t="s">
        <v>21</v>
      </c>
      <c r="B409" t="s">
        <v>221</v>
      </c>
      <c r="C409" t="s">
        <v>222</v>
      </c>
      <c r="D409" t="s">
        <v>223</v>
      </c>
      <c r="E409" t="s">
        <v>224</v>
      </c>
      <c r="F409" t="s">
        <v>26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</v>
      </c>
      <c r="T409">
        <v>0</v>
      </c>
      <c r="U409" t="s">
        <v>54</v>
      </c>
      <c r="W409" s="2">
        <v>82.6</v>
      </c>
      <c r="X409" s="3">
        <f t="shared" si="12"/>
        <v>247.79999999999998</v>
      </c>
      <c r="Y409">
        <f>VLOOKUP(D409,'[1]Cost Sheet'!$C:$D,2,0)</f>
        <v>92.44</v>
      </c>
      <c r="Z409" s="3">
        <f t="shared" si="13"/>
        <v>277.32</v>
      </c>
    </row>
    <row r="410" spans="1:26" x14ac:dyDescent="0.3">
      <c r="A410" s="7" t="s">
        <v>21</v>
      </c>
      <c r="B410" t="s">
        <v>221</v>
      </c>
      <c r="C410" t="s">
        <v>222</v>
      </c>
      <c r="D410" t="s">
        <v>223</v>
      </c>
      <c r="E410" t="s">
        <v>224</v>
      </c>
      <c r="F410" t="s">
        <v>26</v>
      </c>
      <c r="G410">
        <v>670</v>
      </c>
      <c r="H410">
        <v>0</v>
      </c>
      <c r="I410">
        <v>0</v>
      </c>
      <c r="J410">
        <v>-4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666</v>
      </c>
      <c r="T410">
        <v>0</v>
      </c>
      <c r="U410" t="s">
        <v>32</v>
      </c>
      <c r="W410" s="2">
        <v>82.6</v>
      </c>
      <c r="X410" s="3">
        <f t="shared" si="12"/>
        <v>55011.6</v>
      </c>
      <c r="Y410">
        <f>VLOOKUP(D410,'[1]Cost Sheet'!$C:$D,2,0)</f>
        <v>92.44</v>
      </c>
      <c r="Z410" s="3">
        <f t="shared" si="13"/>
        <v>61565.04</v>
      </c>
    </row>
    <row r="411" spans="1:26" x14ac:dyDescent="0.3">
      <c r="A411" s="7" t="s">
        <v>21</v>
      </c>
      <c r="B411" t="s">
        <v>221</v>
      </c>
      <c r="C411" t="s">
        <v>222</v>
      </c>
      <c r="D411" t="s">
        <v>223</v>
      </c>
      <c r="E411" t="s">
        <v>224</v>
      </c>
      <c r="F411" t="s">
        <v>26</v>
      </c>
      <c r="G411">
        <v>2</v>
      </c>
      <c r="H411">
        <v>2</v>
      </c>
      <c r="I411">
        <v>0</v>
      </c>
      <c r="J411">
        <v>0</v>
      </c>
      <c r="K411">
        <v>10</v>
      </c>
      <c r="L411">
        <v>0</v>
      </c>
      <c r="M411">
        <v>-2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10</v>
      </c>
      <c r="T411">
        <v>0</v>
      </c>
      <c r="U411" t="s">
        <v>88</v>
      </c>
      <c r="W411" s="2">
        <v>82.6</v>
      </c>
      <c r="X411" s="3">
        <f t="shared" si="12"/>
        <v>826</v>
      </c>
      <c r="Y411">
        <f>VLOOKUP(D411,'[1]Cost Sheet'!$C:$D,2,0)</f>
        <v>92.44</v>
      </c>
      <c r="Z411" s="3">
        <f t="shared" si="13"/>
        <v>924.4</v>
      </c>
    </row>
    <row r="412" spans="1:26" x14ac:dyDescent="0.3">
      <c r="A412" s="7" t="s">
        <v>21</v>
      </c>
      <c r="B412" t="s">
        <v>221</v>
      </c>
      <c r="C412" t="s">
        <v>222</v>
      </c>
      <c r="D412" t="s">
        <v>223</v>
      </c>
      <c r="E412" t="s">
        <v>224</v>
      </c>
      <c r="F412" t="s">
        <v>26</v>
      </c>
      <c r="G412">
        <v>2</v>
      </c>
      <c r="H412">
        <v>0</v>
      </c>
      <c r="I412">
        <v>0</v>
      </c>
      <c r="J412">
        <v>-2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 t="s">
        <v>33</v>
      </c>
      <c r="W412" s="2">
        <v>82.6</v>
      </c>
      <c r="X412" s="3">
        <f t="shared" si="12"/>
        <v>82.6</v>
      </c>
      <c r="Y412">
        <f>VLOOKUP(D412,'[1]Cost Sheet'!$C:$D,2,0)</f>
        <v>92.44</v>
      </c>
      <c r="Z412" s="3">
        <f t="shared" si="13"/>
        <v>92.44</v>
      </c>
    </row>
    <row r="413" spans="1:26" x14ac:dyDescent="0.3">
      <c r="A413" s="7" t="s">
        <v>21</v>
      </c>
      <c r="B413" t="s">
        <v>221</v>
      </c>
      <c r="C413" t="s">
        <v>222</v>
      </c>
      <c r="D413" t="s">
        <v>223</v>
      </c>
      <c r="E413" t="s">
        <v>224</v>
      </c>
      <c r="F413" t="s">
        <v>26</v>
      </c>
      <c r="G413">
        <v>8</v>
      </c>
      <c r="H413">
        <v>0</v>
      </c>
      <c r="I413">
        <v>0</v>
      </c>
      <c r="J413">
        <v>-4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6</v>
      </c>
      <c r="T413">
        <v>0</v>
      </c>
      <c r="U413" t="s">
        <v>46</v>
      </c>
      <c r="W413" s="2">
        <v>82.6</v>
      </c>
      <c r="X413" s="3">
        <f t="shared" si="12"/>
        <v>495.59999999999997</v>
      </c>
      <c r="Y413">
        <f>VLOOKUP(D413,'[1]Cost Sheet'!$C:$D,2,0)</f>
        <v>92.44</v>
      </c>
      <c r="Z413" s="3">
        <f t="shared" si="13"/>
        <v>554.64</v>
      </c>
    </row>
    <row r="414" spans="1:26" x14ac:dyDescent="0.3">
      <c r="A414" s="7" t="s">
        <v>21</v>
      </c>
      <c r="B414" t="s">
        <v>221</v>
      </c>
      <c r="C414" t="s">
        <v>222</v>
      </c>
      <c r="D414" t="s">
        <v>223</v>
      </c>
      <c r="E414" t="s">
        <v>224</v>
      </c>
      <c r="F414" t="s">
        <v>26</v>
      </c>
      <c r="G414">
        <v>4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5</v>
      </c>
      <c r="T414">
        <v>0</v>
      </c>
      <c r="U414" t="s">
        <v>47</v>
      </c>
      <c r="W414" s="2">
        <v>82.6</v>
      </c>
      <c r="X414" s="3">
        <f t="shared" si="12"/>
        <v>413</v>
      </c>
      <c r="Y414">
        <f>VLOOKUP(D414,'[1]Cost Sheet'!$C:$D,2,0)</f>
        <v>92.44</v>
      </c>
      <c r="Z414" s="3">
        <f t="shared" si="13"/>
        <v>462.2</v>
      </c>
    </row>
    <row r="415" spans="1:26" x14ac:dyDescent="0.3">
      <c r="A415" s="7" t="s">
        <v>21</v>
      </c>
      <c r="B415" t="s">
        <v>221</v>
      </c>
      <c r="C415" t="s">
        <v>222</v>
      </c>
      <c r="D415" t="s">
        <v>223</v>
      </c>
      <c r="E415" t="s">
        <v>224</v>
      </c>
      <c r="F415" t="s">
        <v>26</v>
      </c>
      <c r="G415">
        <v>1381</v>
      </c>
      <c r="H415">
        <v>10</v>
      </c>
      <c r="I415">
        <v>0</v>
      </c>
      <c r="J415">
        <v>-67</v>
      </c>
      <c r="K415">
        <v>1</v>
      </c>
      <c r="L415">
        <v>0</v>
      </c>
      <c r="M415">
        <v>-10</v>
      </c>
      <c r="N415">
        <v>0</v>
      </c>
      <c r="O415">
        <v>0</v>
      </c>
      <c r="P415">
        <v>0</v>
      </c>
      <c r="Q415">
        <v>0</v>
      </c>
      <c r="R415">
        <v>-1</v>
      </c>
      <c r="S415">
        <v>1304</v>
      </c>
      <c r="T415">
        <v>0</v>
      </c>
      <c r="U415" t="s">
        <v>40</v>
      </c>
      <c r="W415" s="2">
        <v>82.6</v>
      </c>
      <c r="X415" s="3">
        <f t="shared" si="12"/>
        <v>107710.39999999999</v>
      </c>
      <c r="Y415">
        <f>VLOOKUP(D415,'[1]Cost Sheet'!$C:$D,2,0)</f>
        <v>92.44</v>
      </c>
      <c r="Z415" s="3">
        <f t="shared" si="13"/>
        <v>120541.75999999999</v>
      </c>
    </row>
    <row r="416" spans="1:26" x14ac:dyDescent="0.3">
      <c r="A416" s="7" t="s">
        <v>21</v>
      </c>
      <c r="B416" t="s">
        <v>221</v>
      </c>
      <c r="C416" t="s">
        <v>222</v>
      </c>
      <c r="D416" t="s">
        <v>223</v>
      </c>
      <c r="E416" t="s">
        <v>224</v>
      </c>
      <c r="F416" t="s">
        <v>26</v>
      </c>
      <c r="G416">
        <v>16</v>
      </c>
      <c r="H416">
        <v>0</v>
      </c>
      <c r="I416">
        <v>0</v>
      </c>
      <c r="J416">
        <v>-10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6</v>
      </c>
      <c r="T416">
        <v>0</v>
      </c>
      <c r="U416" t="s">
        <v>113</v>
      </c>
      <c r="W416" s="2">
        <v>82.6</v>
      </c>
      <c r="X416" s="3">
        <f t="shared" si="12"/>
        <v>495.59999999999997</v>
      </c>
      <c r="Y416">
        <f>VLOOKUP(D416,'[1]Cost Sheet'!$C:$D,2,0)</f>
        <v>92.44</v>
      </c>
      <c r="Z416" s="3">
        <f t="shared" si="13"/>
        <v>554.64</v>
      </c>
    </row>
    <row r="417" spans="1:26" x14ac:dyDescent="0.3">
      <c r="A417" s="7" t="s">
        <v>21</v>
      </c>
      <c r="B417" t="s">
        <v>221</v>
      </c>
      <c r="C417" t="s">
        <v>222</v>
      </c>
      <c r="D417" t="s">
        <v>223</v>
      </c>
      <c r="E417" t="s">
        <v>224</v>
      </c>
      <c r="F417" t="s">
        <v>26</v>
      </c>
      <c r="G417">
        <v>7</v>
      </c>
      <c r="H417">
        <v>0</v>
      </c>
      <c r="I417">
        <v>0</v>
      </c>
      <c r="J417">
        <v>-1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7</v>
      </c>
      <c r="T417">
        <v>0</v>
      </c>
      <c r="U417" t="s">
        <v>48</v>
      </c>
      <c r="W417" s="2">
        <v>82.6</v>
      </c>
      <c r="X417" s="3">
        <f t="shared" si="12"/>
        <v>578.19999999999993</v>
      </c>
      <c r="Y417">
        <f>VLOOKUP(D417,'[1]Cost Sheet'!$C:$D,2,0)</f>
        <v>92.44</v>
      </c>
      <c r="Z417" s="3">
        <f t="shared" si="13"/>
        <v>647.07999999999993</v>
      </c>
    </row>
    <row r="418" spans="1:26" x14ac:dyDescent="0.3">
      <c r="A418" s="7" t="s">
        <v>21</v>
      </c>
      <c r="B418" t="s">
        <v>221</v>
      </c>
      <c r="C418" t="s">
        <v>222</v>
      </c>
      <c r="D418" t="s">
        <v>223</v>
      </c>
      <c r="E418" t="s">
        <v>224</v>
      </c>
      <c r="F418" t="s">
        <v>26</v>
      </c>
      <c r="G418">
        <v>1031</v>
      </c>
      <c r="H418">
        <v>6</v>
      </c>
      <c r="I418">
        <v>0</v>
      </c>
      <c r="J418">
        <v>-9</v>
      </c>
      <c r="K418">
        <v>0</v>
      </c>
      <c r="L418">
        <v>0</v>
      </c>
      <c r="M418">
        <v>-6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1016</v>
      </c>
      <c r="T418">
        <v>0</v>
      </c>
      <c r="U418" t="s">
        <v>59</v>
      </c>
      <c r="W418" s="2">
        <v>82.6</v>
      </c>
      <c r="X418" s="3">
        <f t="shared" si="12"/>
        <v>83921.599999999991</v>
      </c>
      <c r="Y418">
        <f>VLOOKUP(D418,'[1]Cost Sheet'!$C:$D,2,0)</f>
        <v>92.44</v>
      </c>
      <c r="Z418" s="3">
        <f t="shared" si="13"/>
        <v>93919.039999999994</v>
      </c>
    </row>
    <row r="419" spans="1:26" x14ac:dyDescent="0.3">
      <c r="A419" s="7" t="s">
        <v>21</v>
      </c>
      <c r="B419" t="s">
        <v>221</v>
      </c>
      <c r="C419" t="s">
        <v>222</v>
      </c>
      <c r="D419" t="s">
        <v>223</v>
      </c>
      <c r="E419" t="s">
        <v>224</v>
      </c>
      <c r="F419" t="s">
        <v>26</v>
      </c>
      <c r="G419">
        <v>54</v>
      </c>
      <c r="H419">
        <v>0</v>
      </c>
      <c r="I419">
        <v>0</v>
      </c>
      <c r="J419">
        <v>-16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38</v>
      </c>
      <c r="T419">
        <v>0</v>
      </c>
      <c r="U419" t="s">
        <v>27</v>
      </c>
      <c r="W419" s="2">
        <v>82.6</v>
      </c>
      <c r="X419" s="3">
        <f t="shared" si="12"/>
        <v>3138.7999999999997</v>
      </c>
      <c r="Y419">
        <f>VLOOKUP(D419,'[1]Cost Sheet'!$C:$D,2,0)</f>
        <v>92.44</v>
      </c>
      <c r="Z419" s="3">
        <f t="shared" si="13"/>
        <v>3512.72</v>
      </c>
    </row>
    <row r="420" spans="1:26" x14ac:dyDescent="0.3">
      <c r="A420" s="7" t="s">
        <v>21</v>
      </c>
      <c r="B420" t="s">
        <v>221</v>
      </c>
      <c r="C420" t="s">
        <v>222</v>
      </c>
      <c r="D420" t="s">
        <v>223</v>
      </c>
      <c r="E420" t="s">
        <v>224</v>
      </c>
      <c r="F420" t="s">
        <v>26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 t="s">
        <v>225</v>
      </c>
      <c r="W420" s="2">
        <v>82.6</v>
      </c>
      <c r="X420" s="3">
        <f t="shared" si="12"/>
        <v>82.6</v>
      </c>
      <c r="Y420">
        <f>VLOOKUP(D420,'[1]Cost Sheet'!$C:$D,2,0)</f>
        <v>92.44</v>
      </c>
      <c r="Z420" s="3">
        <f t="shared" si="13"/>
        <v>92.44</v>
      </c>
    </row>
    <row r="421" spans="1:26" x14ac:dyDescent="0.3">
      <c r="A421" s="7" t="s">
        <v>21</v>
      </c>
      <c r="B421" t="s">
        <v>221</v>
      </c>
      <c r="C421" t="s">
        <v>222</v>
      </c>
      <c r="D421" t="s">
        <v>223</v>
      </c>
      <c r="E421" t="s">
        <v>224</v>
      </c>
      <c r="F421" t="s">
        <v>114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 t="s">
        <v>38</v>
      </c>
      <c r="W421" s="2">
        <v>82.6</v>
      </c>
      <c r="X421" s="3">
        <f t="shared" si="12"/>
        <v>82.6</v>
      </c>
      <c r="Y421">
        <f>VLOOKUP(D421,'[1]Cost Sheet'!$C:$D,2,0)</f>
        <v>92.44</v>
      </c>
      <c r="Z421" s="3">
        <f t="shared" si="13"/>
        <v>92.44</v>
      </c>
    </row>
    <row r="422" spans="1:26" x14ac:dyDescent="0.3">
      <c r="A422" s="7" t="s">
        <v>21</v>
      </c>
      <c r="B422" t="s">
        <v>221</v>
      </c>
      <c r="C422" t="s">
        <v>222</v>
      </c>
      <c r="D422" t="s">
        <v>223</v>
      </c>
      <c r="E422" t="s">
        <v>224</v>
      </c>
      <c r="F422" t="s">
        <v>114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 t="s">
        <v>32</v>
      </c>
      <c r="W422" s="2">
        <v>82.6</v>
      </c>
      <c r="X422" s="3">
        <f t="shared" si="12"/>
        <v>165.2</v>
      </c>
      <c r="Y422">
        <f>VLOOKUP(D422,'[1]Cost Sheet'!$C:$D,2,0)</f>
        <v>92.44</v>
      </c>
      <c r="Z422" s="3">
        <f t="shared" si="13"/>
        <v>184.88</v>
      </c>
    </row>
    <row r="423" spans="1:26" x14ac:dyDescent="0.3">
      <c r="A423" s="7" t="s">
        <v>21</v>
      </c>
      <c r="B423" t="s">
        <v>221</v>
      </c>
      <c r="C423" t="s">
        <v>222</v>
      </c>
      <c r="D423" t="s">
        <v>223</v>
      </c>
      <c r="E423" t="s">
        <v>224</v>
      </c>
      <c r="F423" t="s">
        <v>114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 t="s">
        <v>88</v>
      </c>
      <c r="W423" s="2">
        <v>82.6</v>
      </c>
      <c r="X423" s="3">
        <f t="shared" si="12"/>
        <v>82.6</v>
      </c>
      <c r="Y423">
        <f>VLOOKUP(D423,'[1]Cost Sheet'!$C:$D,2,0)</f>
        <v>92.44</v>
      </c>
      <c r="Z423" s="3">
        <f t="shared" si="13"/>
        <v>92.44</v>
      </c>
    </row>
    <row r="424" spans="1:26" x14ac:dyDescent="0.3">
      <c r="A424" s="7" t="s">
        <v>21</v>
      </c>
      <c r="B424" t="s">
        <v>221</v>
      </c>
      <c r="C424" t="s">
        <v>222</v>
      </c>
      <c r="D424" t="s">
        <v>223</v>
      </c>
      <c r="E424" t="s">
        <v>224</v>
      </c>
      <c r="F424" t="s">
        <v>114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 t="s">
        <v>120</v>
      </c>
      <c r="W424" s="2">
        <v>82.6</v>
      </c>
      <c r="X424" s="3">
        <f t="shared" si="12"/>
        <v>82.6</v>
      </c>
      <c r="Y424">
        <f>VLOOKUP(D424,'[1]Cost Sheet'!$C:$D,2,0)</f>
        <v>92.44</v>
      </c>
      <c r="Z424" s="3">
        <f t="shared" si="13"/>
        <v>92.44</v>
      </c>
    </row>
    <row r="425" spans="1:26" x14ac:dyDescent="0.3">
      <c r="A425" s="7" t="s">
        <v>21</v>
      </c>
      <c r="B425" t="s">
        <v>226</v>
      </c>
      <c r="C425" t="s">
        <v>227</v>
      </c>
      <c r="D425" t="s">
        <v>228</v>
      </c>
      <c r="E425" t="s">
        <v>229</v>
      </c>
      <c r="F425" t="s">
        <v>106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0</v>
      </c>
      <c r="U425" t="s">
        <v>38</v>
      </c>
      <c r="W425" s="2">
        <v>85.41</v>
      </c>
      <c r="X425" s="3">
        <f t="shared" si="12"/>
        <v>170.82</v>
      </c>
      <c r="Y425">
        <f>VLOOKUP(D425,'[1]Cost Sheet'!$C:$D,2,0)</f>
        <v>85.41</v>
      </c>
      <c r="Z425" s="3">
        <f t="shared" si="13"/>
        <v>170.82</v>
      </c>
    </row>
    <row r="426" spans="1:26" x14ac:dyDescent="0.3">
      <c r="A426" s="7" t="s">
        <v>21</v>
      </c>
      <c r="B426" t="s">
        <v>226</v>
      </c>
      <c r="C426" t="s">
        <v>227</v>
      </c>
      <c r="D426" t="s">
        <v>228</v>
      </c>
      <c r="E426" t="s">
        <v>229</v>
      </c>
      <c r="F426" t="s">
        <v>106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 t="s">
        <v>45</v>
      </c>
      <c r="W426" s="2">
        <v>85.41</v>
      </c>
      <c r="X426" s="3">
        <f t="shared" si="12"/>
        <v>85.41</v>
      </c>
      <c r="Y426">
        <f>VLOOKUP(D426,'[1]Cost Sheet'!$C:$D,2,0)</f>
        <v>85.41</v>
      </c>
      <c r="Z426" s="3">
        <f t="shared" si="13"/>
        <v>85.41</v>
      </c>
    </row>
    <row r="427" spans="1:26" x14ac:dyDescent="0.3">
      <c r="A427" s="7" t="s">
        <v>21</v>
      </c>
      <c r="B427" t="s">
        <v>226</v>
      </c>
      <c r="C427" t="s">
        <v>227</v>
      </c>
      <c r="D427" t="s">
        <v>228</v>
      </c>
      <c r="E427" t="s">
        <v>229</v>
      </c>
      <c r="F427" t="s">
        <v>106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-1</v>
      </c>
      <c r="P427">
        <v>0</v>
      </c>
      <c r="Q427">
        <v>0</v>
      </c>
      <c r="R427">
        <v>1</v>
      </c>
      <c r="S427">
        <v>0</v>
      </c>
      <c r="T427">
        <v>0</v>
      </c>
      <c r="U427" t="s">
        <v>39</v>
      </c>
      <c r="W427" s="2">
        <v>85.41</v>
      </c>
      <c r="X427" s="3">
        <f t="shared" si="12"/>
        <v>0</v>
      </c>
      <c r="Y427">
        <f>VLOOKUP(D427,'[1]Cost Sheet'!$C:$D,2,0)</f>
        <v>85.41</v>
      </c>
      <c r="Z427" s="3">
        <f t="shared" si="13"/>
        <v>0</v>
      </c>
    </row>
    <row r="428" spans="1:26" x14ac:dyDescent="0.3">
      <c r="A428" s="7" t="s">
        <v>21</v>
      </c>
      <c r="B428" t="s">
        <v>226</v>
      </c>
      <c r="C428" t="s">
        <v>227</v>
      </c>
      <c r="D428" t="s">
        <v>228</v>
      </c>
      <c r="E428" t="s">
        <v>229</v>
      </c>
      <c r="F428" t="s">
        <v>106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6</v>
      </c>
      <c r="T428">
        <v>0</v>
      </c>
      <c r="U428" t="s">
        <v>53</v>
      </c>
      <c r="W428" s="2">
        <v>85.41</v>
      </c>
      <c r="X428" s="3">
        <f t="shared" si="12"/>
        <v>512.46</v>
      </c>
      <c r="Y428">
        <f>VLOOKUP(D428,'[1]Cost Sheet'!$C:$D,2,0)</f>
        <v>85.41</v>
      </c>
      <c r="Z428" s="3">
        <f t="shared" si="13"/>
        <v>512.46</v>
      </c>
    </row>
    <row r="429" spans="1:26" x14ac:dyDescent="0.3">
      <c r="A429" s="7" t="s">
        <v>21</v>
      </c>
      <c r="B429" t="s">
        <v>226</v>
      </c>
      <c r="C429" t="s">
        <v>227</v>
      </c>
      <c r="D429" t="s">
        <v>228</v>
      </c>
      <c r="E429" t="s">
        <v>229</v>
      </c>
      <c r="F429" t="s">
        <v>106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</v>
      </c>
      <c r="T429">
        <v>0</v>
      </c>
      <c r="U429" t="s">
        <v>54</v>
      </c>
      <c r="W429" s="2">
        <v>85.41</v>
      </c>
      <c r="X429" s="3">
        <f t="shared" si="12"/>
        <v>256.23</v>
      </c>
      <c r="Y429">
        <f>VLOOKUP(D429,'[1]Cost Sheet'!$C:$D,2,0)</f>
        <v>85.41</v>
      </c>
      <c r="Z429" s="3">
        <f t="shared" si="13"/>
        <v>256.23</v>
      </c>
    </row>
    <row r="430" spans="1:26" x14ac:dyDescent="0.3">
      <c r="A430" s="7" t="s">
        <v>21</v>
      </c>
      <c r="B430" t="s">
        <v>226</v>
      </c>
      <c r="C430" t="s">
        <v>227</v>
      </c>
      <c r="D430" t="s">
        <v>228</v>
      </c>
      <c r="E430" t="s">
        <v>229</v>
      </c>
      <c r="F430" t="s">
        <v>106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 t="s">
        <v>32</v>
      </c>
      <c r="W430" s="2">
        <v>85.41</v>
      </c>
      <c r="X430" s="3">
        <f t="shared" si="12"/>
        <v>85.41</v>
      </c>
      <c r="Y430">
        <f>VLOOKUP(D430,'[1]Cost Sheet'!$C:$D,2,0)</f>
        <v>85.41</v>
      </c>
      <c r="Z430" s="3">
        <f t="shared" si="13"/>
        <v>85.41</v>
      </c>
    </row>
    <row r="431" spans="1:26" x14ac:dyDescent="0.3">
      <c r="A431" s="7" t="s">
        <v>21</v>
      </c>
      <c r="B431" t="s">
        <v>226</v>
      </c>
      <c r="C431" t="s">
        <v>227</v>
      </c>
      <c r="D431" t="s">
        <v>228</v>
      </c>
      <c r="E431" t="s">
        <v>229</v>
      </c>
      <c r="F431" t="s">
        <v>106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 t="s">
        <v>88</v>
      </c>
      <c r="W431" s="2">
        <v>85.41</v>
      </c>
      <c r="X431" s="3">
        <f t="shared" si="12"/>
        <v>85.41</v>
      </c>
      <c r="Y431">
        <f>VLOOKUP(D431,'[1]Cost Sheet'!$C:$D,2,0)</f>
        <v>85.41</v>
      </c>
      <c r="Z431" s="3">
        <f t="shared" si="13"/>
        <v>85.41</v>
      </c>
    </row>
    <row r="432" spans="1:26" x14ac:dyDescent="0.3">
      <c r="A432" s="7" t="s">
        <v>21</v>
      </c>
      <c r="B432" t="s">
        <v>226</v>
      </c>
      <c r="C432" t="s">
        <v>227</v>
      </c>
      <c r="D432" t="s">
        <v>228</v>
      </c>
      <c r="E432" t="s">
        <v>229</v>
      </c>
      <c r="F432" t="s">
        <v>106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5</v>
      </c>
      <c r="T432">
        <v>0</v>
      </c>
      <c r="U432" t="s">
        <v>46</v>
      </c>
      <c r="W432" s="2">
        <v>85.41</v>
      </c>
      <c r="X432" s="3">
        <f t="shared" si="12"/>
        <v>427.04999999999995</v>
      </c>
      <c r="Y432">
        <f>VLOOKUP(D432,'[1]Cost Sheet'!$C:$D,2,0)</f>
        <v>85.41</v>
      </c>
      <c r="Z432" s="3">
        <f t="shared" si="13"/>
        <v>427.04999999999995</v>
      </c>
    </row>
    <row r="433" spans="1:26" x14ac:dyDescent="0.3">
      <c r="A433" s="7" t="s">
        <v>21</v>
      </c>
      <c r="B433" t="s">
        <v>226</v>
      </c>
      <c r="C433" t="s">
        <v>227</v>
      </c>
      <c r="D433" t="s">
        <v>228</v>
      </c>
      <c r="E433" t="s">
        <v>229</v>
      </c>
      <c r="F433" t="s">
        <v>106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1</v>
      </c>
      <c r="T433">
        <v>0</v>
      </c>
      <c r="U433" t="s">
        <v>40</v>
      </c>
      <c r="W433" s="2">
        <v>85.41</v>
      </c>
      <c r="X433" s="3">
        <f t="shared" si="12"/>
        <v>85.41</v>
      </c>
      <c r="Y433">
        <f>VLOOKUP(D433,'[1]Cost Sheet'!$C:$D,2,0)</f>
        <v>85.41</v>
      </c>
      <c r="Z433" s="3">
        <f t="shared" si="13"/>
        <v>85.41</v>
      </c>
    </row>
    <row r="434" spans="1:26" x14ac:dyDescent="0.3">
      <c r="A434" s="7" t="s">
        <v>21</v>
      </c>
      <c r="B434" t="s">
        <v>226</v>
      </c>
      <c r="C434" t="s">
        <v>227</v>
      </c>
      <c r="D434" t="s">
        <v>228</v>
      </c>
      <c r="E434" t="s">
        <v>229</v>
      </c>
      <c r="F434" t="s">
        <v>106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</v>
      </c>
      <c r="T434">
        <v>0</v>
      </c>
      <c r="U434" t="s">
        <v>48</v>
      </c>
      <c r="W434" s="2">
        <v>85.41</v>
      </c>
      <c r="X434" s="3">
        <f t="shared" si="12"/>
        <v>256.23</v>
      </c>
      <c r="Y434">
        <f>VLOOKUP(D434,'[1]Cost Sheet'!$C:$D,2,0)</f>
        <v>85.41</v>
      </c>
      <c r="Z434" s="3">
        <f t="shared" si="13"/>
        <v>256.23</v>
      </c>
    </row>
    <row r="435" spans="1:26" x14ac:dyDescent="0.3">
      <c r="A435" s="7" t="s">
        <v>21</v>
      </c>
      <c r="B435" t="s">
        <v>226</v>
      </c>
      <c r="C435" t="s">
        <v>227</v>
      </c>
      <c r="D435" t="s">
        <v>228</v>
      </c>
      <c r="E435" t="s">
        <v>229</v>
      </c>
      <c r="F435" t="s">
        <v>106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 t="s">
        <v>27</v>
      </c>
      <c r="W435" s="2">
        <v>85.41</v>
      </c>
      <c r="X435" s="3">
        <f t="shared" si="12"/>
        <v>85.41</v>
      </c>
      <c r="Y435">
        <f>VLOOKUP(D435,'[1]Cost Sheet'!$C:$D,2,0)</f>
        <v>85.41</v>
      </c>
      <c r="Z435" s="3">
        <f t="shared" si="13"/>
        <v>85.41</v>
      </c>
    </row>
    <row r="436" spans="1:26" x14ac:dyDescent="0.3">
      <c r="A436" s="7" t="s">
        <v>21</v>
      </c>
      <c r="B436" t="s">
        <v>226</v>
      </c>
      <c r="C436" t="s">
        <v>227</v>
      </c>
      <c r="D436" t="s">
        <v>228</v>
      </c>
      <c r="E436" t="s">
        <v>229</v>
      </c>
      <c r="F436" t="s">
        <v>93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 t="s">
        <v>38</v>
      </c>
      <c r="W436" s="2">
        <v>85.41</v>
      </c>
      <c r="X436" s="3">
        <f t="shared" si="12"/>
        <v>85.41</v>
      </c>
      <c r="Y436">
        <f>VLOOKUP(D436,'[1]Cost Sheet'!$C:$D,2,0)</f>
        <v>85.41</v>
      </c>
      <c r="Z436" s="3">
        <f t="shared" si="13"/>
        <v>85.41</v>
      </c>
    </row>
    <row r="437" spans="1:26" x14ac:dyDescent="0.3">
      <c r="A437" s="7" t="s">
        <v>21</v>
      </c>
      <c r="B437" t="s">
        <v>226</v>
      </c>
      <c r="C437" t="s">
        <v>227</v>
      </c>
      <c r="D437" t="s">
        <v>228</v>
      </c>
      <c r="E437" t="s">
        <v>229</v>
      </c>
      <c r="F437" t="s">
        <v>26</v>
      </c>
      <c r="G437">
        <v>133</v>
      </c>
      <c r="H437">
        <v>0</v>
      </c>
      <c r="I437">
        <v>0</v>
      </c>
      <c r="J437">
        <v>-5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128</v>
      </c>
      <c r="T437">
        <v>0</v>
      </c>
      <c r="U437" t="s">
        <v>38</v>
      </c>
      <c r="W437" s="2">
        <v>85.41</v>
      </c>
      <c r="X437" s="3">
        <f t="shared" si="12"/>
        <v>10932.48</v>
      </c>
      <c r="Y437">
        <f>VLOOKUP(D437,'[1]Cost Sheet'!$C:$D,2,0)</f>
        <v>85.41</v>
      </c>
      <c r="Z437" s="3">
        <f t="shared" si="13"/>
        <v>10932.48</v>
      </c>
    </row>
    <row r="438" spans="1:26" x14ac:dyDescent="0.3">
      <c r="A438" s="7" t="s">
        <v>21</v>
      </c>
      <c r="B438" t="s">
        <v>226</v>
      </c>
      <c r="C438" t="s">
        <v>227</v>
      </c>
      <c r="D438" t="s">
        <v>228</v>
      </c>
      <c r="E438" t="s">
        <v>229</v>
      </c>
      <c r="F438" t="s">
        <v>26</v>
      </c>
      <c r="G438">
        <v>362</v>
      </c>
      <c r="H438">
        <v>0</v>
      </c>
      <c r="I438">
        <v>0</v>
      </c>
      <c r="J438">
        <v>-2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360</v>
      </c>
      <c r="T438">
        <v>0</v>
      </c>
      <c r="U438" t="s">
        <v>107</v>
      </c>
      <c r="W438" s="2">
        <v>85.41</v>
      </c>
      <c r="X438" s="3">
        <f t="shared" si="12"/>
        <v>30747.599999999999</v>
      </c>
      <c r="Y438">
        <f>VLOOKUP(D438,'[1]Cost Sheet'!$C:$D,2,0)</f>
        <v>85.41</v>
      </c>
      <c r="Z438" s="3">
        <f t="shared" si="13"/>
        <v>30747.599999999999</v>
      </c>
    </row>
    <row r="439" spans="1:26" x14ac:dyDescent="0.3">
      <c r="A439" s="7" t="s">
        <v>21</v>
      </c>
      <c r="B439" t="s">
        <v>226</v>
      </c>
      <c r="C439" t="s">
        <v>227</v>
      </c>
      <c r="D439" t="s">
        <v>228</v>
      </c>
      <c r="E439" t="s">
        <v>229</v>
      </c>
      <c r="F439" t="s">
        <v>26</v>
      </c>
      <c r="G439">
        <v>104</v>
      </c>
      <c r="H439">
        <v>0</v>
      </c>
      <c r="I439">
        <v>0</v>
      </c>
      <c r="J439">
        <v>-3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101</v>
      </c>
      <c r="T439">
        <v>0</v>
      </c>
      <c r="U439" t="s">
        <v>45</v>
      </c>
      <c r="W439" s="2">
        <v>85.41</v>
      </c>
      <c r="X439" s="3">
        <f t="shared" si="12"/>
        <v>8626.41</v>
      </c>
      <c r="Y439">
        <f>VLOOKUP(D439,'[1]Cost Sheet'!$C:$D,2,0)</f>
        <v>85.41</v>
      </c>
      <c r="Z439" s="3">
        <f t="shared" si="13"/>
        <v>8626.41</v>
      </c>
    </row>
    <row r="440" spans="1:26" x14ac:dyDescent="0.3">
      <c r="A440" s="7" t="s">
        <v>21</v>
      </c>
      <c r="B440" t="s">
        <v>226</v>
      </c>
      <c r="C440" t="s">
        <v>227</v>
      </c>
      <c r="D440" t="s">
        <v>228</v>
      </c>
      <c r="E440" t="s">
        <v>229</v>
      </c>
      <c r="F440" t="s">
        <v>26</v>
      </c>
      <c r="G440">
        <v>129</v>
      </c>
      <c r="H440">
        <v>0</v>
      </c>
      <c r="I440">
        <v>0</v>
      </c>
      <c r="J440">
        <v>-13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-1</v>
      </c>
      <c r="S440">
        <v>115</v>
      </c>
      <c r="T440">
        <v>0</v>
      </c>
      <c r="U440" t="s">
        <v>39</v>
      </c>
      <c r="W440" s="2">
        <v>85.41</v>
      </c>
      <c r="X440" s="3">
        <f t="shared" si="12"/>
        <v>9822.15</v>
      </c>
      <c r="Y440">
        <f>VLOOKUP(D440,'[1]Cost Sheet'!$C:$D,2,0)</f>
        <v>85.41</v>
      </c>
      <c r="Z440" s="3">
        <f t="shared" si="13"/>
        <v>9822.15</v>
      </c>
    </row>
    <row r="441" spans="1:26" x14ac:dyDescent="0.3">
      <c r="A441" s="7" t="s">
        <v>21</v>
      </c>
      <c r="B441" t="s">
        <v>226</v>
      </c>
      <c r="C441" t="s">
        <v>227</v>
      </c>
      <c r="D441" t="s">
        <v>228</v>
      </c>
      <c r="E441" t="s">
        <v>229</v>
      </c>
      <c r="F441" t="s">
        <v>26</v>
      </c>
      <c r="G441">
        <v>97</v>
      </c>
      <c r="H441">
        <v>0</v>
      </c>
      <c r="I441">
        <v>0</v>
      </c>
      <c r="J441">
        <v>-6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91</v>
      </c>
      <c r="T441">
        <v>0</v>
      </c>
      <c r="U441" t="s">
        <v>53</v>
      </c>
      <c r="W441" s="2">
        <v>85.41</v>
      </c>
      <c r="X441" s="3">
        <f t="shared" si="12"/>
        <v>7772.3099999999995</v>
      </c>
      <c r="Y441">
        <f>VLOOKUP(D441,'[1]Cost Sheet'!$C:$D,2,0)</f>
        <v>85.41</v>
      </c>
      <c r="Z441" s="3">
        <f t="shared" si="13"/>
        <v>7772.3099999999995</v>
      </c>
    </row>
    <row r="442" spans="1:26" x14ac:dyDescent="0.3">
      <c r="A442" s="7" t="s">
        <v>21</v>
      </c>
      <c r="B442" t="s">
        <v>226</v>
      </c>
      <c r="C442" t="s">
        <v>227</v>
      </c>
      <c r="D442" t="s">
        <v>228</v>
      </c>
      <c r="E442" t="s">
        <v>229</v>
      </c>
      <c r="F442" t="s">
        <v>26</v>
      </c>
      <c r="G442">
        <v>110</v>
      </c>
      <c r="H442">
        <v>0</v>
      </c>
      <c r="I442">
        <v>0</v>
      </c>
      <c r="J442">
        <v>-3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107</v>
      </c>
      <c r="T442">
        <v>0</v>
      </c>
      <c r="U442" t="s">
        <v>54</v>
      </c>
      <c r="W442" s="2">
        <v>85.41</v>
      </c>
      <c r="X442" s="3">
        <f t="shared" si="12"/>
        <v>9138.869999999999</v>
      </c>
      <c r="Y442">
        <f>VLOOKUP(D442,'[1]Cost Sheet'!$C:$D,2,0)</f>
        <v>85.41</v>
      </c>
      <c r="Z442" s="3">
        <f t="shared" si="13"/>
        <v>9138.869999999999</v>
      </c>
    </row>
    <row r="443" spans="1:26" x14ac:dyDescent="0.3">
      <c r="A443" s="7" t="s">
        <v>21</v>
      </c>
      <c r="B443" t="s">
        <v>226</v>
      </c>
      <c r="C443" t="s">
        <v>227</v>
      </c>
      <c r="D443" t="s">
        <v>228</v>
      </c>
      <c r="E443" t="s">
        <v>229</v>
      </c>
      <c r="F443" t="s">
        <v>26</v>
      </c>
      <c r="G443">
        <v>712</v>
      </c>
      <c r="H443">
        <v>0</v>
      </c>
      <c r="I443">
        <v>0</v>
      </c>
      <c r="J443">
        <v>-9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703</v>
      </c>
      <c r="T443">
        <v>0</v>
      </c>
      <c r="U443" t="s">
        <v>32</v>
      </c>
      <c r="W443" s="2">
        <v>85.41</v>
      </c>
      <c r="X443" s="3">
        <f t="shared" si="12"/>
        <v>60043.229999999996</v>
      </c>
      <c r="Y443">
        <f>VLOOKUP(D443,'[1]Cost Sheet'!$C:$D,2,0)</f>
        <v>85.41</v>
      </c>
      <c r="Z443" s="3">
        <f t="shared" si="13"/>
        <v>60043.229999999996</v>
      </c>
    </row>
    <row r="444" spans="1:26" x14ac:dyDescent="0.3">
      <c r="A444" s="7" t="s">
        <v>21</v>
      </c>
      <c r="B444" t="s">
        <v>226</v>
      </c>
      <c r="C444" t="s">
        <v>227</v>
      </c>
      <c r="D444" t="s">
        <v>228</v>
      </c>
      <c r="E444" t="s">
        <v>229</v>
      </c>
      <c r="F444" t="s">
        <v>26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-1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 t="s">
        <v>88</v>
      </c>
      <c r="W444" s="2">
        <v>85.41</v>
      </c>
      <c r="X444" s="3">
        <f t="shared" si="12"/>
        <v>85.41</v>
      </c>
      <c r="Y444">
        <f>VLOOKUP(D444,'[1]Cost Sheet'!$C:$D,2,0)</f>
        <v>85.41</v>
      </c>
      <c r="Z444" s="3">
        <f t="shared" si="13"/>
        <v>85.41</v>
      </c>
    </row>
    <row r="445" spans="1:26" x14ac:dyDescent="0.3">
      <c r="A445" s="7" t="s">
        <v>21</v>
      </c>
      <c r="B445" t="s">
        <v>226</v>
      </c>
      <c r="C445" t="s">
        <v>227</v>
      </c>
      <c r="D445" t="s">
        <v>228</v>
      </c>
      <c r="E445" t="s">
        <v>229</v>
      </c>
      <c r="F445" t="s">
        <v>26</v>
      </c>
      <c r="G445">
        <v>58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58</v>
      </c>
      <c r="T445">
        <v>0</v>
      </c>
      <c r="U445" t="s">
        <v>33</v>
      </c>
      <c r="W445" s="2">
        <v>85.41</v>
      </c>
      <c r="X445" s="3">
        <f t="shared" si="12"/>
        <v>4953.78</v>
      </c>
      <c r="Y445">
        <f>VLOOKUP(D445,'[1]Cost Sheet'!$C:$D,2,0)</f>
        <v>85.41</v>
      </c>
      <c r="Z445" s="3">
        <f t="shared" si="13"/>
        <v>4953.78</v>
      </c>
    </row>
    <row r="446" spans="1:26" x14ac:dyDescent="0.3">
      <c r="A446" s="7" t="s">
        <v>21</v>
      </c>
      <c r="B446" t="s">
        <v>226</v>
      </c>
      <c r="C446" t="s">
        <v>227</v>
      </c>
      <c r="D446" t="s">
        <v>228</v>
      </c>
      <c r="E446" t="s">
        <v>229</v>
      </c>
      <c r="F446" t="s">
        <v>26</v>
      </c>
      <c r="G446">
        <v>121</v>
      </c>
      <c r="H446">
        <v>0</v>
      </c>
      <c r="I446">
        <v>0</v>
      </c>
      <c r="J446">
        <v>-3</v>
      </c>
      <c r="K446">
        <v>0</v>
      </c>
      <c r="L446">
        <v>0</v>
      </c>
      <c r="M446">
        <v>-2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116</v>
      </c>
      <c r="T446">
        <v>0</v>
      </c>
      <c r="U446" t="s">
        <v>46</v>
      </c>
      <c r="W446" s="2">
        <v>85.41</v>
      </c>
      <c r="X446" s="3">
        <f t="shared" si="12"/>
        <v>9907.56</v>
      </c>
      <c r="Y446">
        <f>VLOOKUP(D446,'[1]Cost Sheet'!$C:$D,2,0)</f>
        <v>85.41</v>
      </c>
      <c r="Z446" s="3">
        <f t="shared" si="13"/>
        <v>9907.56</v>
      </c>
    </row>
    <row r="447" spans="1:26" x14ac:dyDescent="0.3">
      <c r="A447" s="7" t="s">
        <v>21</v>
      </c>
      <c r="B447" t="s">
        <v>226</v>
      </c>
      <c r="C447" t="s">
        <v>227</v>
      </c>
      <c r="D447" t="s">
        <v>228</v>
      </c>
      <c r="E447" t="s">
        <v>229</v>
      </c>
      <c r="F447" t="s">
        <v>26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4</v>
      </c>
      <c r="T447">
        <v>0</v>
      </c>
      <c r="U447" t="s">
        <v>110</v>
      </c>
      <c r="W447" s="2">
        <v>85.41</v>
      </c>
      <c r="X447" s="3">
        <f t="shared" si="12"/>
        <v>341.64</v>
      </c>
      <c r="Y447">
        <f>VLOOKUP(D447,'[1]Cost Sheet'!$C:$D,2,0)</f>
        <v>85.41</v>
      </c>
      <c r="Z447" s="3">
        <f t="shared" si="13"/>
        <v>341.64</v>
      </c>
    </row>
    <row r="448" spans="1:26" x14ac:dyDescent="0.3">
      <c r="A448" s="7" t="s">
        <v>21</v>
      </c>
      <c r="B448" t="s">
        <v>226</v>
      </c>
      <c r="C448" t="s">
        <v>227</v>
      </c>
      <c r="D448" t="s">
        <v>228</v>
      </c>
      <c r="E448" t="s">
        <v>229</v>
      </c>
      <c r="F448" t="s">
        <v>26</v>
      </c>
      <c r="G448">
        <v>1</v>
      </c>
      <c r="H448">
        <v>0</v>
      </c>
      <c r="I448">
        <v>0</v>
      </c>
      <c r="J448">
        <v>-1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 t="s">
        <v>111</v>
      </c>
      <c r="W448" s="2">
        <v>85.41</v>
      </c>
      <c r="X448" s="3">
        <f t="shared" si="12"/>
        <v>85.41</v>
      </c>
      <c r="Y448">
        <f>VLOOKUP(D448,'[1]Cost Sheet'!$C:$D,2,0)</f>
        <v>85.41</v>
      </c>
      <c r="Z448" s="3">
        <f t="shared" si="13"/>
        <v>85.41</v>
      </c>
    </row>
    <row r="449" spans="1:26" x14ac:dyDescent="0.3">
      <c r="A449" s="7" t="s">
        <v>21</v>
      </c>
      <c r="B449" t="s">
        <v>226</v>
      </c>
      <c r="C449" t="s">
        <v>227</v>
      </c>
      <c r="D449" t="s">
        <v>228</v>
      </c>
      <c r="E449" t="s">
        <v>229</v>
      </c>
      <c r="F449" t="s">
        <v>26</v>
      </c>
      <c r="G449">
        <v>35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35</v>
      </c>
      <c r="T449">
        <v>0</v>
      </c>
      <c r="U449" t="s">
        <v>47</v>
      </c>
      <c r="W449" s="2">
        <v>85.41</v>
      </c>
      <c r="X449" s="3">
        <f t="shared" si="12"/>
        <v>2989.35</v>
      </c>
      <c r="Y449">
        <f>VLOOKUP(D449,'[1]Cost Sheet'!$C:$D,2,0)</f>
        <v>85.41</v>
      </c>
      <c r="Z449" s="3">
        <f t="shared" si="13"/>
        <v>2989.35</v>
      </c>
    </row>
    <row r="450" spans="1:26" x14ac:dyDescent="0.3">
      <c r="A450" s="7" t="s">
        <v>21</v>
      </c>
      <c r="B450" t="s">
        <v>226</v>
      </c>
      <c r="C450" t="s">
        <v>227</v>
      </c>
      <c r="D450" t="s">
        <v>228</v>
      </c>
      <c r="E450" t="s">
        <v>229</v>
      </c>
      <c r="F450" t="s">
        <v>26</v>
      </c>
      <c r="G450">
        <v>150</v>
      </c>
      <c r="H450">
        <v>3</v>
      </c>
      <c r="I450">
        <v>0</v>
      </c>
      <c r="J450">
        <v>-12</v>
      </c>
      <c r="K450">
        <v>0</v>
      </c>
      <c r="L450">
        <v>0</v>
      </c>
      <c r="M450">
        <v>-3</v>
      </c>
      <c r="N450">
        <v>0</v>
      </c>
      <c r="O450">
        <v>0</v>
      </c>
      <c r="P450">
        <v>0</v>
      </c>
      <c r="Q450">
        <v>0</v>
      </c>
      <c r="R450">
        <v>-1</v>
      </c>
      <c r="S450">
        <v>134</v>
      </c>
      <c r="T450">
        <v>0</v>
      </c>
      <c r="U450" t="s">
        <v>40</v>
      </c>
      <c r="W450" s="2">
        <v>85.41</v>
      </c>
      <c r="X450" s="3">
        <f t="shared" si="12"/>
        <v>11444.939999999999</v>
      </c>
      <c r="Y450">
        <f>VLOOKUP(D450,'[1]Cost Sheet'!$C:$D,2,0)</f>
        <v>85.41</v>
      </c>
      <c r="Z450" s="3">
        <f t="shared" si="13"/>
        <v>11444.939999999999</v>
      </c>
    </row>
    <row r="451" spans="1:26" x14ac:dyDescent="0.3">
      <c r="A451" s="7" t="s">
        <v>21</v>
      </c>
      <c r="B451" t="s">
        <v>226</v>
      </c>
      <c r="C451" t="s">
        <v>227</v>
      </c>
      <c r="D451" t="s">
        <v>228</v>
      </c>
      <c r="E451" t="s">
        <v>229</v>
      </c>
      <c r="F451" t="s">
        <v>26</v>
      </c>
      <c r="G451">
        <v>22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22</v>
      </c>
      <c r="T451">
        <v>0</v>
      </c>
      <c r="U451" t="s">
        <v>120</v>
      </c>
      <c r="W451" s="2">
        <v>85.41</v>
      </c>
      <c r="X451" s="3">
        <f t="shared" ref="X451:X514" si="14">S451*W451</f>
        <v>1879.02</v>
      </c>
      <c r="Y451">
        <f>VLOOKUP(D451,'[1]Cost Sheet'!$C:$D,2,0)</f>
        <v>85.41</v>
      </c>
      <c r="Z451" s="3">
        <f t="shared" ref="Z451:Z514" si="15">Y451*S451</f>
        <v>1879.02</v>
      </c>
    </row>
    <row r="452" spans="1:26" x14ac:dyDescent="0.3">
      <c r="A452" s="7" t="s">
        <v>21</v>
      </c>
      <c r="B452" t="s">
        <v>226</v>
      </c>
      <c r="C452" t="s">
        <v>227</v>
      </c>
      <c r="D452" t="s">
        <v>228</v>
      </c>
      <c r="E452" t="s">
        <v>229</v>
      </c>
      <c r="F452" t="s">
        <v>26</v>
      </c>
      <c r="G452">
        <v>79</v>
      </c>
      <c r="H452">
        <v>0</v>
      </c>
      <c r="I452">
        <v>0</v>
      </c>
      <c r="J452">
        <v>-2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78</v>
      </c>
      <c r="T452">
        <v>0</v>
      </c>
      <c r="U452" t="s">
        <v>113</v>
      </c>
      <c r="W452" s="2">
        <v>85.41</v>
      </c>
      <c r="X452" s="3">
        <f t="shared" si="14"/>
        <v>6661.98</v>
      </c>
      <c r="Y452">
        <f>VLOOKUP(D452,'[1]Cost Sheet'!$C:$D,2,0)</f>
        <v>85.41</v>
      </c>
      <c r="Z452" s="3">
        <f t="shared" si="15"/>
        <v>6661.98</v>
      </c>
    </row>
    <row r="453" spans="1:26" x14ac:dyDescent="0.3">
      <c r="A453" s="7" t="s">
        <v>21</v>
      </c>
      <c r="B453" t="s">
        <v>226</v>
      </c>
      <c r="C453" t="s">
        <v>227</v>
      </c>
      <c r="D453" t="s">
        <v>228</v>
      </c>
      <c r="E453" t="s">
        <v>229</v>
      </c>
      <c r="F453" t="s">
        <v>26</v>
      </c>
      <c r="G453">
        <v>194</v>
      </c>
      <c r="H453">
        <v>0</v>
      </c>
      <c r="I453">
        <v>0</v>
      </c>
      <c r="J453">
        <v>-4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190</v>
      </c>
      <c r="T453">
        <v>0</v>
      </c>
      <c r="U453" t="s">
        <v>48</v>
      </c>
      <c r="W453" s="2">
        <v>85.41</v>
      </c>
      <c r="X453" s="3">
        <f t="shared" si="14"/>
        <v>16227.9</v>
      </c>
      <c r="Y453">
        <f>VLOOKUP(D453,'[1]Cost Sheet'!$C:$D,2,0)</f>
        <v>85.41</v>
      </c>
      <c r="Z453" s="3">
        <f t="shared" si="15"/>
        <v>16227.9</v>
      </c>
    </row>
    <row r="454" spans="1:26" x14ac:dyDescent="0.3">
      <c r="A454" s="7" t="s">
        <v>21</v>
      </c>
      <c r="B454" t="s">
        <v>226</v>
      </c>
      <c r="C454" t="s">
        <v>227</v>
      </c>
      <c r="D454" t="s">
        <v>228</v>
      </c>
      <c r="E454" t="s">
        <v>229</v>
      </c>
      <c r="F454" t="s">
        <v>26</v>
      </c>
      <c r="G454">
        <v>26</v>
      </c>
      <c r="H454">
        <v>0</v>
      </c>
      <c r="I454">
        <v>0</v>
      </c>
      <c r="J454">
        <v>-1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25</v>
      </c>
      <c r="T454">
        <v>0</v>
      </c>
      <c r="U454" t="s">
        <v>59</v>
      </c>
      <c r="W454" s="2">
        <v>85.41</v>
      </c>
      <c r="X454" s="3">
        <f t="shared" si="14"/>
        <v>2135.25</v>
      </c>
      <c r="Y454">
        <f>VLOOKUP(D454,'[1]Cost Sheet'!$C:$D,2,0)</f>
        <v>85.41</v>
      </c>
      <c r="Z454" s="3">
        <f t="shared" si="15"/>
        <v>2135.25</v>
      </c>
    </row>
    <row r="455" spans="1:26" x14ac:dyDescent="0.3">
      <c r="A455" s="7" t="s">
        <v>21</v>
      </c>
      <c r="B455" t="s">
        <v>226</v>
      </c>
      <c r="C455" t="s">
        <v>227</v>
      </c>
      <c r="D455" t="s">
        <v>228</v>
      </c>
      <c r="E455" t="s">
        <v>229</v>
      </c>
      <c r="F455" t="s">
        <v>26</v>
      </c>
      <c r="G455">
        <v>151</v>
      </c>
      <c r="H455">
        <v>0</v>
      </c>
      <c r="I455">
        <v>0</v>
      </c>
      <c r="J455">
        <v>-9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142</v>
      </c>
      <c r="T455">
        <v>0</v>
      </c>
      <c r="U455" t="s">
        <v>27</v>
      </c>
      <c r="W455" s="2">
        <v>85.41</v>
      </c>
      <c r="X455" s="3">
        <f t="shared" si="14"/>
        <v>12128.22</v>
      </c>
      <c r="Y455">
        <f>VLOOKUP(D455,'[1]Cost Sheet'!$C:$D,2,0)</f>
        <v>85.41</v>
      </c>
      <c r="Z455" s="3">
        <f t="shared" si="15"/>
        <v>12128.22</v>
      </c>
    </row>
    <row r="456" spans="1:26" x14ac:dyDescent="0.3">
      <c r="A456" s="7" t="s">
        <v>21</v>
      </c>
      <c r="B456" t="s">
        <v>226</v>
      </c>
      <c r="C456" t="s">
        <v>227</v>
      </c>
      <c r="D456" t="s">
        <v>228</v>
      </c>
      <c r="E456" t="s">
        <v>229</v>
      </c>
      <c r="F456" t="s">
        <v>114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 t="s">
        <v>38</v>
      </c>
      <c r="W456" s="2">
        <v>85.41</v>
      </c>
      <c r="X456" s="3">
        <f t="shared" si="14"/>
        <v>85.41</v>
      </c>
      <c r="Y456">
        <f>VLOOKUP(D456,'[1]Cost Sheet'!$C:$D,2,0)</f>
        <v>85.41</v>
      </c>
      <c r="Z456" s="3">
        <f t="shared" si="15"/>
        <v>85.41</v>
      </c>
    </row>
    <row r="457" spans="1:26" x14ac:dyDescent="0.3">
      <c r="A457" s="7" t="s">
        <v>21</v>
      </c>
      <c r="B457" t="s">
        <v>230</v>
      </c>
      <c r="C457" t="s">
        <v>231</v>
      </c>
      <c r="D457" t="s">
        <v>232</v>
      </c>
      <c r="E457" t="s">
        <v>233</v>
      </c>
      <c r="F457" t="s">
        <v>26</v>
      </c>
      <c r="G457">
        <v>13</v>
      </c>
      <c r="H457">
        <v>0</v>
      </c>
      <c r="I457">
        <v>0</v>
      </c>
      <c r="J457">
        <v>-3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10</v>
      </c>
      <c r="T457">
        <v>0</v>
      </c>
      <c r="U457" t="s">
        <v>32</v>
      </c>
      <c r="W457" s="2">
        <v>79.260000000000005</v>
      </c>
      <c r="X457" s="3">
        <f t="shared" si="14"/>
        <v>792.6</v>
      </c>
      <c r="Y457">
        <f>VLOOKUP(D457,'[1]Cost Sheet'!$C:$D,2,0)</f>
        <v>79.260000000000005</v>
      </c>
      <c r="Z457" s="3">
        <f t="shared" si="15"/>
        <v>792.6</v>
      </c>
    </row>
    <row r="458" spans="1:26" x14ac:dyDescent="0.3">
      <c r="A458" s="7" t="s">
        <v>21</v>
      </c>
      <c r="B458" t="s">
        <v>234</v>
      </c>
      <c r="C458" t="s">
        <v>235</v>
      </c>
      <c r="D458" t="s">
        <v>236</v>
      </c>
      <c r="E458" t="s">
        <v>237</v>
      </c>
      <c r="F458" t="s">
        <v>106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 t="s">
        <v>38</v>
      </c>
      <c r="W458" s="2">
        <v>113.26</v>
      </c>
      <c r="X458" s="3">
        <f t="shared" si="14"/>
        <v>113.26</v>
      </c>
      <c r="Y458">
        <f>VLOOKUP(D458,'[1]Cost Sheet'!$C:$D,2,0)</f>
        <v>113.26</v>
      </c>
      <c r="Z458" s="3">
        <f t="shared" si="15"/>
        <v>113.26</v>
      </c>
    </row>
    <row r="459" spans="1:26" x14ac:dyDescent="0.3">
      <c r="A459" s="7" t="s">
        <v>21</v>
      </c>
      <c r="B459" t="s">
        <v>234</v>
      </c>
      <c r="C459" t="s">
        <v>235</v>
      </c>
      <c r="D459" t="s">
        <v>236</v>
      </c>
      <c r="E459" t="s">
        <v>237</v>
      </c>
      <c r="F459" t="s">
        <v>106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 t="s">
        <v>39</v>
      </c>
      <c r="W459" s="2">
        <v>113.26</v>
      </c>
      <c r="X459" s="3">
        <f t="shared" si="14"/>
        <v>113.26</v>
      </c>
      <c r="Y459">
        <f>VLOOKUP(D459,'[1]Cost Sheet'!$C:$D,2,0)</f>
        <v>113.26</v>
      </c>
      <c r="Z459" s="3">
        <f t="shared" si="15"/>
        <v>113.26</v>
      </c>
    </row>
    <row r="460" spans="1:26" x14ac:dyDescent="0.3">
      <c r="A460" s="7" t="s">
        <v>21</v>
      </c>
      <c r="B460" t="s">
        <v>234</v>
      </c>
      <c r="C460" t="s">
        <v>235</v>
      </c>
      <c r="D460" t="s">
        <v>236</v>
      </c>
      <c r="E460" t="s">
        <v>237</v>
      </c>
      <c r="F460" t="s">
        <v>106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 t="s">
        <v>54</v>
      </c>
      <c r="W460" s="2">
        <v>113.26</v>
      </c>
      <c r="X460" s="3">
        <f t="shared" si="14"/>
        <v>113.26</v>
      </c>
      <c r="Y460">
        <f>VLOOKUP(D460,'[1]Cost Sheet'!$C:$D,2,0)</f>
        <v>113.26</v>
      </c>
      <c r="Z460" s="3">
        <f t="shared" si="15"/>
        <v>113.26</v>
      </c>
    </row>
    <row r="461" spans="1:26" x14ac:dyDescent="0.3">
      <c r="A461" s="7" t="s">
        <v>21</v>
      </c>
      <c r="B461" t="s">
        <v>234</v>
      </c>
      <c r="C461" t="s">
        <v>235</v>
      </c>
      <c r="D461" t="s">
        <v>236</v>
      </c>
      <c r="E461" t="s">
        <v>237</v>
      </c>
      <c r="F461" t="s">
        <v>106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3</v>
      </c>
      <c r="T461">
        <v>0</v>
      </c>
      <c r="U461" t="s">
        <v>33</v>
      </c>
      <c r="W461" s="2">
        <v>113.26</v>
      </c>
      <c r="X461" s="3">
        <f t="shared" si="14"/>
        <v>339.78000000000003</v>
      </c>
      <c r="Y461">
        <f>VLOOKUP(D461,'[1]Cost Sheet'!$C:$D,2,0)</f>
        <v>113.26</v>
      </c>
      <c r="Z461" s="3">
        <f t="shared" si="15"/>
        <v>339.78000000000003</v>
      </c>
    </row>
    <row r="462" spans="1:26" x14ac:dyDescent="0.3">
      <c r="A462" s="7" t="s">
        <v>21</v>
      </c>
      <c r="B462" t="s">
        <v>234</v>
      </c>
      <c r="C462" t="s">
        <v>235</v>
      </c>
      <c r="D462" t="s">
        <v>236</v>
      </c>
      <c r="E462" t="s">
        <v>237</v>
      </c>
      <c r="F462" t="s">
        <v>106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 t="s">
        <v>46</v>
      </c>
      <c r="W462" s="2">
        <v>113.26</v>
      </c>
      <c r="X462" s="3">
        <f t="shared" si="14"/>
        <v>113.26</v>
      </c>
      <c r="Y462">
        <f>VLOOKUP(D462,'[1]Cost Sheet'!$C:$D,2,0)</f>
        <v>113.26</v>
      </c>
      <c r="Z462" s="3">
        <f t="shared" si="15"/>
        <v>113.26</v>
      </c>
    </row>
    <row r="463" spans="1:26" x14ac:dyDescent="0.3">
      <c r="A463" s="7" t="s">
        <v>21</v>
      </c>
      <c r="B463" t="s">
        <v>234</v>
      </c>
      <c r="C463" t="s">
        <v>235</v>
      </c>
      <c r="D463" t="s">
        <v>236</v>
      </c>
      <c r="E463" t="s">
        <v>237</v>
      </c>
      <c r="F463" t="s">
        <v>106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 t="s">
        <v>47</v>
      </c>
      <c r="W463" s="2">
        <v>113.26</v>
      </c>
      <c r="X463" s="3">
        <f t="shared" si="14"/>
        <v>226.52</v>
      </c>
      <c r="Y463">
        <f>VLOOKUP(D463,'[1]Cost Sheet'!$C:$D,2,0)</f>
        <v>113.26</v>
      </c>
      <c r="Z463" s="3">
        <f t="shared" si="15"/>
        <v>226.52</v>
      </c>
    </row>
    <row r="464" spans="1:26" x14ac:dyDescent="0.3">
      <c r="A464" s="7" t="s">
        <v>21</v>
      </c>
      <c r="B464" t="s">
        <v>234</v>
      </c>
      <c r="C464" t="s">
        <v>235</v>
      </c>
      <c r="D464" t="s">
        <v>236</v>
      </c>
      <c r="E464" t="s">
        <v>237</v>
      </c>
      <c r="F464" t="s">
        <v>93</v>
      </c>
      <c r="G464">
        <v>31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31</v>
      </c>
      <c r="T464">
        <v>0</v>
      </c>
      <c r="U464" t="s">
        <v>46</v>
      </c>
      <c r="W464" s="2">
        <v>113.26</v>
      </c>
      <c r="X464" s="3">
        <f t="shared" si="14"/>
        <v>3511.06</v>
      </c>
      <c r="Y464">
        <f>VLOOKUP(D464,'[1]Cost Sheet'!$C:$D,2,0)</f>
        <v>113.26</v>
      </c>
      <c r="Z464" s="3">
        <f t="shared" si="15"/>
        <v>3511.06</v>
      </c>
    </row>
    <row r="465" spans="1:26" x14ac:dyDescent="0.3">
      <c r="A465" s="7" t="s">
        <v>21</v>
      </c>
      <c r="B465" t="s">
        <v>234</v>
      </c>
      <c r="C465" t="s">
        <v>235</v>
      </c>
      <c r="D465" t="s">
        <v>236</v>
      </c>
      <c r="E465" t="s">
        <v>237</v>
      </c>
      <c r="F465" t="s">
        <v>26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 t="s">
        <v>45</v>
      </c>
      <c r="W465" s="2">
        <v>113.26</v>
      </c>
      <c r="X465" s="3">
        <f t="shared" si="14"/>
        <v>113.26</v>
      </c>
      <c r="Y465">
        <f>VLOOKUP(D465,'[1]Cost Sheet'!$C:$D,2,0)</f>
        <v>113.26</v>
      </c>
      <c r="Z465" s="3">
        <f t="shared" si="15"/>
        <v>113.26</v>
      </c>
    </row>
    <row r="466" spans="1:26" x14ac:dyDescent="0.3">
      <c r="A466" s="7" t="s">
        <v>21</v>
      </c>
      <c r="B466" t="s">
        <v>234</v>
      </c>
      <c r="C466" t="s">
        <v>235</v>
      </c>
      <c r="D466" t="s">
        <v>236</v>
      </c>
      <c r="E466" t="s">
        <v>237</v>
      </c>
      <c r="F466" t="s">
        <v>26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 t="s">
        <v>53</v>
      </c>
      <c r="W466" s="2">
        <v>113.26</v>
      </c>
      <c r="X466" s="3">
        <f t="shared" si="14"/>
        <v>113.26</v>
      </c>
      <c r="Y466">
        <f>VLOOKUP(D466,'[1]Cost Sheet'!$C:$D,2,0)</f>
        <v>113.26</v>
      </c>
      <c r="Z466" s="3">
        <f t="shared" si="15"/>
        <v>113.26</v>
      </c>
    </row>
    <row r="467" spans="1:26" x14ac:dyDescent="0.3">
      <c r="A467" s="7" t="s">
        <v>21</v>
      </c>
      <c r="B467" t="s">
        <v>234</v>
      </c>
      <c r="C467" t="s">
        <v>235</v>
      </c>
      <c r="D467" t="s">
        <v>236</v>
      </c>
      <c r="E467" t="s">
        <v>237</v>
      </c>
      <c r="F467" t="s">
        <v>26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-1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88</v>
      </c>
      <c r="W467" s="2">
        <v>113.26</v>
      </c>
      <c r="X467" s="3">
        <f t="shared" si="14"/>
        <v>0</v>
      </c>
      <c r="Y467">
        <f>VLOOKUP(D467,'[1]Cost Sheet'!$C:$D,2,0)</f>
        <v>113.26</v>
      </c>
      <c r="Z467" s="3">
        <f t="shared" si="15"/>
        <v>0</v>
      </c>
    </row>
    <row r="468" spans="1:26" x14ac:dyDescent="0.3">
      <c r="A468" s="7" t="s">
        <v>21</v>
      </c>
      <c r="B468" t="s">
        <v>234</v>
      </c>
      <c r="C468" t="s">
        <v>235</v>
      </c>
      <c r="D468" t="s">
        <v>236</v>
      </c>
      <c r="E468" t="s">
        <v>237</v>
      </c>
      <c r="F468" t="s">
        <v>26</v>
      </c>
      <c r="G468">
        <v>7</v>
      </c>
      <c r="H468">
        <v>0</v>
      </c>
      <c r="I468">
        <v>0</v>
      </c>
      <c r="J468">
        <v>-2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</v>
      </c>
      <c r="T468">
        <v>0</v>
      </c>
      <c r="U468" t="s">
        <v>46</v>
      </c>
      <c r="W468" s="2">
        <v>113.26</v>
      </c>
      <c r="X468" s="3">
        <f t="shared" si="14"/>
        <v>566.30000000000007</v>
      </c>
      <c r="Y468">
        <f>VLOOKUP(D468,'[1]Cost Sheet'!$C:$D,2,0)</f>
        <v>113.26</v>
      </c>
      <c r="Z468" s="3">
        <f t="shared" si="15"/>
        <v>566.30000000000007</v>
      </c>
    </row>
    <row r="469" spans="1:26" x14ac:dyDescent="0.3">
      <c r="A469" s="7" t="s">
        <v>21</v>
      </c>
      <c r="B469" t="s">
        <v>234</v>
      </c>
      <c r="C469" t="s">
        <v>235</v>
      </c>
      <c r="D469" t="s">
        <v>236</v>
      </c>
      <c r="E469" t="s">
        <v>237</v>
      </c>
      <c r="F469" t="s">
        <v>26</v>
      </c>
      <c r="G469">
        <v>8</v>
      </c>
      <c r="H469">
        <v>0</v>
      </c>
      <c r="I469">
        <v>0</v>
      </c>
      <c r="J469">
        <v>-3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6</v>
      </c>
      <c r="T469">
        <v>0</v>
      </c>
      <c r="U469" t="s">
        <v>47</v>
      </c>
      <c r="W469" s="2">
        <v>113.26</v>
      </c>
      <c r="X469" s="3">
        <f t="shared" si="14"/>
        <v>679.56000000000006</v>
      </c>
      <c r="Y469">
        <f>VLOOKUP(D469,'[1]Cost Sheet'!$C:$D,2,0)</f>
        <v>113.26</v>
      </c>
      <c r="Z469" s="3">
        <f t="shared" si="15"/>
        <v>679.56000000000006</v>
      </c>
    </row>
    <row r="470" spans="1:26" x14ac:dyDescent="0.3">
      <c r="A470" s="7" t="s">
        <v>21</v>
      </c>
      <c r="B470" t="s">
        <v>238</v>
      </c>
      <c r="C470" t="s">
        <v>239</v>
      </c>
      <c r="D470" t="s">
        <v>240</v>
      </c>
      <c r="E470" t="s">
        <v>241</v>
      </c>
      <c r="F470" t="s">
        <v>26</v>
      </c>
      <c r="G470">
        <v>27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27</v>
      </c>
      <c r="T470">
        <v>0</v>
      </c>
      <c r="U470" t="s">
        <v>38</v>
      </c>
      <c r="W470" s="2">
        <v>67.69</v>
      </c>
      <c r="X470" s="3">
        <f t="shared" si="14"/>
        <v>1827.6299999999999</v>
      </c>
      <c r="Y470">
        <f>VLOOKUP(D470,'[1]Cost Sheet'!$C:$D,2,0)</f>
        <v>61.3</v>
      </c>
      <c r="Z470" s="3">
        <f t="shared" si="15"/>
        <v>1655.1</v>
      </c>
    </row>
    <row r="471" spans="1:26" x14ac:dyDescent="0.3">
      <c r="A471" s="7" t="s">
        <v>21</v>
      </c>
      <c r="B471" t="s">
        <v>238</v>
      </c>
      <c r="C471" t="s">
        <v>239</v>
      </c>
      <c r="D471" t="s">
        <v>240</v>
      </c>
      <c r="E471" t="s">
        <v>241</v>
      </c>
      <c r="F471" t="s">
        <v>26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</v>
      </c>
      <c r="T471">
        <v>0</v>
      </c>
      <c r="U471" t="s">
        <v>45</v>
      </c>
      <c r="W471" s="2">
        <v>67.69</v>
      </c>
      <c r="X471" s="3">
        <f t="shared" si="14"/>
        <v>135.38</v>
      </c>
      <c r="Y471">
        <f>VLOOKUP(D471,'[1]Cost Sheet'!$C:$D,2,0)</f>
        <v>61.3</v>
      </c>
      <c r="Z471" s="3">
        <f t="shared" si="15"/>
        <v>122.6</v>
      </c>
    </row>
    <row r="472" spans="1:26" x14ac:dyDescent="0.3">
      <c r="A472" s="7" t="s">
        <v>21</v>
      </c>
      <c r="B472" t="s">
        <v>238</v>
      </c>
      <c r="C472" t="s">
        <v>239</v>
      </c>
      <c r="D472" t="s">
        <v>240</v>
      </c>
      <c r="E472" t="s">
        <v>241</v>
      </c>
      <c r="F472" t="s">
        <v>26</v>
      </c>
      <c r="G472">
        <v>4</v>
      </c>
      <c r="H472">
        <v>0</v>
      </c>
      <c r="I472">
        <v>0</v>
      </c>
      <c r="J472">
        <v>-1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</v>
      </c>
      <c r="T472">
        <v>0</v>
      </c>
      <c r="U472" t="s">
        <v>39</v>
      </c>
      <c r="W472" s="2">
        <v>67.69</v>
      </c>
      <c r="X472" s="3">
        <f t="shared" si="14"/>
        <v>203.07</v>
      </c>
      <c r="Y472">
        <f>VLOOKUP(D472,'[1]Cost Sheet'!$C:$D,2,0)</f>
        <v>61.3</v>
      </c>
      <c r="Z472" s="3">
        <f t="shared" si="15"/>
        <v>183.89999999999998</v>
      </c>
    </row>
    <row r="473" spans="1:26" x14ac:dyDescent="0.3">
      <c r="A473" s="7" t="s">
        <v>21</v>
      </c>
      <c r="B473" t="s">
        <v>238</v>
      </c>
      <c r="C473" t="s">
        <v>239</v>
      </c>
      <c r="D473" t="s">
        <v>240</v>
      </c>
      <c r="E473" t="s">
        <v>241</v>
      </c>
      <c r="F473" t="s">
        <v>26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5</v>
      </c>
      <c r="T473">
        <v>0</v>
      </c>
      <c r="U473" t="s">
        <v>53</v>
      </c>
      <c r="W473" s="2">
        <v>67.69</v>
      </c>
      <c r="X473" s="3">
        <f t="shared" si="14"/>
        <v>338.45</v>
      </c>
      <c r="Y473">
        <f>VLOOKUP(D473,'[1]Cost Sheet'!$C:$D,2,0)</f>
        <v>61.3</v>
      </c>
      <c r="Z473" s="3">
        <f t="shared" si="15"/>
        <v>306.5</v>
      </c>
    </row>
    <row r="474" spans="1:26" x14ac:dyDescent="0.3">
      <c r="A474" s="7" t="s">
        <v>21</v>
      </c>
      <c r="B474" t="s">
        <v>238</v>
      </c>
      <c r="C474" t="s">
        <v>239</v>
      </c>
      <c r="D474" t="s">
        <v>240</v>
      </c>
      <c r="E474" t="s">
        <v>241</v>
      </c>
      <c r="F474" t="s">
        <v>26</v>
      </c>
      <c r="G474">
        <v>67</v>
      </c>
      <c r="H474">
        <v>0</v>
      </c>
      <c r="I474">
        <v>0</v>
      </c>
      <c r="J474">
        <v>-1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66</v>
      </c>
      <c r="T474">
        <v>0</v>
      </c>
      <c r="U474" t="s">
        <v>54</v>
      </c>
      <c r="W474" s="2">
        <v>67.69</v>
      </c>
      <c r="X474" s="3">
        <f t="shared" si="14"/>
        <v>4467.54</v>
      </c>
      <c r="Y474">
        <f>VLOOKUP(D474,'[1]Cost Sheet'!$C:$D,2,0)</f>
        <v>61.3</v>
      </c>
      <c r="Z474" s="3">
        <f t="shared" si="15"/>
        <v>4045.7999999999997</v>
      </c>
    </row>
    <row r="475" spans="1:26" x14ac:dyDescent="0.3">
      <c r="A475" s="7" t="s">
        <v>21</v>
      </c>
      <c r="B475" t="s">
        <v>238</v>
      </c>
      <c r="C475" t="s">
        <v>239</v>
      </c>
      <c r="D475" t="s">
        <v>240</v>
      </c>
      <c r="E475" t="s">
        <v>241</v>
      </c>
      <c r="F475" t="s">
        <v>26</v>
      </c>
      <c r="G475">
        <v>9</v>
      </c>
      <c r="H475">
        <v>0</v>
      </c>
      <c r="I475">
        <v>0</v>
      </c>
      <c r="J475">
        <v>-1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8</v>
      </c>
      <c r="T475">
        <v>0</v>
      </c>
      <c r="U475" t="s">
        <v>32</v>
      </c>
      <c r="W475" s="2">
        <v>67.69</v>
      </c>
      <c r="X475" s="3">
        <f t="shared" si="14"/>
        <v>541.52</v>
      </c>
      <c r="Y475">
        <f>VLOOKUP(D475,'[1]Cost Sheet'!$C:$D,2,0)</f>
        <v>61.3</v>
      </c>
      <c r="Z475" s="3">
        <f t="shared" si="15"/>
        <v>490.4</v>
      </c>
    </row>
    <row r="476" spans="1:26" x14ac:dyDescent="0.3">
      <c r="A476" s="7" t="s">
        <v>21</v>
      </c>
      <c r="B476" t="s">
        <v>238</v>
      </c>
      <c r="C476" t="s">
        <v>239</v>
      </c>
      <c r="D476" t="s">
        <v>240</v>
      </c>
      <c r="E476" t="s">
        <v>241</v>
      </c>
      <c r="F476" t="s">
        <v>26</v>
      </c>
      <c r="G476">
        <v>0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109</v>
      </c>
      <c r="W476" s="2">
        <v>67.69</v>
      </c>
      <c r="X476" s="3">
        <f t="shared" si="14"/>
        <v>0</v>
      </c>
      <c r="Y476">
        <f>VLOOKUP(D476,'[1]Cost Sheet'!$C:$D,2,0)</f>
        <v>61.3</v>
      </c>
      <c r="Z476" s="3">
        <f t="shared" si="15"/>
        <v>0</v>
      </c>
    </row>
    <row r="477" spans="1:26" x14ac:dyDescent="0.3">
      <c r="A477" s="7" t="s">
        <v>21</v>
      </c>
      <c r="B477" t="s">
        <v>238</v>
      </c>
      <c r="C477" t="s">
        <v>239</v>
      </c>
      <c r="D477" t="s">
        <v>240</v>
      </c>
      <c r="E477" t="s">
        <v>241</v>
      </c>
      <c r="F477" t="s">
        <v>26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 t="s">
        <v>33</v>
      </c>
      <c r="W477" s="2">
        <v>67.69</v>
      </c>
      <c r="X477" s="3">
        <f t="shared" si="14"/>
        <v>67.69</v>
      </c>
      <c r="Y477">
        <f>VLOOKUP(D477,'[1]Cost Sheet'!$C:$D,2,0)</f>
        <v>61.3</v>
      </c>
      <c r="Z477" s="3">
        <f t="shared" si="15"/>
        <v>61.3</v>
      </c>
    </row>
    <row r="478" spans="1:26" x14ac:dyDescent="0.3">
      <c r="A478" s="7" t="s">
        <v>21</v>
      </c>
      <c r="B478" t="s">
        <v>238</v>
      </c>
      <c r="C478" t="s">
        <v>239</v>
      </c>
      <c r="D478" t="s">
        <v>240</v>
      </c>
      <c r="E478" t="s">
        <v>241</v>
      </c>
      <c r="F478" t="s">
        <v>26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7</v>
      </c>
      <c r="T478">
        <v>0</v>
      </c>
      <c r="U478" t="s">
        <v>46</v>
      </c>
      <c r="W478" s="2">
        <v>67.69</v>
      </c>
      <c r="X478" s="3">
        <f t="shared" si="14"/>
        <v>473.83</v>
      </c>
      <c r="Y478">
        <f>VLOOKUP(D478,'[1]Cost Sheet'!$C:$D,2,0)</f>
        <v>61.3</v>
      </c>
      <c r="Z478" s="3">
        <f t="shared" si="15"/>
        <v>429.09999999999997</v>
      </c>
    </row>
    <row r="479" spans="1:26" x14ac:dyDescent="0.3">
      <c r="A479" s="7" t="s">
        <v>21</v>
      </c>
      <c r="B479" t="s">
        <v>238</v>
      </c>
      <c r="C479" t="s">
        <v>239</v>
      </c>
      <c r="D479" t="s">
        <v>240</v>
      </c>
      <c r="E479" t="s">
        <v>241</v>
      </c>
      <c r="F479" t="s">
        <v>26</v>
      </c>
      <c r="G479">
        <v>46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46</v>
      </c>
      <c r="T479">
        <v>0</v>
      </c>
      <c r="U479" t="s">
        <v>47</v>
      </c>
      <c r="W479" s="2">
        <v>67.69</v>
      </c>
      <c r="X479" s="3">
        <f t="shared" si="14"/>
        <v>3113.74</v>
      </c>
      <c r="Y479">
        <f>VLOOKUP(D479,'[1]Cost Sheet'!$C:$D,2,0)</f>
        <v>61.3</v>
      </c>
      <c r="Z479" s="3">
        <f t="shared" si="15"/>
        <v>2819.7999999999997</v>
      </c>
    </row>
    <row r="480" spans="1:26" x14ac:dyDescent="0.3">
      <c r="A480" s="7" t="s">
        <v>21</v>
      </c>
      <c r="B480" t="s">
        <v>238</v>
      </c>
      <c r="C480" t="s">
        <v>239</v>
      </c>
      <c r="D480" t="s">
        <v>240</v>
      </c>
      <c r="E480" t="s">
        <v>241</v>
      </c>
      <c r="F480" t="s">
        <v>26</v>
      </c>
      <c r="G480">
        <v>9</v>
      </c>
      <c r="H480">
        <v>0</v>
      </c>
      <c r="I480">
        <v>0</v>
      </c>
      <c r="J480">
        <v>-1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8</v>
      </c>
      <c r="T480">
        <v>0</v>
      </c>
      <c r="U480" t="s">
        <v>40</v>
      </c>
      <c r="W480" s="2">
        <v>67.69</v>
      </c>
      <c r="X480" s="3">
        <f t="shared" si="14"/>
        <v>541.52</v>
      </c>
      <c r="Y480">
        <f>VLOOKUP(D480,'[1]Cost Sheet'!$C:$D,2,0)</f>
        <v>61.3</v>
      </c>
      <c r="Z480" s="3">
        <f t="shared" si="15"/>
        <v>490.4</v>
      </c>
    </row>
    <row r="481" spans="1:26" x14ac:dyDescent="0.3">
      <c r="A481" s="7" t="s">
        <v>21</v>
      </c>
      <c r="B481" t="s">
        <v>238</v>
      </c>
      <c r="C481" t="s">
        <v>239</v>
      </c>
      <c r="D481" t="s">
        <v>240</v>
      </c>
      <c r="E481" t="s">
        <v>241</v>
      </c>
      <c r="F481" t="s">
        <v>26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 t="s">
        <v>113</v>
      </c>
      <c r="W481" s="2">
        <v>67.69</v>
      </c>
      <c r="X481" s="3">
        <f t="shared" si="14"/>
        <v>67.69</v>
      </c>
      <c r="Y481">
        <f>VLOOKUP(D481,'[1]Cost Sheet'!$C:$D,2,0)</f>
        <v>61.3</v>
      </c>
      <c r="Z481" s="3">
        <f t="shared" si="15"/>
        <v>61.3</v>
      </c>
    </row>
    <row r="482" spans="1:26" x14ac:dyDescent="0.3">
      <c r="A482" s="7" t="s">
        <v>21</v>
      </c>
      <c r="B482" t="s">
        <v>238</v>
      </c>
      <c r="C482" t="s">
        <v>239</v>
      </c>
      <c r="D482" t="s">
        <v>240</v>
      </c>
      <c r="E482" t="s">
        <v>241</v>
      </c>
      <c r="F482" t="s">
        <v>26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</v>
      </c>
      <c r="T482">
        <v>0</v>
      </c>
      <c r="U482" t="s">
        <v>48</v>
      </c>
      <c r="W482" s="2">
        <v>67.69</v>
      </c>
      <c r="X482" s="3">
        <f t="shared" si="14"/>
        <v>203.07</v>
      </c>
      <c r="Y482">
        <f>VLOOKUP(D482,'[1]Cost Sheet'!$C:$D,2,0)</f>
        <v>61.3</v>
      </c>
      <c r="Z482" s="3">
        <f t="shared" si="15"/>
        <v>183.89999999999998</v>
      </c>
    </row>
    <row r="483" spans="1:26" x14ac:dyDescent="0.3">
      <c r="A483" s="7" t="s">
        <v>21</v>
      </c>
      <c r="B483" t="s">
        <v>238</v>
      </c>
      <c r="C483" t="s">
        <v>239</v>
      </c>
      <c r="D483" t="s">
        <v>240</v>
      </c>
      <c r="E483" t="s">
        <v>241</v>
      </c>
      <c r="F483" t="s">
        <v>26</v>
      </c>
      <c r="G483">
        <v>40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40</v>
      </c>
      <c r="T483">
        <v>0</v>
      </c>
      <c r="U483" t="s">
        <v>59</v>
      </c>
      <c r="W483" s="2">
        <v>67.69</v>
      </c>
      <c r="X483" s="3">
        <f t="shared" si="14"/>
        <v>2707.6</v>
      </c>
      <c r="Y483">
        <f>VLOOKUP(D483,'[1]Cost Sheet'!$C:$D,2,0)</f>
        <v>61.3</v>
      </c>
      <c r="Z483" s="3">
        <f t="shared" si="15"/>
        <v>2452</v>
      </c>
    </row>
    <row r="484" spans="1:26" x14ac:dyDescent="0.3">
      <c r="A484" s="7" t="s">
        <v>21</v>
      </c>
      <c r="B484" t="s">
        <v>238</v>
      </c>
      <c r="C484" t="s">
        <v>239</v>
      </c>
      <c r="D484" t="s">
        <v>240</v>
      </c>
      <c r="E484" t="s">
        <v>241</v>
      </c>
      <c r="F484" t="s">
        <v>26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6</v>
      </c>
      <c r="T484">
        <v>0</v>
      </c>
      <c r="U484" t="s">
        <v>27</v>
      </c>
      <c r="W484" s="2">
        <v>67.69</v>
      </c>
      <c r="X484" s="3">
        <f t="shared" si="14"/>
        <v>406.14</v>
      </c>
      <c r="Y484">
        <f>VLOOKUP(D484,'[1]Cost Sheet'!$C:$D,2,0)</f>
        <v>61.3</v>
      </c>
      <c r="Z484" s="3">
        <f t="shared" si="15"/>
        <v>367.79999999999995</v>
      </c>
    </row>
    <row r="485" spans="1:26" x14ac:dyDescent="0.3">
      <c r="A485" s="7" t="s">
        <v>21</v>
      </c>
      <c r="B485" t="s">
        <v>242</v>
      </c>
      <c r="C485" t="s">
        <v>243</v>
      </c>
      <c r="D485" t="s">
        <v>244</v>
      </c>
      <c r="E485" t="s">
        <v>245</v>
      </c>
      <c r="F485" t="s">
        <v>106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 t="s">
        <v>45</v>
      </c>
      <c r="W485" s="2">
        <v>43.38</v>
      </c>
      <c r="X485" s="3">
        <f t="shared" si="14"/>
        <v>43.38</v>
      </c>
      <c r="Y485">
        <f>VLOOKUP(D485,'[1]Cost Sheet'!$C:$D,2,0)</f>
        <v>43.38</v>
      </c>
      <c r="Z485" s="3">
        <f t="shared" si="15"/>
        <v>43.38</v>
      </c>
    </row>
    <row r="486" spans="1:26" x14ac:dyDescent="0.3">
      <c r="A486" s="7" t="s">
        <v>21</v>
      </c>
      <c r="B486" t="s">
        <v>242</v>
      </c>
      <c r="C486" t="s">
        <v>243</v>
      </c>
      <c r="D486" t="s">
        <v>244</v>
      </c>
      <c r="E486" t="s">
        <v>245</v>
      </c>
      <c r="F486" t="s">
        <v>106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</v>
      </c>
      <c r="T486">
        <v>0</v>
      </c>
      <c r="U486" t="s">
        <v>32</v>
      </c>
      <c r="W486" s="2">
        <v>43.38</v>
      </c>
      <c r="X486" s="3">
        <f t="shared" si="14"/>
        <v>86.76</v>
      </c>
      <c r="Y486">
        <f>VLOOKUP(D486,'[1]Cost Sheet'!$C:$D,2,0)</f>
        <v>43.38</v>
      </c>
      <c r="Z486" s="3">
        <f t="shared" si="15"/>
        <v>86.76</v>
      </c>
    </row>
    <row r="487" spans="1:26" x14ac:dyDescent="0.3">
      <c r="A487" s="7" t="s">
        <v>21</v>
      </c>
      <c r="B487" t="s">
        <v>242</v>
      </c>
      <c r="C487" t="s">
        <v>243</v>
      </c>
      <c r="D487" t="s">
        <v>244</v>
      </c>
      <c r="E487" t="s">
        <v>245</v>
      </c>
      <c r="F487" t="s">
        <v>106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 t="s">
        <v>46</v>
      </c>
      <c r="W487" s="2">
        <v>43.38</v>
      </c>
      <c r="X487" s="3">
        <f t="shared" si="14"/>
        <v>43.38</v>
      </c>
      <c r="Y487">
        <f>VLOOKUP(D487,'[1]Cost Sheet'!$C:$D,2,0)</f>
        <v>43.38</v>
      </c>
      <c r="Z487" s="3">
        <f t="shared" si="15"/>
        <v>43.38</v>
      </c>
    </row>
    <row r="488" spans="1:26" x14ac:dyDescent="0.3">
      <c r="A488" s="7" t="s">
        <v>21</v>
      </c>
      <c r="B488" t="s">
        <v>242</v>
      </c>
      <c r="C488" t="s">
        <v>243</v>
      </c>
      <c r="D488" t="s">
        <v>244</v>
      </c>
      <c r="E488" t="s">
        <v>245</v>
      </c>
      <c r="F488" t="s">
        <v>130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0</v>
      </c>
      <c r="U488" t="s">
        <v>46</v>
      </c>
      <c r="W488" s="2">
        <v>43.38</v>
      </c>
      <c r="X488" s="3">
        <f t="shared" si="14"/>
        <v>130.14000000000001</v>
      </c>
      <c r="Y488">
        <f>VLOOKUP(D488,'[1]Cost Sheet'!$C:$D,2,0)</f>
        <v>43.38</v>
      </c>
      <c r="Z488" s="3">
        <f t="shared" si="15"/>
        <v>130.14000000000001</v>
      </c>
    </row>
    <row r="489" spans="1:26" x14ac:dyDescent="0.3">
      <c r="A489" s="7" t="s">
        <v>21</v>
      </c>
      <c r="B489" t="s">
        <v>242</v>
      </c>
      <c r="C489" t="s">
        <v>243</v>
      </c>
      <c r="D489" t="s">
        <v>244</v>
      </c>
      <c r="E489" t="s">
        <v>245</v>
      </c>
      <c r="F489" t="s">
        <v>130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 t="s">
        <v>27</v>
      </c>
      <c r="W489" s="2">
        <v>43.38</v>
      </c>
      <c r="X489" s="3">
        <f t="shared" si="14"/>
        <v>43.38</v>
      </c>
      <c r="Y489">
        <f>VLOOKUP(D489,'[1]Cost Sheet'!$C:$D,2,0)</f>
        <v>43.38</v>
      </c>
      <c r="Z489" s="3">
        <f t="shared" si="15"/>
        <v>43.38</v>
      </c>
    </row>
    <row r="490" spans="1:26" x14ac:dyDescent="0.3">
      <c r="A490" s="7" t="s">
        <v>21</v>
      </c>
      <c r="B490" t="s">
        <v>242</v>
      </c>
      <c r="C490" t="s">
        <v>243</v>
      </c>
      <c r="D490" t="s">
        <v>244</v>
      </c>
      <c r="E490" t="s">
        <v>245</v>
      </c>
      <c r="F490" t="s">
        <v>26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 t="s">
        <v>38</v>
      </c>
      <c r="W490" s="2">
        <v>43.38</v>
      </c>
      <c r="X490" s="3">
        <f t="shared" si="14"/>
        <v>43.38</v>
      </c>
      <c r="Y490">
        <f>VLOOKUP(D490,'[1]Cost Sheet'!$C:$D,2,0)</f>
        <v>43.38</v>
      </c>
      <c r="Z490" s="3">
        <f t="shared" si="15"/>
        <v>43.38</v>
      </c>
    </row>
    <row r="491" spans="1:26" x14ac:dyDescent="0.3">
      <c r="A491" s="7" t="s">
        <v>21</v>
      </c>
      <c r="B491" t="s">
        <v>242</v>
      </c>
      <c r="C491" t="s">
        <v>243</v>
      </c>
      <c r="D491" t="s">
        <v>244</v>
      </c>
      <c r="E491" t="s">
        <v>245</v>
      </c>
      <c r="F491" t="s">
        <v>26</v>
      </c>
      <c r="G491">
        <v>12</v>
      </c>
      <c r="H491">
        <v>0</v>
      </c>
      <c r="I491">
        <v>0</v>
      </c>
      <c r="J491">
        <v>-3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9</v>
      </c>
      <c r="T491">
        <v>0</v>
      </c>
      <c r="U491" t="s">
        <v>39</v>
      </c>
      <c r="W491" s="2">
        <v>43.38</v>
      </c>
      <c r="X491" s="3">
        <f t="shared" si="14"/>
        <v>390.42</v>
      </c>
      <c r="Y491">
        <f>VLOOKUP(D491,'[1]Cost Sheet'!$C:$D,2,0)</f>
        <v>43.38</v>
      </c>
      <c r="Z491" s="3">
        <f t="shared" si="15"/>
        <v>390.42</v>
      </c>
    </row>
    <row r="492" spans="1:26" x14ac:dyDescent="0.3">
      <c r="A492" s="7" t="s">
        <v>21</v>
      </c>
      <c r="B492" t="s">
        <v>242</v>
      </c>
      <c r="C492" t="s">
        <v>243</v>
      </c>
      <c r="D492" t="s">
        <v>244</v>
      </c>
      <c r="E492" t="s">
        <v>245</v>
      </c>
      <c r="F492" t="s">
        <v>26</v>
      </c>
      <c r="G492">
        <v>14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14</v>
      </c>
      <c r="T492">
        <v>0</v>
      </c>
      <c r="U492" t="s">
        <v>32</v>
      </c>
      <c r="W492" s="2">
        <v>43.38</v>
      </c>
      <c r="X492" s="3">
        <f t="shared" si="14"/>
        <v>607.32000000000005</v>
      </c>
      <c r="Y492">
        <f>VLOOKUP(D492,'[1]Cost Sheet'!$C:$D,2,0)</f>
        <v>43.38</v>
      </c>
      <c r="Z492" s="3">
        <f t="shared" si="15"/>
        <v>607.32000000000005</v>
      </c>
    </row>
    <row r="493" spans="1:26" x14ac:dyDescent="0.3">
      <c r="A493" s="7" t="s">
        <v>21</v>
      </c>
      <c r="B493" t="s">
        <v>242</v>
      </c>
      <c r="C493" t="s">
        <v>243</v>
      </c>
      <c r="D493" t="s">
        <v>244</v>
      </c>
      <c r="E493" t="s">
        <v>245</v>
      </c>
      <c r="F493" t="s">
        <v>26</v>
      </c>
      <c r="G493">
        <v>0</v>
      </c>
      <c r="H493">
        <v>12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109</v>
      </c>
      <c r="W493" s="2">
        <v>43.38</v>
      </c>
      <c r="X493" s="3">
        <f t="shared" si="14"/>
        <v>0</v>
      </c>
      <c r="Y493">
        <f>VLOOKUP(D493,'[1]Cost Sheet'!$C:$D,2,0)</f>
        <v>43.38</v>
      </c>
      <c r="Z493" s="3">
        <f t="shared" si="15"/>
        <v>0</v>
      </c>
    </row>
    <row r="494" spans="1:26" x14ac:dyDescent="0.3">
      <c r="A494" s="7" t="s">
        <v>21</v>
      </c>
      <c r="B494" t="s">
        <v>242</v>
      </c>
      <c r="C494" t="s">
        <v>243</v>
      </c>
      <c r="D494" t="s">
        <v>244</v>
      </c>
      <c r="E494" t="s">
        <v>245</v>
      </c>
      <c r="F494" t="s">
        <v>26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-1</v>
      </c>
      <c r="S494">
        <v>0</v>
      </c>
      <c r="T494">
        <v>0</v>
      </c>
      <c r="U494" t="s">
        <v>33</v>
      </c>
      <c r="W494" s="2">
        <v>43.38</v>
      </c>
      <c r="X494" s="3">
        <f t="shared" si="14"/>
        <v>0</v>
      </c>
      <c r="Y494">
        <f>VLOOKUP(D494,'[1]Cost Sheet'!$C:$D,2,0)</f>
        <v>43.38</v>
      </c>
      <c r="Z494" s="3">
        <f t="shared" si="15"/>
        <v>0</v>
      </c>
    </row>
    <row r="495" spans="1:26" x14ac:dyDescent="0.3">
      <c r="A495" s="7" t="s">
        <v>21</v>
      </c>
      <c r="B495" t="s">
        <v>242</v>
      </c>
      <c r="C495" t="s">
        <v>243</v>
      </c>
      <c r="D495" t="s">
        <v>244</v>
      </c>
      <c r="E495" t="s">
        <v>245</v>
      </c>
      <c r="F495" t="s">
        <v>26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6</v>
      </c>
      <c r="T495">
        <v>0</v>
      </c>
      <c r="U495" t="s">
        <v>46</v>
      </c>
      <c r="W495" s="2">
        <v>43.38</v>
      </c>
      <c r="X495" s="3">
        <f t="shared" si="14"/>
        <v>260.28000000000003</v>
      </c>
      <c r="Y495">
        <f>VLOOKUP(D495,'[1]Cost Sheet'!$C:$D,2,0)</f>
        <v>43.38</v>
      </c>
      <c r="Z495" s="3">
        <f t="shared" si="15"/>
        <v>260.28000000000003</v>
      </c>
    </row>
    <row r="496" spans="1:26" x14ac:dyDescent="0.3">
      <c r="A496" s="7" t="s">
        <v>21</v>
      </c>
      <c r="B496" t="s">
        <v>242</v>
      </c>
      <c r="C496" t="s">
        <v>243</v>
      </c>
      <c r="D496" t="s">
        <v>244</v>
      </c>
      <c r="E496" t="s">
        <v>245</v>
      </c>
      <c r="F496" t="s">
        <v>26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</v>
      </c>
      <c r="T496">
        <v>0</v>
      </c>
      <c r="U496" t="s">
        <v>47</v>
      </c>
      <c r="W496" s="2">
        <v>43.38</v>
      </c>
      <c r="X496" s="3">
        <f t="shared" si="14"/>
        <v>86.76</v>
      </c>
      <c r="Y496">
        <f>VLOOKUP(D496,'[1]Cost Sheet'!$C:$D,2,0)</f>
        <v>43.38</v>
      </c>
      <c r="Z496" s="3">
        <f t="shared" si="15"/>
        <v>86.76</v>
      </c>
    </row>
    <row r="497" spans="1:26" x14ac:dyDescent="0.3">
      <c r="A497" s="7" t="s">
        <v>21</v>
      </c>
      <c r="B497" t="s">
        <v>242</v>
      </c>
      <c r="C497" t="s">
        <v>243</v>
      </c>
      <c r="D497" t="s">
        <v>244</v>
      </c>
      <c r="E497" t="s">
        <v>245</v>
      </c>
      <c r="F497" t="s">
        <v>26</v>
      </c>
      <c r="G497">
        <v>3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4</v>
      </c>
      <c r="T497">
        <v>0</v>
      </c>
      <c r="U497" t="s">
        <v>40</v>
      </c>
      <c r="W497" s="2">
        <v>43.38</v>
      </c>
      <c r="X497" s="3">
        <f t="shared" si="14"/>
        <v>173.52</v>
      </c>
      <c r="Y497">
        <f>VLOOKUP(D497,'[1]Cost Sheet'!$C:$D,2,0)</f>
        <v>43.38</v>
      </c>
      <c r="Z497" s="3">
        <f t="shared" si="15"/>
        <v>173.52</v>
      </c>
    </row>
    <row r="498" spans="1:26" x14ac:dyDescent="0.3">
      <c r="A498" s="7" t="s">
        <v>21</v>
      </c>
      <c r="B498" t="s">
        <v>242</v>
      </c>
      <c r="C498" t="s">
        <v>243</v>
      </c>
      <c r="D498" t="s">
        <v>244</v>
      </c>
      <c r="E498" t="s">
        <v>245</v>
      </c>
      <c r="F498" t="s">
        <v>26</v>
      </c>
      <c r="G498">
        <v>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9</v>
      </c>
      <c r="T498">
        <v>0</v>
      </c>
      <c r="U498" t="s">
        <v>113</v>
      </c>
      <c r="W498" s="2">
        <v>43.38</v>
      </c>
      <c r="X498" s="3">
        <f t="shared" si="14"/>
        <v>390.42</v>
      </c>
      <c r="Y498">
        <f>VLOOKUP(D498,'[1]Cost Sheet'!$C:$D,2,0)</f>
        <v>43.38</v>
      </c>
      <c r="Z498" s="3">
        <f t="shared" si="15"/>
        <v>390.42</v>
      </c>
    </row>
    <row r="499" spans="1:26" x14ac:dyDescent="0.3">
      <c r="A499" s="7" t="s">
        <v>21</v>
      </c>
      <c r="B499" t="s">
        <v>242</v>
      </c>
      <c r="C499" t="s">
        <v>243</v>
      </c>
      <c r="D499" t="s">
        <v>244</v>
      </c>
      <c r="E499" t="s">
        <v>245</v>
      </c>
      <c r="F499" t="s">
        <v>26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</v>
      </c>
      <c r="T499">
        <v>0</v>
      </c>
      <c r="U499" t="s">
        <v>48</v>
      </c>
      <c r="W499" s="2">
        <v>43.38</v>
      </c>
      <c r="X499" s="3">
        <f t="shared" si="14"/>
        <v>86.76</v>
      </c>
      <c r="Y499">
        <f>VLOOKUP(D499,'[1]Cost Sheet'!$C:$D,2,0)</f>
        <v>43.38</v>
      </c>
      <c r="Z499" s="3">
        <f t="shared" si="15"/>
        <v>86.76</v>
      </c>
    </row>
    <row r="500" spans="1:26" x14ac:dyDescent="0.3">
      <c r="A500" s="7" t="s">
        <v>21</v>
      </c>
      <c r="B500" t="s">
        <v>242</v>
      </c>
      <c r="C500" t="s">
        <v>243</v>
      </c>
      <c r="D500" t="s">
        <v>244</v>
      </c>
      <c r="E500" t="s">
        <v>245</v>
      </c>
      <c r="F500" t="s">
        <v>26</v>
      </c>
      <c r="G500">
        <v>39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39</v>
      </c>
      <c r="T500">
        <v>0</v>
      </c>
      <c r="U500" t="s">
        <v>59</v>
      </c>
      <c r="W500" s="2">
        <v>43.38</v>
      </c>
      <c r="X500" s="3">
        <f t="shared" si="14"/>
        <v>1691.8200000000002</v>
      </c>
      <c r="Y500">
        <f>VLOOKUP(D500,'[1]Cost Sheet'!$C:$D,2,0)</f>
        <v>43.38</v>
      </c>
      <c r="Z500" s="3">
        <f t="shared" si="15"/>
        <v>1691.8200000000002</v>
      </c>
    </row>
    <row r="501" spans="1:26" x14ac:dyDescent="0.3">
      <c r="A501" s="7" t="s">
        <v>21</v>
      </c>
      <c r="B501" t="s">
        <v>242</v>
      </c>
      <c r="C501" t="s">
        <v>243</v>
      </c>
      <c r="D501" t="s">
        <v>244</v>
      </c>
      <c r="E501" t="s">
        <v>245</v>
      </c>
      <c r="F501" t="s">
        <v>26</v>
      </c>
      <c r="G501">
        <v>0</v>
      </c>
      <c r="H501">
        <v>0</v>
      </c>
      <c r="I501">
        <v>0</v>
      </c>
      <c r="J501">
        <v>-1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27</v>
      </c>
      <c r="W501" s="2">
        <v>43.38</v>
      </c>
      <c r="X501" s="3">
        <f t="shared" si="14"/>
        <v>0</v>
      </c>
      <c r="Y501">
        <f>VLOOKUP(D501,'[1]Cost Sheet'!$C:$D,2,0)</f>
        <v>43.38</v>
      </c>
      <c r="Z501" s="3">
        <f t="shared" si="15"/>
        <v>0</v>
      </c>
    </row>
    <row r="502" spans="1:26" x14ac:dyDescent="0.3">
      <c r="A502" s="7" t="s">
        <v>21</v>
      </c>
      <c r="B502" t="s">
        <v>246</v>
      </c>
      <c r="C502" t="s">
        <v>247</v>
      </c>
      <c r="D502" t="s">
        <v>248</v>
      </c>
      <c r="E502" t="s">
        <v>249</v>
      </c>
      <c r="F502" t="s">
        <v>106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-1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107</v>
      </c>
      <c r="W502" s="2">
        <v>45.01</v>
      </c>
      <c r="X502" s="3">
        <f t="shared" si="14"/>
        <v>0</v>
      </c>
      <c r="Y502">
        <f>VLOOKUP(D502,'[1]Cost Sheet'!$C:$D,2,0)</f>
        <v>45.01</v>
      </c>
      <c r="Z502" s="3">
        <f t="shared" si="15"/>
        <v>0</v>
      </c>
    </row>
    <row r="503" spans="1:26" x14ac:dyDescent="0.3">
      <c r="A503" s="7" t="s">
        <v>21</v>
      </c>
      <c r="B503" t="s">
        <v>246</v>
      </c>
      <c r="C503" t="s">
        <v>247</v>
      </c>
      <c r="D503" t="s">
        <v>248</v>
      </c>
      <c r="E503" t="s">
        <v>249</v>
      </c>
      <c r="F503" t="s">
        <v>106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 t="s">
        <v>53</v>
      </c>
      <c r="W503" s="2">
        <v>45.01</v>
      </c>
      <c r="X503" s="3">
        <f t="shared" si="14"/>
        <v>45.01</v>
      </c>
      <c r="Y503">
        <f>VLOOKUP(D503,'[1]Cost Sheet'!$C:$D,2,0)</f>
        <v>45.01</v>
      </c>
      <c r="Z503" s="3">
        <f t="shared" si="15"/>
        <v>45.01</v>
      </c>
    </row>
    <row r="504" spans="1:26" x14ac:dyDescent="0.3">
      <c r="A504" s="7" t="s">
        <v>21</v>
      </c>
      <c r="B504" t="s">
        <v>246</v>
      </c>
      <c r="C504" t="s">
        <v>247</v>
      </c>
      <c r="D504" t="s">
        <v>248</v>
      </c>
      <c r="E504" t="s">
        <v>249</v>
      </c>
      <c r="F504" t="s">
        <v>26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 t="s">
        <v>54</v>
      </c>
      <c r="W504" s="2">
        <v>45.01</v>
      </c>
      <c r="X504" s="3">
        <f t="shared" si="14"/>
        <v>45.01</v>
      </c>
      <c r="Y504">
        <f>VLOOKUP(D504,'[1]Cost Sheet'!$C:$D,2,0)</f>
        <v>45.01</v>
      </c>
      <c r="Z504" s="3">
        <f t="shared" si="15"/>
        <v>45.01</v>
      </c>
    </row>
    <row r="505" spans="1:26" x14ac:dyDescent="0.3">
      <c r="A505" s="7" t="s">
        <v>21</v>
      </c>
      <c r="B505" t="s">
        <v>246</v>
      </c>
      <c r="C505" t="s">
        <v>247</v>
      </c>
      <c r="D505" t="s">
        <v>248</v>
      </c>
      <c r="E505" t="s">
        <v>249</v>
      </c>
      <c r="F505" t="s">
        <v>26</v>
      </c>
      <c r="G505">
        <v>1</v>
      </c>
      <c r="H505">
        <v>2</v>
      </c>
      <c r="I505">
        <v>0</v>
      </c>
      <c r="J505">
        <v>0</v>
      </c>
      <c r="K505">
        <v>2</v>
      </c>
      <c r="L505">
        <v>0</v>
      </c>
      <c r="M505">
        <v>-2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 t="s">
        <v>88</v>
      </c>
      <c r="W505" s="2">
        <v>45.01</v>
      </c>
      <c r="X505" s="3">
        <f t="shared" si="14"/>
        <v>45.01</v>
      </c>
      <c r="Y505">
        <f>VLOOKUP(D505,'[1]Cost Sheet'!$C:$D,2,0)</f>
        <v>45.01</v>
      </c>
      <c r="Z505" s="3">
        <f t="shared" si="15"/>
        <v>45.01</v>
      </c>
    </row>
    <row r="506" spans="1:26" x14ac:dyDescent="0.3">
      <c r="A506" s="7" t="s">
        <v>21</v>
      </c>
      <c r="B506" t="s">
        <v>250</v>
      </c>
      <c r="C506" t="s">
        <v>251</v>
      </c>
      <c r="D506" t="s">
        <v>252</v>
      </c>
      <c r="E506" t="s">
        <v>253</v>
      </c>
      <c r="F506" t="s">
        <v>26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8</v>
      </c>
      <c r="T506">
        <v>0</v>
      </c>
      <c r="U506" t="s">
        <v>48</v>
      </c>
      <c r="W506" s="2">
        <v>106.31</v>
      </c>
      <c r="X506" s="3">
        <f t="shared" si="14"/>
        <v>850.48</v>
      </c>
      <c r="Y506">
        <f>VLOOKUP(D506,'[1]Cost Sheet'!$C:$D,2,0)</f>
        <v>106.23</v>
      </c>
      <c r="Z506" s="3">
        <f t="shared" si="15"/>
        <v>849.84</v>
      </c>
    </row>
    <row r="507" spans="1:26" x14ac:dyDescent="0.3">
      <c r="A507" s="7" t="s">
        <v>21</v>
      </c>
      <c r="B507" t="s">
        <v>254</v>
      </c>
      <c r="C507" t="s">
        <v>255</v>
      </c>
      <c r="D507" t="s">
        <v>256</v>
      </c>
      <c r="E507" t="s">
        <v>257</v>
      </c>
      <c r="F507" t="s">
        <v>26</v>
      </c>
      <c r="G507">
        <v>1</v>
      </c>
      <c r="H507">
        <v>0</v>
      </c>
      <c r="I507">
        <v>0</v>
      </c>
      <c r="J507">
        <v>-1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32</v>
      </c>
      <c r="W507" s="2">
        <v>28.3</v>
      </c>
      <c r="X507" s="3">
        <f t="shared" si="14"/>
        <v>0</v>
      </c>
      <c r="Y507">
        <f>VLOOKUP(D507,'[1]Cost Sheet'!$C:$D,2,0)</f>
        <v>28.3</v>
      </c>
      <c r="Z507" s="3">
        <f t="shared" si="15"/>
        <v>0</v>
      </c>
    </row>
    <row r="508" spans="1:26" x14ac:dyDescent="0.3">
      <c r="A508" s="7" t="s">
        <v>21</v>
      </c>
      <c r="B508" t="s">
        <v>254</v>
      </c>
      <c r="C508" t="s">
        <v>255</v>
      </c>
      <c r="D508" t="s">
        <v>256</v>
      </c>
      <c r="E508" t="s">
        <v>257</v>
      </c>
      <c r="F508" t="s">
        <v>26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 t="s">
        <v>33</v>
      </c>
      <c r="W508" s="2">
        <v>28.3</v>
      </c>
      <c r="X508" s="3">
        <f t="shared" si="14"/>
        <v>28.3</v>
      </c>
      <c r="Y508">
        <f>VLOOKUP(D508,'[1]Cost Sheet'!$C:$D,2,0)</f>
        <v>28.3</v>
      </c>
      <c r="Z508" s="3">
        <f t="shared" si="15"/>
        <v>28.3</v>
      </c>
    </row>
    <row r="509" spans="1:26" x14ac:dyDescent="0.3">
      <c r="A509" s="7" t="s">
        <v>21</v>
      </c>
      <c r="B509" t="s">
        <v>258</v>
      </c>
      <c r="C509" t="s">
        <v>259</v>
      </c>
      <c r="D509" t="s">
        <v>260</v>
      </c>
      <c r="E509" t="s">
        <v>261</v>
      </c>
      <c r="F509" t="s">
        <v>26</v>
      </c>
      <c r="G509">
        <v>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8</v>
      </c>
      <c r="T509">
        <v>0</v>
      </c>
      <c r="U509" t="s">
        <v>32</v>
      </c>
      <c r="W509" s="2">
        <v>100.13</v>
      </c>
      <c r="X509" s="3">
        <f t="shared" si="14"/>
        <v>801.04</v>
      </c>
      <c r="Y509">
        <f>VLOOKUP(D509,'[1]Cost Sheet'!$C:$D,2,0)</f>
        <v>100.13</v>
      </c>
      <c r="Z509" s="3">
        <f t="shared" si="15"/>
        <v>801.04</v>
      </c>
    </row>
    <row r="510" spans="1:26" x14ac:dyDescent="0.3">
      <c r="A510" s="7" t="s">
        <v>21</v>
      </c>
      <c r="B510" t="s">
        <v>258</v>
      </c>
      <c r="C510" t="s">
        <v>259</v>
      </c>
      <c r="D510" t="s">
        <v>260</v>
      </c>
      <c r="E510" t="s">
        <v>261</v>
      </c>
      <c r="F510" t="s">
        <v>26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 t="s">
        <v>33</v>
      </c>
      <c r="W510" s="2">
        <v>100.13</v>
      </c>
      <c r="X510" s="3">
        <f t="shared" si="14"/>
        <v>100.13</v>
      </c>
      <c r="Y510">
        <f>VLOOKUP(D510,'[1]Cost Sheet'!$C:$D,2,0)</f>
        <v>100.13</v>
      </c>
      <c r="Z510" s="3">
        <f t="shared" si="15"/>
        <v>100.13</v>
      </c>
    </row>
    <row r="511" spans="1:26" x14ac:dyDescent="0.3">
      <c r="A511" s="7" t="s">
        <v>21</v>
      </c>
      <c r="B511" t="s">
        <v>262</v>
      </c>
      <c r="C511" t="s">
        <v>263</v>
      </c>
      <c r="D511" t="s">
        <v>264</v>
      </c>
      <c r="E511" t="s">
        <v>265</v>
      </c>
      <c r="F511" t="s">
        <v>26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 t="s">
        <v>47</v>
      </c>
      <c r="W511" s="2">
        <v>96.77</v>
      </c>
      <c r="X511" s="3">
        <f t="shared" si="14"/>
        <v>96.77</v>
      </c>
      <c r="Y511">
        <f>VLOOKUP(D511,'[1]Cost Sheet'!$C:$D,2,0)</f>
        <v>96.77</v>
      </c>
      <c r="Z511" s="3">
        <f t="shared" si="15"/>
        <v>96.77</v>
      </c>
    </row>
    <row r="512" spans="1:26" x14ac:dyDescent="0.3">
      <c r="A512" s="7" t="s">
        <v>21</v>
      </c>
      <c r="B512" t="s">
        <v>266</v>
      </c>
      <c r="C512" t="s">
        <v>267</v>
      </c>
      <c r="D512" t="s">
        <v>268</v>
      </c>
      <c r="E512" t="s">
        <v>269</v>
      </c>
      <c r="F512" t="s">
        <v>26</v>
      </c>
      <c r="G512">
        <v>190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190</v>
      </c>
      <c r="T512">
        <v>0</v>
      </c>
      <c r="U512" t="s">
        <v>38</v>
      </c>
      <c r="W512" s="2">
        <v>152.38000000000002</v>
      </c>
      <c r="X512" s="3">
        <f t="shared" si="14"/>
        <v>28952.200000000004</v>
      </c>
      <c r="Y512">
        <f>VLOOKUP(D512,'[1]Cost Sheet'!$C:$D,2,0)</f>
        <v>130.1</v>
      </c>
      <c r="Z512" s="3">
        <f t="shared" si="15"/>
        <v>24719</v>
      </c>
    </row>
    <row r="513" spans="1:26" x14ac:dyDescent="0.3">
      <c r="A513" s="7" t="s">
        <v>21</v>
      </c>
      <c r="B513" t="s">
        <v>266</v>
      </c>
      <c r="C513" t="s">
        <v>267</v>
      </c>
      <c r="D513" t="s">
        <v>268</v>
      </c>
      <c r="E513" t="s">
        <v>269</v>
      </c>
      <c r="F513" t="s">
        <v>26</v>
      </c>
      <c r="G513">
        <v>76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76</v>
      </c>
      <c r="T513">
        <v>0</v>
      </c>
      <c r="U513" t="s">
        <v>39</v>
      </c>
      <c r="W513" s="2">
        <v>152.38000000000002</v>
      </c>
      <c r="X513" s="3">
        <f t="shared" si="14"/>
        <v>11580.880000000001</v>
      </c>
      <c r="Y513">
        <f>VLOOKUP(D513,'[1]Cost Sheet'!$C:$D,2,0)</f>
        <v>130.1</v>
      </c>
      <c r="Z513" s="3">
        <f t="shared" si="15"/>
        <v>9887.6</v>
      </c>
    </row>
    <row r="514" spans="1:26" x14ac:dyDescent="0.3">
      <c r="A514" s="7" t="s">
        <v>21</v>
      </c>
      <c r="B514" t="s">
        <v>266</v>
      </c>
      <c r="C514" t="s">
        <v>267</v>
      </c>
      <c r="D514" t="s">
        <v>268</v>
      </c>
      <c r="E514" t="s">
        <v>269</v>
      </c>
      <c r="F514" t="s">
        <v>26</v>
      </c>
      <c r="G514">
        <v>253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253</v>
      </c>
      <c r="T514">
        <v>0</v>
      </c>
      <c r="U514" t="s">
        <v>54</v>
      </c>
      <c r="W514" s="2">
        <v>152.38000000000002</v>
      </c>
      <c r="X514" s="3">
        <f t="shared" si="14"/>
        <v>38552.140000000007</v>
      </c>
      <c r="Y514">
        <f>VLOOKUP(D514,'[1]Cost Sheet'!$C:$D,2,0)</f>
        <v>130.1</v>
      </c>
      <c r="Z514" s="3">
        <f t="shared" si="15"/>
        <v>32915.299999999996</v>
      </c>
    </row>
    <row r="515" spans="1:26" x14ac:dyDescent="0.3">
      <c r="A515" s="7" t="s">
        <v>21</v>
      </c>
      <c r="B515" t="s">
        <v>266</v>
      </c>
      <c r="C515" t="s">
        <v>267</v>
      </c>
      <c r="D515" t="s">
        <v>268</v>
      </c>
      <c r="E515" t="s">
        <v>269</v>
      </c>
      <c r="F515" t="s">
        <v>26</v>
      </c>
      <c r="G515">
        <v>100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100</v>
      </c>
      <c r="T515">
        <v>0</v>
      </c>
      <c r="U515" t="s">
        <v>46</v>
      </c>
      <c r="W515" s="2">
        <v>152.38000000000002</v>
      </c>
      <c r="X515" s="3">
        <f t="shared" ref="X515:X578" si="16">S515*W515</f>
        <v>15238.000000000002</v>
      </c>
      <c r="Y515">
        <f>VLOOKUP(D515,'[1]Cost Sheet'!$C:$D,2,0)</f>
        <v>130.1</v>
      </c>
      <c r="Z515" s="3">
        <f t="shared" ref="Z515:Z578" si="17">Y515*S515</f>
        <v>13010</v>
      </c>
    </row>
    <row r="516" spans="1:26" x14ac:dyDescent="0.3">
      <c r="A516" s="7" t="s">
        <v>21</v>
      </c>
      <c r="B516" t="s">
        <v>270</v>
      </c>
      <c r="C516" t="s">
        <v>271</v>
      </c>
      <c r="D516" t="s">
        <v>272</v>
      </c>
      <c r="E516" t="s">
        <v>273</v>
      </c>
      <c r="F516" t="s">
        <v>26</v>
      </c>
      <c r="G516">
        <v>12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12</v>
      </c>
      <c r="T516">
        <v>0</v>
      </c>
      <c r="U516" t="s">
        <v>39</v>
      </c>
      <c r="W516" s="2">
        <v>237.14</v>
      </c>
      <c r="X516" s="3">
        <f t="shared" si="16"/>
        <v>2845.68</v>
      </c>
      <c r="Y516">
        <f>VLOOKUP(D516,'[1]Cost Sheet'!$C:$D,2,0)</f>
        <v>431.97</v>
      </c>
      <c r="Z516" s="3">
        <f t="shared" si="17"/>
        <v>5183.6400000000003</v>
      </c>
    </row>
    <row r="517" spans="1:26" x14ac:dyDescent="0.3">
      <c r="A517" s="7" t="s">
        <v>21</v>
      </c>
      <c r="B517" t="s">
        <v>274</v>
      </c>
      <c r="C517" t="s">
        <v>275</v>
      </c>
      <c r="D517" t="s">
        <v>276</v>
      </c>
      <c r="E517" t="s">
        <v>277</v>
      </c>
      <c r="F517" t="s">
        <v>106</v>
      </c>
      <c r="G517">
        <v>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6</v>
      </c>
      <c r="T517">
        <v>0</v>
      </c>
      <c r="U517" t="s">
        <v>32</v>
      </c>
      <c r="W517" s="2">
        <v>49.06</v>
      </c>
      <c r="X517" s="3">
        <f t="shared" si="16"/>
        <v>294.36</v>
      </c>
      <c r="Y517">
        <f>VLOOKUP(D517,'[1]Cost Sheet'!$C:$D,2,0)</f>
        <v>49.08</v>
      </c>
      <c r="Z517" s="3">
        <f t="shared" si="17"/>
        <v>294.48</v>
      </c>
    </row>
    <row r="518" spans="1:26" x14ac:dyDescent="0.3">
      <c r="A518" s="7" t="s">
        <v>21</v>
      </c>
      <c r="B518" t="s">
        <v>274</v>
      </c>
      <c r="C518" t="s">
        <v>275</v>
      </c>
      <c r="D518" t="s">
        <v>276</v>
      </c>
      <c r="E518" t="s">
        <v>277</v>
      </c>
      <c r="F518" t="s">
        <v>26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</v>
      </c>
      <c r="T518">
        <v>0</v>
      </c>
      <c r="U518" t="s">
        <v>109</v>
      </c>
      <c r="W518" s="2">
        <v>49.06</v>
      </c>
      <c r="X518" s="3">
        <f t="shared" si="16"/>
        <v>147.18</v>
      </c>
      <c r="Y518">
        <f>VLOOKUP(D518,'[1]Cost Sheet'!$C:$D,2,0)</f>
        <v>49.08</v>
      </c>
      <c r="Z518" s="3">
        <f t="shared" si="17"/>
        <v>147.24</v>
      </c>
    </row>
    <row r="519" spans="1:26" x14ac:dyDescent="0.3">
      <c r="A519" s="7" t="s">
        <v>21</v>
      </c>
      <c r="B519" t="s">
        <v>274</v>
      </c>
      <c r="C519" t="s">
        <v>275</v>
      </c>
      <c r="D519" t="s">
        <v>276</v>
      </c>
      <c r="E519" t="s">
        <v>277</v>
      </c>
      <c r="F519" t="s">
        <v>26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 t="s">
        <v>47</v>
      </c>
      <c r="W519" s="2">
        <v>49.06</v>
      </c>
      <c r="X519" s="3">
        <f t="shared" si="16"/>
        <v>49.06</v>
      </c>
      <c r="Y519">
        <f>VLOOKUP(D519,'[1]Cost Sheet'!$C:$D,2,0)</f>
        <v>49.08</v>
      </c>
      <c r="Z519" s="3">
        <f t="shared" si="17"/>
        <v>49.08</v>
      </c>
    </row>
    <row r="520" spans="1:26" x14ac:dyDescent="0.3">
      <c r="A520" s="7" t="s">
        <v>21</v>
      </c>
      <c r="B520" t="s">
        <v>278</v>
      </c>
      <c r="C520" t="s">
        <v>279</v>
      </c>
      <c r="D520" t="s">
        <v>280</v>
      </c>
      <c r="E520" t="s">
        <v>281</v>
      </c>
      <c r="F520" t="s">
        <v>125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 t="s">
        <v>108</v>
      </c>
      <c r="W520" s="2">
        <v>50.854210526315775</v>
      </c>
      <c r="X520" s="3">
        <f t="shared" si="16"/>
        <v>50.854210526315775</v>
      </c>
      <c r="Y520">
        <f>VLOOKUP(D520,'[1]Cost Sheet'!$C:$D,2,0)</f>
        <v>50.8</v>
      </c>
      <c r="Z520" s="3">
        <f t="shared" si="17"/>
        <v>50.8</v>
      </c>
    </row>
    <row r="521" spans="1:26" x14ac:dyDescent="0.3">
      <c r="A521" s="7" t="s">
        <v>21</v>
      </c>
      <c r="B521" t="s">
        <v>278</v>
      </c>
      <c r="C521" t="s">
        <v>279</v>
      </c>
      <c r="D521" t="s">
        <v>280</v>
      </c>
      <c r="E521" t="s">
        <v>281</v>
      </c>
      <c r="F521" t="s">
        <v>125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 t="s">
        <v>88</v>
      </c>
      <c r="W521" s="2">
        <v>50.854210526315775</v>
      </c>
      <c r="X521" s="3">
        <f t="shared" si="16"/>
        <v>50.854210526315775</v>
      </c>
      <c r="Y521">
        <f>VLOOKUP(D521,'[1]Cost Sheet'!$C:$D,2,0)</f>
        <v>50.8</v>
      </c>
      <c r="Z521" s="3">
        <f t="shared" si="17"/>
        <v>50.8</v>
      </c>
    </row>
    <row r="522" spans="1:26" x14ac:dyDescent="0.3">
      <c r="A522" s="7" t="s">
        <v>21</v>
      </c>
      <c r="B522" t="s">
        <v>278</v>
      </c>
      <c r="C522" t="s">
        <v>279</v>
      </c>
      <c r="D522" t="s">
        <v>280</v>
      </c>
      <c r="E522" t="s">
        <v>281</v>
      </c>
      <c r="F522" t="s">
        <v>125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 t="s">
        <v>46</v>
      </c>
      <c r="W522" s="2">
        <v>50.854210526315775</v>
      </c>
      <c r="X522" s="3">
        <f t="shared" si="16"/>
        <v>50.854210526315775</v>
      </c>
      <c r="Y522">
        <f>VLOOKUP(D522,'[1]Cost Sheet'!$C:$D,2,0)</f>
        <v>50.8</v>
      </c>
      <c r="Z522" s="3">
        <f t="shared" si="17"/>
        <v>50.8</v>
      </c>
    </row>
    <row r="523" spans="1:26" x14ac:dyDescent="0.3">
      <c r="A523" s="7" t="s">
        <v>21</v>
      </c>
      <c r="B523" t="s">
        <v>278</v>
      </c>
      <c r="C523" t="s">
        <v>279</v>
      </c>
      <c r="D523" t="s">
        <v>280</v>
      </c>
      <c r="E523" t="s">
        <v>281</v>
      </c>
      <c r="F523" t="s">
        <v>106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0</v>
      </c>
      <c r="U523" t="s">
        <v>38</v>
      </c>
      <c r="W523" s="2">
        <v>50.854210526315775</v>
      </c>
      <c r="X523" s="3">
        <f t="shared" si="16"/>
        <v>101.70842105263155</v>
      </c>
      <c r="Y523">
        <f>VLOOKUP(D523,'[1]Cost Sheet'!$C:$D,2,0)</f>
        <v>50.8</v>
      </c>
      <c r="Z523" s="3">
        <f t="shared" si="17"/>
        <v>101.6</v>
      </c>
    </row>
    <row r="524" spans="1:26" x14ac:dyDescent="0.3">
      <c r="A524" s="7" t="s">
        <v>21</v>
      </c>
      <c r="B524" t="s">
        <v>278</v>
      </c>
      <c r="C524" t="s">
        <v>279</v>
      </c>
      <c r="D524" t="s">
        <v>280</v>
      </c>
      <c r="E524" t="s">
        <v>281</v>
      </c>
      <c r="F524" t="s">
        <v>106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 t="s">
        <v>53</v>
      </c>
      <c r="W524" s="2">
        <v>50.854210526315775</v>
      </c>
      <c r="X524" s="3">
        <f t="shared" si="16"/>
        <v>50.854210526315775</v>
      </c>
      <c r="Y524">
        <f>VLOOKUP(D524,'[1]Cost Sheet'!$C:$D,2,0)</f>
        <v>50.8</v>
      </c>
      <c r="Z524" s="3">
        <f t="shared" si="17"/>
        <v>50.8</v>
      </c>
    </row>
    <row r="525" spans="1:26" x14ac:dyDescent="0.3">
      <c r="A525" s="7" t="s">
        <v>21</v>
      </c>
      <c r="B525" t="s">
        <v>278</v>
      </c>
      <c r="C525" t="s">
        <v>279</v>
      </c>
      <c r="D525" t="s">
        <v>280</v>
      </c>
      <c r="E525" t="s">
        <v>281</v>
      </c>
      <c r="F525" t="s">
        <v>106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</v>
      </c>
      <c r="T525">
        <v>0</v>
      </c>
      <c r="U525" t="s">
        <v>32</v>
      </c>
      <c r="W525" s="2">
        <v>50.854210526315775</v>
      </c>
      <c r="X525" s="3">
        <f t="shared" si="16"/>
        <v>254.27105263157887</v>
      </c>
      <c r="Y525">
        <f>VLOOKUP(D525,'[1]Cost Sheet'!$C:$D,2,0)</f>
        <v>50.8</v>
      </c>
      <c r="Z525" s="3">
        <f t="shared" si="17"/>
        <v>254</v>
      </c>
    </row>
    <row r="526" spans="1:26" x14ac:dyDescent="0.3">
      <c r="A526" s="7" t="s">
        <v>21</v>
      </c>
      <c r="B526" t="s">
        <v>278</v>
      </c>
      <c r="C526" t="s">
        <v>279</v>
      </c>
      <c r="D526" t="s">
        <v>280</v>
      </c>
      <c r="E526" t="s">
        <v>281</v>
      </c>
      <c r="F526" t="s">
        <v>106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6</v>
      </c>
      <c r="T526">
        <v>0</v>
      </c>
      <c r="U526" t="s">
        <v>33</v>
      </c>
      <c r="W526" s="2">
        <v>50.854210526315775</v>
      </c>
      <c r="X526" s="3">
        <f t="shared" si="16"/>
        <v>305.12526315789466</v>
      </c>
      <c r="Y526">
        <f>VLOOKUP(D526,'[1]Cost Sheet'!$C:$D,2,0)</f>
        <v>50.8</v>
      </c>
      <c r="Z526" s="3">
        <f t="shared" si="17"/>
        <v>304.79999999999995</v>
      </c>
    </row>
    <row r="527" spans="1:26" x14ac:dyDescent="0.3">
      <c r="A527" s="7" t="s">
        <v>21</v>
      </c>
      <c r="B527" t="s">
        <v>278</v>
      </c>
      <c r="C527" t="s">
        <v>279</v>
      </c>
      <c r="D527" t="s">
        <v>280</v>
      </c>
      <c r="E527" t="s">
        <v>281</v>
      </c>
      <c r="F527" t="s">
        <v>106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</v>
      </c>
      <c r="T527">
        <v>0</v>
      </c>
      <c r="U527" t="s">
        <v>46</v>
      </c>
      <c r="W527" s="2">
        <v>50.854210526315775</v>
      </c>
      <c r="X527" s="3">
        <f t="shared" si="16"/>
        <v>101.70842105263155</v>
      </c>
      <c r="Y527">
        <f>VLOOKUP(D527,'[1]Cost Sheet'!$C:$D,2,0)</f>
        <v>50.8</v>
      </c>
      <c r="Z527" s="3">
        <f t="shared" si="17"/>
        <v>101.6</v>
      </c>
    </row>
    <row r="528" spans="1:26" x14ac:dyDescent="0.3">
      <c r="A528" s="7" t="s">
        <v>21</v>
      </c>
      <c r="B528" t="s">
        <v>278</v>
      </c>
      <c r="C528" t="s">
        <v>279</v>
      </c>
      <c r="D528" t="s">
        <v>280</v>
      </c>
      <c r="E528" t="s">
        <v>281</v>
      </c>
      <c r="F528" t="s">
        <v>106</v>
      </c>
      <c r="G528">
        <v>34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34</v>
      </c>
      <c r="T528">
        <v>0</v>
      </c>
      <c r="U528" t="s">
        <v>48</v>
      </c>
      <c r="W528" s="2">
        <v>50.854210526315775</v>
      </c>
      <c r="X528" s="3">
        <f t="shared" si="16"/>
        <v>1729.0431578947364</v>
      </c>
      <c r="Y528">
        <f>VLOOKUP(D528,'[1]Cost Sheet'!$C:$D,2,0)</f>
        <v>50.8</v>
      </c>
      <c r="Z528" s="3">
        <f t="shared" si="17"/>
        <v>1727.1999999999998</v>
      </c>
    </row>
    <row r="529" spans="1:26" x14ac:dyDescent="0.3">
      <c r="A529" s="7" t="s">
        <v>21</v>
      </c>
      <c r="B529" t="s">
        <v>278</v>
      </c>
      <c r="C529" t="s">
        <v>279</v>
      </c>
      <c r="D529" t="s">
        <v>280</v>
      </c>
      <c r="E529" t="s">
        <v>281</v>
      </c>
      <c r="F529" t="s">
        <v>106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 t="s">
        <v>27</v>
      </c>
      <c r="W529" s="2">
        <v>50.854210526315775</v>
      </c>
      <c r="X529" s="3">
        <f t="shared" si="16"/>
        <v>50.854210526315775</v>
      </c>
      <c r="Y529">
        <f>VLOOKUP(D529,'[1]Cost Sheet'!$C:$D,2,0)</f>
        <v>50.8</v>
      </c>
      <c r="Z529" s="3">
        <f t="shared" si="17"/>
        <v>50.8</v>
      </c>
    </row>
    <row r="530" spans="1:26" x14ac:dyDescent="0.3">
      <c r="A530" s="7" t="s">
        <v>21</v>
      </c>
      <c r="B530" t="s">
        <v>278</v>
      </c>
      <c r="C530" t="s">
        <v>279</v>
      </c>
      <c r="D530" t="s">
        <v>280</v>
      </c>
      <c r="E530" t="s">
        <v>281</v>
      </c>
      <c r="F530" t="s">
        <v>26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</v>
      </c>
      <c r="T530">
        <v>0</v>
      </c>
      <c r="U530" t="s">
        <v>38</v>
      </c>
      <c r="W530" s="2">
        <v>50.854210526315775</v>
      </c>
      <c r="X530" s="3">
        <f t="shared" si="16"/>
        <v>101.70842105263155</v>
      </c>
      <c r="Y530">
        <f>VLOOKUP(D530,'[1]Cost Sheet'!$C:$D,2,0)</f>
        <v>50.8</v>
      </c>
      <c r="Z530" s="3">
        <f t="shared" si="17"/>
        <v>101.6</v>
      </c>
    </row>
    <row r="531" spans="1:26" x14ac:dyDescent="0.3">
      <c r="A531" s="7" t="s">
        <v>21</v>
      </c>
      <c r="B531" t="s">
        <v>278</v>
      </c>
      <c r="C531" t="s">
        <v>279</v>
      </c>
      <c r="D531" t="s">
        <v>280</v>
      </c>
      <c r="E531" t="s">
        <v>281</v>
      </c>
      <c r="F531" t="s">
        <v>26</v>
      </c>
      <c r="G531">
        <v>0</v>
      </c>
      <c r="H531">
        <v>0</v>
      </c>
      <c r="I531">
        <v>0</v>
      </c>
      <c r="J531">
        <v>-4</v>
      </c>
      <c r="K531">
        <v>0</v>
      </c>
      <c r="L531">
        <v>0</v>
      </c>
      <c r="M531">
        <v>11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7</v>
      </c>
      <c r="T531">
        <v>0</v>
      </c>
      <c r="U531" t="s">
        <v>45</v>
      </c>
      <c r="W531" s="2">
        <v>50.854210526315775</v>
      </c>
      <c r="X531" s="3">
        <f t="shared" si="16"/>
        <v>355.9794736842104</v>
      </c>
      <c r="Y531">
        <f>VLOOKUP(D531,'[1]Cost Sheet'!$C:$D,2,0)</f>
        <v>50.8</v>
      </c>
      <c r="Z531" s="3">
        <f t="shared" si="17"/>
        <v>355.59999999999997</v>
      </c>
    </row>
    <row r="532" spans="1:26" x14ac:dyDescent="0.3">
      <c r="A532" s="7" t="s">
        <v>21</v>
      </c>
      <c r="B532" t="s">
        <v>278</v>
      </c>
      <c r="C532" t="s">
        <v>279</v>
      </c>
      <c r="D532" t="s">
        <v>280</v>
      </c>
      <c r="E532" t="s">
        <v>281</v>
      </c>
      <c r="F532" t="s">
        <v>26</v>
      </c>
      <c r="G532">
        <v>0</v>
      </c>
      <c r="H532">
        <v>1</v>
      </c>
      <c r="I532">
        <v>0</v>
      </c>
      <c r="J532">
        <v>0</v>
      </c>
      <c r="K532">
        <v>2</v>
      </c>
      <c r="L532">
        <v>0</v>
      </c>
      <c r="M532">
        <v>-1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 t="s">
        <v>108</v>
      </c>
      <c r="W532" s="2">
        <v>50.854210526315775</v>
      </c>
      <c r="X532" s="3">
        <f t="shared" si="16"/>
        <v>50.854210526315775</v>
      </c>
      <c r="Y532">
        <f>VLOOKUP(D532,'[1]Cost Sheet'!$C:$D,2,0)</f>
        <v>50.8</v>
      </c>
      <c r="Z532" s="3">
        <f t="shared" si="17"/>
        <v>50.8</v>
      </c>
    </row>
    <row r="533" spans="1:26" x14ac:dyDescent="0.3">
      <c r="A533" s="7" t="s">
        <v>21</v>
      </c>
      <c r="B533" t="s">
        <v>278</v>
      </c>
      <c r="C533" t="s">
        <v>279</v>
      </c>
      <c r="D533" t="s">
        <v>280</v>
      </c>
      <c r="E533" t="s">
        <v>281</v>
      </c>
      <c r="F533" t="s">
        <v>26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 t="s">
        <v>39</v>
      </c>
      <c r="W533" s="2">
        <v>50.854210526315775</v>
      </c>
      <c r="X533" s="3">
        <f t="shared" si="16"/>
        <v>50.854210526315775</v>
      </c>
      <c r="Y533">
        <f>VLOOKUP(D533,'[1]Cost Sheet'!$C:$D,2,0)</f>
        <v>50.8</v>
      </c>
      <c r="Z533" s="3">
        <f t="shared" si="17"/>
        <v>50.8</v>
      </c>
    </row>
    <row r="534" spans="1:26" x14ac:dyDescent="0.3">
      <c r="A534" s="7" t="s">
        <v>21</v>
      </c>
      <c r="B534" t="s">
        <v>278</v>
      </c>
      <c r="C534" t="s">
        <v>279</v>
      </c>
      <c r="D534" t="s">
        <v>280</v>
      </c>
      <c r="E534" t="s">
        <v>281</v>
      </c>
      <c r="F534" t="s">
        <v>26</v>
      </c>
      <c r="G534">
        <v>6</v>
      </c>
      <c r="H534">
        <v>0</v>
      </c>
      <c r="I534">
        <v>0</v>
      </c>
      <c r="J534">
        <v>-3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3</v>
      </c>
      <c r="T534">
        <v>0</v>
      </c>
      <c r="U534" t="s">
        <v>53</v>
      </c>
      <c r="W534" s="2">
        <v>50.854210526315775</v>
      </c>
      <c r="X534" s="3">
        <f t="shared" si="16"/>
        <v>152.56263157894733</v>
      </c>
      <c r="Y534">
        <f>VLOOKUP(D534,'[1]Cost Sheet'!$C:$D,2,0)</f>
        <v>50.8</v>
      </c>
      <c r="Z534" s="3">
        <f t="shared" si="17"/>
        <v>152.39999999999998</v>
      </c>
    </row>
    <row r="535" spans="1:26" x14ac:dyDescent="0.3">
      <c r="A535" s="7" t="s">
        <v>21</v>
      </c>
      <c r="B535" t="s">
        <v>278</v>
      </c>
      <c r="C535" t="s">
        <v>279</v>
      </c>
      <c r="D535" t="s">
        <v>280</v>
      </c>
      <c r="E535" t="s">
        <v>281</v>
      </c>
      <c r="F535" t="s">
        <v>26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</v>
      </c>
      <c r="T535">
        <v>0</v>
      </c>
      <c r="U535" t="s">
        <v>54</v>
      </c>
      <c r="W535" s="2">
        <v>50.854210526315775</v>
      </c>
      <c r="X535" s="3">
        <f t="shared" si="16"/>
        <v>101.70842105263155</v>
      </c>
      <c r="Y535">
        <f>VLOOKUP(D535,'[1]Cost Sheet'!$C:$D,2,0)</f>
        <v>50.8</v>
      </c>
      <c r="Z535" s="3">
        <f t="shared" si="17"/>
        <v>101.6</v>
      </c>
    </row>
    <row r="536" spans="1:26" x14ac:dyDescent="0.3">
      <c r="A536" s="7" t="s">
        <v>21</v>
      </c>
      <c r="B536" t="s">
        <v>278</v>
      </c>
      <c r="C536" t="s">
        <v>279</v>
      </c>
      <c r="D536" t="s">
        <v>280</v>
      </c>
      <c r="E536" t="s">
        <v>281</v>
      </c>
      <c r="F536" t="s">
        <v>26</v>
      </c>
      <c r="G536">
        <v>12</v>
      </c>
      <c r="H536">
        <v>0</v>
      </c>
      <c r="I536">
        <v>0</v>
      </c>
      <c r="J536">
        <v>-7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0</v>
      </c>
      <c r="U536" t="s">
        <v>32</v>
      </c>
      <c r="W536" s="2">
        <v>50.854210526315775</v>
      </c>
      <c r="X536" s="3">
        <f t="shared" si="16"/>
        <v>254.27105263157887</v>
      </c>
      <c r="Y536">
        <f>VLOOKUP(D536,'[1]Cost Sheet'!$C:$D,2,0)</f>
        <v>50.8</v>
      </c>
      <c r="Z536" s="3">
        <f t="shared" si="17"/>
        <v>254</v>
      </c>
    </row>
    <row r="537" spans="1:26" x14ac:dyDescent="0.3">
      <c r="A537" s="7" t="s">
        <v>21</v>
      </c>
      <c r="B537" t="s">
        <v>278</v>
      </c>
      <c r="C537" t="s">
        <v>279</v>
      </c>
      <c r="D537" t="s">
        <v>280</v>
      </c>
      <c r="E537" t="s">
        <v>281</v>
      </c>
      <c r="F537" t="s">
        <v>26</v>
      </c>
      <c r="G537">
        <v>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-1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 t="s">
        <v>88</v>
      </c>
      <c r="W537" s="2">
        <v>50.854210526315775</v>
      </c>
      <c r="X537" s="3">
        <f t="shared" si="16"/>
        <v>50.854210526315775</v>
      </c>
      <c r="Y537">
        <f>VLOOKUP(D537,'[1]Cost Sheet'!$C:$D,2,0)</f>
        <v>50.8</v>
      </c>
      <c r="Z537" s="3">
        <f t="shared" si="17"/>
        <v>50.8</v>
      </c>
    </row>
    <row r="538" spans="1:26" x14ac:dyDescent="0.3">
      <c r="A538" s="7" t="s">
        <v>21</v>
      </c>
      <c r="B538" t="s">
        <v>278</v>
      </c>
      <c r="C538" t="s">
        <v>279</v>
      </c>
      <c r="D538" t="s">
        <v>280</v>
      </c>
      <c r="E538" t="s">
        <v>281</v>
      </c>
      <c r="F538" t="s">
        <v>26</v>
      </c>
      <c r="G538">
        <v>1</v>
      </c>
      <c r="H538">
        <v>0</v>
      </c>
      <c r="I538">
        <v>0</v>
      </c>
      <c r="J538">
        <v>-1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 t="s">
        <v>33</v>
      </c>
      <c r="W538" s="2">
        <v>50.854210526315775</v>
      </c>
      <c r="X538" s="3">
        <f t="shared" si="16"/>
        <v>50.854210526315775</v>
      </c>
      <c r="Y538">
        <f>VLOOKUP(D538,'[1]Cost Sheet'!$C:$D,2,0)</f>
        <v>50.8</v>
      </c>
      <c r="Z538" s="3">
        <f t="shared" si="17"/>
        <v>50.8</v>
      </c>
    </row>
    <row r="539" spans="1:26" x14ac:dyDescent="0.3">
      <c r="A539" s="7" t="s">
        <v>21</v>
      </c>
      <c r="B539" t="s">
        <v>278</v>
      </c>
      <c r="C539" t="s">
        <v>279</v>
      </c>
      <c r="D539" t="s">
        <v>280</v>
      </c>
      <c r="E539" t="s">
        <v>281</v>
      </c>
      <c r="F539" t="s">
        <v>26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U539" t="s">
        <v>46</v>
      </c>
      <c r="W539" s="2">
        <v>50.854210526315775</v>
      </c>
      <c r="X539" s="3">
        <f t="shared" si="16"/>
        <v>101.70842105263155</v>
      </c>
      <c r="Y539">
        <f>VLOOKUP(D539,'[1]Cost Sheet'!$C:$D,2,0)</f>
        <v>50.8</v>
      </c>
      <c r="Z539" s="3">
        <f t="shared" si="17"/>
        <v>101.6</v>
      </c>
    </row>
    <row r="540" spans="1:26" x14ac:dyDescent="0.3">
      <c r="A540" s="7" t="s">
        <v>21</v>
      </c>
      <c r="B540" t="s">
        <v>278</v>
      </c>
      <c r="C540" t="s">
        <v>279</v>
      </c>
      <c r="D540" t="s">
        <v>280</v>
      </c>
      <c r="E540" t="s">
        <v>281</v>
      </c>
      <c r="F540" t="s">
        <v>26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 t="s">
        <v>47</v>
      </c>
      <c r="W540" s="2">
        <v>50.854210526315775</v>
      </c>
      <c r="X540" s="3">
        <f t="shared" si="16"/>
        <v>50.854210526315775</v>
      </c>
      <c r="Y540">
        <f>VLOOKUP(D540,'[1]Cost Sheet'!$C:$D,2,0)</f>
        <v>50.8</v>
      </c>
      <c r="Z540" s="3">
        <f t="shared" si="17"/>
        <v>50.8</v>
      </c>
    </row>
    <row r="541" spans="1:26" x14ac:dyDescent="0.3">
      <c r="A541" s="7" t="s">
        <v>21</v>
      </c>
      <c r="B541" t="s">
        <v>278</v>
      </c>
      <c r="C541" t="s">
        <v>279</v>
      </c>
      <c r="D541" t="s">
        <v>280</v>
      </c>
      <c r="E541" t="s">
        <v>281</v>
      </c>
      <c r="F541" t="s">
        <v>26</v>
      </c>
      <c r="G541">
        <v>6</v>
      </c>
      <c r="H541">
        <v>0</v>
      </c>
      <c r="I541">
        <v>0</v>
      </c>
      <c r="J541">
        <v>-2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4</v>
      </c>
      <c r="T541">
        <v>0</v>
      </c>
      <c r="U541" t="s">
        <v>40</v>
      </c>
      <c r="W541" s="2">
        <v>50.854210526315775</v>
      </c>
      <c r="X541" s="3">
        <f t="shared" si="16"/>
        <v>203.4168421052631</v>
      </c>
      <c r="Y541">
        <f>VLOOKUP(D541,'[1]Cost Sheet'!$C:$D,2,0)</f>
        <v>50.8</v>
      </c>
      <c r="Z541" s="3">
        <f t="shared" si="17"/>
        <v>203.2</v>
      </c>
    </row>
    <row r="542" spans="1:26" x14ac:dyDescent="0.3">
      <c r="A542" s="7" t="s">
        <v>21</v>
      </c>
      <c r="B542" t="s">
        <v>278</v>
      </c>
      <c r="C542" t="s">
        <v>279</v>
      </c>
      <c r="D542" t="s">
        <v>280</v>
      </c>
      <c r="E542" t="s">
        <v>281</v>
      </c>
      <c r="F542" t="s">
        <v>26</v>
      </c>
      <c r="G542">
        <v>18</v>
      </c>
      <c r="H542">
        <v>0</v>
      </c>
      <c r="I542">
        <v>0</v>
      </c>
      <c r="J542">
        <v>-2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16</v>
      </c>
      <c r="T542">
        <v>0</v>
      </c>
      <c r="U542" t="s">
        <v>113</v>
      </c>
      <c r="W542" s="2">
        <v>50.854210526315775</v>
      </c>
      <c r="X542" s="3">
        <f t="shared" si="16"/>
        <v>813.6673684210524</v>
      </c>
      <c r="Y542">
        <f>VLOOKUP(D542,'[1]Cost Sheet'!$C:$D,2,0)</f>
        <v>50.8</v>
      </c>
      <c r="Z542" s="3">
        <f t="shared" si="17"/>
        <v>812.8</v>
      </c>
    </row>
    <row r="543" spans="1:26" x14ac:dyDescent="0.3">
      <c r="A543" s="7" t="s">
        <v>21</v>
      </c>
      <c r="B543" t="s">
        <v>278</v>
      </c>
      <c r="C543" t="s">
        <v>279</v>
      </c>
      <c r="D543" t="s">
        <v>280</v>
      </c>
      <c r="E543" t="s">
        <v>281</v>
      </c>
      <c r="F543" t="s">
        <v>26</v>
      </c>
      <c r="G543">
        <v>3</v>
      </c>
      <c r="H543">
        <v>0</v>
      </c>
      <c r="I543">
        <v>2</v>
      </c>
      <c r="J543">
        <v>-2</v>
      </c>
      <c r="K543">
        <v>0</v>
      </c>
      <c r="L543">
        <v>0</v>
      </c>
      <c r="M543">
        <v>0</v>
      </c>
      <c r="N543">
        <v>0</v>
      </c>
      <c r="O543">
        <v>-2</v>
      </c>
      <c r="P543">
        <v>0</v>
      </c>
      <c r="Q543">
        <v>0</v>
      </c>
      <c r="R543">
        <v>0</v>
      </c>
      <c r="S543">
        <v>1</v>
      </c>
      <c r="T543">
        <v>0</v>
      </c>
      <c r="U543" t="s">
        <v>48</v>
      </c>
      <c r="W543" s="2">
        <v>50.854210526315775</v>
      </c>
      <c r="X543" s="3">
        <f t="shared" si="16"/>
        <v>50.854210526315775</v>
      </c>
      <c r="Y543">
        <f>VLOOKUP(D543,'[1]Cost Sheet'!$C:$D,2,0)</f>
        <v>50.8</v>
      </c>
      <c r="Z543" s="3">
        <f t="shared" si="17"/>
        <v>50.8</v>
      </c>
    </row>
    <row r="544" spans="1:26" x14ac:dyDescent="0.3">
      <c r="A544" s="7" t="s">
        <v>21</v>
      </c>
      <c r="B544" t="s">
        <v>278</v>
      </c>
      <c r="C544" t="s">
        <v>279</v>
      </c>
      <c r="D544" t="s">
        <v>280</v>
      </c>
      <c r="E544" t="s">
        <v>281</v>
      </c>
      <c r="F544" t="s">
        <v>26</v>
      </c>
      <c r="G544">
        <v>8</v>
      </c>
      <c r="H544">
        <v>1</v>
      </c>
      <c r="I544">
        <v>0</v>
      </c>
      <c r="J544">
        <v>-4</v>
      </c>
      <c r="K544">
        <v>0</v>
      </c>
      <c r="L544">
        <v>0</v>
      </c>
      <c r="M544">
        <v>-1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3</v>
      </c>
      <c r="T544">
        <v>0</v>
      </c>
      <c r="U544" t="s">
        <v>59</v>
      </c>
      <c r="W544" s="2">
        <v>50.854210526315775</v>
      </c>
      <c r="X544" s="3">
        <f t="shared" si="16"/>
        <v>152.56263157894733</v>
      </c>
      <c r="Y544">
        <f>VLOOKUP(D544,'[1]Cost Sheet'!$C:$D,2,0)</f>
        <v>50.8</v>
      </c>
      <c r="Z544" s="3">
        <f t="shared" si="17"/>
        <v>152.39999999999998</v>
      </c>
    </row>
    <row r="545" spans="1:26" x14ac:dyDescent="0.3">
      <c r="A545" s="7" t="s">
        <v>21</v>
      </c>
      <c r="B545" t="s">
        <v>278</v>
      </c>
      <c r="C545" t="s">
        <v>279</v>
      </c>
      <c r="D545" t="s">
        <v>280</v>
      </c>
      <c r="E545" t="s">
        <v>281</v>
      </c>
      <c r="F545" t="s">
        <v>26</v>
      </c>
      <c r="G545">
        <v>4</v>
      </c>
      <c r="H545">
        <v>0</v>
      </c>
      <c r="I545">
        <v>0</v>
      </c>
      <c r="J545">
        <v>-3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 t="s">
        <v>27</v>
      </c>
      <c r="W545" s="2">
        <v>50.854210526315775</v>
      </c>
      <c r="X545" s="3">
        <f t="shared" si="16"/>
        <v>50.854210526315775</v>
      </c>
      <c r="Y545">
        <f>VLOOKUP(D545,'[1]Cost Sheet'!$C:$D,2,0)</f>
        <v>50.8</v>
      </c>
      <c r="Z545" s="3">
        <f t="shared" si="17"/>
        <v>50.8</v>
      </c>
    </row>
    <row r="546" spans="1:26" x14ac:dyDescent="0.3">
      <c r="A546" s="7" t="s">
        <v>21</v>
      </c>
      <c r="B546" t="s">
        <v>282</v>
      </c>
      <c r="C546" t="s">
        <v>283</v>
      </c>
      <c r="D546" t="s">
        <v>284</v>
      </c>
      <c r="E546" t="s">
        <v>285</v>
      </c>
      <c r="F546" t="s">
        <v>26</v>
      </c>
      <c r="G546">
        <v>17</v>
      </c>
      <c r="H546">
        <v>0</v>
      </c>
      <c r="I546">
        <v>0</v>
      </c>
      <c r="J546">
        <v>-2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15</v>
      </c>
      <c r="T546">
        <v>0</v>
      </c>
      <c r="U546" t="s">
        <v>53</v>
      </c>
      <c r="W546" s="2">
        <v>48.72</v>
      </c>
      <c r="X546" s="3">
        <f t="shared" si="16"/>
        <v>730.8</v>
      </c>
      <c r="Y546">
        <f>VLOOKUP(D546,'[1]Cost Sheet'!$C:$D,2,0)</f>
        <v>48.72</v>
      </c>
      <c r="Z546" s="3">
        <f t="shared" si="17"/>
        <v>730.8</v>
      </c>
    </row>
    <row r="547" spans="1:26" x14ac:dyDescent="0.3">
      <c r="A547" s="7" t="s">
        <v>21</v>
      </c>
      <c r="B547" t="s">
        <v>282</v>
      </c>
      <c r="C547" t="s">
        <v>283</v>
      </c>
      <c r="D547" t="s">
        <v>284</v>
      </c>
      <c r="E547" t="s">
        <v>285</v>
      </c>
      <c r="F547" t="s">
        <v>26</v>
      </c>
      <c r="G547">
        <v>35</v>
      </c>
      <c r="H547">
        <v>0</v>
      </c>
      <c r="I547">
        <v>0</v>
      </c>
      <c r="J547">
        <v>-1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34</v>
      </c>
      <c r="T547">
        <v>0</v>
      </c>
      <c r="U547" t="s">
        <v>32</v>
      </c>
      <c r="W547" s="2">
        <v>48.72</v>
      </c>
      <c r="X547" s="3">
        <f t="shared" si="16"/>
        <v>1656.48</v>
      </c>
      <c r="Y547">
        <f>VLOOKUP(D547,'[1]Cost Sheet'!$C:$D,2,0)</f>
        <v>48.72</v>
      </c>
      <c r="Z547" s="3">
        <f t="shared" si="17"/>
        <v>1656.48</v>
      </c>
    </row>
    <row r="548" spans="1:26" x14ac:dyDescent="0.3">
      <c r="A548" s="7" t="s">
        <v>21</v>
      </c>
      <c r="B548" t="s">
        <v>286</v>
      </c>
      <c r="C548" t="s">
        <v>287</v>
      </c>
      <c r="D548" t="s">
        <v>288</v>
      </c>
      <c r="E548" t="s">
        <v>289</v>
      </c>
      <c r="F548" t="s">
        <v>106</v>
      </c>
      <c r="G548">
        <v>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</v>
      </c>
      <c r="T548">
        <v>0</v>
      </c>
      <c r="U548" t="s">
        <v>38</v>
      </c>
      <c r="W548" s="2">
        <v>103.36</v>
      </c>
      <c r="X548" s="3">
        <f t="shared" si="16"/>
        <v>413.44</v>
      </c>
      <c r="Y548">
        <f>VLOOKUP(D548,'[1]Cost Sheet'!$C:$D,2,0)</f>
        <v>103.74</v>
      </c>
      <c r="Z548" s="3">
        <f t="shared" si="17"/>
        <v>414.96</v>
      </c>
    </row>
    <row r="549" spans="1:26" x14ac:dyDescent="0.3">
      <c r="A549" s="7" t="s">
        <v>21</v>
      </c>
      <c r="B549" t="s">
        <v>286</v>
      </c>
      <c r="C549" t="s">
        <v>287</v>
      </c>
      <c r="D549" t="s">
        <v>288</v>
      </c>
      <c r="E549" t="s">
        <v>289</v>
      </c>
      <c r="F549" t="s">
        <v>106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 t="s">
        <v>107</v>
      </c>
      <c r="W549" s="2">
        <v>103.36</v>
      </c>
      <c r="X549" s="3">
        <f t="shared" si="16"/>
        <v>103.36</v>
      </c>
      <c r="Y549">
        <f>VLOOKUP(D549,'[1]Cost Sheet'!$C:$D,2,0)</f>
        <v>103.74</v>
      </c>
      <c r="Z549" s="3">
        <f t="shared" si="17"/>
        <v>103.74</v>
      </c>
    </row>
    <row r="550" spans="1:26" x14ac:dyDescent="0.3">
      <c r="A550" s="7" t="s">
        <v>21</v>
      </c>
      <c r="B550" t="s">
        <v>286</v>
      </c>
      <c r="C550" t="s">
        <v>287</v>
      </c>
      <c r="D550" t="s">
        <v>288</v>
      </c>
      <c r="E550" t="s">
        <v>289</v>
      </c>
      <c r="F550" t="s">
        <v>106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5</v>
      </c>
      <c r="T550">
        <v>0</v>
      </c>
      <c r="U550" t="s">
        <v>53</v>
      </c>
      <c r="W550" s="2">
        <v>103.36</v>
      </c>
      <c r="X550" s="3">
        <f t="shared" si="16"/>
        <v>516.79999999999995</v>
      </c>
      <c r="Y550">
        <f>VLOOKUP(D550,'[1]Cost Sheet'!$C:$D,2,0)</f>
        <v>103.74</v>
      </c>
      <c r="Z550" s="3">
        <f t="shared" si="17"/>
        <v>518.69999999999993</v>
      </c>
    </row>
    <row r="551" spans="1:26" x14ac:dyDescent="0.3">
      <c r="A551" s="7" t="s">
        <v>21</v>
      </c>
      <c r="B551" t="s">
        <v>286</v>
      </c>
      <c r="C551" t="s">
        <v>287</v>
      </c>
      <c r="D551" t="s">
        <v>288</v>
      </c>
      <c r="E551" t="s">
        <v>289</v>
      </c>
      <c r="F551" t="s">
        <v>106</v>
      </c>
      <c r="G551">
        <v>12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12</v>
      </c>
      <c r="T551">
        <v>0</v>
      </c>
      <c r="U551" t="s">
        <v>32</v>
      </c>
      <c r="W551" s="2">
        <v>103.36</v>
      </c>
      <c r="X551" s="3">
        <f t="shared" si="16"/>
        <v>1240.32</v>
      </c>
      <c r="Y551">
        <f>VLOOKUP(D551,'[1]Cost Sheet'!$C:$D,2,0)</f>
        <v>103.74</v>
      </c>
      <c r="Z551" s="3">
        <f t="shared" si="17"/>
        <v>1244.8799999999999</v>
      </c>
    </row>
    <row r="552" spans="1:26" x14ac:dyDescent="0.3">
      <c r="A552" s="7" t="s">
        <v>21</v>
      </c>
      <c r="B552" t="s">
        <v>286</v>
      </c>
      <c r="C552" t="s">
        <v>287</v>
      </c>
      <c r="D552" t="s">
        <v>288</v>
      </c>
      <c r="E552" t="s">
        <v>289</v>
      </c>
      <c r="F552" t="s">
        <v>106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 t="s">
        <v>33</v>
      </c>
      <c r="W552" s="2">
        <v>103.36</v>
      </c>
      <c r="X552" s="3">
        <f t="shared" si="16"/>
        <v>103.36</v>
      </c>
      <c r="Y552">
        <f>VLOOKUP(D552,'[1]Cost Sheet'!$C:$D,2,0)</f>
        <v>103.74</v>
      </c>
      <c r="Z552" s="3">
        <f t="shared" si="17"/>
        <v>103.74</v>
      </c>
    </row>
    <row r="553" spans="1:26" x14ac:dyDescent="0.3">
      <c r="A553" s="7" t="s">
        <v>21</v>
      </c>
      <c r="B553" t="s">
        <v>286</v>
      </c>
      <c r="C553" t="s">
        <v>287</v>
      </c>
      <c r="D553" t="s">
        <v>288</v>
      </c>
      <c r="E553" t="s">
        <v>289</v>
      </c>
      <c r="F553" t="s">
        <v>106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-3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 t="s">
        <v>46</v>
      </c>
      <c r="W553" s="2">
        <v>103.36</v>
      </c>
      <c r="X553" s="3">
        <f t="shared" si="16"/>
        <v>103.36</v>
      </c>
      <c r="Y553">
        <f>VLOOKUP(D553,'[1]Cost Sheet'!$C:$D,2,0)</f>
        <v>103.74</v>
      </c>
      <c r="Z553" s="3">
        <f t="shared" si="17"/>
        <v>103.74</v>
      </c>
    </row>
    <row r="554" spans="1:26" x14ac:dyDescent="0.3">
      <c r="A554" s="7" t="s">
        <v>21</v>
      </c>
      <c r="B554" t="s">
        <v>286</v>
      </c>
      <c r="C554" t="s">
        <v>287</v>
      </c>
      <c r="D554" t="s">
        <v>288</v>
      </c>
      <c r="E554" t="s">
        <v>289</v>
      </c>
      <c r="F554" t="s">
        <v>106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0</v>
      </c>
      <c r="U554" t="s">
        <v>47</v>
      </c>
      <c r="W554" s="2">
        <v>103.36</v>
      </c>
      <c r="X554" s="3">
        <f t="shared" si="16"/>
        <v>206.72</v>
      </c>
      <c r="Y554">
        <f>VLOOKUP(D554,'[1]Cost Sheet'!$C:$D,2,0)</f>
        <v>103.74</v>
      </c>
      <c r="Z554" s="3">
        <f t="shared" si="17"/>
        <v>207.48</v>
      </c>
    </row>
    <row r="555" spans="1:26" x14ac:dyDescent="0.3">
      <c r="A555" s="7" t="s">
        <v>21</v>
      </c>
      <c r="B555" t="s">
        <v>286</v>
      </c>
      <c r="C555" t="s">
        <v>287</v>
      </c>
      <c r="D555" t="s">
        <v>288</v>
      </c>
      <c r="E555" t="s">
        <v>289</v>
      </c>
      <c r="F555" t="s">
        <v>106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</v>
      </c>
      <c r="T555">
        <v>0</v>
      </c>
      <c r="U555" t="s">
        <v>40</v>
      </c>
      <c r="W555" s="2">
        <v>103.36</v>
      </c>
      <c r="X555" s="3">
        <f t="shared" si="16"/>
        <v>206.72</v>
      </c>
      <c r="Y555">
        <f>VLOOKUP(D555,'[1]Cost Sheet'!$C:$D,2,0)</f>
        <v>103.74</v>
      </c>
      <c r="Z555" s="3">
        <f t="shared" si="17"/>
        <v>207.48</v>
      </c>
    </row>
    <row r="556" spans="1:26" x14ac:dyDescent="0.3">
      <c r="A556" s="7" t="s">
        <v>21</v>
      </c>
      <c r="B556" t="s">
        <v>286</v>
      </c>
      <c r="C556" t="s">
        <v>287</v>
      </c>
      <c r="D556" t="s">
        <v>288</v>
      </c>
      <c r="E556" t="s">
        <v>289</v>
      </c>
      <c r="F556" t="s">
        <v>106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6</v>
      </c>
      <c r="T556">
        <v>0</v>
      </c>
      <c r="U556" t="s">
        <v>48</v>
      </c>
      <c r="W556" s="2">
        <v>103.36</v>
      </c>
      <c r="X556" s="3">
        <f t="shared" si="16"/>
        <v>620.16</v>
      </c>
      <c r="Y556">
        <f>VLOOKUP(D556,'[1]Cost Sheet'!$C:$D,2,0)</f>
        <v>103.74</v>
      </c>
      <c r="Z556" s="3">
        <f t="shared" si="17"/>
        <v>622.43999999999994</v>
      </c>
    </row>
    <row r="557" spans="1:26" x14ac:dyDescent="0.3">
      <c r="A557" s="7" t="s">
        <v>21</v>
      </c>
      <c r="B557" t="s">
        <v>286</v>
      </c>
      <c r="C557" t="s">
        <v>287</v>
      </c>
      <c r="D557" t="s">
        <v>288</v>
      </c>
      <c r="E557" t="s">
        <v>289</v>
      </c>
      <c r="F557" t="s">
        <v>106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</v>
      </c>
      <c r="T557">
        <v>0</v>
      </c>
      <c r="U557" t="s">
        <v>59</v>
      </c>
      <c r="W557" s="2">
        <v>103.36</v>
      </c>
      <c r="X557" s="3">
        <f t="shared" si="16"/>
        <v>620.16</v>
      </c>
      <c r="Y557">
        <f>VLOOKUP(D557,'[1]Cost Sheet'!$C:$D,2,0)</f>
        <v>103.74</v>
      </c>
      <c r="Z557" s="3">
        <f t="shared" si="17"/>
        <v>622.43999999999994</v>
      </c>
    </row>
    <row r="558" spans="1:26" x14ac:dyDescent="0.3">
      <c r="A558" s="7" t="s">
        <v>21</v>
      </c>
      <c r="B558" t="s">
        <v>286</v>
      </c>
      <c r="C558" t="s">
        <v>287</v>
      </c>
      <c r="D558" t="s">
        <v>288</v>
      </c>
      <c r="E558" t="s">
        <v>289</v>
      </c>
      <c r="F558" t="s">
        <v>106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</v>
      </c>
      <c r="T558">
        <v>0</v>
      </c>
      <c r="U558" t="s">
        <v>27</v>
      </c>
      <c r="W558" s="2">
        <v>103.36</v>
      </c>
      <c r="X558" s="3">
        <f t="shared" si="16"/>
        <v>206.72</v>
      </c>
      <c r="Y558">
        <f>VLOOKUP(D558,'[1]Cost Sheet'!$C:$D,2,0)</f>
        <v>103.74</v>
      </c>
      <c r="Z558" s="3">
        <f t="shared" si="17"/>
        <v>207.48</v>
      </c>
    </row>
    <row r="559" spans="1:26" x14ac:dyDescent="0.3">
      <c r="A559" s="7" t="s">
        <v>21</v>
      </c>
      <c r="B559" t="s">
        <v>286</v>
      </c>
      <c r="C559" t="s">
        <v>287</v>
      </c>
      <c r="D559" t="s">
        <v>288</v>
      </c>
      <c r="E559" t="s">
        <v>289</v>
      </c>
      <c r="F559" t="s">
        <v>130</v>
      </c>
      <c r="G559">
        <v>12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12</v>
      </c>
      <c r="T559">
        <v>0</v>
      </c>
      <c r="U559" t="s">
        <v>33</v>
      </c>
      <c r="W559" s="2">
        <v>103.36</v>
      </c>
      <c r="X559" s="3">
        <f t="shared" si="16"/>
        <v>1240.32</v>
      </c>
      <c r="Y559">
        <f>VLOOKUP(D559,'[1]Cost Sheet'!$C:$D,2,0)</f>
        <v>103.74</v>
      </c>
      <c r="Z559" s="3">
        <f t="shared" si="17"/>
        <v>1244.8799999999999</v>
      </c>
    </row>
    <row r="560" spans="1:26" x14ac:dyDescent="0.3">
      <c r="A560" s="7" t="s">
        <v>21</v>
      </c>
      <c r="B560" t="s">
        <v>286</v>
      </c>
      <c r="C560" t="s">
        <v>287</v>
      </c>
      <c r="D560" t="s">
        <v>288</v>
      </c>
      <c r="E560" t="s">
        <v>289</v>
      </c>
      <c r="F560" t="s">
        <v>130</v>
      </c>
      <c r="G560">
        <v>18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</v>
      </c>
      <c r="T560">
        <v>0</v>
      </c>
      <c r="U560" t="s">
        <v>48</v>
      </c>
      <c r="W560" s="2">
        <v>103.36</v>
      </c>
      <c r="X560" s="3">
        <f t="shared" si="16"/>
        <v>1860.48</v>
      </c>
      <c r="Y560">
        <f>VLOOKUP(D560,'[1]Cost Sheet'!$C:$D,2,0)</f>
        <v>103.74</v>
      </c>
      <c r="Z560" s="3">
        <f t="shared" si="17"/>
        <v>1867.32</v>
      </c>
    </row>
    <row r="561" spans="1:26" x14ac:dyDescent="0.3">
      <c r="A561" s="7" t="s">
        <v>21</v>
      </c>
      <c r="B561" t="s">
        <v>286</v>
      </c>
      <c r="C561" t="s">
        <v>287</v>
      </c>
      <c r="D561" t="s">
        <v>288</v>
      </c>
      <c r="E561" t="s">
        <v>289</v>
      </c>
      <c r="F561" t="s">
        <v>26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 t="s">
        <v>38</v>
      </c>
      <c r="W561" s="2">
        <v>103.36</v>
      </c>
      <c r="X561" s="3">
        <f t="shared" si="16"/>
        <v>103.36</v>
      </c>
      <c r="Y561">
        <f>VLOOKUP(D561,'[1]Cost Sheet'!$C:$D,2,0)</f>
        <v>103.74</v>
      </c>
      <c r="Z561" s="3">
        <f t="shared" si="17"/>
        <v>103.74</v>
      </c>
    </row>
    <row r="562" spans="1:26" x14ac:dyDescent="0.3">
      <c r="A562" s="7" t="s">
        <v>21</v>
      </c>
      <c r="B562" t="s">
        <v>286</v>
      </c>
      <c r="C562" t="s">
        <v>287</v>
      </c>
      <c r="D562" t="s">
        <v>288</v>
      </c>
      <c r="E562" t="s">
        <v>289</v>
      </c>
      <c r="F562" t="s">
        <v>26</v>
      </c>
      <c r="G562">
        <v>64</v>
      </c>
      <c r="H562">
        <v>0</v>
      </c>
      <c r="I562">
        <v>0</v>
      </c>
      <c r="J562">
        <v>-1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63</v>
      </c>
      <c r="T562">
        <v>0</v>
      </c>
      <c r="U562" t="s">
        <v>45</v>
      </c>
      <c r="W562" s="2">
        <v>103.36</v>
      </c>
      <c r="X562" s="3">
        <f t="shared" si="16"/>
        <v>6511.68</v>
      </c>
      <c r="Y562">
        <f>VLOOKUP(D562,'[1]Cost Sheet'!$C:$D,2,0)</f>
        <v>103.74</v>
      </c>
      <c r="Z562" s="3">
        <f t="shared" si="17"/>
        <v>6535.62</v>
      </c>
    </row>
    <row r="563" spans="1:26" x14ac:dyDescent="0.3">
      <c r="A563" s="7" t="s">
        <v>21</v>
      </c>
      <c r="B563" t="s">
        <v>286</v>
      </c>
      <c r="C563" t="s">
        <v>287</v>
      </c>
      <c r="D563" t="s">
        <v>288</v>
      </c>
      <c r="E563" t="s">
        <v>289</v>
      </c>
      <c r="F563" t="s">
        <v>26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</v>
      </c>
      <c r="T563">
        <v>0</v>
      </c>
      <c r="U563" t="s">
        <v>53</v>
      </c>
      <c r="W563" s="2">
        <v>103.36</v>
      </c>
      <c r="X563" s="3">
        <f t="shared" si="16"/>
        <v>206.72</v>
      </c>
      <c r="Y563">
        <f>VLOOKUP(D563,'[1]Cost Sheet'!$C:$D,2,0)</f>
        <v>103.74</v>
      </c>
      <c r="Z563" s="3">
        <f t="shared" si="17"/>
        <v>207.48</v>
      </c>
    </row>
    <row r="564" spans="1:26" x14ac:dyDescent="0.3">
      <c r="A564" s="7" t="s">
        <v>21</v>
      </c>
      <c r="B564" t="s">
        <v>286</v>
      </c>
      <c r="C564" t="s">
        <v>287</v>
      </c>
      <c r="D564" t="s">
        <v>288</v>
      </c>
      <c r="E564" t="s">
        <v>289</v>
      </c>
      <c r="F564" t="s">
        <v>26</v>
      </c>
      <c r="G564">
        <v>61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61</v>
      </c>
      <c r="T564">
        <v>0</v>
      </c>
      <c r="U564" t="s">
        <v>32</v>
      </c>
      <c r="W564" s="2">
        <v>103.36</v>
      </c>
      <c r="X564" s="3">
        <f t="shared" si="16"/>
        <v>6304.96</v>
      </c>
      <c r="Y564">
        <f>VLOOKUP(D564,'[1]Cost Sheet'!$C:$D,2,0)</f>
        <v>103.74</v>
      </c>
      <c r="Z564" s="3">
        <f t="shared" si="17"/>
        <v>6328.1399999999994</v>
      </c>
    </row>
    <row r="565" spans="1:26" x14ac:dyDescent="0.3">
      <c r="A565" s="7" t="s">
        <v>21</v>
      </c>
      <c r="B565" t="s">
        <v>286</v>
      </c>
      <c r="C565" t="s">
        <v>287</v>
      </c>
      <c r="D565" t="s">
        <v>288</v>
      </c>
      <c r="E565" t="s">
        <v>289</v>
      </c>
      <c r="F565" t="s">
        <v>26</v>
      </c>
      <c r="G565">
        <v>0</v>
      </c>
      <c r="H565">
        <v>72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109</v>
      </c>
      <c r="W565" s="2">
        <v>103.36</v>
      </c>
      <c r="X565" s="3">
        <f t="shared" si="16"/>
        <v>0</v>
      </c>
      <c r="Y565">
        <f>VLOOKUP(D565,'[1]Cost Sheet'!$C:$D,2,0)</f>
        <v>103.74</v>
      </c>
      <c r="Z565" s="3">
        <f t="shared" si="17"/>
        <v>0</v>
      </c>
    </row>
    <row r="566" spans="1:26" x14ac:dyDescent="0.3">
      <c r="A566" s="7" t="s">
        <v>21</v>
      </c>
      <c r="B566" t="s">
        <v>286</v>
      </c>
      <c r="C566" t="s">
        <v>287</v>
      </c>
      <c r="D566" t="s">
        <v>288</v>
      </c>
      <c r="E566" t="s">
        <v>289</v>
      </c>
      <c r="F566" t="s">
        <v>26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72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72</v>
      </c>
      <c r="T566">
        <v>0</v>
      </c>
      <c r="U566" t="s">
        <v>40</v>
      </c>
      <c r="W566" s="2">
        <v>103.36</v>
      </c>
      <c r="X566" s="3">
        <f t="shared" si="16"/>
        <v>7441.92</v>
      </c>
      <c r="Y566">
        <f>VLOOKUP(D566,'[1]Cost Sheet'!$C:$D,2,0)</f>
        <v>103.74</v>
      </c>
      <c r="Z566" s="3">
        <f t="shared" si="17"/>
        <v>7469.28</v>
      </c>
    </row>
    <row r="567" spans="1:26" x14ac:dyDescent="0.3">
      <c r="A567" s="7" t="s">
        <v>21</v>
      </c>
      <c r="B567" t="s">
        <v>286</v>
      </c>
      <c r="C567" t="s">
        <v>287</v>
      </c>
      <c r="D567" t="s">
        <v>288</v>
      </c>
      <c r="E567" t="s">
        <v>289</v>
      </c>
      <c r="F567" t="s">
        <v>26</v>
      </c>
      <c r="G567">
        <v>63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63</v>
      </c>
      <c r="T567">
        <v>0</v>
      </c>
      <c r="U567" t="s">
        <v>113</v>
      </c>
      <c r="W567" s="2">
        <v>103.36</v>
      </c>
      <c r="X567" s="3">
        <f t="shared" si="16"/>
        <v>6511.68</v>
      </c>
      <c r="Y567">
        <f>VLOOKUP(D567,'[1]Cost Sheet'!$C:$D,2,0)</f>
        <v>103.74</v>
      </c>
      <c r="Z567" s="3">
        <f t="shared" si="17"/>
        <v>6535.62</v>
      </c>
    </row>
    <row r="568" spans="1:26" x14ac:dyDescent="0.3">
      <c r="A568" s="7" t="s">
        <v>21</v>
      </c>
      <c r="B568" t="s">
        <v>286</v>
      </c>
      <c r="C568" t="s">
        <v>287</v>
      </c>
      <c r="D568" t="s">
        <v>288</v>
      </c>
      <c r="E568" t="s">
        <v>289</v>
      </c>
      <c r="F568" t="s">
        <v>26</v>
      </c>
      <c r="G568">
        <v>73</v>
      </c>
      <c r="H568">
        <v>1</v>
      </c>
      <c r="I568">
        <v>0</v>
      </c>
      <c r="J568">
        <v>-5</v>
      </c>
      <c r="K568">
        <v>0</v>
      </c>
      <c r="L568">
        <v>0</v>
      </c>
      <c r="M568">
        <v>-1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67</v>
      </c>
      <c r="T568">
        <v>0</v>
      </c>
      <c r="U568" t="s">
        <v>48</v>
      </c>
      <c r="W568" s="2">
        <v>103.36</v>
      </c>
      <c r="X568" s="3">
        <f t="shared" si="16"/>
        <v>6925.12</v>
      </c>
      <c r="Y568">
        <f>VLOOKUP(D568,'[1]Cost Sheet'!$C:$D,2,0)</f>
        <v>103.74</v>
      </c>
      <c r="Z568" s="3">
        <f t="shared" si="17"/>
        <v>6950.58</v>
      </c>
    </row>
    <row r="569" spans="1:26" x14ac:dyDescent="0.3">
      <c r="A569" s="7" t="s">
        <v>21</v>
      </c>
      <c r="B569" t="s">
        <v>286</v>
      </c>
      <c r="C569" t="s">
        <v>287</v>
      </c>
      <c r="D569" t="s">
        <v>288</v>
      </c>
      <c r="E569" t="s">
        <v>289</v>
      </c>
      <c r="F569" t="s">
        <v>26</v>
      </c>
      <c r="G569">
        <v>74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74</v>
      </c>
      <c r="T569">
        <v>0</v>
      </c>
      <c r="U569" t="s">
        <v>59</v>
      </c>
      <c r="W569" s="2">
        <v>103.36</v>
      </c>
      <c r="X569" s="3">
        <f t="shared" si="16"/>
        <v>7648.64</v>
      </c>
      <c r="Y569">
        <f>VLOOKUP(D569,'[1]Cost Sheet'!$C:$D,2,0)</f>
        <v>103.74</v>
      </c>
      <c r="Z569" s="3">
        <f t="shared" si="17"/>
        <v>7676.7599999999993</v>
      </c>
    </row>
    <row r="570" spans="1:26" x14ac:dyDescent="0.3">
      <c r="A570" s="7" t="s">
        <v>21</v>
      </c>
      <c r="B570" t="s">
        <v>286</v>
      </c>
      <c r="C570" t="s">
        <v>287</v>
      </c>
      <c r="D570" t="s">
        <v>288</v>
      </c>
      <c r="E570" t="s">
        <v>289</v>
      </c>
      <c r="F570" t="s">
        <v>26</v>
      </c>
      <c r="G570">
        <v>50</v>
      </c>
      <c r="H570">
        <v>0</v>
      </c>
      <c r="I570">
        <v>0</v>
      </c>
      <c r="J570">
        <v>-1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49</v>
      </c>
      <c r="T570">
        <v>0</v>
      </c>
      <c r="U570" t="s">
        <v>27</v>
      </c>
      <c r="W570" s="2">
        <v>103.36</v>
      </c>
      <c r="X570" s="3">
        <f t="shared" si="16"/>
        <v>5064.6400000000003</v>
      </c>
      <c r="Y570">
        <f>VLOOKUP(D570,'[1]Cost Sheet'!$C:$D,2,0)</f>
        <v>103.74</v>
      </c>
      <c r="Z570" s="3">
        <f t="shared" si="17"/>
        <v>5083.2599999999993</v>
      </c>
    </row>
    <row r="571" spans="1:26" x14ac:dyDescent="0.3">
      <c r="A571" s="7" t="s">
        <v>21</v>
      </c>
      <c r="B571" t="s">
        <v>290</v>
      </c>
      <c r="C571" t="s">
        <v>291</v>
      </c>
      <c r="D571" t="s">
        <v>292</v>
      </c>
      <c r="E571" t="s">
        <v>293</v>
      </c>
      <c r="F571" t="s">
        <v>125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 t="s">
        <v>108</v>
      </c>
      <c r="W571" s="2">
        <v>61.997777777777777</v>
      </c>
      <c r="X571" s="3">
        <f t="shared" si="16"/>
        <v>61.997777777777777</v>
      </c>
      <c r="Y571">
        <f>VLOOKUP(D571,'[1]Cost Sheet'!$C:$D,2,0)</f>
        <v>62.05</v>
      </c>
      <c r="Z571" s="3">
        <f t="shared" si="17"/>
        <v>62.05</v>
      </c>
    </row>
    <row r="572" spans="1:26" x14ac:dyDescent="0.3">
      <c r="A572" s="7" t="s">
        <v>21</v>
      </c>
      <c r="B572" t="s">
        <v>290</v>
      </c>
      <c r="C572" t="s">
        <v>291</v>
      </c>
      <c r="D572" t="s">
        <v>292</v>
      </c>
      <c r="E572" t="s">
        <v>293</v>
      </c>
      <c r="F572" t="s">
        <v>125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0</v>
      </c>
      <c r="U572" t="s">
        <v>88</v>
      </c>
      <c r="W572" s="2">
        <v>61.997777777777777</v>
      </c>
      <c r="X572" s="3">
        <f t="shared" si="16"/>
        <v>123.99555555555555</v>
      </c>
      <c r="Y572">
        <f>VLOOKUP(D572,'[1]Cost Sheet'!$C:$D,2,0)</f>
        <v>62.05</v>
      </c>
      <c r="Z572" s="3">
        <f t="shared" si="17"/>
        <v>124.1</v>
      </c>
    </row>
    <row r="573" spans="1:26" x14ac:dyDescent="0.3">
      <c r="A573" s="7" t="s">
        <v>21</v>
      </c>
      <c r="B573" t="s">
        <v>290</v>
      </c>
      <c r="C573" t="s">
        <v>291</v>
      </c>
      <c r="D573" t="s">
        <v>292</v>
      </c>
      <c r="E573" t="s">
        <v>293</v>
      </c>
      <c r="F573" t="s">
        <v>106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0</v>
      </c>
      <c r="U573" t="s">
        <v>54</v>
      </c>
      <c r="W573" s="2">
        <v>61.997777777777777</v>
      </c>
      <c r="X573" s="3">
        <f t="shared" si="16"/>
        <v>123.99555555555555</v>
      </c>
      <c r="Y573">
        <f>VLOOKUP(D573,'[1]Cost Sheet'!$C:$D,2,0)</f>
        <v>62.05</v>
      </c>
      <c r="Z573" s="3">
        <f t="shared" si="17"/>
        <v>124.1</v>
      </c>
    </row>
    <row r="574" spans="1:26" x14ac:dyDescent="0.3">
      <c r="A574" s="7" t="s">
        <v>21</v>
      </c>
      <c r="B574" t="s">
        <v>290</v>
      </c>
      <c r="C574" t="s">
        <v>291</v>
      </c>
      <c r="D574" t="s">
        <v>292</v>
      </c>
      <c r="E574" t="s">
        <v>293</v>
      </c>
      <c r="F574" t="s">
        <v>106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0</v>
      </c>
      <c r="U574" t="s">
        <v>32</v>
      </c>
      <c r="W574" s="2">
        <v>61.997777777777777</v>
      </c>
      <c r="X574" s="3">
        <f t="shared" si="16"/>
        <v>123.99555555555555</v>
      </c>
      <c r="Y574">
        <f>VLOOKUP(D574,'[1]Cost Sheet'!$C:$D,2,0)</f>
        <v>62.05</v>
      </c>
      <c r="Z574" s="3">
        <f t="shared" si="17"/>
        <v>124.1</v>
      </c>
    </row>
    <row r="575" spans="1:26" x14ac:dyDescent="0.3">
      <c r="A575" s="7" t="s">
        <v>21</v>
      </c>
      <c r="B575" t="s">
        <v>290</v>
      </c>
      <c r="C575" t="s">
        <v>291</v>
      </c>
      <c r="D575" t="s">
        <v>292</v>
      </c>
      <c r="E575" t="s">
        <v>293</v>
      </c>
      <c r="F575" t="s">
        <v>106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-2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 t="s">
        <v>48</v>
      </c>
      <c r="W575" s="2">
        <v>61.997777777777777</v>
      </c>
      <c r="X575" s="3">
        <f t="shared" si="16"/>
        <v>61.997777777777777</v>
      </c>
      <c r="Y575">
        <f>VLOOKUP(D575,'[1]Cost Sheet'!$C:$D,2,0)</f>
        <v>62.05</v>
      </c>
      <c r="Z575" s="3">
        <f t="shared" si="17"/>
        <v>62.05</v>
      </c>
    </row>
    <row r="576" spans="1:26" x14ac:dyDescent="0.3">
      <c r="A576" s="7" t="s">
        <v>21</v>
      </c>
      <c r="B576" t="s">
        <v>290</v>
      </c>
      <c r="C576" t="s">
        <v>291</v>
      </c>
      <c r="D576" t="s">
        <v>292</v>
      </c>
      <c r="E576" t="s">
        <v>293</v>
      </c>
      <c r="F576" t="s">
        <v>93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 t="s">
        <v>38</v>
      </c>
      <c r="W576" s="2">
        <v>61.997777777777777</v>
      </c>
      <c r="X576" s="3">
        <f t="shared" si="16"/>
        <v>61.997777777777777</v>
      </c>
      <c r="Y576">
        <f>VLOOKUP(D576,'[1]Cost Sheet'!$C:$D,2,0)</f>
        <v>62.05</v>
      </c>
      <c r="Z576" s="3">
        <f t="shared" si="17"/>
        <v>62.05</v>
      </c>
    </row>
    <row r="577" spans="1:26" x14ac:dyDescent="0.3">
      <c r="A577" s="7" t="s">
        <v>21</v>
      </c>
      <c r="B577" t="s">
        <v>290</v>
      </c>
      <c r="C577" t="s">
        <v>291</v>
      </c>
      <c r="D577" t="s">
        <v>292</v>
      </c>
      <c r="E577" t="s">
        <v>293</v>
      </c>
      <c r="F577" t="s">
        <v>26</v>
      </c>
      <c r="G577">
        <v>354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354</v>
      </c>
      <c r="T577">
        <v>0</v>
      </c>
      <c r="U577" t="s">
        <v>38</v>
      </c>
      <c r="W577" s="2">
        <v>61.997777777777777</v>
      </c>
      <c r="X577" s="3">
        <f t="shared" si="16"/>
        <v>21947.213333333333</v>
      </c>
      <c r="Y577">
        <f>VLOOKUP(D577,'[1]Cost Sheet'!$C:$D,2,0)</f>
        <v>62.05</v>
      </c>
      <c r="Z577" s="3">
        <f t="shared" si="17"/>
        <v>21965.7</v>
      </c>
    </row>
    <row r="578" spans="1:26" x14ac:dyDescent="0.3">
      <c r="A578" s="7" t="s">
        <v>21</v>
      </c>
      <c r="B578" t="s">
        <v>290</v>
      </c>
      <c r="C578" t="s">
        <v>291</v>
      </c>
      <c r="D578" t="s">
        <v>292</v>
      </c>
      <c r="E578" t="s">
        <v>293</v>
      </c>
      <c r="F578" t="s">
        <v>26</v>
      </c>
      <c r="G578">
        <v>7</v>
      </c>
      <c r="H578">
        <v>0</v>
      </c>
      <c r="I578">
        <v>0</v>
      </c>
      <c r="J578">
        <v>-1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6</v>
      </c>
      <c r="T578">
        <v>0</v>
      </c>
      <c r="U578" t="s">
        <v>107</v>
      </c>
      <c r="W578" s="2">
        <v>61.997777777777777</v>
      </c>
      <c r="X578" s="3">
        <f t="shared" si="16"/>
        <v>371.98666666666668</v>
      </c>
      <c r="Y578">
        <f>VLOOKUP(D578,'[1]Cost Sheet'!$C:$D,2,0)</f>
        <v>62.05</v>
      </c>
      <c r="Z578" s="3">
        <f t="shared" si="17"/>
        <v>372.29999999999995</v>
      </c>
    </row>
    <row r="579" spans="1:26" x14ac:dyDescent="0.3">
      <c r="A579" s="7" t="s">
        <v>21</v>
      </c>
      <c r="B579" t="s">
        <v>290</v>
      </c>
      <c r="C579" t="s">
        <v>291</v>
      </c>
      <c r="D579" t="s">
        <v>292</v>
      </c>
      <c r="E579" t="s">
        <v>293</v>
      </c>
      <c r="F579" t="s">
        <v>26</v>
      </c>
      <c r="G579">
        <v>48</v>
      </c>
      <c r="H579">
        <v>0</v>
      </c>
      <c r="I579">
        <v>0</v>
      </c>
      <c r="J579">
        <v>-1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47</v>
      </c>
      <c r="T579">
        <v>0</v>
      </c>
      <c r="U579" t="s">
        <v>39</v>
      </c>
      <c r="W579" s="2">
        <v>61.997777777777777</v>
      </c>
      <c r="X579" s="3">
        <f t="shared" ref="X579:X642" si="18">S579*W579</f>
        <v>2913.8955555555553</v>
      </c>
      <c r="Y579">
        <f>VLOOKUP(D579,'[1]Cost Sheet'!$C:$D,2,0)</f>
        <v>62.05</v>
      </c>
      <c r="Z579" s="3">
        <f t="shared" ref="Z579:Z642" si="19">Y579*S579</f>
        <v>2916.35</v>
      </c>
    </row>
    <row r="580" spans="1:26" x14ac:dyDescent="0.3">
      <c r="A580" s="7" t="s">
        <v>21</v>
      </c>
      <c r="B580" t="s">
        <v>290</v>
      </c>
      <c r="C580" t="s">
        <v>291</v>
      </c>
      <c r="D580" t="s">
        <v>292</v>
      </c>
      <c r="E580" t="s">
        <v>293</v>
      </c>
      <c r="F580" t="s">
        <v>26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10</v>
      </c>
      <c r="T580">
        <v>0</v>
      </c>
      <c r="U580" t="s">
        <v>54</v>
      </c>
      <c r="W580" s="2">
        <v>61.997777777777777</v>
      </c>
      <c r="X580" s="3">
        <f t="shared" si="18"/>
        <v>619.97777777777776</v>
      </c>
      <c r="Y580">
        <f>VLOOKUP(D580,'[1]Cost Sheet'!$C:$D,2,0)</f>
        <v>62.05</v>
      </c>
      <c r="Z580" s="3">
        <f t="shared" si="19"/>
        <v>620.5</v>
      </c>
    </row>
    <row r="581" spans="1:26" x14ac:dyDescent="0.3">
      <c r="A581" s="7" t="s">
        <v>21</v>
      </c>
      <c r="B581" t="s">
        <v>290</v>
      </c>
      <c r="C581" t="s">
        <v>291</v>
      </c>
      <c r="D581" t="s">
        <v>292</v>
      </c>
      <c r="E581" t="s">
        <v>293</v>
      </c>
      <c r="F581" t="s">
        <v>26</v>
      </c>
      <c r="G581">
        <v>134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134</v>
      </c>
      <c r="T581">
        <v>0</v>
      </c>
      <c r="U581" t="s">
        <v>32</v>
      </c>
      <c r="W581" s="2">
        <v>61.997777777777777</v>
      </c>
      <c r="X581" s="3">
        <f t="shared" si="18"/>
        <v>8307.7022222222222</v>
      </c>
      <c r="Y581">
        <f>VLOOKUP(D581,'[1]Cost Sheet'!$C:$D,2,0)</f>
        <v>62.05</v>
      </c>
      <c r="Z581" s="3">
        <f t="shared" si="19"/>
        <v>8314.6999999999989</v>
      </c>
    </row>
    <row r="582" spans="1:26" x14ac:dyDescent="0.3">
      <c r="A582" s="7" t="s">
        <v>21</v>
      </c>
      <c r="B582" t="s">
        <v>290</v>
      </c>
      <c r="C582" t="s">
        <v>291</v>
      </c>
      <c r="D582" t="s">
        <v>292</v>
      </c>
      <c r="E582" t="s">
        <v>293</v>
      </c>
      <c r="F582" t="s">
        <v>26</v>
      </c>
      <c r="G582">
        <v>2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-2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88</v>
      </c>
      <c r="W582" s="2">
        <v>61.997777777777777</v>
      </c>
      <c r="X582" s="3">
        <f t="shared" si="18"/>
        <v>0</v>
      </c>
      <c r="Y582">
        <f>VLOOKUP(D582,'[1]Cost Sheet'!$C:$D,2,0)</f>
        <v>62.05</v>
      </c>
      <c r="Z582" s="3">
        <f t="shared" si="19"/>
        <v>0</v>
      </c>
    </row>
    <row r="583" spans="1:26" x14ac:dyDescent="0.3">
      <c r="A583" s="7" t="s">
        <v>21</v>
      </c>
      <c r="B583" t="s">
        <v>290</v>
      </c>
      <c r="C583" t="s">
        <v>291</v>
      </c>
      <c r="D583" t="s">
        <v>292</v>
      </c>
      <c r="E583" t="s">
        <v>293</v>
      </c>
      <c r="F583" t="s">
        <v>26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 t="s">
        <v>33</v>
      </c>
      <c r="W583" s="2">
        <v>61.997777777777777</v>
      </c>
      <c r="X583" s="3">
        <f t="shared" si="18"/>
        <v>61.997777777777777</v>
      </c>
      <c r="Y583">
        <f>VLOOKUP(D583,'[1]Cost Sheet'!$C:$D,2,0)</f>
        <v>62.05</v>
      </c>
      <c r="Z583" s="3">
        <f t="shared" si="19"/>
        <v>62.05</v>
      </c>
    </row>
    <row r="584" spans="1:26" x14ac:dyDescent="0.3">
      <c r="A584" s="7" t="s">
        <v>21</v>
      </c>
      <c r="B584" t="s">
        <v>290</v>
      </c>
      <c r="C584" t="s">
        <v>291</v>
      </c>
      <c r="D584" t="s">
        <v>292</v>
      </c>
      <c r="E584" t="s">
        <v>293</v>
      </c>
      <c r="F584" t="s">
        <v>26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3</v>
      </c>
      <c r="T584">
        <v>0</v>
      </c>
      <c r="U584" t="s">
        <v>46</v>
      </c>
      <c r="W584" s="2">
        <v>61.997777777777777</v>
      </c>
      <c r="X584" s="3">
        <f t="shared" si="18"/>
        <v>185.99333333333334</v>
      </c>
      <c r="Y584">
        <f>VLOOKUP(D584,'[1]Cost Sheet'!$C:$D,2,0)</f>
        <v>62.05</v>
      </c>
      <c r="Z584" s="3">
        <f t="shared" si="19"/>
        <v>186.14999999999998</v>
      </c>
    </row>
    <row r="585" spans="1:26" x14ac:dyDescent="0.3">
      <c r="A585" s="7" t="s">
        <v>21</v>
      </c>
      <c r="B585" t="s">
        <v>290</v>
      </c>
      <c r="C585" t="s">
        <v>291</v>
      </c>
      <c r="D585" t="s">
        <v>292</v>
      </c>
      <c r="E585" t="s">
        <v>293</v>
      </c>
      <c r="F585" t="s">
        <v>26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-1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111</v>
      </c>
      <c r="W585" s="2">
        <v>61.997777777777777</v>
      </c>
      <c r="X585" s="3">
        <f t="shared" si="18"/>
        <v>0</v>
      </c>
      <c r="Y585">
        <f>VLOOKUP(D585,'[1]Cost Sheet'!$C:$D,2,0)</f>
        <v>62.05</v>
      </c>
      <c r="Z585" s="3">
        <f t="shared" si="19"/>
        <v>0</v>
      </c>
    </row>
    <row r="586" spans="1:26" x14ac:dyDescent="0.3">
      <c r="A586" s="7" t="s">
        <v>21</v>
      </c>
      <c r="B586" t="s">
        <v>290</v>
      </c>
      <c r="C586" t="s">
        <v>291</v>
      </c>
      <c r="D586" t="s">
        <v>292</v>
      </c>
      <c r="E586" t="s">
        <v>293</v>
      </c>
      <c r="F586" t="s">
        <v>26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</v>
      </c>
      <c r="T586">
        <v>0</v>
      </c>
      <c r="U586" t="s">
        <v>47</v>
      </c>
      <c r="W586" s="2">
        <v>61.997777777777777</v>
      </c>
      <c r="X586" s="3">
        <f t="shared" si="18"/>
        <v>123.99555555555555</v>
      </c>
      <c r="Y586">
        <f>VLOOKUP(D586,'[1]Cost Sheet'!$C:$D,2,0)</f>
        <v>62.05</v>
      </c>
      <c r="Z586" s="3">
        <f t="shared" si="19"/>
        <v>124.1</v>
      </c>
    </row>
    <row r="587" spans="1:26" x14ac:dyDescent="0.3">
      <c r="A587" s="7" t="s">
        <v>21</v>
      </c>
      <c r="B587" t="s">
        <v>290</v>
      </c>
      <c r="C587" t="s">
        <v>291</v>
      </c>
      <c r="D587" t="s">
        <v>292</v>
      </c>
      <c r="E587" t="s">
        <v>293</v>
      </c>
      <c r="F587" t="s">
        <v>26</v>
      </c>
      <c r="G587">
        <v>95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95</v>
      </c>
      <c r="T587">
        <v>0</v>
      </c>
      <c r="U587" t="s">
        <v>40</v>
      </c>
      <c r="W587" s="2">
        <v>61.997777777777777</v>
      </c>
      <c r="X587" s="3">
        <f t="shared" si="18"/>
        <v>5889.7888888888892</v>
      </c>
      <c r="Y587">
        <f>VLOOKUP(D587,'[1]Cost Sheet'!$C:$D,2,0)</f>
        <v>62.05</v>
      </c>
      <c r="Z587" s="3">
        <f t="shared" si="19"/>
        <v>5894.75</v>
      </c>
    </row>
    <row r="588" spans="1:26" x14ac:dyDescent="0.3">
      <c r="A588" s="7" t="s">
        <v>21</v>
      </c>
      <c r="B588" t="s">
        <v>290</v>
      </c>
      <c r="C588" t="s">
        <v>291</v>
      </c>
      <c r="D588" t="s">
        <v>292</v>
      </c>
      <c r="E588" t="s">
        <v>293</v>
      </c>
      <c r="F588" t="s">
        <v>26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 t="s">
        <v>113</v>
      </c>
      <c r="W588" s="2">
        <v>61.997777777777777</v>
      </c>
      <c r="X588" s="3">
        <f t="shared" si="18"/>
        <v>61.997777777777777</v>
      </c>
      <c r="Y588">
        <f>VLOOKUP(D588,'[1]Cost Sheet'!$C:$D,2,0)</f>
        <v>62.05</v>
      </c>
      <c r="Z588" s="3">
        <f t="shared" si="19"/>
        <v>62.05</v>
      </c>
    </row>
    <row r="589" spans="1:26" x14ac:dyDescent="0.3">
      <c r="A589" s="7" t="s">
        <v>21</v>
      </c>
      <c r="B589" t="s">
        <v>290</v>
      </c>
      <c r="C589" t="s">
        <v>291</v>
      </c>
      <c r="D589" t="s">
        <v>292</v>
      </c>
      <c r="E589" t="s">
        <v>293</v>
      </c>
      <c r="F589" t="s">
        <v>26</v>
      </c>
      <c r="G589">
        <v>12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12</v>
      </c>
      <c r="T589">
        <v>0</v>
      </c>
      <c r="U589" t="s">
        <v>48</v>
      </c>
      <c r="W589" s="2">
        <v>61.997777777777777</v>
      </c>
      <c r="X589" s="3">
        <f t="shared" si="18"/>
        <v>743.97333333333336</v>
      </c>
      <c r="Y589">
        <f>VLOOKUP(D589,'[1]Cost Sheet'!$C:$D,2,0)</f>
        <v>62.05</v>
      </c>
      <c r="Z589" s="3">
        <f t="shared" si="19"/>
        <v>744.59999999999991</v>
      </c>
    </row>
    <row r="590" spans="1:26" x14ac:dyDescent="0.3">
      <c r="A590" s="7" t="s">
        <v>21</v>
      </c>
      <c r="B590" t="s">
        <v>290</v>
      </c>
      <c r="C590" t="s">
        <v>291</v>
      </c>
      <c r="D590" t="s">
        <v>292</v>
      </c>
      <c r="E590" t="s">
        <v>293</v>
      </c>
      <c r="F590" t="s">
        <v>26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6</v>
      </c>
      <c r="T590">
        <v>0</v>
      </c>
      <c r="U590" t="s">
        <v>59</v>
      </c>
      <c r="W590" s="2">
        <v>61.997777777777777</v>
      </c>
      <c r="X590" s="3">
        <f t="shared" si="18"/>
        <v>371.98666666666668</v>
      </c>
      <c r="Y590">
        <f>VLOOKUP(D590,'[1]Cost Sheet'!$C:$D,2,0)</f>
        <v>62.05</v>
      </c>
      <c r="Z590" s="3">
        <f t="shared" si="19"/>
        <v>372.29999999999995</v>
      </c>
    </row>
    <row r="591" spans="1:26" x14ac:dyDescent="0.3">
      <c r="A591" s="7" t="s">
        <v>21</v>
      </c>
      <c r="B591" t="s">
        <v>290</v>
      </c>
      <c r="C591" t="s">
        <v>291</v>
      </c>
      <c r="D591" t="s">
        <v>292</v>
      </c>
      <c r="E591" t="s">
        <v>293</v>
      </c>
      <c r="F591" t="s">
        <v>114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 t="s">
        <v>39</v>
      </c>
      <c r="W591" s="2">
        <v>61.997777777777777</v>
      </c>
      <c r="X591" s="3">
        <f t="shared" si="18"/>
        <v>61.997777777777777</v>
      </c>
      <c r="Y591">
        <f>VLOOKUP(D591,'[1]Cost Sheet'!$C:$D,2,0)</f>
        <v>62.05</v>
      </c>
      <c r="Z591" s="3">
        <f t="shared" si="19"/>
        <v>62.05</v>
      </c>
    </row>
    <row r="592" spans="1:26" x14ac:dyDescent="0.3">
      <c r="A592" s="7" t="s">
        <v>21</v>
      </c>
      <c r="B592" t="s">
        <v>294</v>
      </c>
      <c r="C592" t="s">
        <v>295</v>
      </c>
      <c r="D592" t="s">
        <v>296</v>
      </c>
      <c r="E592" t="s">
        <v>297</v>
      </c>
      <c r="F592" t="s">
        <v>26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 t="s">
        <v>46</v>
      </c>
      <c r="W592" s="2">
        <v>53.91</v>
      </c>
      <c r="X592" s="3">
        <f t="shared" si="18"/>
        <v>53.91</v>
      </c>
      <c r="Y592">
        <f>VLOOKUP(D592,'[1]Cost Sheet'!$C:$D,2,0)</f>
        <v>53.91</v>
      </c>
      <c r="Z592" s="3">
        <f t="shared" si="19"/>
        <v>53.91</v>
      </c>
    </row>
    <row r="593" spans="1:26" x14ac:dyDescent="0.3">
      <c r="A593" s="7" t="s">
        <v>21</v>
      </c>
      <c r="B593" t="s">
        <v>294</v>
      </c>
      <c r="C593" t="s">
        <v>295</v>
      </c>
      <c r="D593" t="s">
        <v>296</v>
      </c>
      <c r="E593" t="s">
        <v>297</v>
      </c>
      <c r="F593" t="s">
        <v>26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 t="s">
        <v>48</v>
      </c>
      <c r="W593" s="2">
        <v>53.91</v>
      </c>
      <c r="X593" s="3">
        <f t="shared" si="18"/>
        <v>53.91</v>
      </c>
      <c r="Y593">
        <f>VLOOKUP(D593,'[1]Cost Sheet'!$C:$D,2,0)</f>
        <v>53.91</v>
      </c>
      <c r="Z593" s="3">
        <f t="shared" si="19"/>
        <v>53.91</v>
      </c>
    </row>
    <row r="594" spans="1:26" x14ac:dyDescent="0.3">
      <c r="A594" s="7" t="s">
        <v>21</v>
      </c>
      <c r="B594" t="s">
        <v>298</v>
      </c>
      <c r="C594" t="s">
        <v>299</v>
      </c>
      <c r="D594" t="s">
        <v>300</v>
      </c>
      <c r="E594" t="s">
        <v>301</v>
      </c>
      <c r="F594" t="s">
        <v>106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0</v>
      </c>
      <c r="U594" t="s">
        <v>38</v>
      </c>
      <c r="W594" s="2">
        <v>132.01</v>
      </c>
      <c r="X594" s="3">
        <f t="shared" si="18"/>
        <v>264.02</v>
      </c>
      <c r="Y594">
        <f>VLOOKUP(D594,'[1]Cost Sheet'!$C:$D,2,0)</f>
        <v>132.01</v>
      </c>
      <c r="Z594" s="3">
        <f t="shared" si="19"/>
        <v>264.02</v>
      </c>
    </row>
    <row r="595" spans="1:26" x14ac:dyDescent="0.3">
      <c r="A595" s="7" t="s">
        <v>21</v>
      </c>
      <c r="B595" t="s">
        <v>298</v>
      </c>
      <c r="C595" t="s">
        <v>299</v>
      </c>
      <c r="D595" t="s">
        <v>300</v>
      </c>
      <c r="E595" t="s">
        <v>301</v>
      </c>
      <c r="F595" t="s">
        <v>26</v>
      </c>
      <c r="G595">
        <v>15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15</v>
      </c>
      <c r="T595">
        <v>0</v>
      </c>
      <c r="U595" t="s">
        <v>38</v>
      </c>
      <c r="W595" s="2">
        <v>132.01</v>
      </c>
      <c r="X595" s="3">
        <f t="shared" si="18"/>
        <v>1980.1499999999999</v>
      </c>
      <c r="Y595">
        <f>VLOOKUP(D595,'[1]Cost Sheet'!$C:$D,2,0)</f>
        <v>132.01</v>
      </c>
      <c r="Z595" s="3">
        <f t="shared" si="19"/>
        <v>1980.1499999999999</v>
      </c>
    </row>
    <row r="596" spans="1:26" x14ac:dyDescent="0.3">
      <c r="A596" s="7" t="s">
        <v>21</v>
      </c>
      <c r="B596" t="s">
        <v>298</v>
      </c>
      <c r="C596" t="s">
        <v>299</v>
      </c>
      <c r="D596" t="s">
        <v>300</v>
      </c>
      <c r="E596" t="s">
        <v>301</v>
      </c>
      <c r="F596" t="s">
        <v>26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</v>
      </c>
      <c r="T596">
        <v>0</v>
      </c>
      <c r="U596" t="s">
        <v>32</v>
      </c>
      <c r="W596" s="2">
        <v>132.01</v>
      </c>
      <c r="X596" s="3">
        <f t="shared" si="18"/>
        <v>264.02</v>
      </c>
      <c r="Y596">
        <f>VLOOKUP(D596,'[1]Cost Sheet'!$C:$D,2,0)</f>
        <v>132.01</v>
      </c>
      <c r="Z596" s="3">
        <f t="shared" si="19"/>
        <v>264.02</v>
      </c>
    </row>
    <row r="597" spans="1:26" x14ac:dyDescent="0.3">
      <c r="A597" s="7" t="s">
        <v>21</v>
      </c>
      <c r="B597" t="s">
        <v>298</v>
      </c>
      <c r="C597" t="s">
        <v>299</v>
      </c>
      <c r="D597" t="s">
        <v>300</v>
      </c>
      <c r="E597" t="s">
        <v>301</v>
      </c>
      <c r="F597" t="s">
        <v>26</v>
      </c>
      <c r="G597">
        <v>0</v>
      </c>
      <c r="H597">
        <v>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109</v>
      </c>
      <c r="W597" s="2">
        <v>132.01</v>
      </c>
      <c r="X597" s="3">
        <f t="shared" si="18"/>
        <v>0</v>
      </c>
      <c r="Y597">
        <f>VLOOKUP(D597,'[1]Cost Sheet'!$C:$D,2,0)</f>
        <v>132.01</v>
      </c>
      <c r="Z597" s="3">
        <f t="shared" si="19"/>
        <v>0</v>
      </c>
    </row>
    <row r="598" spans="1:26" x14ac:dyDescent="0.3">
      <c r="A598" s="7" t="s">
        <v>21</v>
      </c>
      <c r="B598" t="s">
        <v>298</v>
      </c>
      <c r="C598" t="s">
        <v>299</v>
      </c>
      <c r="D598" t="s">
        <v>300</v>
      </c>
      <c r="E598" t="s">
        <v>301</v>
      </c>
      <c r="F598" t="s">
        <v>26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 t="s">
        <v>46</v>
      </c>
      <c r="W598" s="2">
        <v>132.01</v>
      </c>
      <c r="X598" s="3">
        <f t="shared" si="18"/>
        <v>132.01</v>
      </c>
      <c r="Y598">
        <f>VLOOKUP(D598,'[1]Cost Sheet'!$C:$D,2,0)</f>
        <v>132.01</v>
      </c>
      <c r="Z598" s="3">
        <f t="shared" si="19"/>
        <v>132.01</v>
      </c>
    </row>
    <row r="599" spans="1:26" x14ac:dyDescent="0.3">
      <c r="A599" s="7" t="s">
        <v>21</v>
      </c>
      <c r="B599" t="s">
        <v>298</v>
      </c>
      <c r="C599" t="s">
        <v>299</v>
      </c>
      <c r="D599" t="s">
        <v>300</v>
      </c>
      <c r="E599" t="s">
        <v>301</v>
      </c>
      <c r="F599" t="s">
        <v>26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</v>
      </c>
      <c r="T599">
        <v>0</v>
      </c>
      <c r="U599" t="s">
        <v>47</v>
      </c>
      <c r="W599" s="2">
        <v>132.01</v>
      </c>
      <c r="X599" s="3">
        <f t="shared" si="18"/>
        <v>528.04</v>
      </c>
      <c r="Y599">
        <f>VLOOKUP(D599,'[1]Cost Sheet'!$C:$D,2,0)</f>
        <v>132.01</v>
      </c>
      <c r="Z599" s="3">
        <f t="shared" si="19"/>
        <v>528.04</v>
      </c>
    </row>
    <row r="600" spans="1:26" x14ac:dyDescent="0.3">
      <c r="A600" s="7" t="s">
        <v>21</v>
      </c>
      <c r="B600" t="s">
        <v>298</v>
      </c>
      <c r="C600" t="s">
        <v>299</v>
      </c>
      <c r="D600" t="s">
        <v>300</v>
      </c>
      <c r="E600" t="s">
        <v>301</v>
      </c>
      <c r="F600" t="s">
        <v>26</v>
      </c>
      <c r="G600">
        <v>2</v>
      </c>
      <c r="H600">
        <v>0</v>
      </c>
      <c r="I600">
        <v>0</v>
      </c>
      <c r="J600">
        <v>-2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t="s">
        <v>40</v>
      </c>
      <c r="W600" s="2">
        <v>132.01</v>
      </c>
      <c r="X600" s="3">
        <f t="shared" si="18"/>
        <v>0</v>
      </c>
      <c r="Y600">
        <f>VLOOKUP(D600,'[1]Cost Sheet'!$C:$D,2,0)</f>
        <v>132.01</v>
      </c>
      <c r="Z600" s="3">
        <f t="shared" si="19"/>
        <v>0</v>
      </c>
    </row>
    <row r="601" spans="1:26" x14ac:dyDescent="0.3">
      <c r="A601" s="7" t="s">
        <v>21</v>
      </c>
      <c r="B601" t="s">
        <v>298</v>
      </c>
      <c r="C601" t="s">
        <v>299</v>
      </c>
      <c r="D601" t="s">
        <v>300</v>
      </c>
      <c r="E601" t="s">
        <v>301</v>
      </c>
      <c r="F601" t="s">
        <v>26</v>
      </c>
      <c r="G601">
        <v>1</v>
      </c>
      <c r="H601">
        <v>0</v>
      </c>
      <c r="I601">
        <v>0</v>
      </c>
      <c r="J601">
        <v>-1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t="s">
        <v>113</v>
      </c>
      <c r="W601" s="2">
        <v>132.01</v>
      </c>
      <c r="X601" s="3">
        <f t="shared" si="18"/>
        <v>0</v>
      </c>
      <c r="Y601">
        <f>VLOOKUP(D601,'[1]Cost Sheet'!$C:$D,2,0)</f>
        <v>132.01</v>
      </c>
      <c r="Z601" s="3">
        <f t="shared" si="19"/>
        <v>0</v>
      </c>
    </row>
    <row r="602" spans="1:26" x14ac:dyDescent="0.3">
      <c r="A602" s="7" t="s">
        <v>21</v>
      </c>
      <c r="B602" t="s">
        <v>298</v>
      </c>
      <c r="C602" t="s">
        <v>299</v>
      </c>
      <c r="D602" t="s">
        <v>300</v>
      </c>
      <c r="E602" t="s">
        <v>301</v>
      </c>
      <c r="F602" t="s">
        <v>26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</v>
      </c>
      <c r="T602">
        <v>0</v>
      </c>
      <c r="U602" t="s">
        <v>48</v>
      </c>
      <c r="W602" s="2">
        <v>132.01</v>
      </c>
      <c r="X602" s="3">
        <f t="shared" si="18"/>
        <v>264.02</v>
      </c>
      <c r="Y602">
        <f>VLOOKUP(D602,'[1]Cost Sheet'!$C:$D,2,0)</f>
        <v>132.01</v>
      </c>
      <c r="Z602" s="3">
        <f t="shared" si="19"/>
        <v>264.02</v>
      </c>
    </row>
    <row r="603" spans="1:26" x14ac:dyDescent="0.3">
      <c r="A603" s="7" t="s">
        <v>21</v>
      </c>
      <c r="B603" t="s">
        <v>298</v>
      </c>
      <c r="C603" t="s">
        <v>299</v>
      </c>
      <c r="D603" t="s">
        <v>300</v>
      </c>
      <c r="E603" t="s">
        <v>301</v>
      </c>
      <c r="F603" t="s">
        <v>26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</v>
      </c>
      <c r="T603">
        <v>0</v>
      </c>
      <c r="U603" t="s">
        <v>59</v>
      </c>
      <c r="W603" s="2">
        <v>132.01</v>
      </c>
      <c r="X603" s="3">
        <f t="shared" si="18"/>
        <v>264.02</v>
      </c>
      <c r="Y603">
        <f>VLOOKUP(D603,'[1]Cost Sheet'!$C:$D,2,0)</f>
        <v>132.01</v>
      </c>
      <c r="Z603" s="3">
        <f t="shared" si="19"/>
        <v>264.02</v>
      </c>
    </row>
    <row r="604" spans="1:26" x14ac:dyDescent="0.3">
      <c r="A604" s="7" t="s">
        <v>21</v>
      </c>
      <c r="B604" t="s">
        <v>298</v>
      </c>
      <c r="C604" t="s">
        <v>299</v>
      </c>
      <c r="D604" t="s">
        <v>300</v>
      </c>
      <c r="E604" t="s">
        <v>301</v>
      </c>
      <c r="F604" t="s">
        <v>26</v>
      </c>
      <c r="G604">
        <v>1</v>
      </c>
      <c r="H604">
        <v>0</v>
      </c>
      <c r="I604">
        <v>0</v>
      </c>
      <c r="J604">
        <v>-1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27</v>
      </c>
      <c r="W604" s="2">
        <v>132.01</v>
      </c>
      <c r="X604" s="3">
        <f t="shared" si="18"/>
        <v>0</v>
      </c>
      <c r="Y604">
        <f>VLOOKUP(D604,'[1]Cost Sheet'!$C:$D,2,0)</f>
        <v>132.01</v>
      </c>
      <c r="Z604" s="3">
        <f t="shared" si="19"/>
        <v>0</v>
      </c>
    </row>
    <row r="605" spans="1:26" x14ac:dyDescent="0.3">
      <c r="A605" s="7" t="s">
        <v>21</v>
      </c>
      <c r="B605" t="s">
        <v>302</v>
      </c>
      <c r="C605" t="s">
        <v>303</v>
      </c>
      <c r="D605" t="s">
        <v>304</v>
      </c>
      <c r="E605" t="s">
        <v>305</v>
      </c>
      <c r="F605" t="s">
        <v>26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 t="s">
        <v>53</v>
      </c>
      <c r="W605" s="2">
        <v>70.400000000000006</v>
      </c>
      <c r="X605" s="3">
        <f t="shared" si="18"/>
        <v>70.400000000000006</v>
      </c>
      <c r="Y605">
        <f>VLOOKUP(D605,'[1]Cost Sheet'!$C:$D,2,0)</f>
        <v>70.400000000000006</v>
      </c>
      <c r="Z605" s="3">
        <f t="shared" si="19"/>
        <v>70.400000000000006</v>
      </c>
    </row>
    <row r="606" spans="1:26" x14ac:dyDescent="0.3">
      <c r="A606" s="7" t="s">
        <v>21</v>
      </c>
      <c r="B606" t="s">
        <v>302</v>
      </c>
      <c r="C606" t="s">
        <v>303</v>
      </c>
      <c r="D606" t="s">
        <v>304</v>
      </c>
      <c r="E606" t="s">
        <v>305</v>
      </c>
      <c r="F606" t="s">
        <v>26</v>
      </c>
      <c r="G606">
        <v>57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57</v>
      </c>
      <c r="T606">
        <v>0</v>
      </c>
      <c r="U606" t="s">
        <v>47</v>
      </c>
      <c r="W606" s="2">
        <v>70.400000000000006</v>
      </c>
      <c r="X606" s="3">
        <f t="shared" si="18"/>
        <v>4012.8</v>
      </c>
      <c r="Y606">
        <f>VLOOKUP(D606,'[1]Cost Sheet'!$C:$D,2,0)</f>
        <v>70.400000000000006</v>
      </c>
      <c r="Z606" s="3">
        <f t="shared" si="19"/>
        <v>4012.8</v>
      </c>
    </row>
    <row r="607" spans="1:26" x14ac:dyDescent="0.3">
      <c r="A607" s="7" t="s">
        <v>21</v>
      </c>
      <c r="B607" t="s">
        <v>306</v>
      </c>
      <c r="C607" t="s">
        <v>307</v>
      </c>
      <c r="D607" t="s">
        <v>308</v>
      </c>
      <c r="E607" t="s">
        <v>309</v>
      </c>
      <c r="F607" t="s">
        <v>26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 t="s">
        <v>38</v>
      </c>
      <c r="W607" s="2">
        <v>114.81</v>
      </c>
      <c r="X607" s="3">
        <f t="shared" si="18"/>
        <v>114.81</v>
      </c>
      <c r="Y607">
        <f>VLOOKUP(D607,'[1]Cost Sheet'!$C:$D,2,0)</f>
        <v>114.81</v>
      </c>
      <c r="Z607" s="3">
        <f t="shared" si="19"/>
        <v>114.81</v>
      </c>
    </row>
    <row r="608" spans="1:26" x14ac:dyDescent="0.3">
      <c r="A608" s="7" t="s">
        <v>21</v>
      </c>
      <c r="B608" t="s">
        <v>306</v>
      </c>
      <c r="C608" t="s">
        <v>307</v>
      </c>
      <c r="D608" t="s">
        <v>308</v>
      </c>
      <c r="E608" t="s">
        <v>309</v>
      </c>
      <c r="F608" t="s">
        <v>26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3</v>
      </c>
      <c r="T608">
        <v>0</v>
      </c>
      <c r="U608" t="s">
        <v>45</v>
      </c>
      <c r="W608" s="2">
        <v>114.81</v>
      </c>
      <c r="X608" s="3">
        <f t="shared" si="18"/>
        <v>344.43</v>
      </c>
      <c r="Y608">
        <f>VLOOKUP(D608,'[1]Cost Sheet'!$C:$D,2,0)</f>
        <v>114.81</v>
      </c>
      <c r="Z608" s="3">
        <f t="shared" si="19"/>
        <v>344.43</v>
      </c>
    </row>
    <row r="609" spans="1:26" x14ac:dyDescent="0.3">
      <c r="A609" s="7" t="s">
        <v>21</v>
      </c>
      <c r="B609" t="s">
        <v>306</v>
      </c>
      <c r="C609" t="s">
        <v>307</v>
      </c>
      <c r="D609" t="s">
        <v>308</v>
      </c>
      <c r="E609" t="s">
        <v>309</v>
      </c>
      <c r="F609" t="s">
        <v>26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 t="s">
        <v>39</v>
      </c>
      <c r="W609" s="2">
        <v>114.81</v>
      </c>
      <c r="X609" s="3">
        <f t="shared" si="18"/>
        <v>114.81</v>
      </c>
      <c r="Y609">
        <f>VLOOKUP(D609,'[1]Cost Sheet'!$C:$D,2,0)</f>
        <v>114.81</v>
      </c>
      <c r="Z609" s="3">
        <f t="shared" si="19"/>
        <v>114.81</v>
      </c>
    </row>
    <row r="610" spans="1:26" x14ac:dyDescent="0.3">
      <c r="A610" s="7" t="s">
        <v>21</v>
      </c>
      <c r="B610" t="s">
        <v>306</v>
      </c>
      <c r="C610" t="s">
        <v>307</v>
      </c>
      <c r="D610" t="s">
        <v>308</v>
      </c>
      <c r="E610" t="s">
        <v>309</v>
      </c>
      <c r="F610" t="s">
        <v>26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 t="s">
        <v>53</v>
      </c>
      <c r="W610" s="2">
        <v>114.81</v>
      </c>
      <c r="X610" s="3">
        <f t="shared" si="18"/>
        <v>114.81</v>
      </c>
      <c r="Y610">
        <f>VLOOKUP(D610,'[1]Cost Sheet'!$C:$D,2,0)</f>
        <v>114.81</v>
      </c>
      <c r="Z610" s="3">
        <f t="shared" si="19"/>
        <v>114.81</v>
      </c>
    </row>
    <row r="611" spans="1:26" x14ac:dyDescent="0.3">
      <c r="A611" s="7" t="s">
        <v>21</v>
      </c>
      <c r="B611" t="s">
        <v>306</v>
      </c>
      <c r="C611" t="s">
        <v>307</v>
      </c>
      <c r="D611" t="s">
        <v>308</v>
      </c>
      <c r="E611" t="s">
        <v>309</v>
      </c>
      <c r="F611" t="s">
        <v>26</v>
      </c>
      <c r="G611">
        <v>2</v>
      </c>
      <c r="H611">
        <v>0</v>
      </c>
      <c r="I611">
        <v>0</v>
      </c>
      <c r="J611">
        <v>-1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 t="s">
        <v>33</v>
      </c>
      <c r="W611" s="2">
        <v>114.81</v>
      </c>
      <c r="X611" s="3">
        <f t="shared" si="18"/>
        <v>114.81</v>
      </c>
      <c r="Y611">
        <f>VLOOKUP(D611,'[1]Cost Sheet'!$C:$D,2,0)</f>
        <v>114.81</v>
      </c>
      <c r="Z611" s="3">
        <f t="shared" si="19"/>
        <v>114.81</v>
      </c>
    </row>
    <row r="612" spans="1:26" x14ac:dyDescent="0.3">
      <c r="A612" s="7" t="s">
        <v>21</v>
      </c>
      <c r="B612" t="s">
        <v>306</v>
      </c>
      <c r="C612" t="s">
        <v>307</v>
      </c>
      <c r="D612" t="s">
        <v>308</v>
      </c>
      <c r="E612" t="s">
        <v>309</v>
      </c>
      <c r="F612" t="s">
        <v>26</v>
      </c>
      <c r="G612">
        <v>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4</v>
      </c>
      <c r="T612">
        <v>0</v>
      </c>
      <c r="U612" t="s">
        <v>46</v>
      </c>
      <c r="W612" s="2">
        <v>114.81</v>
      </c>
      <c r="X612" s="3">
        <f t="shared" si="18"/>
        <v>459.24</v>
      </c>
      <c r="Y612">
        <f>VLOOKUP(D612,'[1]Cost Sheet'!$C:$D,2,0)</f>
        <v>114.81</v>
      </c>
      <c r="Z612" s="3">
        <f t="shared" si="19"/>
        <v>459.24</v>
      </c>
    </row>
    <row r="613" spans="1:26" x14ac:dyDescent="0.3">
      <c r="A613" s="7" t="s">
        <v>21</v>
      </c>
      <c r="B613" t="s">
        <v>306</v>
      </c>
      <c r="C613" t="s">
        <v>307</v>
      </c>
      <c r="D613" t="s">
        <v>308</v>
      </c>
      <c r="E613" t="s">
        <v>309</v>
      </c>
      <c r="F613" t="s">
        <v>26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</v>
      </c>
      <c r="T613">
        <v>0</v>
      </c>
      <c r="U613" t="s">
        <v>47</v>
      </c>
      <c r="W613" s="2">
        <v>114.81</v>
      </c>
      <c r="X613" s="3">
        <f t="shared" si="18"/>
        <v>229.62</v>
      </c>
      <c r="Y613">
        <f>VLOOKUP(D613,'[1]Cost Sheet'!$C:$D,2,0)</f>
        <v>114.81</v>
      </c>
      <c r="Z613" s="3">
        <f t="shared" si="19"/>
        <v>229.62</v>
      </c>
    </row>
    <row r="614" spans="1:26" x14ac:dyDescent="0.3">
      <c r="A614" s="7" t="s">
        <v>21</v>
      </c>
      <c r="B614" t="s">
        <v>306</v>
      </c>
      <c r="C614" t="s">
        <v>307</v>
      </c>
      <c r="D614" t="s">
        <v>308</v>
      </c>
      <c r="E614" t="s">
        <v>309</v>
      </c>
      <c r="F614" t="s">
        <v>26</v>
      </c>
      <c r="G614">
        <v>1</v>
      </c>
      <c r="H614">
        <v>0</v>
      </c>
      <c r="I614">
        <v>0</v>
      </c>
      <c r="J614">
        <v>-1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40</v>
      </c>
      <c r="W614" s="2">
        <v>114.81</v>
      </c>
      <c r="X614" s="3">
        <f t="shared" si="18"/>
        <v>0</v>
      </c>
      <c r="Y614">
        <f>VLOOKUP(D614,'[1]Cost Sheet'!$C:$D,2,0)</f>
        <v>114.81</v>
      </c>
      <c r="Z614" s="3">
        <f t="shared" si="19"/>
        <v>0</v>
      </c>
    </row>
    <row r="615" spans="1:26" x14ac:dyDescent="0.3">
      <c r="A615" s="7" t="s">
        <v>21</v>
      </c>
      <c r="B615" t="s">
        <v>310</v>
      </c>
      <c r="C615" t="s">
        <v>311</v>
      </c>
      <c r="D615" t="s">
        <v>312</v>
      </c>
      <c r="E615" t="s">
        <v>313</v>
      </c>
      <c r="F615" t="s">
        <v>26</v>
      </c>
      <c r="G615">
        <v>5</v>
      </c>
      <c r="H615">
        <v>0</v>
      </c>
      <c r="I615">
        <v>0</v>
      </c>
      <c r="J615">
        <v>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3</v>
      </c>
      <c r="T615">
        <v>0</v>
      </c>
      <c r="U615" t="s">
        <v>38</v>
      </c>
      <c r="W615" s="2">
        <v>68.577500000000001</v>
      </c>
      <c r="X615" s="3">
        <f t="shared" si="18"/>
        <v>205.73250000000002</v>
      </c>
      <c r="Y615">
        <f>VLOOKUP(D615,'[1]Cost Sheet'!$C:$D,2,0)</f>
        <v>68.349999999999994</v>
      </c>
      <c r="Z615" s="3">
        <f t="shared" si="19"/>
        <v>205.04999999999998</v>
      </c>
    </row>
    <row r="616" spans="1:26" x14ac:dyDescent="0.3">
      <c r="A616" s="7" t="s">
        <v>21</v>
      </c>
      <c r="B616" t="s">
        <v>310</v>
      </c>
      <c r="C616" t="s">
        <v>311</v>
      </c>
      <c r="D616" t="s">
        <v>312</v>
      </c>
      <c r="E616" t="s">
        <v>313</v>
      </c>
      <c r="F616" t="s">
        <v>26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5</v>
      </c>
      <c r="T616">
        <v>0</v>
      </c>
      <c r="U616" t="s">
        <v>45</v>
      </c>
      <c r="W616" s="2">
        <v>68.577500000000001</v>
      </c>
      <c r="X616" s="3">
        <f t="shared" si="18"/>
        <v>342.88749999999999</v>
      </c>
      <c r="Y616">
        <f>VLOOKUP(D616,'[1]Cost Sheet'!$C:$D,2,0)</f>
        <v>68.349999999999994</v>
      </c>
      <c r="Z616" s="3">
        <f t="shared" si="19"/>
        <v>341.75</v>
      </c>
    </row>
    <row r="617" spans="1:26" x14ac:dyDescent="0.3">
      <c r="A617" s="7" t="s">
        <v>21</v>
      </c>
      <c r="B617" t="s">
        <v>310</v>
      </c>
      <c r="C617" t="s">
        <v>311</v>
      </c>
      <c r="D617" t="s">
        <v>312</v>
      </c>
      <c r="E617" t="s">
        <v>313</v>
      </c>
      <c r="F617" t="s">
        <v>26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 t="s">
        <v>39</v>
      </c>
      <c r="W617" s="2">
        <v>68.577500000000001</v>
      </c>
      <c r="X617" s="3">
        <f t="shared" si="18"/>
        <v>68.577500000000001</v>
      </c>
      <c r="Y617">
        <f>VLOOKUP(D617,'[1]Cost Sheet'!$C:$D,2,0)</f>
        <v>68.349999999999994</v>
      </c>
      <c r="Z617" s="3">
        <f t="shared" si="19"/>
        <v>68.349999999999994</v>
      </c>
    </row>
    <row r="618" spans="1:26" x14ac:dyDescent="0.3">
      <c r="A618" s="7" t="s">
        <v>21</v>
      </c>
      <c r="B618" t="s">
        <v>310</v>
      </c>
      <c r="C618" t="s">
        <v>311</v>
      </c>
      <c r="D618" t="s">
        <v>312</v>
      </c>
      <c r="E618" t="s">
        <v>313</v>
      </c>
      <c r="F618" t="s">
        <v>26</v>
      </c>
      <c r="G618">
        <v>7</v>
      </c>
      <c r="H618">
        <v>0</v>
      </c>
      <c r="I618">
        <v>0</v>
      </c>
      <c r="J618">
        <v>-1</v>
      </c>
      <c r="K618">
        <v>0</v>
      </c>
      <c r="L618">
        <v>0</v>
      </c>
      <c r="M618">
        <v>13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19</v>
      </c>
      <c r="T618">
        <v>0</v>
      </c>
      <c r="U618" t="s">
        <v>53</v>
      </c>
      <c r="W618" s="2">
        <v>68.577500000000001</v>
      </c>
      <c r="X618" s="3">
        <f t="shared" si="18"/>
        <v>1302.9725000000001</v>
      </c>
      <c r="Y618">
        <f>VLOOKUP(D618,'[1]Cost Sheet'!$C:$D,2,0)</f>
        <v>68.349999999999994</v>
      </c>
      <c r="Z618" s="3">
        <f t="shared" si="19"/>
        <v>1298.6499999999999</v>
      </c>
    </row>
    <row r="619" spans="1:26" x14ac:dyDescent="0.3">
      <c r="A619" s="7" t="s">
        <v>21</v>
      </c>
      <c r="B619" t="s">
        <v>310</v>
      </c>
      <c r="C619" t="s">
        <v>311</v>
      </c>
      <c r="D619" t="s">
        <v>312</v>
      </c>
      <c r="E619" t="s">
        <v>313</v>
      </c>
      <c r="F619" t="s">
        <v>26</v>
      </c>
      <c r="G619">
        <v>34</v>
      </c>
      <c r="H619">
        <v>0</v>
      </c>
      <c r="I619">
        <v>0</v>
      </c>
      <c r="J619">
        <v>-1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33</v>
      </c>
      <c r="T619">
        <v>0</v>
      </c>
      <c r="U619" t="s">
        <v>32</v>
      </c>
      <c r="W619" s="2">
        <v>68.577500000000001</v>
      </c>
      <c r="X619" s="3">
        <f t="shared" si="18"/>
        <v>2263.0574999999999</v>
      </c>
      <c r="Y619">
        <f>VLOOKUP(D619,'[1]Cost Sheet'!$C:$D,2,0)</f>
        <v>68.349999999999994</v>
      </c>
      <c r="Z619" s="3">
        <f t="shared" si="19"/>
        <v>2255.5499999999997</v>
      </c>
    </row>
    <row r="620" spans="1:26" x14ac:dyDescent="0.3">
      <c r="A620" s="7" t="s">
        <v>21</v>
      </c>
      <c r="B620" t="s">
        <v>310</v>
      </c>
      <c r="C620" t="s">
        <v>311</v>
      </c>
      <c r="D620" t="s">
        <v>312</v>
      </c>
      <c r="E620" t="s">
        <v>313</v>
      </c>
      <c r="F620" t="s">
        <v>26</v>
      </c>
      <c r="G620">
        <v>2</v>
      </c>
      <c r="H620">
        <v>0</v>
      </c>
      <c r="I620">
        <v>0</v>
      </c>
      <c r="J620">
        <v>-2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t="s">
        <v>47</v>
      </c>
      <c r="W620" s="2">
        <v>68.577500000000001</v>
      </c>
      <c r="X620" s="3">
        <f t="shared" si="18"/>
        <v>0</v>
      </c>
      <c r="Y620">
        <f>VLOOKUP(D620,'[1]Cost Sheet'!$C:$D,2,0)</f>
        <v>68.349999999999994</v>
      </c>
      <c r="Z620" s="3">
        <f t="shared" si="19"/>
        <v>0</v>
      </c>
    </row>
    <row r="621" spans="1:26" x14ac:dyDescent="0.3">
      <c r="A621" s="7" t="s">
        <v>21</v>
      </c>
      <c r="B621" t="s">
        <v>310</v>
      </c>
      <c r="C621" t="s">
        <v>311</v>
      </c>
      <c r="D621" t="s">
        <v>312</v>
      </c>
      <c r="E621" t="s">
        <v>313</v>
      </c>
      <c r="F621" t="s">
        <v>26</v>
      </c>
      <c r="G621">
        <v>48</v>
      </c>
      <c r="H621">
        <v>0</v>
      </c>
      <c r="I621">
        <v>0</v>
      </c>
      <c r="J621">
        <v>-1</v>
      </c>
      <c r="K621">
        <v>0</v>
      </c>
      <c r="L621">
        <v>0</v>
      </c>
      <c r="M621">
        <v>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50</v>
      </c>
      <c r="T621">
        <v>0</v>
      </c>
      <c r="U621" t="s">
        <v>40</v>
      </c>
      <c r="W621" s="2">
        <v>68.577500000000001</v>
      </c>
      <c r="X621" s="3">
        <f t="shared" si="18"/>
        <v>3428.875</v>
      </c>
      <c r="Y621">
        <f>VLOOKUP(D621,'[1]Cost Sheet'!$C:$D,2,0)</f>
        <v>68.349999999999994</v>
      </c>
      <c r="Z621" s="3">
        <f t="shared" si="19"/>
        <v>3417.4999999999995</v>
      </c>
    </row>
    <row r="622" spans="1:26" x14ac:dyDescent="0.3">
      <c r="A622" s="7" t="s">
        <v>21</v>
      </c>
      <c r="B622" t="s">
        <v>310</v>
      </c>
      <c r="C622" t="s">
        <v>311</v>
      </c>
      <c r="D622" t="s">
        <v>312</v>
      </c>
      <c r="E622" t="s">
        <v>313</v>
      </c>
      <c r="F622" t="s">
        <v>26</v>
      </c>
      <c r="G622">
        <v>16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16</v>
      </c>
      <c r="T622">
        <v>0</v>
      </c>
      <c r="U622" t="s">
        <v>113</v>
      </c>
      <c r="W622" s="2">
        <v>68.577500000000001</v>
      </c>
      <c r="X622" s="3">
        <f t="shared" si="18"/>
        <v>1097.24</v>
      </c>
      <c r="Y622">
        <f>VLOOKUP(D622,'[1]Cost Sheet'!$C:$D,2,0)</f>
        <v>68.349999999999994</v>
      </c>
      <c r="Z622" s="3">
        <f t="shared" si="19"/>
        <v>1093.5999999999999</v>
      </c>
    </row>
    <row r="623" spans="1:26" x14ac:dyDescent="0.3">
      <c r="A623" s="7" t="s">
        <v>21</v>
      </c>
      <c r="B623" t="s">
        <v>310</v>
      </c>
      <c r="C623" t="s">
        <v>311</v>
      </c>
      <c r="D623" t="s">
        <v>312</v>
      </c>
      <c r="E623" t="s">
        <v>313</v>
      </c>
      <c r="F623" t="s">
        <v>26</v>
      </c>
      <c r="G623">
        <v>2</v>
      </c>
      <c r="H623">
        <v>0</v>
      </c>
      <c r="I623">
        <v>0</v>
      </c>
      <c r="J623">
        <v>-1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 t="s">
        <v>59</v>
      </c>
      <c r="W623" s="2">
        <v>68.577500000000001</v>
      </c>
      <c r="X623" s="3">
        <f t="shared" si="18"/>
        <v>68.577500000000001</v>
      </c>
      <c r="Y623">
        <f>VLOOKUP(D623,'[1]Cost Sheet'!$C:$D,2,0)</f>
        <v>68.349999999999994</v>
      </c>
      <c r="Z623" s="3">
        <f t="shared" si="19"/>
        <v>68.349999999999994</v>
      </c>
    </row>
    <row r="624" spans="1:26" x14ac:dyDescent="0.3">
      <c r="A624" s="7" t="s">
        <v>21</v>
      </c>
      <c r="B624" t="s">
        <v>310</v>
      </c>
      <c r="C624" t="s">
        <v>311</v>
      </c>
      <c r="D624" t="s">
        <v>312</v>
      </c>
      <c r="E624" t="s">
        <v>313</v>
      </c>
      <c r="F624" t="s">
        <v>26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 t="s">
        <v>27</v>
      </c>
      <c r="W624" s="2">
        <v>68.577500000000001</v>
      </c>
      <c r="X624" s="3">
        <f t="shared" si="18"/>
        <v>68.577500000000001</v>
      </c>
      <c r="Y624">
        <f>VLOOKUP(D624,'[1]Cost Sheet'!$C:$D,2,0)</f>
        <v>68.349999999999994</v>
      </c>
      <c r="Z624" s="3">
        <f t="shared" si="19"/>
        <v>68.349999999999994</v>
      </c>
    </row>
    <row r="625" spans="1:26" x14ac:dyDescent="0.3">
      <c r="A625" s="7" t="s">
        <v>21</v>
      </c>
      <c r="B625" t="s">
        <v>314</v>
      </c>
      <c r="C625" t="s">
        <v>315</v>
      </c>
      <c r="D625" t="s">
        <v>316</v>
      </c>
      <c r="E625" t="s">
        <v>317</v>
      </c>
      <c r="F625" t="s">
        <v>106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 t="s">
        <v>38</v>
      </c>
      <c r="W625" s="2">
        <v>114.81</v>
      </c>
      <c r="X625" s="3">
        <f t="shared" si="18"/>
        <v>114.81</v>
      </c>
      <c r="Y625">
        <f>VLOOKUP(D625,'[1]Cost Sheet'!$C:$D,2,0)</f>
        <v>114.81</v>
      </c>
      <c r="Z625" s="3">
        <f t="shared" si="19"/>
        <v>114.81</v>
      </c>
    </row>
    <row r="626" spans="1:26" x14ac:dyDescent="0.3">
      <c r="A626" s="7" t="s">
        <v>21</v>
      </c>
      <c r="B626" t="s">
        <v>314</v>
      </c>
      <c r="C626" t="s">
        <v>315</v>
      </c>
      <c r="D626" t="s">
        <v>316</v>
      </c>
      <c r="E626" t="s">
        <v>317</v>
      </c>
      <c r="F626" t="s">
        <v>106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 t="s">
        <v>45</v>
      </c>
      <c r="W626" s="2">
        <v>114.81</v>
      </c>
      <c r="X626" s="3">
        <f t="shared" si="18"/>
        <v>114.81</v>
      </c>
      <c r="Y626">
        <f>VLOOKUP(D626,'[1]Cost Sheet'!$C:$D,2,0)</f>
        <v>114.81</v>
      </c>
      <c r="Z626" s="3">
        <f t="shared" si="19"/>
        <v>114.81</v>
      </c>
    </row>
    <row r="627" spans="1:26" x14ac:dyDescent="0.3">
      <c r="A627" s="7" t="s">
        <v>21</v>
      </c>
      <c r="B627" t="s">
        <v>314</v>
      </c>
      <c r="C627" t="s">
        <v>315</v>
      </c>
      <c r="D627" t="s">
        <v>316</v>
      </c>
      <c r="E627" t="s">
        <v>317</v>
      </c>
      <c r="F627" t="s">
        <v>106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0</v>
      </c>
      <c r="U627" t="s">
        <v>53</v>
      </c>
      <c r="W627" s="2">
        <v>114.81</v>
      </c>
      <c r="X627" s="3">
        <f t="shared" si="18"/>
        <v>459.24</v>
      </c>
      <c r="Y627">
        <f>VLOOKUP(D627,'[1]Cost Sheet'!$C:$D,2,0)</f>
        <v>114.81</v>
      </c>
      <c r="Z627" s="3">
        <f t="shared" si="19"/>
        <v>459.24</v>
      </c>
    </row>
    <row r="628" spans="1:26" x14ac:dyDescent="0.3">
      <c r="A628" s="7" t="s">
        <v>21</v>
      </c>
      <c r="B628" t="s">
        <v>314</v>
      </c>
      <c r="C628" t="s">
        <v>315</v>
      </c>
      <c r="D628" t="s">
        <v>316</v>
      </c>
      <c r="E628" t="s">
        <v>317</v>
      </c>
      <c r="F628" t="s">
        <v>106</v>
      </c>
      <c r="G628">
        <v>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8</v>
      </c>
      <c r="T628">
        <v>0</v>
      </c>
      <c r="U628" t="s">
        <v>32</v>
      </c>
      <c r="W628" s="2">
        <v>114.81</v>
      </c>
      <c r="X628" s="3">
        <f t="shared" si="18"/>
        <v>918.48</v>
      </c>
      <c r="Y628">
        <f>VLOOKUP(D628,'[1]Cost Sheet'!$C:$D,2,0)</f>
        <v>114.81</v>
      </c>
      <c r="Z628" s="3">
        <f t="shared" si="19"/>
        <v>918.48</v>
      </c>
    </row>
    <row r="629" spans="1:26" x14ac:dyDescent="0.3">
      <c r="A629" s="7" t="s">
        <v>21</v>
      </c>
      <c r="B629" t="s">
        <v>314</v>
      </c>
      <c r="C629" t="s">
        <v>315</v>
      </c>
      <c r="D629" t="s">
        <v>316</v>
      </c>
      <c r="E629" t="s">
        <v>317</v>
      </c>
      <c r="F629" t="s">
        <v>106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 t="s">
        <v>33</v>
      </c>
      <c r="W629" s="2">
        <v>114.81</v>
      </c>
      <c r="X629" s="3">
        <f t="shared" si="18"/>
        <v>114.81</v>
      </c>
      <c r="Y629">
        <f>VLOOKUP(D629,'[1]Cost Sheet'!$C:$D,2,0)</f>
        <v>114.81</v>
      </c>
      <c r="Z629" s="3">
        <f t="shared" si="19"/>
        <v>114.81</v>
      </c>
    </row>
    <row r="630" spans="1:26" x14ac:dyDescent="0.3">
      <c r="A630" s="7" t="s">
        <v>21</v>
      </c>
      <c r="B630" t="s">
        <v>314</v>
      </c>
      <c r="C630" t="s">
        <v>315</v>
      </c>
      <c r="D630" t="s">
        <v>316</v>
      </c>
      <c r="E630" t="s">
        <v>317</v>
      </c>
      <c r="F630" t="s">
        <v>106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 t="s">
        <v>47</v>
      </c>
      <c r="W630" s="2">
        <v>114.81</v>
      </c>
      <c r="X630" s="3">
        <f t="shared" si="18"/>
        <v>114.81</v>
      </c>
      <c r="Y630">
        <f>VLOOKUP(D630,'[1]Cost Sheet'!$C:$D,2,0)</f>
        <v>114.81</v>
      </c>
      <c r="Z630" s="3">
        <f t="shared" si="19"/>
        <v>114.81</v>
      </c>
    </row>
    <row r="631" spans="1:26" x14ac:dyDescent="0.3">
      <c r="A631" s="7" t="s">
        <v>21</v>
      </c>
      <c r="B631" t="s">
        <v>314</v>
      </c>
      <c r="C631" t="s">
        <v>315</v>
      </c>
      <c r="D631" t="s">
        <v>316</v>
      </c>
      <c r="E631" t="s">
        <v>317</v>
      </c>
      <c r="F631" t="s">
        <v>26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 t="s">
        <v>59</v>
      </c>
      <c r="W631" s="2">
        <v>114.81</v>
      </c>
      <c r="X631" s="3">
        <f t="shared" si="18"/>
        <v>114.81</v>
      </c>
      <c r="Y631">
        <f>VLOOKUP(D631,'[1]Cost Sheet'!$C:$D,2,0)</f>
        <v>114.81</v>
      </c>
      <c r="Z631" s="3">
        <f t="shared" si="19"/>
        <v>114.81</v>
      </c>
    </row>
    <row r="632" spans="1:26" x14ac:dyDescent="0.3">
      <c r="A632" s="7" t="s">
        <v>21</v>
      </c>
      <c r="B632" t="s">
        <v>314</v>
      </c>
      <c r="C632" t="s">
        <v>315</v>
      </c>
      <c r="D632" t="s">
        <v>316</v>
      </c>
      <c r="E632" t="s">
        <v>317</v>
      </c>
      <c r="F632" t="s">
        <v>26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 t="s">
        <v>27</v>
      </c>
      <c r="W632" s="2">
        <v>114.81</v>
      </c>
      <c r="X632" s="3">
        <f t="shared" si="18"/>
        <v>114.81</v>
      </c>
      <c r="Y632">
        <f>VLOOKUP(D632,'[1]Cost Sheet'!$C:$D,2,0)</f>
        <v>114.81</v>
      </c>
      <c r="Z632" s="3">
        <f t="shared" si="19"/>
        <v>114.81</v>
      </c>
    </row>
    <row r="633" spans="1:26" x14ac:dyDescent="0.3">
      <c r="A633" s="7" t="s">
        <v>21</v>
      </c>
      <c r="B633" t="s">
        <v>314</v>
      </c>
      <c r="C633" t="s">
        <v>315</v>
      </c>
      <c r="D633" t="s">
        <v>316</v>
      </c>
      <c r="E633" t="s">
        <v>317</v>
      </c>
      <c r="F633" t="s">
        <v>114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 t="s">
        <v>40</v>
      </c>
      <c r="W633" s="2">
        <v>114.81</v>
      </c>
      <c r="X633" s="3">
        <f t="shared" si="18"/>
        <v>114.81</v>
      </c>
      <c r="Y633">
        <f>VLOOKUP(D633,'[1]Cost Sheet'!$C:$D,2,0)</f>
        <v>114.81</v>
      </c>
      <c r="Z633" s="3">
        <f t="shared" si="19"/>
        <v>114.81</v>
      </c>
    </row>
    <row r="634" spans="1:26" x14ac:dyDescent="0.3">
      <c r="A634" s="7" t="s">
        <v>21</v>
      </c>
      <c r="B634" t="s">
        <v>318</v>
      </c>
      <c r="C634" t="s">
        <v>319</v>
      </c>
      <c r="D634" t="s">
        <v>320</v>
      </c>
      <c r="E634" t="s">
        <v>321</v>
      </c>
      <c r="F634" t="s">
        <v>26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3</v>
      </c>
      <c r="T634">
        <v>0</v>
      </c>
      <c r="U634" t="s">
        <v>45</v>
      </c>
      <c r="W634" s="2">
        <v>64.540000000000006</v>
      </c>
      <c r="X634" s="3">
        <f t="shared" si="18"/>
        <v>193.62</v>
      </c>
      <c r="Y634">
        <f>VLOOKUP(D634,'[1]Cost Sheet'!$C:$D,2,0)</f>
        <v>64.540000000000006</v>
      </c>
      <c r="Z634" s="3">
        <f t="shared" si="19"/>
        <v>193.62</v>
      </c>
    </row>
    <row r="635" spans="1:26" x14ac:dyDescent="0.3">
      <c r="A635" s="7" t="s">
        <v>21</v>
      </c>
      <c r="B635" t="s">
        <v>318</v>
      </c>
      <c r="C635" t="s">
        <v>319</v>
      </c>
      <c r="D635" t="s">
        <v>320</v>
      </c>
      <c r="E635" t="s">
        <v>321</v>
      </c>
      <c r="F635" t="s">
        <v>26</v>
      </c>
      <c r="G635">
        <v>14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14</v>
      </c>
      <c r="T635">
        <v>0</v>
      </c>
      <c r="U635" t="s">
        <v>46</v>
      </c>
      <c r="W635" s="2">
        <v>64.540000000000006</v>
      </c>
      <c r="X635" s="3">
        <f t="shared" si="18"/>
        <v>903.56000000000006</v>
      </c>
      <c r="Y635">
        <f>VLOOKUP(D635,'[1]Cost Sheet'!$C:$D,2,0)</f>
        <v>64.540000000000006</v>
      </c>
      <c r="Z635" s="3">
        <f t="shared" si="19"/>
        <v>903.56000000000006</v>
      </c>
    </row>
    <row r="636" spans="1:26" x14ac:dyDescent="0.3">
      <c r="A636" s="7" t="s">
        <v>21</v>
      </c>
      <c r="B636" t="s">
        <v>318</v>
      </c>
      <c r="C636" t="s">
        <v>319</v>
      </c>
      <c r="D636" t="s">
        <v>320</v>
      </c>
      <c r="E636" t="s">
        <v>321</v>
      </c>
      <c r="F636" t="s">
        <v>26</v>
      </c>
      <c r="G636">
        <v>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8</v>
      </c>
      <c r="T636">
        <v>0</v>
      </c>
      <c r="U636" t="s">
        <v>47</v>
      </c>
      <c r="W636" s="2">
        <v>64.540000000000006</v>
      </c>
      <c r="X636" s="3">
        <f t="shared" si="18"/>
        <v>516.32000000000005</v>
      </c>
      <c r="Y636">
        <f>VLOOKUP(D636,'[1]Cost Sheet'!$C:$D,2,0)</f>
        <v>64.540000000000006</v>
      </c>
      <c r="Z636" s="3">
        <f t="shared" si="19"/>
        <v>516.32000000000005</v>
      </c>
    </row>
    <row r="637" spans="1:26" x14ac:dyDescent="0.3">
      <c r="A637" s="7" t="s">
        <v>21</v>
      </c>
      <c r="B637" t="s">
        <v>318</v>
      </c>
      <c r="C637" t="s">
        <v>319</v>
      </c>
      <c r="D637" t="s">
        <v>320</v>
      </c>
      <c r="E637" t="s">
        <v>321</v>
      </c>
      <c r="F637" t="s">
        <v>26</v>
      </c>
      <c r="G637">
        <v>47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47</v>
      </c>
      <c r="T637">
        <v>0</v>
      </c>
      <c r="U637" t="s">
        <v>59</v>
      </c>
      <c r="W637" s="2">
        <v>64.540000000000006</v>
      </c>
      <c r="X637" s="3">
        <f t="shared" si="18"/>
        <v>3033.38</v>
      </c>
      <c r="Y637">
        <f>VLOOKUP(D637,'[1]Cost Sheet'!$C:$D,2,0)</f>
        <v>64.540000000000006</v>
      </c>
      <c r="Z637" s="3">
        <f t="shared" si="19"/>
        <v>3033.38</v>
      </c>
    </row>
    <row r="638" spans="1:26" x14ac:dyDescent="0.3">
      <c r="A638" s="7" t="s">
        <v>21</v>
      </c>
      <c r="B638" t="s">
        <v>322</v>
      </c>
      <c r="C638" t="s">
        <v>323</v>
      </c>
      <c r="D638" t="s">
        <v>324</v>
      </c>
      <c r="E638" t="s">
        <v>325</v>
      </c>
      <c r="F638" t="s">
        <v>26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3</v>
      </c>
      <c r="T638">
        <v>0</v>
      </c>
      <c r="U638" t="s">
        <v>38</v>
      </c>
      <c r="W638" s="2">
        <v>114.80999999999999</v>
      </c>
      <c r="X638" s="3">
        <f t="shared" si="18"/>
        <v>344.42999999999995</v>
      </c>
      <c r="Y638">
        <f>VLOOKUP(D638,'[1]Cost Sheet'!$C:$D,2,0)</f>
        <v>114.80999999999999</v>
      </c>
      <c r="Z638" s="3">
        <f t="shared" si="19"/>
        <v>344.42999999999995</v>
      </c>
    </row>
    <row r="639" spans="1:26" x14ac:dyDescent="0.3">
      <c r="A639" s="7" t="s">
        <v>21</v>
      </c>
      <c r="B639" t="s">
        <v>322</v>
      </c>
      <c r="C639" t="s">
        <v>323</v>
      </c>
      <c r="D639" t="s">
        <v>324</v>
      </c>
      <c r="E639" t="s">
        <v>325</v>
      </c>
      <c r="F639" t="s">
        <v>26</v>
      </c>
      <c r="G639">
        <v>0</v>
      </c>
      <c r="H639">
        <v>0</v>
      </c>
      <c r="I639">
        <v>0</v>
      </c>
      <c r="J639">
        <v>-1</v>
      </c>
      <c r="K639">
        <v>0</v>
      </c>
      <c r="L639">
        <v>0</v>
      </c>
      <c r="M639">
        <v>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5</v>
      </c>
      <c r="T639">
        <v>0</v>
      </c>
      <c r="U639" t="s">
        <v>45</v>
      </c>
      <c r="W639" s="2">
        <v>114.80999999999999</v>
      </c>
      <c r="X639" s="3">
        <f t="shared" si="18"/>
        <v>574.04999999999995</v>
      </c>
      <c r="Y639">
        <f>VLOOKUP(D639,'[1]Cost Sheet'!$C:$D,2,0)</f>
        <v>114.80999999999999</v>
      </c>
      <c r="Z639" s="3">
        <f t="shared" si="19"/>
        <v>574.04999999999995</v>
      </c>
    </row>
    <row r="640" spans="1:26" x14ac:dyDescent="0.3">
      <c r="A640" s="7" t="s">
        <v>21</v>
      </c>
      <c r="B640" t="s">
        <v>322</v>
      </c>
      <c r="C640" t="s">
        <v>323</v>
      </c>
      <c r="D640" t="s">
        <v>324</v>
      </c>
      <c r="E640" t="s">
        <v>325</v>
      </c>
      <c r="F640" t="s">
        <v>26</v>
      </c>
      <c r="G640">
        <v>30</v>
      </c>
      <c r="H640">
        <v>0</v>
      </c>
      <c r="I640">
        <v>0</v>
      </c>
      <c r="J640">
        <v>-18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12</v>
      </c>
      <c r="T640">
        <v>0</v>
      </c>
      <c r="U640" t="s">
        <v>39</v>
      </c>
      <c r="W640" s="2">
        <v>114.80999999999999</v>
      </c>
      <c r="X640" s="3">
        <f t="shared" si="18"/>
        <v>1377.7199999999998</v>
      </c>
      <c r="Y640">
        <f>VLOOKUP(D640,'[1]Cost Sheet'!$C:$D,2,0)</f>
        <v>114.80999999999999</v>
      </c>
      <c r="Z640" s="3">
        <f t="shared" si="19"/>
        <v>1377.7199999999998</v>
      </c>
    </row>
    <row r="641" spans="1:26" x14ac:dyDescent="0.3">
      <c r="A641" s="7" t="s">
        <v>21</v>
      </c>
      <c r="B641" t="s">
        <v>322</v>
      </c>
      <c r="C641" t="s">
        <v>323</v>
      </c>
      <c r="D641" t="s">
        <v>324</v>
      </c>
      <c r="E641" t="s">
        <v>325</v>
      </c>
      <c r="F641" t="s">
        <v>26</v>
      </c>
      <c r="G641">
        <v>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4</v>
      </c>
      <c r="T641">
        <v>0</v>
      </c>
      <c r="U641" t="s">
        <v>32</v>
      </c>
      <c r="W641" s="2">
        <v>114.80999999999999</v>
      </c>
      <c r="X641" s="3">
        <f t="shared" si="18"/>
        <v>459.23999999999995</v>
      </c>
      <c r="Y641">
        <f>VLOOKUP(D641,'[1]Cost Sheet'!$C:$D,2,0)</f>
        <v>114.80999999999999</v>
      </c>
      <c r="Z641" s="3">
        <f t="shared" si="19"/>
        <v>459.23999999999995</v>
      </c>
    </row>
    <row r="642" spans="1:26" x14ac:dyDescent="0.3">
      <c r="A642" s="7" t="s">
        <v>21</v>
      </c>
      <c r="B642" t="s">
        <v>322</v>
      </c>
      <c r="C642" t="s">
        <v>323</v>
      </c>
      <c r="D642" t="s">
        <v>324</v>
      </c>
      <c r="E642" t="s">
        <v>325</v>
      </c>
      <c r="F642" t="s">
        <v>26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-1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t="s">
        <v>88</v>
      </c>
      <c r="W642" s="2">
        <v>114.80999999999999</v>
      </c>
      <c r="X642" s="3">
        <f t="shared" si="18"/>
        <v>0</v>
      </c>
      <c r="Y642">
        <f>VLOOKUP(D642,'[1]Cost Sheet'!$C:$D,2,0)</f>
        <v>114.80999999999999</v>
      </c>
      <c r="Z642" s="3">
        <f t="shared" si="19"/>
        <v>0</v>
      </c>
    </row>
    <row r="643" spans="1:26" x14ac:dyDescent="0.3">
      <c r="A643" s="7" t="s">
        <v>21</v>
      </c>
      <c r="B643" t="s">
        <v>322</v>
      </c>
      <c r="C643" t="s">
        <v>323</v>
      </c>
      <c r="D643" t="s">
        <v>324</v>
      </c>
      <c r="E643" t="s">
        <v>325</v>
      </c>
      <c r="F643" t="s">
        <v>26</v>
      </c>
      <c r="G643">
        <v>1</v>
      </c>
      <c r="H643">
        <v>0</v>
      </c>
      <c r="I643">
        <v>0</v>
      </c>
      <c r="J643">
        <v>-1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33</v>
      </c>
      <c r="W643" s="2">
        <v>114.80999999999999</v>
      </c>
      <c r="X643" s="3">
        <f t="shared" ref="X643:X706" si="20">S643*W643</f>
        <v>0</v>
      </c>
      <c r="Y643">
        <f>VLOOKUP(D643,'[1]Cost Sheet'!$C:$D,2,0)</f>
        <v>114.80999999999999</v>
      </c>
      <c r="Z643" s="3">
        <f t="shared" ref="Z643:Z706" si="21">Y643*S643</f>
        <v>0</v>
      </c>
    </row>
    <row r="644" spans="1:26" x14ac:dyDescent="0.3">
      <c r="A644" s="7" t="s">
        <v>21</v>
      </c>
      <c r="B644" t="s">
        <v>322</v>
      </c>
      <c r="C644" t="s">
        <v>323</v>
      </c>
      <c r="D644" t="s">
        <v>324</v>
      </c>
      <c r="E644" t="s">
        <v>325</v>
      </c>
      <c r="F644" t="s">
        <v>26</v>
      </c>
      <c r="G644">
        <v>10</v>
      </c>
      <c r="H644">
        <v>0</v>
      </c>
      <c r="I644">
        <v>0</v>
      </c>
      <c r="J644">
        <v>-5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5</v>
      </c>
      <c r="T644">
        <v>0</v>
      </c>
      <c r="U644" t="s">
        <v>46</v>
      </c>
      <c r="W644" s="2">
        <v>114.80999999999999</v>
      </c>
      <c r="X644" s="3">
        <f t="shared" si="20"/>
        <v>574.04999999999995</v>
      </c>
      <c r="Y644">
        <f>VLOOKUP(D644,'[1]Cost Sheet'!$C:$D,2,0)</f>
        <v>114.80999999999999</v>
      </c>
      <c r="Z644" s="3">
        <f t="shared" si="21"/>
        <v>574.04999999999995</v>
      </c>
    </row>
    <row r="645" spans="1:26" x14ac:dyDescent="0.3">
      <c r="A645" s="7" t="s">
        <v>21</v>
      </c>
      <c r="B645" t="s">
        <v>322</v>
      </c>
      <c r="C645" t="s">
        <v>323</v>
      </c>
      <c r="D645" t="s">
        <v>324</v>
      </c>
      <c r="E645" t="s">
        <v>325</v>
      </c>
      <c r="F645" t="s">
        <v>26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</v>
      </c>
      <c r="T645">
        <v>0</v>
      </c>
      <c r="U645" t="s">
        <v>111</v>
      </c>
      <c r="W645" s="2">
        <v>114.80999999999999</v>
      </c>
      <c r="X645" s="3">
        <f t="shared" si="20"/>
        <v>344.42999999999995</v>
      </c>
      <c r="Y645">
        <f>VLOOKUP(D645,'[1]Cost Sheet'!$C:$D,2,0)</f>
        <v>114.80999999999999</v>
      </c>
      <c r="Z645" s="3">
        <f t="shared" si="21"/>
        <v>344.42999999999995</v>
      </c>
    </row>
    <row r="646" spans="1:26" x14ac:dyDescent="0.3">
      <c r="A646" s="7" t="s">
        <v>21</v>
      </c>
      <c r="B646" t="s">
        <v>322</v>
      </c>
      <c r="C646" t="s">
        <v>323</v>
      </c>
      <c r="D646" t="s">
        <v>324</v>
      </c>
      <c r="E646" t="s">
        <v>325</v>
      </c>
      <c r="F646" t="s">
        <v>26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</v>
      </c>
      <c r="T646">
        <v>0</v>
      </c>
      <c r="U646" t="s">
        <v>47</v>
      </c>
      <c r="W646" s="2">
        <v>114.80999999999999</v>
      </c>
      <c r="X646" s="3">
        <f t="shared" si="20"/>
        <v>229.61999999999998</v>
      </c>
      <c r="Y646">
        <f>VLOOKUP(D646,'[1]Cost Sheet'!$C:$D,2,0)</f>
        <v>114.80999999999999</v>
      </c>
      <c r="Z646" s="3">
        <f t="shared" si="21"/>
        <v>229.61999999999998</v>
      </c>
    </row>
    <row r="647" spans="1:26" x14ac:dyDescent="0.3">
      <c r="A647" s="7" t="s">
        <v>21</v>
      </c>
      <c r="B647" t="s">
        <v>322</v>
      </c>
      <c r="C647" t="s">
        <v>323</v>
      </c>
      <c r="D647" t="s">
        <v>324</v>
      </c>
      <c r="E647" t="s">
        <v>325</v>
      </c>
      <c r="F647" t="s">
        <v>26</v>
      </c>
      <c r="G647">
        <v>7</v>
      </c>
      <c r="H647">
        <v>0</v>
      </c>
      <c r="I647">
        <v>0</v>
      </c>
      <c r="J647">
        <v>-3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4</v>
      </c>
      <c r="T647">
        <v>0</v>
      </c>
      <c r="U647" t="s">
        <v>40</v>
      </c>
      <c r="W647" s="2">
        <v>114.80999999999999</v>
      </c>
      <c r="X647" s="3">
        <f t="shared" si="20"/>
        <v>459.23999999999995</v>
      </c>
      <c r="Y647">
        <f>VLOOKUP(D647,'[1]Cost Sheet'!$C:$D,2,0)</f>
        <v>114.80999999999999</v>
      </c>
      <c r="Z647" s="3">
        <f t="shared" si="21"/>
        <v>459.23999999999995</v>
      </c>
    </row>
    <row r="648" spans="1:26" x14ac:dyDescent="0.3">
      <c r="A648" s="7" t="s">
        <v>21</v>
      </c>
      <c r="B648" t="s">
        <v>322</v>
      </c>
      <c r="C648" t="s">
        <v>323</v>
      </c>
      <c r="D648" t="s">
        <v>324</v>
      </c>
      <c r="E648" t="s">
        <v>325</v>
      </c>
      <c r="F648" t="s">
        <v>26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 t="s">
        <v>113</v>
      </c>
      <c r="W648" s="2">
        <v>114.80999999999999</v>
      </c>
      <c r="X648" s="3">
        <f t="shared" si="20"/>
        <v>114.80999999999999</v>
      </c>
      <c r="Y648">
        <f>VLOOKUP(D648,'[1]Cost Sheet'!$C:$D,2,0)</f>
        <v>114.80999999999999</v>
      </c>
      <c r="Z648" s="3">
        <f t="shared" si="21"/>
        <v>114.80999999999999</v>
      </c>
    </row>
    <row r="649" spans="1:26" x14ac:dyDescent="0.3">
      <c r="A649" s="7" t="s">
        <v>21</v>
      </c>
      <c r="B649" t="s">
        <v>322</v>
      </c>
      <c r="C649" t="s">
        <v>323</v>
      </c>
      <c r="D649" t="s">
        <v>324</v>
      </c>
      <c r="E649" t="s">
        <v>325</v>
      </c>
      <c r="F649" t="s">
        <v>26</v>
      </c>
      <c r="G649">
        <v>1</v>
      </c>
      <c r="H649">
        <v>0</v>
      </c>
      <c r="I649">
        <v>0</v>
      </c>
      <c r="J649">
        <v>-1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t="s">
        <v>48</v>
      </c>
      <c r="W649" s="2">
        <v>114.80999999999999</v>
      </c>
      <c r="X649" s="3">
        <f t="shared" si="20"/>
        <v>0</v>
      </c>
      <c r="Y649">
        <f>VLOOKUP(D649,'[1]Cost Sheet'!$C:$D,2,0)</f>
        <v>114.80999999999999</v>
      </c>
      <c r="Z649" s="3">
        <f t="shared" si="21"/>
        <v>0</v>
      </c>
    </row>
    <row r="650" spans="1:26" x14ac:dyDescent="0.3">
      <c r="A650" s="7" t="s">
        <v>21</v>
      </c>
      <c r="B650" t="s">
        <v>322</v>
      </c>
      <c r="C650" t="s">
        <v>323</v>
      </c>
      <c r="D650" t="s">
        <v>324</v>
      </c>
      <c r="E650" t="s">
        <v>325</v>
      </c>
      <c r="F650" t="s">
        <v>26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0</v>
      </c>
      <c r="U650" t="s">
        <v>27</v>
      </c>
      <c r="W650" s="2">
        <v>114.80999999999999</v>
      </c>
      <c r="X650" s="3">
        <f t="shared" si="20"/>
        <v>229.61999999999998</v>
      </c>
      <c r="Y650">
        <f>VLOOKUP(D650,'[1]Cost Sheet'!$C:$D,2,0)</f>
        <v>114.80999999999999</v>
      </c>
      <c r="Z650" s="3">
        <f t="shared" si="21"/>
        <v>229.61999999999998</v>
      </c>
    </row>
    <row r="651" spans="1:26" x14ac:dyDescent="0.3">
      <c r="A651" s="7" t="s">
        <v>21</v>
      </c>
      <c r="B651" t="s">
        <v>322</v>
      </c>
      <c r="C651" t="s">
        <v>323</v>
      </c>
      <c r="D651" t="s">
        <v>324</v>
      </c>
      <c r="E651" t="s">
        <v>325</v>
      </c>
      <c r="F651" t="s">
        <v>114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 t="s">
        <v>88</v>
      </c>
      <c r="W651" s="2">
        <v>114.80999999999999</v>
      </c>
      <c r="X651" s="3">
        <f t="shared" si="20"/>
        <v>114.80999999999999</v>
      </c>
      <c r="Y651">
        <f>VLOOKUP(D651,'[1]Cost Sheet'!$C:$D,2,0)</f>
        <v>114.80999999999999</v>
      </c>
      <c r="Z651" s="3">
        <f t="shared" si="21"/>
        <v>114.80999999999999</v>
      </c>
    </row>
    <row r="652" spans="1:26" x14ac:dyDescent="0.3">
      <c r="A652" s="7" t="s">
        <v>21</v>
      </c>
      <c r="B652" t="s">
        <v>326</v>
      </c>
      <c r="C652" t="s">
        <v>327</v>
      </c>
      <c r="D652" t="s">
        <v>328</v>
      </c>
      <c r="E652" t="s">
        <v>329</v>
      </c>
      <c r="F652" t="s">
        <v>26</v>
      </c>
      <c r="G652">
        <v>20</v>
      </c>
      <c r="H652">
        <v>0</v>
      </c>
      <c r="I652">
        <v>0</v>
      </c>
      <c r="J652">
        <v>-11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9</v>
      </c>
      <c r="T652">
        <v>0</v>
      </c>
      <c r="U652" t="s">
        <v>107</v>
      </c>
      <c r="W652" s="2">
        <v>63.836666666666673</v>
      </c>
      <c r="X652" s="3">
        <f t="shared" si="20"/>
        <v>574.53000000000009</v>
      </c>
      <c r="Y652">
        <f>VLOOKUP(D652,'[1]Cost Sheet'!$C:$D,2,0)</f>
        <v>64.540000000000006</v>
      </c>
      <c r="Z652" s="3">
        <f t="shared" si="21"/>
        <v>580.86</v>
      </c>
    </row>
    <row r="653" spans="1:26" x14ac:dyDescent="0.3">
      <c r="A653" s="7" t="s">
        <v>21</v>
      </c>
      <c r="B653" t="s">
        <v>326</v>
      </c>
      <c r="C653" t="s">
        <v>327</v>
      </c>
      <c r="D653" t="s">
        <v>328</v>
      </c>
      <c r="E653" t="s">
        <v>329</v>
      </c>
      <c r="F653" t="s">
        <v>26</v>
      </c>
      <c r="G653">
        <v>12</v>
      </c>
      <c r="H653">
        <v>0</v>
      </c>
      <c r="I653">
        <v>0</v>
      </c>
      <c r="J653">
        <v>-10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</v>
      </c>
      <c r="T653">
        <v>0</v>
      </c>
      <c r="U653" t="s">
        <v>45</v>
      </c>
      <c r="W653" s="2">
        <v>63.836666666666673</v>
      </c>
      <c r="X653" s="3">
        <f t="shared" si="20"/>
        <v>127.67333333333335</v>
      </c>
      <c r="Y653">
        <f>VLOOKUP(D653,'[1]Cost Sheet'!$C:$D,2,0)</f>
        <v>64.540000000000006</v>
      </c>
      <c r="Z653" s="3">
        <f t="shared" si="21"/>
        <v>129.08000000000001</v>
      </c>
    </row>
    <row r="654" spans="1:26" x14ac:dyDescent="0.3">
      <c r="A654" s="7" t="s">
        <v>21</v>
      </c>
      <c r="B654" t="s">
        <v>326</v>
      </c>
      <c r="C654" t="s">
        <v>327</v>
      </c>
      <c r="D654" t="s">
        <v>328</v>
      </c>
      <c r="E654" t="s">
        <v>329</v>
      </c>
      <c r="F654" t="s">
        <v>26</v>
      </c>
      <c r="G654">
        <v>34</v>
      </c>
      <c r="H654">
        <v>0</v>
      </c>
      <c r="I654">
        <v>0</v>
      </c>
      <c r="J654">
        <v>-3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31</v>
      </c>
      <c r="T654">
        <v>0</v>
      </c>
      <c r="U654" t="s">
        <v>54</v>
      </c>
      <c r="W654" s="2">
        <v>63.836666666666673</v>
      </c>
      <c r="X654" s="3">
        <f t="shared" si="20"/>
        <v>1978.936666666667</v>
      </c>
      <c r="Y654">
        <f>VLOOKUP(D654,'[1]Cost Sheet'!$C:$D,2,0)</f>
        <v>64.540000000000006</v>
      </c>
      <c r="Z654" s="3">
        <f t="shared" si="21"/>
        <v>2000.7400000000002</v>
      </c>
    </row>
    <row r="655" spans="1:26" x14ac:dyDescent="0.3">
      <c r="A655" s="7" t="s">
        <v>21</v>
      </c>
      <c r="B655" t="s">
        <v>326</v>
      </c>
      <c r="C655" t="s">
        <v>327</v>
      </c>
      <c r="D655" t="s">
        <v>328</v>
      </c>
      <c r="E655" t="s">
        <v>329</v>
      </c>
      <c r="F655" t="s">
        <v>26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-1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t="s">
        <v>88</v>
      </c>
      <c r="W655" s="2">
        <v>63.836666666666673</v>
      </c>
      <c r="X655" s="3">
        <f t="shared" si="20"/>
        <v>0</v>
      </c>
      <c r="Y655">
        <f>VLOOKUP(D655,'[1]Cost Sheet'!$C:$D,2,0)</f>
        <v>64.540000000000006</v>
      </c>
      <c r="Z655" s="3">
        <f t="shared" si="21"/>
        <v>0</v>
      </c>
    </row>
    <row r="656" spans="1:26" x14ac:dyDescent="0.3">
      <c r="A656" s="7" t="s">
        <v>21</v>
      </c>
      <c r="B656" t="s">
        <v>326</v>
      </c>
      <c r="C656" t="s">
        <v>327</v>
      </c>
      <c r="D656" t="s">
        <v>328</v>
      </c>
      <c r="E656" t="s">
        <v>329</v>
      </c>
      <c r="F656" t="s">
        <v>26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 t="s">
        <v>33</v>
      </c>
      <c r="W656" s="2">
        <v>63.836666666666673</v>
      </c>
      <c r="X656" s="3">
        <f t="shared" si="20"/>
        <v>63.836666666666673</v>
      </c>
      <c r="Y656">
        <f>VLOOKUP(D656,'[1]Cost Sheet'!$C:$D,2,0)</f>
        <v>64.540000000000006</v>
      </c>
      <c r="Z656" s="3">
        <f t="shared" si="21"/>
        <v>64.540000000000006</v>
      </c>
    </row>
    <row r="657" spans="1:26" x14ac:dyDescent="0.3">
      <c r="A657" s="7" t="s">
        <v>21</v>
      </c>
      <c r="B657" t="s">
        <v>326</v>
      </c>
      <c r="C657" t="s">
        <v>327</v>
      </c>
      <c r="D657" t="s">
        <v>328</v>
      </c>
      <c r="E657" t="s">
        <v>329</v>
      </c>
      <c r="F657" t="s">
        <v>26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 t="s">
        <v>110</v>
      </c>
      <c r="W657" s="2">
        <v>63.836666666666673</v>
      </c>
      <c r="X657" s="3">
        <f t="shared" si="20"/>
        <v>63.836666666666673</v>
      </c>
      <c r="Y657">
        <f>VLOOKUP(D657,'[1]Cost Sheet'!$C:$D,2,0)</f>
        <v>64.540000000000006</v>
      </c>
      <c r="Z657" s="3">
        <f t="shared" si="21"/>
        <v>64.540000000000006</v>
      </c>
    </row>
    <row r="658" spans="1:26" x14ac:dyDescent="0.3">
      <c r="A658" s="7" t="s">
        <v>21</v>
      </c>
      <c r="B658" t="s">
        <v>326</v>
      </c>
      <c r="C658" t="s">
        <v>327</v>
      </c>
      <c r="D658" t="s">
        <v>328</v>
      </c>
      <c r="E658" t="s">
        <v>329</v>
      </c>
      <c r="F658" t="s">
        <v>26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 t="s">
        <v>40</v>
      </c>
      <c r="W658" s="2">
        <v>63.836666666666673</v>
      </c>
      <c r="X658" s="3">
        <f t="shared" si="20"/>
        <v>63.836666666666673</v>
      </c>
      <c r="Y658">
        <f>VLOOKUP(D658,'[1]Cost Sheet'!$C:$D,2,0)</f>
        <v>64.540000000000006</v>
      </c>
      <c r="Z658" s="3">
        <f t="shared" si="21"/>
        <v>64.540000000000006</v>
      </c>
    </row>
    <row r="659" spans="1:26" x14ac:dyDescent="0.3">
      <c r="A659" s="7" t="s">
        <v>21</v>
      </c>
      <c r="B659" t="s">
        <v>326</v>
      </c>
      <c r="C659" t="s">
        <v>327</v>
      </c>
      <c r="D659" t="s">
        <v>328</v>
      </c>
      <c r="E659" t="s">
        <v>329</v>
      </c>
      <c r="F659" t="s">
        <v>26</v>
      </c>
      <c r="G659">
        <v>10</v>
      </c>
      <c r="H659">
        <v>0</v>
      </c>
      <c r="I659">
        <v>0</v>
      </c>
      <c r="J659">
        <v>-2</v>
      </c>
      <c r="K659">
        <v>0</v>
      </c>
      <c r="L659">
        <v>0</v>
      </c>
      <c r="M659">
        <v>-1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7</v>
      </c>
      <c r="T659">
        <v>0</v>
      </c>
      <c r="U659" t="s">
        <v>120</v>
      </c>
      <c r="W659" s="2">
        <v>63.836666666666673</v>
      </c>
      <c r="X659" s="3">
        <f t="shared" si="20"/>
        <v>446.85666666666668</v>
      </c>
      <c r="Y659">
        <f>VLOOKUP(D659,'[1]Cost Sheet'!$C:$D,2,0)</f>
        <v>64.540000000000006</v>
      </c>
      <c r="Z659" s="3">
        <f t="shared" si="21"/>
        <v>451.78000000000003</v>
      </c>
    </row>
    <row r="660" spans="1:26" x14ac:dyDescent="0.3">
      <c r="A660" s="7" t="s">
        <v>21</v>
      </c>
      <c r="B660" t="s">
        <v>326</v>
      </c>
      <c r="C660" t="s">
        <v>327</v>
      </c>
      <c r="D660" t="s">
        <v>328</v>
      </c>
      <c r="E660" t="s">
        <v>329</v>
      </c>
      <c r="F660" t="s">
        <v>26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</v>
      </c>
      <c r="T660">
        <v>0</v>
      </c>
      <c r="U660" t="s">
        <v>113</v>
      </c>
      <c r="W660" s="2">
        <v>63.836666666666673</v>
      </c>
      <c r="X660" s="3">
        <f t="shared" si="20"/>
        <v>127.67333333333335</v>
      </c>
      <c r="Y660">
        <f>VLOOKUP(D660,'[1]Cost Sheet'!$C:$D,2,0)</f>
        <v>64.540000000000006</v>
      </c>
      <c r="Z660" s="3">
        <f t="shared" si="21"/>
        <v>129.08000000000001</v>
      </c>
    </row>
    <row r="661" spans="1:26" x14ac:dyDescent="0.3">
      <c r="A661" s="7" t="s">
        <v>21</v>
      </c>
      <c r="B661" t="s">
        <v>326</v>
      </c>
      <c r="C661" t="s">
        <v>327</v>
      </c>
      <c r="D661" t="s">
        <v>328</v>
      </c>
      <c r="E661" t="s">
        <v>329</v>
      </c>
      <c r="F661" t="s">
        <v>26</v>
      </c>
      <c r="G661">
        <v>28</v>
      </c>
      <c r="H661">
        <v>0</v>
      </c>
      <c r="I661">
        <v>0</v>
      </c>
      <c r="J661">
        <v>-3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25</v>
      </c>
      <c r="T661">
        <v>0</v>
      </c>
      <c r="U661" t="s">
        <v>59</v>
      </c>
      <c r="W661" s="2">
        <v>63.836666666666673</v>
      </c>
      <c r="X661" s="3">
        <f t="shared" si="20"/>
        <v>1595.9166666666667</v>
      </c>
      <c r="Y661">
        <f>VLOOKUP(D661,'[1]Cost Sheet'!$C:$D,2,0)</f>
        <v>64.540000000000006</v>
      </c>
      <c r="Z661" s="3">
        <f t="shared" si="21"/>
        <v>1613.5000000000002</v>
      </c>
    </row>
    <row r="662" spans="1:26" x14ac:dyDescent="0.3">
      <c r="A662" s="7" t="s">
        <v>21</v>
      </c>
      <c r="B662" t="s">
        <v>330</v>
      </c>
      <c r="C662" t="s">
        <v>331</v>
      </c>
      <c r="D662" t="s">
        <v>332</v>
      </c>
      <c r="E662" t="s">
        <v>333</v>
      </c>
      <c r="F662" t="s">
        <v>93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 t="s">
        <v>47</v>
      </c>
      <c r="W662" s="2">
        <v>50.4</v>
      </c>
      <c r="X662" s="3">
        <f t="shared" si="20"/>
        <v>50.4</v>
      </c>
      <c r="Y662">
        <f>VLOOKUP(D662,'[1]Cost Sheet'!$C:$D,2,0)</f>
        <v>50.4</v>
      </c>
      <c r="Z662" s="3">
        <f t="shared" si="21"/>
        <v>50.4</v>
      </c>
    </row>
    <row r="663" spans="1:26" x14ac:dyDescent="0.3">
      <c r="A663" s="7" t="s">
        <v>21</v>
      </c>
      <c r="B663" t="s">
        <v>330</v>
      </c>
      <c r="C663" t="s">
        <v>331</v>
      </c>
      <c r="D663" t="s">
        <v>332</v>
      </c>
      <c r="E663" t="s">
        <v>333</v>
      </c>
      <c r="F663" t="s">
        <v>26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</v>
      </c>
      <c r="T663">
        <v>0</v>
      </c>
      <c r="U663" t="s">
        <v>47</v>
      </c>
      <c r="W663" s="2">
        <v>50.4</v>
      </c>
      <c r="X663" s="3">
        <f t="shared" si="20"/>
        <v>100.8</v>
      </c>
      <c r="Y663">
        <f>VLOOKUP(D663,'[1]Cost Sheet'!$C:$D,2,0)</f>
        <v>50.4</v>
      </c>
      <c r="Z663" s="3">
        <f t="shared" si="21"/>
        <v>100.8</v>
      </c>
    </row>
    <row r="664" spans="1:26" x14ac:dyDescent="0.3">
      <c r="A664" s="7" t="s">
        <v>21</v>
      </c>
      <c r="B664" t="s">
        <v>330</v>
      </c>
      <c r="C664" t="s">
        <v>331</v>
      </c>
      <c r="D664" t="s">
        <v>332</v>
      </c>
      <c r="E664" t="s">
        <v>333</v>
      </c>
      <c r="F664" t="s">
        <v>26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 t="s">
        <v>113</v>
      </c>
      <c r="W664" s="2">
        <v>50.4</v>
      </c>
      <c r="X664" s="3">
        <f t="shared" si="20"/>
        <v>50.4</v>
      </c>
      <c r="Y664">
        <f>VLOOKUP(D664,'[1]Cost Sheet'!$C:$D,2,0)</f>
        <v>50.4</v>
      </c>
      <c r="Z664" s="3">
        <f t="shared" si="21"/>
        <v>50.4</v>
      </c>
    </row>
    <row r="665" spans="1:26" x14ac:dyDescent="0.3">
      <c r="A665" s="7" t="s">
        <v>21</v>
      </c>
      <c r="B665" t="s">
        <v>334</v>
      </c>
      <c r="C665" t="s">
        <v>335</v>
      </c>
      <c r="D665" t="s">
        <v>336</v>
      </c>
      <c r="E665" t="s">
        <v>337</v>
      </c>
      <c r="F665" t="s">
        <v>106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 t="s">
        <v>47</v>
      </c>
      <c r="W665" s="2">
        <v>114.81</v>
      </c>
      <c r="X665" s="3">
        <f t="shared" si="20"/>
        <v>114.81</v>
      </c>
      <c r="Y665">
        <f>VLOOKUP(D665,'[1]Cost Sheet'!$C:$D,2,0)</f>
        <v>114.81</v>
      </c>
      <c r="Z665" s="3">
        <f t="shared" si="21"/>
        <v>114.81</v>
      </c>
    </row>
    <row r="666" spans="1:26" x14ac:dyDescent="0.3">
      <c r="A666" s="7" t="s">
        <v>21</v>
      </c>
      <c r="B666" t="s">
        <v>334</v>
      </c>
      <c r="C666" t="s">
        <v>335</v>
      </c>
      <c r="D666" t="s">
        <v>336</v>
      </c>
      <c r="E666" t="s">
        <v>337</v>
      </c>
      <c r="F666" t="s">
        <v>26</v>
      </c>
      <c r="G666">
        <v>1</v>
      </c>
      <c r="H666">
        <v>0</v>
      </c>
      <c r="I666">
        <v>0</v>
      </c>
      <c r="J666">
        <v>-1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53</v>
      </c>
      <c r="W666" s="2">
        <v>114.81</v>
      </c>
      <c r="X666" s="3">
        <f t="shared" si="20"/>
        <v>0</v>
      </c>
      <c r="Y666">
        <f>VLOOKUP(D666,'[1]Cost Sheet'!$C:$D,2,0)</f>
        <v>114.81</v>
      </c>
      <c r="Z666" s="3">
        <f t="shared" si="21"/>
        <v>0</v>
      </c>
    </row>
    <row r="667" spans="1:26" x14ac:dyDescent="0.3">
      <c r="A667" s="7" t="s">
        <v>21</v>
      </c>
      <c r="B667" t="s">
        <v>334</v>
      </c>
      <c r="C667" t="s">
        <v>335</v>
      </c>
      <c r="D667" t="s">
        <v>336</v>
      </c>
      <c r="E667" t="s">
        <v>337</v>
      </c>
      <c r="F667" t="s">
        <v>26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 t="s">
        <v>32</v>
      </c>
      <c r="W667" s="2">
        <v>114.81</v>
      </c>
      <c r="X667" s="3">
        <f t="shared" si="20"/>
        <v>114.81</v>
      </c>
      <c r="Y667">
        <f>VLOOKUP(D667,'[1]Cost Sheet'!$C:$D,2,0)</f>
        <v>114.81</v>
      </c>
      <c r="Z667" s="3">
        <f t="shared" si="21"/>
        <v>114.81</v>
      </c>
    </row>
    <row r="668" spans="1:26" x14ac:dyDescent="0.3">
      <c r="A668" s="7" t="s">
        <v>21</v>
      </c>
      <c r="B668" t="s">
        <v>334</v>
      </c>
      <c r="C668" t="s">
        <v>335</v>
      </c>
      <c r="D668" t="s">
        <v>336</v>
      </c>
      <c r="E668" t="s">
        <v>337</v>
      </c>
      <c r="F668" t="s">
        <v>26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 t="s">
        <v>46</v>
      </c>
      <c r="W668" s="2">
        <v>114.81</v>
      </c>
      <c r="X668" s="3">
        <f t="shared" si="20"/>
        <v>114.81</v>
      </c>
      <c r="Y668">
        <f>VLOOKUP(D668,'[1]Cost Sheet'!$C:$D,2,0)</f>
        <v>114.81</v>
      </c>
      <c r="Z668" s="3">
        <f t="shared" si="21"/>
        <v>114.81</v>
      </c>
    </row>
    <row r="669" spans="1:26" x14ac:dyDescent="0.3">
      <c r="A669" s="7" t="s">
        <v>21</v>
      </c>
      <c r="B669" t="s">
        <v>338</v>
      </c>
      <c r="C669" t="s">
        <v>339</v>
      </c>
      <c r="D669" t="s">
        <v>340</v>
      </c>
      <c r="E669" t="s">
        <v>341</v>
      </c>
      <c r="F669" t="s">
        <v>106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 t="s">
        <v>32</v>
      </c>
      <c r="W669" s="2">
        <v>61.98</v>
      </c>
      <c r="X669" s="3">
        <f t="shared" si="20"/>
        <v>61.98</v>
      </c>
      <c r="Y669">
        <f>VLOOKUP(D669,'[1]Cost Sheet'!$C:$D,2,0)</f>
        <v>61.98</v>
      </c>
      <c r="Z669" s="3">
        <f t="shared" si="21"/>
        <v>61.98</v>
      </c>
    </row>
    <row r="670" spans="1:26" x14ac:dyDescent="0.3">
      <c r="A670" s="7" t="s">
        <v>21</v>
      </c>
      <c r="B670" t="s">
        <v>338</v>
      </c>
      <c r="C670" t="s">
        <v>339</v>
      </c>
      <c r="D670" t="s">
        <v>340</v>
      </c>
      <c r="E670" t="s">
        <v>341</v>
      </c>
      <c r="F670" t="s">
        <v>106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 t="s">
        <v>48</v>
      </c>
      <c r="W670" s="2">
        <v>61.98</v>
      </c>
      <c r="X670" s="3">
        <f t="shared" si="20"/>
        <v>61.98</v>
      </c>
      <c r="Y670">
        <f>VLOOKUP(D670,'[1]Cost Sheet'!$C:$D,2,0)</f>
        <v>61.98</v>
      </c>
      <c r="Z670" s="3">
        <f t="shared" si="21"/>
        <v>61.98</v>
      </c>
    </row>
    <row r="671" spans="1:26" x14ac:dyDescent="0.3">
      <c r="A671" s="7" t="s">
        <v>21</v>
      </c>
      <c r="B671" t="s">
        <v>338</v>
      </c>
      <c r="C671" t="s">
        <v>339</v>
      </c>
      <c r="D671" t="s">
        <v>340</v>
      </c>
      <c r="E671" t="s">
        <v>341</v>
      </c>
      <c r="F671" t="s">
        <v>26</v>
      </c>
      <c r="G671">
        <v>6</v>
      </c>
      <c r="H671">
        <v>0</v>
      </c>
      <c r="I671">
        <v>0</v>
      </c>
      <c r="J671">
        <v>-1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5</v>
      </c>
      <c r="T671">
        <v>0</v>
      </c>
      <c r="U671" t="s">
        <v>38</v>
      </c>
      <c r="W671" s="2">
        <v>61.98</v>
      </c>
      <c r="X671" s="3">
        <f t="shared" si="20"/>
        <v>309.89999999999998</v>
      </c>
      <c r="Y671">
        <f>VLOOKUP(D671,'[1]Cost Sheet'!$C:$D,2,0)</f>
        <v>61.98</v>
      </c>
      <c r="Z671" s="3">
        <f t="shared" si="21"/>
        <v>309.89999999999998</v>
      </c>
    </row>
    <row r="672" spans="1:26" x14ac:dyDescent="0.3">
      <c r="A672" s="7" t="s">
        <v>21</v>
      </c>
      <c r="B672" t="s">
        <v>338</v>
      </c>
      <c r="C672" t="s">
        <v>339</v>
      </c>
      <c r="D672" t="s">
        <v>340</v>
      </c>
      <c r="E672" t="s">
        <v>341</v>
      </c>
      <c r="F672" t="s">
        <v>26</v>
      </c>
      <c r="G672">
        <v>0</v>
      </c>
      <c r="H672">
        <v>0</v>
      </c>
      <c r="I672">
        <v>0</v>
      </c>
      <c r="J672">
        <v>-1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t="s">
        <v>45</v>
      </c>
      <c r="W672" s="2">
        <v>61.98</v>
      </c>
      <c r="X672" s="3">
        <f t="shared" si="20"/>
        <v>0</v>
      </c>
      <c r="Y672">
        <f>VLOOKUP(D672,'[1]Cost Sheet'!$C:$D,2,0)</f>
        <v>61.98</v>
      </c>
      <c r="Z672" s="3">
        <f t="shared" si="21"/>
        <v>0</v>
      </c>
    </row>
    <row r="673" spans="1:26" x14ac:dyDescent="0.3">
      <c r="A673" s="7" t="s">
        <v>21</v>
      </c>
      <c r="B673" t="s">
        <v>338</v>
      </c>
      <c r="C673" t="s">
        <v>339</v>
      </c>
      <c r="D673" t="s">
        <v>340</v>
      </c>
      <c r="E673" t="s">
        <v>341</v>
      </c>
      <c r="F673" t="s">
        <v>26</v>
      </c>
      <c r="G673">
        <v>6</v>
      </c>
      <c r="H673">
        <v>0</v>
      </c>
      <c r="I673">
        <v>0</v>
      </c>
      <c r="J673">
        <v>-1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5</v>
      </c>
      <c r="T673">
        <v>0</v>
      </c>
      <c r="U673" t="s">
        <v>39</v>
      </c>
      <c r="W673" s="2">
        <v>61.98</v>
      </c>
      <c r="X673" s="3">
        <f t="shared" si="20"/>
        <v>309.89999999999998</v>
      </c>
      <c r="Y673">
        <f>VLOOKUP(D673,'[1]Cost Sheet'!$C:$D,2,0)</f>
        <v>61.98</v>
      </c>
      <c r="Z673" s="3">
        <f t="shared" si="21"/>
        <v>309.89999999999998</v>
      </c>
    </row>
    <row r="674" spans="1:26" x14ac:dyDescent="0.3">
      <c r="A674" s="7" t="s">
        <v>21</v>
      </c>
      <c r="B674" t="s">
        <v>338</v>
      </c>
      <c r="C674" t="s">
        <v>339</v>
      </c>
      <c r="D674" t="s">
        <v>340</v>
      </c>
      <c r="E674" t="s">
        <v>341</v>
      </c>
      <c r="F674" t="s">
        <v>26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 t="s">
        <v>53</v>
      </c>
      <c r="W674" s="2">
        <v>61.98</v>
      </c>
      <c r="X674" s="3">
        <f t="shared" si="20"/>
        <v>61.98</v>
      </c>
      <c r="Y674">
        <f>VLOOKUP(D674,'[1]Cost Sheet'!$C:$D,2,0)</f>
        <v>61.98</v>
      </c>
      <c r="Z674" s="3">
        <f t="shared" si="21"/>
        <v>61.98</v>
      </c>
    </row>
    <row r="675" spans="1:26" x14ac:dyDescent="0.3">
      <c r="A675" s="7" t="s">
        <v>21</v>
      </c>
      <c r="B675" t="s">
        <v>338</v>
      </c>
      <c r="C675" t="s">
        <v>339</v>
      </c>
      <c r="D675" t="s">
        <v>340</v>
      </c>
      <c r="E675" t="s">
        <v>341</v>
      </c>
      <c r="F675" t="s">
        <v>26</v>
      </c>
      <c r="G675">
        <v>17</v>
      </c>
      <c r="H675">
        <v>0</v>
      </c>
      <c r="I675">
        <v>0</v>
      </c>
      <c r="J675">
        <v>-1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16</v>
      </c>
      <c r="T675">
        <v>0</v>
      </c>
      <c r="U675" t="s">
        <v>54</v>
      </c>
      <c r="W675" s="2">
        <v>61.98</v>
      </c>
      <c r="X675" s="3">
        <f t="shared" si="20"/>
        <v>991.68</v>
      </c>
      <c r="Y675">
        <f>VLOOKUP(D675,'[1]Cost Sheet'!$C:$D,2,0)</f>
        <v>61.98</v>
      </c>
      <c r="Z675" s="3">
        <f t="shared" si="21"/>
        <v>991.68</v>
      </c>
    </row>
    <row r="676" spans="1:26" x14ac:dyDescent="0.3">
      <c r="A676" s="7" t="s">
        <v>21</v>
      </c>
      <c r="B676" t="s">
        <v>338</v>
      </c>
      <c r="C676" t="s">
        <v>339</v>
      </c>
      <c r="D676" t="s">
        <v>340</v>
      </c>
      <c r="E676" t="s">
        <v>341</v>
      </c>
      <c r="F676" t="s">
        <v>26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 t="s">
        <v>46</v>
      </c>
      <c r="W676" s="2">
        <v>61.98</v>
      </c>
      <c r="X676" s="3">
        <f t="shared" si="20"/>
        <v>123.96</v>
      </c>
      <c r="Y676">
        <f>VLOOKUP(D676,'[1]Cost Sheet'!$C:$D,2,0)</f>
        <v>61.98</v>
      </c>
      <c r="Z676" s="3">
        <f t="shared" si="21"/>
        <v>123.96</v>
      </c>
    </row>
    <row r="677" spans="1:26" x14ac:dyDescent="0.3">
      <c r="A677" s="7" t="s">
        <v>21</v>
      </c>
      <c r="B677" t="s">
        <v>338</v>
      </c>
      <c r="C677" t="s">
        <v>339</v>
      </c>
      <c r="D677" t="s">
        <v>340</v>
      </c>
      <c r="E677" t="s">
        <v>341</v>
      </c>
      <c r="F677" t="s">
        <v>26</v>
      </c>
      <c r="G677">
        <v>4</v>
      </c>
      <c r="H677">
        <v>0</v>
      </c>
      <c r="I677">
        <v>0</v>
      </c>
      <c r="J677">
        <v>-1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3</v>
      </c>
      <c r="T677">
        <v>0</v>
      </c>
      <c r="U677" t="s">
        <v>111</v>
      </c>
      <c r="W677" s="2">
        <v>61.98</v>
      </c>
      <c r="X677" s="3">
        <f t="shared" si="20"/>
        <v>185.94</v>
      </c>
      <c r="Y677">
        <f>VLOOKUP(D677,'[1]Cost Sheet'!$C:$D,2,0)</f>
        <v>61.98</v>
      </c>
      <c r="Z677" s="3">
        <f t="shared" si="21"/>
        <v>185.94</v>
      </c>
    </row>
    <row r="678" spans="1:26" x14ac:dyDescent="0.3">
      <c r="A678" s="7" t="s">
        <v>21</v>
      </c>
      <c r="B678" t="s">
        <v>338</v>
      </c>
      <c r="C678" t="s">
        <v>339</v>
      </c>
      <c r="D678" t="s">
        <v>340</v>
      </c>
      <c r="E678" t="s">
        <v>341</v>
      </c>
      <c r="F678" t="s">
        <v>26</v>
      </c>
      <c r="G678">
        <v>2</v>
      </c>
      <c r="H678">
        <v>0</v>
      </c>
      <c r="I678">
        <v>0</v>
      </c>
      <c r="J678">
        <v>-2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40</v>
      </c>
      <c r="W678" s="2">
        <v>61.98</v>
      </c>
      <c r="X678" s="3">
        <f t="shared" si="20"/>
        <v>0</v>
      </c>
      <c r="Y678">
        <f>VLOOKUP(D678,'[1]Cost Sheet'!$C:$D,2,0)</f>
        <v>61.98</v>
      </c>
      <c r="Z678" s="3">
        <f t="shared" si="21"/>
        <v>0</v>
      </c>
    </row>
    <row r="679" spans="1:26" x14ac:dyDescent="0.3">
      <c r="A679" s="7" t="s">
        <v>21</v>
      </c>
      <c r="B679" t="s">
        <v>338</v>
      </c>
      <c r="C679" t="s">
        <v>339</v>
      </c>
      <c r="D679" t="s">
        <v>340</v>
      </c>
      <c r="E679" t="s">
        <v>341</v>
      </c>
      <c r="F679" t="s">
        <v>26</v>
      </c>
      <c r="G679">
        <v>8</v>
      </c>
      <c r="H679">
        <v>0</v>
      </c>
      <c r="I679">
        <v>0</v>
      </c>
      <c r="J679">
        <v>-1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7</v>
      </c>
      <c r="T679">
        <v>0</v>
      </c>
      <c r="U679" t="s">
        <v>59</v>
      </c>
      <c r="W679" s="2">
        <v>61.98</v>
      </c>
      <c r="X679" s="3">
        <f t="shared" si="20"/>
        <v>433.85999999999996</v>
      </c>
      <c r="Y679">
        <f>VLOOKUP(D679,'[1]Cost Sheet'!$C:$D,2,0)</f>
        <v>61.98</v>
      </c>
      <c r="Z679" s="3">
        <f t="shared" si="21"/>
        <v>433.85999999999996</v>
      </c>
    </row>
    <row r="680" spans="1:26" x14ac:dyDescent="0.3">
      <c r="A680" s="7" t="s">
        <v>21</v>
      </c>
      <c r="B680" t="s">
        <v>338</v>
      </c>
      <c r="C680" t="s">
        <v>339</v>
      </c>
      <c r="D680" t="s">
        <v>340</v>
      </c>
      <c r="E680" t="s">
        <v>341</v>
      </c>
      <c r="F680" t="s">
        <v>26</v>
      </c>
      <c r="G680">
        <v>14</v>
      </c>
      <c r="H680">
        <v>0</v>
      </c>
      <c r="I680">
        <v>0</v>
      </c>
      <c r="J680">
        <v>-1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13</v>
      </c>
      <c r="T680">
        <v>0</v>
      </c>
      <c r="U680" t="s">
        <v>27</v>
      </c>
      <c r="W680" s="2">
        <v>61.98</v>
      </c>
      <c r="X680" s="3">
        <f t="shared" si="20"/>
        <v>805.74</v>
      </c>
      <c r="Y680">
        <f>VLOOKUP(D680,'[1]Cost Sheet'!$C:$D,2,0)</f>
        <v>61.98</v>
      </c>
      <c r="Z680" s="3">
        <f t="shared" si="21"/>
        <v>805.74</v>
      </c>
    </row>
    <row r="681" spans="1:26" x14ac:dyDescent="0.3">
      <c r="A681" s="7" t="s">
        <v>21</v>
      </c>
      <c r="B681" t="s">
        <v>338</v>
      </c>
      <c r="C681" t="s">
        <v>339</v>
      </c>
      <c r="D681" t="s">
        <v>340</v>
      </c>
      <c r="E681" t="s">
        <v>341</v>
      </c>
      <c r="F681" t="s">
        <v>114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 t="s">
        <v>88</v>
      </c>
      <c r="W681" s="2">
        <v>61.98</v>
      </c>
      <c r="X681" s="3">
        <f t="shared" si="20"/>
        <v>61.98</v>
      </c>
      <c r="Y681">
        <f>VLOOKUP(D681,'[1]Cost Sheet'!$C:$D,2,0)</f>
        <v>61.98</v>
      </c>
      <c r="Z681" s="3">
        <f t="shared" si="21"/>
        <v>61.98</v>
      </c>
    </row>
    <row r="682" spans="1:26" x14ac:dyDescent="0.3">
      <c r="A682" s="7" t="s">
        <v>21</v>
      </c>
      <c r="B682" t="s">
        <v>342</v>
      </c>
      <c r="C682" t="s">
        <v>343</v>
      </c>
      <c r="D682" t="s">
        <v>344</v>
      </c>
      <c r="E682" t="s">
        <v>345</v>
      </c>
      <c r="F682" t="s">
        <v>106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</v>
      </c>
      <c r="S682">
        <v>4</v>
      </c>
      <c r="T682">
        <v>0</v>
      </c>
      <c r="U682" t="s">
        <v>32</v>
      </c>
      <c r="W682" s="2">
        <v>114.81</v>
      </c>
      <c r="X682" s="3">
        <f t="shared" si="20"/>
        <v>459.24</v>
      </c>
      <c r="Y682">
        <f>VLOOKUP(D682,'[1]Cost Sheet'!$C:$D,2,0)</f>
        <v>114.81</v>
      </c>
      <c r="Z682" s="3">
        <f t="shared" si="21"/>
        <v>459.24</v>
      </c>
    </row>
    <row r="683" spans="1:26" x14ac:dyDescent="0.3">
      <c r="A683" s="7" t="s">
        <v>21</v>
      </c>
      <c r="B683" t="s">
        <v>342</v>
      </c>
      <c r="C683" t="s">
        <v>343</v>
      </c>
      <c r="D683" t="s">
        <v>344</v>
      </c>
      <c r="E683" t="s">
        <v>345</v>
      </c>
      <c r="F683" t="s">
        <v>106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 t="s">
        <v>46</v>
      </c>
      <c r="W683" s="2">
        <v>114.81</v>
      </c>
      <c r="X683" s="3">
        <f t="shared" si="20"/>
        <v>114.81</v>
      </c>
      <c r="Y683">
        <f>VLOOKUP(D683,'[1]Cost Sheet'!$C:$D,2,0)</f>
        <v>114.81</v>
      </c>
      <c r="Z683" s="3">
        <f t="shared" si="21"/>
        <v>114.81</v>
      </c>
    </row>
    <row r="684" spans="1:26" x14ac:dyDescent="0.3">
      <c r="A684" s="7" t="s">
        <v>21</v>
      </c>
      <c r="B684" t="s">
        <v>342</v>
      </c>
      <c r="C684" t="s">
        <v>343</v>
      </c>
      <c r="D684" t="s">
        <v>344</v>
      </c>
      <c r="E684" t="s">
        <v>345</v>
      </c>
      <c r="F684" t="s">
        <v>130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6</v>
      </c>
      <c r="T684">
        <v>0</v>
      </c>
      <c r="U684" t="s">
        <v>32</v>
      </c>
      <c r="W684" s="2">
        <v>114.81</v>
      </c>
      <c r="X684" s="3">
        <f t="shared" si="20"/>
        <v>688.86</v>
      </c>
      <c r="Y684">
        <f>VLOOKUP(D684,'[1]Cost Sheet'!$C:$D,2,0)</f>
        <v>114.81</v>
      </c>
      <c r="Z684" s="3">
        <f t="shared" si="21"/>
        <v>688.86</v>
      </c>
    </row>
    <row r="685" spans="1:26" x14ac:dyDescent="0.3">
      <c r="A685" s="7" t="s">
        <v>21</v>
      </c>
      <c r="B685" t="s">
        <v>342</v>
      </c>
      <c r="C685" t="s">
        <v>343</v>
      </c>
      <c r="D685" t="s">
        <v>344</v>
      </c>
      <c r="E685" t="s">
        <v>345</v>
      </c>
      <c r="F685" t="s">
        <v>26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3</v>
      </c>
      <c r="T685">
        <v>0</v>
      </c>
      <c r="U685" t="s">
        <v>38</v>
      </c>
      <c r="W685" s="2">
        <v>114.81</v>
      </c>
      <c r="X685" s="3">
        <f t="shared" si="20"/>
        <v>344.43</v>
      </c>
      <c r="Y685">
        <f>VLOOKUP(D685,'[1]Cost Sheet'!$C:$D,2,0)</f>
        <v>114.81</v>
      </c>
      <c r="Z685" s="3">
        <f t="shared" si="21"/>
        <v>344.43</v>
      </c>
    </row>
    <row r="686" spans="1:26" x14ac:dyDescent="0.3">
      <c r="A686" s="7" t="s">
        <v>21</v>
      </c>
      <c r="B686" t="s">
        <v>342</v>
      </c>
      <c r="C686" t="s">
        <v>343</v>
      </c>
      <c r="D686" t="s">
        <v>344</v>
      </c>
      <c r="E686" t="s">
        <v>345</v>
      </c>
      <c r="F686" t="s">
        <v>26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-1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t="s">
        <v>108</v>
      </c>
      <c r="W686" s="2">
        <v>114.81</v>
      </c>
      <c r="X686" s="3">
        <f t="shared" si="20"/>
        <v>0</v>
      </c>
      <c r="Y686">
        <f>VLOOKUP(D686,'[1]Cost Sheet'!$C:$D,2,0)</f>
        <v>114.81</v>
      </c>
      <c r="Z686" s="3">
        <f t="shared" si="21"/>
        <v>0</v>
      </c>
    </row>
    <row r="687" spans="1:26" x14ac:dyDescent="0.3">
      <c r="A687" s="7" t="s">
        <v>21</v>
      </c>
      <c r="B687" t="s">
        <v>342</v>
      </c>
      <c r="C687" t="s">
        <v>343</v>
      </c>
      <c r="D687" t="s">
        <v>344</v>
      </c>
      <c r="E687" t="s">
        <v>345</v>
      </c>
      <c r="F687" t="s">
        <v>26</v>
      </c>
      <c r="G687">
        <v>17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17</v>
      </c>
      <c r="T687">
        <v>0</v>
      </c>
      <c r="U687" t="s">
        <v>53</v>
      </c>
      <c r="W687" s="2">
        <v>114.81</v>
      </c>
      <c r="X687" s="3">
        <f t="shared" si="20"/>
        <v>1951.77</v>
      </c>
      <c r="Y687">
        <f>VLOOKUP(D687,'[1]Cost Sheet'!$C:$D,2,0)</f>
        <v>114.81</v>
      </c>
      <c r="Z687" s="3">
        <f t="shared" si="21"/>
        <v>1951.77</v>
      </c>
    </row>
    <row r="688" spans="1:26" x14ac:dyDescent="0.3">
      <c r="A688" s="7" t="s">
        <v>21</v>
      </c>
      <c r="B688" t="s">
        <v>342</v>
      </c>
      <c r="C688" t="s">
        <v>343</v>
      </c>
      <c r="D688" t="s">
        <v>344</v>
      </c>
      <c r="E688" t="s">
        <v>345</v>
      </c>
      <c r="F688" t="s">
        <v>26</v>
      </c>
      <c r="G688">
        <v>48</v>
      </c>
      <c r="H688">
        <v>0</v>
      </c>
      <c r="I688">
        <v>0</v>
      </c>
      <c r="J688">
        <v>-1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47</v>
      </c>
      <c r="T688">
        <v>0</v>
      </c>
      <c r="U688" t="s">
        <v>54</v>
      </c>
      <c r="W688" s="2">
        <v>114.81</v>
      </c>
      <c r="X688" s="3">
        <f t="shared" si="20"/>
        <v>5396.07</v>
      </c>
      <c r="Y688">
        <f>VLOOKUP(D688,'[1]Cost Sheet'!$C:$D,2,0)</f>
        <v>114.81</v>
      </c>
      <c r="Z688" s="3">
        <f t="shared" si="21"/>
        <v>5396.07</v>
      </c>
    </row>
    <row r="689" spans="1:26" x14ac:dyDescent="0.3">
      <c r="A689" s="7" t="s">
        <v>21</v>
      </c>
      <c r="B689" t="s">
        <v>342</v>
      </c>
      <c r="C689" t="s">
        <v>343</v>
      </c>
      <c r="D689" t="s">
        <v>344</v>
      </c>
      <c r="E689" t="s">
        <v>345</v>
      </c>
      <c r="F689" t="s">
        <v>26</v>
      </c>
      <c r="G689">
        <v>43</v>
      </c>
      <c r="H689">
        <v>0</v>
      </c>
      <c r="I689">
        <v>0</v>
      </c>
      <c r="J689">
        <v>-3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-2</v>
      </c>
      <c r="S689">
        <v>38</v>
      </c>
      <c r="T689">
        <v>0</v>
      </c>
      <c r="U689" t="s">
        <v>32</v>
      </c>
      <c r="W689" s="2">
        <v>114.81</v>
      </c>
      <c r="X689" s="3">
        <f t="shared" si="20"/>
        <v>4362.78</v>
      </c>
      <c r="Y689">
        <f>VLOOKUP(D689,'[1]Cost Sheet'!$C:$D,2,0)</f>
        <v>114.81</v>
      </c>
      <c r="Z689" s="3">
        <f t="shared" si="21"/>
        <v>4362.78</v>
      </c>
    </row>
    <row r="690" spans="1:26" x14ac:dyDescent="0.3">
      <c r="A690" s="7" t="s">
        <v>21</v>
      </c>
      <c r="B690" t="s">
        <v>342</v>
      </c>
      <c r="C690" t="s">
        <v>343</v>
      </c>
      <c r="D690" t="s">
        <v>344</v>
      </c>
      <c r="E690" t="s">
        <v>345</v>
      </c>
      <c r="F690" t="s">
        <v>26</v>
      </c>
      <c r="G690">
        <v>0</v>
      </c>
      <c r="H690">
        <v>13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t="s">
        <v>109</v>
      </c>
      <c r="W690" s="2">
        <v>114.81</v>
      </c>
      <c r="X690" s="3">
        <f t="shared" si="20"/>
        <v>0</v>
      </c>
      <c r="Y690">
        <f>VLOOKUP(D690,'[1]Cost Sheet'!$C:$D,2,0)</f>
        <v>114.81</v>
      </c>
      <c r="Z690" s="3">
        <f t="shared" si="21"/>
        <v>0</v>
      </c>
    </row>
    <row r="691" spans="1:26" x14ac:dyDescent="0.3">
      <c r="A691" s="7" t="s">
        <v>21</v>
      </c>
      <c r="B691" t="s">
        <v>342</v>
      </c>
      <c r="C691" t="s">
        <v>343</v>
      </c>
      <c r="D691" t="s">
        <v>344</v>
      </c>
      <c r="E691" t="s">
        <v>345</v>
      </c>
      <c r="F691" t="s">
        <v>26</v>
      </c>
      <c r="G691">
        <v>3</v>
      </c>
      <c r="H691">
        <v>0</v>
      </c>
      <c r="I691">
        <v>0</v>
      </c>
      <c r="J691">
        <v>-1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</v>
      </c>
      <c r="T691">
        <v>0</v>
      </c>
      <c r="U691" t="s">
        <v>46</v>
      </c>
      <c r="W691" s="2">
        <v>114.81</v>
      </c>
      <c r="X691" s="3">
        <f t="shared" si="20"/>
        <v>229.62</v>
      </c>
      <c r="Y691">
        <f>VLOOKUP(D691,'[1]Cost Sheet'!$C:$D,2,0)</f>
        <v>114.81</v>
      </c>
      <c r="Z691" s="3">
        <f t="shared" si="21"/>
        <v>229.62</v>
      </c>
    </row>
    <row r="692" spans="1:26" x14ac:dyDescent="0.3">
      <c r="A692" s="7" t="s">
        <v>21</v>
      </c>
      <c r="B692" t="s">
        <v>342</v>
      </c>
      <c r="C692" t="s">
        <v>343</v>
      </c>
      <c r="D692" t="s">
        <v>344</v>
      </c>
      <c r="E692" t="s">
        <v>345</v>
      </c>
      <c r="F692" t="s">
        <v>26</v>
      </c>
      <c r="G692">
        <v>54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54</v>
      </c>
      <c r="T692">
        <v>0</v>
      </c>
      <c r="U692" t="s">
        <v>40</v>
      </c>
      <c r="W692" s="2">
        <v>114.81</v>
      </c>
      <c r="X692" s="3">
        <f t="shared" si="20"/>
        <v>6199.74</v>
      </c>
      <c r="Y692">
        <f>VLOOKUP(D692,'[1]Cost Sheet'!$C:$D,2,0)</f>
        <v>114.81</v>
      </c>
      <c r="Z692" s="3">
        <f t="shared" si="21"/>
        <v>6199.74</v>
      </c>
    </row>
    <row r="693" spans="1:26" x14ac:dyDescent="0.3">
      <c r="A693" s="7" t="s">
        <v>21</v>
      </c>
      <c r="B693" t="s">
        <v>342</v>
      </c>
      <c r="C693" t="s">
        <v>343</v>
      </c>
      <c r="D693" t="s">
        <v>344</v>
      </c>
      <c r="E693" t="s">
        <v>345</v>
      </c>
      <c r="F693" t="s">
        <v>26</v>
      </c>
      <c r="G693">
        <v>11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11</v>
      </c>
      <c r="T693">
        <v>0</v>
      </c>
      <c r="U693" t="s">
        <v>113</v>
      </c>
      <c r="W693" s="2">
        <v>114.81</v>
      </c>
      <c r="X693" s="3">
        <f t="shared" si="20"/>
        <v>1262.9100000000001</v>
      </c>
      <c r="Y693">
        <f>VLOOKUP(D693,'[1]Cost Sheet'!$C:$D,2,0)</f>
        <v>114.81</v>
      </c>
      <c r="Z693" s="3">
        <f t="shared" si="21"/>
        <v>1262.9100000000001</v>
      </c>
    </row>
    <row r="694" spans="1:26" x14ac:dyDescent="0.3">
      <c r="A694" s="7" t="s">
        <v>21</v>
      </c>
      <c r="B694" t="s">
        <v>342</v>
      </c>
      <c r="C694" t="s">
        <v>343</v>
      </c>
      <c r="D694" t="s">
        <v>344</v>
      </c>
      <c r="E694" t="s">
        <v>345</v>
      </c>
      <c r="F694" t="s">
        <v>26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</v>
      </c>
      <c r="T694">
        <v>0</v>
      </c>
      <c r="U694" t="s">
        <v>48</v>
      </c>
      <c r="W694" s="2">
        <v>114.81</v>
      </c>
      <c r="X694" s="3">
        <f t="shared" si="20"/>
        <v>344.43</v>
      </c>
      <c r="Y694">
        <f>VLOOKUP(D694,'[1]Cost Sheet'!$C:$D,2,0)</f>
        <v>114.81</v>
      </c>
      <c r="Z694" s="3">
        <f t="shared" si="21"/>
        <v>344.43</v>
      </c>
    </row>
    <row r="695" spans="1:26" x14ac:dyDescent="0.3">
      <c r="A695" s="7" t="s">
        <v>21</v>
      </c>
      <c r="B695" t="s">
        <v>342</v>
      </c>
      <c r="C695" t="s">
        <v>343</v>
      </c>
      <c r="D695" t="s">
        <v>344</v>
      </c>
      <c r="E695" t="s">
        <v>345</v>
      </c>
      <c r="F695" t="s">
        <v>26</v>
      </c>
      <c r="G695">
        <v>43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43</v>
      </c>
      <c r="T695">
        <v>0</v>
      </c>
      <c r="U695" t="s">
        <v>59</v>
      </c>
      <c r="W695" s="2">
        <v>114.81</v>
      </c>
      <c r="X695" s="3">
        <f t="shared" si="20"/>
        <v>4936.83</v>
      </c>
      <c r="Y695">
        <f>VLOOKUP(D695,'[1]Cost Sheet'!$C:$D,2,0)</f>
        <v>114.81</v>
      </c>
      <c r="Z695" s="3">
        <f t="shared" si="21"/>
        <v>4936.83</v>
      </c>
    </row>
    <row r="696" spans="1:26" x14ac:dyDescent="0.3">
      <c r="A696" s="7" t="s">
        <v>21</v>
      </c>
      <c r="B696" t="s">
        <v>342</v>
      </c>
      <c r="C696" t="s">
        <v>343</v>
      </c>
      <c r="D696" t="s">
        <v>344</v>
      </c>
      <c r="E696" t="s">
        <v>345</v>
      </c>
      <c r="F696" t="s">
        <v>26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2</v>
      </c>
      <c r="T696">
        <v>0</v>
      </c>
      <c r="U696" t="s">
        <v>27</v>
      </c>
      <c r="W696" s="2">
        <v>114.81</v>
      </c>
      <c r="X696" s="3">
        <f t="shared" si="20"/>
        <v>229.62</v>
      </c>
      <c r="Y696">
        <f>VLOOKUP(D696,'[1]Cost Sheet'!$C:$D,2,0)</f>
        <v>114.81</v>
      </c>
      <c r="Z696" s="3">
        <f t="shared" si="21"/>
        <v>229.62</v>
      </c>
    </row>
    <row r="697" spans="1:26" x14ac:dyDescent="0.3">
      <c r="A697" s="7" t="s">
        <v>21</v>
      </c>
      <c r="B697" t="s">
        <v>346</v>
      </c>
      <c r="C697" t="s">
        <v>347</v>
      </c>
      <c r="D697" t="s">
        <v>348</v>
      </c>
      <c r="E697" t="s">
        <v>349</v>
      </c>
      <c r="F697" t="s">
        <v>106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 t="s">
        <v>45</v>
      </c>
      <c r="W697" s="2">
        <v>64.540000000000006</v>
      </c>
      <c r="X697" s="3">
        <f t="shared" si="20"/>
        <v>64.540000000000006</v>
      </c>
      <c r="Y697">
        <f>VLOOKUP(D697,'[1]Cost Sheet'!$C:$D,2,0)</f>
        <v>64.540000000000006</v>
      </c>
      <c r="Z697" s="3">
        <f t="shared" si="21"/>
        <v>64.540000000000006</v>
      </c>
    </row>
    <row r="698" spans="1:26" x14ac:dyDescent="0.3">
      <c r="A698" s="7" t="s">
        <v>21</v>
      </c>
      <c r="B698" t="s">
        <v>346</v>
      </c>
      <c r="C698" t="s">
        <v>347</v>
      </c>
      <c r="D698" t="s">
        <v>348</v>
      </c>
      <c r="E698" t="s">
        <v>349</v>
      </c>
      <c r="F698" t="s">
        <v>106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 t="s">
        <v>33</v>
      </c>
      <c r="W698" s="2">
        <v>64.540000000000006</v>
      </c>
      <c r="X698" s="3">
        <f t="shared" si="20"/>
        <v>64.540000000000006</v>
      </c>
      <c r="Y698">
        <f>VLOOKUP(D698,'[1]Cost Sheet'!$C:$D,2,0)</f>
        <v>64.540000000000006</v>
      </c>
      <c r="Z698" s="3">
        <f t="shared" si="21"/>
        <v>64.540000000000006</v>
      </c>
    </row>
    <row r="699" spans="1:26" x14ac:dyDescent="0.3">
      <c r="A699" s="7" t="s">
        <v>21</v>
      </c>
      <c r="B699" t="s">
        <v>346</v>
      </c>
      <c r="C699" t="s">
        <v>347</v>
      </c>
      <c r="D699" t="s">
        <v>348</v>
      </c>
      <c r="E699" t="s">
        <v>349</v>
      </c>
      <c r="F699" t="s">
        <v>106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 t="s">
        <v>27</v>
      </c>
      <c r="W699" s="2">
        <v>64.540000000000006</v>
      </c>
      <c r="X699" s="3">
        <f t="shared" si="20"/>
        <v>64.540000000000006</v>
      </c>
      <c r="Y699">
        <f>VLOOKUP(D699,'[1]Cost Sheet'!$C:$D,2,0)</f>
        <v>64.540000000000006</v>
      </c>
      <c r="Z699" s="3">
        <f t="shared" si="21"/>
        <v>64.540000000000006</v>
      </c>
    </row>
    <row r="700" spans="1:26" x14ac:dyDescent="0.3">
      <c r="A700" s="7" t="s">
        <v>21</v>
      </c>
      <c r="B700" t="s">
        <v>346</v>
      </c>
      <c r="C700" t="s">
        <v>347</v>
      </c>
      <c r="D700" t="s">
        <v>348</v>
      </c>
      <c r="E700" t="s">
        <v>349</v>
      </c>
      <c r="F700" t="s">
        <v>26</v>
      </c>
      <c r="G700">
        <v>1</v>
      </c>
      <c r="H700">
        <v>0</v>
      </c>
      <c r="I700">
        <v>0</v>
      </c>
      <c r="J700">
        <v>-1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39</v>
      </c>
      <c r="W700" s="2">
        <v>64.540000000000006</v>
      </c>
      <c r="X700" s="3">
        <f t="shared" si="20"/>
        <v>0</v>
      </c>
      <c r="Y700">
        <f>VLOOKUP(D700,'[1]Cost Sheet'!$C:$D,2,0)</f>
        <v>64.540000000000006</v>
      </c>
      <c r="Z700" s="3">
        <f t="shared" si="21"/>
        <v>0</v>
      </c>
    </row>
    <row r="701" spans="1:26" x14ac:dyDescent="0.3">
      <c r="A701" s="7" t="s">
        <v>21</v>
      </c>
      <c r="B701" t="s">
        <v>346</v>
      </c>
      <c r="C701" t="s">
        <v>347</v>
      </c>
      <c r="D701" t="s">
        <v>348</v>
      </c>
      <c r="E701" t="s">
        <v>349</v>
      </c>
      <c r="F701" t="s">
        <v>26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-1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88</v>
      </c>
      <c r="W701" s="2">
        <v>64.540000000000006</v>
      </c>
      <c r="X701" s="3">
        <f t="shared" si="20"/>
        <v>0</v>
      </c>
      <c r="Y701">
        <f>VLOOKUP(D701,'[1]Cost Sheet'!$C:$D,2,0)</f>
        <v>64.540000000000006</v>
      </c>
      <c r="Z701" s="3">
        <f t="shared" si="21"/>
        <v>0</v>
      </c>
    </row>
    <row r="702" spans="1:26" x14ac:dyDescent="0.3">
      <c r="A702" s="7" t="s">
        <v>21</v>
      </c>
      <c r="B702" t="s">
        <v>346</v>
      </c>
      <c r="C702" t="s">
        <v>347</v>
      </c>
      <c r="D702" t="s">
        <v>348</v>
      </c>
      <c r="E702" t="s">
        <v>349</v>
      </c>
      <c r="F702" t="s">
        <v>26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 t="s">
        <v>46</v>
      </c>
      <c r="W702" s="2">
        <v>64.540000000000006</v>
      </c>
      <c r="X702" s="3">
        <f t="shared" si="20"/>
        <v>64.540000000000006</v>
      </c>
      <c r="Y702">
        <f>VLOOKUP(D702,'[1]Cost Sheet'!$C:$D,2,0)</f>
        <v>64.540000000000006</v>
      </c>
      <c r="Z702" s="3">
        <f t="shared" si="21"/>
        <v>64.540000000000006</v>
      </c>
    </row>
    <row r="703" spans="1:26" x14ac:dyDescent="0.3">
      <c r="A703" s="7" t="s">
        <v>21</v>
      </c>
      <c r="B703" t="s">
        <v>350</v>
      </c>
      <c r="C703" t="s">
        <v>351</v>
      </c>
      <c r="D703" t="s">
        <v>352</v>
      </c>
      <c r="E703" t="s">
        <v>353</v>
      </c>
      <c r="F703" t="s">
        <v>26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 t="s">
        <v>39</v>
      </c>
      <c r="W703" s="2">
        <v>63.22</v>
      </c>
      <c r="X703" s="3">
        <f t="shared" si="20"/>
        <v>63.22</v>
      </c>
      <c r="Y703">
        <f>VLOOKUP(D703,'[1]Cost Sheet'!$C:$D,2,0)</f>
        <v>63.22</v>
      </c>
      <c r="Z703" s="3">
        <f t="shared" si="21"/>
        <v>63.22</v>
      </c>
    </row>
    <row r="704" spans="1:26" x14ac:dyDescent="0.3">
      <c r="A704" s="7" t="s">
        <v>21</v>
      </c>
      <c r="B704" t="s">
        <v>350</v>
      </c>
      <c r="C704" t="s">
        <v>351</v>
      </c>
      <c r="D704" t="s">
        <v>352</v>
      </c>
      <c r="E704" t="s">
        <v>353</v>
      </c>
      <c r="F704" t="s">
        <v>26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 t="s">
        <v>54</v>
      </c>
      <c r="W704" s="2">
        <v>63.22</v>
      </c>
      <c r="X704" s="3">
        <f t="shared" si="20"/>
        <v>63.22</v>
      </c>
      <c r="Y704">
        <f>VLOOKUP(D704,'[1]Cost Sheet'!$C:$D,2,0)</f>
        <v>63.22</v>
      </c>
      <c r="Z704" s="3">
        <f t="shared" si="21"/>
        <v>63.22</v>
      </c>
    </row>
    <row r="705" spans="1:26" x14ac:dyDescent="0.3">
      <c r="A705" s="7" t="s">
        <v>21</v>
      </c>
      <c r="B705" t="s">
        <v>354</v>
      </c>
      <c r="C705" t="s">
        <v>355</v>
      </c>
      <c r="D705" t="s">
        <v>356</v>
      </c>
      <c r="E705" t="s">
        <v>357</v>
      </c>
      <c r="F705" t="s">
        <v>106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</v>
      </c>
      <c r="T705">
        <v>0</v>
      </c>
      <c r="U705" t="s">
        <v>45</v>
      </c>
      <c r="W705" s="2">
        <v>114.80999999999999</v>
      </c>
      <c r="X705" s="3">
        <f t="shared" si="20"/>
        <v>229.61999999999998</v>
      </c>
      <c r="Y705">
        <f>VLOOKUP(D705,'[1]Cost Sheet'!$C:$D,2,0)</f>
        <v>114.80999999999999</v>
      </c>
      <c r="Z705" s="3">
        <f t="shared" si="21"/>
        <v>229.61999999999998</v>
      </c>
    </row>
    <row r="706" spans="1:26" x14ac:dyDescent="0.3">
      <c r="A706" s="7" t="s">
        <v>21</v>
      </c>
      <c r="B706" t="s">
        <v>354</v>
      </c>
      <c r="C706" t="s">
        <v>355</v>
      </c>
      <c r="D706" t="s">
        <v>356</v>
      </c>
      <c r="E706" t="s">
        <v>357</v>
      </c>
      <c r="F706" t="s">
        <v>106</v>
      </c>
      <c r="G706">
        <v>36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36</v>
      </c>
      <c r="T706">
        <v>0</v>
      </c>
      <c r="U706" t="s">
        <v>39</v>
      </c>
      <c r="W706" s="2">
        <v>114.80999999999999</v>
      </c>
      <c r="X706" s="3">
        <f t="shared" si="20"/>
        <v>4133.16</v>
      </c>
      <c r="Y706">
        <f>VLOOKUP(D706,'[1]Cost Sheet'!$C:$D,2,0)</f>
        <v>114.80999999999999</v>
      </c>
      <c r="Z706" s="3">
        <f t="shared" si="21"/>
        <v>4133.16</v>
      </c>
    </row>
    <row r="707" spans="1:26" x14ac:dyDescent="0.3">
      <c r="A707" s="7" t="s">
        <v>21</v>
      </c>
      <c r="B707" t="s">
        <v>354</v>
      </c>
      <c r="C707" t="s">
        <v>355</v>
      </c>
      <c r="D707" t="s">
        <v>356</v>
      </c>
      <c r="E707" t="s">
        <v>357</v>
      </c>
      <c r="F707" t="s">
        <v>106</v>
      </c>
      <c r="G707">
        <v>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7</v>
      </c>
      <c r="T707">
        <v>0</v>
      </c>
      <c r="U707" t="s">
        <v>53</v>
      </c>
      <c r="W707" s="2">
        <v>114.80999999999999</v>
      </c>
      <c r="X707" s="3">
        <f t="shared" ref="X707:X770" si="22">S707*W707</f>
        <v>803.67</v>
      </c>
      <c r="Y707">
        <f>VLOOKUP(D707,'[1]Cost Sheet'!$C:$D,2,0)</f>
        <v>114.80999999999999</v>
      </c>
      <c r="Z707" s="3">
        <f t="shared" ref="Z707:Z770" si="23">Y707*S707</f>
        <v>803.67</v>
      </c>
    </row>
    <row r="708" spans="1:26" x14ac:dyDescent="0.3">
      <c r="A708" s="7" t="s">
        <v>21</v>
      </c>
      <c r="B708" t="s">
        <v>354</v>
      </c>
      <c r="C708" t="s">
        <v>355</v>
      </c>
      <c r="D708" t="s">
        <v>356</v>
      </c>
      <c r="E708" t="s">
        <v>357</v>
      </c>
      <c r="F708" t="s">
        <v>106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 t="s">
        <v>54</v>
      </c>
      <c r="W708" s="2">
        <v>114.80999999999999</v>
      </c>
      <c r="X708" s="3">
        <f t="shared" si="22"/>
        <v>114.80999999999999</v>
      </c>
      <c r="Y708">
        <f>VLOOKUP(D708,'[1]Cost Sheet'!$C:$D,2,0)</f>
        <v>114.80999999999999</v>
      </c>
      <c r="Z708" s="3">
        <f t="shared" si="23"/>
        <v>114.80999999999999</v>
      </c>
    </row>
    <row r="709" spans="1:26" x14ac:dyDescent="0.3">
      <c r="A709" s="7" t="s">
        <v>21</v>
      </c>
      <c r="B709" t="s">
        <v>354</v>
      </c>
      <c r="C709" t="s">
        <v>355</v>
      </c>
      <c r="D709" t="s">
        <v>356</v>
      </c>
      <c r="E709" t="s">
        <v>357</v>
      </c>
      <c r="F709" t="s">
        <v>106</v>
      </c>
      <c r="G709">
        <v>105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105</v>
      </c>
      <c r="T709">
        <v>0</v>
      </c>
      <c r="U709" t="s">
        <v>32</v>
      </c>
      <c r="W709" s="2">
        <v>114.80999999999999</v>
      </c>
      <c r="X709" s="3">
        <f t="shared" si="22"/>
        <v>12055.05</v>
      </c>
      <c r="Y709">
        <f>VLOOKUP(D709,'[1]Cost Sheet'!$C:$D,2,0)</f>
        <v>114.80999999999999</v>
      </c>
      <c r="Z709" s="3">
        <f t="shared" si="23"/>
        <v>12055.05</v>
      </c>
    </row>
    <row r="710" spans="1:26" x14ac:dyDescent="0.3">
      <c r="A710" s="7" t="s">
        <v>21</v>
      </c>
      <c r="B710" t="s">
        <v>354</v>
      </c>
      <c r="C710" t="s">
        <v>355</v>
      </c>
      <c r="D710" t="s">
        <v>356</v>
      </c>
      <c r="E710" t="s">
        <v>357</v>
      </c>
      <c r="F710" t="s">
        <v>106</v>
      </c>
      <c r="G710">
        <v>36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36</v>
      </c>
      <c r="T710">
        <v>0</v>
      </c>
      <c r="U710" t="s">
        <v>109</v>
      </c>
      <c r="W710" s="2">
        <v>114.80999999999999</v>
      </c>
      <c r="X710" s="3">
        <f t="shared" si="22"/>
        <v>4133.16</v>
      </c>
      <c r="Y710">
        <f>VLOOKUP(D710,'[1]Cost Sheet'!$C:$D,2,0)</f>
        <v>114.80999999999999</v>
      </c>
      <c r="Z710" s="3">
        <f t="shared" si="23"/>
        <v>4133.16</v>
      </c>
    </row>
    <row r="711" spans="1:26" x14ac:dyDescent="0.3">
      <c r="A711" s="7" t="s">
        <v>21</v>
      </c>
      <c r="B711" t="s">
        <v>354</v>
      </c>
      <c r="C711" t="s">
        <v>355</v>
      </c>
      <c r="D711" t="s">
        <v>356</v>
      </c>
      <c r="E711" t="s">
        <v>357</v>
      </c>
      <c r="F711" t="s">
        <v>106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 t="s">
        <v>33</v>
      </c>
      <c r="W711" s="2">
        <v>114.80999999999999</v>
      </c>
      <c r="X711" s="3">
        <f t="shared" si="22"/>
        <v>114.80999999999999</v>
      </c>
      <c r="Y711">
        <f>VLOOKUP(D711,'[1]Cost Sheet'!$C:$D,2,0)</f>
        <v>114.80999999999999</v>
      </c>
      <c r="Z711" s="3">
        <f t="shared" si="23"/>
        <v>114.80999999999999</v>
      </c>
    </row>
    <row r="712" spans="1:26" x14ac:dyDescent="0.3">
      <c r="A712" s="7" t="s">
        <v>21</v>
      </c>
      <c r="B712" t="s">
        <v>354</v>
      </c>
      <c r="C712" t="s">
        <v>355</v>
      </c>
      <c r="D712" t="s">
        <v>356</v>
      </c>
      <c r="E712" t="s">
        <v>357</v>
      </c>
      <c r="F712" t="s">
        <v>106</v>
      </c>
      <c r="G712">
        <v>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8</v>
      </c>
      <c r="T712">
        <v>0</v>
      </c>
      <c r="U712" t="s">
        <v>46</v>
      </c>
      <c r="W712" s="2">
        <v>114.80999999999999</v>
      </c>
      <c r="X712" s="3">
        <f t="shared" si="22"/>
        <v>918.4799999999999</v>
      </c>
      <c r="Y712">
        <f>VLOOKUP(D712,'[1]Cost Sheet'!$C:$D,2,0)</f>
        <v>114.80999999999999</v>
      </c>
      <c r="Z712" s="3">
        <f t="shared" si="23"/>
        <v>918.4799999999999</v>
      </c>
    </row>
    <row r="713" spans="1:26" x14ac:dyDescent="0.3">
      <c r="A713" s="7" t="s">
        <v>21</v>
      </c>
      <c r="B713" t="s">
        <v>354</v>
      </c>
      <c r="C713" t="s">
        <v>355</v>
      </c>
      <c r="D713" t="s">
        <v>356</v>
      </c>
      <c r="E713" t="s">
        <v>357</v>
      </c>
      <c r="F713" t="s">
        <v>106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 t="s">
        <v>47</v>
      </c>
      <c r="W713" s="2">
        <v>114.80999999999999</v>
      </c>
      <c r="X713" s="3">
        <f t="shared" si="22"/>
        <v>114.80999999999999</v>
      </c>
      <c r="Y713">
        <f>VLOOKUP(D713,'[1]Cost Sheet'!$C:$D,2,0)</f>
        <v>114.80999999999999</v>
      </c>
      <c r="Z713" s="3">
        <f t="shared" si="23"/>
        <v>114.80999999999999</v>
      </c>
    </row>
    <row r="714" spans="1:26" x14ac:dyDescent="0.3">
      <c r="A714" s="7" t="s">
        <v>21</v>
      </c>
      <c r="B714" t="s">
        <v>354</v>
      </c>
      <c r="C714" t="s">
        <v>355</v>
      </c>
      <c r="D714" t="s">
        <v>356</v>
      </c>
      <c r="E714" t="s">
        <v>357</v>
      </c>
      <c r="F714" t="s">
        <v>106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 t="s">
        <v>40</v>
      </c>
      <c r="W714" s="2">
        <v>114.80999999999999</v>
      </c>
      <c r="X714" s="3">
        <f t="shared" si="22"/>
        <v>114.80999999999999</v>
      </c>
      <c r="Y714">
        <f>VLOOKUP(D714,'[1]Cost Sheet'!$C:$D,2,0)</f>
        <v>114.80999999999999</v>
      </c>
      <c r="Z714" s="3">
        <f t="shared" si="23"/>
        <v>114.80999999999999</v>
      </c>
    </row>
    <row r="715" spans="1:26" x14ac:dyDescent="0.3">
      <c r="A715" s="7" t="s">
        <v>21</v>
      </c>
      <c r="B715" t="s">
        <v>354</v>
      </c>
      <c r="C715" t="s">
        <v>355</v>
      </c>
      <c r="D715" t="s">
        <v>356</v>
      </c>
      <c r="E715" t="s">
        <v>357</v>
      </c>
      <c r="F715" t="s">
        <v>106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</v>
      </c>
      <c r="T715">
        <v>0</v>
      </c>
      <c r="U715" t="s">
        <v>59</v>
      </c>
      <c r="W715" s="2">
        <v>114.80999999999999</v>
      </c>
      <c r="X715" s="3">
        <f t="shared" si="22"/>
        <v>229.61999999999998</v>
      </c>
      <c r="Y715">
        <f>VLOOKUP(D715,'[1]Cost Sheet'!$C:$D,2,0)</f>
        <v>114.80999999999999</v>
      </c>
      <c r="Z715" s="3">
        <f t="shared" si="23"/>
        <v>229.61999999999998</v>
      </c>
    </row>
    <row r="716" spans="1:26" x14ac:dyDescent="0.3">
      <c r="A716" s="7" t="s">
        <v>21</v>
      </c>
      <c r="B716" t="s">
        <v>354</v>
      </c>
      <c r="C716" t="s">
        <v>355</v>
      </c>
      <c r="D716" t="s">
        <v>356</v>
      </c>
      <c r="E716" t="s">
        <v>357</v>
      </c>
      <c r="F716" t="s">
        <v>106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</v>
      </c>
      <c r="T716">
        <v>0</v>
      </c>
      <c r="U716" t="s">
        <v>27</v>
      </c>
      <c r="W716" s="2">
        <v>114.80999999999999</v>
      </c>
      <c r="X716" s="3">
        <f t="shared" si="22"/>
        <v>229.61999999999998</v>
      </c>
      <c r="Y716">
        <f>VLOOKUP(D716,'[1]Cost Sheet'!$C:$D,2,0)</f>
        <v>114.80999999999999</v>
      </c>
      <c r="Z716" s="3">
        <f t="shared" si="23"/>
        <v>229.61999999999998</v>
      </c>
    </row>
    <row r="717" spans="1:26" x14ac:dyDescent="0.3">
      <c r="A717" s="7" t="s">
        <v>21</v>
      </c>
      <c r="B717" t="s">
        <v>354</v>
      </c>
      <c r="C717" t="s">
        <v>355</v>
      </c>
      <c r="D717" t="s">
        <v>356</v>
      </c>
      <c r="E717" t="s">
        <v>357</v>
      </c>
      <c r="F717" t="s">
        <v>26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 t="s">
        <v>45</v>
      </c>
      <c r="W717" s="2">
        <v>114.80999999999999</v>
      </c>
      <c r="X717" s="3">
        <f t="shared" si="22"/>
        <v>114.80999999999999</v>
      </c>
      <c r="Y717">
        <f>VLOOKUP(D717,'[1]Cost Sheet'!$C:$D,2,0)</f>
        <v>114.80999999999999</v>
      </c>
      <c r="Z717" s="3">
        <f t="shared" si="23"/>
        <v>114.80999999999999</v>
      </c>
    </row>
    <row r="718" spans="1:26" x14ac:dyDescent="0.3">
      <c r="A718" s="7" t="s">
        <v>21</v>
      </c>
      <c r="B718" t="s">
        <v>354</v>
      </c>
      <c r="C718" t="s">
        <v>355</v>
      </c>
      <c r="D718" t="s">
        <v>356</v>
      </c>
      <c r="E718" t="s">
        <v>357</v>
      </c>
      <c r="F718" t="s">
        <v>26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 t="s">
        <v>32</v>
      </c>
      <c r="W718" s="2">
        <v>114.80999999999999</v>
      </c>
      <c r="X718" s="3">
        <f t="shared" si="22"/>
        <v>114.80999999999999</v>
      </c>
      <c r="Y718">
        <f>VLOOKUP(D718,'[1]Cost Sheet'!$C:$D,2,0)</f>
        <v>114.80999999999999</v>
      </c>
      <c r="Z718" s="3">
        <f t="shared" si="23"/>
        <v>114.80999999999999</v>
      </c>
    </row>
    <row r="719" spans="1:26" x14ac:dyDescent="0.3">
      <c r="A719" s="7" t="s">
        <v>21</v>
      </c>
      <c r="B719" t="s">
        <v>354</v>
      </c>
      <c r="C719" t="s">
        <v>355</v>
      </c>
      <c r="D719" t="s">
        <v>356</v>
      </c>
      <c r="E719" t="s">
        <v>357</v>
      </c>
      <c r="F719" t="s">
        <v>26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 t="s">
        <v>46</v>
      </c>
      <c r="W719" s="2">
        <v>114.80999999999999</v>
      </c>
      <c r="X719" s="3">
        <f t="shared" si="22"/>
        <v>114.80999999999999</v>
      </c>
      <c r="Y719">
        <f>VLOOKUP(D719,'[1]Cost Sheet'!$C:$D,2,0)</f>
        <v>114.80999999999999</v>
      </c>
      <c r="Z719" s="3">
        <f t="shared" si="23"/>
        <v>114.80999999999999</v>
      </c>
    </row>
    <row r="720" spans="1:26" x14ac:dyDescent="0.3">
      <c r="A720" s="7" t="s">
        <v>21</v>
      </c>
      <c r="B720" t="s">
        <v>354</v>
      </c>
      <c r="C720" t="s">
        <v>355</v>
      </c>
      <c r="D720" t="s">
        <v>356</v>
      </c>
      <c r="E720" t="s">
        <v>357</v>
      </c>
      <c r="F720" t="s">
        <v>26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</v>
      </c>
      <c r="T720">
        <v>0</v>
      </c>
      <c r="U720" t="s">
        <v>40</v>
      </c>
      <c r="W720" s="2">
        <v>114.80999999999999</v>
      </c>
      <c r="X720" s="3">
        <f t="shared" si="22"/>
        <v>344.42999999999995</v>
      </c>
      <c r="Y720">
        <f>VLOOKUP(D720,'[1]Cost Sheet'!$C:$D,2,0)</f>
        <v>114.80999999999999</v>
      </c>
      <c r="Z720" s="3">
        <f t="shared" si="23"/>
        <v>344.42999999999995</v>
      </c>
    </row>
    <row r="721" spans="1:26" x14ac:dyDescent="0.3">
      <c r="A721" s="7" t="s">
        <v>21</v>
      </c>
      <c r="B721" t="s">
        <v>358</v>
      </c>
      <c r="C721" t="s">
        <v>359</v>
      </c>
      <c r="D721" t="s">
        <v>360</v>
      </c>
      <c r="E721" t="s">
        <v>361</v>
      </c>
      <c r="F721" t="s">
        <v>26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</v>
      </c>
      <c r="T721">
        <v>0</v>
      </c>
      <c r="U721" t="s">
        <v>38</v>
      </c>
      <c r="W721" s="2">
        <v>53.64</v>
      </c>
      <c r="X721" s="3">
        <f t="shared" si="22"/>
        <v>107.28</v>
      </c>
      <c r="Y721">
        <f>VLOOKUP(D721,'[1]Cost Sheet'!$C:$D,2,0)</f>
        <v>53.64</v>
      </c>
      <c r="Z721" s="3">
        <f t="shared" si="23"/>
        <v>107.28</v>
      </c>
    </row>
    <row r="722" spans="1:26" x14ac:dyDescent="0.3">
      <c r="A722" s="7" t="s">
        <v>21</v>
      </c>
      <c r="B722" t="s">
        <v>358</v>
      </c>
      <c r="C722" t="s">
        <v>359</v>
      </c>
      <c r="D722" t="s">
        <v>360</v>
      </c>
      <c r="E722" t="s">
        <v>361</v>
      </c>
      <c r="F722" t="s">
        <v>26</v>
      </c>
      <c r="G722">
        <v>10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10</v>
      </c>
      <c r="T722">
        <v>0</v>
      </c>
      <c r="U722" t="s">
        <v>45</v>
      </c>
      <c r="W722" s="2">
        <v>53.64</v>
      </c>
      <c r="X722" s="3">
        <f t="shared" si="22"/>
        <v>536.4</v>
      </c>
      <c r="Y722">
        <f>VLOOKUP(D722,'[1]Cost Sheet'!$C:$D,2,0)</f>
        <v>53.64</v>
      </c>
      <c r="Z722" s="3">
        <f t="shared" si="23"/>
        <v>536.4</v>
      </c>
    </row>
    <row r="723" spans="1:26" x14ac:dyDescent="0.3">
      <c r="A723" s="7" t="s">
        <v>21</v>
      </c>
      <c r="B723" t="s">
        <v>358</v>
      </c>
      <c r="C723" t="s">
        <v>359</v>
      </c>
      <c r="D723" t="s">
        <v>360</v>
      </c>
      <c r="E723" t="s">
        <v>361</v>
      </c>
      <c r="F723" t="s">
        <v>26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 t="s">
        <v>39</v>
      </c>
      <c r="W723" s="2">
        <v>53.64</v>
      </c>
      <c r="X723" s="3">
        <f t="shared" si="22"/>
        <v>53.64</v>
      </c>
      <c r="Y723">
        <f>VLOOKUP(D723,'[1]Cost Sheet'!$C:$D,2,0)</f>
        <v>53.64</v>
      </c>
      <c r="Z723" s="3">
        <f t="shared" si="23"/>
        <v>53.64</v>
      </c>
    </row>
    <row r="724" spans="1:26" x14ac:dyDescent="0.3">
      <c r="A724" s="7" t="s">
        <v>21</v>
      </c>
      <c r="B724" t="s">
        <v>358</v>
      </c>
      <c r="C724" t="s">
        <v>359</v>
      </c>
      <c r="D724" t="s">
        <v>360</v>
      </c>
      <c r="E724" t="s">
        <v>361</v>
      </c>
      <c r="F724" t="s">
        <v>26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 t="s">
        <v>53</v>
      </c>
      <c r="W724" s="2">
        <v>53.64</v>
      </c>
      <c r="X724" s="3">
        <f t="shared" si="22"/>
        <v>53.64</v>
      </c>
      <c r="Y724">
        <f>VLOOKUP(D724,'[1]Cost Sheet'!$C:$D,2,0)</f>
        <v>53.64</v>
      </c>
      <c r="Z724" s="3">
        <f t="shared" si="23"/>
        <v>53.64</v>
      </c>
    </row>
    <row r="725" spans="1:26" x14ac:dyDescent="0.3">
      <c r="A725" s="7" t="s">
        <v>21</v>
      </c>
      <c r="B725" t="s">
        <v>358</v>
      </c>
      <c r="C725" t="s">
        <v>359</v>
      </c>
      <c r="D725" t="s">
        <v>360</v>
      </c>
      <c r="E725" t="s">
        <v>361</v>
      </c>
      <c r="F725" t="s">
        <v>26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 t="s">
        <v>54</v>
      </c>
      <c r="W725" s="2">
        <v>53.64</v>
      </c>
      <c r="X725" s="3">
        <f t="shared" si="22"/>
        <v>53.64</v>
      </c>
      <c r="Y725">
        <f>VLOOKUP(D725,'[1]Cost Sheet'!$C:$D,2,0)</f>
        <v>53.64</v>
      </c>
      <c r="Z725" s="3">
        <f t="shared" si="23"/>
        <v>53.64</v>
      </c>
    </row>
    <row r="726" spans="1:26" x14ac:dyDescent="0.3">
      <c r="A726" s="7" t="s">
        <v>21</v>
      </c>
      <c r="B726" t="s">
        <v>358</v>
      </c>
      <c r="C726" t="s">
        <v>359</v>
      </c>
      <c r="D726" t="s">
        <v>360</v>
      </c>
      <c r="E726" t="s">
        <v>361</v>
      </c>
      <c r="F726" t="s">
        <v>26</v>
      </c>
      <c r="G726">
        <v>10</v>
      </c>
      <c r="H726">
        <v>0</v>
      </c>
      <c r="I726">
        <v>0</v>
      </c>
      <c r="J726">
        <v>-1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9</v>
      </c>
      <c r="T726">
        <v>0</v>
      </c>
      <c r="U726" t="s">
        <v>46</v>
      </c>
      <c r="W726" s="2">
        <v>53.64</v>
      </c>
      <c r="X726" s="3">
        <f t="shared" si="22"/>
        <v>482.76</v>
      </c>
      <c r="Y726">
        <f>VLOOKUP(D726,'[1]Cost Sheet'!$C:$D,2,0)</f>
        <v>53.64</v>
      </c>
      <c r="Z726" s="3">
        <f t="shared" si="23"/>
        <v>482.76</v>
      </c>
    </row>
    <row r="727" spans="1:26" x14ac:dyDescent="0.3">
      <c r="A727" s="7" t="s">
        <v>21</v>
      </c>
      <c r="B727" t="s">
        <v>358</v>
      </c>
      <c r="C727" t="s">
        <v>359</v>
      </c>
      <c r="D727" t="s">
        <v>360</v>
      </c>
      <c r="E727" t="s">
        <v>361</v>
      </c>
      <c r="F727" t="s">
        <v>26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 t="s">
        <v>40</v>
      </c>
      <c r="W727" s="2">
        <v>53.64</v>
      </c>
      <c r="X727" s="3">
        <f t="shared" si="22"/>
        <v>53.64</v>
      </c>
      <c r="Y727">
        <f>VLOOKUP(D727,'[1]Cost Sheet'!$C:$D,2,0)</f>
        <v>53.64</v>
      </c>
      <c r="Z727" s="3">
        <f t="shared" si="23"/>
        <v>53.64</v>
      </c>
    </row>
    <row r="728" spans="1:26" x14ac:dyDescent="0.3">
      <c r="A728" s="7" t="s">
        <v>21</v>
      </c>
      <c r="B728" t="s">
        <v>358</v>
      </c>
      <c r="C728" t="s">
        <v>359</v>
      </c>
      <c r="D728" t="s">
        <v>360</v>
      </c>
      <c r="E728" t="s">
        <v>361</v>
      </c>
      <c r="F728" t="s">
        <v>26</v>
      </c>
      <c r="G728">
        <v>19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19</v>
      </c>
      <c r="T728">
        <v>0</v>
      </c>
      <c r="U728" t="s">
        <v>48</v>
      </c>
      <c r="W728" s="2">
        <v>53.64</v>
      </c>
      <c r="X728" s="3">
        <f t="shared" si="22"/>
        <v>1019.16</v>
      </c>
      <c r="Y728">
        <f>VLOOKUP(D728,'[1]Cost Sheet'!$C:$D,2,0)</f>
        <v>53.64</v>
      </c>
      <c r="Z728" s="3">
        <f t="shared" si="23"/>
        <v>1019.16</v>
      </c>
    </row>
    <row r="729" spans="1:26" x14ac:dyDescent="0.3">
      <c r="A729" s="7" t="s">
        <v>21</v>
      </c>
      <c r="B729" t="s">
        <v>362</v>
      </c>
      <c r="C729" t="s">
        <v>363</v>
      </c>
      <c r="D729" t="s">
        <v>364</v>
      </c>
      <c r="E729" t="s">
        <v>365</v>
      </c>
      <c r="F729" t="s">
        <v>26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 t="s">
        <v>33</v>
      </c>
      <c r="W729" s="2">
        <v>83.14</v>
      </c>
      <c r="X729" s="3">
        <f t="shared" si="22"/>
        <v>83.14</v>
      </c>
      <c r="Y729">
        <f>VLOOKUP(D729,'[1]Cost Sheet'!$C:$D,2,0)</f>
        <v>83.14</v>
      </c>
      <c r="Z729" s="3">
        <f t="shared" si="23"/>
        <v>83.14</v>
      </c>
    </row>
    <row r="730" spans="1:26" x14ac:dyDescent="0.3">
      <c r="A730" s="7" t="s">
        <v>21</v>
      </c>
      <c r="B730" t="s">
        <v>366</v>
      </c>
      <c r="C730" t="s">
        <v>367</v>
      </c>
      <c r="D730" t="s">
        <v>368</v>
      </c>
      <c r="E730" t="s">
        <v>369</v>
      </c>
      <c r="F730" t="s">
        <v>26</v>
      </c>
      <c r="G730">
        <v>42</v>
      </c>
      <c r="H730">
        <v>0</v>
      </c>
      <c r="I730">
        <v>0</v>
      </c>
      <c r="J730">
        <v>-4</v>
      </c>
      <c r="K730">
        <v>0</v>
      </c>
      <c r="L730">
        <v>0</v>
      </c>
      <c r="M730">
        <v>-1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37</v>
      </c>
      <c r="T730">
        <v>0</v>
      </c>
      <c r="U730" t="s">
        <v>32</v>
      </c>
      <c r="W730" s="2">
        <v>83.14</v>
      </c>
      <c r="X730" s="3">
        <f t="shared" si="22"/>
        <v>3076.18</v>
      </c>
      <c r="Y730">
        <f>VLOOKUP(D730,'[1]Cost Sheet'!$C:$D,2,0)</f>
        <v>83.14</v>
      </c>
      <c r="Z730" s="3">
        <f t="shared" si="23"/>
        <v>3076.18</v>
      </c>
    </row>
    <row r="731" spans="1:26" x14ac:dyDescent="0.3">
      <c r="A731" s="7" t="s">
        <v>21</v>
      </c>
      <c r="B731" t="s">
        <v>366</v>
      </c>
      <c r="C731" t="s">
        <v>367</v>
      </c>
      <c r="D731" t="s">
        <v>368</v>
      </c>
      <c r="E731" t="s">
        <v>369</v>
      </c>
      <c r="F731" t="s">
        <v>26</v>
      </c>
      <c r="G731">
        <v>0</v>
      </c>
      <c r="H731">
        <v>0</v>
      </c>
      <c r="I731">
        <v>0</v>
      </c>
      <c r="J731">
        <v>-1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t="s">
        <v>46</v>
      </c>
      <c r="W731" s="2">
        <v>83.14</v>
      </c>
      <c r="X731" s="3">
        <f t="shared" si="22"/>
        <v>0</v>
      </c>
      <c r="Y731">
        <f>VLOOKUP(D731,'[1]Cost Sheet'!$C:$D,2,0)</f>
        <v>83.14</v>
      </c>
      <c r="Z731" s="3">
        <f t="shared" si="23"/>
        <v>0</v>
      </c>
    </row>
    <row r="732" spans="1:26" x14ac:dyDescent="0.3">
      <c r="A732" s="7" t="s">
        <v>21</v>
      </c>
      <c r="B732" t="s">
        <v>370</v>
      </c>
      <c r="C732" t="s">
        <v>371</v>
      </c>
      <c r="D732" t="s">
        <v>372</v>
      </c>
      <c r="E732" t="s">
        <v>373</v>
      </c>
      <c r="F732" t="s">
        <v>26</v>
      </c>
      <c r="G732">
        <v>25</v>
      </c>
      <c r="H732">
        <v>1</v>
      </c>
      <c r="I732">
        <v>0</v>
      </c>
      <c r="J732">
        <v>-4</v>
      </c>
      <c r="K732">
        <v>0</v>
      </c>
      <c r="L732">
        <v>0</v>
      </c>
      <c r="M732">
        <v>-1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20</v>
      </c>
      <c r="T732">
        <v>0</v>
      </c>
      <c r="U732" t="s">
        <v>38</v>
      </c>
      <c r="W732" s="2">
        <v>83.14</v>
      </c>
      <c r="X732" s="3">
        <f t="shared" si="22"/>
        <v>1662.8</v>
      </c>
      <c r="Y732">
        <f>VLOOKUP(D732,'[1]Cost Sheet'!$C:$D,2,0)</f>
        <v>83.14</v>
      </c>
      <c r="Z732" s="3">
        <f t="shared" si="23"/>
        <v>1662.8</v>
      </c>
    </row>
    <row r="733" spans="1:26" x14ac:dyDescent="0.3">
      <c r="A733" s="7" t="s">
        <v>21</v>
      </c>
      <c r="B733" t="s">
        <v>370</v>
      </c>
      <c r="C733" t="s">
        <v>371</v>
      </c>
      <c r="D733" t="s">
        <v>372</v>
      </c>
      <c r="E733" t="s">
        <v>373</v>
      </c>
      <c r="F733" t="s">
        <v>26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 t="s">
        <v>39</v>
      </c>
      <c r="W733" s="2">
        <v>83.14</v>
      </c>
      <c r="X733" s="3">
        <f t="shared" si="22"/>
        <v>83.14</v>
      </c>
      <c r="Y733">
        <f>VLOOKUP(D733,'[1]Cost Sheet'!$C:$D,2,0)</f>
        <v>83.14</v>
      </c>
      <c r="Z733" s="3">
        <f t="shared" si="23"/>
        <v>83.14</v>
      </c>
    </row>
    <row r="734" spans="1:26" x14ac:dyDescent="0.3">
      <c r="A734" s="7" t="s">
        <v>21</v>
      </c>
      <c r="B734" t="s">
        <v>370</v>
      </c>
      <c r="C734" t="s">
        <v>371</v>
      </c>
      <c r="D734" t="s">
        <v>372</v>
      </c>
      <c r="E734" t="s">
        <v>373</v>
      </c>
      <c r="F734" t="s">
        <v>26</v>
      </c>
      <c r="G734">
        <v>2</v>
      </c>
      <c r="H734">
        <v>0</v>
      </c>
      <c r="I734">
        <v>0</v>
      </c>
      <c r="J734">
        <v>-1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 t="s">
        <v>46</v>
      </c>
      <c r="W734" s="2">
        <v>83.14</v>
      </c>
      <c r="X734" s="3">
        <f t="shared" si="22"/>
        <v>83.14</v>
      </c>
      <c r="Y734">
        <f>VLOOKUP(D734,'[1]Cost Sheet'!$C:$D,2,0)</f>
        <v>83.14</v>
      </c>
      <c r="Z734" s="3">
        <f t="shared" si="23"/>
        <v>83.14</v>
      </c>
    </row>
    <row r="735" spans="1:26" x14ac:dyDescent="0.3">
      <c r="A735" s="7" t="s">
        <v>21</v>
      </c>
      <c r="B735" t="s">
        <v>374</v>
      </c>
      <c r="C735" t="s">
        <v>375</v>
      </c>
      <c r="D735" t="s">
        <v>1049</v>
      </c>
      <c r="E735" t="s">
        <v>376</v>
      </c>
      <c r="F735" t="s">
        <v>26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2</v>
      </c>
      <c r="T735">
        <v>0</v>
      </c>
      <c r="U735" t="s">
        <v>119</v>
      </c>
      <c r="W735" s="2">
        <v>60.73</v>
      </c>
      <c r="X735" s="3">
        <f t="shared" si="22"/>
        <v>121.46</v>
      </c>
      <c r="Y735">
        <f>VLOOKUP(D735,'[1]Cost Sheet'!$C:$D,2,0)</f>
        <v>60.73</v>
      </c>
      <c r="Z735" s="3">
        <f t="shared" si="23"/>
        <v>121.46</v>
      </c>
    </row>
    <row r="736" spans="1:26" x14ac:dyDescent="0.3">
      <c r="A736" s="7" t="s">
        <v>21</v>
      </c>
      <c r="B736" t="s">
        <v>377</v>
      </c>
      <c r="C736" t="s">
        <v>378</v>
      </c>
      <c r="D736" t="s">
        <v>379</v>
      </c>
      <c r="E736" t="s">
        <v>380</v>
      </c>
      <c r="F736" t="s">
        <v>26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 t="s">
        <v>38</v>
      </c>
      <c r="W736" s="2">
        <v>99.91421052631577</v>
      </c>
      <c r="X736" s="3">
        <f t="shared" si="22"/>
        <v>99.91421052631577</v>
      </c>
      <c r="Y736">
        <f>VLOOKUP(D736,'[1]Cost Sheet'!$C:$D,2,0)</f>
        <v>99.88</v>
      </c>
      <c r="Z736" s="3">
        <f t="shared" si="23"/>
        <v>99.88</v>
      </c>
    </row>
    <row r="737" spans="1:26" x14ac:dyDescent="0.3">
      <c r="A737" s="7" t="s">
        <v>21</v>
      </c>
      <c r="B737" t="s">
        <v>377</v>
      </c>
      <c r="C737" t="s">
        <v>378</v>
      </c>
      <c r="D737" t="s">
        <v>379</v>
      </c>
      <c r="E737" t="s">
        <v>380</v>
      </c>
      <c r="F737" t="s">
        <v>26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 t="s">
        <v>47</v>
      </c>
      <c r="W737" s="2">
        <v>99.91421052631577</v>
      </c>
      <c r="X737" s="3">
        <f t="shared" si="22"/>
        <v>99.91421052631577</v>
      </c>
      <c r="Y737">
        <f>VLOOKUP(D737,'[1]Cost Sheet'!$C:$D,2,0)</f>
        <v>99.88</v>
      </c>
      <c r="Z737" s="3">
        <f t="shared" si="23"/>
        <v>99.88</v>
      </c>
    </row>
    <row r="738" spans="1:26" x14ac:dyDescent="0.3">
      <c r="A738" s="7" t="s">
        <v>21</v>
      </c>
      <c r="B738" t="s">
        <v>381</v>
      </c>
      <c r="C738" t="s">
        <v>382</v>
      </c>
      <c r="D738" t="s">
        <v>383</v>
      </c>
      <c r="E738" t="s">
        <v>384</v>
      </c>
      <c r="F738" t="s">
        <v>106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 t="s">
        <v>39</v>
      </c>
      <c r="W738" s="2">
        <v>78.760000000000005</v>
      </c>
      <c r="X738" s="3">
        <f t="shared" si="22"/>
        <v>78.760000000000005</v>
      </c>
      <c r="Y738">
        <f>VLOOKUP(D738,'[1]Cost Sheet'!$C:$D,2,0)</f>
        <v>78.73</v>
      </c>
      <c r="Z738" s="3">
        <f t="shared" si="23"/>
        <v>78.73</v>
      </c>
    </row>
    <row r="739" spans="1:26" x14ac:dyDescent="0.3">
      <c r="A739" s="7" t="s">
        <v>21</v>
      </c>
      <c r="B739" t="s">
        <v>381</v>
      </c>
      <c r="C739" t="s">
        <v>382</v>
      </c>
      <c r="D739" t="s">
        <v>383</v>
      </c>
      <c r="E739" t="s">
        <v>384</v>
      </c>
      <c r="F739" t="s">
        <v>26</v>
      </c>
      <c r="G739">
        <v>3</v>
      </c>
      <c r="H739">
        <v>0</v>
      </c>
      <c r="I739">
        <v>0</v>
      </c>
      <c r="J739">
        <v>-1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0</v>
      </c>
      <c r="U739" t="s">
        <v>39</v>
      </c>
      <c r="W739" s="2">
        <v>78.760000000000005</v>
      </c>
      <c r="X739" s="3">
        <f t="shared" si="22"/>
        <v>157.52000000000001</v>
      </c>
      <c r="Y739">
        <f>VLOOKUP(D739,'[1]Cost Sheet'!$C:$D,2,0)</f>
        <v>78.73</v>
      </c>
      <c r="Z739" s="3">
        <f t="shared" si="23"/>
        <v>157.46</v>
      </c>
    </row>
    <row r="740" spans="1:26" x14ac:dyDescent="0.3">
      <c r="A740" s="7" t="s">
        <v>21</v>
      </c>
      <c r="B740" t="s">
        <v>381</v>
      </c>
      <c r="C740" t="s">
        <v>382</v>
      </c>
      <c r="D740" t="s">
        <v>383</v>
      </c>
      <c r="E740" t="s">
        <v>384</v>
      </c>
      <c r="F740" t="s">
        <v>26</v>
      </c>
      <c r="G740">
        <v>3</v>
      </c>
      <c r="H740">
        <v>2</v>
      </c>
      <c r="I740">
        <v>0</v>
      </c>
      <c r="J740">
        <v>-1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</v>
      </c>
      <c r="T740">
        <v>0</v>
      </c>
      <c r="U740" t="s">
        <v>54</v>
      </c>
      <c r="W740" s="2">
        <v>78.760000000000005</v>
      </c>
      <c r="X740" s="3">
        <f t="shared" si="22"/>
        <v>157.52000000000001</v>
      </c>
      <c r="Y740">
        <f>VLOOKUP(D740,'[1]Cost Sheet'!$C:$D,2,0)</f>
        <v>78.73</v>
      </c>
      <c r="Z740" s="3">
        <f t="shared" si="23"/>
        <v>157.46</v>
      </c>
    </row>
    <row r="741" spans="1:26" x14ac:dyDescent="0.3">
      <c r="A741" s="7" t="s">
        <v>21</v>
      </c>
      <c r="B741" t="s">
        <v>381</v>
      </c>
      <c r="C741" t="s">
        <v>382</v>
      </c>
      <c r="D741" t="s">
        <v>383</v>
      </c>
      <c r="E741" t="s">
        <v>384</v>
      </c>
      <c r="F741" t="s">
        <v>26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 t="s">
        <v>47</v>
      </c>
      <c r="W741" s="2">
        <v>78.760000000000005</v>
      </c>
      <c r="X741" s="3">
        <f t="shared" si="22"/>
        <v>78.760000000000005</v>
      </c>
      <c r="Y741">
        <f>VLOOKUP(D741,'[1]Cost Sheet'!$C:$D,2,0)</f>
        <v>78.73</v>
      </c>
      <c r="Z741" s="3">
        <f t="shared" si="23"/>
        <v>78.73</v>
      </c>
    </row>
    <row r="742" spans="1:26" x14ac:dyDescent="0.3">
      <c r="A742" s="7" t="s">
        <v>21</v>
      </c>
      <c r="B742" t="s">
        <v>385</v>
      </c>
      <c r="C742" t="s">
        <v>386</v>
      </c>
      <c r="D742" t="s">
        <v>387</v>
      </c>
      <c r="E742" t="s">
        <v>388</v>
      </c>
      <c r="F742" t="s">
        <v>26</v>
      </c>
      <c r="G742">
        <v>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6</v>
      </c>
      <c r="T742">
        <v>0</v>
      </c>
      <c r="U742" t="s">
        <v>38</v>
      </c>
      <c r="W742" s="2">
        <v>78.760000000000005</v>
      </c>
      <c r="X742" s="3">
        <f t="shared" si="22"/>
        <v>472.56000000000006</v>
      </c>
      <c r="Y742">
        <f>VLOOKUP(D742,'[1]Cost Sheet'!$C:$D,2,0)</f>
        <v>79.13</v>
      </c>
      <c r="Z742" s="3">
        <f t="shared" si="23"/>
        <v>474.78</v>
      </c>
    </row>
    <row r="743" spans="1:26" x14ac:dyDescent="0.3">
      <c r="A743" s="7" t="s">
        <v>21</v>
      </c>
      <c r="B743" t="s">
        <v>385</v>
      </c>
      <c r="C743" t="s">
        <v>386</v>
      </c>
      <c r="D743" t="s">
        <v>387</v>
      </c>
      <c r="E743" t="s">
        <v>388</v>
      </c>
      <c r="F743" t="s">
        <v>26</v>
      </c>
      <c r="G743">
        <v>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6</v>
      </c>
      <c r="T743">
        <v>0</v>
      </c>
      <c r="U743" t="s">
        <v>32</v>
      </c>
      <c r="W743" s="2">
        <v>78.760000000000005</v>
      </c>
      <c r="X743" s="3">
        <f t="shared" si="22"/>
        <v>472.56000000000006</v>
      </c>
      <c r="Y743">
        <f>VLOOKUP(D743,'[1]Cost Sheet'!$C:$D,2,0)</f>
        <v>79.13</v>
      </c>
      <c r="Z743" s="3">
        <f t="shared" si="23"/>
        <v>474.78</v>
      </c>
    </row>
    <row r="744" spans="1:26" x14ac:dyDescent="0.3">
      <c r="A744" s="7" t="s">
        <v>21</v>
      </c>
      <c r="B744" t="s">
        <v>385</v>
      </c>
      <c r="C744" t="s">
        <v>386</v>
      </c>
      <c r="D744" t="s">
        <v>387</v>
      </c>
      <c r="E744" t="s">
        <v>388</v>
      </c>
      <c r="F744" t="s">
        <v>26</v>
      </c>
      <c r="G744">
        <v>0</v>
      </c>
      <c r="H744">
        <v>19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109</v>
      </c>
      <c r="W744" s="2">
        <v>78.760000000000005</v>
      </c>
      <c r="X744" s="3">
        <f t="shared" si="22"/>
        <v>0</v>
      </c>
      <c r="Y744">
        <f>VLOOKUP(D744,'[1]Cost Sheet'!$C:$D,2,0)</f>
        <v>79.13</v>
      </c>
      <c r="Z744" s="3">
        <f t="shared" si="23"/>
        <v>0</v>
      </c>
    </row>
    <row r="745" spans="1:26" x14ac:dyDescent="0.3">
      <c r="A745" s="7" t="s">
        <v>21</v>
      </c>
      <c r="B745" t="s">
        <v>385</v>
      </c>
      <c r="C745" t="s">
        <v>386</v>
      </c>
      <c r="D745" t="s">
        <v>387</v>
      </c>
      <c r="E745" t="s">
        <v>388</v>
      </c>
      <c r="F745" t="s">
        <v>26</v>
      </c>
      <c r="G745">
        <v>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7</v>
      </c>
      <c r="T745">
        <v>0</v>
      </c>
      <c r="U745" t="s">
        <v>113</v>
      </c>
      <c r="W745" s="2">
        <v>78.760000000000005</v>
      </c>
      <c r="X745" s="3">
        <f t="shared" si="22"/>
        <v>551.32000000000005</v>
      </c>
      <c r="Y745">
        <f>VLOOKUP(D745,'[1]Cost Sheet'!$C:$D,2,0)</f>
        <v>79.13</v>
      </c>
      <c r="Z745" s="3">
        <f t="shared" si="23"/>
        <v>553.91</v>
      </c>
    </row>
    <row r="746" spans="1:26" x14ac:dyDescent="0.3">
      <c r="A746" s="7" t="s">
        <v>21</v>
      </c>
      <c r="B746" t="s">
        <v>385</v>
      </c>
      <c r="C746" t="s">
        <v>386</v>
      </c>
      <c r="D746" t="s">
        <v>387</v>
      </c>
      <c r="E746" t="s">
        <v>388</v>
      </c>
      <c r="F746" t="s">
        <v>26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2</v>
      </c>
      <c r="T746">
        <v>0</v>
      </c>
      <c r="U746" t="s">
        <v>48</v>
      </c>
      <c r="W746" s="2">
        <v>78.760000000000005</v>
      </c>
      <c r="X746" s="3">
        <f t="shared" si="22"/>
        <v>157.52000000000001</v>
      </c>
      <c r="Y746">
        <f>VLOOKUP(D746,'[1]Cost Sheet'!$C:$D,2,0)</f>
        <v>79.13</v>
      </c>
      <c r="Z746" s="3">
        <f t="shared" si="23"/>
        <v>158.26</v>
      </c>
    </row>
    <row r="747" spans="1:26" x14ac:dyDescent="0.3">
      <c r="A747" s="7" t="s">
        <v>21</v>
      </c>
      <c r="B747" t="s">
        <v>385</v>
      </c>
      <c r="C747" t="s">
        <v>386</v>
      </c>
      <c r="D747" t="s">
        <v>387</v>
      </c>
      <c r="E747" t="s">
        <v>388</v>
      </c>
      <c r="F747" t="s">
        <v>26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4</v>
      </c>
      <c r="T747">
        <v>0</v>
      </c>
      <c r="U747" t="s">
        <v>59</v>
      </c>
      <c r="W747" s="2">
        <v>78.760000000000005</v>
      </c>
      <c r="X747" s="3">
        <f t="shared" si="22"/>
        <v>315.04000000000002</v>
      </c>
      <c r="Y747">
        <f>VLOOKUP(D747,'[1]Cost Sheet'!$C:$D,2,0)</f>
        <v>79.13</v>
      </c>
      <c r="Z747" s="3">
        <f t="shared" si="23"/>
        <v>316.52</v>
      </c>
    </row>
    <row r="748" spans="1:26" x14ac:dyDescent="0.3">
      <c r="A748" s="7" t="s">
        <v>21</v>
      </c>
      <c r="B748" t="s">
        <v>385</v>
      </c>
      <c r="C748" t="s">
        <v>386</v>
      </c>
      <c r="D748" t="s">
        <v>387</v>
      </c>
      <c r="E748" t="s">
        <v>388</v>
      </c>
      <c r="F748" t="s">
        <v>26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 t="s">
        <v>27</v>
      </c>
      <c r="W748" s="2">
        <v>78.760000000000005</v>
      </c>
      <c r="X748" s="3">
        <f t="shared" si="22"/>
        <v>78.760000000000005</v>
      </c>
      <c r="Y748">
        <f>VLOOKUP(D748,'[1]Cost Sheet'!$C:$D,2,0)</f>
        <v>79.13</v>
      </c>
      <c r="Z748" s="3">
        <f t="shared" si="23"/>
        <v>79.13</v>
      </c>
    </row>
    <row r="749" spans="1:26" x14ac:dyDescent="0.3">
      <c r="A749" s="7" t="s">
        <v>21</v>
      </c>
      <c r="B749" t="s">
        <v>389</v>
      </c>
      <c r="C749" t="s">
        <v>390</v>
      </c>
      <c r="D749" t="s">
        <v>391</v>
      </c>
      <c r="E749" t="s">
        <v>392</v>
      </c>
      <c r="F749" t="s">
        <v>26</v>
      </c>
      <c r="G749">
        <v>12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-1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11</v>
      </c>
      <c r="T749">
        <v>0</v>
      </c>
      <c r="U749" t="s">
        <v>38</v>
      </c>
      <c r="W749" s="2">
        <v>77.84</v>
      </c>
      <c r="X749" s="3">
        <f t="shared" si="22"/>
        <v>856.24</v>
      </c>
      <c r="Y749">
        <f>VLOOKUP(D749,'[1]Cost Sheet'!$C:$D,2,0)</f>
        <v>78.48</v>
      </c>
      <c r="Z749" s="3">
        <f t="shared" si="23"/>
        <v>863.28000000000009</v>
      </c>
    </row>
    <row r="750" spans="1:26" x14ac:dyDescent="0.3">
      <c r="A750" s="7" t="s">
        <v>21</v>
      </c>
      <c r="B750" t="s">
        <v>389</v>
      </c>
      <c r="C750" t="s">
        <v>390</v>
      </c>
      <c r="D750" t="s">
        <v>391</v>
      </c>
      <c r="E750" t="s">
        <v>392</v>
      </c>
      <c r="F750" t="s">
        <v>26</v>
      </c>
      <c r="G750">
        <v>40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40</v>
      </c>
      <c r="T750">
        <v>0</v>
      </c>
      <c r="U750" t="s">
        <v>45</v>
      </c>
      <c r="W750" s="2">
        <v>77.84</v>
      </c>
      <c r="X750" s="3">
        <f t="shared" si="22"/>
        <v>3113.6000000000004</v>
      </c>
      <c r="Y750">
        <f>VLOOKUP(D750,'[1]Cost Sheet'!$C:$D,2,0)</f>
        <v>78.48</v>
      </c>
      <c r="Z750" s="3">
        <f t="shared" si="23"/>
        <v>3139.2000000000003</v>
      </c>
    </row>
    <row r="751" spans="1:26" x14ac:dyDescent="0.3">
      <c r="A751" s="7" t="s">
        <v>21</v>
      </c>
      <c r="B751" t="s">
        <v>389</v>
      </c>
      <c r="C751" t="s">
        <v>390</v>
      </c>
      <c r="D751" t="s">
        <v>391</v>
      </c>
      <c r="E751" t="s">
        <v>392</v>
      </c>
      <c r="F751" t="s">
        <v>26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 t="s">
        <v>32</v>
      </c>
      <c r="W751" s="2">
        <v>77.84</v>
      </c>
      <c r="X751" s="3">
        <f t="shared" si="22"/>
        <v>77.84</v>
      </c>
      <c r="Y751">
        <f>VLOOKUP(D751,'[1]Cost Sheet'!$C:$D,2,0)</f>
        <v>78.48</v>
      </c>
      <c r="Z751" s="3">
        <f t="shared" si="23"/>
        <v>78.48</v>
      </c>
    </row>
    <row r="752" spans="1:26" x14ac:dyDescent="0.3">
      <c r="A752" s="7" t="s">
        <v>21</v>
      </c>
      <c r="B752" t="s">
        <v>389</v>
      </c>
      <c r="C752" t="s">
        <v>390</v>
      </c>
      <c r="D752" t="s">
        <v>391</v>
      </c>
      <c r="E752" t="s">
        <v>392</v>
      </c>
      <c r="F752" t="s">
        <v>26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 t="s">
        <v>46</v>
      </c>
      <c r="W752" s="2">
        <v>77.84</v>
      </c>
      <c r="X752" s="3">
        <f t="shared" si="22"/>
        <v>77.84</v>
      </c>
      <c r="Y752">
        <f>VLOOKUP(D752,'[1]Cost Sheet'!$C:$D,2,0)</f>
        <v>78.48</v>
      </c>
      <c r="Z752" s="3">
        <f t="shared" si="23"/>
        <v>78.48</v>
      </c>
    </row>
    <row r="753" spans="1:26" x14ac:dyDescent="0.3">
      <c r="A753" s="7" t="s">
        <v>21</v>
      </c>
      <c r="B753" t="s">
        <v>389</v>
      </c>
      <c r="C753" t="s">
        <v>390</v>
      </c>
      <c r="D753" t="s">
        <v>391</v>
      </c>
      <c r="E753" t="s">
        <v>392</v>
      </c>
      <c r="F753" t="s">
        <v>26</v>
      </c>
      <c r="G753">
        <v>36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</v>
      </c>
      <c r="T753">
        <v>0</v>
      </c>
      <c r="U753" t="s">
        <v>40</v>
      </c>
      <c r="W753" s="2">
        <v>77.84</v>
      </c>
      <c r="X753" s="3">
        <f t="shared" si="22"/>
        <v>2802.2400000000002</v>
      </c>
      <c r="Y753">
        <f>VLOOKUP(D753,'[1]Cost Sheet'!$C:$D,2,0)</f>
        <v>78.48</v>
      </c>
      <c r="Z753" s="3">
        <f t="shared" si="23"/>
        <v>2825.28</v>
      </c>
    </row>
    <row r="754" spans="1:26" x14ac:dyDescent="0.3">
      <c r="A754" s="7" t="s">
        <v>21</v>
      </c>
      <c r="B754" t="s">
        <v>389</v>
      </c>
      <c r="C754" t="s">
        <v>390</v>
      </c>
      <c r="D754" t="s">
        <v>391</v>
      </c>
      <c r="E754" t="s">
        <v>392</v>
      </c>
      <c r="F754" t="s">
        <v>26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 t="s">
        <v>59</v>
      </c>
      <c r="W754" s="2">
        <v>77.84</v>
      </c>
      <c r="X754" s="3">
        <f t="shared" si="22"/>
        <v>77.84</v>
      </c>
      <c r="Y754">
        <f>VLOOKUP(D754,'[1]Cost Sheet'!$C:$D,2,0)</f>
        <v>78.48</v>
      </c>
      <c r="Z754" s="3">
        <f t="shared" si="23"/>
        <v>78.48</v>
      </c>
    </row>
    <row r="755" spans="1:26" x14ac:dyDescent="0.3">
      <c r="A755" s="7" t="s">
        <v>21</v>
      </c>
      <c r="B755" t="s">
        <v>393</v>
      </c>
      <c r="C755" t="s">
        <v>394</v>
      </c>
      <c r="D755" t="s">
        <v>395</v>
      </c>
      <c r="E755" t="s">
        <v>396</v>
      </c>
      <c r="F755" t="s">
        <v>26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 t="s">
        <v>38</v>
      </c>
      <c r="W755" s="2">
        <v>77.84</v>
      </c>
      <c r="X755" s="3">
        <f t="shared" si="22"/>
        <v>77.84</v>
      </c>
      <c r="Y755">
        <f>VLOOKUP(D755,'[1]Cost Sheet'!$C:$D,2,0)</f>
        <v>78.87</v>
      </c>
      <c r="Z755" s="3">
        <f t="shared" si="23"/>
        <v>78.87</v>
      </c>
    </row>
    <row r="756" spans="1:26" x14ac:dyDescent="0.3">
      <c r="A756" s="7" t="s">
        <v>21</v>
      </c>
      <c r="B756" t="s">
        <v>393</v>
      </c>
      <c r="C756" t="s">
        <v>394</v>
      </c>
      <c r="D756" t="s">
        <v>395</v>
      </c>
      <c r="E756" t="s">
        <v>396</v>
      </c>
      <c r="F756" t="s">
        <v>26</v>
      </c>
      <c r="G756">
        <v>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4</v>
      </c>
      <c r="T756">
        <v>0</v>
      </c>
      <c r="U756" t="s">
        <v>32</v>
      </c>
      <c r="W756" s="2">
        <v>77.84</v>
      </c>
      <c r="X756" s="3">
        <f t="shared" si="22"/>
        <v>311.36</v>
      </c>
      <c r="Y756">
        <f>VLOOKUP(D756,'[1]Cost Sheet'!$C:$D,2,0)</f>
        <v>78.87</v>
      </c>
      <c r="Z756" s="3">
        <f t="shared" si="23"/>
        <v>315.48</v>
      </c>
    </row>
    <row r="757" spans="1:26" x14ac:dyDescent="0.3">
      <c r="A757" s="7" t="s">
        <v>21</v>
      </c>
      <c r="B757" t="s">
        <v>393</v>
      </c>
      <c r="C757" t="s">
        <v>394</v>
      </c>
      <c r="D757" t="s">
        <v>395</v>
      </c>
      <c r="E757" t="s">
        <v>396</v>
      </c>
      <c r="F757" t="s">
        <v>26</v>
      </c>
      <c r="G757">
        <v>0</v>
      </c>
      <c r="H757">
        <v>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109</v>
      </c>
      <c r="W757" s="2">
        <v>77.84</v>
      </c>
      <c r="X757" s="3">
        <f t="shared" si="22"/>
        <v>0</v>
      </c>
      <c r="Y757">
        <f>VLOOKUP(D757,'[1]Cost Sheet'!$C:$D,2,0)</f>
        <v>78.87</v>
      </c>
      <c r="Z757" s="3">
        <f t="shared" si="23"/>
        <v>0</v>
      </c>
    </row>
    <row r="758" spans="1:26" x14ac:dyDescent="0.3">
      <c r="A758" s="7" t="s">
        <v>21</v>
      </c>
      <c r="B758" t="s">
        <v>393</v>
      </c>
      <c r="C758" t="s">
        <v>394</v>
      </c>
      <c r="D758" t="s">
        <v>395</v>
      </c>
      <c r="E758" t="s">
        <v>396</v>
      </c>
      <c r="F758" t="s">
        <v>26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 t="s">
        <v>46</v>
      </c>
      <c r="W758" s="2">
        <v>77.84</v>
      </c>
      <c r="X758" s="3">
        <f t="shared" si="22"/>
        <v>77.84</v>
      </c>
      <c r="Y758">
        <f>VLOOKUP(D758,'[1]Cost Sheet'!$C:$D,2,0)</f>
        <v>78.87</v>
      </c>
      <c r="Z758" s="3">
        <f t="shared" si="23"/>
        <v>78.87</v>
      </c>
    </row>
    <row r="759" spans="1:26" x14ac:dyDescent="0.3">
      <c r="A759" s="7" t="s">
        <v>21</v>
      </c>
      <c r="B759" t="s">
        <v>393</v>
      </c>
      <c r="C759" t="s">
        <v>394</v>
      </c>
      <c r="D759" t="s">
        <v>395</v>
      </c>
      <c r="E759" t="s">
        <v>396</v>
      </c>
      <c r="F759" t="s">
        <v>26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2</v>
      </c>
      <c r="T759">
        <v>0</v>
      </c>
      <c r="U759" t="s">
        <v>47</v>
      </c>
      <c r="W759" s="2">
        <v>77.84</v>
      </c>
      <c r="X759" s="3">
        <f t="shared" si="22"/>
        <v>155.68</v>
      </c>
      <c r="Y759">
        <f>VLOOKUP(D759,'[1]Cost Sheet'!$C:$D,2,0)</f>
        <v>78.87</v>
      </c>
      <c r="Z759" s="3">
        <f t="shared" si="23"/>
        <v>157.74</v>
      </c>
    </row>
    <row r="760" spans="1:26" x14ac:dyDescent="0.3">
      <c r="A760" s="7" t="s">
        <v>21</v>
      </c>
      <c r="B760" t="s">
        <v>393</v>
      </c>
      <c r="C760" t="s">
        <v>394</v>
      </c>
      <c r="D760" t="s">
        <v>395</v>
      </c>
      <c r="E760" t="s">
        <v>396</v>
      </c>
      <c r="F760" t="s">
        <v>26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4</v>
      </c>
      <c r="T760">
        <v>0</v>
      </c>
      <c r="U760" t="s">
        <v>40</v>
      </c>
      <c r="W760" s="2">
        <v>77.84</v>
      </c>
      <c r="X760" s="3">
        <f t="shared" si="22"/>
        <v>311.36</v>
      </c>
      <c r="Y760">
        <f>VLOOKUP(D760,'[1]Cost Sheet'!$C:$D,2,0)</f>
        <v>78.87</v>
      </c>
      <c r="Z760" s="3">
        <f t="shared" si="23"/>
        <v>315.48</v>
      </c>
    </row>
    <row r="761" spans="1:26" x14ac:dyDescent="0.3">
      <c r="A761" s="7" t="s">
        <v>21</v>
      </c>
      <c r="B761" t="s">
        <v>393</v>
      </c>
      <c r="C761" t="s">
        <v>394</v>
      </c>
      <c r="D761" t="s">
        <v>395</v>
      </c>
      <c r="E761" t="s">
        <v>396</v>
      </c>
      <c r="F761" t="s">
        <v>26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4</v>
      </c>
      <c r="T761">
        <v>0</v>
      </c>
      <c r="U761" t="s">
        <v>113</v>
      </c>
      <c r="W761" s="2">
        <v>77.84</v>
      </c>
      <c r="X761" s="3">
        <f t="shared" si="22"/>
        <v>311.36</v>
      </c>
      <c r="Y761">
        <f>VLOOKUP(D761,'[1]Cost Sheet'!$C:$D,2,0)</f>
        <v>78.87</v>
      </c>
      <c r="Z761" s="3">
        <f t="shared" si="23"/>
        <v>315.48</v>
      </c>
    </row>
    <row r="762" spans="1:26" x14ac:dyDescent="0.3">
      <c r="A762" s="7" t="s">
        <v>21</v>
      </c>
      <c r="B762" t="s">
        <v>393</v>
      </c>
      <c r="C762" t="s">
        <v>394</v>
      </c>
      <c r="D762" t="s">
        <v>395</v>
      </c>
      <c r="E762" t="s">
        <v>396</v>
      </c>
      <c r="F762" t="s">
        <v>26</v>
      </c>
      <c r="G762">
        <v>1</v>
      </c>
      <c r="H762">
        <v>0</v>
      </c>
      <c r="I762">
        <v>0</v>
      </c>
      <c r="J762">
        <v>-1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s">
        <v>48</v>
      </c>
      <c r="W762" s="2">
        <v>77.84</v>
      </c>
      <c r="X762" s="3">
        <f t="shared" si="22"/>
        <v>0</v>
      </c>
      <c r="Y762">
        <f>VLOOKUP(D762,'[1]Cost Sheet'!$C:$D,2,0)</f>
        <v>78.87</v>
      </c>
      <c r="Z762" s="3">
        <f t="shared" si="23"/>
        <v>0</v>
      </c>
    </row>
    <row r="763" spans="1:26" x14ac:dyDescent="0.3">
      <c r="A763" s="7" t="s">
        <v>21</v>
      </c>
      <c r="B763" t="s">
        <v>393</v>
      </c>
      <c r="C763" t="s">
        <v>394</v>
      </c>
      <c r="D763" t="s">
        <v>395</v>
      </c>
      <c r="E763" t="s">
        <v>396</v>
      </c>
      <c r="F763" t="s">
        <v>26</v>
      </c>
      <c r="G763">
        <v>4</v>
      </c>
      <c r="H763">
        <v>0</v>
      </c>
      <c r="I763">
        <v>0</v>
      </c>
      <c r="J763">
        <v>-1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3</v>
      </c>
      <c r="T763">
        <v>0</v>
      </c>
      <c r="U763" t="s">
        <v>59</v>
      </c>
      <c r="W763" s="2">
        <v>77.84</v>
      </c>
      <c r="X763" s="3">
        <f t="shared" si="22"/>
        <v>233.52</v>
      </c>
      <c r="Y763">
        <f>VLOOKUP(D763,'[1]Cost Sheet'!$C:$D,2,0)</f>
        <v>78.87</v>
      </c>
      <c r="Z763" s="3">
        <f t="shared" si="23"/>
        <v>236.61</v>
      </c>
    </row>
    <row r="764" spans="1:26" x14ac:dyDescent="0.3">
      <c r="A764" s="7" t="s">
        <v>21</v>
      </c>
      <c r="B764" t="s">
        <v>393</v>
      </c>
      <c r="C764" t="s">
        <v>394</v>
      </c>
      <c r="D764" t="s">
        <v>395</v>
      </c>
      <c r="E764" t="s">
        <v>396</v>
      </c>
      <c r="F764" t="s">
        <v>26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4</v>
      </c>
      <c r="T764">
        <v>0</v>
      </c>
      <c r="U764" t="s">
        <v>27</v>
      </c>
      <c r="W764" s="2">
        <v>77.84</v>
      </c>
      <c r="X764" s="3">
        <f t="shared" si="22"/>
        <v>311.36</v>
      </c>
      <c r="Y764">
        <f>VLOOKUP(D764,'[1]Cost Sheet'!$C:$D,2,0)</f>
        <v>78.87</v>
      </c>
      <c r="Z764" s="3">
        <f t="shared" si="23"/>
        <v>315.48</v>
      </c>
    </row>
    <row r="765" spans="1:26" x14ac:dyDescent="0.3">
      <c r="A765" s="7" t="s">
        <v>21</v>
      </c>
      <c r="B765" t="s">
        <v>397</v>
      </c>
      <c r="C765" t="s">
        <v>398</v>
      </c>
      <c r="D765" t="s">
        <v>399</v>
      </c>
      <c r="E765" t="s">
        <v>400</v>
      </c>
      <c r="F765" t="s">
        <v>26</v>
      </c>
      <c r="G765">
        <v>35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35</v>
      </c>
      <c r="T765">
        <v>0</v>
      </c>
      <c r="U765" t="s">
        <v>38</v>
      </c>
      <c r="W765" s="2">
        <v>87.9</v>
      </c>
      <c r="X765" s="3">
        <f t="shared" si="22"/>
        <v>3076.5</v>
      </c>
      <c r="Y765">
        <f>VLOOKUP(D765,'[1]Cost Sheet'!$C:$D,2,0)</f>
        <v>87.9</v>
      </c>
      <c r="Z765" s="3">
        <f t="shared" si="23"/>
        <v>3076.5</v>
      </c>
    </row>
    <row r="766" spans="1:26" x14ac:dyDescent="0.3">
      <c r="A766" s="7" t="s">
        <v>21</v>
      </c>
      <c r="B766" t="s">
        <v>397</v>
      </c>
      <c r="C766" t="s">
        <v>398</v>
      </c>
      <c r="D766" t="s">
        <v>399</v>
      </c>
      <c r="E766" t="s">
        <v>400</v>
      </c>
      <c r="F766" t="s">
        <v>26</v>
      </c>
      <c r="G766">
        <v>10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10</v>
      </c>
      <c r="T766">
        <v>0</v>
      </c>
      <c r="U766" t="s">
        <v>45</v>
      </c>
      <c r="W766" s="2">
        <v>87.9</v>
      </c>
      <c r="X766" s="3">
        <f t="shared" si="22"/>
        <v>879</v>
      </c>
      <c r="Y766">
        <f>VLOOKUP(D766,'[1]Cost Sheet'!$C:$D,2,0)</f>
        <v>87.9</v>
      </c>
      <c r="Z766" s="3">
        <f t="shared" si="23"/>
        <v>879</v>
      </c>
    </row>
    <row r="767" spans="1:26" x14ac:dyDescent="0.3">
      <c r="A767" s="7" t="s">
        <v>21</v>
      </c>
      <c r="B767" t="s">
        <v>397</v>
      </c>
      <c r="C767" t="s">
        <v>398</v>
      </c>
      <c r="D767" t="s">
        <v>399</v>
      </c>
      <c r="E767" t="s">
        <v>400</v>
      </c>
      <c r="F767" t="s">
        <v>26</v>
      </c>
      <c r="G767">
        <v>25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25</v>
      </c>
      <c r="T767">
        <v>0</v>
      </c>
      <c r="U767" t="s">
        <v>39</v>
      </c>
      <c r="W767" s="2">
        <v>87.9</v>
      </c>
      <c r="X767" s="3">
        <f t="shared" si="22"/>
        <v>2197.5</v>
      </c>
      <c r="Y767">
        <f>VLOOKUP(D767,'[1]Cost Sheet'!$C:$D,2,0)</f>
        <v>87.9</v>
      </c>
      <c r="Z767" s="3">
        <f t="shared" si="23"/>
        <v>2197.5</v>
      </c>
    </row>
    <row r="768" spans="1:26" x14ac:dyDescent="0.3">
      <c r="A768" s="7" t="s">
        <v>21</v>
      </c>
      <c r="B768" t="s">
        <v>397</v>
      </c>
      <c r="C768" t="s">
        <v>398</v>
      </c>
      <c r="D768" t="s">
        <v>399</v>
      </c>
      <c r="E768" t="s">
        <v>400</v>
      </c>
      <c r="F768" t="s">
        <v>26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 t="s">
        <v>53</v>
      </c>
      <c r="W768" s="2">
        <v>87.9</v>
      </c>
      <c r="X768" s="3">
        <f t="shared" si="22"/>
        <v>87.9</v>
      </c>
      <c r="Y768">
        <f>VLOOKUP(D768,'[1]Cost Sheet'!$C:$D,2,0)</f>
        <v>87.9</v>
      </c>
      <c r="Z768" s="3">
        <f t="shared" si="23"/>
        <v>87.9</v>
      </c>
    </row>
    <row r="769" spans="1:26" x14ac:dyDescent="0.3">
      <c r="A769" s="7" t="s">
        <v>21</v>
      </c>
      <c r="B769" t="s">
        <v>397</v>
      </c>
      <c r="C769" t="s">
        <v>398</v>
      </c>
      <c r="D769" t="s">
        <v>399</v>
      </c>
      <c r="E769" t="s">
        <v>400</v>
      </c>
      <c r="F769" t="s">
        <v>26</v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5</v>
      </c>
      <c r="T769">
        <v>0</v>
      </c>
      <c r="U769" t="s">
        <v>54</v>
      </c>
      <c r="W769" s="2">
        <v>87.9</v>
      </c>
      <c r="X769" s="3">
        <f t="shared" si="22"/>
        <v>439.5</v>
      </c>
      <c r="Y769">
        <f>VLOOKUP(D769,'[1]Cost Sheet'!$C:$D,2,0)</f>
        <v>87.9</v>
      </c>
      <c r="Z769" s="3">
        <f t="shared" si="23"/>
        <v>439.5</v>
      </c>
    </row>
    <row r="770" spans="1:26" x14ac:dyDescent="0.3">
      <c r="A770" s="7" t="s">
        <v>21</v>
      </c>
      <c r="B770" t="s">
        <v>397</v>
      </c>
      <c r="C770" t="s">
        <v>398</v>
      </c>
      <c r="D770" t="s">
        <v>399</v>
      </c>
      <c r="E770" t="s">
        <v>400</v>
      </c>
      <c r="F770" t="s">
        <v>26</v>
      </c>
      <c r="G770">
        <v>19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19</v>
      </c>
      <c r="T770">
        <v>0</v>
      </c>
      <c r="U770" t="s">
        <v>46</v>
      </c>
      <c r="W770" s="2">
        <v>87.9</v>
      </c>
      <c r="X770" s="3">
        <f t="shared" si="22"/>
        <v>1670.1000000000001</v>
      </c>
      <c r="Y770">
        <f>VLOOKUP(D770,'[1]Cost Sheet'!$C:$D,2,0)</f>
        <v>87.9</v>
      </c>
      <c r="Z770" s="3">
        <f t="shared" si="23"/>
        <v>1670.1000000000001</v>
      </c>
    </row>
    <row r="771" spans="1:26" x14ac:dyDescent="0.3">
      <c r="A771" s="7" t="s">
        <v>21</v>
      </c>
      <c r="B771" t="s">
        <v>397</v>
      </c>
      <c r="C771" t="s">
        <v>398</v>
      </c>
      <c r="D771" t="s">
        <v>399</v>
      </c>
      <c r="E771" t="s">
        <v>400</v>
      </c>
      <c r="F771" t="s">
        <v>26</v>
      </c>
      <c r="G771">
        <v>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5</v>
      </c>
      <c r="T771">
        <v>0</v>
      </c>
      <c r="U771" t="s">
        <v>59</v>
      </c>
      <c r="W771" s="2">
        <v>87.9</v>
      </c>
      <c r="X771" s="3">
        <f t="shared" ref="X771:X834" si="24">S771*W771</f>
        <v>439.5</v>
      </c>
      <c r="Y771">
        <f>VLOOKUP(D771,'[1]Cost Sheet'!$C:$D,2,0)</f>
        <v>87.9</v>
      </c>
      <c r="Z771" s="3">
        <f t="shared" ref="Z771:Z834" si="25">Y771*S771</f>
        <v>439.5</v>
      </c>
    </row>
    <row r="772" spans="1:26" x14ac:dyDescent="0.3">
      <c r="A772" s="7" t="s">
        <v>21</v>
      </c>
      <c r="B772" t="s">
        <v>401</v>
      </c>
      <c r="C772" t="s">
        <v>402</v>
      </c>
      <c r="D772" t="s">
        <v>403</v>
      </c>
      <c r="E772" t="s">
        <v>404</v>
      </c>
      <c r="F772" t="s">
        <v>106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 t="s">
        <v>33</v>
      </c>
      <c r="W772" s="2">
        <v>78.575999999999993</v>
      </c>
      <c r="X772" s="3">
        <f t="shared" si="24"/>
        <v>78.575999999999993</v>
      </c>
      <c r="Y772">
        <f>VLOOKUP(D772,'[1]Cost Sheet'!$C:$D,2,0)</f>
        <v>78.59</v>
      </c>
      <c r="Z772" s="3">
        <f t="shared" si="25"/>
        <v>78.59</v>
      </c>
    </row>
    <row r="773" spans="1:26" x14ac:dyDescent="0.3">
      <c r="A773" s="7" t="s">
        <v>21</v>
      </c>
      <c r="B773" t="s">
        <v>401</v>
      </c>
      <c r="C773" t="s">
        <v>402</v>
      </c>
      <c r="D773" t="s">
        <v>403</v>
      </c>
      <c r="E773" t="s">
        <v>404</v>
      </c>
      <c r="F773" t="s">
        <v>106</v>
      </c>
      <c r="G773">
        <v>7</v>
      </c>
      <c r="H773">
        <v>0</v>
      </c>
      <c r="I773">
        <v>0</v>
      </c>
      <c r="J773">
        <v>0</v>
      </c>
      <c r="K773">
        <v>0</v>
      </c>
      <c r="L773">
        <v>-3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4</v>
      </c>
      <c r="T773">
        <v>0</v>
      </c>
      <c r="U773" t="s">
        <v>46</v>
      </c>
      <c r="W773" s="2">
        <v>78.575999999999993</v>
      </c>
      <c r="X773" s="3">
        <f t="shared" si="24"/>
        <v>314.30399999999997</v>
      </c>
      <c r="Y773">
        <f>VLOOKUP(D773,'[1]Cost Sheet'!$C:$D,2,0)</f>
        <v>78.59</v>
      </c>
      <c r="Z773" s="3">
        <f t="shared" si="25"/>
        <v>314.36</v>
      </c>
    </row>
    <row r="774" spans="1:26" x14ac:dyDescent="0.3">
      <c r="A774" s="7" t="s">
        <v>21</v>
      </c>
      <c r="B774" t="s">
        <v>401</v>
      </c>
      <c r="C774" t="s">
        <v>402</v>
      </c>
      <c r="D774" t="s">
        <v>403</v>
      </c>
      <c r="E774" t="s">
        <v>404</v>
      </c>
      <c r="F774" t="s">
        <v>106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 t="s">
        <v>48</v>
      </c>
      <c r="W774" s="2">
        <v>78.575999999999993</v>
      </c>
      <c r="X774" s="3">
        <f t="shared" si="24"/>
        <v>78.575999999999993</v>
      </c>
      <c r="Y774">
        <f>VLOOKUP(D774,'[1]Cost Sheet'!$C:$D,2,0)</f>
        <v>78.59</v>
      </c>
      <c r="Z774" s="3">
        <f t="shared" si="25"/>
        <v>78.59</v>
      </c>
    </row>
    <row r="775" spans="1:26" x14ac:dyDescent="0.3">
      <c r="A775" s="7" t="s">
        <v>21</v>
      </c>
      <c r="B775" t="s">
        <v>401</v>
      </c>
      <c r="C775" t="s">
        <v>402</v>
      </c>
      <c r="D775" t="s">
        <v>403</v>
      </c>
      <c r="E775" t="s">
        <v>404</v>
      </c>
      <c r="F775" t="s">
        <v>93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 t="s">
        <v>59</v>
      </c>
      <c r="W775" s="2">
        <v>78.575999999999993</v>
      </c>
      <c r="X775" s="3">
        <f t="shared" si="24"/>
        <v>78.575999999999993</v>
      </c>
      <c r="Y775">
        <f>VLOOKUP(D775,'[1]Cost Sheet'!$C:$D,2,0)</f>
        <v>78.59</v>
      </c>
      <c r="Z775" s="3">
        <f t="shared" si="25"/>
        <v>78.59</v>
      </c>
    </row>
    <row r="776" spans="1:26" x14ac:dyDescent="0.3">
      <c r="A776" s="7" t="s">
        <v>21</v>
      </c>
      <c r="B776" t="s">
        <v>401</v>
      </c>
      <c r="C776" t="s">
        <v>402</v>
      </c>
      <c r="D776" t="s">
        <v>403</v>
      </c>
      <c r="E776" t="s">
        <v>404</v>
      </c>
      <c r="F776" t="s">
        <v>26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 t="s">
        <v>151</v>
      </c>
      <c r="W776" s="2">
        <v>78.575999999999993</v>
      </c>
      <c r="X776" s="3">
        <f t="shared" si="24"/>
        <v>78.575999999999993</v>
      </c>
      <c r="Y776">
        <f>VLOOKUP(D776,'[1]Cost Sheet'!$C:$D,2,0)</f>
        <v>78.59</v>
      </c>
      <c r="Z776" s="3">
        <f t="shared" si="25"/>
        <v>78.59</v>
      </c>
    </row>
    <row r="777" spans="1:26" x14ac:dyDescent="0.3">
      <c r="A777" s="7" t="s">
        <v>21</v>
      </c>
      <c r="B777" t="s">
        <v>401</v>
      </c>
      <c r="C777" t="s">
        <v>402</v>
      </c>
      <c r="D777" t="s">
        <v>403</v>
      </c>
      <c r="E777" t="s">
        <v>404</v>
      </c>
      <c r="F777" t="s">
        <v>26</v>
      </c>
      <c r="G777">
        <v>17</v>
      </c>
      <c r="H777">
        <v>0</v>
      </c>
      <c r="I777">
        <v>0</v>
      </c>
      <c r="J777">
        <v>-4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13</v>
      </c>
      <c r="T777">
        <v>0</v>
      </c>
      <c r="U777" t="s">
        <v>45</v>
      </c>
      <c r="W777" s="2">
        <v>78.575999999999993</v>
      </c>
      <c r="X777" s="3">
        <f t="shared" si="24"/>
        <v>1021.4879999999999</v>
      </c>
      <c r="Y777">
        <f>VLOOKUP(D777,'[1]Cost Sheet'!$C:$D,2,0)</f>
        <v>78.59</v>
      </c>
      <c r="Z777" s="3">
        <f t="shared" si="25"/>
        <v>1021.6700000000001</v>
      </c>
    </row>
    <row r="778" spans="1:26" x14ac:dyDescent="0.3">
      <c r="A778" s="7" t="s">
        <v>21</v>
      </c>
      <c r="B778" t="s">
        <v>401</v>
      </c>
      <c r="C778" t="s">
        <v>402</v>
      </c>
      <c r="D778" t="s">
        <v>403</v>
      </c>
      <c r="E778" t="s">
        <v>404</v>
      </c>
      <c r="F778" t="s">
        <v>26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0</v>
      </c>
      <c r="U778" t="s">
        <v>39</v>
      </c>
      <c r="W778" s="2">
        <v>78.575999999999993</v>
      </c>
      <c r="X778" s="3">
        <f t="shared" si="24"/>
        <v>235.72799999999998</v>
      </c>
      <c r="Y778">
        <f>VLOOKUP(D778,'[1]Cost Sheet'!$C:$D,2,0)</f>
        <v>78.59</v>
      </c>
      <c r="Z778" s="3">
        <f t="shared" si="25"/>
        <v>235.77</v>
      </c>
    </row>
    <row r="779" spans="1:26" x14ac:dyDescent="0.3">
      <c r="A779" s="7" t="s">
        <v>21</v>
      </c>
      <c r="B779" t="s">
        <v>401</v>
      </c>
      <c r="C779" t="s">
        <v>402</v>
      </c>
      <c r="D779" t="s">
        <v>403</v>
      </c>
      <c r="E779" t="s">
        <v>404</v>
      </c>
      <c r="F779" t="s">
        <v>26</v>
      </c>
      <c r="G779">
        <v>18</v>
      </c>
      <c r="H779">
        <v>0</v>
      </c>
      <c r="I779">
        <v>0</v>
      </c>
      <c r="J779">
        <v>-1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17</v>
      </c>
      <c r="T779">
        <v>0</v>
      </c>
      <c r="U779" t="s">
        <v>53</v>
      </c>
      <c r="W779" s="2">
        <v>78.575999999999993</v>
      </c>
      <c r="X779" s="3">
        <f t="shared" si="24"/>
        <v>1335.7919999999999</v>
      </c>
      <c r="Y779">
        <f>VLOOKUP(D779,'[1]Cost Sheet'!$C:$D,2,0)</f>
        <v>78.59</v>
      </c>
      <c r="Z779" s="3">
        <f t="shared" si="25"/>
        <v>1336.03</v>
      </c>
    </row>
    <row r="780" spans="1:26" x14ac:dyDescent="0.3">
      <c r="A780" s="7" t="s">
        <v>21</v>
      </c>
      <c r="B780" t="s">
        <v>401</v>
      </c>
      <c r="C780" t="s">
        <v>402</v>
      </c>
      <c r="D780" t="s">
        <v>403</v>
      </c>
      <c r="E780" t="s">
        <v>404</v>
      </c>
      <c r="F780" t="s">
        <v>26</v>
      </c>
      <c r="G780">
        <v>38</v>
      </c>
      <c r="H780">
        <v>0</v>
      </c>
      <c r="I780">
        <v>0</v>
      </c>
      <c r="J780">
        <v>-2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36</v>
      </c>
      <c r="T780">
        <v>0</v>
      </c>
      <c r="U780" t="s">
        <v>54</v>
      </c>
      <c r="W780" s="2">
        <v>78.575999999999993</v>
      </c>
      <c r="X780" s="3">
        <f t="shared" si="24"/>
        <v>2828.7359999999999</v>
      </c>
      <c r="Y780">
        <f>VLOOKUP(D780,'[1]Cost Sheet'!$C:$D,2,0)</f>
        <v>78.59</v>
      </c>
      <c r="Z780" s="3">
        <f t="shared" si="25"/>
        <v>2829.2400000000002</v>
      </c>
    </row>
    <row r="781" spans="1:26" x14ac:dyDescent="0.3">
      <c r="A781" s="7" t="s">
        <v>21</v>
      </c>
      <c r="B781" t="s">
        <v>401</v>
      </c>
      <c r="C781" t="s">
        <v>402</v>
      </c>
      <c r="D781" t="s">
        <v>403</v>
      </c>
      <c r="E781" t="s">
        <v>404</v>
      </c>
      <c r="F781" t="s">
        <v>26</v>
      </c>
      <c r="G781">
        <v>2</v>
      </c>
      <c r="H781">
        <v>0</v>
      </c>
      <c r="I781">
        <v>0</v>
      </c>
      <c r="J781">
        <v>-1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 t="s">
        <v>32</v>
      </c>
      <c r="W781" s="2">
        <v>78.575999999999993</v>
      </c>
      <c r="X781" s="3">
        <f t="shared" si="24"/>
        <v>78.575999999999993</v>
      </c>
      <c r="Y781">
        <f>VLOOKUP(D781,'[1]Cost Sheet'!$C:$D,2,0)</f>
        <v>78.59</v>
      </c>
      <c r="Z781" s="3">
        <f t="shared" si="25"/>
        <v>78.59</v>
      </c>
    </row>
    <row r="782" spans="1:26" x14ac:dyDescent="0.3">
      <c r="A782" s="7" t="s">
        <v>21</v>
      </c>
      <c r="B782" t="s">
        <v>401</v>
      </c>
      <c r="C782" t="s">
        <v>402</v>
      </c>
      <c r="D782" t="s">
        <v>403</v>
      </c>
      <c r="E782" t="s">
        <v>404</v>
      </c>
      <c r="F782" t="s">
        <v>26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</v>
      </c>
      <c r="T782">
        <v>0</v>
      </c>
      <c r="U782" t="s">
        <v>33</v>
      </c>
      <c r="W782" s="2">
        <v>78.575999999999993</v>
      </c>
      <c r="X782" s="3">
        <f t="shared" si="24"/>
        <v>235.72799999999998</v>
      </c>
      <c r="Y782">
        <f>VLOOKUP(D782,'[1]Cost Sheet'!$C:$D,2,0)</f>
        <v>78.59</v>
      </c>
      <c r="Z782" s="3">
        <f t="shared" si="25"/>
        <v>235.77</v>
      </c>
    </row>
    <row r="783" spans="1:26" x14ac:dyDescent="0.3">
      <c r="A783" s="7" t="s">
        <v>21</v>
      </c>
      <c r="B783" t="s">
        <v>401</v>
      </c>
      <c r="C783" t="s">
        <v>402</v>
      </c>
      <c r="D783" t="s">
        <v>403</v>
      </c>
      <c r="E783" t="s">
        <v>404</v>
      </c>
      <c r="F783" t="s">
        <v>26</v>
      </c>
      <c r="G783">
        <v>3</v>
      </c>
      <c r="H783">
        <v>0</v>
      </c>
      <c r="I783">
        <v>0</v>
      </c>
      <c r="J783">
        <v>-1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2</v>
      </c>
      <c r="T783">
        <v>0</v>
      </c>
      <c r="U783" t="s">
        <v>46</v>
      </c>
      <c r="W783" s="2">
        <v>78.575999999999993</v>
      </c>
      <c r="X783" s="3">
        <f t="shared" si="24"/>
        <v>157.15199999999999</v>
      </c>
      <c r="Y783">
        <f>VLOOKUP(D783,'[1]Cost Sheet'!$C:$D,2,0)</f>
        <v>78.59</v>
      </c>
      <c r="Z783" s="3">
        <f t="shared" si="25"/>
        <v>157.18</v>
      </c>
    </row>
    <row r="784" spans="1:26" x14ac:dyDescent="0.3">
      <c r="A784" s="7" t="s">
        <v>21</v>
      </c>
      <c r="B784" t="s">
        <v>401</v>
      </c>
      <c r="C784" t="s">
        <v>402</v>
      </c>
      <c r="D784" t="s">
        <v>403</v>
      </c>
      <c r="E784" t="s">
        <v>404</v>
      </c>
      <c r="F784" t="s">
        <v>26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 t="s">
        <v>47</v>
      </c>
      <c r="W784" s="2">
        <v>78.575999999999993</v>
      </c>
      <c r="X784" s="3">
        <f t="shared" si="24"/>
        <v>78.575999999999993</v>
      </c>
      <c r="Y784">
        <f>VLOOKUP(D784,'[1]Cost Sheet'!$C:$D,2,0)</f>
        <v>78.59</v>
      </c>
      <c r="Z784" s="3">
        <f t="shared" si="25"/>
        <v>78.59</v>
      </c>
    </row>
    <row r="785" spans="1:26" x14ac:dyDescent="0.3">
      <c r="A785" s="7" t="s">
        <v>21</v>
      </c>
      <c r="B785" t="s">
        <v>401</v>
      </c>
      <c r="C785" t="s">
        <v>402</v>
      </c>
      <c r="D785" t="s">
        <v>403</v>
      </c>
      <c r="E785" t="s">
        <v>404</v>
      </c>
      <c r="F785" t="s">
        <v>26</v>
      </c>
      <c r="G785">
        <v>60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60</v>
      </c>
      <c r="T785">
        <v>0</v>
      </c>
      <c r="U785" t="s">
        <v>40</v>
      </c>
      <c r="W785" s="2">
        <v>78.575999999999993</v>
      </c>
      <c r="X785" s="3">
        <f t="shared" si="24"/>
        <v>4714.5599999999995</v>
      </c>
      <c r="Y785">
        <f>VLOOKUP(D785,'[1]Cost Sheet'!$C:$D,2,0)</f>
        <v>78.59</v>
      </c>
      <c r="Z785" s="3">
        <f t="shared" si="25"/>
        <v>4715.4000000000005</v>
      </c>
    </row>
    <row r="786" spans="1:26" x14ac:dyDescent="0.3">
      <c r="A786" s="7" t="s">
        <v>21</v>
      </c>
      <c r="B786" t="s">
        <v>401</v>
      </c>
      <c r="C786" t="s">
        <v>402</v>
      </c>
      <c r="D786" t="s">
        <v>403</v>
      </c>
      <c r="E786" t="s">
        <v>404</v>
      </c>
      <c r="F786" t="s">
        <v>26</v>
      </c>
      <c r="G786">
        <v>0</v>
      </c>
      <c r="H786">
        <v>0</v>
      </c>
      <c r="I786">
        <v>0</v>
      </c>
      <c r="J786">
        <v>-1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113</v>
      </c>
      <c r="W786" s="2">
        <v>78.575999999999993</v>
      </c>
      <c r="X786" s="3">
        <f t="shared" si="24"/>
        <v>0</v>
      </c>
      <c r="Y786">
        <f>VLOOKUP(D786,'[1]Cost Sheet'!$C:$D,2,0)</f>
        <v>78.59</v>
      </c>
      <c r="Z786" s="3">
        <f t="shared" si="25"/>
        <v>0</v>
      </c>
    </row>
    <row r="787" spans="1:26" x14ac:dyDescent="0.3">
      <c r="A787" s="7" t="s">
        <v>21</v>
      </c>
      <c r="B787" t="s">
        <v>401</v>
      </c>
      <c r="C787" t="s">
        <v>402</v>
      </c>
      <c r="D787" t="s">
        <v>403</v>
      </c>
      <c r="E787" t="s">
        <v>404</v>
      </c>
      <c r="F787" t="s">
        <v>26</v>
      </c>
      <c r="G787">
        <v>42</v>
      </c>
      <c r="H787">
        <v>0</v>
      </c>
      <c r="I787">
        <v>0</v>
      </c>
      <c r="J787">
        <v>-2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40</v>
      </c>
      <c r="T787">
        <v>0</v>
      </c>
      <c r="U787" t="s">
        <v>48</v>
      </c>
      <c r="W787" s="2">
        <v>78.575999999999993</v>
      </c>
      <c r="X787" s="3">
        <f t="shared" si="24"/>
        <v>3143.04</v>
      </c>
      <c r="Y787">
        <f>VLOOKUP(D787,'[1]Cost Sheet'!$C:$D,2,0)</f>
        <v>78.59</v>
      </c>
      <c r="Z787" s="3">
        <f t="shared" si="25"/>
        <v>3143.6000000000004</v>
      </c>
    </row>
    <row r="788" spans="1:26" x14ac:dyDescent="0.3">
      <c r="A788" s="7" t="s">
        <v>21</v>
      </c>
      <c r="B788" t="s">
        <v>405</v>
      </c>
      <c r="C788" t="s">
        <v>406</v>
      </c>
      <c r="D788" t="s">
        <v>407</v>
      </c>
      <c r="E788" t="s">
        <v>408</v>
      </c>
      <c r="F788" t="s">
        <v>106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 t="s">
        <v>46</v>
      </c>
      <c r="W788" s="2">
        <v>77.84</v>
      </c>
      <c r="X788" s="3">
        <f t="shared" si="24"/>
        <v>77.84</v>
      </c>
      <c r="Y788">
        <f>VLOOKUP(D788,'[1]Cost Sheet'!$C:$D,2,0)</f>
        <v>79.14</v>
      </c>
      <c r="Z788" s="3">
        <f t="shared" si="25"/>
        <v>79.14</v>
      </c>
    </row>
    <row r="789" spans="1:26" x14ac:dyDescent="0.3">
      <c r="A789" s="7" t="s">
        <v>21</v>
      </c>
      <c r="B789" t="s">
        <v>405</v>
      </c>
      <c r="C789" t="s">
        <v>406</v>
      </c>
      <c r="D789" t="s">
        <v>407</v>
      </c>
      <c r="E789" t="s">
        <v>408</v>
      </c>
      <c r="F789" t="s">
        <v>26</v>
      </c>
      <c r="G789">
        <v>11</v>
      </c>
      <c r="H789">
        <v>0</v>
      </c>
      <c r="I789">
        <v>0</v>
      </c>
      <c r="J789">
        <v>-2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9</v>
      </c>
      <c r="T789">
        <v>0</v>
      </c>
      <c r="U789" t="s">
        <v>39</v>
      </c>
      <c r="W789" s="2">
        <v>77.84</v>
      </c>
      <c r="X789" s="3">
        <f t="shared" si="24"/>
        <v>700.56000000000006</v>
      </c>
      <c r="Y789">
        <f>VLOOKUP(D789,'[1]Cost Sheet'!$C:$D,2,0)</f>
        <v>79.14</v>
      </c>
      <c r="Z789" s="3">
        <f t="shared" si="25"/>
        <v>712.26</v>
      </c>
    </row>
    <row r="790" spans="1:26" x14ac:dyDescent="0.3">
      <c r="A790" s="7" t="s">
        <v>21</v>
      </c>
      <c r="B790" t="s">
        <v>409</v>
      </c>
      <c r="C790" t="s">
        <v>410</v>
      </c>
      <c r="D790" t="s">
        <v>411</v>
      </c>
      <c r="E790" t="s">
        <v>412</v>
      </c>
      <c r="F790" t="s">
        <v>106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3</v>
      </c>
      <c r="T790">
        <v>0</v>
      </c>
      <c r="U790" t="s">
        <v>38</v>
      </c>
      <c r="W790" s="2">
        <v>78.453333333333333</v>
      </c>
      <c r="X790" s="3">
        <f t="shared" si="24"/>
        <v>235.36</v>
      </c>
      <c r="Y790">
        <f>VLOOKUP(D790,'[1]Cost Sheet'!$C:$D,2,0)</f>
        <v>78.790000000000006</v>
      </c>
      <c r="Z790" s="3">
        <f t="shared" si="25"/>
        <v>236.37</v>
      </c>
    </row>
    <row r="791" spans="1:26" x14ac:dyDescent="0.3">
      <c r="A791" s="7" t="s">
        <v>21</v>
      </c>
      <c r="B791" t="s">
        <v>409</v>
      </c>
      <c r="C791" t="s">
        <v>410</v>
      </c>
      <c r="D791" t="s">
        <v>411</v>
      </c>
      <c r="E791" t="s">
        <v>412</v>
      </c>
      <c r="F791" t="s">
        <v>106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 t="s">
        <v>45</v>
      </c>
      <c r="W791" s="2">
        <v>78.453333333333333</v>
      </c>
      <c r="X791" s="3">
        <f t="shared" si="24"/>
        <v>78.453333333333333</v>
      </c>
      <c r="Y791">
        <f>VLOOKUP(D791,'[1]Cost Sheet'!$C:$D,2,0)</f>
        <v>78.790000000000006</v>
      </c>
      <c r="Z791" s="3">
        <f t="shared" si="25"/>
        <v>78.790000000000006</v>
      </c>
    </row>
    <row r="792" spans="1:26" x14ac:dyDescent="0.3">
      <c r="A792" s="7" t="s">
        <v>21</v>
      </c>
      <c r="B792" t="s">
        <v>413</v>
      </c>
      <c r="C792" t="s">
        <v>414</v>
      </c>
      <c r="D792" t="s">
        <v>415</v>
      </c>
      <c r="E792" t="s">
        <v>416</v>
      </c>
      <c r="F792" t="s">
        <v>125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 t="s">
        <v>54</v>
      </c>
      <c r="W792" s="2">
        <v>83.794500000000028</v>
      </c>
      <c r="X792" s="3">
        <f t="shared" si="24"/>
        <v>83.794500000000028</v>
      </c>
      <c r="Y792">
        <f>VLOOKUP(D792,'[1]Cost Sheet'!$C:$D,2,0)</f>
        <v>83.65</v>
      </c>
      <c r="Z792" s="3">
        <f t="shared" si="25"/>
        <v>83.65</v>
      </c>
    </row>
    <row r="793" spans="1:26" x14ac:dyDescent="0.3">
      <c r="A793" s="7" t="s">
        <v>21</v>
      </c>
      <c r="B793" t="s">
        <v>413</v>
      </c>
      <c r="C793" t="s">
        <v>414</v>
      </c>
      <c r="D793" t="s">
        <v>415</v>
      </c>
      <c r="E793" t="s">
        <v>416</v>
      </c>
      <c r="F793" t="s">
        <v>125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3</v>
      </c>
      <c r="T793">
        <v>0</v>
      </c>
      <c r="U793" t="s">
        <v>88</v>
      </c>
      <c r="W793" s="2">
        <v>83.794500000000028</v>
      </c>
      <c r="X793" s="3">
        <f t="shared" si="24"/>
        <v>251.38350000000008</v>
      </c>
      <c r="Y793">
        <f>VLOOKUP(D793,'[1]Cost Sheet'!$C:$D,2,0)</f>
        <v>83.65</v>
      </c>
      <c r="Z793" s="3">
        <f t="shared" si="25"/>
        <v>250.95000000000002</v>
      </c>
    </row>
    <row r="794" spans="1:26" x14ac:dyDescent="0.3">
      <c r="A794" s="7" t="s">
        <v>21</v>
      </c>
      <c r="B794" t="s">
        <v>413</v>
      </c>
      <c r="C794" t="s">
        <v>414</v>
      </c>
      <c r="D794" t="s">
        <v>415</v>
      </c>
      <c r="E794" t="s">
        <v>416</v>
      </c>
      <c r="F794" t="s">
        <v>169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-1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s">
        <v>151</v>
      </c>
      <c r="W794" s="2">
        <v>83.794500000000028</v>
      </c>
      <c r="X794" s="3">
        <f t="shared" si="24"/>
        <v>0</v>
      </c>
      <c r="Y794">
        <f>VLOOKUP(D794,'[1]Cost Sheet'!$C:$D,2,0)</f>
        <v>83.65</v>
      </c>
      <c r="Z794" s="3">
        <f t="shared" si="25"/>
        <v>0</v>
      </c>
    </row>
    <row r="795" spans="1:26" x14ac:dyDescent="0.3">
      <c r="A795" s="7" t="s">
        <v>21</v>
      </c>
      <c r="B795" t="s">
        <v>413</v>
      </c>
      <c r="C795" t="s">
        <v>414</v>
      </c>
      <c r="D795" t="s">
        <v>415</v>
      </c>
      <c r="E795" t="s">
        <v>416</v>
      </c>
      <c r="F795" t="s">
        <v>106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 t="s">
        <v>107</v>
      </c>
      <c r="W795" s="2">
        <v>83.794500000000028</v>
      </c>
      <c r="X795" s="3">
        <f t="shared" si="24"/>
        <v>83.794500000000028</v>
      </c>
      <c r="Y795">
        <f>VLOOKUP(D795,'[1]Cost Sheet'!$C:$D,2,0)</f>
        <v>83.65</v>
      </c>
      <c r="Z795" s="3">
        <f t="shared" si="25"/>
        <v>83.65</v>
      </c>
    </row>
    <row r="796" spans="1:26" x14ac:dyDescent="0.3">
      <c r="A796" s="7" t="s">
        <v>21</v>
      </c>
      <c r="B796" t="s">
        <v>413</v>
      </c>
      <c r="C796" t="s">
        <v>414</v>
      </c>
      <c r="D796" t="s">
        <v>415</v>
      </c>
      <c r="E796" t="s">
        <v>416</v>
      </c>
      <c r="F796" t="s">
        <v>106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 t="s">
        <v>40</v>
      </c>
      <c r="W796" s="2">
        <v>83.794500000000028</v>
      </c>
      <c r="X796" s="3">
        <f t="shared" si="24"/>
        <v>83.794500000000028</v>
      </c>
      <c r="Y796">
        <f>VLOOKUP(D796,'[1]Cost Sheet'!$C:$D,2,0)</f>
        <v>83.65</v>
      </c>
      <c r="Z796" s="3">
        <f t="shared" si="25"/>
        <v>83.65</v>
      </c>
    </row>
    <row r="797" spans="1:26" x14ac:dyDescent="0.3">
      <c r="A797" s="7" t="s">
        <v>21</v>
      </c>
      <c r="B797" t="s">
        <v>413</v>
      </c>
      <c r="C797" t="s">
        <v>414</v>
      </c>
      <c r="D797" t="s">
        <v>415</v>
      </c>
      <c r="E797" t="s">
        <v>416</v>
      </c>
      <c r="F797" t="s">
        <v>130</v>
      </c>
      <c r="G797">
        <v>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5</v>
      </c>
      <c r="T797">
        <v>0</v>
      </c>
      <c r="U797" t="s">
        <v>39</v>
      </c>
      <c r="W797" s="2">
        <v>83.794500000000028</v>
      </c>
      <c r="X797" s="3">
        <f t="shared" si="24"/>
        <v>418.97250000000014</v>
      </c>
      <c r="Y797">
        <f>VLOOKUP(D797,'[1]Cost Sheet'!$C:$D,2,0)</f>
        <v>83.65</v>
      </c>
      <c r="Z797" s="3">
        <f t="shared" si="25"/>
        <v>418.25</v>
      </c>
    </row>
    <row r="798" spans="1:26" x14ac:dyDescent="0.3">
      <c r="A798" s="7" t="s">
        <v>21</v>
      </c>
      <c r="B798" t="s">
        <v>413</v>
      </c>
      <c r="C798" t="s">
        <v>414</v>
      </c>
      <c r="D798" t="s">
        <v>415</v>
      </c>
      <c r="E798" t="s">
        <v>416</v>
      </c>
      <c r="F798" t="s">
        <v>93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0</v>
      </c>
      <c r="U798" t="s">
        <v>54</v>
      </c>
      <c r="W798" s="2">
        <v>83.794500000000028</v>
      </c>
      <c r="X798" s="3">
        <f t="shared" si="24"/>
        <v>83.794500000000028</v>
      </c>
      <c r="Y798">
        <f>VLOOKUP(D798,'[1]Cost Sheet'!$C:$D,2,0)</f>
        <v>83.65</v>
      </c>
      <c r="Z798" s="3">
        <f t="shared" si="25"/>
        <v>83.65</v>
      </c>
    </row>
    <row r="799" spans="1:26" x14ac:dyDescent="0.3">
      <c r="A799" s="7" t="s">
        <v>21</v>
      </c>
      <c r="B799" t="s">
        <v>413</v>
      </c>
      <c r="C799" t="s">
        <v>414</v>
      </c>
      <c r="D799" t="s">
        <v>415</v>
      </c>
      <c r="E799" t="s">
        <v>416</v>
      </c>
      <c r="F799" t="s">
        <v>26</v>
      </c>
      <c r="G799">
        <v>113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113</v>
      </c>
      <c r="T799">
        <v>0</v>
      </c>
      <c r="U799" t="s">
        <v>38</v>
      </c>
      <c r="W799" s="2">
        <v>83.794500000000028</v>
      </c>
      <c r="X799" s="3">
        <f t="shared" si="24"/>
        <v>9468.778500000004</v>
      </c>
      <c r="Y799">
        <f>VLOOKUP(D799,'[1]Cost Sheet'!$C:$D,2,0)</f>
        <v>83.65</v>
      </c>
      <c r="Z799" s="3">
        <f t="shared" si="25"/>
        <v>9452.4500000000007</v>
      </c>
    </row>
    <row r="800" spans="1:26" x14ac:dyDescent="0.3">
      <c r="A800" s="7" t="s">
        <v>21</v>
      </c>
      <c r="B800" t="s">
        <v>413</v>
      </c>
      <c r="C800" t="s">
        <v>414</v>
      </c>
      <c r="D800" t="s">
        <v>415</v>
      </c>
      <c r="E800" t="s">
        <v>416</v>
      </c>
      <c r="F800" t="s">
        <v>26</v>
      </c>
      <c r="G800">
        <v>438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60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498</v>
      </c>
      <c r="T800">
        <v>0</v>
      </c>
      <c r="U800" t="s">
        <v>107</v>
      </c>
      <c r="W800" s="2">
        <v>83.794500000000028</v>
      </c>
      <c r="X800" s="3">
        <f t="shared" si="24"/>
        <v>41729.661000000015</v>
      </c>
      <c r="Y800">
        <f>VLOOKUP(D800,'[1]Cost Sheet'!$C:$D,2,0)</f>
        <v>83.65</v>
      </c>
      <c r="Z800" s="3">
        <f t="shared" si="25"/>
        <v>41657.700000000004</v>
      </c>
    </row>
    <row r="801" spans="1:26" x14ac:dyDescent="0.3">
      <c r="A801" s="7" t="s">
        <v>21</v>
      </c>
      <c r="B801" t="s">
        <v>413</v>
      </c>
      <c r="C801" t="s">
        <v>414</v>
      </c>
      <c r="D801" t="s">
        <v>415</v>
      </c>
      <c r="E801" t="s">
        <v>416</v>
      </c>
      <c r="F801" t="s">
        <v>26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 t="s">
        <v>151</v>
      </c>
      <c r="W801" s="2">
        <v>83.794500000000028</v>
      </c>
      <c r="X801" s="3">
        <f t="shared" si="24"/>
        <v>83.794500000000028</v>
      </c>
      <c r="Y801">
        <f>VLOOKUP(D801,'[1]Cost Sheet'!$C:$D,2,0)</f>
        <v>83.65</v>
      </c>
      <c r="Z801" s="3">
        <f t="shared" si="25"/>
        <v>83.65</v>
      </c>
    </row>
    <row r="802" spans="1:26" x14ac:dyDescent="0.3">
      <c r="A802" s="7" t="s">
        <v>21</v>
      </c>
      <c r="B802" t="s">
        <v>413</v>
      </c>
      <c r="C802" t="s">
        <v>414</v>
      </c>
      <c r="D802" t="s">
        <v>415</v>
      </c>
      <c r="E802" t="s">
        <v>416</v>
      </c>
      <c r="F802" t="s">
        <v>26</v>
      </c>
      <c r="G802">
        <v>171</v>
      </c>
      <c r="H802">
        <v>0</v>
      </c>
      <c r="I802">
        <v>0</v>
      </c>
      <c r="J802">
        <v>-2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169</v>
      </c>
      <c r="T802">
        <v>0</v>
      </c>
      <c r="U802" t="s">
        <v>45</v>
      </c>
      <c r="W802" s="2">
        <v>83.794500000000028</v>
      </c>
      <c r="X802" s="3">
        <f t="shared" si="24"/>
        <v>14161.270500000004</v>
      </c>
      <c r="Y802">
        <f>VLOOKUP(D802,'[1]Cost Sheet'!$C:$D,2,0)</f>
        <v>83.65</v>
      </c>
      <c r="Z802" s="3">
        <f t="shared" si="25"/>
        <v>14136.85</v>
      </c>
    </row>
    <row r="803" spans="1:26" x14ac:dyDescent="0.3">
      <c r="A803" s="7" t="s">
        <v>21</v>
      </c>
      <c r="B803" t="s">
        <v>413</v>
      </c>
      <c r="C803" t="s">
        <v>414</v>
      </c>
      <c r="D803" t="s">
        <v>415</v>
      </c>
      <c r="E803" t="s">
        <v>416</v>
      </c>
      <c r="F803" t="s">
        <v>26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 t="s">
        <v>108</v>
      </c>
      <c r="W803" s="2">
        <v>83.794500000000028</v>
      </c>
      <c r="X803" s="3">
        <f t="shared" si="24"/>
        <v>83.794500000000028</v>
      </c>
      <c r="Y803">
        <f>VLOOKUP(D803,'[1]Cost Sheet'!$C:$D,2,0)</f>
        <v>83.65</v>
      </c>
      <c r="Z803" s="3">
        <f t="shared" si="25"/>
        <v>83.65</v>
      </c>
    </row>
    <row r="804" spans="1:26" x14ac:dyDescent="0.3">
      <c r="A804" s="7" t="s">
        <v>21</v>
      </c>
      <c r="B804" t="s">
        <v>413</v>
      </c>
      <c r="C804" t="s">
        <v>414</v>
      </c>
      <c r="D804" t="s">
        <v>415</v>
      </c>
      <c r="E804" t="s">
        <v>416</v>
      </c>
      <c r="F804" t="s">
        <v>26</v>
      </c>
      <c r="G804">
        <v>108</v>
      </c>
      <c r="H804">
        <v>0</v>
      </c>
      <c r="I804">
        <v>0</v>
      </c>
      <c r="J804">
        <v>-1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107</v>
      </c>
      <c r="T804">
        <v>0</v>
      </c>
      <c r="U804" t="s">
        <v>39</v>
      </c>
      <c r="W804" s="2">
        <v>83.794500000000028</v>
      </c>
      <c r="X804" s="3">
        <f t="shared" si="24"/>
        <v>8966.0115000000023</v>
      </c>
      <c r="Y804">
        <f>VLOOKUP(D804,'[1]Cost Sheet'!$C:$D,2,0)</f>
        <v>83.65</v>
      </c>
      <c r="Z804" s="3">
        <f t="shared" si="25"/>
        <v>8950.5500000000011</v>
      </c>
    </row>
    <row r="805" spans="1:26" x14ac:dyDescent="0.3">
      <c r="A805" s="7" t="s">
        <v>21</v>
      </c>
      <c r="B805" t="s">
        <v>413</v>
      </c>
      <c r="C805" t="s">
        <v>414</v>
      </c>
      <c r="D805" t="s">
        <v>415</v>
      </c>
      <c r="E805" t="s">
        <v>416</v>
      </c>
      <c r="F805" t="s">
        <v>26</v>
      </c>
      <c r="G805">
        <v>103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103</v>
      </c>
      <c r="T805">
        <v>0</v>
      </c>
      <c r="U805" t="s">
        <v>53</v>
      </c>
      <c r="W805" s="2">
        <v>83.794500000000028</v>
      </c>
      <c r="X805" s="3">
        <f t="shared" si="24"/>
        <v>8630.8335000000025</v>
      </c>
      <c r="Y805">
        <f>VLOOKUP(D805,'[1]Cost Sheet'!$C:$D,2,0)</f>
        <v>83.65</v>
      </c>
      <c r="Z805" s="3">
        <f t="shared" si="25"/>
        <v>8615.9500000000007</v>
      </c>
    </row>
    <row r="806" spans="1:26" x14ac:dyDescent="0.3">
      <c r="A806" s="7" t="s">
        <v>21</v>
      </c>
      <c r="B806" t="s">
        <v>413</v>
      </c>
      <c r="C806" t="s">
        <v>414</v>
      </c>
      <c r="D806" t="s">
        <v>415</v>
      </c>
      <c r="E806" t="s">
        <v>416</v>
      </c>
      <c r="F806" t="s">
        <v>26</v>
      </c>
      <c r="G806">
        <v>265</v>
      </c>
      <c r="H806">
        <v>0</v>
      </c>
      <c r="I806">
        <v>0</v>
      </c>
      <c r="J806">
        <v>-1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-1</v>
      </c>
      <c r="S806">
        <v>263</v>
      </c>
      <c r="T806">
        <v>0</v>
      </c>
      <c r="U806" t="s">
        <v>54</v>
      </c>
      <c r="W806" s="2">
        <v>83.794500000000028</v>
      </c>
      <c r="X806" s="3">
        <f t="shared" si="24"/>
        <v>22037.953500000007</v>
      </c>
      <c r="Y806">
        <f>VLOOKUP(D806,'[1]Cost Sheet'!$C:$D,2,0)</f>
        <v>83.65</v>
      </c>
      <c r="Z806" s="3">
        <f t="shared" si="25"/>
        <v>21999.95</v>
      </c>
    </row>
    <row r="807" spans="1:26" x14ac:dyDescent="0.3">
      <c r="A807" s="7" t="s">
        <v>21</v>
      </c>
      <c r="B807" t="s">
        <v>413</v>
      </c>
      <c r="C807" t="s">
        <v>414</v>
      </c>
      <c r="D807" t="s">
        <v>415</v>
      </c>
      <c r="E807" t="s">
        <v>416</v>
      </c>
      <c r="F807" t="s">
        <v>26</v>
      </c>
      <c r="G807">
        <v>293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294</v>
      </c>
      <c r="T807">
        <v>0</v>
      </c>
      <c r="U807" t="s">
        <v>32</v>
      </c>
      <c r="W807" s="2">
        <v>83.794500000000028</v>
      </c>
      <c r="X807" s="3">
        <f t="shared" si="24"/>
        <v>24635.58300000001</v>
      </c>
      <c r="Y807">
        <f>VLOOKUP(D807,'[1]Cost Sheet'!$C:$D,2,0)</f>
        <v>83.65</v>
      </c>
      <c r="Z807" s="3">
        <f t="shared" si="25"/>
        <v>24593.100000000002</v>
      </c>
    </row>
    <row r="808" spans="1:26" x14ac:dyDescent="0.3">
      <c r="A808" s="7" t="s">
        <v>21</v>
      </c>
      <c r="B808" t="s">
        <v>413</v>
      </c>
      <c r="C808" t="s">
        <v>414</v>
      </c>
      <c r="D808" t="s">
        <v>415</v>
      </c>
      <c r="E808" t="s">
        <v>416</v>
      </c>
      <c r="F808" t="s">
        <v>26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-1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88</v>
      </c>
      <c r="W808" s="2">
        <v>83.794500000000028</v>
      </c>
      <c r="X808" s="3">
        <f t="shared" si="24"/>
        <v>0</v>
      </c>
      <c r="Y808">
        <f>VLOOKUP(D808,'[1]Cost Sheet'!$C:$D,2,0)</f>
        <v>83.65</v>
      </c>
      <c r="Z808" s="3">
        <f t="shared" si="25"/>
        <v>0</v>
      </c>
    </row>
    <row r="809" spans="1:26" x14ac:dyDescent="0.3">
      <c r="A809" s="7" t="s">
        <v>21</v>
      </c>
      <c r="B809" t="s">
        <v>413</v>
      </c>
      <c r="C809" t="s">
        <v>414</v>
      </c>
      <c r="D809" t="s">
        <v>415</v>
      </c>
      <c r="E809" t="s">
        <v>416</v>
      </c>
      <c r="F809" t="s">
        <v>26</v>
      </c>
      <c r="G809">
        <v>132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132</v>
      </c>
      <c r="T809">
        <v>0</v>
      </c>
      <c r="U809" t="s">
        <v>33</v>
      </c>
      <c r="W809" s="2">
        <v>83.794500000000028</v>
      </c>
      <c r="X809" s="3">
        <f t="shared" si="24"/>
        <v>11060.874000000003</v>
      </c>
      <c r="Y809">
        <f>VLOOKUP(D809,'[1]Cost Sheet'!$C:$D,2,0)</f>
        <v>83.65</v>
      </c>
      <c r="Z809" s="3">
        <f t="shared" si="25"/>
        <v>11041.800000000001</v>
      </c>
    </row>
    <row r="810" spans="1:26" x14ac:dyDescent="0.3">
      <c r="A810" s="7" t="s">
        <v>21</v>
      </c>
      <c r="B810" t="s">
        <v>413</v>
      </c>
      <c r="C810" t="s">
        <v>414</v>
      </c>
      <c r="D810" t="s">
        <v>415</v>
      </c>
      <c r="E810" t="s">
        <v>416</v>
      </c>
      <c r="F810" t="s">
        <v>26</v>
      </c>
      <c r="G810">
        <v>283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284</v>
      </c>
      <c r="T810">
        <v>0</v>
      </c>
      <c r="U810" t="s">
        <v>46</v>
      </c>
      <c r="W810" s="2">
        <v>83.794500000000028</v>
      </c>
      <c r="X810" s="3">
        <f t="shared" si="24"/>
        <v>23797.638000000006</v>
      </c>
      <c r="Y810">
        <f>VLOOKUP(D810,'[1]Cost Sheet'!$C:$D,2,0)</f>
        <v>83.65</v>
      </c>
      <c r="Z810" s="3">
        <f t="shared" si="25"/>
        <v>23756.600000000002</v>
      </c>
    </row>
    <row r="811" spans="1:26" x14ac:dyDescent="0.3">
      <c r="A811" s="7" t="s">
        <v>21</v>
      </c>
      <c r="B811" t="s">
        <v>413</v>
      </c>
      <c r="C811" t="s">
        <v>414</v>
      </c>
      <c r="D811" t="s">
        <v>415</v>
      </c>
      <c r="E811" t="s">
        <v>416</v>
      </c>
      <c r="F811" t="s">
        <v>26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 t="s">
        <v>110</v>
      </c>
      <c r="W811" s="2">
        <v>83.794500000000028</v>
      </c>
      <c r="X811" s="3">
        <f t="shared" si="24"/>
        <v>83.794500000000028</v>
      </c>
      <c r="Y811">
        <f>VLOOKUP(D811,'[1]Cost Sheet'!$C:$D,2,0)</f>
        <v>83.65</v>
      </c>
      <c r="Z811" s="3">
        <f t="shared" si="25"/>
        <v>83.65</v>
      </c>
    </row>
    <row r="812" spans="1:26" x14ac:dyDescent="0.3">
      <c r="A812" s="7" t="s">
        <v>21</v>
      </c>
      <c r="B812" t="s">
        <v>413</v>
      </c>
      <c r="C812" t="s">
        <v>414</v>
      </c>
      <c r="D812" t="s">
        <v>415</v>
      </c>
      <c r="E812" t="s">
        <v>416</v>
      </c>
      <c r="F812" t="s">
        <v>26</v>
      </c>
      <c r="G812">
        <v>29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29</v>
      </c>
      <c r="T812">
        <v>0</v>
      </c>
      <c r="U812" t="s">
        <v>111</v>
      </c>
      <c r="W812" s="2">
        <v>83.794500000000028</v>
      </c>
      <c r="X812" s="3">
        <f t="shared" si="24"/>
        <v>2430.040500000001</v>
      </c>
      <c r="Y812">
        <f>VLOOKUP(D812,'[1]Cost Sheet'!$C:$D,2,0)</f>
        <v>83.65</v>
      </c>
      <c r="Z812" s="3">
        <f t="shared" si="25"/>
        <v>2425.8500000000004</v>
      </c>
    </row>
    <row r="813" spans="1:26" x14ac:dyDescent="0.3">
      <c r="A813" s="7" t="s">
        <v>21</v>
      </c>
      <c r="B813" t="s">
        <v>413</v>
      </c>
      <c r="C813" t="s">
        <v>414</v>
      </c>
      <c r="D813" t="s">
        <v>415</v>
      </c>
      <c r="E813" t="s">
        <v>416</v>
      </c>
      <c r="F813" t="s">
        <v>26</v>
      </c>
      <c r="G813">
        <v>76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76</v>
      </c>
      <c r="T813">
        <v>0</v>
      </c>
      <c r="U813" t="s">
        <v>47</v>
      </c>
      <c r="W813" s="2">
        <v>83.794500000000028</v>
      </c>
      <c r="X813" s="3">
        <f t="shared" si="24"/>
        <v>6368.3820000000023</v>
      </c>
      <c r="Y813">
        <f>VLOOKUP(D813,'[1]Cost Sheet'!$C:$D,2,0)</f>
        <v>83.65</v>
      </c>
      <c r="Z813" s="3">
        <f t="shared" si="25"/>
        <v>6357.4000000000005</v>
      </c>
    </row>
    <row r="814" spans="1:26" x14ac:dyDescent="0.3">
      <c r="A814" s="7" t="s">
        <v>21</v>
      </c>
      <c r="B814" t="s">
        <v>413</v>
      </c>
      <c r="C814" t="s">
        <v>414</v>
      </c>
      <c r="D814" t="s">
        <v>415</v>
      </c>
      <c r="E814" t="s">
        <v>416</v>
      </c>
      <c r="F814" t="s">
        <v>26</v>
      </c>
      <c r="G814">
        <v>162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162</v>
      </c>
      <c r="T814">
        <v>0</v>
      </c>
      <c r="U814" t="s">
        <v>40</v>
      </c>
      <c r="W814" s="2">
        <v>83.794500000000028</v>
      </c>
      <c r="X814" s="3">
        <f t="shared" si="24"/>
        <v>13574.709000000004</v>
      </c>
      <c r="Y814">
        <f>VLOOKUP(D814,'[1]Cost Sheet'!$C:$D,2,0)</f>
        <v>83.65</v>
      </c>
      <c r="Z814" s="3">
        <f t="shared" si="25"/>
        <v>13551.300000000001</v>
      </c>
    </row>
    <row r="815" spans="1:26" x14ac:dyDescent="0.3">
      <c r="A815" s="7" t="s">
        <v>21</v>
      </c>
      <c r="B815" t="s">
        <v>413</v>
      </c>
      <c r="C815" t="s">
        <v>414</v>
      </c>
      <c r="D815" t="s">
        <v>415</v>
      </c>
      <c r="E815" t="s">
        <v>416</v>
      </c>
      <c r="F815" t="s">
        <v>26</v>
      </c>
      <c r="G815">
        <v>187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187</v>
      </c>
      <c r="T815">
        <v>0</v>
      </c>
      <c r="U815" t="s">
        <v>120</v>
      </c>
      <c r="W815" s="2">
        <v>83.794500000000028</v>
      </c>
      <c r="X815" s="3">
        <f t="shared" si="24"/>
        <v>15669.571500000005</v>
      </c>
      <c r="Y815">
        <f>VLOOKUP(D815,'[1]Cost Sheet'!$C:$D,2,0)</f>
        <v>83.65</v>
      </c>
      <c r="Z815" s="3">
        <f t="shared" si="25"/>
        <v>15642.550000000001</v>
      </c>
    </row>
    <row r="816" spans="1:26" x14ac:dyDescent="0.3">
      <c r="A816" s="7" t="s">
        <v>21</v>
      </c>
      <c r="B816" t="s">
        <v>413</v>
      </c>
      <c r="C816" t="s">
        <v>414</v>
      </c>
      <c r="D816" t="s">
        <v>415</v>
      </c>
      <c r="E816" t="s">
        <v>416</v>
      </c>
      <c r="F816" t="s">
        <v>26</v>
      </c>
      <c r="G816">
        <v>239</v>
      </c>
      <c r="H816">
        <v>0</v>
      </c>
      <c r="I816">
        <v>0</v>
      </c>
      <c r="J816">
        <v>-1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238</v>
      </c>
      <c r="T816">
        <v>0</v>
      </c>
      <c r="U816" t="s">
        <v>113</v>
      </c>
      <c r="W816" s="2">
        <v>83.794500000000028</v>
      </c>
      <c r="X816" s="3">
        <f t="shared" si="24"/>
        <v>19943.091000000008</v>
      </c>
      <c r="Y816">
        <f>VLOOKUP(D816,'[1]Cost Sheet'!$C:$D,2,0)</f>
        <v>83.65</v>
      </c>
      <c r="Z816" s="3">
        <f t="shared" si="25"/>
        <v>19908.7</v>
      </c>
    </row>
    <row r="817" spans="1:26" x14ac:dyDescent="0.3">
      <c r="A817" s="7" t="s">
        <v>21</v>
      </c>
      <c r="B817" t="s">
        <v>413</v>
      </c>
      <c r="C817" t="s">
        <v>414</v>
      </c>
      <c r="D817" t="s">
        <v>415</v>
      </c>
      <c r="E817" t="s">
        <v>416</v>
      </c>
      <c r="F817" t="s">
        <v>26</v>
      </c>
      <c r="G817">
        <v>481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481</v>
      </c>
      <c r="T817">
        <v>0</v>
      </c>
      <c r="U817" t="s">
        <v>48</v>
      </c>
      <c r="W817" s="2">
        <v>83.794500000000028</v>
      </c>
      <c r="X817" s="3">
        <f t="shared" si="24"/>
        <v>40305.154500000011</v>
      </c>
      <c r="Y817">
        <f>VLOOKUP(D817,'[1]Cost Sheet'!$C:$D,2,0)</f>
        <v>83.65</v>
      </c>
      <c r="Z817" s="3">
        <f t="shared" si="25"/>
        <v>40235.65</v>
      </c>
    </row>
    <row r="818" spans="1:26" x14ac:dyDescent="0.3">
      <c r="A818" s="7" t="s">
        <v>21</v>
      </c>
      <c r="B818" t="s">
        <v>413</v>
      </c>
      <c r="C818" t="s">
        <v>414</v>
      </c>
      <c r="D818" t="s">
        <v>415</v>
      </c>
      <c r="E818" t="s">
        <v>416</v>
      </c>
      <c r="F818" t="s">
        <v>26</v>
      </c>
      <c r="G818">
        <v>125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125</v>
      </c>
      <c r="T818">
        <v>0</v>
      </c>
      <c r="U818" t="s">
        <v>59</v>
      </c>
      <c r="W818" s="2">
        <v>83.794500000000028</v>
      </c>
      <c r="X818" s="3">
        <f t="shared" si="24"/>
        <v>10474.312500000004</v>
      </c>
      <c r="Y818">
        <f>VLOOKUP(D818,'[1]Cost Sheet'!$C:$D,2,0)</f>
        <v>83.65</v>
      </c>
      <c r="Z818" s="3">
        <f t="shared" si="25"/>
        <v>10456.25</v>
      </c>
    </row>
    <row r="819" spans="1:26" x14ac:dyDescent="0.3">
      <c r="A819" s="7" t="s">
        <v>21</v>
      </c>
      <c r="B819" t="s">
        <v>413</v>
      </c>
      <c r="C819" t="s">
        <v>414</v>
      </c>
      <c r="D819" t="s">
        <v>415</v>
      </c>
      <c r="E819" t="s">
        <v>416</v>
      </c>
      <c r="F819" t="s">
        <v>26</v>
      </c>
      <c r="G819">
        <v>106</v>
      </c>
      <c r="H819">
        <v>0</v>
      </c>
      <c r="I819">
        <v>0</v>
      </c>
      <c r="J819">
        <v>-1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105</v>
      </c>
      <c r="T819">
        <v>0</v>
      </c>
      <c r="U819" t="s">
        <v>27</v>
      </c>
      <c r="W819" s="2">
        <v>83.794500000000028</v>
      </c>
      <c r="X819" s="3">
        <f t="shared" si="24"/>
        <v>8798.4225000000024</v>
      </c>
      <c r="Y819">
        <f>VLOOKUP(D819,'[1]Cost Sheet'!$C:$D,2,0)</f>
        <v>83.65</v>
      </c>
      <c r="Z819" s="3">
        <f t="shared" si="25"/>
        <v>8783.25</v>
      </c>
    </row>
    <row r="820" spans="1:26" x14ac:dyDescent="0.3">
      <c r="A820" s="7" t="s">
        <v>21</v>
      </c>
      <c r="B820" t="s">
        <v>417</v>
      </c>
      <c r="C820" t="s">
        <v>418</v>
      </c>
      <c r="D820" t="s">
        <v>419</v>
      </c>
      <c r="E820" t="s">
        <v>420</v>
      </c>
      <c r="F820" t="s">
        <v>106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-1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47</v>
      </c>
      <c r="W820" s="2">
        <v>77.84</v>
      </c>
      <c r="X820" s="3">
        <f t="shared" si="24"/>
        <v>0</v>
      </c>
      <c r="Y820">
        <f>VLOOKUP(D820,'[1]Cost Sheet'!$C:$D,2,0)</f>
        <v>78.709999999999994</v>
      </c>
      <c r="Z820" s="3">
        <f t="shared" si="25"/>
        <v>0</v>
      </c>
    </row>
    <row r="821" spans="1:26" x14ac:dyDescent="0.3">
      <c r="A821" s="7" t="s">
        <v>21</v>
      </c>
      <c r="B821" t="s">
        <v>417</v>
      </c>
      <c r="C821" t="s">
        <v>418</v>
      </c>
      <c r="D821" t="s">
        <v>419</v>
      </c>
      <c r="E821" t="s">
        <v>420</v>
      </c>
      <c r="F821" t="s">
        <v>26</v>
      </c>
      <c r="G821">
        <v>2</v>
      </c>
      <c r="H821">
        <v>0</v>
      </c>
      <c r="I821">
        <v>0</v>
      </c>
      <c r="J821">
        <v>-1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 t="s">
        <v>45</v>
      </c>
      <c r="W821" s="2">
        <v>77.84</v>
      </c>
      <c r="X821" s="3">
        <f t="shared" si="24"/>
        <v>77.84</v>
      </c>
      <c r="Y821">
        <f>VLOOKUP(D821,'[1]Cost Sheet'!$C:$D,2,0)</f>
        <v>78.709999999999994</v>
      </c>
      <c r="Z821" s="3">
        <f t="shared" si="25"/>
        <v>78.709999999999994</v>
      </c>
    </row>
    <row r="822" spans="1:26" x14ac:dyDescent="0.3">
      <c r="A822" s="7" t="s">
        <v>21</v>
      </c>
      <c r="B822" t="s">
        <v>417</v>
      </c>
      <c r="C822" t="s">
        <v>418</v>
      </c>
      <c r="D822" t="s">
        <v>419</v>
      </c>
      <c r="E822" t="s">
        <v>420</v>
      </c>
      <c r="F822" t="s">
        <v>26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 t="s">
        <v>54</v>
      </c>
      <c r="W822" s="2">
        <v>77.84</v>
      </c>
      <c r="X822" s="3">
        <f t="shared" si="24"/>
        <v>77.84</v>
      </c>
      <c r="Y822">
        <f>VLOOKUP(D822,'[1]Cost Sheet'!$C:$D,2,0)</f>
        <v>78.709999999999994</v>
      </c>
      <c r="Z822" s="3">
        <f t="shared" si="25"/>
        <v>78.709999999999994</v>
      </c>
    </row>
    <row r="823" spans="1:26" x14ac:dyDescent="0.3">
      <c r="A823" s="7" t="s">
        <v>21</v>
      </c>
      <c r="B823" t="s">
        <v>417</v>
      </c>
      <c r="C823" t="s">
        <v>418</v>
      </c>
      <c r="D823" t="s">
        <v>419</v>
      </c>
      <c r="E823" t="s">
        <v>420</v>
      </c>
      <c r="F823" t="s">
        <v>26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 t="s">
        <v>47</v>
      </c>
      <c r="W823" s="2">
        <v>77.84</v>
      </c>
      <c r="X823" s="3">
        <f t="shared" si="24"/>
        <v>77.84</v>
      </c>
      <c r="Y823">
        <f>VLOOKUP(D823,'[1]Cost Sheet'!$C:$D,2,0)</f>
        <v>78.709999999999994</v>
      </c>
      <c r="Z823" s="3">
        <f t="shared" si="25"/>
        <v>78.709999999999994</v>
      </c>
    </row>
    <row r="824" spans="1:26" x14ac:dyDescent="0.3">
      <c r="A824" s="7" t="s">
        <v>21</v>
      </c>
      <c r="B824" t="s">
        <v>417</v>
      </c>
      <c r="C824" t="s">
        <v>418</v>
      </c>
      <c r="D824" t="s">
        <v>419</v>
      </c>
      <c r="E824" t="s">
        <v>420</v>
      </c>
      <c r="F824" t="s">
        <v>26</v>
      </c>
      <c r="G824">
        <v>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4</v>
      </c>
      <c r="T824">
        <v>0</v>
      </c>
      <c r="U824" t="s">
        <v>112</v>
      </c>
      <c r="W824" s="2">
        <v>77.84</v>
      </c>
      <c r="X824" s="3">
        <f t="shared" si="24"/>
        <v>311.36</v>
      </c>
      <c r="Y824">
        <f>VLOOKUP(D824,'[1]Cost Sheet'!$C:$D,2,0)</f>
        <v>78.709999999999994</v>
      </c>
      <c r="Z824" s="3">
        <f t="shared" si="25"/>
        <v>314.83999999999997</v>
      </c>
    </row>
    <row r="825" spans="1:26" x14ac:dyDescent="0.3">
      <c r="A825" s="7" t="s">
        <v>21</v>
      </c>
      <c r="B825" t="s">
        <v>421</v>
      </c>
      <c r="C825" t="s">
        <v>422</v>
      </c>
      <c r="D825" t="s">
        <v>423</v>
      </c>
      <c r="E825" t="s">
        <v>424</v>
      </c>
      <c r="F825" t="s">
        <v>26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 t="s">
        <v>54</v>
      </c>
      <c r="W825" s="2">
        <v>79.066666666666677</v>
      </c>
      <c r="X825" s="3">
        <f t="shared" si="24"/>
        <v>79.066666666666677</v>
      </c>
      <c r="Y825">
        <f>VLOOKUP(D825,'[1]Cost Sheet'!$C:$D,2,0)</f>
        <v>79.28</v>
      </c>
      <c r="Z825" s="3">
        <f t="shared" si="25"/>
        <v>79.28</v>
      </c>
    </row>
    <row r="826" spans="1:26" x14ac:dyDescent="0.3">
      <c r="A826" s="7" t="s">
        <v>21</v>
      </c>
      <c r="B826" t="s">
        <v>425</v>
      </c>
      <c r="C826" t="s">
        <v>426</v>
      </c>
      <c r="D826" t="s">
        <v>427</v>
      </c>
      <c r="E826" t="s">
        <v>428</v>
      </c>
      <c r="F826" t="s">
        <v>26</v>
      </c>
      <c r="G826">
        <v>18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18</v>
      </c>
      <c r="T826">
        <v>0</v>
      </c>
      <c r="U826" t="s">
        <v>39</v>
      </c>
      <c r="W826" s="2">
        <v>79.066666666666677</v>
      </c>
      <c r="X826" s="3">
        <f t="shared" si="24"/>
        <v>1423.2000000000003</v>
      </c>
      <c r="Y826">
        <f>VLOOKUP(D826,'[1]Cost Sheet'!$C:$D,2,0)</f>
        <v>78.75</v>
      </c>
      <c r="Z826" s="3">
        <f t="shared" si="25"/>
        <v>1417.5</v>
      </c>
    </row>
    <row r="827" spans="1:26" x14ac:dyDescent="0.3">
      <c r="A827" s="7" t="s">
        <v>21</v>
      </c>
      <c r="B827" t="s">
        <v>429</v>
      </c>
      <c r="C827" t="s">
        <v>430</v>
      </c>
      <c r="D827" t="s">
        <v>431</v>
      </c>
      <c r="E827" t="s">
        <v>432</v>
      </c>
      <c r="F827" t="s">
        <v>26</v>
      </c>
      <c r="G827">
        <v>20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20</v>
      </c>
      <c r="T827">
        <v>0</v>
      </c>
      <c r="U827" t="s">
        <v>38</v>
      </c>
      <c r="W827" s="2">
        <v>83.14</v>
      </c>
      <c r="X827" s="3">
        <f t="shared" si="24"/>
        <v>1662.8</v>
      </c>
      <c r="Y827">
        <f>VLOOKUP(D827,'[1]Cost Sheet'!$C:$D,2,0)</f>
        <v>83.14</v>
      </c>
      <c r="Z827" s="3">
        <f t="shared" si="25"/>
        <v>1662.8</v>
      </c>
    </row>
    <row r="828" spans="1:26" x14ac:dyDescent="0.3">
      <c r="A828" s="7" t="s">
        <v>21</v>
      </c>
      <c r="B828" t="s">
        <v>429</v>
      </c>
      <c r="C828" t="s">
        <v>430</v>
      </c>
      <c r="D828" t="s">
        <v>431</v>
      </c>
      <c r="E828" t="s">
        <v>432</v>
      </c>
      <c r="F828" t="s">
        <v>26</v>
      </c>
      <c r="G828">
        <v>12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12</v>
      </c>
      <c r="T828">
        <v>0</v>
      </c>
      <c r="U828" t="s">
        <v>45</v>
      </c>
      <c r="W828" s="2">
        <v>83.14</v>
      </c>
      <c r="X828" s="3">
        <f t="shared" si="24"/>
        <v>997.68000000000006</v>
      </c>
      <c r="Y828">
        <f>VLOOKUP(D828,'[1]Cost Sheet'!$C:$D,2,0)</f>
        <v>83.14</v>
      </c>
      <c r="Z828" s="3">
        <f t="shared" si="25"/>
        <v>997.68000000000006</v>
      </c>
    </row>
    <row r="829" spans="1:26" x14ac:dyDescent="0.3">
      <c r="A829" s="7" t="s">
        <v>21</v>
      </c>
      <c r="B829" t="s">
        <v>429</v>
      </c>
      <c r="C829" t="s">
        <v>430</v>
      </c>
      <c r="D829" t="s">
        <v>431</v>
      </c>
      <c r="E829" t="s">
        <v>432</v>
      </c>
      <c r="F829" t="s">
        <v>26</v>
      </c>
      <c r="G829">
        <v>31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31</v>
      </c>
      <c r="T829">
        <v>0</v>
      </c>
      <c r="U829" t="s">
        <v>54</v>
      </c>
      <c r="W829" s="2">
        <v>83.14</v>
      </c>
      <c r="X829" s="3">
        <f t="shared" si="24"/>
        <v>2577.34</v>
      </c>
      <c r="Y829">
        <f>VLOOKUP(D829,'[1]Cost Sheet'!$C:$D,2,0)</f>
        <v>83.14</v>
      </c>
      <c r="Z829" s="3">
        <f t="shared" si="25"/>
        <v>2577.34</v>
      </c>
    </row>
    <row r="830" spans="1:26" x14ac:dyDescent="0.3">
      <c r="A830" s="7" t="s">
        <v>21</v>
      </c>
      <c r="B830" t="s">
        <v>429</v>
      </c>
      <c r="C830" t="s">
        <v>430</v>
      </c>
      <c r="D830" t="s">
        <v>431</v>
      </c>
      <c r="E830" t="s">
        <v>432</v>
      </c>
      <c r="F830" t="s">
        <v>26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</v>
      </c>
      <c r="T830">
        <v>0</v>
      </c>
      <c r="U830" t="s">
        <v>40</v>
      </c>
      <c r="W830" s="2">
        <v>83.14</v>
      </c>
      <c r="X830" s="3">
        <f t="shared" si="24"/>
        <v>166.28</v>
      </c>
      <c r="Y830">
        <f>VLOOKUP(D830,'[1]Cost Sheet'!$C:$D,2,0)</f>
        <v>83.14</v>
      </c>
      <c r="Z830" s="3">
        <f t="shared" si="25"/>
        <v>166.28</v>
      </c>
    </row>
    <row r="831" spans="1:26" x14ac:dyDescent="0.3">
      <c r="A831" s="7" t="s">
        <v>21</v>
      </c>
      <c r="B831" t="s">
        <v>429</v>
      </c>
      <c r="C831" t="s">
        <v>430</v>
      </c>
      <c r="D831" t="s">
        <v>431</v>
      </c>
      <c r="E831" t="s">
        <v>432</v>
      </c>
      <c r="F831" t="s">
        <v>26</v>
      </c>
      <c r="G831">
        <v>16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16</v>
      </c>
      <c r="T831">
        <v>0</v>
      </c>
      <c r="U831" t="s">
        <v>59</v>
      </c>
      <c r="W831" s="2">
        <v>83.14</v>
      </c>
      <c r="X831" s="3">
        <f t="shared" si="24"/>
        <v>1330.24</v>
      </c>
      <c r="Y831">
        <f>VLOOKUP(D831,'[1]Cost Sheet'!$C:$D,2,0)</f>
        <v>83.14</v>
      </c>
      <c r="Z831" s="3">
        <f t="shared" si="25"/>
        <v>1330.24</v>
      </c>
    </row>
    <row r="832" spans="1:26" x14ac:dyDescent="0.3">
      <c r="A832" s="7" t="s">
        <v>21</v>
      </c>
      <c r="B832" t="s">
        <v>433</v>
      </c>
      <c r="C832" t="s">
        <v>434</v>
      </c>
      <c r="D832" t="s">
        <v>435</v>
      </c>
      <c r="E832" t="s">
        <v>436</v>
      </c>
      <c r="F832" t="s">
        <v>106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 t="s">
        <v>39</v>
      </c>
      <c r="W832" s="2">
        <v>51.93</v>
      </c>
      <c r="X832" s="3">
        <f t="shared" si="24"/>
        <v>51.93</v>
      </c>
      <c r="Y832">
        <f>VLOOKUP(D832,'[1]Cost Sheet'!$C:$D,2,0)</f>
        <v>51.93</v>
      </c>
      <c r="Z832" s="3">
        <f t="shared" si="25"/>
        <v>51.93</v>
      </c>
    </row>
    <row r="833" spans="1:26" x14ac:dyDescent="0.3">
      <c r="A833" s="7" t="s">
        <v>21</v>
      </c>
      <c r="B833" t="s">
        <v>433</v>
      </c>
      <c r="C833" t="s">
        <v>434</v>
      </c>
      <c r="D833" t="s">
        <v>435</v>
      </c>
      <c r="E833" t="s">
        <v>436</v>
      </c>
      <c r="F833" t="s">
        <v>106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 t="s">
        <v>33</v>
      </c>
      <c r="W833" s="2">
        <v>51.93</v>
      </c>
      <c r="X833" s="3">
        <f t="shared" si="24"/>
        <v>51.93</v>
      </c>
      <c r="Y833">
        <f>VLOOKUP(D833,'[1]Cost Sheet'!$C:$D,2,0)</f>
        <v>51.93</v>
      </c>
      <c r="Z833" s="3">
        <f t="shared" si="25"/>
        <v>51.93</v>
      </c>
    </row>
    <row r="834" spans="1:26" x14ac:dyDescent="0.3">
      <c r="A834" s="7" t="s">
        <v>21</v>
      </c>
      <c r="B834" t="s">
        <v>433</v>
      </c>
      <c r="C834" t="s">
        <v>434</v>
      </c>
      <c r="D834" t="s">
        <v>435</v>
      </c>
      <c r="E834" t="s">
        <v>436</v>
      </c>
      <c r="F834" t="s">
        <v>26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 t="s">
        <v>45</v>
      </c>
      <c r="W834" s="2">
        <v>51.93</v>
      </c>
      <c r="X834" s="3">
        <f t="shared" si="24"/>
        <v>51.93</v>
      </c>
      <c r="Y834">
        <f>VLOOKUP(D834,'[1]Cost Sheet'!$C:$D,2,0)</f>
        <v>51.93</v>
      </c>
      <c r="Z834" s="3">
        <f t="shared" si="25"/>
        <v>51.93</v>
      </c>
    </row>
    <row r="835" spans="1:26" x14ac:dyDescent="0.3">
      <c r="A835" s="7" t="s">
        <v>21</v>
      </c>
      <c r="B835" t="s">
        <v>433</v>
      </c>
      <c r="C835" t="s">
        <v>434</v>
      </c>
      <c r="D835" t="s">
        <v>435</v>
      </c>
      <c r="E835" t="s">
        <v>436</v>
      </c>
      <c r="F835" t="s">
        <v>26</v>
      </c>
      <c r="G835">
        <v>1</v>
      </c>
      <c r="H835">
        <v>0</v>
      </c>
      <c r="I835">
        <v>0</v>
      </c>
      <c r="J835">
        <v>-1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 t="s">
        <v>39</v>
      </c>
      <c r="W835" s="2">
        <v>51.93</v>
      </c>
      <c r="X835" s="3">
        <f t="shared" ref="X835:X898" si="26">S835*W835</f>
        <v>0</v>
      </c>
      <c r="Y835">
        <f>VLOOKUP(D835,'[1]Cost Sheet'!$C:$D,2,0)</f>
        <v>51.93</v>
      </c>
      <c r="Z835" s="3">
        <f t="shared" ref="Z835:Z898" si="27">Y835*S835</f>
        <v>0</v>
      </c>
    </row>
    <row r="836" spans="1:26" x14ac:dyDescent="0.3">
      <c r="A836" s="7" t="s">
        <v>21</v>
      </c>
      <c r="B836" t="s">
        <v>433</v>
      </c>
      <c r="C836" t="s">
        <v>434</v>
      </c>
      <c r="D836" t="s">
        <v>435</v>
      </c>
      <c r="E836" t="s">
        <v>436</v>
      </c>
      <c r="F836" t="s">
        <v>26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 t="s">
        <v>32</v>
      </c>
      <c r="W836" s="2">
        <v>51.93</v>
      </c>
      <c r="X836" s="3">
        <f t="shared" si="26"/>
        <v>51.93</v>
      </c>
      <c r="Y836">
        <f>VLOOKUP(D836,'[1]Cost Sheet'!$C:$D,2,0)</f>
        <v>51.93</v>
      </c>
      <c r="Z836" s="3">
        <f t="shared" si="27"/>
        <v>51.93</v>
      </c>
    </row>
    <row r="837" spans="1:26" x14ac:dyDescent="0.3">
      <c r="A837" s="7" t="s">
        <v>21</v>
      </c>
      <c r="B837" t="s">
        <v>433</v>
      </c>
      <c r="C837" t="s">
        <v>434</v>
      </c>
      <c r="D837" t="s">
        <v>435</v>
      </c>
      <c r="E837" t="s">
        <v>436</v>
      </c>
      <c r="F837" t="s">
        <v>26</v>
      </c>
      <c r="G837">
        <v>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8</v>
      </c>
      <c r="T837">
        <v>0</v>
      </c>
      <c r="U837" t="s">
        <v>46</v>
      </c>
      <c r="W837" s="2">
        <v>51.93</v>
      </c>
      <c r="X837" s="3">
        <f t="shared" si="26"/>
        <v>415.44</v>
      </c>
      <c r="Y837">
        <f>VLOOKUP(D837,'[1]Cost Sheet'!$C:$D,2,0)</f>
        <v>51.93</v>
      </c>
      <c r="Z837" s="3">
        <f t="shared" si="27"/>
        <v>415.44</v>
      </c>
    </row>
    <row r="838" spans="1:26" x14ac:dyDescent="0.3">
      <c r="A838" s="7" t="s">
        <v>21</v>
      </c>
      <c r="B838" t="s">
        <v>433</v>
      </c>
      <c r="C838" t="s">
        <v>434</v>
      </c>
      <c r="D838" t="s">
        <v>435</v>
      </c>
      <c r="E838" t="s">
        <v>436</v>
      </c>
      <c r="F838" t="s">
        <v>26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6</v>
      </c>
      <c r="T838">
        <v>0</v>
      </c>
      <c r="U838" t="s">
        <v>111</v>
      </c>
      <c r="W838" s="2">
        <v>51.93</v>
      </c>
      <c r="X838" s="3">
        <f t="shared" si="26"/>
        <v>311.58</v>
      </c>
      <c r="Y838">
        <f>VLOOKUP(D838,'[1]Cost Sheet'!$C:$D,2,0)</f>
        <v>51.93</v>
      </c>
      <c r="Z838" s="3">
        <f t="shared" si="27"/>
        <v>311.58</v>
      </c>
    </row>
    <row r="839" spans="1:26" x14ac:dyDescent="0.3">
      <c r="A839" s="7" t="s">
        <v>21</v>
      </c>
      <c r="B839" t="s">
        <v>433</v>
      </c>
      <c r="C839" t="s">
        <v>434</v>
      </c>
      <c r="D839" t="s">
        <v>435</v>
      </c>
      <c r="E839" t="s">
        <v>436</v>
      </c>
      <c r="F839" t="s">
        <v>26</v>
      </c>
      <c r="G839">
        <v>8</v>
      </c>
      <c r="H839">
        <v>0</v>
      </c>
      <c r="I839">
        <v>0</v>
      </c>
      <c r="J839">
        <v>-8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s">
        <v>40</v>
      </c>
      <c r="W839" s="2">
        <v>51.93</v>
      </c>
      <c r="X839" s="3">
        <f t="shared" si="26"/>
        <v>0</v>
      </c>
      <c r="Y839">
        <f>VLOOKUP(D839,'[1]Cost Sheet'!$C:$D,2,0)</f>
        <v>51.93</v>
      </c>
      <c r="Z839" s="3">
        <f t="shared" si="27"/>
        <v>0</v>
      </c>
    </row>
    <row r="840" spans="1:26" x14ac:dyDescent="0.3">
      <c r="A840" s="7" t="s">
        <v>21</v>
      </c>
      <c r="B840" t="s">
        <v>433</v>
      </c>
      <c r="C840" t="s">
        <v>434</v>
      </c>
      <c r="D840" t="s">
        <v>435</v>
      </c>
      <c r="E840" t="s">
        <v>436</v>
      </c>
      <c r="F840" t="s">
        <v>26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 t="s">
        <v>48</v>
      </c>
      <c r="W840" s="2">
        <v>51.93</v>
      </c>
      <c r="X840" s="3">
        <f t="shared" si="26"/>
        <v>51.93</v>
      </c>
      <c r="Y840">
        <f>VLOOKUP(D840,'[1]Cost Sheet'!$C:$D,2,0)</f>
        <v>51.93</v>
      </c>
      <c r="Z840" s="3">
        <f t="shared" si="27"/>
        <v>51.93</v>
      </c>
    </row>
    <row r="841" spans="1:26" x14ac:dyDescent="0.3">
      <c r="A841" s="7" t="s">
        <v>21</v>
      </c>
      <c r="B841" t="s">
        <v>433</v>
      </c>
      <c r="C841" t="s">
        <v>434</v>
      </c>
      <c r="D841" t="s">
        <v>435</v>
      </c>
      <c r="E841" t="s">
        <v>436</v>
      </c>
      <c r="F841" t="s">
        <v>26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 t="s">
        <v>27</v>
      </c>
      <c r="W841" s="2">
        <v>51.93</v>
      </c>
      <c r="X841" s="3">
        <f t="shared" si="26"/>
        <v>51.93</v>
      </c>
      <c r="Y841">
        <f>VLOOKUP(D841,'[1]Cost Sheet'!$C:$D,2,0)</f>
        <v>51.93</v>
      </c>
      <c r="Z841" s="3">
        <f t="shared" si="27"/>
        <v>51.93</v>
      </c>
    </row>
    <row r="842" spans="1:26" x14ac:dyDescent="0.3">
      <c r="A842" s="7" t="s">
        <v>21</v>
      </c>
      <c r="B842" t="s">
        <v>437</v>
      </c>
      <c r="C842" t="s">
        <v>438</v>
      </c>
      <c r="D842" t="s">
        <v>439</v>
      </c>
      <c r="E842" t="s">
        <v>440</v>
      </c>
      <c r="F842" t="s">
        <v>26</v>
      </c>
      <c r="G842">
        <v>3</v>
      </c>
      <c r="H842">
        <v>0</v>
      </c>
      <c r="I842">
        <v>0</v>
      </c>
      <c r="J842">
        <v>-2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 t="s">
        <v>45</v>
      </c>
      <c r="W842" s="2">
        <v>77.84</v>
      </c>
      <c r="X842" s="3">
        <f t="shared" si="26"/>
        <v>77.84</v>
      </c>
      <c r="Y842">
        <f>VLOOKUP(D842,'[1]Cost Sheet'!$C:$D,2,0)</f>
        <v>78.8</v>
      </c>
      <c r="Z842" s="3">
        <f t="shared" si="27"/>
        <v>78.8</v>
      </c>
    </row>
    <row r="843" spans="1:26" x14ac:dyDescent="0.3">
      <c r="A843" s="7" t="s">
        <v>21</v>
      </c>
      <c r="B843" t="s">
        <v>437</v>
      </c>
      <c r="C843" t="s">
        <v>438</v>
      </c>
      <c r="D843" t="s">
        <v>439</v>
      </c>
      <c r="E843" t="s">
        <v>440</v>
      </c>
      <c r="F843" t="s">
        <v>26</v>
      </c>
      <c r="G843">
        <v>1</v>
      </c>
      <c r="H843">
        <v>0</v>
      </c>
      <c r="I843">
        <v>0</v>
      </c>
      <c r="J843">
        <v>-1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 t="s">
        <v>46</v>
      </c>
      <c r="W843" s="2">
        <v>77.84</v>
      </c>
      <c r="X843" s="3">
        <f t="shared" si="26"/>
        <v>77.84</v>
      </c>
      <c r="Y843">
        <f>VLOOKUP(D843,'[1]Cost Sheet'!$C:$D,2,0)</f>
        <v>78.8</v>
      </c>
      <c r="Z843" s="3">
        <f t="shared" si="27"/>
        <v>78.8</v>
      </c>
    </row>
    <row r="844" spans="1:26" x14ac:dyDescent="0.3">
      <c r="A844" s="7" t="s">
        <v>21</v>
      </c>
      <c r="B844" t="s">
        <v>437</v>
      </c>
      <c r="C844" t="s">
        <v>438</v>
      </c>
      <c r="D844" t="s">
        <v>439</v>
      </c>
      <c r="E844" t="s">
        <v>440</v>
      </c>
      <c r="F844" t="s">
        <v>26</v>
      </c>
      <c r="G844">
        <v>1</v>
      </c>
      <c r="H844">
        <v>0</v>
      </c>
      <c r="I844">
        <v>0</v>
      </c>
      <c r="J844">
        <v>-1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t="s">
        <v>59</v>
      </c>
      <c r="W844" s="2">
        <v>77.84</v>
      </c>
      <c r="X844" s="3">
        <f t="shared" si="26"/>
        <v>0</v>
      </c>
      <c r="Y844">
        <f>VLOOKUP(D844,'[1]Cost Sheet'!$C:$D,2,0)</f>
        <v>78.8</v>
      </c>
      <c r="Z844" s="3">
        <f t="shared" si="27"/>
        <v>0</v>
      </c>
    </row>
    <row r="845" spans="1:26" x14ac:dyDescent="0.3">
      <c r="A845" s="7" t="s">
        <v>21</v>
      </c>
      <c r="B845" t="s">
        <v>441</v>
      </c>
      <c r="C845" t="s">
        <v>442</v>
      </c>
      <c r="D845" t="s">
        <v>443</v>
      </c>
      <c r="E845" t="s">
        <v>444</v>
      </c>
      <c r="F845" t="s">
        <v>26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3</v>
      </c>
      <c r="T845">
        <v>0</v>
      </c>
      <c r="U845" t="s">
        <v>38</v>
      </c>
      <c r="W845" s="2">
        <v>77.84</v>
      </c>
      <c r="X845" s="3">
        <f t="shared" si="26"/>
        <v>233.52</v>
      </c>
      <c r="Y845">
        <f>VLOOKUP(D845,'[1]Cost Sheet'!$C:$D,2,0)</f>
        <v>78.44</v>
      </c>
      <c r="Z845" s="3">
        <f t="shared" si="27"/>
        <v>235.32</v>
      </c>
    </row>
    <row r="846" spans="1:26" x14ac:dyDescent="0.3">
      <c r="A846" s="7" t="s">
        <v>21</v>
      </c>
      <c r="B846" t="s">
        <v>441</v>
      </c>
      <c r="C846" t="s">
        <v>442</v>
      </c>
      <c r="D846" t="s">
        <v>443</v>
      </c>
      <c r="E846" t="s">
        <v>444</v>
      </c>
      <c r="F846" t="s">
        <v>26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4</v>
      </c>
      <c r="T846">
        <v>0</v>
      </c>
      <c r="U846" t="s">
        <v>45</v>
      </c>
      <c r="W846" s="2">
        <v>77.84</v>
      </c>
      <c r="X846" s="3">
        <f t="shared" si="26"/>
        <v>311.36</v>
      </c>
      <c r="Y846">
        <f>VLOOKUP(D846,'[1]Cost Sheet'!$C:$D,2,0)</f>
        <v>78.44</v>
      </c>
      <c r="Z846" s="3">
        <f t="shared" si="27"/>
        <v>313.76</v>
      </c>
    </row>
    <row r="847" spans="1:26" x14ac:dyDescent="0.3">
      <c r="A847" s="7" t="s">
        <v>21</v>
      </c>
      <c r="B847" t="s">
        <v>441</v>
      </c>
      <c r="C847" t="s">
        <v>442</v>
      </c>
      <c r="D847" t="s">
        <v>443</v>
      </c>
      <c r="E847" t="s">
        <v>444</v>
      </c>
      <c r="F847" t="s">
        <v>26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</v>
      </c>
      <c r="T847">
        <v>0</v>
      </c>
      <c r="U847" t="s">
        <v>53</v>
      </c>
      <c r="W847" s="2">
        <v>77.84</v>
      </c>
      <c r="X847" s="3">
        <f t="shared" si="26"/>
        <v>155.68</v>
      </c>
      <c r="Y847">
        <f>VLOOKUP(D847,'[1]Cost Sheet'!$C:$D,2,0)</f>
        <v>78.44</v>
      </c>
      <c r="Z847" s="3">
        <f t="shared" si="27"/>
        <v>156.88</v>
      </c>
    </row>
    <row r="848" spans="1:26" x14ac:dyDescent="0.3">
      <c r="A848" s="7" t="s">
        <v>21</v>
      </c>
      <c r="B848" t="s">
        <v>441</v>
      </c>
      <c r="C848" t="s">
        <v>442</v>
      </c>
      <c r="D848" t="s">
        <v>443</v>
      </c>
      <c r="E848" t="s">
        <v>444</v>
      </c>
      <c r="F848" t="s">
        <v>26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 t="s">
        <v>32</v>
      </c>
      <c r="W848" s="2">
        <v>77.84</v>
      </c>
      <c r="X848" s="3">
        <f t="shared" si="26"/>
        <v>77.84</v>
      </c>
      <c r="Y848">
        <f>VLOOKUP(D848,'[1]Cost Sheet'!$C:$D,2,0)</f>
        <v>78.44</v>
      </c>
      <c r="Z848" s="3">
        <f t="shared" si="27"/>
        <v>78.44</v>
      </c>
    </row>
    <row r="849" spans="1:26" x14ac:dyDescent="0.3">
      <c r="A849" s="7" t="s">
        <v>21</v>
      </c>
      <c r="B849" t="s">
        <v>441</v>
      </c>
      <c r="C849" t="s">
        <v>442</v>
      </c>
      <c r="D849" t="s">
        <v>443</v>
      </c>
      <c r="E849" t="s">
        <v>444</v>
      </c>
      <c r="F849" t="s">
        <v>26</v>
      </c>
      <c r="G849">
        <v>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8</v>
      </c>
      <c r="T849">
        <v>0</v>
      </c>
      <c r="U849" t="s">
        <v>33</v>
      </c>
      <c r="W849" s="2">
        <v>77.84</v>
      </c>
      <c r="X849" s="3">
        <f t="shared" si="26"/>
        <v>622.72</v>
      </c>
      <c r="Y849">
        <f>VLOOKUP(D849,'[1]Cost Sheet'!$C:$D,2,0)</f>
        <v>78.44</v>
      </c>
      <c r="Z849" s="3">
        <f t="shared" si="27"/>
        <v>627.52</v>
      </c>
    </row>
    <row r="850" spans="1:26" x14ac:dyDescent="0.3">
      <c r="A850" s="7" t="s">
        <v>21</v>
      </c>
      <c r="B850" t="s">
        <v>441</v>
      </c>
      <c r="C850" t="s">
        <v>442</v>
      </c>
      <c r="D850" t="s">
        <v>443</v>
      </c>
      <c r="E850" t="s">
        <v>444</v>
      </c>
      <c r="F850" t="s">
        <v>26</v>
      </c>
      <c r="G850">
        <v>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5</v>
      </c>
      <c r="T850">
        <v>0</v>
      </c>
      <c r="U850" t="s">
        <v>46</v>
      </c>
      <c r="W850" s="2">
        <v>77.84</v>
      </c>
      <c r="X850" s="3">
        <f t="shared" si="26"/>
        <v>389.20000000000005</v>
      </c>
      <c r="Y850">
        <f>VLOOKUP(D850,'[1]Cost Sheet'!$C:$D,2,0)</f>
        <v>78.44</v>
      </c>
      <c r="Z850" s="3">
        <f t="shared" si="27"/>
        <v>392.2</v>
      </c>
    </row>
    <row r="851" spans="1:26" x14ac:dyDescent="0.3">
      <c r="A851" s="7" t="s">
        <v>21</v>
      </c>
      <c r="B851" t="s">
        <v>441</v>
      </c>
      <c r="C851" t="s">
        <v>442</v>
      </c>
      <c r="D851" t="s">
        <v>443</v>
      </c>
      <c r="E851" t="s">
        <v>444</v>
      </c>
      <c r="F851" t="s">
        <v>26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 t="s">
        <v>47</v>
      </c>
      <c r="W851" s="2">
        <v>77.84</v>
      </c>
      <c r="X851" s="3">
        <f t="shared" si="26"/>
        <v>77.84</v>
      </c>
      <c r="Y851">
        <f>VLOOKUP(D851,'[1]Cost Sheet'!$C:$D,2,0)</f>
        <v>78.44</v>
      </c>
      <c r="Z851" s="3">
        <f t="shared" si="27"/>
        <v>78.44</v>
      </c>
    </row>
    <row r="852" spans="1:26" x14ac:dyDescent="0.3">
      <c r="A852" s="7" t="s">
        <v>21</v>
      </c>
      <c r="B852" t="s">
        <v>441</v>
      </c>
      <c r="C852" t="s">
        <v>442</v>
      </c>
      <c r="D852" t="s">
        <v>443</v>
      </c>
      <c r="E852" t="s">
        <v>444</v>
      </c>
      <c r="F852" t="s">
        <v>26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3</v>
      </c>
      <c r="T852">
        <v>0</v>
      </c>
      <c r="U852" t="s">
        <v>40</v>
      </c>
      <c r="W852" s="2">
        <v>77.84</v>
      </c>
      <c r="X852" s="3">
        <f t="shared" si="26"/>
        <v>233.52</v>
      </c>
      <c r="Y852">
        <f>VLOOKUP(D852,'[1]Cost Sheet'!$C:$D,2,0)</f>
        <v>78.44</v>
      </c>
      <c r="Z852" s="3">
        <f t="shared" si="27"/>
        <v>235.32</v>
      </c>
    </row>
    <row r="853" spans="1:26" x14ac:dyDescent="0.3">
      <c r="A853" s="7" t="s">
        <v>21</v>
      </c>
      <c r="B853" t="s">
        <v>441</v>
      </c>
      <c r="C853" t="s">
        <v>442</v>
      </c>
      <c r="D853" t="s">
        <v>443</v>
      </c>
      <c r="E853" t="s">
        <v>444</v>
      </c>
      <c r="F853" t="s">
        <v>26</v>
      </c>
      <c r="G853">
        <v>3</v>
      </c>
      <c r="H853">
        <v>0</v>
      </c>
      <c r="I853">
        <v>0</v>
      </c>
      <c r="J853">
        <v>-1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</v>
      </c>
      <c r="T853">
        <v>0</v>
      </c>
      <c r="U853" t="s">
        <v>48</v>
      </c>
      <c r="W853" s="2">
        <v>77.84</v>
      </c>
      <c r="X853" s="3">
        <f t="shared" si="26"/>
        <v>155.68</v>
      </c>
      <c r="Y853">
        <f>VLOOKUP(D853,'[1]Cost Sheet'!$C:$D,2,0)</f>
        <v>78.44</v>
      </c>
      <c r="Z853" s="3">
        <f t="shared" si="27"/>
        <v>156.88</v>
      </c>
    </row>
    <row r="854" spans="1:26" x14ac:dyDescent="0.3">
      <c r="A854" s="7" t="s">
        <v>21</v>
      </c>
      <c r="B854" t="s">
        <v>441</v>
      </c>
      <c r="C854" t="s">
        <v>442</v>
      </c>
      <c r="D854" t="s">
        <v>443</v>
      </c>
      <c r="E854" t="s">
        <v>444</v>
      </c>
      <c r="F854" t="s">
        <v>26</v>
      </c>
      <c r="G854">
        <v>0</v>
      </c>
      <c r="H854">
        <v>0</v>
      </c>
      <c r="I854">
        <v>0</v>
      </c>
      <c r="J854">
        <v>-1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59</v>
      </c>
      <c r="W854" s="2">
        <v>77.84</v>
      </c>
      <c r="X854" s="3">
        <f t="shared" si="26"/>
        <v>0</v>
      </c>
      <c r="Y854">
        <f>VLOOKUP(D854,'[1]Cost Sheet'!$C:$D,2,0)</f>
        <v>78.44</v>
      </c>
      <c r="Z854" s="3">
        <f t="shared" si="27"/>
        <v>0</v>
      </c>
    </row>
    <row r="855" spans="1:26" x14ac:dyDescent="0.3">
      <c r="A855" s="7" t="s">
        <v>21</v>
      </c>
      <c r="B855" t="s">
        <v>441</v>
      </c>
      <c r="C855" t="s">
        <v>442</v>
      </c>
      <c r="D855" t="s">
        <v>443</v>
      </c>
      <c r="E855" t="s">
        <v>444</v>
      </c>
      <c r="F855" t="s">
        <v>26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 t="s">
        <v>27</v>
      </c>
      <c r="W855" s="2">
        <v>77.84</v>
      </c>
      <c r="X855" s="3">
        <f t="shared" si="26"/>
        <v>77.84</v>
      </c>
      <c r="Y855">
        <f>VLOOKUP(D855,'[1]Cost Sheet'!$C:$D,2,0)</f>
        <v>78.44</v>
      </c>
      <c r="Z855" s="3">
        <f t="shared" si="27"/>
        <v>78.44</v>
      </c>
    </row>
    <row r="856" spans="1:26" x14ac:dyDescent="0.3">
      <c r="A856" s="7" t="s">
        <v>21</v>
      </c>
      <c r="B856" t="s">
        <v>445</v>
      </c>
      <c r="C856" t="s">
        <v>446</v>
      </c>
      <c r="D856" t="s">
        <v>447</v>
      </c>
      <c r="E856" t="s">
        <v>448</v>
      </c>
      <c r="F856" t="s">
        <v>26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 t="s">
        <v>45</v>
      </c>
      <c r="W856" s="2">
        <v>87.899999999999991</v>
      </c>
      <c r="X856" s="3">
        <f t="shared" si="26"/>
        <v>87.899999999999991</v>
      </c>
      <c r="Y856">
        <f>VLOOKUP(D856,'[1]Cost Sheet'!$C:$D,2,0)</f>
        <v>87.9</v>
      </c>
      <c r="Z856" s="3">
        <f t="shared" si="27"/>
        <v>87.9</v>
      </c>
    </row>
    <row r="857" spans="1:26" x14ac:dyDescent="0.3">
      <c r="A857" s="7" t="s">
        <v>21</v>
      </c>
      <c r="B857" t="s">
        <v>445</v>
      </c>
      <c r="C857" t="s">
        <v>446</v>
      </c>
      <c r="D857" t="s">
        <v>447</v>
      </c>
      <c r="E857" t="s">
        <v>448</v>
      </c>
      <c r="F857" t="s">
        <v>26</v>
      </c>
      <c r="G857">
        <v>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4</v>
      </c>
      <c r="T857">
        <v>0</v>
      </c>
      <c r="U857" t="s">
        <v>54</v>
      </c>
      <c r="W857" s="2">
        <v>87.899999999999991</v>
      </c>
      <c r="X857" s="3">
        <f t="shared" si="26"/>
        <v>351.59999999999997</v>
      </c>
      <c r="Y857">
        <f>VLOOKUP(D857,'[1]Cost Sheet'!$C:$D,2,0)</f>
        <v>87.9</v>
      </c>
      <c r="Z857" s="3">
        <f t="shared" si="27"/>
        <v>351.6</v>
      </c>
    </row>
    <row r="858" spans="1:26" x14ac:dyDescent="0.3">
      <c r="A858" s="7" t="s">
        <v>21</v>
      </c>
      <c r="B858" t="s">
        <v>445</v>
      </c>
      <c r="C858" t="s">
        <v>446</v>
      </c>
      <c r="D858" t="s">
        <v>447</v>
      </c>
      <c r="E858" t="s">
        <v>448</v>
      </c>
      <c r="F858" t="s">
        <v>26</v>
      </c>
      <c r="G858">
        <v>4</v>
      </c>
      <c r="H858">
        <v>0</v>
      </c>
      <c r="I858">
        <v>0</v>
      </c>
      <c r="J858">
        <v>-1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</v>
      </c>
      <c r="T858">
        <v>0</v>
      </c>
      <c r="U858" t="s">
        <v>32</v>
      </c>
      <c r="W858" s="2">
        <v>87.899999999999991</v>
      </c>
      <c r="X858" s="3">
        <f t="shared" si="26"/>
        <v>263.7</v>
      </c>
      <c r="Y858">
        <f>VLOOKUP(D858,'[1]Cost Sheet'!$C:$D,2,0)</f>
        <v>87.9</v>
      </c>
      <c r="Z858" s="3">
        <f t="shared" si="27"/>
        <v>263.70000000000005</v>
      </c>
    </row>
    <row r="859" spans="1:26" x14ac:dyDescent="0.3">
      <c r="A859" s="7" t="s">
        <v>21</v>
      </c>
      <c r="B859" t="s">
        <v>445</v>
      </c>
      <c r="C859" t="s">
        <v>446</v>
      </c>
      <c r="D859" t="s">
        <v>447</v>
      </c>
      <c r="E859" t="s">
        <v>448</v>
      </c>
      <c r="F859" t="s">
        <v>26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 t="s">
        <v>46</v>
      </c>
      <c r="W859" s="2">
        <v>87.899999999999991</v>
      </c>
      <c r="X859" s="3">
        <f t="shared" si="26"/>
        <v>87.899999999999991</v>
      </c>
      <c r="Y859">
        <f>VLOOKUP(D859,'[1]Cost Sheet'!$C:$D,2,0)</f>
        <v>87.9</v>
      </c>
      <c r="Z859" s="3">
        <f t="shared" si="27"/>
        <v>87.9</v>
      </c>
    </row>
    <row r="860" spans="1:26" x14ac:dyDescent="0.3">
      <c r="A860" s="7" t="s">
        <v>21</v>
      </c>
      <c r="B860" t="s">
        <v>445</v>
      </c>
      <c r="C860" t="s">
        <v>446</v>
      </c>
      <c r="D860" t="s">
        <v>447</v>
      </c>
      <c r="E860" t="s">
        <v>448</v>
      </c>
      <c r="F860" t="s">
        <v>26</v>
      </c>
      <c r="G860">
        <v>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6</v>
      </c>
      <c r="T860">
        <v>0</v>
      </c>
      <c r="U860" t="s">
        <v>40</v>
      </c>
      <c r="W860" s="2">
        <v>87.899999999999991</v>
      </c>
      <c r="X860" s="3">
        <f t="shared" si="26"/>
        <v>527.4</v>
      </c>
      <c r="Y860">
        <f>VLOOKUP(D860,'[1]Cost Sheet'!$C:$D,2,0)</f>
        <v>87.9</v>
      </c>
      <c r="Z860" s="3">
        <f t="shared" si="27"/>
        <v>527.40000000000009</v>
      </c>
    </row>
    <row r="861" spans="1:26" x14ac:dyDescent="0.3">
      <c r="A861" s="7" t="s">
        <v>21</v>
      </c>
      <c r="B861" t="s">
        <v>445</v>
      </c>
      <c r="C861" t="s">
        <v>446</v>
      </c>
      <c r="D861" t="s">
        <v>447</v>
      </c>
      <c r="E861" t="s">
        <v>448</v>
      </c>
      <c r="F861" t="s">
        <v>26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 t="s">
        <v>48</v>
      </c>
      <c r="W861" s="2">
        <v>87.899999999999991</v>
      </c>
      <c r="X861" s="3">
        <f t="shared" si="26"/>
        <v>87.899999999999991</v>
      </c>
      <c r="Y861">
        <f>VLOOKUP(D861,'[1]Cost Sheet'!$C:$D,2,0)</f>
        <v>87.9</v>
      </c>
      <c r="Z861" s="3">
        <f t="shared" si="27"/>
        <v>87.9</v>
      </c>
    </row>
    <row r="862" spans="1:26" x14ac:dyDescent="0.3">
      <c r="A862" s="7" t="s">
        <v>21</v>
      </c>
      <c r="B862" t="s">
        <v>449</v>
      </c>
      <c r="C862" t="s">
        <v>450</v>
      </c>
      <c r="D862" t="s">
        <v>451</v>
      </c>
      <c r="E862" t="s">
        <v>452</v>
      </c>
      <c r="F862" t="s">
        <v>125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 t="s">
        <v>48</v>
      </c>
      <c r="W862" s="2">
        <v>45.74</v>
      </c>
      <c r="X862" s="3">
        <f t="shared" si="26"/>
        <v>45.74</v>
      </c>
      <c r="Y862">
        <f>VLOOKUP(D862,'[1]Cost Sheet'!$C:$D,2,0)</f>
        <v>45.74</v>
      </c>
      <c r="Z862" s="3">
        <f t="shared" si="27"/>
        <v>45.74</v>
      </c>
    </row>
    <row r="863" spans="1:26" x14ac:dyDescent="0.3">
      <c r="A863" s="7" t="s">
        <v>21</v>
      </c>
      <c r="B863" t="s">
        <v>449</v>
      </c>
      <c r="C863" t="s">
        <v>450</v>
      </c>
      <c r="D863" t="s">
        <v>451</v>
      </c>
      <c r="E863" t="s">
        <v>452</v>
      </c>
      <c r="F863" t="s">
        <v>106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 t="s">
        <v>54</v>
      </c>
      <c r="W863" s="2">
        <v>45.74</v>
      </c>
      <c r="X863" s="3">
        <f t="shared" si="26"/>
        <v>45.74</v>
      </c>
      <c r="Y863">
        <f>VLOOKUP(D863,'[1]Cost Sheet'!$C:$D,2,0)</f>
        <v>45.74</v>
      </c>
      <c r="Z863" s="3">
        <f t="shared" si="27"/>
        <v>45.74</v>
      </c>
    </row>
    <row r="864" spans="1:26" x14ac:dyDescent="0.3">
      <c r="A864" s="7" t="s">
        <v>21</v>
      </c>
      <c r="B864" t="s">
        <v>449</v>
      </c>
      <c r="C864" t="s">
        <v>450</v>
      </c>
      <c r="D864" t="s">
        <v>451</v>
      </c>
      <c r="E864" t="s">
        <v>452</v>
      </c>
      <c r="F864" t="s">
        <v>106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 t="s">
        <v>32</v>
      </c>
      <c r="W864" s="2">
        <v>45.74</v>
      </c>
      <c r="X864" s="3">
        <f t="shared" si="26"/>
        <v>45.74</v>
      </c>
      <c r="Y864">
        <f>VLOOKUP(D864,'[1]Cost Sheet'!$C:$D,2,0)</f>
        <v>45.74</v>
      </c>
      <c r="Z864" s="3">
        <f t="shared" si="27"/>
        <v>45.74</v>
      </c>
    </row>
    <row r="865" spans="1:26" x14ac:dyDescent="0.3">
      <c r="A865" s="7" t="s">
        <v>21</v>
      </c>
      <c r="B865" t="s">
        <v>449</v>
      </c>
      <c r="C865" t="s">
        <v>450</v>
      </c>
      <c r="D865" t="s">
        <v>451</v>
      </c>
      <c r="E865" t="s">
        <v>452</v>
      </c>
      <c r="F865" t="s">
        <v>106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2</v>
      </c>
      <c r="T865">
        <v>0</v>
      </c>
      <c r="U865" t="s">
        <v>48</v>
      </c>
      <c r="W865" s="2">
        <v>45.74</v>
      </c>
      <c r="X865" s="3">
        <f t="shared" si="26"/>
        <v>91.48</v>
      </c>
      <c r="Y865">
        <f>VLOOKUP(D865,'[1]Cost Sheet'!$C:$D,2,0)</f>
        <v>45.74</v>
      </c>
      <c r="Z865" s="3">
        <f t="shared" si="27"/>
        <v>91.48</v>
      </c>
    </row>
    <row r="866" spans="1:26" x14ac:dyDescent="0.3">
      <c r="A866" s="7" t="s">
        <v>21</v>
      </c>
      <c r="B866" t="s">
        <v>449</v>
      </c>
      <c r="C866" t="s">
        <v>450</v>
      </c>
      <c r="D866" t="s">
        <v>451</v>
      </c>
      <c r="E866" t="s">
        <v>452</v>
      </c>
      <c r="F866" t="s">
        <v>26</v>
      </c>
      <c r="G866">
        <v>48</v>
      </c>
      <c r="H866">
        <v>0</v>
      </c>
      <c r="I866">
        <v>0</v>
      </c>
      <c r="J866">
        <v>-1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47</v>
      </c>
      <c r="T866">
        <v>0</v>
      </c>
      <c r="U866" t="s">
        <v>38</v>
      </c>
      <c r="W866" s="2">
        <v>45.74</v>
      </c>
      <c r="X866" s="3">
        <f t="shared" si="26"/>
        <v>2149.7800000000002</v>
      </c>
      <c r="Y866">
        <f>VLOOKUP(D866,'[1]Cost Sheet'!$C:$D,2,0)</f>
        <v>45.74</v>
      </c>
      <c r="Z866" s="3">
        <f t="shared" si="27"/>
        <v>2149.7800000000002</v>
      </c>
    </row>
    <row r="867" spans="1:26" x14ac:dyDescent="0.3">
      <c r="A867" s="7" t="s">
        <v>21</v>
      </c>
      <c r="B867" t="s">
        <v>449</v>
      </c>
      <c r="C867" t="s">
        <v>450</v>
      </c>
      <c r="D867" t="s">
        <v>451</v>
      </c>
      <c r="E867" t="s">
        <v>452</v>
      </c>
      <c r="F867" t="s">
        <v>26</v>
      </c>
      <c r="G867">
        <v>61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61</v>
      </c>
      <c r="T867">
        <v>0</v>
      </c>
      <c r="U867" t="s">
        <v>107</v>
      </c>
      <c r="W867" s="2">
        <v>45.74</v>
      </c>
      <c r="X867" s="3">
        <f t="shared" si="26"/>
        <v>2790.1400000000003</v>
      </c>
      <c r="Y867">
        <f>VLOOKUP(D867,'[1]Cost Sheet'!$C:$D,2,0)</f>
        <v>45.74</v>
      </c>
      <c r="Z867" s="3">
        <f t="shared" si="27"/>
        <v>2790.1400000000003</v>
      </c>
    </row>
    <row r="868" spans="1:26" x14ac:dyDescent="0.3">
      <c r="A868" s="7" t="s">
        <v>21</v>
      </c>
      <c r="B868" t="s">
        <v>449</v>
      </c>
      <c r="C868" t="s">
        <v>450</v>
      </c>
      <c r="D868" t="s">
        <v>451</v>
      </c>
      <c r="E868" t="s">
        <v>452</v>
      </c>
      <c r="F868" t="s">
        <v>26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 t="s">
        <v>45</v>
      </c>
      <c r="W868" s="2">
        <v>45.74</v>
      </c>
      <c r="X868" s="3">
        <f t="shared" si="26"/>
        <v>45.74</v>
      </c>
      <c r="Y868">
        <f>VLOOKUP(D868,'[1]Cost Sheet'!$C:$D,2,0)</f>
        <v>45.74</v>
      </c>
      <c r="Z868" s="3">
        <f t="shared" si="27"/>
        <v>45.74</v>
      </c>
    </row>
    <row r="869" spans="1:26" x14ac:dyDescent="0.3">
      <c r="A869" s="7" t="s">
        <v>21</v>
      </c>
      <c r="B869" t="s">
        <v>449</v>
      </c>
      <c r="C869" t="s">
        <v>450</v>
      </c>
      <c r="D869" t="s">
        <v>451</v>
      </c>
      <c r="E869" t="s">
        <v>452</v>
      </c>
      <c r="F869" t="s">
        <v>26</v>
      </c>
      <c r="G869">
        <v>45</v>
      </c>
      <c r="H869">
        <v>0</v>
      </c>
      <c r="I869">
        <v>0</v>
      </c>
      <c r="J869">
        <v>-1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44</v>
      </c>
      <c r="T869">
        <v>0</v>
      </c>
      <c r="U869" t="s">
        <v>39</v>
      </c>
      <c r="W869" s="2">
        <v>45.74</v>
      </c>
      <c r="X869" s="3">
        <f t="shared" si="26"/>
        <v>2012.5600000000002</v>
      </c>
      <c r="Y869">
        <f>VLOOKUP(D869,'[1]Cost Sheet'!$C:$D,2,0)</f>
        <v>45.74</v>
      </c>
      <c r="Z869" s="3">
        <f t="shared" si="27"/>
        <v>2012.5600000000002</v>
      </c>
    </row>
    <row r="870" spans="1:26" x14ac:dyDescent="0.3">
      <c r="A870" s="7" t="s">
        <v>21</v>
      </c>
      <c r="B870" t="s">
        <v>449</v>
      </c>
      <c r="C870" t="s">
        <v>450</v>
      </c>
      <c r="D870" t="s">
        <v>451</v>
      </c>
      <c r="E870" t="s">
        <v>452</v>
      </c>
      <c r="F870" t="s">
        <v>26</v>
      </c>
      <c r="G870">
        <v>15</v>
      </c>
      <c r="H870">
        <v>0</v>
      </c>
      <c r="I870">
        <v>0</v>
      </c>
      <c r="J870">
        <v>-1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14</v>
      </c>
      <c r="T870">
        <v>0</v>
      </c>
      <c r="U870" t="s">
        <v>53</v>
      </c>
      <c r="W870" s="2">
        <v>45.74</v>
      </c>
      <c r="X870" s="3">
        <f t="shared" si="26"/>
        <v>640.36</v>
      </c>
      <c r="Y870">
        <f>VLOOKUP(D870,'[1]Cost Sheet'!$C:$D,2,0)</f>
        <v>45.74</v>
      </c>
      <c r="Z870" s="3">
        <f t="shared" si="27"/>
        <v>640.36</v>
      </c>
    </row>
    <row r="871" spans="1:26" x14ac:dyDescent="0.3">
      <c r="A871" s="7" t="s">
        <v>21</v>
      </c>
      <c r="B871" t="s">
        <v>449</v>
      </c>
      <c r="C871" t="s">
        <v>450</v>
      </c>
      <c r="D871" t="s">
        <v>451</v>
      </c>
      <c r="E871" t="s">
        <v>452</v>
      </c>
      <c r="F871" t="s">
        <v>26</v>
      </c>
      <c r="G871">
        <v>19</v>
      </c>
      <c r="H871">
        <v>0</v>
      </c>
      <c r="I871">
        <v>0</v>
      </c>
      <c r="J871">
        <v>-1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18</v>
      </c>
      <c r="T871">
        <v>0</v>
      </c>
      <c r="U871" t="s">
        <v>54</v>
      </c>
      <c r="W871" s="2">
        <v>45.74</v>
      </c>
      <c r="X871" s="3">
        <f t="shared" si="26"/>
        <v>823.32</v>
      </c>
      <c r="Y871">
        <f>VLOOKUP(D871,'[1]Cost Sheet'!$C:$D,2,0)</f>
        <v>45.74</v>
      </c>
      <c r="Z871" s="3">
        <f t="shared" si="27"/>
        <v>823.32</v>
      </c>
    </row>
    <row r="872" spans="1:26" x14ac:dyDescent="0.3">
      <c r="A872" s="7" t="s">
        <v>21</v>
      </c>
      <c r="B872" t="s">
        <v>449</v>
      </c>
      <c r="C872" t="s">
        <v>450</v>
      </c>
      <c r="D872" t="s">
        <v>451</v>
      </c>
      <c r="E872" t="s">
        <v>452</v>
      </c>
      <c r="F872" t="s">
        <v>26</v>
      </c>
      <c r="G872">
        <v>46</v>
      </c>
      <c r="H872">
        <v>0</v>
      </c>
      <c r="I872">
        <v>0</v>
      </c>
      <c r="J872">
        <v>-2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44</v>
      </c>
      <c r="T872">
        <v>0</v>
      </c>
      <c r="U872" t="s">
        <v>32</v>
      </c>
      <c r="W872" s="2">
        <v>45.74</v>
      </c>
      <c r="X872" s="3">
        <f t="shared" si="26"/>
        <v>2012.5600000000002</v>
      </c>
      <c r="Y872">
        <f>VLOOKUP(D872,'[1]Cost Sheet'!$C:$D,2,0)</f>
        <v>45.74</v>
      </c>
      <c r="Z872" s="3">
        <f t="shared" si="27"/>
        <v>2012.5600000000002</v>
      </c>
    </row>
    <row r="873" spans="1:26" x14ac:dyDescent="0.3">
      <c r="A873" s="7" t="s">
        <v>21</v>
      </c>
      <c r="B873" t="s">
        <v>449</v>
      </c>
      <c r="C873" t="s">
        <v>450</v>
      </c>
      <c r="D873" t="s">
        <v>451</v>
      </c>
      <c r="E873" t="s">
        <v>452</v>
      </c>
      <c r="F873" t="s">
        <v>26</v>
      </c>
      <c r="G873">
        <v>2</v>
      </c>
      <c r="H873">
        <v>0</v>
      </c>
      <c r="I873">
        <v>0</v>
      </c>
      <c r="J873">
        <v>-1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 t="s">
        <v>33</v>
      </c>
      <c r="W873" s="2">
        <v>45.74</v>
      </c>
      <c r="X873" s="3">
        <f t="shared" si="26"/>
        <v>45.74</v>
      </c>
      <c r="Y873">
        <f>VLOOKUP(D873,'[1]Cost Sheet'!$C:$D,2,0)</f>
        <v>45.74</v>
      </c>
      <c r="Z873" s="3">
        <f t="shared" si="27"/>
        <v>45.74</v>
      </c>
    </row>
    <row r="874" spans="1:26" x14ac:dyDescent="0.3">
      <c r="A874" s="7" t="s">
        <v>21</v>
      </c>
      <c r="B874" t="s">
        <v>449</v>
      </c>
      <c r="C874" t="s">
        <v>450</v>
      </c>
      <c r="D874" t="s">
        <v>451</v>
      </c>
      <c r="E874" t="s">
        <v>452</v>
      </c>
      <c r="F874" t="s">
        <v>26</v>
      </c>
      <c r="G874">
        <v>89</v>
      </c>
      <c r="H874">
        <v>0</v>
      </c>
      <c r="I874">
        <v>0</v>
      </c>
      <c r="J874">
        <v>-2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87</v>
      </c>
      <c r="T874">
        <v>0</v>
      </c>
      <c r="U874" t="s">
        <v>46</v>
      </c>
      <c r="W874" s="2">
        <v>45.74</v>
      </c>
      <c r="X874" s="3">
        <f t="shared" si="26"/>
        <v>3979.38</v>
      </c>
      <c r="Y874">
        <f>VLOOKUP(D874,'[1]Cost Sheet'!$C:$D,2,0)</f>
        <v>45.74</v>
      </c>
      <c r="Z874" s="3">
        <f t="shared" si="27"/>
        <v>3979.38</v>
      </c>
    </row>
    <row r="875" spans="1:26" x14ac:dyDescent="0.3">
      <c r="A875" s="7" t="s">
        <v>21</v>
      </c>
      <c r="B875" t="s">
        <v>449</v>
      </c>
      <c r="C875" t="s">
        <v>450</v>
      </c>
      <c r="D875" t="s">
        <v>451</v>
      </c>
      <c r="E875" t="s">
        <v>452</v>
      </c>
      <c r="F875" t="s">
        <v>26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 t="s">
        <v>111</v>
      </c>
      <c r="W875" s="2">
        <v>45.74</v>
      </c>
      <c r="X875" s="3">
        <f t="shared" si="26"/>
        <v>45.74</v>
      </c>
      <c r="Y875">
        <f>VLOOKUP(D875,'[1]Cost Sheet'!$C:$D,2,0)</f>
        <v>45.74</v>
      </c>
      <c r="Z875" s="3">
        <f t="shared" si="27"/>
        <v>45.74</v>
      </c>
    </row>
    <row r="876" spans="1:26" x14ac:dyDescent="0.3">
      <c r="A876" s="7" t="s">
        <v>21</v>
      </c>
      <c r="B876" t="s">
        <v>449</v>
      </c>
      <c r="C876" t="s">
        <v>450</v>
      </c>
      <c r="D876" t="s">
        <v>451</v>
      </c>
      <c r="E876" t="s">
        <v>452</v>
      </c>
      <c r="F876" t="s">
        <v>26</v>
      </c>
      <c r="G876">
        <v>58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58</v>
      </c>
      <c r="T876">
        <v>0</v>
      </c>
      <c r="U876" t="s">
        <v>47</v>
      </c>
      <c r="W876" s="2">
        <v>45.74</v>
      </c>
      <c r="X876" s="3">
        <f t="shared" si="26"/>
        <v>2652.92</v>
      </c>
      <c r="Y876">
        <f>VLOOKUP(D876,'[1]Cost Sheet'!$C:$D,2,0)</f>
        <v>45.74</v>
      </c>
      <c r="Z876" s="3">
        <f t="shared" si="27"/>
        <v>2652.92</v>
      </c>
    </row>
    <row r="877" spans="1:26" x14ac:dyDescent="0.3">
      <c r="A877" s="7" t="s">
        <v>21</v>
      </c>
      <c r="B877" t="s">
        <v>449</v>
      </c>
      <c r="C877" t="s">
        <v>450</v>
      </c>
      <c r="D877" t="s">
        <v>451</v>
      </c>
      <c r="E877" t="s">
        <v>452</v>
      </c>
      <c r="F877" t="s">
        <v>26</v>
      </c>
      <c r="G877">
        <v>43</v>
      </c>
      <c r="H877">
        <v>0</v>
      </c>
      <c r="I877">
        <v>0</v>
      </c>
      <c r="J877">
        <v>-3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40</v>
      </c>
      <c r="T877">
        <v>0</v>
      </c>
      <c r="U877" t="s">
        <v>40</v>
      </c>
      <c r="W877" s="2">
        <v>45.74</v>
      </c>
      <c r="X877" s="3">
        <f t="shared" si="26"/>
        <v>1829.6000000000001</v>
      </c>
      <c r="Y877">
        <f>VLOOKUP(D877,'[1]Cost Sheet'!$C:$D,2,0)</f>
        <v>45.74</v>
      </c>
      <c r="Z877" s="3">
        <f t="shared" si="27"/>
        <v>1829.6000000000001</v>
      </c>
    </row>
    <row r="878" spans="1:26" x14ac:dyDescent="0.3">
      <c r="A878" s="7" t="s">
        <v>21</v>
      </c>
      <c r="B878" t="s">
        <v>449</v>
      </c>
      <c r="C878" t="s">
        <v>450</v>
      </c>
      <c r="D878" t="s">
        <v>451</v>
      </c>
      <c r="E878" t="s">
        <v>452</v>
      </c>
      <c r="F878" t="s">
        <v>26</v>
      </c>
      <c r="G878">
        <v>114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114</v>
      </c>
      <c r="T878">
        <v>0</v>
      </c>
      <c r="U878" t="s">
        <v>113</v>
      </c>
      <c r="W878" s="2">
        <v>45.74</v>
      </c>
      <c r="X878" s="3">
        <f t="shared" si="26"/>
        <v>5214.3600000000006</v>
      </c>
      <c r="Y878">
        <f>VLOOKUP(D878,'[1]Cost Sheet'!$C:$D,2,0)</f>
        <v>45.74</v>
      </c>
      <c r="Z878" s="3">
        <f t="shared" si="27"/>
        <v>5214.3600000000006</v>
      </c>
    </row>
    <row r="879" spans="1:26" x14ac:dyDescent="0.3">
      <c r="A879" s="7" t="s">
        <v>21</v>
      </c>
      <c r="B879" t="s">
        <v>449</v>
      </c>
      <c r="C879" t="s">
        <v>450</v>
      </c>
      <c r="D879" t="s">
        <v>451</v>
      </c>
      <c r="E879" t="s">
        <v>452</v>
      </c>
      <c r="F879" t="s">
        <v>26</v>
      </c>
      <c r="G879">
        <v>26</v>
      </c>
      <c r="H879">
        <v>0</v>
      </c>
      <c r="I879">
        <v>0</v>
      </c>
      <c r="J879">
        <v>-3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23</v>
      </c>
      <c r="T879">
        <v>0</v>
      </c>
      <c r="U879" t="s">
        <v>48</v>
      </c>
      <c r="W879" s="2">
        <v>45.74</v>
      </c>
      <c r="X879" s="3">
        <f t="shared" si="26"/>
        <v>1052.02</v>
      </c>
      <c r="Y879">
        <f>VLOOKUP(D879,'[1]Cost Sheet'!$C:$D,2,0)</f>
        <v>45.74</v>
      </c>
      <c r="Z879" s="3">
        <f t="shared" si="27"/>
        <v>1052.02</v>
      </c>
    </row>
    <row r="880" spans="1:26" x14ac:dyDescent="0.3">
      <c r="A880" s="7" t="s">
        <v>21</v>
      </c>
      <c r="B880" t="s">
        <v>449</v>
      </c>
      <c r="C880" t="s">
        <v>450</v>
      </c>
      <c r="D880" t="s">
        <v>451</v>
      </c>
      <c r="E880" t="s">
        <v>452</v>
      </c>
      <c r="F880" t="s">
        <v>26</v>
      </c>
      <c r="G880">
        <v>1</v>
      </c>
      <c r="H880">
        <v>0</v>
      </c>
      <c r="I880">
        <v>0</v>
      </c>
      <c r="J880">
        <v>-1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59</v>
      </c>
      <c r="W880" s="2">
        <v>45.74</v>
      </c>
      <c r="X880" s="3">
        <f t="shared" si="26"/>
        <v>0</v>
      </c>
      <c r="Y880">
        <f>VLOOKUP(D880,'[1]Cost Sheet'!$C:$D,2,0)</f>
        <v>45.74</v>
      </c>
      <c r="Z880" s="3">
        <f t="shared" si="27"/>
        <v>0</v>
      </c>
    </row>
    <row r="881" spans="1:26" x14ac:dyDescent="0.3">
      <c r="A881" s="7" t="s">
        <v>21</v>
      </c>
      <c r="B881" t="s">
        <v>449</v>
      </c>
      <c r="C881" t="s">
        <v>450</v>
      </c>
      <c r="D881" t="s">
        <v>451</v>
      </c>
      <c r="E881" t="s">
        <v>452</v>
      </c>
      <c r="F881" t="s">
        <v>26</v>
      </c>
      <c r="G881">
        <v>21</v>
      </c>
      <c r="H881">
        <v>0</v>
      </c>
      <c r="I881">
        <v>0</v>
      </c>
      <c r="J881">
        <v>-2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19</v>
      </c>
      <c r="T881">
        <v>0</v>
      </c>
      <c r="U881" t="s">
        <v>27</v>
      </c>
      <c r="W881" s="2">
        <v>45.74</v>
      </c>
      <c r="X881" s="3">
        <f t="shared" si="26"/>
        <v>869.06000000000006</v>
      </c>
      <c r="Y881">
        <f>VLOOKUP(D881,'[1]Cost Sheet'!$C:$D,2,0)</f>
        <v>45.74</v>
      </c>
      <c r="Z881" s="3">
        <f t="shared" si="27"/>
        <v>869.06000000000006</v>
      </c>
    </row>
    <row r="882" spans="1:26" x14ac:dyDescent="0.3">
      <c r="A882" s="7" t="s">
        <v>21</v>
      </c>
      <c r="B882" t="s">
        <v>453</v>
      </c>
      <c r="C882" t="s">
        <v>454</v>
      </c>
      <c r="D882" t="s">
        <v>455</v>
      </c>
      <c r="E882" t="s">
        <v>456</v>
      </c>
      <c r="F882" t="s">
        <v>125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 t="s">
        <v>54</v>
      </c>
      <c r="W882" s="2">
        <v>260.78461538461534</v>
      </c>
      <c r="X882" s="3">
        <f t="shared" si="26"/>
        <v>260.78461538461534</v>
      </c>
      <c r="Y882">
        <f>VLOOKUP(D882,'[1]Cost Sheet'!$C:$D,2,0)</f>
        <v>260.45999999999998</v>
      </c>
      <c r="Z882" s="3">
        <f t="shared" si="27"/>
        <v>260.45999999999998</v>
      </c>
    </row>
    <row r="883" spans="1:26" x14ac:dyDescent="0.3">
      <c r="A883" s="7" t="s">
        <v>21</v>
      </c>
      <c r="B883" t="s">
        <v>453</v>
      </c>
      <c r="C883" t="s">
        <v>454</v>
      </c>
      <c r="D883" t="s">
        <v>455</v>
      </c>
      <c r="E883" t="s">
        <v>456</v>
      </c>
      <c r="F883" t="s">
        <v>106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 t="s">
        <v>38</v>
      </c>
      <c r="W883" s="2">
        <v>260.78461538461534</v>
      </c>
      <c r="X883" s="3">
        <f t="shared" si="26"/>
        <v>260.78461538461534</v>
      </c>
      <c r="Y883">
        <f>VLOOKUP(D883,'[1]Cost Sheet'!$C:$D,2,0)</f>
        <v>260.45999999999998</v>
      </c>
      <c r="Z883" s="3">
        <f t="shared" si="27"/>
        <v>260.45999999999998</v>
      </c>
    </row>
    <row r="884" spans="1:26" x14ac:dyDescent="0.3">
      <c r="A884" s="7" t="s">
        <v>21</v>
      </c>
      <c r="B884" t="s">
        <v>453</v>
      </c>
      <c r="C884" t="s">
        <v>454</v>
      </c>
      <c r="D884" t="s">
        <v>455</v>
      </c>
      <c r="E884" t="s">
        <v>456</v>
      </c>
      <c r="F884" t="s">
        <v>130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 t="s">
        <v>33</v>
      </c>
      <c r="W884" s="2">
        <v>260.78461538461534</v>
      </c>
      <c r="X884" s="3">
        <f t="shared" si="26"/>
        <v>260.78461538461534</v>
      </c>
      <c r="Y884">
        <f>VLOOKUP(D884,'[1]Cost Sheet'!$C:$D,2,0)</f>
        <v>260.45999999999998</v>
      </c>
      <c r="Z884" s="3">
        <f t="shared" si="27"/>
        <v>260.45999999999998</v>
      </c>
    </row>
    <row r="885" spans="1:26" x14ac:dyDescent="0.3">
      <c r="A885" s="7" t="s">
        <v>21</v>
      </c>
      <c r="B885" t="s">
        <v>453</v>
      </c>
      <c r="C885" t="s">
        <v>454</v>
      </c>
      <c r="D885" t="s">
        <v>455</v>
      </c>
      <c r="E885" t="s">
        <v>456</v>
      </c>
      <c r="F885" t="s">
        <v>26</v>
      </c>
      <c r="G885">
        <v>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8</v>
      </c>
      <c r="T885">
        <v>0</v>
      </c>
      <c r="U885" t="s">
        <v>38</v>
      </c>
      <c r="W885" s="2">
        <v>260.78461538461534</v>
      </c>
      <c r="X885" s="3">
        <f t="shared" si="26"/>
        <v>2086.2769230769227</v>
      </c>
      <c r="Y885">
        <f>VLOOKUP(D885,'[1]Cost Sheet'!$C:$D,2,0)</f>
        <v>260.45999999999998</v>
      </c>
      <c r="Z885" s="3">
        <f t="shared" si="27"/>
        <v>2083.6799999999998</v>
      </c>
    </row>
    <row r="886" spans="1:26" x14ac:dyDescent="0.3">
      <c r="A886" s="7" t="s">
        <v>21</v>
      </c>
      <c r="B886" t="s">
        <v>453</v>
      </c>
      <c r="C886" t="s">
        <v>454</v>
      </c>
      <c r="D886" t="s">
        <v>455</v>
      </c>
      <c r="E886" t="s">
        <v>456</v>
      </c>
      <c r="F886" t="s">
        <v>26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 t="s">
        <v>45</v>
      </c>
      <c r="W886" s="2">
        <v>260.78461538461534</v>
      </c>
      <c r="X886" s="3">
        <f t="shared" si="26"/>
        <v>260.78461538461534</v>
      </c>
      <c r="Y886">
        <f>VLOOKUP(D886,'[1]Cost Sheet'!$C:$D,2,0)</f>
        <v>260.45999999999998</v>
      </c>
      <c r="Z886" s="3">
        <f t="shared" si="27"/>
        <v>260.45999999999998</v>
      </c>
    </row>
    <row r="887" spans="1:26" x14ac:dyDescent="0.3">
      <c r="A887" s="7" t="s">
        <v>21</v>
      </c>
      <c r="B887" t="s">
        <v>453</v>
      </c>
      <c r="C887" t="s">
        <v>454</v>
      </c>
      <c r="D887" t="s">
        <v>455</v>
      </c>
      <c r="E887" t="s">
        <v>456</v>
      </c>
      <c r="F887" t="s">
        <v>26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 t="s">
        <v>40</v>
      </c>
      <c r="W887" s="2">
        <v>260.78461538461534</v>
      </c>
      <c r="X887" s="3">
        <f t="shared" si="26"/>
        <v>260.78461538461534</v>
      </c>
      <c r="Y887">
        <f>VLOOKUP(D887,'[1]Cost Sheet'!$C:$D,2,0)</f>
        <v>260.45999999999998</v>
      </c>
      <c r="Z887" s="3">
        <f t="shared" si="27"/>
        <v>260.45999999999998</v>
      </c>
    </row>
    <row r="888" spans="1:26" x14ac:dyDescent="0.3">
      <c r="A888" s="7" t="s">
        <v>21</v>
      </c>
      <c r="B888" t="s">
        <v>453</v>
      </c>
      <c r="C888" t="s">
        <v>454</v>
      </c>
      <c r="D888" t="s">
        <v>455</v>
      </c>
      <c r="E888" t="s">
        <v>456</v>
      </c>
      <c r="F888" t="s">
        <v>26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 t="s">
        <v>59</v>
      </c>
      <c r="W888" s="2">
        <v>260.78461538461534</v>
      </c>
      <c r="X888" s="3">
        <f t="shared" si="26"/>
        <v>260.78461538461534</v>
      </c>
      <c r="Y888">
        <f>VLOOKUP(D888,'[1]Cost Sheet'!$C:$D,2,0)</f>
        <v>260.45999999999998</v>
      </c>
      <c r="Z888" s="3">
        <f t="shared" si="27"/>
        <v>260.45999999999998</v>
      </c>
    </row>
    <row r="889" spans="1:26" x14ac:dyDescent="0.3">
      <c r="A889" s="7" t="s">
        <v>21</v>
      </c>
      <c r="B889" t="s">
        <v>453</v>
      </c>
      <c r="C889" t="s">
        <v>454</v>
      </c>
      <c r="D889" t="s">
        <v>455</v>
      </c>
      <c r="E889" t="s">
        <v>456</v>
      </c>
      <c r="F889" t="s">
        <v>26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 t="s">
        <v>27</v>
      </c>
      <c r="W889" s="2">
        <v>260.78461538461534</v>
      </c>
      <c r="X889" s="3">
        <f t="shared" si="26"/>
        <v>260.78461538461534</v>
      </c>
      <c r="Y889">
        <f>VLOOKUP(D889,'[1]Cost Sheet'!$C:$D,2,0)</f>
        <v>260.45999999999998</v>
      </c>
      <c r="Z889" s="3">
        <f t="shared" si="27"/>
        <v>260.45999999999998</v>
      </c>
    </row>
    <row r="890" spans="1:26" x14ac:dyDescent="0.3">
      <c r="A890" s="7" t="s">
        <v>21</v>
      </c>
      <c r="B890" t="s">
        <v>453</v>
      </c>
      <c r="C890" t="s">
        <v>454</v>
      </c>
      <c r="D890" t="s">
        <v>455</v>
      </c>
      <c r="E890" t="s">
        <v>456</v>
      </c>
      <c r="F890" t="s">
        <v>114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 t="s">
        <v>54</v>
      </c>
      <c r="W890" s="2">
        <v>260.78461538461534</v>
      </c>
      <c r="X890" s="3">
        <f t="shared" si="26"/>
        <v>260.78461538461534</v>
      </c>
      <c r="Y890">
        <f>VLOOKUP(D890,'[1]Cost Sheet'!$C:$D,2,0)</f>
        <v>260.45999999999998</v>
      </c>
      <c r="Z890" s="3">
        <f t="shared" si="27"/>
        <v>260.45999999999998</v>
      </c>
    </row>
    <row r="891" spans="1:26" x14ac:dyDescent="0.3">
      <c r="A891" s="7" t="s">
        <v>21</v>
      </c>
      <c r="B891" t="s">
        <v>457</v>
      </c>
      <c r="C891" t="s">
        <v>458</v>
      </c>
      <c r="D891" t="s">
        <v>459</v>
      </c>
      <c r="E891" t="s">
        <v>460</v>
      </c>
      <c r="F891" t="s">
        <v>26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 t="s">
        <v>33</v>
      </c>
      <c r="W891" s="2">
        <v>94.559999999999988</v>
      </c>
      <c r="X891" s="3">
        <f t="shared" si="26"/>
        <v>94.559999999999988</v>
      </c>
      <c r="Y891">
        <f>VLOOKUP(D891,'[1]Cost Sheet'!$C:$D,2,0)</f>
        <v>94.559999999999988</v>
      </c>
      <c r="Z891" s="3">
        <f t="shared" si="27"/>
        <v>94.559999999999988</v>
      </c>
    </row>
    <row r="892" spans="1:26" x14ac:dyDescent="0.3">
      <c r="A892" s="7" t="s">
        <v>21</v>
      </c>
      <c r="B892" t="s">
        <v>461</v>
      </c>
      <c r="C892" t="s">
        <v>462</v>
      </c>
      <c r="D892" t="s">
        <v>463</v>
      </c>
      <c r="E892" t="s">
        <v>464</v>
      </c>
      <c r="F892" t="s">
        <v>125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 t="s">
        <v>151</v>
      </c>
      <c r="W892" s="2">
        <v>53.14</v>
      </c>
      <c r="X892" s="3">
        <f t="shared" si="26"/>
        <v>53.14</v>
      </c>
      <c r="Y892">
        <f>VLOOKUP(D892,'[1]Cost Sheet'!$C:$D,2,0)</f>
        <v>53.08</v>
      </c>
      <c r="Z892" s="3">
        <f t="shared" si="27"/>
        <v>53.08</v>
      </c>
    </row>
    <row r="893" spans="1:26" x14ac:dyDescent="0.3">
      <c r="A893" s="7" t="s">
        <v>21</v>
      </c>
      <c r="B893" t="s">
        <v>461</v>
      </c>
      <c r="C893" t="s">
        <v>462</v>
      </c>
      <c r="D893" t="s">
        <v>463</v>
      </c>
      <c r="E893" t="s">
        <v>464</v>
      </c>
      <c r="F893" t="s">
        <v>125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-2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 t="s">
        <v>45</v>
      </c>
      <c r="W893" s="2">
        <v>53.14</v>
      </c>
      <c r="X893" s="3">
        <f t="shared" si="26"/>
        <v>0</v>
      </c>
      <c r="Y893">
        <f>VLOOKUP(D893,'[1]Cost Sheet'!$C:$D,2,0)</f>
        <v>53.08</v>
      </c>
      <c r="Z893" s="3">
        <f t="shared" si="27"/>
        <v>0</v>
      </c>
    </row>
    <row r="894" spans="1:26" x14ac:dyDescent="0.3">
      <c r="A894" s="7" t="s">
        <v>21</v>
      </c>
      <c r="B894" t="s">
        <v>461</v>
      </c>
      <c r="C894" t="s">
        <v>462</v>
      </c>
      <c r="D894" t="s">
        <v>463</v>
      </c>
      <c r="E894" t="s">
        <v>464</v>
      </c>
      <c r="F894" t="s">
        <v>125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</v>
      </c>
      <c r="T894">
        <v>0</v>
      </c>
      <c r="U894" t="s">
        <v>108</v>
      </c>
      <c r="W894" s="2">
        <v>53.14</v>
      </c>
      <c r="X894" s="3">
        <f t="shared" si="26"/>
        <v>106.28</v>
      </c>
      <c r="Y894">
        <f>VLOOKUP(D894,'[1]Cost Sheet'!$C:$D,2,0)</f>
        <v>53.08</v>
      </c>
      <c r="Z894" s="3">
        <f t="shared" si="27"/>
        <v>106.16</v>
      </c>
    </row>
    <row r="895" spans="1:26" x14ac:dyDescent="0.3">
      <c r="A895" s="7" t="s">
        <v>21</v>
      </c>
      <c r="B895" t="s">
        <v>461</v>
      </c>
      <c r="C895" t="s">
        <v>462</v>
      </c>
      <c r="D895" t="s">
        <v>463</v>
      </c>
      <c r="E895" t="s">
        <v>464</v>
      </c>
      <c r="F895" t="s">
        <v>106</v>
      </c>
      <c r="G895">
        <v>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 t="s">
        <v>38</v>
      </c>
      <c r="W895" s="2">
        <v>53.14</v>
      </c>
      <c r="X895" s="3">
        <f t="shared" si="26"/>
        <v>212.56</v>
      </c>
      <c r="Y895">
        <f>VLOOKUP(D895,'[1]Cost Sheet'!$C:$D,2,0)</f>
        <v>53.08</v>
      </c>
      <c r="Z895" s="3">
        <f t="shared" si="27"/>
        <v>212.32</v>
      </c>
    </row>
    <row r="896" spans="1:26" x14ac:dyDescent="0.3">
      <c r="A896" s="7" t="s">
        <v>21</v>
      </c>
      <c r="B896" t="s">
        <v>461</v>
      </c>
      <c r="C896" t="s">
        <v>462</v>
      </c>
      <c r="D896" t="s">
        <v>463</v>
      </c>
      <c r="E896" t="s">
        <v>464</v>
      </c>
      <c r="F896" t="s">
        <v>106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 t="s">
        <v>107</v>
      </c>
      <c r="W896" s="2">
        <v>53.14</v>
      </c>
      <c r="X896" s="3">
        <f t="shared" si="26"/>
        <v>53.14</v>
      </c>
      <c r="Y896">
        <f>VLOOKUP(D896,'[1]Cost Sheet'!$C:$D,2,0)</f>
        <v>53.08</v>
      </c>
      <c r="Z896" s="3">
        <f t="shared" si="27"/>
        <v>53.08</v>
      </c>
    </row>
    <row r="897" spans="1:26" x14ac:dyDescent="0.3">
      <c r="A897" s="7" t="s">
        <v>21</v>
      </c>
      <c r="B897" t="s">
        <v>461</v>
      </c>
      <c r="C897" t="s">
        <v>462</v>
      </c>
      <c r="D897" t="s">
        <v>463</v>
      </c>
      <c r="E897" t="s">
        <v>464</v>
      </c>
      <c r="F897" t="s">
        <v>106</v>
      </c>
      <c r="G897">
        <v>6</v>
      </c>
      <c r="H897">
        <v>0</v>
      </c>
      <c r="I897">
        <v>0</v>
      </c>
      <c r="J897">
        <v>0</v>
      </c>
      <c r="K897">
        <v>0</v>
      </c>
      <c r="L897">
        <v>-3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3</v>
      </c>
      <c r="T897">
        <v>0</v>
      </c>
      <c r="U897" t="s">
        <v>45</v>
      </c>
      <c r="W897" s="2">
        <v>53.14</v>
      </c>
      <c r="X897" s="3">
        <f t="shared" si="26"/>
        <v>159.42000000000002</v>
      </c>
      <c r="Y897">
        <f>VLOOKUP(D897,'[1]Cost Sheet'!$C:$D,2,0)</f>
        <v>53.08</v>
      </c>
      <c r="Z897" s="3">
        <f t="shared" si="27"/>
        <v>159.24</v>
      </c>
    </row>
    <row r="898" spans="1:26" x14ac:dyDescent="0.3">
      <c r="A898" s="7" t="s">
        <v>21</v>
      </c>
      <c r="B898" t="s">
        <v>461</v>
      </c>
      <c r="C898" t="s">
        <v>462</v>
      </c>
      <c r="D898" t="s">
        <v>463</v>
      </c>
      <c r="E898" t="s">
        <v>464</v>
      </c>
      <c r="F898" t="s">
        <v>106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3</v>
      </c>
      <c r="T898">
        <v>0</v>
      </c>
      <c r="U898" t="s">
        <v>53</v>
      </c>
      <c r="W898" s="2">
        <v>53.14</v>
      </c>
      <c r="X898" s="3">
        <f t="shared" si="26"/>
        <v>159.42000000000002</v>
      </c>
      <c r="Y898">
        <f>VLOOKUP(D898,'[1]Cost Sheet'!$C:$D,2,0)</f>
        <v>53.08</v>
      </c>
      <c r="Z898" s="3">
        <f t="shared" si="27"/>
        <v>159.24</v>
      </c>
    </row>
    <row r="899" spans="1:26" x14ac:dyDescent="0.3">
      <c r="A899" s="7" t="s">
        <v>21</v>
      </c>
      <c r="B899" t="s">
        <v>461</v>
      </c>
      <c r="C899" t="s">
        <v>462</v>
      </c>
      <c r="D899" t="s">
        <v>463</v>
      </c>
      <c r="E899" t="s">
        <v>464</v>
      </c>
      <c r="F899" t="s">
        <v>106</v>
      </c>
      <c r="G899">
        <v>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5</v>
      </c>
      <c r="T899">
        <v>0</v>
      </c>
      <c r="U899" t="s">
        <v>54</v>
      </c>
      <c r="W899" s="2">
        <v>53.14</v>
      </c>
      <c r="X899" s="3">
        <f t="shared" ref="X899:X962" si="28">S899*W899</f>
        <v>265.7</v>
      </c>
      <c r="Y899">
        <f>VLOOKUP(D899,'[1]Cost Sheet'!$C:$D,2,0)</f>
        <v>53.08</v>
      </c>
      <c r="Z899" s="3">
        <f t="shared" ref="Z899:Z962" si="29">Y899*S899</f>
        <v>265.39999999999998</v>
      </c>
    </row>
    <row r="900" spans="1:26" x14ac:dyDescent="0.3">
      <c r="A900" s="7" t="s">
        <v>21</v>
      </c>
      <c r="B900" t="s">
        <v>461</v>
      </c>
      <c r="C900" t="s">
        <v>462</v>
      </c>
      <c r="D900" t="s">
        <v>463</v>
      </c>
      <c r="E900" t="s">
        <v>464</v>
      </c>
      <c r="F900" t="s">
        <v>106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5</v>
      </c>
      <c r="T900">
        <v>0</v>
      </c>
      <c r="U900" t="s">
        <v>32</v>
      </c>
      <c r="W900" s="2">
        <v>53.14</v>
      </c>
      <c r="X900" s="3">
        <f t="shared" si="28"/>
        <v>265.7</v>
      </c>
      <c r="Y900">
        <f>VLOOKUP(D900,'[1]Cost Sheet'!$C:$D,2,0)</f>
        <v>53.08</v>
      </c>
      <c r="Z900" s="3">
        <f t="shared" si="29"/>
        <v>265.39999999999998</v>
      </c>
    </row>
    <row r="901" spans="1:26" x14ac:dyDescent="0.3">
      <c r="A901" s="7" t="s">
        <v>21</v>
      </c>
      <c r="B901" t="s">
        <v>461</v>
      </c>
      <c r="C901" t="s">
        <v>462</v>
      </c>
      <c r="D901" t="s">
        <v>463</v>
      </c>
      <c r="E901" t="s">
        <v>464</v>
      </c>
      <c r="F901" t="s">
        <v>106</v>
      </c>
      <c r="G901">
        <v>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7</v>
      </c>
      <c r="T901">
        <v>0</v>
      </c>
      <c r="U901" t="s">
        <v>33</v>
      </c>
      <c r="W901" s="2">
        <v>53.14</v>
      </c>
      <c r="X901" s="3">
        <f t="shared" si="28"/>
        <v>371.98</v>
      </c>
      <c r="Y901">
        <f>VLOOKUP(D901,'[1]Cost Sheet'!$C:$D,2,0)</f>
        <v>53.08</v>
      </c>
      <c r="Z901" s="3">
        <f t="shared" si="29"/>
        <v>371.56</v>
      </c>
    </row>
    <row r="902" spans="1:26" x14ac:dyDescent="0.3">
      <c r="A902" s="7" t="s">
        <v>21</v>
      </c>
      <c r="B902" t="s">
        <v>461</v>
      </c>
      <c r="C902" t="s">
        <v>462</v>
      </c>
      <c r="D902" t="s">
        <v>463</v>
      </c>
      <c r="E902" t="s">
        <v>464</v>
      </c>
      <c r="F902" t="s">
        <v>106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4</v>
      </c>
      <c r="T902">
        <v>0</v>
      </c>
      <c r="U902" t="s">
        <v>46</v>
      </c>
      <c r="W902" s="2">
        <v>53.14</v>
      </c>
      <c r="X902" s="3">
        <f t="shared" si="28"/>
        <v>212.56</v>
      </c>
      <c r="Y902">
        <f>VLOOKUP(D902,'[1]Cost Sheet'!$C:$D,2,0)</f>
        <v>53.08</v>
      </c>
      <c r="Z902" s="3">
        <f t="shared" si="29"/>
        <v>212.32</v>
      </c>
    </row>
    <row r="903" spans="1:26" x14ac:dyDescent="0.3">
      <c r="A903" s="7" t="s">
        <v>21</v>
      </c>
      <c r="B903" t="s">
        <v>461</v>
      </c>
      <c r="C903" t="s">
        <v>462</v>
      </c>
      <c r="D903" t="s">
        <v>463</v>
      </c>
      <c r="E903" t="s">
        <v>464</v>
      </c>
      <c r="F903" t="s">
        <v>106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</v>
      </c>
      <c r="T903">
        <v>0</v>
      </c>
      <c r="U903" t="s">
        <v>47</v>
      </c>
      <c r="W903" s="2">
        <v>53.14</v>
      </c>
      <c r="X903" s="3">
        <f t="shared" si="28"/>
        <v>106.28</v>
      </c>
      <c r="Y903">
        <f>VLOOKUP(D903,'[1]Cost Sheet'!$C:$D,2,0)</f>
        <v>53.08</v>
      </c>
      <c r="Z903" s="3">
        <f t="shared" si="29"/>
        <v>106.16</v>
      </c>
    </row>
    <row r="904" spans="1:26" x14ac:dyDescent="0.3">
      <c r="A904" s="7" t="s">
        <v>21</v>
      </c>
      <c r="B904" t="s">
        <v>461</v>
      </c>
      <c r="C904" t="s">
        <v>462</v>
      </c>
      <c r="D904" t="s">
        <v>463</v>
      </c>
      <c r="E904" t="s">
        <v>464</v>
      </c>
      <c r="F904" t="s">
        <v>106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</v>
      </c>
      <c r="T904">
        <v>0</v>
      </c>
      <c r="U904" t="s">
        <v>40</v>
      </c>
      <c r="W904" s="2">
        <v>53.14</v>
      </c>
      <c r="X904" s="3">
        <f t="shared" si="28"/>
        <v>106.28</v>
      </c>
      <c r="Y904">
        <f>VLOOKUP(D904,'[1]Cost Sheet'!$C:$D,2,0)</f>
        <v>53.08</v>
      </c>
      <c r="Z904" s="3">
        <f t="shared" si="29"/>
        <v>106.16</v>
      </c>
    </row>
    <row r="905" spans="1:26" x14ac:dyDescent="0.3">
      <c r="A905" s="7" t="s">
        <v>21</v>
      </c>
      <c r="B905" t="s">
        <v>461</v>
      </c>
      <c r="C905" t="s">
        <v>462</v>
      </c>
      <c r="D905" t="s">
        <v>463</v>
      </c>
      <c r="E905" t="s">
        <v>464</v>
      </c>
      <c r="F905" t="s">
        <v>106</v>
      </c>
      <c r="G905">
        <v>15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15</v>
      </c>
      <c r="T905">
        <v>0</v>
      </c>
      <c r="U905" t="s">
        <v>48</v>
      </c>
      <c r="W905" s="2">
        <v>53.14</v>
      </c>
      <c r="X905" s="3">
        <f t="shared" si="28"/>
        <v>797.1</v>
      </c>
      <c r="Y905">
        <f>VLOOKUP(D905,'[1]Cost Sheet'!$C:$D,2,0)</f>
        <v>53.08</v>
      </c>
      <c r="Z905" s="3">
        <f t="shared" si="29"/>
        <v>796.19999999999993</v>
      </c>
    </row>
    <row r="906" spans="1:26" x14ac:dyDescent="0.3">
      <c r="A906" s="7" t="s">
        <v>21</v>
      </c>
      <c r="B906" t="s">
        <v>461</v>
      </c>
      <c r="C906" t="s">
        <v>462</v>
      </c>
      <c r="D906" t="s">
        <v>463</v>
      </c>
      <c r="E906" t="s">
        <v>464</v>
      </c>
      <c r="F906" t="s">
        <v>106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 t="s">
        <v>27</v>
      </c>
      <c r="W906" s="2">
        <v>53.14</v>
      </c>
      <c r="X906" s="3">
        <f t="shared" si="28"/>
        <v>53.14</v>
      </c>
      <c r="Y906">
        <f>VLOOKUP(D906,'[1]Cost Sheet'!$C:$D,2,0)</f>
        <v>53.08</v>
      </c>
      <c r="Z906" s="3">
        <f t="shared" si="29"/>
        <v>53.08</v>
      </c>
    </row>
    <row r="907" spans="1:26" x14ac:dyDescent="0.3">
      <c r="A907" s="7" t="s">
        <v>21</v>
      </c>
      <c r="B907" t="s">
        <v>461</v>
      </c>
      <c r="C907" t="s">
        <v>462</v>
      </c>
      <c r="D907" t="s">
        <v>463</v>
      </c>
      <c r="E907" t="s">
        <v>464</v>
      </c>
      <c r="F907" t="s">
        <v>26</v>
      </c>
      <c r="G907">
        <v>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9</v>
      </c>
      <c r="T907">
        <v>0</v>
      </c>
      <c r="U907" t="s">
        <v>38</v>
      </c>
      <c r="W907" s="2">
        <v>53.14</v>
      </c>
      <c r="X907" s="3">
        <f t="shared" si="28"/>
        <v>478.26</v>
      </c>
      <c r="Y907">
        <f>VLOOKUP(D907,'[1]Cost Sheet'!$C:$D,2,0)</f>
        <v>53.08</v>
      </c>
      <c r="Z907" s="3">
        <f t="shared" si="29"/>
        <v>477.71999999999997</v>
      </c>
    </row>
    <row r="908" spans="1:26" x14ac:dyDescent="0.3">
      <c r="A908" s="7" t="s">
        <v>21</v>
      </c>
      <c r="B908" t="s">
        <v>461</v>
      </c>
      <c r="C908" t="s">
        <v>462</v>
      </c>
      <c r="D908" t="s">
        <v>463</v>
      </c>
      <c r="E908" t="s">
        <v>464</v>
      </c>
      <c r="F908" t="s">
        <v>26</v>
      </c>
      <c r="G908">
        <v>45</v>
      </c>
      <c r="H908">
        <v>0</v>
      </c>
      <c r="I908">
        <v>0</v>
      </c>
      <c r="J908">
        <v>-20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25</v>
      </c>
      <c r="T908">
        <v>0</v>
      </c>
      <c r="U908" t="s">
        <v>107</v>
      </c>
      <c r="W908" s="2">
        <v>53.14</v>
      </c>
      <c r="X908" s="3">
        <f t="shared" si="28"/>
        <v>1328.5</v>
      </c>
      <c r="Y908">
        <f>VLOOKUP(D908,'[1]Cost Sheet'!$C:$D,2,0)</f>
        <v>53.08</v>
      </c>
      <c r="Z908" s="3">
        <f t="shared" si="29"/>
        <v>1327</v>
      </c>
    </row>
    <row r="909" spans="1:26" x14ac:dyDescent="0.3">
      <c r="A909" s="7" t="s">
        <v>21</v>
      </c>
      <c r="B909" t="s">
        <v>461</v>
      </c>
      <c r="C909" t="s">
        <v>462</v>
      </c>
      <c r="D909" t="s">
        <v>463</v>
      </c>
      <c r="E909" t="s">
        <v>464</v>
      </c>
      <c r="F909" t="s">
        <v>26</v>
      </c>
      <c r="G909">
        <v>7</v>
      </c>
      <c r="H909">
        <v>0</v>
      </c>
      <c r="I909">
        <v>0</v>
      </c>
      <c r="J909">
        <v>-2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5</v>
      </c>
      <c r="T909">
        <v>0</v>
      </c>
      <c r="U909" t="s">
        <v>45</v>
      </c>
      <c r="W909" s="2">
        <v>53.14</v>
      </c>
      <c r="X909" s="3">
        <f t="shared" si="28"/>
        <v>265.7</v>
      </c>
      <c r="Y909">
        <f>VLOOKUP(D909,'[1]Cost Sheet'!$C:$D,2,0)</f>
        <v>53.08</v>
      </c>
      <c r="Z909" s="3">
        <f t="shared" si="29"/>
        <v>265.39999999999998</v>
      </c>
    </row>
    <row r="910" spans="1:26" x14ac:dyDescent="0.3">
      <c r="A910" s="7" t="s">
        <v>21</v>
      </c>
      <c r="B910" t="s">
        <v>461</v>
      </c>
      <c r="C910" t="s">
        <v>462</v>
      </c>
      <c r="D910" t="s">
        <v>463</v>
      </c>
      <c r="E910" t="s">
        <v>464</v>
      </c>
      <c r="F910" t="s">
        <v>26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 t="s">
        <v>108</v>
      </c>
      <c r="W910" s="2">
        <v>53.14</v>
      </c>
      <c r="X910" s="3">
        <f t="shared" si="28"/>
        <v>53.14</v>
      </c>
      <c r="Y910">
        <f>VLOOKUP(D910,'[1]Cost Sheet'!$C:$D,2,0)</f>
        <v>53.08</v>
      </c>
      <c r="Z910" s="3">
        <f t="shared" si="29"/>
        <v>53.08</v>
      </c>
    </row>
    <row r="911" spans="1:26" x14ac:dyDescent="0.3">
      <c r="A911" s="7" t="s">
        <v>21</v>
      </c>
      <c r="B911" t="s">
        <v>461</v>
      </c>
      <c r="C911" t="s">
        <v>462</v>
      </c>
      <c r="D911" t="s">
        <v>463</v>
      </c>
      <c r="E911" t="s">
        <v>464</v>
      </c>
      <c r="F911" t="s">
        <v>26</v>
      </c>
      <c r="G911">
        <v>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6</v>
      </c>
      <c r="T911">
        <v>0</v>
      </c>
      <c r="U911" t="s">
        <v>39</v>
      </c>
      <c r="W911" s="2">
        <v>53.14</v>
      </c>
      <c r="X911" s="3">
        <f t="shared" si="28"/>
        <v>318.84000000000003</v>
      </c>
      <c r="Y911">
        <f>VLOOKUP(D911,'[1]Cost Sheet'!$C:$D,2,0)</f>
        <v>53.08</v>
      </c>
      <c r="Z911" s="3">
        <f t="shared" si="29"/>
        <v>318.48</v>
      </c>
    </row>
    <row r="912" spans="1:26" x14ac:dyDescent="0.3">
      <c r="A912" s="7" t="s">
        <v>21</v>
      </c>
      <c r="B912" t="s">
        <v>461</v>
      </c>
      <c r="C912" t="s">
        <v>462</v>
      </c>
      <c r="D912" t="s">
        <v>463</v>
      </c>
      <c r="E912" t="s">
        <v>464</v>
      </c>
      <c r="F912" t="s">
        <v>26</v>
      </c>
      <c r="G912">
        <v>386</v>
      </c>
      <c r="H912">
        <v>0</v>
      </c>
      <c r="I912">
        <v>0</v>
      </c>
      <c r="J912">
        <v>-71</v>
      </c>
      <c r="K912">
        <v>0</v>
      </c>
      <c r="L912">
        <v>0</v>
      </c>
      <c r="M912">
        <v>-1</v>
      </c>
      <c r="N912">
        <v>0</v>
      </c>
      <c r="O912">
        <v>0</v>
      </c>
      <c r="P912">
        <v>0</v>
      </c>
      <c r="Q912">
        <v>0</v>
      </c>
      <c r="R912">
        <v>-1</v>
      </c>
      <c r="S912">
        <v>313</v>
      </c>
      <c r="T912">
        <v>0</v>
      </c>
      <c r="U912" t="s">
        <v>53</v>
      </c>
      <c r="W912" s="2">
        <v>53.14</v>
      </c>
      <c r="X912" s="3">
        <f t="shared" si="28"/>
        <v>16632.82</v>
      </c>
      <c r="Y912">
        <f>VLOOKUP(D912,'[1]Cost Sheet'!$C:$D,2,0)</f>
        <v>53.08</v>
      </c>
      <c r="Z912" s="3">
        <f t="shared" si="29"/>
        <v>16614.04</v>
      </c>
    </row>
    <row r="913" spans="1:26" x14ac:dyDescent="0.3">
      <c r="A913" s="7" t="s">
        <v>21</v>
      </c>
      <c r="B913" t="s">
        <v>461</v>
      </c>
      <c r="C913" t="s">
        <v>462</v>
      </c>
      <c r="D913" t="s">
        <v>463</v>
      </c>
      <c r="E913" t="s">
        <v>464</v>
      </c>
      <c r="F913" t="s">
        <v>26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</v>
      </c>
      <c r="T913">
        <v>0</v>
      </c>
      <c r="U913" t="s">
        <v>54</v>
      </c>
      <c r="W913" s="2">
        <v>53.14</v>
      </c>
      <c r="X913" s="3">
        <f t="shared" si="28"/>
        <v>106.28</v>
      </c>
      <c r="Y913">
        <f>VLOOKUP(D913,'[1]Cost Sheet'!$C:$D,2,0)</f>
        <v>53.08</v>
      </c>
      <c r="Z913" s="3">
        <f t="shared" si="29"/>
        <v>106.16</v>
      </c>
    </row>
    <row r="914" spans="1:26" x14ac:dyDescent="0.3">
      <c r="A914" s="7" t="s">
        <v>21</v>
      </c>
      <c r="B914" t="s">
        <v>461</v>
      </c>
      <c r="C914" t="s">
        <v>462</v>
      </c>
      <c r="D914" t="s">
        <v>463</v>
      </c>
      <c r="E914" t="s">
        <v>464</v>
      </c>
      <c r="F914" t="s">
        <v>26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</v>
      </c>
      <c r="T914">
        <v>0</v>
      </c>
      <c r="U914" t="s">
        <v>32</v>
      </c>
      <c r="W914" s="2">
        <v>53.14</v>
      </c>
      <c r="X914" s="3">
        <f t="shared" si="28"/>
        <v>106.28</v>
      </c>
      <c r="Y914">
        <f>VLOOKUP(D914,'[1]Cost Sheet'!$C:$D,2,0)</f>
        <v>53.08</v>
      </c>
      <c r="Z914" s="3">
        <f t="shared" si="29"/>
        <v>106.16</v>
      </c>
    </row>
    <row r="915" spans="1:26" x14ac:dyDescent="0.3">
      <c r="A915" s="7" t="s">
        <v>21</v>
      </c>
      <c r="B915" t="s">
        <v>461</v>
      </c>
      <c r="C915" t="s">
        <v>462</v>
      </c>
      <c r="D915" t="s">
        <v>463</v>
      </c>
      <c r="E915" t="s">
        <v>464</v>
      </c>
      <c r="F915" t="s">
        <v>26</v>
      </c>
      <c r="G915">
        <v>0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-1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 t="s">
        <v>88</v>
      </c>
      <c r="W915" s="2">
        <v>53.14</v>
      </c>
      <c r="X915" s="3">
        <f t="shared" si="28"/>
        <v>0</v>
      </c>
      <c r="Y915">
        <f>VLOOKUP(D915,'[1]Cost Sheet'!$C:$D,2,0)</f>
        <v>53.08</v>
      </c>
      <c r="Z915" s="3">
        <f t="shared" si="29"/>
        <v>0</v>
      </c>
    </row>
    <row r="916" spans="1:26" x14ac:dyDescent="0.3">
      <c r="A916" s="7" t="s">
        <v>21</v>
      </c>
      <c r="B916" t="s">
        <v>461</v>
      </c>
      <c r="C916" t="s">
        <v>462</v>
      </c>
      <c r="D916" t="s">
        <v>463</v>
      </c>
      <c r="E916" t="s">
        <v>464</v>
      </c>
      <c r="F916" t="s">
        <v>26</v>
      </c>
      <c r="G916">
        <v>4</v>
      </c>
      <c r="H916">
        <v>0</v>
      </c>
      <c r="I916">
        <v>0</v>
      </c>
      <c r="J916">
        <v>-1</v>
      </c>
      <c r="K916">
        <v>0</v>
      </c>
      <c r="L916">
        <v>0</v>
      </c>
      <c r="M916">
        <v>-1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</v>
      </c>
      <c r="T916">
        <v>0</v>
      </c>
      <c r="U916" t="s">
        <v>33</v>
      </c>
      <c r="W916" s="2">
        <v>53.14</v>
      </c>
      <c r="X916" s="3">
        <f t="shared" si="28"/>
        <v>106.28</v>
      </c>
      <c r="Y916">
        <f>VLOOKUP(D916,'[1]Cost Sheet'!$C:$D,2,0)</f>
        <v>53.08</v>
      </c>
      <c r="Z916" s="3">
        <f t="shared" si="29"/>
        <v>106.16</v>
      </c>
    </row>
    <row r="917" spans="1:26" x14ac:dyDescent="0.3">
      <c r="A917" s="7" t="s">
        <v>21</v>
      </c>
      <c r="B917" t="s">
        <v>461</v>
      </c>
      <c r="C917" t="s">
        <v>462</v>
      </c>
      <c r="D917" t="s">
        <v>463</v>
      </c>
      <c r="E917" t="s">
        <v>464</v>
      </c>
      <c r="F917" t="s">
        <v>26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</v>
      </c>
      <c r="T917">
        <v>0</v>
      </c>
      <c r="U917" t="s">
        <v>46</v>
      </c>
      <c r="W917" s="2">
        <v>53.14</v>
      </c>
      <c r="X917" s="3">
        <f t="shared" si="28"/>
        <v>106.28</v>
      </c>
      <c r="Y917">
        <f>VLOOKUP(D917,'[1]Cost Sheet'!$C:$D,2,0)</f>
        <v>53.08</v>
      </c>
      <c r="Z917" s="3">
        <f t="shared" si="29"/>
        <v>106.16</v>
      </c>
    </row>
    <row r="918" spans="1:26" x14ac:dyDescent="0.3">
      <c r="A918" s="7" t="s">
        <v>21</v>
      </c>
      <c r="B918" t="s">
        <v>461</v>
      </c>
      <c r="C918" t="s">
        <v>462</v>
      </c>
      <c r="D918" t="s">
        <v>463</v>
      </c>
      <c r="E918" t="s">
        <v>464</v>
      </c>
      <c r="F918" t="s">
        <v>26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4</v>
      </c>
      <c r="T918">
        <v>0</v>
      </c>
      <c r="U918" t="s">
        <v>47</v>
      </c>
      <c r="W918" s="2">
        <v>53.14</v>
      </c>
      <c r="X918" s="3">
        <f t="shared" si="28"/>
        <v>212.56</v>
      </c>
      <c r="Y918">
        <f>VLOOKUP(D918,'[1]Cost Sheet'!$C:$D,2,0)</f>
        <v>53.08</v>
      </c>
      <c r="Z918" s="3">
        <f t="shared" si="29"/>
        <v>212.32</v>
      </c>
    </row>
    <row r="919" spans="1:26" x14ac:dyDescent="0.3">
      <c r="A919" s="7" t="s">
        <v>21</v>
      </c>
      <c r="B919" t="s">
        <v>461</v>
      </c>
      <c r="C919" t="s">
        <v>462</v>
      </c>
      <c r="D919" t="s">
        <v>463</v>
      </c>
      <c r="E919" t="s">
        <v>464</v>
      </c>
      <c r="F919" t="s">
        <v>26</v>
      </c>
      <c r="G919">
        <v>3</v>
      </c>
      <c r="H919">
        <v>0</v>
      </c>
      <c r="I919">
        <v>0</v>
      </c>
      <c r="J919">
        <v>-1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2</v>
      </c>
      <c r="T919">
        <v>0</v>
      </c>
      <c r="U919" t="s">
        <v>40</v>
      </c>
      <c r="W919" s="2">
        <v>53.14</v>
      </c>
      <c r="X919" s="3">
        <f t="shared" si="28"/>
        <v>106.28</v>
      </c>
      <c r="Y919">
        <f>VLOOKUP(D919,'[1]Cost Sheet'!$C:$D,2,0)</f>
        <v>53.08</v>
      </c>
      <c r="Z919" s="3">
        <f t="shared" si="29"/>
        <v>106.16</v>
      </c>
    </row>
    <row r="920" spans="1:26" x14ac:dyDescent="0.3">
      <c r="A920" s="7" t="s">
        <v>21</v>
      </c>
      <c r="B920" t="s">
        <v>461</v>
      </c>
      <c r="C920" t="s">
        <v>462</v>
      </c>
      <c r="D920" t="s">
        <v>463</v>
      </c>
      <c r="E920" t="s">
        <v>464</v>
      </c>
      <c r="F920" t="s">
        <v>26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 t="s">
        <v>120</v>
      </c>
      <c r="W920" s="2">
        <v>53.14</v>
      </c>
      <c r="X920" s="3">
        <f t="shared" si="28"/>
        <v>53.14</v>
      </c>
      <c r="Y920">
        <f>VLOOKUP(D920,'[1]Cost Sheet'!$C:$D,2,0)</f>
        <v>53.08</v>
      </c>
      <c r="Z920" s="3">
        <f t="shared" si="29"/>
        <v>53.08</v>
      </c>
    </row>
    <row r="921" spans="1:26" x14ac:dyDescent="0.3">
      <c r="A921" s="7" t="s">
        <v>21</v>
      </c>
      <c r="B921" t="s">
        <v>461</v>
      </c>
      <c r="C921" t="s">
        <v>462</v>
      </c>
      <c r="D921" t="s">
        <v>463</v>
      </c>
      <c r="E921" t="s">
        <v>464</v>
      </c>
      <c r="F921" t="s">
        <v>26</v>
      </c>
      <c r="G921">
        <v>2</v>
      </c>
      <c r="H921">
        <v>0</v>
      </c>
      <c r="I921">
        <v>0</v>
      </c>
      <c r="J921">
        <v>-1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 t="s">
        <v>59</v>
      </c>
      <c r="W921" s="2">
        <v>53.14</v>
      </c>
      <c r="X921" s="3">
        <f t="shared" si="28"/>
        <v>53.14</v>
      </c>
      <c r="Y921">
        <f>VLOOKUP(D921,'[1]Cost Sheet'!$C:$D,2,0)</f>
        <v>53.08</v>
      </c>
      <c r="Z921" s="3">
        <f t="shared" si="29"/>
        <v>53.08</v>
      </c>
    </row>
    <row r="922" spans="1:26" x14ac:dyDescent="0.3">
      <c r="A922" s="7" t="s">
        <v>21</v>
      </c>
      <c r="B922" t="s">
        <v>461</v>
      </c>
      <c r="C922" t="s">
        <v>462</v>
      </c>
      <c r="D922" t="s">
        <v>463</v>
      </c>
      <c r="E922" t="s">
        <v>464</v>
      </c>
      <c r="F922" t="s">
        <v>26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2</v>
      </c>
      <c r="T922">
        <v>0</v>
      </c>
      <c r="U922" t="s">
        <v>27</v>
      </c>
      <c r="W922" s="2">
        <v>53.14</v>
      </c>
      <c r="X922" s="3">
        <f t="shared" si="28"/>
        <v>106.28</v>
      </c>
      <c r="Y922">
        <f>VLOOKUP(D922,'[1]Cost Sheet'!$C:$D,2,0)</f>
        <v>53.08</v>
      </c>
      <c r="Z922" s="3">
        <f t="shared" si="29"/>
        <v>106.16</v>
      </c>
    </row>
    <row r="923" spans="1:26" x14ac:dyDescent="0.3">
      <c r="A923" s="7" t="s">
        <v>21</v>
      </c>
      <c r="B923" t="s">
        <v>465</v>
      </c>
      <c r="C923" t="s">
        <v>466</v>
      </c>
      <c r="D923" t="s">
        <v>467</v>
      </c>
      <c r="E923" t="s">
        <v>468</v>
      </c>
      <c r="F923" t="s">
        <v>26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 t="s">
        <v>38</v>
      </c>
      <c r="W923" s="2">
        <v>50.06</v>
      </c>
      <c r="X923" s="3">
        <f t="shared" si="28"/>
        <v>50.06</v>
      </c>
      <c r="Y923">
        <f>VLOOKUP(D923,'[1]Cost Sheet'!$C:$D,2,0)</f>
        <v>50.06</v>
      </c>
      <c r="Z923" s="3">
        <f t="shared" si="29"/>
        <v>50.06</v>
      </c>
    </row>
    <row r="924" spans="1:26" x14ac:dyDescent="0.3">
      <c r="A924" s="7" t="s">
        <v>21</v>
      </c>
      <c r="B924" t="s">
        <v>465</v>
      </c>
      <c r="C924" t="s">
        <v>466</v>
      </c>
      <c r="D924" t="s">
        <v>467</v>
      </c>
      <c r="E924" t="s">
        <v>468</v>
      </c>
      <c r="F924" t="s">
        <v>26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6</v>
      </c>
      <c r="O924">
        <v>0</v>
      </c>
      <c r="P924">
        <v>0</v>
      </c>
      <c r="Q924">
        <v>0</v>
      </c>
      <c r="R924">
        <v>0</v>
      </c>
      <c r="S924">
        <v>6</v>
      </c>
      <c r="T924">
        <v>0</v>
      </c>
      <c r="U924" t="s">
        <v>39</v>
      </c>
      <c r="W924" s="2">
        <v>50.06</v>
      </c>
      <c r="X924" s="3">
        <f t="shared" si="28"/>
        <v>300.36</v>
      </c>
      <c r="Y924">
        <f>VLOOKUP(D924,'[1]Cost Sheet'!$C:$D,2,0)</f>
        <v>50.06</v>
      </c>
      <c r="Z924" s="3">
        <f t="shared" si="29"/>
        <v>300.36</v>
      </c>
    </row>
    <row r="925" spans="1:26" x14ac:dyDescent="0.3">
      <c r="A925" s="7" t="s">
        <v>21</v>
      </c>
      <c r="B925" t="s">
        <v>465</v>
      </c>
      <c r="C925" t="s">
        <v>466</v>
      </c>
      <c r="D925" t="s">
        <v>467</v>
      </c>
      <c r="E925" t="s">
        <v>468</v>
      </c>
      <c r="F925" t="s">
        <v>26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3</v>
      </c>
      <c r="T925">
        <v>0</v>
      </c>
      <c r="U925" t="s">
        <v>54</v>
      </c>
      <c r="W925" s="2">
        <v>50.06</v>
      </c>
      <c r="X925" s="3">
        <f t="shared" si="28"/>
        <v>150.18</v>
      </c>
      <c r="Y925">
        <f>VLOOKUP(D925,'[1]Cost Sheet'!$C:$D,2,0)</f>
        <v>50.06</v>
      </c>
      <c r="Z925" s="3">
        <f t="shared" si="29"/>
        <v>150.18</v>
      </c>
    </row>
    <row r="926" spans="1:26" x14ac:dyDescent="0.3">
      <c r="A926" s="7" t="s">
        <v>21</v>
      </c>
      <c r="B926" t="s">
        <v>465</v>
      </c>
      <c r="C926" t="s">
        <v>466</v>
      </c>
      <c r="D926" t="s">
        <v>467</v>
      </c>
      <c r="E926" t="s">
        <v>468</v>
      </c>
      <c r="F926" t="s">
        <v>26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 t="s">
        <v>32</v>
      </c>
      <c r="W926" s="2">
        <v>50.06</v>
      </c>
      <c r="X926" s="3">
        <f t="shared" si="28"/>
        <v>50.06</v>
      </c>
      <c r="Y926">
        <f>VLOOKUP(D926,'[1]Cost Sheet'!$C:$D,2,0)</f>
        <v>50.06</v>
      </c>
      <c r="Z926" s="3">
        <f t="shared" si="29"/>
        <v>50.06</v>
      </c>
    </row>
    <row r="927" spans="1:26" x14ac:dyDescent="0.3">
      <c r="A927" s="7" t="s">
        <v>21</v>
      </c>
      <c r="B927" t="s">
        <v>465</v>
      </c>
      <c r="C927" t="s">
        <v>466</v>
      </c>
      <c r="D927" t="s">
        <v>467</v>
      </c>
      <c r="E927" t="s">
        <v>468</v>
      </c>
      <c r="F927" t="s">
        <v>114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 t="s">
        <v>88</v>
      </c>
      <c r="W927" s="2">
        <v>50.06</v>
      </c>
      <c r="X927" s="3">
        <f t="shared" si="28"/>
        <v>50.06</v>
      </c>
      <c r="Y927">
        <f>VLOOKUP(D927,'[1]Cost Sheet'!$C:$D,2,0)</f>
        <v>50.06</v>
      </c>
      <c r="Z927" s="3">
        <f t="shared" si="29"/>
        <v>50.06</v>
      </c>
    </row>
    <row r="928" spans="1:26" x14ac:dyDescent="0.3">
      <c r="A928" s="7" t="s">
        <v>21</v>
      </c>
      <c r="B928" t="s">
        <v>469</v>
      </c>
      <c r="C928" t="s">
        <v>470</v>
      </c>
      <c r="D928" t="s">
        <v>471</v>
      </c>
      <c r="E928" t="s">
        <v>472</v>
      </c>
      <c r="F928" t="s">
        <v>26</v>
      </c>
      <c r="G928">
        <v>2</v>
      </c>
      <c r="H928">
        <v>1</v>
      </c>
      <c r="I928">
        <v>0</v>
      </c>
      <c r="J928">
        <v>-1</v>
      </c>
      <c r="K928">
        <v>0</v>
      </c>
      <c r="L928">
        <v>0</v>
      </c>
      <c r="M928">
        <v>-1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38</v>
      </c>
      <c r="W928" s="2">
        <v>61.06</v>
      </c>
      <c r="X928" s="3">
        <f t="shared" si="28"/>
        <v>0</v>
      </c>
      <c r="Y928">
        <f>VLOOKUP(D928,'[1]Cost Sheet'!$C:$D,2,0)</f>
        <v>61.06</v>
      </c>
      <c r="Z928" s="3">
        <f t="shared" si="29"/>
        <v>0</v>
      </c>
    </row>
    <row r="929" spans="1:26" x14ac:dyDescent="0.3">
      <c r="A929" s="7" t="s">
        <v>21</v>
      </c>
      <c r="B929" t="s">
        <v>469</v>
      </c>
      <c r="C929" t="s">
        <v>470</v>
      </c>
      <c r="D929" t="s">
        <v>471</v>
      </c>
      <c r="E929" t="s">
        <v>472</v>
      </c>
      <c r="F929" t="s">
        <v>26</v>
      </c>
      <c r="G929">
        <v>20</v>
      </c>
      <c r="H929">
        <v>0</v>
      </c>
      <c r="I929">
        <v>0</v>
      </c>
      <c r="J929">
        <v>-1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19</v>
      </c>
      <c r="T929">
        <v>0</v>
      </c>
      <c r="U929" t="s">
        <v>45</v>
      </c>
      <c r="W929" s="2">
        <v>61.06</v>
      </c>
      <c r="X929" s="3">
        <f t="shared" si="28"/>
        <v>1160.1400000000001</v>
      </c>
      <c r="Y929">
        <f>VLOOKUP(D929,'[1]Cost Sheet'!$C:$D,2,0)</f>
        <v>61.06</v>
      </c>
      <c r="Z929" s="3">
        <f t="shared" si="29"/>
        <v>1160.1400000000001</v>
      </c>
    </row>
    <row r="930" spans="1:26" x14ac:dyDescent="0.3">
      <c r="A930" s="7" t="s">
        <v>21</v>
      </c>
      <c r="B930" t="s">
        <v>469</v>
      </c>
      <c r="C930" t="s">
        <v>470</v>
      </c>
      <c r="D930" t="s">
        <v>471</v>
      </c>
      <c r="E930" t="s">
        <v>472</v>
      </c>
      <c r="F930" t="s">
        <v>26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-1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 t="s">
        <v>108</v>
      </c>
      <c r="W930" s="2">
        <v>61.06</v>
      </c>
      <c r="X930" s="3">
        <f t="shared" si="28"/>
        <v>0</v>
      </c>
      <c r="Y930">
        <f>VLOOKUP(D930,'[1]Cost Sheet'!$C:$D,2,0)</f>
        <v>61.06</v>
      </c>
      <c r="Z930" s="3">
        <f t="shared" si="29"/>
        <v>0</v>
      </c>
    </row>
    <row r="931" spans="1:26" x14ac:dyDescent="0.3">
      <c r="A931" s="7" t="s">
        <v>21</v>
      </c>
      <c r="B931" t="s">
        <v>469</v>
      </c>
      <c r="C931" t="s">
        <v>470</v>
      </c>
      <c r="D931" t="s">
        <v>471</v>
      </c>
      <c r="E931" t="s">
        <v>472</v>
      </c>
      <c r="F931" t="s">
        <v>26</v>
      </c>
      <c r="G931">
        <v>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4</v>
      </c>
      <c r="T931">
        <v>0</v>
      </c>
      <c r="U931" t="s">
        <v>54</v>
      </c>
      <c r="W931" s="2">
        <v>61.06</v>
      </c>
      <c r="X931" s="3">
        <f t="shared" si="28"/>
        <v>244.24</v>
      </c>
      <c r="Y931">
        <f>VLOOKUP(D931,'[1]Cost Sheet'!$C:$D,2,0)</f>
        <v>61.06</v>
      </c>
      <c r="Z931" s="3">
        <f t="shared" si="29"/>
        <v>244.24</v>
      </c>
    </row>
    <row r="932" spans="1:26" x14ac:dyDescent="0.3">
      <c r="A932" s="7" t="s">
        <v>21</v>
      </c>
      <c r="B932" t="s">
        <v>469</v>
      </c>
      <c r="C932" t="s">
        <v>470</v>
      </c>
      <c r="D932" t="s">
        <v>471</v>
      </c>
      <c r="E932" t="s">
        <v>472</v>
      </c>
      <c r="F932" t="s">
        <v>26</v>
      </c>
      <c r="G932">
        <v>16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16</v>
      </c>
      <c r="T932">
        <v>0</v>
      </c>
      <c r="U932" t="s">
        <v>32</v>
      </c>
      <c r="W932" s="2">
        <v>61.06</v>
      </c>
      <c r="X932" s="3">
        <f t="shared" si="28"/>
        <v>976.96</v>
      </c>
      <c r="Y932">
        <f>VLOOKUP(D932,'[1]Cost Sheet'!$C:$D,2,0)</f>
        <v>61.06</v>
      </c>
      <c r="Z932" s="3">
        <f t="shared" si="29"/>
        <v>976.96</v>
      </c>
    </row>
    <row r="933" spans="1:26" x14ac:dyDescent="0.3">
      <c r="A933" s="7" t="s">
        <v>21</v>
      </c>
      <c r="B933" t="s">
        <v>469</v>
      </c>
      <c r="C933" t="s">
        <v>470</v>
      </c>
      <c r="D933" t="s">
        <v>471</v>
      </c>
      <c r="E933" t="s">
        <v>472</v>
      </c>
      <c r="F933" t="s">
        <v>26</v>
      </c>
      <c r="G933">
        <v>0</v>
      </c>
      <c r="H933">
        <v>64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109</v>
      </c>
      <c r="W933" s="2">
        <v>61.06</v>
      </c>
      <c r="X933" s="3">
        <f t="shared" si="28"/>
        <v>0</v>
      </c>
      <c r="Y933">
        <f>VLOOKUP(D933,'[1]Cost Sheet'!$C:$D,2,0)</f>
        <v>61.06</v>
      </c>
      <c r="Z933" s="3">
        <f t="shared" si="29"/>
        <v>0</v>
      </c>
    </row>
    <row r="934" spans="1:26" x14ac:dyDescent="0.3">
      <c r="A934" s="7" t="s">
        <v>21</v>
      </c>
      <c r="B934" t="s">
        <v>469</v>
      </c>
      <c r="C934" t="s">
        <v>470</v>
      </c>
      <c r="D934" t="s">
        <v>471</v>
      </c>
      <c r="E934" t="s">
        <v>472</v>
      </c>
      <c r="F934" t="s">
        <v>26</v>
      </c>
      <c r="G934">
        <v>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3</v>
      </c>
      <c r="T934">
        <v>0</v>
      </c>
      <c r="U934" t="s">
        <v>40</v>
      </c>
      <c r="W934" s="2">
        <v>61.06</v>
      </c>
      <c r="X934" s="3">
        <f t="shared" si="28"/>
        <v>183.18</v>
      </c>
      <c r="Y934">
        <f>VLOOKUP(D934,'[1]Cost Sheet'!$C:$D,2,0)</f>
        <v>61.06</v>
      </c>
      <c r="Z934" s="3">
        <f t="shared" si="29"/>
        <v>183.18</v>
      </c>
    </row>
    <row r="935" spans="1:26" x14ac:dyDescent="0.3">
      <c r="A935" s="7" t="s">
        <v>21</v>
      </c>
      <c r="B935" t="s">
        <v>469</v>
      </c>
      <c r="C935" t="s">
        <v>470</v>
      </c>
      <c r="D935" t="s">
        <v>471</v>
      </c>
      <c r="E935" t="s">
        <v>472</v>
      </c>
      <c r="F935" t="s">
        <v>26</v>
      </c>
      <c r="G935">
        <v>66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66</v>
      </c>
      <c r="T935">
        <v>0</v>
      </c>
      <c r="U935" t="s">
        <v>120</v>
      </c>
      <c r="W935" s="2">
        <v>61.06</v>
      </c>
      <c r="X935" s="3">
        <f t="shared" si="28"/>
        <v>4029.96</v>
      </c>
      <c r="Y935">
        <f>VLOOKUP(D935,'[1]Cost Sheet'!$C:$D,2,0)</f>
        <v>61.06</v>
      </c>
      <c r="Z935" s="3">
        <f t="shared" si="29"/>
        <v>4029.96</v>
      </c>
    </row>
    <row r="936" spans="1:26" x14ac:dyDescent="0.3">
      <c r="A936" s="7" t="s">
        <v>21</v>
      </c>
      <c r="B936" t="s">
        <v>469</v>
      </c>
      <c r="C936" t="s">
        <v>470</v>
      </c>
      <c r="D936" t="s">
        <v>471</v>
      </c>
      <c r="E936" t="s">
        <v>472</v>
      </c>
      <c r="F936" t="s">
        <v>26</v>
      </c>
      <c r="G936">
        <v>39</v>
      </c>
      <c r="H936">
        <v>0</v>
      </c>
      <c r="I936">
        <v>0</v>
      </c>
      <c r="J936">
        <v>-1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38</v>
      </c>
      <c r="T936">
        <v>0</v>
      </c>
      <c r="U936" t="s">
        <v>48</v>
      </c>
      <c r="W936" s="2">
        <v>61.06</v>
      </c>
      <c r="X936" s="3">
        <f t="shared" si="28"/>
        <v>2320.2800000000002</v>
      </c>
      <c r="Y936">
        <f>VLOOKUP(D936,'[1]Cost Sheet'!$C:$D,2,0)</f>
        <v>61.06</v>
      </c>
      <c r="Z936" s="3">
        <f t="shared" si="29"/>
        <v>2320.2800000000002</v>
      </c>
    </row>
    <row r="937" spans="1:26" x14ac:dyDescent="0.3">
      <c r="A937" s="7" t="s">
        <v>21</v>
      </c>
      <c r="B937" t="s">
        <v>473</v>
      </c>
      <c r="C937" t="s">
        <v>474</v>
      </c>
      <c r="D937" t="s">
        <v>475</v>
      </c>
      <c r="E937" t="s">
        <v>476</v>
      </c>
      <c r="F937" t="s">
        <v>26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 t="s">
        <v>32</v>
      </c>
      <c r="W937" s="2">
        <v>46.19</v>
      </c>
      <c r="X937" s="3">
        <f t="shared" si="28"/>
        <v>46.19</v>
      </c>
      <c r="Y937">
        <f>VLOOKUP(D937,'[1]Cost Sheet'!$C:$D,2,0)</f>
        <v>45.21</v>
      </c>
      <c r="Z937" s="3">
        <f t="shared" si="29"/>
        <v>45.21</v>
      </c>
    </row>
    <row r="938" spans="1:26" x14ac:dyDescent="0.3">
      <c r="A938" s="7" t="s">
        <v>21</v>
      </c>
      <c r="B938" t="s">
        <v>473</v>
      </c>
      <c r="C938" t="s">
        <v>474</v>
      </c>
      <c r="D938" t="s">
        <v>475</v>
      </c>
      <c r="E938" t="s">
        <v>476</v>
      </c>
      <c r="F938" t="s">
        <v>26</v>
      </c>
      <c r="G938">
        <v>1</v>
      </c>
      <c r="H938">
        <v>0</v>
      </c>
      <c r="I938">
        <v>0</v>
      </c>
      <c r="J938">
        <v>-1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33</v>
      </c>
      <c r="W938" s="2">
        <v>46.19</v>
      </c>
      <c r="X938" s="3">
        <f t="shared" si="28"/>
        <v>0</v>
      </c>
      <c r="Y938">
        <f>VLOOKUP(D938,'[1]Cost Sheet'!$C:$D,2,0)</f>
        <v>45.21</v>
      </c>
      <c r="Z938" s="3">
        <f t="shared" si="29"/>
        <v>0</v>
      </c>
    </row>
    <row r="939" spans="1:26" x14ac:dyDescent="0.3">
      <c r="A939" s="7" t="s">
        <v>21</v>
      </c>
      <c r="B939" t="s">
        <v>477</v>
      </c>
      <c r="C939" t="s">
        <v>478</v>
      </c>
      <c r="D939" t="s">
        <v>479</v>
      </c>
      <c r="E939" t="s">
        <v>480</v>
      </c>
      <c r="F939" t="s">
        <v>26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 t="s">
        <v>38</v>
      </c>
      <c r="W939" s="2">
        <v>61.75</v>
      </c>
      <c r="X939" s="3">
        <f t="shared" si="28"/>
        <v>61.75</v>
      </c>
      <c r="Y939">
        <f>VLOOKUP(D939,'[1]Cost Sheet'!$C:$D,2,0)</f>
        <v>61.75</v>
      </c>
      <c r="Z939" s="3">
        <f t="shared" si="29"/>
        <v>61.75</v>
      </c>
    </row>
    <row r="940" spans="1:26" x14ac:dyDescent="0.3">
      <c r="A940" s="7" t="s">
        <v>21</v>
      </c>
      <c r="B940" t="s">
        <v>481</v>
      </c>
      <c r="C940" t="s">
        <v>482</v>
      </c>
      <c r="D940" t="s">
        <v>483</v>
      </c>
      <c r="E940" t="s">
        <v>484</v>
      </c>
      <c r="F940" t="s">
        <v>106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</v>
      </c>
      <c r="T940">
        <v>0</v>
      </c>
      <c r="U940" t="s">
        <v>53</v>
      </c>
      <c r="W940" s="2">
        <v>49.01</v>
      </c>
      <c r="X940" s="3">
        <f t="shared" si="28"/>
        <v>49.01</v>
      </c>
      <c r="Y940">
        <f>VLOOKUP(D940,'[1]Cost Sheet'!$C:$D,2,0)</f>
        <v>55.77</v>
      </c>
      <c r="Z940" s="3">
        <f t="shared" si="29"/>
        <v>55.77</v>
      </c>
    </row>
    <row r="941" spans="1:26" x14ac:dyDescent="0.3">
      <c r="A941" s="7" t="s">
        <v>21</v>
      </c>
      <c r="B941" t="s">
        <v>481</v>
      </c>
      <c r="C941" t="s">
        <v>482</v>
      </c>
      <c r="D941" t="s">
        <v>483</v>
      </c>
      <c r="E941" t="s">
        <v>484</v>
      </c>
      <c r="F941" t="s">
        <v>106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 t="s">
        <v>54</v>
      </c>
      <c r="W941" s="2">
        <v>49.01</v>
      </c>
      <c r="X941" s="3">
        <f t="shared" si="28"/>
        <v>49.01</v>
      </c>
      <c r="Y941">
        <f>VLOOKUP(D941,'[1]Cost Sheet'!$C:$D,2,0)</f>
        <v>55.77</v>
      </c>
      <c r="Z941" s="3">
        <f t="shared" si="29"/>
        <v>55.77</v>
      </c>
    </row>
    <row r="942" spans="1:26" x14ac:dyDescent="0.3">
      <c r="A942" s="7" t="s">
        <v>21</v>
      </c>
      <c r="B942" t="s">
        <v>481</v>
      </c>
      <c r="C942" t="s">
        <v>482</v>
      </c>
      <c r="D942" t="s">
        <v>483</v>
      </c>
      <c r="E942" t="s">
        <v>484</v>
      </c>
      <c r="F942" t="s">
        <v>106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 t="s">
        <v>32</v>
      </c>
      <c r="W942" s="2">
        <v>49.01</v>
      </c>
      <c r="X942" s="3">
        <f t="shared" si="28"/>
        <v>49.01</v>
      </c>
      <c r="Y942">
        <f>VLOOKUP(D942,'[1]Cost Sheet'!$C:$D,2,0)</f>
        <v>55.77</v>
      </c>
      <c r="Z942" s="3">
        <f t="shared" si="29"/>
        <v>55.77</v>
      </c>
    </row>
    <row r="943" spans="1:26" x14ac:dyDescent="0.3">
      <c r="A943" s="7" t="s">
        <v>21</v>
      </c>
      <c r="B943" t="s">
        <v>481</v>
      </c>
      <c r="C943" t="s">
        <v>482</v>
      </c>
      <c r="D943" t="s">
        <v>483</v>
      </c>
      <c r="E943" t="s">
        <v>484</v>
      </c>
      <c r="F943" t="s">
        <v>26</v>
      </c>
      <c r="G943">
        <v>241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-1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240</v>
      </c>
      <c r="T943">
        <v>0</v>
      </c>
      <c r="U943" t="s">
        <v>38</v>
      </c>
      <c r="W943" s="2">
        <v>49.01</v>
      </c>
      <c r="X943" s="3">
        <f t="shared" si="28"/>
        <v>11762.4</v>
      </c>
      <c r="Y943">
        <f>VLOOKUP(D943,'[1]Cost Sheet'!$C:$D,2,0)</f>
        <v>55.77</v>
      </c>
      <c r="Z943" s="3">
        <f t="shared" si="29"/>
        <v>13384.800000000001</v>
      </c>
    </row>
    <row r="944" spans="1:26" x14ac:dyDescent="0.3">
      <c r="A944" s="7" t="s">
        <v>21</v>
      </c>
      <c r="B944" t="s">
        <v>481</v>
      </c>
      <c r="C944" t="s">
        <v>482</v>
      </c>
      <c r="D944" t="s">
        <v>483</v>
      </c>
      <c r="E944" t="s">
        <v>484</v>
      </c>
      <c r="F944" t="s">
        <v>26</v>
      </c>
      <c r="G944">
        <v>4</v>
      </c>
      <c r="H944">
        <v>0</v>
      </c>
      <c r="I944">
        <v>0</v>
      </c>
      <c r="J944">
        <v>-2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0</v>
      </c>
      <c r="U944" t="s">
        <v>107</v>
      </c>
      <c r="W944" s="2">
        <v>49.01</v>
      </c>
      <c r="X944" s="3">
        <f t="shared" si="28"/>
        <v>98.02</v>
      </c>
      <c r="Y944">
        <f>VLOOKUP(D944,'[1]Cost Sheet'!$C:$D,2,0)</f>
        <v>55.77</v>
      </c>
      <c r="Z944" s="3">
        <f t="shared" si="29"/>
        <v>111.54</v>
      </c>
    </row>
    <row r="945" spans="1:26" x14ac:dyDescent="0.3">
      <c r="A945" s="7" t="s">
        <v>21</v>
      </c>
      <c r="B945" t="s">
        <v>481</v>
      </c>
      <c r="C945" t="s">
        <v>482</v>
      </c>
      <c r="D945" t="s">
        <v>483</v>
      </c>
      <c r="E945" t="s">
        <v>484</v>
      </c>
      <c r="F945" t="s">
        <v>26</v>
      </c>
      <c r="G945">
        <v>66</v>
      </c>
      <c r="H945">
        <v>0</v>
      </c>
      <c r="I945">
        <v>0</v>
      </c>
      <c r="J945">
        <v>-1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65</v>
      </c>
      <c r="T945">
        <v>0</v>
      </c>
      <c r="U945" t="s">
        <v>45</v>
      </c>
      <c r="W945" s="2">
        <v>49.01</v>
      </c>
      <c r="X945" s="3">
        <f t="shared" si="28"/>
        <v>3185.65</v>
      </c>
      <c r="Y945">
        <f>VLOOKUP(D945,'[1]Cost Sheet'!$C:$D,2,0)</f>
        <v>55.77</v>
      </c>
      <c r="Z945" s="3">
        <f t="shared" si="29"/>
        <v>3625.05</v>
      </c>
    </row>
    <row r="946" spans="1:26" x14ac:dyDescent="0.3">
      <c r="A946" s="7" t="s">
        <v>21</v>
      </c>
      <c r="B946" t="s">
        <v>481</v>
      </c>
      <c r="C946" t="s">
        <v>482</v>
      </c>
      <c r="D946" t="s">
        <v>483</v>
      </c>
      <c r="E946" t="s">
        <v>484</v>
      </c>
      <c r="F946" t="s">
        <v>26</v>
      </c>
      <c r="G946">
        <v>80</v>
      </c>
      <c r="H946">
        <v>0</v>
      </c>
      <c r="I946">
        <v>0</v>
      </c>
      <c r="J946">
        <v>-5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75</v>
      </c>
      <c r="T946">
        <v>0</v>
      </c>
      <c r="U946" t="s">
        <v>39</v>
      </c>
      <c r="W946" s="2">
        <v>49.01</v>
      </c>
      <c r="X946" s="3">
        <f t="shared" si="28"/>
        <v>3675.75</v>
      </c>
      <c r="Y946">
        <f>VLOOKUP(D946,'[1]Cost Sheet'!$C:$D,2,0)</f>
        <v>55.77</v>
      </c>
      <c r="Z946" s="3">
        <f t="shared" si="29"/>
        <v>4182.75</v>
      </c>
    </row>
    <row r="947" spans="1:26" x14ac:dyDescent="0.3">
      <c r="A947" s="7" t="s">
        <v>21</v>
      </c>
      <c r="B947" t="s">
        <v>481</v>
      </c>
      <c r="C947" t="s">
        <v>482</v>
      </c>
      <c r="D947" t="s">
        <v>483</v>
      </c>
      <c r="E947" t="s">
        <v>484</v>
      </c>
      <c r="F947" t="s">
        <v>26</v>
      </c>
      <c r="G947">
        <v>33</v>
      </c>
      <c r="H947">
        <v>0</v>
      </c>
      <c r="I947">
        <v>0</v>
      </c>
      <c r="J947">
        <v>-5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-1</v>
      </c>
      <c r="S947">
        <v>27</v>
      </c>
      <c r="T947">
        <v>0</v>
      </c>
      <c r="U947" t="s">
        <v>53</v>
      </c>
      <c r="W947" s="2">
        <v>49.01</v>
      </c>
      <c r="X947" s="3">
        <f t="shared" si="28"/>
        <v>1323.27</v>
      </c>
      <c r="Y947">
        <f>VLOOKUP(D947,'[1]Cost Sheet'!$C:$D,2,0)</f>
        <v>55.77</v>
      </c>
      <c r="Z947" s="3">
        <f t="shared" si="29"/>
        <v>1505.7900000000002</v>
      </c>
    </row>
    <row r="948" spans="1:26" x14ac:dyDescent="0.3">
      <c r="A948" s="7" t="s">
        <v>21</v>
      </c>
      <c r="B948" t="s">
        <v>481</v>
      </c>
      <c r="C948" t="s">
        <v>482</v>
      </c>
      <c r="D948" t="s">
        <v>483</v>
      </c>
      <c r="E948" t="s">
        <v>484</v>
      </c>
      <c r="F948" t="s">
        <v>26</v>
      </c>
      <c r="G948">
        <v>84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84</v>
      </c>
      <c r="T948">
        <v>0</v>
      </c>
      <c r="U948" t="s">
        <v>54</v>
      </c>
      <c r="W948" s="2">
        <v>49.01</v>
      </c>
      <c r="X948" s="3">
        <f t="shared" si="28"/>
        <v>4116.84</v>
      </c>
      <c r="Y948">
        <f>VLOOKUP(D948,'[1]Cost Sheet'!$C:$D,2,0)</f>
        <v>55.77</v>
      </c>
      <c r="Z948" s="3">
        <f t="shared" si="29"/>
        <v>4684.68</v>
      </c>
    </row>
    <row r="949" spans="1:26" x14ac:dyDescent="0.3">
      <c r="A949" s="7" t="s">
        <v>21</v>
      </c>
      <c r="B949" t="s">
        <v>481</v>
      </c>
      <c r="C949" t="s">
        <v>482</v>
      </c>
      <c r="D949" t="s">
        <v>483</v>
      </c>
      <c r="E949" t="s">
        <v>484</v>
      </c>
      <c r="F949" t="s">
        <v>26</v>
      </c>
      <c r="G949">
        <v>29</v>
      </c>
      <c r="H949">
        <v>0</v>
      </c>
      <c r="I949">
        <v>0</v>
      </c>
      <c r="J949">
        <v>-3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26</v>
      </c>
      <c r="T949">
        <v>0</v>
      </c>
      <c r="U949" t="s">
        <v>32</v>
      </c>
      <c r="W949" s="2">
        <v>49.01</v>
      </c>
      <c r="X949" s="3">
        <f t="shared" si="28"/>
        <v>1274.26</v>
      </c>
      <c r="Y949">
        <f>VLOOKUP(D949,'[1]Cost Sheet'!$C:$D,2,0)</f>
        <v>55.77</v>
      </c>
      <c r="Z949" s="3">
        <f t="shared" si="29"/>
        <v>1450.02</v>
      </c>
    </row>
    <row r="950" spans="1:26" x14ac:dyDescent="0.3">
      <c r="A950" s="7" t="s">
        <v>21</v>
      </c>
      <c r="B950" t="s">
        <v>481</v>
      </c>
      <c r="C950" t="s">
        <v>482</v>
      </c>
      <c r="D950" t="s">
        <v>483</v>
      </c>
      <c r="E950" t="s">
        <v>484</v>
      </c>
      <c r="F950" t="s">
        <v>26</v>
      </c>
      <c r="G950">
        <v>37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37</v>
      </c>
      <c r="T950">
        <v>0</v>
      </c>
      <c r="U950" t="s">
        <v>33</v>
      </c>
      <c r="W950" s="2">
        <v>49.01</v>
      </c>
      <c r="X950" s="3">
        <f t="shared" si="28"/>
        <v>1813.37</v>
      </c>
      <c r="Y950">
        <f>VLOOKUP(D950,'[1]Cost Sheet'!$C:$D,2,0)</f>
        <v>55.77</v>
      </c>
      <c r="Z950" s="3">
        <f t="shared" si="29"/>
        <v>2063.4900000000002</v>
      </c>
    </row>
    <row r="951" spans="1:26" x14ac:dyDescent="0.3">
      <c r="A951" s="7" t="s">
        <v>21</v>
      </c>
      <c r="B951" t="s">
        <v>481</v>
      </c>
      <c r="C951" t="s">
        <v>482</v>
      </c>
      <c r="D951" t="s">
        <v>483</v>
      </c>
      <c r="E951" t="s">
        <v>484</v>
      </c>
      <c r="F951" t="s">
        <v>26</v>
      </c>
      <c r="G951">
        <v>38</v>
      </c>
      <c r="H951">
        <v>0</v>
      </c>
      <c r="I951">
        <v>0</v>
      </c>
      <c r="J951">
        <v>-1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37</v>
      </c>
      <c r="T951">
        <v>0</v>
      </c>
      <c r="U951" t="s">
        <v>46</v>
      </c>
      <c r="W951" s="2">
        <v>49.01</v>
      </c>
      <c r="X951" s="3">
        <f t="shared" si="28"/>
        <v>1813.37</v>
      </c>
      <c r="Y951">
        <f>VLOOKUP(D951,'[1]Cost Sheet'!$C:$D,2,0)</f>
        <v>55.77</v>
      </c>
      <c r="Z951" s="3">
        <f t="shared" si="29"/>
        <v>2063.4900000000002</v>
      </c>
    </row>
    <row r="952" spans="1:26" x14ac:dyDescent="0.3">
      <c r="A952" s="7" t="s">
        <v>21</v>
      </c>
      <c r="B952" t="s">
        <v>481</v>
      </c>
      <c r="C952" t="s">
        <v>482</v>
      </c>
      <c r="D952" t="s">
        <v>483</v>
      </c>
      <c r="E952" t="s">
        <v>484</v>
      </c>
      <c r="F952" t="s">
        <v>26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</v>
      </c>
      <c r="T952">
        <v>0</v>
      </c>
      <c r="U952" t="s">
        <v>111</v>
      </c>
      <c r="W952" s="2">
        <v>49.01</v>
      </c>
      <c r="X952" s="3">
        <f t="shared" si="28"/>
        <v>98.02</v>
      </c>
      <c r="Y952">
        <f>VLOOKUP(D952,'[1]Cost Sheet'!$C:$D,2,0)</f>
        <v>55.77</v>
      </c>
      <c r="Z952" s="3">
        <f t="shared" si="29"/>
        <v>111.54</v>
      </c>
    </row>
    <row r="953" spans="1:26" x14ac:dyDescent="0.3">
      <c r="A953" s="7" t="s">
        <v>21</v>
      </c>
      <c r="B953" t="s">
        <v>481</v>
      </c>
      <c r="C953" t="s">
        <v>482</v>
      </c>
      <c r="D953" t="s">
        <v>483</v>
      </c>
      <c r="E953" t="s">
        <v>484</v>
      </c>
      <c r="F953" t="s">
        <v>26</v>
      </c>
      <c r="G953">
        <v>17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17</v>
      </c>
      <c r="T953">
        <v>0</v>
      </c>
      <c r="U953" t="s">
        <v>47</v>
      </c>
      <c r="W953" s="2">
        <v>49.01</v>
      </c>
      <c r="X953" s="3">
        <f t="shared" si="28"/>
        <v>833.17</v>
      </c>
      <c r="Y953">
        <f>VLOOKUP(D953,'[1]Cost Sheet'!$C:$D,2,0)</f>
        <v>55.77</v>
      </c>
      <c r="Z953" s="3">
        <f t="shared" si="29"/>
        <v>948.09</v>
      </c>
    </row>
    <row r="954" spans="1:26" x14ac:dyDescent="0.3">
      <c r="A954" s="7" t="s">
        <v>21</v>
      </c>
      <c r="B954" t="s">
        <v>481</v>
      </c>
      <c r="C954" t="s">
        <v>482</v>
      </c>
      <c r="D954" t="s">
        <v>483</v>
      </c>
      <c r="E954" t="s">
        <v>484</v>
      </c>
      <c r="F954" t="s">
        <v>26</v>
      </c>
      <c r="G954">
        <v>182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182</v>
      </c>
      <c r="T954">
        <v>0</v>
      </c>
      <c r="U954" t="s">
        <v>40</v>
      </c>
      <c r="W954" s="2">
        <v>49.01</v>
      </c>
      <c r="X954" s="3">
        <f t="shared" si="28"/>
        <v>8919.82</v>
      </c>
      <c r="Y954">
        <f>VLOOKUP(D954,'[1]Cost Sheet'!$C:$D,2,0)</f>
        <v>55.77</v>
      </c>
      <c r="Z954" s="3">
        <f t="shared" si="29"/>
        <v>10150.140000000001</v>
      </c>
    </row>
    <row r="955" spans="1:26" x14ac:dyDescent="0.3">
      <c r="A955" s="7" t="s">
        <v>21</v>
      </c>
      <c r="B955" t="s">
        <v>481</v>
      </c>
      <c r="C955" t="s">
        <v>482</v>
      </c>
      <c r="D955" t="s">
        <v>483</v>
      </c>
      <c r="E955" t="s">
        <v>484</v>
      </c>
      <c r="F955" t="s">
        <v>26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3</v>
      </c>
      <c r="T955">
        <v>0</v>
      </c>
      <c r="U955" t="s">
        <v>113</v>
      </c>
      <c r="W955" s="2">
        <v>49.01</v>
      </c>
      <c r="X955" s="3">
        <f t="shared" si="28"/>
        <v>147.03</v>
      </c>
      <c r="Y955">
        <f>VLOOKUP(D955,'[1]Cost Sheet'!$C:$D,2,0)</f>
        <v>55.77</v>
      </c>
      <c r="Z955" s="3">
        <f t="shared" si="29"/>
        <v>167.31</v>
      </c>
    </row>
    <row r="956" spans="1:26" x14ac:dyDescent="0.3">
      <c r="A956" s="7" t="s">
        <v>21</v>
      </c>
      <c r="B956" t="s">
        <v>481</v>
      </c>
      <c r="C956" t="s">
        <v>482</v>
      </c>
      <c r="D956" t="s">
        <v>483</v>
      </c>
      <c r="E956" t="s">
        <v>484</v>
      </c>
      <c r="F956" t="s">
        <v>26</v>
      </c>
      <c r="G956">
        <v>133</v>
      </c>
      <c r="H956">
        <v>0</v>
      </c>
      <c r="I956">
        <v>0</v>
      </c>
      <c r="J956">
        <v>-1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132</v>
      </c>
      <c r="T956">
        <v>0</v>
      </c>
      <c r="U956" t="s">
        <v>48</v>
      </c>
      <c r="W956" s="2">
        <v>49.01</v>
      </c>
      <c r="X956" s="3">
        <f t="shared" si="28"/>
        <v>6469.32</v>
      </c>
      <c r="Y956">
        <f>VLOOKUP(D956,'[1]Cost Sheet'!$C:$D,2,0)</f>
        <v>55.77</v>
      </c>
      <c r="Z956" s="3">
        <f t="shared" si="29"/>
        <v>7361.64</v>
      </c>
    </row>
    <row r="957" spans="1:26" x14ac:dyDescent="0.3">
      <c r="A957" s="7" t="s">
        <v>21</v>
      </c>
      <c r="B957" t="s">
        <v>481</v>
      </c>
      <c r="C957" t="s">
        <v>482</v>
      </c>
      <c r="D957" t="s">
        <v>483</v>
      </c>
      <c r="E957" t="s">
        <v>484</v>
      </c>
      <c r="F957" t="s">
        <v>26</v>
      </c>
      <c r="G957">
        <v>37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37</v>
      </c>
      <c r="T957">
        <v>0</v>
      </c>
      <c r="U957" t="s">
        <v>59</v>
      </c>
      <c r="W957" s="2">
        <v>49.01</v>
      </c>
      <c r="X957" s="3">
        <f t="shared" si="28"/>
        <v>1813.37</v>
      </c>
      <c r="Y957">
        <f>VLOOKUP(D957,'[1]Cost Sheet'!$C:$D,2,0)</f>
        <v>55.77</v>
      </c>
      <c r="Z957" s="3">
        <f t="shared" si="29"/>
        <v>2063.4900000000002</v>
      </c>
    </row>
    <row r="958" spans="1:26" x14ac:dyDescent="0.3">
      <c r="A958" s="7" t="s">
        <v>21</v>
      </c>
      <c r="B958" t="s">
        <v>481</v>
      </c>
      <c r="C958" t="s">
        <v>482</v>
      </c>
      <c r="D958" t="s">
        <v>483</v>
      </c>
      <c r="E958" t="s">
        <v>484</v>
      </c>
      <c r="F958" t="s">
        <v>26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 t="s">
        <v>27</v>
      </c>
      <c r="W958" s="2">
        <v>49.01</v>
      </c>
      <c r="X958" s="3">
        <f t="shared" si="28"/>
        <v>49.01</v>
      </c>
      <c r="Y958">
        <f>VLOOKUP(D958,'[1]Cost Sheet'!$C:$D,2,0)</f>
        <v>55.77</v>
      </c>
      <c r="Z958" s="3">
        <f t="shared" si="29"/>
        <v>55.77</v>
      </c>
    </row>
    <row r="959" spans="1:26" x14ac:dyDescent="0.3">
      <c r="A959" s="7" t="s">
        <v>21</v>
      </c>
      <c r="B959" t="s">
        <v>485</v>
      </c>
      <c r="C959" t="s">
        <v>486</v>
      </c>
      <c r="D959" t="s">
        <v>487</v>
      </c>
      <c r="E959" t="s">
        <v>488</v>
      </c>
      <c r="F959" t="s">
        <v>106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</v>
      </c>
      <c r="T959">
        <v>0</v>
      </c>
      <c r="U959" t="s">
        <v>32</v>
      </c>
      <c r="W959" s="2">
        <v>59.82</v>
      </c>
      <c r="X959" s="3">
        <f t="shared" si="28"/>
        <v>119.64</v>
      </c>
      <c r="Y959">
        <f>VLOOKUP(D959,'[1]Cost Sheet'!$C:$D,2,0)</f>
        <v>59.82</v>
      </c>
      <c r="Z959" s="3">
        <f t="shared" si="29"/>
        <v>119.64</v>
      </c>
    </row>
    <row r="960" spans="1:26" x14ac:dyDescent="0.3">
      <c r="A960" s="7" t="s">
        <v>21</v>
      </c>
      <c r="B960" t="s">
        <v>485</v>
      </c>
      <c r="C960" t="s">
        <v>486</v>
      </c>
      <c r="D960" t="s">
        <v>487</v>
      </c>
      <c r="E960" t="s">
        <v>488</v>
      </c>
      <c r="F960" t="s">
        <v>130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</v>
      </c>
      <c r="T960">
        <v>0</v>
      </c>
      <c r="U960" t="s">
        <v>32</v>
      </c>
      <c r="W960" s="2">
        <v>59.82</v>
      </c>
      <c r="X960" s="3">
        <f t="shared" si="28"/>
        <v>119.64</v>
      </c>
      <c r="Y960">
        <f>VLOOKUP(D960,'[1]Cost Sheet'!$C:$D,2,0)</f>
        <v>59.82</v>
      </c>
      <c r="Z960" s="3">
        <f t="shared" si="29"/>
        <v>119.64</v>
      </c>
    </row>
    <row r="961" spans="1:26" x14ac:dyDescent="0.3">
      <c r="A961" s="7" t="s">
        <v>21</v>
      </c>
      <c r="B961" t="s">
        <v>485</v>
      </c>
      <c r="C961" t="s">
        <v>486</v>
      </c>
      <c r="D961" t="s">
        <v>487</v>
      </c>
      <c r="E961" t="s">
        <v>488</v>
      </c>
      <c r="F961" t="s">
        <v>93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 t="s">
        <v>32</v>
      </c>
      <c r="W961" s="2">
        <v>59.82</v>
      </c>
      <c r="X961" s="3">
        <f t="shared" si="28"/>
        <v>59.82</v>
      </c>
      <c r="Y961">
        <f>VLOOKUP(D961,'[1]Cost Sheet'!$C:$D,2,0)</f>
        <v>59.82</v>
      </c>
      <c r="Z961" s="3">
        <f t="shared" si="29"/>
        <v>59.82</v>
      </c>
    </row>
    <row r="962" spans="1:26" x14ac:dyDescent="0.3">
      <c r="A962" s="7" t="s">
        <v>21</v>
      </c>
      <c r="B962" t="s">
        <v>485</v>
      </c>
      <c r="C962" t="s">
        <v>486</v>
      </c>
      <c r="D962" t="s">
        <v>487</v>
      </c>
      <c r="E962" t="s">
        <v>488</v>
      </c>
      <c r="F962" t="s">
        <v>26</v>
      </c>
      <c r="G962">
        <v>1</v>
      </c>
      <c r="H962">
        <v>0</v>
      </c>
      <c r="I962">
        <v>0</v>
      </c>
      <c r="J962">
        <v>-1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t="s">
        <v>38</v>
      </c>
      <c r="W962" s="2">
        <v>59.82</v>
      </c>
      <c r="X962" s="3">
        <f t="shared" si="28"/>
        <v>0</v>
      </c>
      <c r="Y962">
        <f>VLOOKUP(D962,'[1]Cost Sheet'!$C:$D,2,0)</f>
        <v>59.82</v>
      </c>
      <c r="Z962" s="3">
        <f t="shared" si="29"/>
        <v>0</v>
      </c>
    </row>
    <row r="963" spans="1:26" x14ac:dyDescent="0.3">
      <c r="A963" s="7" t="s">
        <v>21</v>
      </c>
      <c r="B963" t="s">
        <v>485</v>
      </c>
      <c r="C963" t="s">
        <v>486</v>
      </c>
      <c r="D963" t="s">
        <v>487</v>
      </c>
      <c r="E963" t="s">
        <v>488</v>
      </c>
      <c r="F963" t="s">
        <v>26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 t="s">
        <v>45</v>
      </c>
      <c r="W963" s="2">
        <v>59.82</v>
      </c>
      <c r="X963" s="3">
        <f t="shared" ref="X963:X1026" si="30">S963*W963</f>
        <v>59.82</v>
      </c>
      <c r="Y963">
        <f>VLOOKUP(D963,'[1]Cost Sheet'!$C:$D,2,0)</f>
        <v>59.82</v>
      </c>
      <c r="Z963" s="3">
        <f t="shared" ref="Z963:Z1026" si="31">Y963*S963</f>
        <v>59.82</v>
      </c>
    </row>
    <row r="964" spans="1:26" x14ac:dyDescent="0.3">
      <c r="A964" s="7" t="s">
        <v>21</v>
      </c>
      <c r="B964" t="s">
        <v>485</v>
      </c>
      <c r="C964" t="s">
        <v>486</v>
      </c>
      <c r="D964" t="s">
        <v>487</v>
      </c>
      <c r="E964" t="s">
        <v>488</v>
      </c>
      <c r="F964" t="s">
        <v>26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2</v>
      </c>
      <c r="T964">
        <v>0</v>
      </c>
      <c r="U964" t="s">
        <v>33</v>
      </c>
      <c r="W964" s="2">
        <v>59.82</v>
      </c>
      <c r="X964" s="3">
        <f t="shared" si="30"/>
        <v>119.64</v>
      </c>
      <c r="Y964">
        <f>VLOOKUP(D964,'[1]Cost Sheet'!$C:$D,2,0)</f>
        <v>59.82</v>
      </c>
      <c r="Z964" s="3">
        <f t="shared" si="31"/>
        <v>119.64</v>
      </c>
    </row>
    <row r="965" spans="1:26" x14ac:dyDescent="0.3">
      <c r="A965" s="7" t="s">
        <v>21</v>
      </c>
      <c r="B965" t="s">
        <v>489</v>
      </c>
      <c r="C965" t="s">
        <v>490</v>
      </c>
      <c r="D965" t="s">
        <v>491</v>
      </c>
      <c r="E965" t="s">
        <v>492</v>
      </c>
      <c r="F965" t="s">
        <v>106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 t="s">
        <v>39</v>
      </c>
      <c r="W965" s="2">
        <v>40.44</v>
      </c>
      <c r="X965" s="3">
        <f t="shared" si="30"/>
        <v>40.44</v>
      </c>
      <c r="Y965">
        <f>VLOOKUP(D965,'[1]Cost Sheet'!$C:$D,2,0)</f>
        <v>40.44</v>
      </c>
      <c r="Z965" s="3">
        <f t="shared" si="31"/>
        <v>40.44</v>
      </c>
    </row>
    <row r="966" spans="1:26" x14ac:dyDescent="0.3">
      <c r="A966" s="7" t="s">
        <v>21</v>
      </c>
      <c r="B966" t="s">
        <v>489</v>
      </c>
      <c r="C966" t="s">
        <v>490</v>
      </c>
      <c r="D966" t="s">
        <v>491</v>
      </c>
      <c r="E966" t="s">
        <v>492</v>
      </c>
      <c r="F966" t="s">
        <v>106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 t="s">
        <v>32</v>
      </c>
      <c r="W966" s="2">
        <v>40.44</v>
      </c>
      <c r="X966" s="3">
        <f t="shared" si="30"/>
        <v>40.44</v>
      </c>
      <c r="Y966">
        <f>VLOOKUP(D966,'[1]Cost Sheet'!$C:$D,2,0)</f>
        <v>40.44</v>
      </c>
      <c r="Z966" s="3">
        <f t="shared" si="31"/>
        <v>40.44</v>
      </c>
    </row>
    <row r="967" spans="1:26" x14ac:dyDescent="0.3">
      <c r="A967" s="7" t="s">
        <v>21</v>
      </c>
      <c r="B967" t="s">
        <v>489</v>
      </c>
      <c r="C967" t="s">
        <v>490</v>
      </c>
      <c r="D967" t="s">
        <v>491</v>
      </c>
      <c r="E967" t="s">
        <v>492</v>
      </c>
      <c r="F967" t="s">
        <v>106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2</v>
      </c>
      <c r="T967">
        <v>0</v>
      </c>
      <c r="U967" t="s">
        <v>46</v>
      </c>
      <c r="W967" s="2">
        <v>40.44</v>
      </c>
      <c r="X967" s="3">
        <f t="shared" si="30"/>
        <v>80.88</v>
      </c>
      <c r="Y967">
        <f>VLOOKUP(D967,'[1]Cost Sheet'!$C:$D,2,0)</f>
        <v>40.44</v>
      </c>
      <c r="Z967" s="3">
        <f t="shared" si="31"/>
        <v>80.88</v>
      </c>
    </row>
    <row r="968" spans="1:26" x14ac:dyDescent="0.3">
      <c r="A968" s="7" t="s">
        <v>21</v>
      </c>
      <c r="B968" t="s">
        <v>489</v>
      </c>
      <c r="C968" t="s">
        <v>490</v>
      </c>
      <c r="D968" t="s">
        <v>491</v>
      </c>
      <c r="E968" t="s">
        <v>492</v>
      </c>
      <c r="F968" t="s">
        <v>26</v>
      </c>
      <c r="G968">
        <v>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6</v>
      </c>
      <c r="T968">
        <v>0</v>
      </c>
      <c r="U968" t="s">
        <v>38</v>
      </c>
      <c r="W968" s="2">
        <v>40.44</v>
      </c>
      <c r="X968" s="3">
        <f t="shared" si="30"/>
        <v>242.64</v>
      </c>
      <c r="Y968">
        <f>VLOOKUP(D968,'[1]Cost Sheet'!$C:$D,2,0)</f>
        <v>40.44</v>
      </c>
      <c r="Z968" s="3">
        <f t="shared" si="31"/>
        <v>242.64</v>
      </c>
    </row>
    <row r="969" spans="1:26" x14ac:dyDescent="0.3">
      <c r="A969" s="7" t="s">
        <v>21</v>
      </c>
      <c r="B969" t="s">
        <v>489</v>
      </c>
      <c r="C969" t="s">
        <v>490</v>
      </c>
      <c r="D969" t="s">
        <v>491</v>
      </c>
      <c r="E969" t="s">
        <v>492</v>
      </c>
      <c r="F969" t="s">
        <v>26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 t="s">
        <v>45</v>
      </c>
      <c r="W969" s="2">
        <v>40.44</v>
      </c>
      <c r="X969" s="3">
        <f t="shared" si="30"/>
        <v>40.44</v>
      </c>
      <c r="Y969">
        <f>VLOOKUP(D969,'[1]Cost Sheet'!$C:$D,2,0)</f>
        <v>40.44</v>
      </c>
      <c r="Z969" s="3">
        <f t="shared" si="31"/>
        <v>40.44</v>
      </c>
    </row>
    <row r="970" spans="1:26" x14ac:dyDescent="0.3">
      <c r="A970" s="7" t="s">
        <v>21</v>
      </c>
      <c r="B970" t="s">
        <v>489</v>
      </c>
      <c r="C970" t="s">
        <v>490</v>
      </c>
      <c r="D970" t="s">
        <v>491</v>
      </c>
      <c r="E970" t="s">
        <v>492</v>
      </c>
      <c r="F970" t="s">
        <v>26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</v>
      </c>
      <c r="T970">
        <v>0</v>
      </c>
      <c r="U970" t="s">
        <v>53</v>
      </c>
      <c r="W970" s="2">
        <v>40.44</v>
      </c>
      <c r="X970" s="3">
        <f t="shared" si="30"/>
        <v>80.88</v>
      </c>
      <c r="Y970">
        <f>VLOOKUP(D970,'[1]Cost Sheet'!$C:$D,2,0)</f>
        <v>40.44</v>
      </c>
      <c r="Z970" s="3">
        <f t="shared" si="31"/>
        <v>80.88</v>
      </c>
    </row>
    <row r="971" spans="1:26" x14ac:dyDescent="0.3">
      <c r="A971" s="7" t="s">
        <v>21</v>
      </c>
      <c r="B971" t="s">
        <v>489</v>
      </c>
      <c r="C971" t="s">
        <v>490</v>
      </c>
      <c r="D971" t="s">
        <v>491</v>
      </c>
      <c r="E971" t="s">
        <v>492</v>
      </c>
      <c r="F971" t="s">
        <v>26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 t="s">
        <v>32</v>
      </c>
      <c r="W971" s="2">
        <v>40.44</v>
      </c>
      <c r="X971" s="3">
        <f t="shared" si="30"/>
        <v>40.44</v>
      </c>
      <c r="Y971">
        <f>VLOOKUP(D971,'[1]Cost Sheet'!$C:$D,2,0)</f>
        <v>40.44</v>
      </c>
      <c r="Z971" s="3">
        <f t="shared" si="31"/>
        <v>40.44</v>
      </c>
    </row>
    <row r="972" spans="1:26" x14ac:dyDescent="0.3">
      <c r="A972" s="7" t="s">
        <v>21</v>
      </c>
      <c r="B972" t="s">
        <v>489</v>
      </c>
      <c r="C972" t="s">
        <v>490</v>
      </c>
      <c r="D972" t="s">
        <v>491</v>
      </c>
      <c r="E972" t="s">
        <v>492</v>
      </c>
      <c r="F972" t="s">
        <v>26</v>
      </c>
      <c r="G972">
        <v>11</v>
      </c>
      <c r="H972">
        <v>0</v>
      </c>
      <c r="I972">
        <v>0</v>
      </c>
      <c r="J972">
        <v>-1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10</v>
      </c>
      <c r="T972">
        <v>0</v>
      </c>
      <c r="U972" t="s">
        <v>40</v>
      </c>
      <c r="W972" s="2">
        <v>40.44</v>
      </c>
      <c r="X972" s="3">
        <f t="shared" si="30"/>
        <v>404.4</v>
      </c>
      <c r="Y972">
        <f>VLOOKUP(D972,'[1]Cost Sheet'!$C:$D,2,0)</f>
        <v>40.44</v>
      </c>
      <c r="Z972" s="3">
        <f t="shared" si="31"/>
        <v>404.4</v>
      </c>
    </row>
    <row r="973" spans="1:26" x14ac:dyDescent="0.3">
      <c r="A973" s="7" t="s">
        <v>21</v>
      </c>
      <c r="B973" t="s">
        <v>489</v>
      </c>
      <c r="C973" t="s">
        <v>490</v>
      </c>
      <c r="D973" t="s">
        <v>491</v>
      </c>
      <c r="E973" t="s">
        <v>492</v>
      </c>
      <c r="F973" t="s">
        <v>26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 t="s">
        <v>59</v>
      </c>
      <c r="W973" s="2">
        <v>40.44</v>
      </c>
      <c r="X973" s="3">
        <f t="shared" si="30"/>
        <v>40.44</v>
      </c>
      <c r="Y973">
        <f>VLOOKUP(D973,'[1]Cost Sheet'!$C:$D,2,0)</f>
        <v>40.44</v>
      </c>
      <c r="Z973" s="3">
        <f t="shared" si="31"/>
        <v>40.44</v>
      </c>
    </row>
    <row r="974" spans="1:26" x14ac:dyDescent="0.3">
      <c r="A974" s="7" t="s">
        <v>21</v>
      </c>
      <c r="B974" t="s">
        <v>489</v>
      </c>
      <c r="C974" t="s">
        <v>490</v>
      </c>
      <c r="D974" t="s">
        <v>491</v>
      </c>
      <c r="E974" t="s">
        <v>492</v>
      </c>
      <c r="F974" t="s">
        <v>26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 t="s">
        <v>27</v>
      </c>
      <c r="W974" s="2">
        <v>40.44</v>
      </c>
      <c r="X974" s="3">
        <f t="shared" si="30"/>
        <v>40.44</v>
      </c>
      <c r="Y974">
        <f>VLOOKUP(D974,'[1]Cost Sheet'!$C:$D,2,0)</f>
        <v>40.44</v>
      </c>
      <c r="Z974" s="3">
        <f t="shared" si="31"/>
        <v>40.44</v>
      </c>
    </row>
    <row r="975" spans="1:26" x14ac:dyDescent="0.3">
      <c r="A975" s="7" t="s">
        <v>21</v>
      </c>
      <c r="B975" t="s">
        <v>493</v>
      </c>
      <c r="C975" t="s">
        <v>494</v>
      </c>
      <c r="D975" t="s">
        <v>495</v>
      </c>
      <c r="E975" t="s">
        <v>496</v>
      </c>
      <c r="F975" t="s">
        <v>26</v>
      </c>
      <c r="G975">
        <v>25</v>
      </c>
      <c r="H975">
        <v>0</v>
      </c>
      <c r="I975">
        <v>0</v>
      </c>
      <c r="J975">
        <v>-1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24</v>
      </c>
      <c r="T975">
        <v>0</v>
      </c>
      <c r="U975" t="s">
        <v>38</v>
      </c>
      <c r="W975" s="2">
        <v>60.9</v>
      </c>
      <c r="X975" s="3">
        <f t="shared" si="30"/>
        <v>1461.6</v>
      </c>
      <c r="Y975">
        <f>VLOOKUP(D975,'[1]Cost Sheet'!$C:$D,2,0)</f>
        <v>60.9</v>
      </c>
      <c r="Z975" s="3">
        <f t="shared" si="31"/>
        <v>1461.6</v>
      </c>
    </row>
    <row r="976" spans="1:26" x14ac:dyDescent="0.3">
      <c r="A976" s="7" t="s">
        <v>21</v>
      </c>
      <c r="B976" t="s">
        <v>493</v>
      </c>
      <c r="C976" t="s">
        <v>494</v>
      </c>
      <c r="D976" t="s">
        <v>495</v>
      </c>
      <c r="E976" t="s">
        <v>496</v>
      </c>
      <c r="F976" t="s">
        <v>26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27</v>
      </c>
      <c r="T976">
        <v>0</v>
      </c>
      <c r="U976" t="s">
        <v>45</v>
      </c>
      <c r="W976" s="2">
        <v>60.9</v>
      </c>
      <c r="X976" s="3">
        <f t="shared" si="30"/>
        <v>1644.3</v>
      </c>
      <c r="Y976">
        <f>VLOOKUP(D976,'[1]Cost Sheet'!$C:$D,2,0)</f>
        <v>60.9</v>
      </c>
      <c r="Z976" s="3">
        <f t="shared" si="31"/>
        <v>1644.3</v>
      </c>
    </row>
    <row r="977" spans="1:26" x14ac:dyDescent="0.3">
      <c r="A977" s="7" t="s">
        <v>21</v>
      </c>
      <c r="B977" t="s">
        <v>493</v>
      </c>
      <c r="C977" t="s">
        <v>494</v>
      </c>
      <c r="D977" t="s">
        <v>495</v>
      </c>
      <c r="E977" t="s">
        <v>496</v>
      </c>
      <c r="F977" t="s">
        <v>26</v>
      </c>
      <c r="G977">
        <v>24</v>
      </c>
      <c r="H977">
        <v>0</v>
      </c>
      <c r="I977">
        <v>0</v>
      </c>
      <c r="J977">
        <v>-1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23</v>
      </c>
      <c r="T977">
        <v>0</v>
      </c>
      <c r="U977" t="s">
        <v>39</v>
      </c>
      <c r="W977" s="2">
        <v>60.9</v>
      </c>
      <c r="X977" s="3">
        <f t="shared" si="30"/>
        <v>1400.7</v>
      </c>
      <c r="Y977">
        <f>VLOOKUP(D977,'[1]Cost Sheet'!$C:$D,2,0)</f>
        <v>60.9</v>
      </c>
      <c r="Z977" s="3">
        <f t="shared" si="31"/>
        <v>1400.7</v>
      </c>
    </row>
    <row r="978" spans="1:26" x14ac:dyDescent="0.3">
      <c r="A978" s="7" t="s">
        <v>21</v>
      </c>
      <c r="B978" t="s">
        <v>493</v>
      </c>
      <c r="C978" t="s">
        <v>494</v>
      </c>
      <c r="D978" t="s">
        <v>495</v>
      </c>
      <c r="E978" t="s">
        <v>496</v>
      </c>
      <c r="F978" t="s">
        <v>26</v>
      </c>
      <c r="G978">
        <v>0</v>
      </c>
      <c r="H978">
        <v>0</v>
      </c>
      <c r="I978">
        <v>0</v>
      </c>
      <c r="J978">
        <v>-1</v>
      </c>
      <c r="K978">
        <v>0</v>
      </c>
      <c r="L978">
        <v>0</v>
      </c>
      <c r="M978">
        <v>4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3</v>
      </c>
      <c r="T978">
        <v>0</v>
      </c>
      <c r="U978" t="s">
        <v>53</v>
      </c>
      <c r="W978" s="2">
        <v>60.9</v>
      </c>
      <c r="X978" s="3">
        <f t="shared" si="30"/>
        <v>182.7</v>
      </c>
      <c r="Y978">
        <f>VLOOKUP(D978,'[1]Cost Sheet'!$C:$D,2,0)</f>
        <v>60.9</v>
      </c>
      <c r="Z978" s="3">
        <f t="shared" si="31"/>
        <v>182.7</v>
      </c>
    </row>
    <row r="979" spans="1:26" x14ac:dyDescent="0.3">
      <c r="A979" s="7" t="s">
        <v>21</v>
      </c>
      <c r="B979" t="s">
        <v>493</v>
      </c>
      <c r="C979" t="s">
        <v>494</v>
      </c>
      <c r="D979" t="s">
        <v>495</v>
      </c>
      <c r="E979" t="s">
        <v>496</v>
      </c>
      <c r="F979" t="s">
        <v>26</v>
      </c>
      <c r="G979">
        <v>24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24</v>
      </c>
      <c r="T979">
        <v>0</v>
      </c>
      <c r="U979" t="s">
        <v>54</v>
      </c>
      <c r="W979" s="2">
        <v>60.9</v>
      </c>
      <c r="X979" s="3">
        <f t="shared" si="30"/>
        <v>1461.6</v>
      </c>
      <c r="Y979">
        <f>VLOOKUP(D979,'[1]Cost Sheet'!$C:$D,2,0)</f>
        <v>60.9</v>
      </c>
      <c r="Z979" s="3">
        <f t="shared" si="31"/>
        <v>1461.6</v>
      </c>
    </row>
    <row r="980" spans="1:26" x14ac:dyDescent="0.3">
      <c r="A980" s="7" t="s">
        <v>21</v>
      </c>
      <c r="B980" t="s">
        <v>493</v>
      </c>
      <c r="C980" t="s">
        <v>494</v>
      </c>
      <c r="D980" t="s">
        <v>495</v>
      </c>
      <c r="E980" t="s">
        <v>496</v>
      </c>
      <c r="F980" t="s">
        <v>26</v>
      </c>
      <c r="G980">
        <v>21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21</v>
      </c>
      <c r="T980">
        <v>0</v>
      </c>
      <c r="U980" t="s">
        <v>32</v>
      </c>
      <c r="W980" s="2">
        <v>60.9</v>
      </c>
      <c r="X980" s="3">
        <f t="shared" si="30"/>
        <v>1278.8999999999999</v>
      </c>
      <c r="Y980">
        <f>VLOOKUP(D980,'[1]Cost Sheet'!$C:$D,2,0)</f>
        <v>60.9</v>
      </c>
      <c r="Z980" s="3">
        <f t="shared" si="31"/>
        <v>1278.8999999999999</v>
      </c>
    </row>
    <row r="981" spans="1:26" x14ac:dyDescent="0.3">
      <c r="A981" s="7" t="s">
        <v>21</v>
      </c>
      <c r="B981" t="s">
        <v>493</v>
      </c>
      <c r="C981" t="s">
        <v>494</v>
      </c>
      <c r="D981" t="s">
        <v>495</v>
      </c>
      <c r="E981" t="s">
        <v>496</v>
      </c>
      <c r="F981" t="s">
        <v>26</v>
      </c>
      <c r="G981">
        <v>22</v>
      </c>
      <c r="H981">
        <v>0</v>
      </c>
      <c r="I981">
        <v>0</v>
      </c>
      <c r="J981">
        <v>-3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19</v>
      </c>
      <c r="T981">
        <v>0</v>
      </c>
      <c r="U981" t="s">
        <v>46</v>
      </c>
      <c r="W981" s="2">
        <v>60.9</v>
      </c>
      <c r="X981" s="3">
        <f t="shared" si="30"/>
        <v>1157.0999999999999</v>
      </c>
      <c r="Y981">
        <f>VLOOKUP(D981,'[1]Cost Sheet'!$C:$D,2,0)</f>
        <v>60.9</v>
      </c>
      <c r="Z981" s="3">
        <f t="shared" si="31"/>
        <v>1157.0999999999999</v>
      </c>
    </row>
    <row r="982" spans="1:26" x14ac:dyDescent="0.3">
      <c r="A982" s="7" t="s">
        <v>21</v>
      </c>
      <c r="B982" t="s">
        <v>493</v>
      </c>
      <c r="C982" t="s">
        <v>494</v>
      </c>
      <c r="D982" t="s">
        <v>495</v>
      </c>
      <c r="E982" t="s">
        <v>496</v>
      </c>
      <c r="F982" t="s">
        <v>26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 t="s">
        <v>47</v>
      </c>
      <c r="W982" s="2">
        <v>60.9</v>
      </c>
      <c r="X982" s="3">
        <f t="shared" si="30"/>
        <v>60.9</v>
      </c>
      <c r="Y982">
        <f>VLOOKUP(D982,'[1]Cost Sheet'!$C:$D,2,0)</f>
        <v>60.9</v>
      </c>
      <c r="Z982" s="3">
        <f t="shared" si="31"/>
        <v>60.9</v>
      </c>
    </row>
    <row r="983" spans="1:26" x14ac:dyDescent="0.3">
      <c r="A983" s="7" t="s">
        <v>21</v>
      </c>
      <c r="B983" t="s">
        <v>493</v>
      </c>
      <c r="C983" t="s">
        <v>494</v>
      </c>
      <c r="D983" t="s">
        <v>495</v>
      </c>
      <c r="E983" t="s">
        <v>496</v>
      </c>
      <c r="F983" t="s">
        <v>26</v>
      </c>
      <c r="G983">
        <v>26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26</v>
      </c>
      <c r="T983">
        <v>0</v>
      </c>
      <c r="U983" t="s">
        <v>40</v>
      </c>
      <c r="W983" s="2">
        <v>60.9</v>
      </c>
      <c r="X983" s="3">
        <f t="shared" si="30"/>
        <v>1583.3999999999999</v>
      </c>
      <c r="Y983">
        <f>VLOOKUP(D983,'[1]Cost Sheet'!$C:$D,2,0)</f>
        <v>60.9</v>
      </c>
      <c r="Z983" s="3">
        <f t="shared" si="31"/>
        <v>1583.3999999999999</v>
      </c>
    </row>
    <row r="984" spans="1:26" x14ac:dyDescent="0.3">
      <c r="A984" s="7" t="s">
        <v>21</v>
      </c>
      <c r="B984" t="s">
        <v>493</v>
      </c>
      <c r="C984" t="s">
        <v>494</v>
      </c>
      <c r="D984" t="s">
        <v>495</v>
      </c>
      <c r="E984" t="s">
        <v>496</v>
      </c>
      <c r="F984" t="s">
        <v>26</v>
      </c>
      <c r="G984">
        <v>53</v>
      </c>
      <c r="H984">
        <v>0</v>
      </c>
      <c r="I984">
        <v>0</v>
      </c>
      <c r="J984">
        <v>-2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51</v>
      </c>
      <c r="T984">
        <v>0</v>
      </c>
      <c r="U984" t="s">
        <v>113</v>
      </c>
      <c r="W984" s="2">
        <v>60.9</v>
      </c>
      <c r="X984" s="3">
        <f t="shared" si="30"/>
        <v>3105.9</v>
      </c>
      <c r="Y984">
        <f>VLOOKUP(D984,'[1]Cost Sheet'!$C:$D,2,0)</f>
        <v>60.9</v>
      </c>
      <c r="Z984" s="3">
        <f t="shared" si="31"/>
        <v>3105.9</v>
      </c>
    </row>
    <row r="985" spans="1:26" x14ac:dyDescent="0.3">
      <c r="A985" s="7" t="s">
        <v>21</v>
      </c>
      <c r="B985" t="s">
        <v>493</v>
      </c>
      <c r="C985" t="s">
        <v>494</v>
      </c>
      <c r="D985" t="s">
        <v>495</v>
      </c>
      <c r="E985" t="s">
        <v>496</v>
      </c>
      <c r="F985" t="s">
        <v>26</v>
      </c>
      <c r="G985">
        <v>21</v>
      </c>
      <c r="H985">
        <v>0</v>
      </c>
      <c r="I985">
        <v>0</v>
      </c>
      <c r="J985">
        <v>-1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20</v>
      </c>
      <c r="T985">
        <v>0</v>
      </c>
      <c r="U985" t="s">
        <v>48</v>
      </c>
      <c r="W985" s="2">
        <v>60.9</v>
      </c>
      <c r="X985" s="3">
        <f t="shared" si="30"/>
        <v>1218</v>
      </c>
      <c r="Y985">
        <f>VLOOKUP(D985,'[1]Cost Sheet'!$C:$D,2,0)</f>
        <v>60.9</v>
      </c>
      <c r="Z985" s="3">
        <f t="shared" si="31"/>
        <v>1218</v>
      </c>
    </row>
    <row r="986" spans="1:26" x14ac:dyDescent="0.3">
      <c r="A986" s="7" t="s">
        <v>21</v>
      </c>
      <c r="B986" t="s">
        <v>493</v>
      </c>
      <c r="C986" t="s">
        <v>494</v>
      </c>
      <c r="D986" t="s">
        <v>495</v>
      </c>
      <c r="E986" t="s">
        <v>496</v>
      </c>
      <c r="F986" t="s">
        <v>26</v>
      </c>
      <c r="G986">
        <v>24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27</v>
      </c>
      <c r="T986">
        <v>0</v>
      </c>
      <c r="U986" t="s">
        <v>59</v>
      </c>
      <c r="W986" s="2">
        <v>60.9</v>
      </c>
      <c r="X986" s="3">
        <f t="shared" si="30"/>
        <v>1644.3</v>
      </c>
      <c r="Y986">
        <f>VLOOKUP(D986,'[1]Cost Sheet'!$C:$D,2,0)</f>
        <v>60.9</v>
      </c>
      <c r="Z986" s="3">
        <f t="shared" si="31"/>
        <v>1644.3</v>
      </c>
    </row>
    <row r="987" spans="1:26" x14ac:dyDescent="0.3">
      <c r="A987" s="7" t="s">
        <v>21</v>
      </c>
      <c r="B987" t="s">
        <v>493</v>
      </c>
      <c r="C987" t="s">
        <v>494</v>
      </c>
      <c r="D987" t="s">
        <v>495</v>
      </c>
      <c r="E987" t="s">
        <v>496</v>
      </c>
      <c r="F987" t="s">
        <v>26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2</v>
      </c>
      <c r="T987">
        <v>0</v>
      </c>
      <c r="U987" t="s">
        <v>27</v>
      </c>
      <c r="W987" s="2">
        <v>60.9</v>
      </c>
      <c r="X987" s="3">
        <f t="shared" si="30"/>
        <v>121.8</v>
      </c>
      <c r="Y987">
        <f>VLOOKUP(D987,'[1]Cost Sheet'!$C:$D,2,0)</f>
        <v>60.9</v>
      </c>
      <c r="Z987" s="3">
        <f t="shared" si="31"/>
        <v>121.8</v>
      </c>
    </row>
    <row r="988" spans="1:26" x14ac:dyDescent="0.3">
      <c r="A988" s="7" t="s">
        <v>21</v>
      </c>
      <c r="B988" t="s">
        <v>497</v>
      </c>
      <c r="C988" t="s">
        <v>498</v>
      </c>
      <c r="D988" t="s">
        <v>499</v>
      </c>
      <c r="E988" t="s">
        <v>500</v>
      </c>
      <c r="F988" t="s">
        <v>125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 t="s">
        <v>38</v>
      </c>
      <c r="W988" s="2">
        <v>76.260909090909081</v>
      </c>
      <c r="X988" s="3">
        <f t="shared" si="30"/>
        <v>76.260909090909081</v>
      </c>
      <c r="Y988">
        <f>VLOOKUP(D988,'[1]Cost Sheet'!$C:$D,2,0)</f>
        <v>76.31</v>
      </c>
      <c r="Z988" s="3">
        <f t="shared" si="31"/>
        <v>76.31</v>
      </c>
    </row>
    <row r="989" spans="1:26" x14ac:dyDescent="0.3">
      <c r="A989" s="7" t="s">
        <v>21</v>
      </c>
      <c r="B989" t="s">
        <v>497</v>
      </c>
      <c r="C989" t="s">
        <v>498</v>
      </c>
      <c r="D989" t="s">
        <v>499</v>
      </c>
      <c r="E989" t="s">
        <v>500</v>
      </c>
      <c r="F989" t="s">
        <v>125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 t="s">
        <v>151</v>
      </c>
      <c r="W989" s="2">
        <v>76.260909090909081</v>
      </c>
      <c r="X989" s="3">
        <f t="shared" si="30"/>
        <v>76.260909090909081</v>
      </c>
      <c r="Y989">
        <f>VLOOKUP(D989,'[1]Cost Sheet'!$C:$D,2,0)</f>
        <v>76.31</v>
      </c>
      <c r="Z989" s="3">
        <f t="shared" si="31"/>
        <v>76.31</v>
      </c>
    </row>
    <row r="990" spans="1:26" x14ac:dyDescent="0.3">
      <c r="A990" s="7" t="s">
        <v>21</v>
      </c>
      <c r="B990" t="s">
        <v>497</v>
      </c>
      <c r="C990" t="s">
        <v>498</v>
      </c>
      <c r="D990" t="s">
        <v>499</v>
      </c>
      <c r="E990" t="s">
        <v>500</v>
      </c>
      <c r="F990" t="s">
        <v>125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4</v>
      </c>
      <c r="T990">
        <v>0</v>
      </c>
      <c r="U990" t="s">
        <v>108</v>
      </c>
      <c r="W990" s="2">
        <v>76.260909090909081</v>
      </c>
      <c r="X990" s="3">
        <f t="shared" si="30"/>
        <v>305.04363636363632</v>
      </c>
      <c r="Y990">
        <f>VLOOKUP(D990,'[1]Cost Sheet'!$C:$D,2,0)</f>
        <v>76.31</v>
      </c>
      <c r="Z990" s="3">
        <f t="shared" si="31"/>
        <v>305.24</v>
      </c>
    </row>
    <row r="991" spans="1:26" x14ac:dyDescent="0.3">
      <c r="A991" s="7" t="s">
        <v>21</v>
      </c>
      <c r="B991" t="s">
        <v>497</v>
      </c>
      <c r="C991" t="s">
        <v>498</v>
      </c>
      <c r="D991" t="s">
        <v>499</v>
      </c>
      <c r="E991" t="s">
        <v>500</v>
      </c>
      <c r="F991" t="s">
        <v>125</v>
      </c>
      <c r="G991">
        <v>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4</v>
      </c>
      <c r="T991">
        <v>0</v>
      </c>
      <c r="U991" t="s">
        <v>54</v>
      </c>
      <c r="W991" s="2">
        <v>76.260909090909081</v>
      </c>
      <c r="X991" s="3">
        <f t="shared" si="30"/>
        <v>305.04363636363632</v>
      </c>
      <c r="Y991">
        <f>VLOOKUP(D991,'[1]Cost Sheet'!$C:$D,2,0)</f>
        <v>76.31</v>
      </c>
      <c r="Z991" s="3">
        <f t="shared" si="31"/>
        <v>305.24</v>
      </c>
    </row>
    <row r="992" spans="1:26" x14ac:dyDescent="0.3">
      <c r="A992" s="7" t="s">
        <v>21</v>
      </c>
      <c r="B992" t="s">
        <v>497</v>
      </c>
      <c r="C992" t="s">
        <v>498</v>
      </c>
      <c r="D992" t="s">
        <v>499</v>
      </c>
      <c r="E992" t="s">
        <v>500</v>
      </c>
      <c r="F992" t="s">
        <v>125</v>
      </c>
      <c r="G992">
        <v>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7</v>
      </c>
      <c r="T992">
        <v>0</v>
      </c>
      <c r="U992" t="s">
        <v>88</v>
      </c>
      <c r="W992" s="2">
        <v>76.260909090909081</v>
      </c>
      <c r="X992" s="3">
        <f t="shared" si="30"/>
        <v>533.82636363636357</v>
      </c>
      <c r="Y992">
        <f>VLOOKUP(D992,'[1]Cost Sheet'!$C:$D,2,0)</f>
        <v>76.31</v>
      </c>
      <c r="Z992" s="3">
        <f t="shared" si="31"/>
        <v>534.17000000000007</v>
      </c>
    </row>
    <row r="993" spans="1:26" x14ac:dyDescent="0.3">
      <c r="A993" s="7" t="s">
        <v>21</v>
      </c>
      <c r="B993" t="s">
        <v>497</v>
      </c>
      <c r="C993" t="s">
        <v>498</v>
      </c>
      <c r="D993" t="s">
        <v>499</v>
      </c>
      <c r="E993" t="s">
        <v>500</v>
      </c>
      <c r="F993" t="s">
        <v>125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 t="s">
        <v>40</v>
      </c>
      <c r="W993" s="2">
        <v>76.260909090909081</v>
      </c>
      <c r="X993" s="3">
        <f t="shared" si="30"/>
        <v>76.260909090909081</v>
      </c>
      <c r="Y993">
        <f>VLOOKUP(D993,'[1]Cost Sheet'!$C:$D,2,0)</f>
        <v>76.31</v>
      </c>
      <c r="Z993" s="3">
        <f t="shared" si="31"/>
        <v>76.31</v>
      </c>
    </row>
    <row r="994" spans="1:26" x14ac:dyDescent="0.3">
      <c r="A994" s="7" t="s">
        <v>21</v>
      </c>
      <c r="B994" t="s">
        <v>497</v>
      </c>
      <c r="C994" t="s">
        <v>498</v>
      </c>
      <c r="D994" t="s">
        <v>499</v>
      </c>
      <c r="E994" t="s">
        <v>500</v>
      </c>
      <c r="F994" t="s">
        <v>125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2</v>
      </c>
      <c r="T994">
        <v>0</v>
      </c>
      <c r="U994" t="s">
        <v>120</v>
      </c>
      <c r="W994" s="2">
        <v>76.260909090909081</v>
      </c>
      <c r="X994" s="3">
        <f t="shared" si="30"/>
        <v>152.52181818181816</v>
      </c>
      <c r="Y994">
        <f>VLOOKUP(D994,'[1]Cost Sheet'!$C:$D,2,0)</f>
        <v>76.31</v>
      </c>
      <c r="Z994" s="3">
        <f t="shared" si="31"/>
        <v>152.62</v>
      </c>
    </row>
    <row r="995" spans="1:26" x14ac:dyDescent="0.3">
      <c r="A995" s="7" t="s">
        <v>21</v>
      </c>
      <c r="B995" t="s">
        <v>497</v>
      </c>
      <c r="C995" t="s">
        <v>498</v>
      </c>
      <c r="D995" t="s">
        <v>499</v>
      </c>
      <c r="E995" t="s">
        <v>500</v>
      </c>
      <c r="F995" t="s">
        <v>106</v>
      </c>
      <c r="G995">
        <v>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</v>
      </c>
      <c r="T995">
        <v>0</v>
      </c>
      <c r="U995" t="s">
        <v>38</v>
      </c>
      <c r="W995" s="2">
        <v>76.260909090909081</v>
      </c>
      <c r="X995" s="3">
        <f t="shared" si="30"/>
        <v>305.04363636363632</v>
      </c>
      <c r="Y995">
        <f>VLOOKUP(D995,'[1]Cost Sheet'!$C:$D,2,0)</f>
        <v>76.31</v>
      </c>
      <c r="Z995" s="3">
        <f t="shared" si="31"/>
        <v>305.24</v>
      </c>
    </row>
    <row r="996" spans="1:26" x14ac:dyDescent="0.3">
      <c r="A996" s="7" t="s">
        <v>21</v>
      </c>
      <c r="B996" t="s">
        <v>497</v>
      </c>
      <c r="C996" t="s">
        <v>498</v>
      </c>
      <c r="D996" t="s">
        <v>499</v>
      </c>
      <c r="E996" t="s">
        <v>500</v>
      </c>
      <c r="F996" t="s">
        <v>106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 t="s">
        <v>107</v>
      </c>
      <c r="W996" s="2">
        <v>76.260909090909081</v>
      </c>
      <c r="X996" s="3">
        <f t="shared" si="30"/>
        <v>76.260909090909081</v>
      </c>
      <c r="Y996">
        <f>VLOOKUP(D996,'[1]Cost Sheet'!$C:$D,2,0)</f>
        <v>76.31</v>
      </c>
      <c r="Z996" s="3">
        <f t="shared" si="31"/>
        <v>76.31</v>
      </c>
    </row>
    <row r="997" spans="1:26" x14ac:dyDescent="0.3">
      <c r="A997" s="7" t="s">
        <v>21</v>
      </c>
      <c r="B997" t="s">
        <v>497</v>
      </c>
      <c r="C997" t="s">
        <v>498</v>
      </c>
      <c r="D997" t="s">
        <v>499</v>
      </c>
      <c r="E997" t="s">
        <v>500</v>
      </c>
      <c r="F997" t="s">
        <v>106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 t="s">
        <v>39</v>
      </c>
      <c r="W997" s="2">
        <v>76.260909090909081</v>
      </c>
      <c r="X997" s="3">
        <f t="shared" si="30"/>
        <v>76.260909090909081</v>
      </c>
      <c r="Y997">
        <f>VLOOKUP(D997,'[1]Cost Sheet'!$C:$D,2,0)</f>
        <v>76.31</v>
      </c>
      <c r="Z997" s="3">
        <f t="shared" si="31"/>
        <v>76.31</v>
      </c>
    </row>
    <row r="998" spans="1:26" x14ac:dyDescent="0.3">
      <c r="A998" s="7" t="s">
        <v>21</v>
      </c>
      <c r="B998" t="s">
        <v>497</v>
      </c>
      <c r="C998" t="s">
        <v>498</v>
      </c>
      <c r="D998" t="s">
        <v>499</v>
      </c>
      <c r="E998" t="s">
        <v>500</v>
      </c>
      <c r="F998" t="s">
        <v>106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 t="s">
        <v>53</v>
      </c>
      <c r="W998" s="2">
        <v>76.260909090909081</v>
      </c>
      <c r="X998" s="3">
        <f t="shared" si="30"/>
        <v>76.260909090909081</v>
      </c>
      <c r="Y998">
        <f>VLOOKUP(D998,'[1]Cost Sheet'!$C:$D,2,0)</f>
        <v>76.31</v>
      </c>
      <c r="Z998" s="3">
        <f t="shared" si="31"/>
        <v>76.31</v>
      </c>
    </row>
    <row r="999" spans="1:26" x14ac:dyDescent="0.3">
      <c r="A999" s="7" t="s">
        <v>21</v>
      </c>
      <c r="B999" t="s">
        <v>497</v>
      </c>
      <c r="C999" t="s">
        <v>498</v>
      </c>
      <c r="D999" t="s">
        <v>499</v>
      </c>
      <c r="E999" t="s">
        <v>500</v>
      </c>
      <c r="F999" t="s">
        <v>106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 t="s">
        <v>54</v>
      </c>
      <c r="W999" s="2">
        <v>76.260909090909081</v>
      </c>
      <c r="X999" s="3">
        <f t="shared" si="30"/>
        <v>152.52181818181816</v>
      </c>
      <c r="Y999">
        <f>VLOOKUP(D999,'[1]Cost Sheet'!$C:$D,2,0)</f>
        <v>76.31</v>
      </c>
      <c r="Z999" s="3">
        <f t="shared" si="31"/>
        <v>152.62</v>
      </c>
    </row>
    <row r="1000" spans="1:26" x14ac:dyDescent="0.3">
      <c r="A1000" s="7" t="s">
        <v>21</v>
      </c>
      <c r="B1000" t="s">
        <v>497</v>
      </c>
      <c r="C1000" t="s">
        <v>498</v>
      </c>
      <c r="D1000" t="s">
        <v>499</v>
      </c>
      <c r="E1000" t="s">
        <v>500</v>
      </c>
      <c r="F1000" t="s">
        <v>106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3</v>
      </c>
      <c r="T1000">
        <v>0</v>
      </c>
      <c r="U1000" t="s">
        <v>32</v>
      </c>
      <c r="W1000" s="2">
        <v>76.260909090909081</v>
      </c>
      <c r="X1000" s="3">
        <f t="shared" si="30"/>
        <v>228.78272727272724</v>
      </c>
      <c r="Y1000">
        <f>VLOOKUP(D1000,'[1]Cost Sheet'!$C:$D,2,0)</f>
        <v>76.31</v>
      </c>
      <c r="Z1000" s="3">
        <f t="shared" si="31"/>
        <v>228.93</v>
      </c>
    </row>
    <row r="1001" spans="1:26" x14ac:dyDescent="0.3">
      <c r="A1001" s="7" t="s">
        <v>21</v>
      </c>
      <c r="B1001" t="s">
        <v>497</v>
      </c>
      <c r="C1001" t="s">
        <v>498</v>
      </c>
      <c r="D1001" t="s">
        <v>499</v>
      </c>
      <c r="E1001" t="s">
        <v>500</v>
      </c>
      <c r="F1001" t="s">
        <v>106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 t="s">
        <v>88</v>
      </c>
      <c r="W1001" s="2">
        <v>76.260909090909081</v>
      </c>
      <c r="X1001" s="3">
        <f t="shared" si="30"/>
        <v>76.260909090909081</v>
      </c>
      <c r="Y1001">
        <f>VLOOKUP(D1001,'[1]Cost Sheet'!$C:$D,2,0)</f>
        <v>76.31</v>
      </c>
      <c r="Z1001" s="3">
        <f t="shared" si="31"/>
        <v>76.31</v>
      </c>
    </row>
    <row r="1002" spans="1:26" x14ac:dyDescent="0.3">
      <c r="A1002" s="7" t="s">
        <v>21</v>
      </c>
      <c r="B1002" t="s">
        <v>497</v>
      </c>
      <c r="C1002" t="s">
        <v>498</v>
      </c>
      <c r="D1002" t="s">
        <v>499</v>
      </c>
      <c r="E1002" t="s">
        <v>500</v>
      </c>
      <c r="F1002" t="s">
        <v>106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 t="s">
        <v>33</v>
      </c>
      <c r="W1002" s="2">
        <v>76.260909090909081</v>
      </c>
      <c r="X1002" s="3">
        <f t="shared" si="30"/>
        <v>76.260909090909081</v>
      </c>
      <c r="Y1002">
        <f>VLOOKUP(D1002,'[1]Cost Sheet'!$C:$D,2,0)</f>
        <v>76.31</v>
      </c>
      <c r="Z1002" s="3">
        <f t="shared" si="31"/>
        <v>76.31</v>
      </c>
    </row>
    <row r="1003" spans="1:26" x14ac:dyDescent="0.3">
      <c r="A1003" s="7" t="s">
        <v>21</v>
      </c>
      <c r="B1003" t="s">
        <v>497</v>
      </c>
      <c r="C1003" t="s">
        <v>498</v>
      </c>
      <c r="D1003" t="s">
        <v>499</v>
      </c>
      <c r="E1003" t="s">
        <v>500</v>
      </c>
      <c r="F1003" t="s">
        <v>106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2</v>
      </c>
      <c r="T1003">
        <v>0</v>
      </c>
      <c r="U1003" t="s">
        <v>47</v>
      </c>
      <c r="W1003" s="2">
        <v>76.260909090909081</v>
      </c>
      <c r="X1003" s="3">
        <f t="shared" si="30"/>
        <v>152.52181818181816</v>
      </c>
      <c r="Y1003">
        <f>VLOOKUP(D1003,'[1]Cost Sheet'!$C:$D,2,0)</f>
        <v>76.31</v>
      </c>
      <c r="Z1003" s="3">
        <f t="shared" si="31"/>
        <v>152.62</v>
      </c>
    </row>
    <row r="1004" spans="1:26" x14ac:dyDescent="0.3">
      <c r="A1004" s="7" t="s">
        <v>21</v>
      </c>
      <c r="B1004" t="s">
        <v>497</v>
      </c>
      <c r="C1004" t="s">
        <v>498</v>
      </c>
      <c r="D1004" t="s">
        <v>499</v>
      </c>
      <c r="E1004" t="s">
        <v>500</v>
      </c>
      <c r="F1004" t="s">
        <v>106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 t="s">
        <v>40</v>
      </c>
      <c r="W1004" s="2">
        <v>76.260909090909081</v>
      </c>
      <c r="X1004" s="3">
        <f t="shared" si="30"/>
        <v>76.260909090909081</v>
      </c>
      <c r="Y1004">
        <f>VLOOKUP(D1004,'[1]Cost Sheet'!$C:$D,2,0)</f>
        <v>76.31</v>
      </c>
      <c r="Z1004" s="3">
        <f t="shared" si="31"/>
        <v>76.31</v>
      </c>
    </row>
    <row r="1005" spans="1:26" x14ac:dyDescent="0.3">
      <c r="A1005" s="7" t="s">
        <v>21</v>
      </c>
      <c r="B1005" t="s">
        <v>497</v>
      </c>
      <c r="C1005" t="s">
        <v>498</v>
      </c>
      <c r="D1005" t="s">
        <v>499</v>
      </c>
      <c r="E1005" t="s">
        <v>500</v>
      </c>
      <c r="F1005" t="s">
        <v>106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3</v>
      </c>
      <c r="T1005">
        <v>0</v>
      </c>
      <c r="U1005" t="s">
        <v>48</v>
      </c>
      <c r="W1005" s="2">
        <v>76.260909090909081</v>
      </c>
      <c r="X1005" s="3">
        <f t="shared" si="30"/>
        <v>228.78272727272724</v>
      </c>
      <c r="Y1005">
        <f>VLOOKUP(D1005,'[1]Cost Sheet'!$C:$D,2,0)</f>
        <v>76.31</v>
      </c>
      <c r="Z1005" s="3">
        <f t="shared" si="31"/>
        <v>228.93</v>
      </c>
    </row>
    <row r="1006" spans="1:26" x14ac:dyDescent="0.3">
      <c r="A1006" s="7" t="s">
        <v>21</v>
      </c>
      <c r="B1006" t="s">
        <v>497</v>
      </c>
      <c r="C1006" t="s">
        <v>498</v>
      </c>
      <c r="D1006" t="s">
        <v>499</v>
      </c>
      <c r="E1006" t="s">
        <v>500</v>
      </c>
      <c r="F1006" t="s">
        <v>106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-1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27</v>
      </c>
      <c r="W1006" s="2">
        <v>76.260909090909081</v>
      </c>
      <c r="X1006" s="3">
        <f t="shared" si="30"/>
        <v>0</v>
      </c>
      <c r="Y1006">
        <f>VLOOKUP(D1006,'[1]Cost Sheet'!$C:$D,2,0)</f>
        <v>76.31</v>
      </c>
      <c r="Z1006" s="3">
        <f t="shared" si="31"/>
        <v>0</v>
      </c>
    </row>
    <row r="1007" spans="1:26" x14ac:dyDescent="0.3">
      <c r="A1007" s="7" t="s">
        <v>21</v>
      </c>
      <c r="B1007" t="s">
        <v>497</v>
      </c>
      <c r="C1007" t="s">
        <v>498</v>
      </c>
      <c r="D1007" t="s">
        <v>499</v>
      </c>
      <c r="E1007" t="s">
        <v>500</v>
      </c>
      <c r="F1007" t="s">
        <v>26</v>
      </c>
      <c r="G1007">
        <v>92</v>
      </c>
      <c r="H1007">
        <v>0</v>
      </c>
      <c r="I1007">
        <v>0</v>
      </c>
      <c r="J1007">
        <v>-2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90</v>
      </c>
      <c r="T1007">
        <v>0</v>
      </c>
      <c r="U1007" t="s">
        <v>38</v>
      </c>
      <c r="W1007" s="2">
        <v>76.260909090909081</v>
      </c>
      <c r="X1007" s="3">
        <f t="shared" si="30"/>
        <v>6863.4818181818173</v>
      </c>
      <c r="Y1007">
        <f>VLOOKUP(D1007,'[1]Cost Sheet'!$C:$D,2,0)</f>
        <v>76.31</v>
      </c>
      <c r="Z1007" s="3">
        <f t="shared" si="31"/>
        <v>6867.9000000000005</v>
      </c>
    </row>
    <row r="1008" spans="1:26" x14ac:dyDescent="0.3">
      <c r="A1008" s="7" t="s">
        <v>21</v>
      </c>
      <c r="B1008" t="s">
        <v>497</v>
      </c>
      <c r="C1008" t="s">
        <v>498</v>
      </c>
      <c r="D1008" t="s">
        <v>499</v>
      </c>
      <c r="E1008" t="s">
        <v>500</v>
      </c>
      <c r="F1008" t="s">
        <v>26</v>
      </c>
      <c r="G1008">
        <v>580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69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649</v>
      </c>
      <c r="T1008">
        <v>0</v>
      </c>
      <c r="U1008" t="s">
        <v>107</v>
      </c>
      <c r="W1008" s="2">
        <v>76.260909090909081</v>
      </c>
      <c r="X1008" s="3">
        <f t="shared" si="30"/>
        <v>49493.329999999994</v>
      </c>
      <c r="Y1008">
        <f>VLOOKUP(D1008,'[1]Cost Sheet'!$C:$D,2,0)</f>
        <v>76.31</v>
      </c>
      <c r="Z1008" s="3">
        <f t="shared" si="31"/>
        <v>49525.19</v>
      </c>
    </row>
    <row r="1009" spans="1:26" x14ac:dyDescent="0.3">
      <c r="A1009" s="7" t="s">
        <v>21</v>
      </c>
      <c r="B1009" t="s">
        <v>497</v>
      </c>
      <c r="C1009" t="s">
        <v>498</v>
      </c>
      <c r="D1009" t="s">
        <v>499</v>
      </c>
      <c r="E1009" t="s">
        <v>500</v>
      </c>
      <c r="F1009" t="s">
        <v>26</v>
      </c>
      <c r="G1009">
        <v>131</v>
      </c>
      <c r="H1009">
        <v>0</v>
      </c>
      <c r="I1009">
        <v>0</v>
      </c>
      <c r="J1009">
        <v>-4</v>
      </c>
      <c r="K1009">
        <v>0</v>
      </c>
      <c r="L1009">
        <v>0</v>
      </c>
      <c r="M1009">
        <v>72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199</v>
      </c>
      <c r="T1009">
        <v>0</v>
      </c>
      <c r="U1009" t="s">
        <v>45</v>
      </c>
      <c r="W1009" s="2">
        <v>76.260909090909081</v>
      </c>
      <c r="X1009" s="3">
        <f t="shared" si="30"/>
        <v>15175.920909090906</v>
      </c>
      <c r="Y1009">
        <f>VLOOKUP(D1009,'[1]Cost Sheet'!$C:$D,2,0)</f>
        <v>76.31</v>
      </c>
      <c r="Z1009" s="3">
        <f t="shared" si="31"/>
        <v>15185.69</v>
      </c>
    </row>
    <row r="1010" spans="1:26" x14ac:dyDescent="0.3">
      <c r="A1010" s="7" t="s">
        <v>21</v>
      </c>
      <c r="B1010" t="s">
        <v>497</v>
      </c>
      <c r="C1010" t="s">
        <v>498</v>
      </c>
      <c r="D1010" t="s">
        <v>499</v>
      </c>
      <c r="E1010" t="s">
        <v>500</v>
      </c>
      <c r="F1010" t="s">
        <v>26</v>
      </c>
      <c r="G1010">
        <v>71</v>
      </c>
      <c r="H1010">
        <v>0</v>
      </c>
      <c r="I1010">
        <v>0</v>
      </c>
      <c r="J1010">
        <v>-6</v>
      </c>
      <c r="K1010">
        <v>0</v>
      </c>
      <c r="L1010">
        <v>0</v>
      </c>
      <c r="M1010">
        <v>73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138</v>
      </c>
      <c r="T1010">
        <v>0</v>
      </c>
      <c r="U1010" t="s">
        <v>39</v>
      </c>
      <c r="W1010" s="2">
        <v>76.260909090909081</v>
      </c>
      <c r="X1010" s="3">
        <f t="shared" si="30"/>
        <v>10524.005454545453</v>
      </c>
      <c r="Y1010">
        <f>VLOOKUP(D1010,'[1]Cost Sheet'!$C:$D,2,0)</f>
        <v>76.31</v>
      </c>
      <c r="Z1010" s="3">
        <f t="shared" si="31"/>
        <v>10530.78</v>
      </c>
    </row>
    <row r="1011" spans="1:26" x14ac:dyDescent="0.3">
      <c r="A1011" s="7" t="s">
        <v>21</v>
      </c>
      <c r="B1011" t="s">
        <v>497</v>
      </c>
      <c r="C1011" t="s">
        <v>498</v>
      </c>
      <c r="D1011" t="s">
        <v>499</v>
      </c>
      <c r="E1011" t="s">
        <v>500</v>
      </c>
      <c r="F1011" t="s">
        <v>26</v>
      </c>
      <c r="G1011">
        <v>69</v>
      </c>
      <c r="H1011">
        <v>0</v>
      </c>
      <c r="I1011">
        <v>0</v>
      </c>
      <c r="J1011">
        <v>-6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63</v>
      </c>
      <c r="T1011">
        <v>0</v>
      </c>
      <c r="U1011" t="s">
        <v>53</v>
      </c>
      <c r="W1011" s="2">
        <v>76.260909090909081</v>
      </c>
      <c r="X1011" s="3">
        <f t="shared" si="30"/>
        <v>4804.4372727272721</v>
      </c>
      <c r="Y1011">
        <f>VLOOKUP(D1011,'[1]Cost Sheet'!$C:$D,2,0)</f>
        <v>76.31</v>
      </c>
      <c r="Z1011" s="3">
        <f t="shared" si="31"/>
        <v>4807.53</v>
      </c>
    </row>
    <row r="1012" spans="1:26" x14ac:dyDescent="0.3">
      <c r="A1012" s="7" t="s">
        <v>21</v>
      </c>
      <c r="B1012" t="s">
        <v>497</v>
      </c>
      <c r="C1012" t="s">
        <v>498</v>
      </c>
      <c r="D1012" t="s">
        <v>499</v>
      </c>
      <c r="E1012" t="s">
        <v>500</v>
      </c>
      <c r="F1012" t="s">
        <v>26</v>
      </c>
      <c r="G1012">
        <v>571</v>
      </c>
      <c r="H1012">
        <v>0</v>
      </c>
      <c r="I1012">
        <v>0</v>
      </c>
      <c r="J1012">
        <v>-1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570</v>
      </c>
      <c r="T1012">
        <v>0</v>
      </c>
      <c r="U1012" t="s">
        <v>54</v>
      </c>
      <c r="W1012" s="2">
        <v>76.260909090909081</v>
      </c>
      <c r="X1012" s="3">
        <f t="shared" si="30"/>
        <v>43468.718181818178</v>
      </c>
      <c r="Y1012">
        <f>VLOOKUP(D1012,'[1]Cost Sheet'!$C:$D,2,0)</f>
        <v>76.31</v>
      </c>
      <c r="Z1012" s="3">
        <f t="shared" si="31"/>
        <v>43496.700000000004</v>
      </c>
    </row>
    <row r="1013" spans="1:26" x14ac:dyDescent="0.3">
      <c r="A1013" s="7" t="s">
        <v>21</v>
      </c>
      <c r="B1013" t="s">
        <v>497</v>
      </c>
      <c r="C1013" t="s">
        <v>498</v>
      </c>
      <c r="D1013" t="s">
        <v>499</v>
      </c>
      <c r="E1013" t="s">
        <v>500</v>
      </c>
      <c r="F1013" t="s">
        <v>26</v>
      </c>
      <c r="G1013">
        <v>0</v>
      </c>
      <c r="H1013">
        <v>144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152</v>
      </c>
      <c r="W1013" s="2">
        <v>76.260909090909081</v>
      </c>
      <c r="X1013" s="3">
        <f t="shared" si="30"/>
        <v>0</v>
      </c>
      <c r="Y1013">
        <f>VLOOKUP(D1013,'[1]Cost Sheet'!$C:$D,2,0)</f>
        <v>76.31</v>
      </c>
      <c r="Z1013" s="3">
        <f t="shared" si="31"/>
        <v>0</v>
      </c>
    </row>
    <row r="1014" spans="1:26" x14ac:dyDescent="0.3">
      <c r="A1014" s="7" t="s">
        <v>21</v>
      </c>
      <c r="B1014" t="s">
        <v>497</v>
      </c>
      <c r="C1014" t="s">
        <v>498</v>
      </c>
      <c r="D1014" t="s">
        <v>499</v>
      </c>
      <c r="E1014" t="s">
        <v>500</v>
      </c>
      <c r="F1014" t="s">
        <v>26</v>
      </c>
      <c r="G1014">
        <v>1737</v>
      </c>
      <c r="H1014">
        <v>0</v>
      </c>
      <c r="I1014">
        <v>0</v>
      </c>
      <c r="J1014">
        <v>-8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1729</v>
      </c>
      <c r="T1014">
        <v>0</v>
      </c>
      <c r="U1014" t="s">
        <v>32</v>
      </c>
      <c r="W1014" s="2">
        <v>76.260909090909081</v>
      </c>
      <c r="X1014" s="3">
        <f t="shared" si="30"/>
        <v>131855.11181818179</v>
      </c>
      <c r="Y1014">
        <f>VLOOKUP(D1014,'[1]Cost Sheet'!$C:$D,2,0)</f>
        <v>76.31</v>
      </c>
      <c r="Z1014" s="3">
        <f t="shared" si="31"/>
        <v>131939.99</v>
      </c>
    </row>
    <row r="1015" spans="1:26" x14ac:dyDescent="0.3">
      <c r="A1015" s="7" t="s">
        <v>21</v>
      </c>
      <c r="B1015" t="s">
        <v>497</v>
      </c>
      <c r="C1015" t="s">
        <v>498</v>
      </c>
      <c r="D1015" t="s">
        <v>499</v>
      </c>
      <c r="E1015" t="s">
        <v>500</v>
      </c>
      <c r="F1015" t="s">
        <v>26</v>
      </c>
      <c r="G1015">
        <v>139</v>
      </c>
      <c r="H1015">
        <v>0</v>
      </c>
      <c r="I1015">
        <v>0</v>
      </c>
      <c r="J1015">
        <v>-4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136</v>
      </c>
      <c r="T1015">
        <v>0</v>
      </c>
      <c r="U1015" t="s">
        <v>33</v>
      </c>
      <c r="W1015" s="2">
        <v>76.260909090909081</v>
      </c>
      <c r="X1015" s="3">
        <f t="shared" si="30"/>
        <v>10371.483636363635</v>
      </c>
      <c r="Y1015">
        <f>VLOOKUP(D1015,'[1]Cost Sheet'!$C:$D,2,0)</f>
        <v>76.31</v>
      </c>
      <c r="Z1015" s="3">
        <f t="shared" si="31"/>
        <v>10378.16</v>
      </c>
    </row>
    <row r="1016" spans="1:26" x14ac:dyDescent="0.3">
      <c r="A1016" s="7" t="s">
        <v>21</v>
      </c>
      <c r="B1016" t="s">
        <v>497</v>
      </c>
      <c r="C1016" t="s">
        <v>498</v>
      </c>
      <c r="D1016" t="s">
        <v>499</v>
      </c>
      <c r="E1016" t="s">
        <v>500</v>
      </c>
      <c r="F1016" t="s">
        <v>26</v>
      </c>
      <c r="G1016">
        <v>105</v>
      </c>
      <c r="H1016">
        <v>0</v>
      </c>
      <c r="I1016">
        <v>0</v>
      </c>
      <c r="J1016">
        <v>-1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104</v>
      </c>
      <c r="T1016">
        <v>0</v>
      </c>
      <c r="U1016" t="s">
        <v>46</v>
      </c>
      <c r="W1016" s="2">
        <v>76.260909090909081</v>
      </c>
      <c r="X1016" s="3">
        <f t="shared" si="30"/>
        <v>7931.1345454545444</v>
      </c>
      <c r="Y1016">
        <f>VLOOKUP(D1016,'[1]Cost Sheet'!$C:$D,2,0)</f>
        <v>76.31</v>
      </c>
      <c r="Z1016" s="3">
        <f t="shared" si="31"/>
        <v>7936.24</v>
      </c>
    </row>
    <row r="1017" spans="1:26" x14ac:dyDescent="0.3">
      <c r="A1017" s="7" t="s">
        <v>21</v>
      </c>
      <c r="B1017" t="s">
        <v>497</v>
      </c>
      <c r="C1017" t="s">
        <v>498</v>
      </c>
      <c r="D1017" t="s">
        <v>499</v>
      </c>
      <c r="E1017" t="s">
        <v>500</v>
      </c>
      <c r="F1017" t="s">
        <v>26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3</v>
      </c>
      <c r="T1017">
        <v>0</v>
      </c>
      <c r="U1017" t="s">
        <v>110</v>
      </c>
      <c r="W1017" s="2">
        <v>76.260909090909081</v>
      </c>
      <c r="X1017" s="3">
        <f t="shared" si="30"/>
        <v>228.78272727272724</v>
      </c>
      <c r="Y1017">
        <f>VLOOKUP(D1017,'[1]Cost Sheet'!$C:$D,2,0)</f>
        <v>76.31</v>
      </c>
      <c r="Z1017" s="3">
        <f t="shared" si="31"/>
        <v>228.93</v>
      </c>
    </row>
    <row r="1018" spans="1:26" x14ac:dyDescent="0.3">
      <c r="A1018" s="7" t="s">
        <v>21</v>
      </c>
      <c r="B1018" t="s">
        <v>497</v>
      </c>
      <c r="C1018" t="s">
        <v>498</v>
      </c>
      <c r="D1018" t="s">
        <v>499</v>
      </c>
      <c r="E1018" t="s">
        <v>500</v>
      </c>
      <c r="F1018" t="s">
        <v>26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4</v>
      </c>
      <c r="T1018">
        <v>0</v>
      </c>
      <c r="U1018" t="s">
        <v>111</v>
      </c>
      <c r="W1018" s="2">
        <v>76.260909090909081</v>
      </c>
      <c r="X1018" s="3">
        <f t="shared" si="30"/>
        <v>305.04363636363632</v>
      </c>
      <c r="Y1018">
        <f>VLOOKUP(D1018,'[1]Cost Sheet'!$C:$D,2,0)</f>
        <v>76.31</v>
      </c>
      <c r="Z1018" s="3">
        <f t="shared" si="31"/>
        <v>305.24</v>
      </c>
    </row>
    <row r="1019" spans="1:26" x14ac:dyDescent="0.3">
      <c r="A1019" s="7" t="s">
        <v>21</v>
      </c>
      <c r="B1019" t="s">
        <v>497</v>
      </c>
      <c r="C1019" t="s">
        <v>498</v>
      </c>
      <c r="D1019" t="s">
        <v>499</v>
      </c>
      <c r="E1019" t="s">
        <v>500</v>
      </c>
      <c r="F1019" t="s">
        <v>26</v>
      </c>
      <c r="G1019">
        <v>28</v>
      </c>
      <c r="H1019">
        <v>0</v>
      </c>
      <c r="I1019">
        <v>0</v>
      </c>
      <c r="J1019">
        <v>-2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26</v>
      </c>
      <c r="T1019">
        <v>0</v>
      </c>
      <c r="U1019" t="s">
        <v>47</v>
      </c>
      <c r="W1019" s="2">
        <v>76.260909090909081</v>
      </c>
      <c r="X1019" s="3">
        <f t="shared" si="30"/>
        <v>1982.7836363636361</v>
      </c>
      <c r="Y1019">
        <f>VLOOKUP(D1019,'[1]Cost Sheet'!$C:$D,2,0)</f>
        <v>76.31</v>
      </c>
      <c r="Z1019" s="3">
        <f t="shared" si="31"/>
        <v>1984.06</v>
      </c>
    </row>
    <row r="1020" spans="1:26" x14ac:dyDescent="0.3">
      <c r="A1020" s="7" t="s">
        <v>21</v>
      </c>
      <c r="B1020" t="s">
        <v>497</v>
      </c>
      <c r="C1020" t="s">
        <v>498</v>
      </c>
      <c r="D1020" t="s">
        <v>499</v>
      </c>
      <c r="E1020" t="s">
        <v>500</v>
      </c>
      <c r="F1020" t="s">
        <v>26</v>
      </c>
      <c r="G1020">
        <v>200</v>
      </c>
      <c r="H1020">
        <v>1</v>
      </c>
      <c r="I1020">
        <v>0</v>
      </c>
      <c r="J1020">
        <v>-1</v>
      </c>
      <c r="K1020">
        <v>0</v>
      </c>
      <c r="L1020">
        <v>0</v>
      </c>
      <c r="M1020">
        <v>-1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198</v>
      </c>
      <c r="T1020">
        <v>0</v>
      </c>
      <c r="U1020" t="s">
        <v>40</v>
      </c>
      <c r="W1020" s="2">
        <v>76.260909090909081</v>
      </c>
      <c r="X1020" s="3">
        <f t="shared" si="30"/>
        <v>15099.659999999998</v>
      </c>
      <c r="Y1020">
        <f>VLOOKUP(D1020,'[1]Cost Sheet'!$C:$D,2,0)</f>
        <v>76.31</v>
      </c>
      <c r="Z1020" s="3">
        <f t="shared" si="31"/>
        <v>15109.380000000001</v>
      </c>
    </row>
    <row r="1021" spans="1:26" x14ac:dyDescent="0.3">
      <c r="A1021" s="7" t="s">
        <v>21</v>
      </c>
      <c r="B1021" t="s">
        <v>497</v>
      </c>
      <c r="C1021" t="s">
        <v>498</v>
      </c>
      <c r="D1021" t="s">
        <v>499</v>
      </c>
      <c r="E1021" t="s">
        <v>500</v>
      </c>
      <c r="F1021" t="s">
        <v>26</v>
      </c>
      <c r="G1021">
        <v>141</v>
      </c>
      <c r="H1021">
        <v>0</v>
      </c>
      <c r="I1021">
        <v>0</v>
      </c>
      <c r="J1021">
        <v>-2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139</v>
      </c>
      <c r="T1021">
        <v>0</v>
      </c>
      <c r="U1021" t="s">
        <v>120</v>
      </c>
      <c r="W1021" s="2">
        <v>76.260909090909081</v>
      </c>
      <c r="X1021" s="3">
        <f t="shared" si="30"/>
        <v>10600.266363636361</v>
      </c>
      <c r="Y1021">
        <f>VLOOKUP(D1021,'[1]Cost Sheet'!$C:$D,2,0)</f>
        <v>76.31</v>
      </c>
      <c r="Z1021" s="3">
        <f t="shared" si="31"/>
        <v>10607.09</v>
      </c>
    </row>
    <row r="1022" spans="1:26" x14ac:dyDescent="0.3">
      <c r="A1022" s="7" t="s">
        <v>21</v>
      </c>
      <c r="B1022" t="s">
        <v>497</v>
      </c>
      <c r="C1022" t="s">
        <v>498</v>
      </c>
      <c r="D1022" t="s">
        <v>499</v>
      </c>
      <c r="E1022" t="s">
        <v>500</v>
      </c>
      <c r="F1022" t="s">
        <v>26</v>
      </c>
      <c r="G1022">
        <v>169</v>
      </c>
      <c r="H1022">
        <v>0</v>
      </c>
      <c r="I1022">
        <v>0</v>
      </c>
      <c r="J1022">
        <v>-2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167</v>
      </c>
      <c r="T1022">
        <v>0</v>
      </c>
      <c r="U1022" t="s">
        <v>113</v>
      </c>
      <c r="W1022" s="2">
        <v>76.260909090909081</v>
      </c>
      <c r="X1022" s="3">
        <f t="shared" si="30"/>
        <v>12735.571818181816</v>
      </c>
      <c r="Y1022">
        <f>VLOOKUP(D1022,'[1]Cost Sheet'!$C:$D,2,0)</f>
        <v>76.31</v>
      </c>
      <c r="Z1022" s="3">
        <f t="shared" si="31"/>
        <v>12743.77</v>
      </c>
    </row>
    <row r="1023" spans="1:26" x14ac:dyDescent="0.3">
      <c r="A1023" s="7" t="s">
        <v>21</v>
      </c>
      <c r="B1023" t="s">
        <v>497</v>
      </c>
      <c r="C1023" t="s">
        <v>498</v>
      </c>
      <c r="D1023" t="s">
        <v>499</v>
      </c>
      <c r="E1023" t="s">
        <v>500</v>
      </c>
      <c r="F1023" t="s">
        <v>26</v>
      </c>
      <c r="G1023">
        <v>332</v>
      </c>
      <c r="H1023">
        <v>0</v>
      </c>
      <c r="I1023">
        <v>0</v>
      </c>
      <c r="J1023">
        <v>-3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329</v>
      </c>
      <c r="T1023">
        <v>0</v>
      </c>
      <c r="U1023" t="s">
        <v>48</v>
      </c>
      <c r="W1023" s="2">
        <v>76.260909090909081</v>
      </c>
      <c r="X1023" s="3">
        <f t="shared" si="30"/>
        <v>25089.839090909089</v>
      </c>
      <c r="Y1023">
        <f>VLOOKUP(D1023,'[1]Cost Sheet'!$C:$D,2,0)</f>
        <v>76.31</v>
      </c>
      <c r="Z1023" s="3">
        <f t="shared" si="31"/>
        <v>25105.99</v>
      </c>
    </row>
    <row r="1024" spans="1:26" x14ac:dyDescent="0.3">
      <c r="A1024" s="7" t="s">
        <v>21</v>
      </c>
      <c r="B1024" t="s">
        <v>497</v>
      </c>
      <c r="C1024" t="s">
        <v>498</v>
      </c>
      <c r="D1024" t="s">
        <v>499</v>
      </c>
      <c r="E1024" t="s">
        <v>500</v>
      </c>
      <c r="F1024" t="s">
        <v>26</v>
      </c>
      <c r="G1024">
        <v>111</v>
      </c>
      <c r="H1024">
        <v>0</v>
      </c>
      <c r="I1024">
        <v>0</v>
      </c>
      <c r="J1024">
        <v>-4</v>
      </c>
      <c r="K1024">
        <v>0</v>
      </c>
      <c r="L1024">
        <v>0</v>
      </c>
      <c r="M1024">
        <v>144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251</v>
      </c>
      <c r="T1024">
        <v>0</v>
      </c>
      <c r="U1024" t="s">
        <v>59</v>
      </c>
      <c r="W1024" s="2">
        <v>76.260909090909081</v>
      </c>
      <c r="X1024" s="3">
        <f t="shared" si="30"/>
        <v>19141.488181818178</v>
      </c>
      <c r="Y1024">
        <f>VLOOKUP(D1024,'[1]Cost Sheet'!$C:$D,2,0)</f>
        <v>76.31</v>
      </c>
      <c r="Z1024" s="3">
        <f t="shared" si="31"/>
        <v>19153.810000000001</v>
      </c>
    </row>
    <row r="1025" spans="1:26" x14ac:dyDescent="0.3">
      <c r="A1025" s="7" t="s">
        <v>21</v>
      </c>
      <c r="B1025" t="s">
        <v>497</v>
      </c>
      <c r="C1025" t="s">
        <v>498</v>
      </c>
      <c r="D1025" t="s">
        <v>499</v>
      </c>
      <c r="E1025" t="s">
        <v>500</v>
      </c>
      <c r="F1025" t="s">
        <v>26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2</v>
      </c>
      <c r="T1025">
        <v>0</v>
      </c>
      <c r="U1025" t="s">
        <v>27</v>
      </c>
      <c r="W1025" s="2">
        <v>76.260909090909081</v>
      </c>
      <c r="X1025" s="3">
        <f t="shared" si="30"/>
        <v>152.52181818181816</v>
      </c>
      <c r="Y1025">
        <f>VLOOKUP(D1025,'[1]Cost Sheet'!$C:$D,2,0)</f>
        <v>76.31</v>
      </c>
      <c r="Z1025" s="3">
        <f t="shared" si="31"/>
        <v>152.62</v>
      </c>
    </row>
    <row r="1026" spans="1:26" x14ac:dyDescent="0.3">
      <c r="A1026" s="7" t="s">
        <v>21</v>
      </c>
      <c r="B1026" t="s">
        <v>497</v>
      </c>
      <c r="C1026" t="s">
        <v>498</v>
      </c>
      <c r="D1026" t="s">
        <v>499</v>
      </c>
      <c r="E1026" t="s">
        <v>500</v>
      </c>
      <c r="F1026" t="s">
        <v>114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 t="s">
        <v>53</v>
      </c>
      <c r="W1026" s="2">
        <v>76.260909090909081</v>
      </c>
      <c r="X1026" s="3">
        <f t="shared" si="30"/>
        <v>76.260909090909081</v>
      </c>
      <c r="Y1026">
        <f>VLOOKUP(D1026,'[1]Cost Sheet'!$C:$D,2,0)</f>
        <v>76.31</v>
      </c>
      <c r="Z1026" s="3">
        <f t="shared" si="31"/>
        <v>76.31</v>
      </c>
    </row>
    <row r="1027" spans="1:26" x14ac:dyDescent="0.3">
      <c r="A1027" s="7" t="s">
        <v>21</v>
      </c>
      <c r="B1027" t="s">
        <v>501</v>
      </c>
      <c r="C1027" t="s">
        <v>502</v>
      </c>
      <c r="D1027" t="s">
        <v>503</v>
      </c>
      <c r="E1027" t="s">
        <v>504</v>
      </c>
      <c r="F1027" t="s">
        <v>125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 t="s">
        <v>45</v>
      </c>
      <c r="W1027" s="2">
        <v>37.46</v>
      </c>
      <c r="X1027" s="3">
        <f t="shared" ref="X1027:X1090" si="32">S1027*W1027</f>
        <v>37.46</v>
      </c>
      <c r="Y1027">
        <f>VLOOKUP(D1027,'[1]Cost Sheet'!$C:$D,2,0)</f>
        <v>37.46</v>
      </c>
      <c r="Z1027" s="3">
        <f t="shared" ref="Z1027:Z1090" si="33">Y1027*S1027</f>
        <v>37.46</v>
      </c>
    </row>
    <row r="1028" spans="1:26" x14ac:dyDescent="0.3">
      <c r="A1028" s="7" t="s">
        <v>21</v>
      </c>
      <c r="B1028" t="s">
        <v>501</v>
      </c>
      <c r="C1028" t="s">
        <v>502</v>
      </c>
      <c r="D1028" t="s">
        <v>503</v>
      </c>
      <c r="E1028" t="s">
        <v>504</v>
      </c>
      <c r="F1028" t="s">
        <v>125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 t="s">
        <v>88</v>
      </c>
      <c r="W1028" s="2">
        <v>37.46</v>
      </c>
      <c r="X1028" s="3">
        <f t="shared" si="32"/>
        <v>37.46</v>
      </c>
      <c r="Y1028">
        <f>VLOOKUP(D1028,'[1]Cost Sheet'!$C:$D,2,0)</f>
        <v>37.46</v>
      </c>
      <c r="Z1028" s="3">
        <f t="shared" si="33"/>
        <v>37.46</v>
      </c>
    </row>
    <row r="1029" spans="1:26" x14ac:dyDescent="0.3">
      <c r="A1029" s="7" t="s">
        <v>21</v>
      </c>
      <c r="B1029" t="s">
        <v>501</v>
      </c>
      <c r="C1029" t="s">
        <v>502</v>
      </c>
      <c r="D1029" t="s">
        <v>503</v>
      </c>
      <c r="E1029" t="s">
        <v>504</v>
      </c>
      <c r="F1029" t="s">
        <v>169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 t="s">
        <v>151</v>
      </c>
      <c r="W1029" s="2">
        <v>37.46</v>
      </c>
      <c r="X1029" s="3">
        <f t="shared" si="32"/>
        <v>37.46</v>
      </c>
      <c r="Y1029">
        <f>VLOOKUP(D1029,'[1]Cost Sheet'!$C:$D,2,0)</f>
        <v>37.46</v>
      </c>
      <c r="Z1029" s="3">
        <f t="shared" si="33"/>
        <v>37.46</v>
      </c>
    </row>
    <row r="1030" spans="1:26" x14ac:dyDescent="0.3">
      <c r="A1030" s="7" t="s">
        <v>21</v>
      </c>
      <c r="B1030" t="s">
        <v>501</v>
      </c>
      <c r="C1030" t="s">
        <v>502</v>
      </c>
      <c r="D1030" t="s">
        <v>503</v>
      </c>
      <c r="E1030" t="s">
        <v>504</v>
      </c>
      <c r="F1030" t="s">
        <v>106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 t="s">
        <v>45</v>
      </c>
      <c r="W1030" s="2">
        <v>37.46</v>
      </c>
      <c r="X1030" s="3">
        <f t="shared" si="32"/>
        <v>37.46</v>
      </c>
      <c r="Y1030">
        <f>VLOOKUP(D1030,'[1]Cost Sheet'!$C:$D,2,0)</f>
        <v>37.46</v>
      </c>
      <c r="Z1030" s="3">
        <f t="shared" si="33"/>
        <v>37.46</v>
      </c>
    </row>
    <row r="1031" spans="1:26" x14ac:dyDescent="0.3">
      <c r="A1031" s="7" t="s">
        <v>21</v>
      </c>
      <c r="B1031" t="s">
        <v>501</v>
      </c>
      <c r="C1031" t="s">
        <v>502</v>
      </c>
      <c r="D1031" t="s">
        <v>503</v>
      </c>
      <c r="E1031" t="s">
        <v>504</v>
      </c>
      <c r="F1031" t="s">
        <v>106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 t="s">
        <v>39</v>
      </c>
      <c r="W1031" s="2">
        <v>37.46</v>
      </c>
      <c r="X1031" s="3">
        <f t="shared" si="32"/>
        <v>37.46</v>
      </c>
      <c r="Y1031">
        <f>VLOOKUP(D1031,'[1]Cost Sheet'!$C:$D,2,0)</f>
        <v>37.46</v>
      </c>
      <c r="Z1031" s="3">
        <f t="shared" si="33"/>
        <v>37.46</v>
      </c>
    </row>
    <row r="1032" spans="1:26" x14ac:dyDescent="0.3">
      <c r="A1032" s="7" t="s">
        <v>21</v>
      </c>
      <c r="B1032" t="s">
        <v>501</v>
      </c>
      <c r="C1032" t="s">
        <v>502</v>
      </c>
      <c r="D1032" t="s">
        <v>503</v>
      </c>
      <c r="E1032" t="s">
        <v>504</v>
      </c>
      <c r="F1032" t="s">
        <v>106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 t="s">
        <v>53</v>
      </c>
      <c r="W1032" s="2">
        <v>37.46</v>
      </c>
      <c r="X1032" s="3">
        <f t="shared" si="32"/>
        <v>37.46</v>
      </c>
      <c r="Y1032">
        <f>VLOOKUP(D1032,'[1]Cost Sheet'!$C:$D,2,0)</f>
        <v>37.46</v>
      </c>
      <c r="Z1032" s="3">
        <f t="shared" si="33"/>
        <v>37.46</v>
      </c>
    </row>
    <row r="1033" spans="1:26" x14ac:dyDescent="0.3">
      <c r="A1033" s="7" t="s">
        <v>21</v>
      </c>
      <c r="B1033" t="s">
        <v>501</v>
      </c>
      <c r="C1033" t="s">
        <v>502</v>
      </c>
      <c r="D1033" t="s">
        <v>503</v>
      </c>
      <c r="E1033" t="s">
        <v>504</v>
      </c>
      <c r="F1033" t="s">
        <v>106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 t="s">
        <v>46</v>
      </c>
      <c r="W1033" s="2">
        <v>37.46</v>
      </c>
      <c r="X1033" s="3">
        <f t="shared" si="32"/>
        <v>37.46</v>
      </c>
      <c r="Y1033">
        <f>VLOOKUP(D1033,'[1]Cost Sheet'!$C:$D,2,0)</f>
        <v>37.46</v>
      </c>
      <c r="Z1033" s="3">
        <f t="shared" si="33"/>
        <v>37.46</v>
      </c>
    </row>
    <row r="1034" spans="1:26" x14ac:dyDescent="0.3">
      <c r="A1034" s="7" t="s">
        <v>21</v>
      </c>
      <c r="B1034" t="s">
        <v>501</v>
      </c>
      <c r="C1034" t="s">
        <v>502</v>
      </c>
      <c r="D1034" t="s">
        <v>503</v>
      </c>
      <c r="E1034" t="s">
        <v>504</v>
      </c>
      <c r="F1034" t="s">
        <v>106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 t="s">
        <v>40</v>
      </c>
      <c r="W1034" s="2">
        <v>37.46</v>
      </c>
      <c r="X1034" s="3">
        <f t="shared" si="32"/>
        <v>37.46</v>
      </c>
      <c r="Y1034">
        <f>VLOOKUP(D1034,'[1]Cost Sheet'!$C:$D,2,0)</f>
        <v>37.46</v>
      </c>
      <c r="Z1034" s="3">
        <f t="shared" si="33"/>
        <v>37.46</v>
      </c>
    </row>
    <row r="1035" spans="1:26" x14ac:dyDescent="0.3">
      <c r="A1035" s="7" t="s">
        <v>21</v>
      </c>
      <c r="B1035" t="s">
        <v>501</v>
      </c>
      <c r="C1035" t="s">
        <v>502</v>
      </c>
      <c r="D1035" t="s">
        <v>503</v>
      </c>
      <c r="E1035" t="s">
        <v>504</v>
      </c>
      <c r="F1035" t="s">
        <v>106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 t="s">
        <v>27</v>
      </c>
      <c r="W1035" s="2">
        <v>37.46</v>
      </c>
      <c r="X1035" s="3">
        <f t="shared" si="32"/>
        <v>37.46</v>
      </c>
      <c r="Y1035">
        <f>VLOOKUP(D1035,'[1]Cost Sheet'!$C:$D,2,0)</f>
        <v>37.46</v>
      </c>
      <c r="Z1035" s="3">
        <f t="shared" si="33"/>
        <v>37.46</v>
      </c>
    </row>
    <row r="1036" spans="1:26" x14ac:dyDescent="0.3">
      <c r="A1036" s="7" t="s">
        <v>21</v>
      </c>
      <c r="B1036" t="s">
        <v>501</v>
      </c>
      <c r="C1036" t="s">
        <v>502</v>
      </c>
      <c r="D1036" t="s">
        <v>503</v>
      </c>
      <c r="E1036" t="s">
        <v>504</v>
      </c>
      <c r="F1036" t="s">
        <v>26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-2</v>
      </c>
      <c r="P1036">
        <v>0</v>
      </c>
      <c r="Q1036">
        <v>0</v>
      </c>
      <c r="R1036">
        <v>0</v>
      </c>
      <c r="S1036">
        <v>1</v>
      </c>
      <c r="T1036">
        <v>0</v>
      </c>
      <c r="U1036" t="s">
        <v>45</v>
      </c>
      <c r="W1036" s="2">
        <v>37.46</v>
      </c>
      <c r="X1036" s="3">
        <f t="shared" si="32"/>
        <v>37.46</v>
      </c>
      <c r="Y1036">
        <f>VLOOKUP(D1036,'[1]Cost Sheet'!$C:$D,2,0)</f>
        <v>37.46</v>
      </c>
      <c r="Z1036" s="3">
        <f t="shared" si="33"/>
        <v>37.46</v>
      </c>
    </row>
    <row r="1037" spans="1:26" x14ac:dyDescent="0.3">
      <c r="A1037" s="7" t="s">
        <v>21</v>
      </c>
      <c r="B1037" t="s">
        <v>501</v>
      </c>
      <c r="C1037" t="s">
        <v>502</v>
      </c>
      <c r="D1037" t="s">
        <v>503</v>
      </c>
      <c r="E1037" t="s">
        <v>504</v>
      </c>
      <c r="F1037" t="s">
        <v>26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 t="s">
        <v>39</v>
      </c>
      <c r="W1037" s="2">
        <v>37.46</v>
      </c>
      <c r="X1037" s="3">
        <f t="shared" si="32"/>
        <v>37.46</v>
      </c>
      <c r="Y1037">
        <f>VLOOKUP(D1037,'[1]Cost Sheet'!$C:$D,2,0)</f>
        <v>37.46</v>
      </c>
      <c r="Z1037" s="3">
        <f t="shared" si="33"/>
        <v>37.46</v>
      </c>
    </row>
    <row r="1038" spans="1:26" x14ac:dyDescent="0.3">
      <c r="A1038" s="7" t="s">
        <v>21</v>
      </c>
      <c r="B1038" t="s">
        <v>501</v>
      </c>
      <c r="C1038" t="s">
        <v>502</v>
      </c>
      <c r="D1038" t="s">
        <v>503</v>
      </c>
      <c r="E1038" t="s">
        <v>504</v>
      </c>
      <c r="F1038" t="s">
        <v>26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 t="s">
        <v>32</v>
      </c>
      <c r="W1038" s="2">
        <v>37.46</v>
      </c>
      <c r="X1038" s="3">
        <f t="shared" si="32"/>
        <v>37.46</v>
      </c>
      <c r="Y1038">
        <f>VLOOKUP(D1038,'[1]Cost Sheet'!$C:$D,2,0)</f>
        <v>37.46</v>
      </c>
      <c r="Z1038" s="3">
        <f t="shared" si="33"/>
        <v>37.46</v>
      </c>
    </row>
    <row r="1039" spans="1:26" x14ac:dyDescent="0.3">
      <c r="A1039" s="7" t="s">
        <v>21</v>
      </c>
      <c r="B1039" t="s">
        <v>501</v>
      </c>
      <c r="C1039" t="s">
        <v>502</v>
      </c>
      <c r="D1039" t="s">
        <v>503</v>
      </c>
      <c r="E1039" t="s">
        <v>504</v>
      </c>
      <c r="F1039" t="s">
        <v>26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-1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88</v>
      </c>
      <c r="W1039" s="2">
        <v>37.46</v>
      </c>
      <c r="X1039" s="3">
        <f t="shared" si="32"/>
        <v>0</v>
      </c>
      <c r="Y1039">
        <f>VLOOKUP(D1039,'[1]Cost Sheet'!$C:$D,2,0)</f>
        <v>37.46</v>
      </c>
      <c r="Z1039" s="3">
        <f t="shared" si="33"/>
        <v>0</v>
      </c>
    </row>
    <row r="1040" spans="1:26" x14ac:dyDescent="0.3">
      <c r="A1040" s="7" t="s">
        <v>21</v>
      </c>
      <c r="B1040" t="s">
        <v>501</v>
      </c>
      <c r="C1040" t="s">
        <v>502</v>
      </c>
      <c r="D1040" t="s">
        <v>503</v>
      </c>
      <c r="E1040" t="s">
        <v>504</v>
      </c>
      <c r="F1040" t="s">
        <v>26</v>
      </c>
      <c r="G1040">
        <v>2</v>
      </c>
      <c r="H1040">
        <v>0</v>
      </c>
      <c r="I1040">
        <v>0</v>
      </c>
      <c r="J1040">
        <v>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s">
        <v>33</v>
      </c>
      <c r="W1040" s="2">
        <v>37.46</v>
      </c>
      <c r="X1040" s="3">
        <f t="shared" si="32"/>
        <v>0</v>
      </c>
      <c r="Y1040">
        <f>VLOOKUP(D1040,'[1]Cost Sheet'!$C:$D,2,0)</f>
        <v>37.46</v>
      </c>
      <c r="Z1040" s="3">
        <f t="shared" si="33"/>
        <v>0</v>
      </c>
    </row>
    <row r="1041" spans="1:26" x14ac:dyDescent="0.3">
      <c r="A1041" s="7" t="s">
        <v>21</v>
      </c>
      <c r="B1041" t="s">
        <v>501</v>
      </c>
      <c r="C1041" t="s">
        <v>502</v>
      </c>
      <c r="D1041" t="s">
        <v>503</v>
      </c>
      <c r="E1041" t="s">
        <v>504</v>
      </c>
      <c r="F1041" t="s">
        <v>26</v>
      </c>
      <c r="G1041">
        <v>1</v>
      </c>
      <c r="H1041">
        <v>0</v>
      </c>
      <c r="I1041">
        <v>0</v>
      </c>
      <c r="J1041">
        <v>-1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46</v>
      </c>
      <c r="W1041" s="2">
        <v>37.46</v>
      </c>
      <c r="X1041" s="3">
        <f t="shared" si="32"/>
        <v>0</v>
      </c>
      <c r="Y1041">
        <f>VLOOKUP(D1041,'[1]Cost Sheet'!$C:$D,2,0)</f>
        <v>37.46</v>
      </c>
      <c r="Z1041" s="3">
        <f t="shared" si="33"/>
        <v>0</v>
      </c>
    </row>
    <row r="1042" spans="1:26" x14ac:dyDescent="0.3">
      <c r="A1042" s="7" t="s">
        <v>21</v>
      </c>
      <c r="B1042" t="s">
        <v>501</v>
      </c>
      <c r="C1042" t="s">
        <v>502</v>
      </c>
      <c r="D1042" t="s">
        <v>503</v>
      </c>
      <c r="E1042" t="s">
        <v>504</v>
      </c>
      <c r="F1042" t="s">
        <v>26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 t="s">
        <v>40</v>
      </c>
      <c r="W1042" s="2">
        <v>37.46</v>
      </c>
      <c r="X1042" s="3">
        <f t="shared" si="32"/>
        <v>37.46</v>
      </c>
      <c r="Y1042">
        <f>VLOOKUP(D1042,'[1]Cost Sheet'!$C:$D,2,0)</f>
        <v>37.46</v>
      </c>
      <c r="Z1042" s="3">
        <f t="shared" si="33"/>
        <v>37.46</v>
      </c>
    </row>
    <row r="1043" spans="1:26" x14ac:dyDescent="0.3">
      <c r="A1043" s="7" t="s">
        <v>21</v>
      </c>
      <c r="B1043" t="s">
        <v>501</v>
      </c>
      <c r="C1043" t="s">
        <v>502</v>
      </c>
      <c r="D1043" t="s">
        <v>503</v>
      </c>
      <c r="E1043" t="s">
        <v>504</v>
      </c>
      <c r="F1043" t="s">
        <v>26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 t="s">
        <v>27</v>
      </c>
      <c r="W1043" s="2">
        <v>37.46</v>
      </c>
      <c r="X1043" s="3">
        <f t="shared" si="32"/>
        <v>37.46</v>
      </c>
      <c r="Y1043">
        <f>VLOOKUP(D1043,'[1]Cost Sheet'!$C:$D,2,0)</f>
        <v>37.46</v>
      </c>
      <c r="Z1043" s="3">
        <f t="shared" si="33"/>
        <v>37.46</v>
      </c>
    </row>
    <row r="1044" spans="1:26" x14ac:dyDescent="0.3">
      <c r="A1044" s="7" t="s">
        <v>21</v>
      </c>
      <c r="B1044" t="s">
        <v>505</v>
      </c>
      <c r="C1044" t="s">
        <v>506</v>
      </c>
      <c r="D1044" t="s">
        <v>507</v>
      </c>
      <c r="E1044" t="s">
        <v>508</v>
      </c>
      <c r="F1044" t="s">
        <v>26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2</v>
      </c>
      <c r="T1044">
        <v>0</v>
      </c>
      <c r="U1044" t="s">
        <v>38</v>
      </c>
      <c r="W1044" s="2">
        <v>231.99</v>
      </c>
      <c r="X1044" s="3">
        <f t="shared" si="32"/>
        <v>463.98</v>
      </c>
      <c r="Y1044">
        <f>VLOOKUP(D1044,'[1]Cost Sheet'!$C:$D,2,0)</f>
        <v>230.17</v>
      </c>
      <c r="Z1044" s="3">
        <f t="shared" si="33"/>
        <v>460.34</v>
      </c>
    </row>
    <row r="1045" spans="1:26" x14ac:dyDescent="0.3">
      <c r="A1045" s="7" t="s">
        <v>21</v>
      </c>
      <c r="B1045" t="s">
        <v>505</v>
      </c>
      <c r="C1045" t="s">
        <v>506</v>
      </c>
      <c r="D1045" t="s">
        <v>507</v>
      </c>
      <c r="E1045" t="s">
        <v>508</v>
      </c>
      <c r="F1045" t="s">
        <v>26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 t="s">
        <v>45</v>
      </c>
      <c r="W1045" s="2">
        <v>231.99</v>
      </c>
      <c r="X1045" s="3">
        <f t="shared" si="32"/>
        <v>231.99</v>
      </c>
      <c r="Y1045">
        <f>VLOOKUP(D1045,'[1]Cost Sheet'!$C:$D,2,0)</f>
        <v>230.17</v>
      </c>
      <c r="Z1045" s="3">
        <f t="shared" si="33"/>
        <v>230.17</v>
      </c>
    </row>
    <row r="1046" spans="1:26" x14ac:dyDescent="0.3">
      <c r="A1046" s="7" t="s">
        <v>21</v>
      </c>
      <c r="B1046" t="s">
        <v>505</v>
      </c>
      <c r="C1046" t="s">
        <v>506</v>
      </c>
      <c r="D1046" t="s">
        <v>507</v>
      </c>
      <c r="E1046" t="s">
        <v>508</v>
      </c>
      <c r="F1046" t="s">
        <v>26</v>
      </c>
      <c r="G1046">
        <v>42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42</v>
      </c>
      <c r="T1046">
        <v>0</v>
      </c>
      <c r="U1046" t="s">
        <v>32</v>
      </c>
      <c r="W1046" s="2">
        <v>231.99</v>
      </c>
      <c r="X1046" s="3">
        <f t="shared" si="32"/>
        <v>9743.58</v>
      </c>
      <c r="Y1046">
        <f>VLOOKUP(D1046,'[1]Cost Sheet'!$C:$D,2,0)</f>
        <v>230.17</v>
      </c>
      <c r="Z1046" s="3">
        <f t="shared" si="33"/>
        <v>9667.14</v>
      </c>
    </row>
    <row r="1047" spans="1:26" x14ac:dyDescent="0.3">
      <c r="A1047" s="7" t="s">
        <v>21</v>
      </c>
      <c r="B1047" t="s">
        <v>505</v>
      </c>
      <c r="C1047" t="s">
        <v>506</v>
      </c>
      <c r="D1047" t="s">
        <v>507</v>
      </c>
      <c r="E1047" t="s">
        <v>508</v>
      </c>
      <c r="F1047" t="s">
        <v>26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 t="s">
        <v>33</v>
      </c>
      <c r="W1047" s="2">
        <v>231.99</v>
      </c>
      <c r="X1047" s="3">
        <f t="shared" si="32"/>
        <v>231.99</v>
      </c>
      <c r="Y1047">
        <f>VLOOKUP(D1047,'[1]Cost Sheet'!$C:$D,2,0)</f>
        <v>230.17</v>
      </c>
      <c r="Z1047" s="3">
        <f t="shared" si="33"/>
        <v>230.17</v>
      </c>
    </row>
    <row r="1048" spans="1:26" x14ac:dyDescent="0.3">
      <c r="A1048" s="7" t="s">
        <v>21</v>
      </c>
      <c r="B1048" t="s">
        <v>509</v>
      </c>
      <c r="C1048" t="s">
        <v>510</v>
      </c>
      <c r="D1048" t="s">
        <v>511</v>
      </c>
      <c r="E1048" t="s">
        <v>512</v>
      </c>
      <c r="F1048" t="s">
        <v>125</v>
      </c>
      <c r="G1048">
        <v>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8</v>
      </c>
      <c r="T1048">
        <v>0</v>
      </c>
      <c r="U1048" t="s">
        <v>108</v>
      </c>
      <c r="W1048" s="2">
        <v>45.279999999999994</v>
      </c>
      <c r="X1048" s="3">
        <f t="shared" si="32"/>
        <v>362.23999999999995</v>
      </c>
      <c r="Y1048">
        <f>VLOOKUP(D1048,'[1]Cost Sheet'!$C:$D,2,0)</f>
        <v>45.36</v>
      </c>
      <c r="Z1048" s="3">
        <f t="shared" si="33"/>
        <v>362.88</v>
      </c>
    </row>
    <row r="1049" spans="1:26" x14ac:dyDescent="0.3">
      <c r="A1049" s="7" t="s">
        <v>21</v>
      </c>
      <c r="B1049" t="s">
        <v>509</v>
      </c>
      <c r="C1049" t="s">
        <v>510</v>
      </c>
      <c r="D1049" t="s">
        <v>511</v>
      </c>
      <c r="E1049" t="s">
        <v>512</v>
      </c>
      <c r="F1049" t="s">
        <v>125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2</v>
      </c>
      <c r="T1049">
        <v>0</v>
      </c>
      <c r="U1049" t="s">
        <v>54</v>
      </c>
      <c r="W1049" s="2">
        <v>45.279999999999994</v>
      </c>
      <c r="X1049" s="3">
        <f t="shared" si="32"/>
        <v>90.559999999999988</v>
      </c>
      <c r="Y1049">
        <f>VLOOKUP(D1049,'[1]Cost Sheet'!$C:$D,2,0)</f>
        <v>45.36</v>
      </c>
      <c r="Z1049" s="3">
        <f t="shared" si="33"/>
        <v>90.72</v>
      </c>
    </row>
    <row r="1050" spans="1:26" x14ac:dyDescent="0.3">
      <c r="A1050" s="7" t="s">
        <v>21</v>
      </c>
      <c r="B1050" t="s">
        <v>509</v>
      </c>
      <c r="C1050" t="s">
        <v>510</v>
      </c>
      <c r="D1050" t="s">
        <v>511</v>
      </c>
      <c r="E1050" t="s">
        <v>512</v>
      </c>
      <c r="F1050" t="s">
        <v>125</v>
      </c>
      <c r="G1050">
        <v>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7</v>
      </c>
      <c r="T1050">
        <v>0</v>
      </c>
      <c r="U1050" t="s">
        <v>88</v>
      </c>
      <c r="W1050" s="2">
        <v>45.279999999999994</v>
      </c>
      <c r="X1050" s="3">
        <f t="shared" si="32"/>
        <v>316.95999999999998</v>
      </c>
      <c r="Y1050">
        <f>VLOOKUP(D1050,'[1]Cost Sheet'!$C:$D,2,0)</f>
        <v>45.36</v>
      </c>
      <c r="Z1050" s="3">
        <f t="shared" si="33"/>
        <v>317.52</v>
      </c>
    </row>
    <row r="1051" spans="1:26" x14ac:dyDescent="0.3">
      <c r="A1051" s="7" t="s">
        <v>21</v>
      </c>
      <c r="B1051" t="s">
        <v>509</v>
      </c>
      <c r="C1051" t="s">
        <v>510</v>
      </c>
      <c r="D1051" t="s">
        <v>511</v>
      </c>
      <c r="E1051" t="s">
        <v>512</v>
      </c>
      <c r="F1051" t="s">
        <v>125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 t="s">
        <v>40</v>
      </c>
      <c r="W1051" s="2">
        <v>45.279999999999994</v>
      </c>
      <c r="X1051" s="3">
        <f t="shared" si="32"/>
        <v>45.279999999999994</v>
      </c>
      <c r="Y1051">
        <f>VLOOKUP(D1051,'[1]Cost Sheet'!$C:$D,2,0)</f>
        <v>45.36</v>
      </c>
      <c r="Z1051" s="3">
        <f t="shared" si="33"/>
        <v>45.36</v>
      </c>
    </row>
    <row r="1052" spans="1:26" x14ac:dyDescent="0.3">
      <c r="A1052" s="7" t="s">
        <v>21</v>
      </c>
      <c r="B1052" t="s">
        <v>509</v>
      </c>
      <c r="C1052" t="s">
        <v>510</v>
      </c>
      <c r="D1052" t="s">
        <v>511</v>
      </c>
      <c r="E1052" t="s">
        <v>512</v>
      </c>
      <c r="F1052" t="s">
        <v>125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 t="s">
        <v>120</v>
      </c>
      <c r="W1052" s="2">
        <v>45.279999999999994</v>
      </c>
      <c r="X1052" s="3">
        <f t="shared" si="32"/>
        <v>45.279999999999994</v>
      </c>
      <c r="Y1052">
        <f>VLOOKUP(D1052,'[1]Cost Sheet'!$C:$D,2,0)</f>
        <v>45.36</v>
      </c>
      <c r="Z1052" s="3">
        <f t="shared" si="33"/>
        <v>45.36</v>
      </c>
    </row>
    <row r="1053" spans="1:26" x14ac:dyDescent="0.3">
      <c r="A1053" s="7" t="s">
        <v>21</v>
      </c>
      <c r="B1053" t="s">
        <v>509</v>
      </c>
      <c r="C1053" t="s">
        <v>510</v>
      </c>
      <c r="D1053" t="s">
        <v>511</v>
      </c>
      <c r="E1053" t="s">
        <v>512</v>
      </c>
      <c r="F1053" t="s">
        <v>125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 t="s">
        <v>59</v>
      </c>
      <c r="W1053" s="2">
        <v>45.279999999999994</v>
      </c>
      <c r="X1053" s="3">
        <f t="shared" si="32"/>
        <v>45.279999999999994</v>
      </c>
      <c r="Y1053">
        <f>VLOOKUP(D1053,'[1]Cost Sheet'!$C:$D,2,0)</f>
        <v>45.36</v>
      </c>
      <c r="Z1053" s="3">
        <f t="shared" si="33"/>
        <v>45.36</v>
      </c>
    </row>
    <row r="1054" spans="1:26" x14ac:dyDescent="0.3">
      <c r="A1054" s="7" t="s">
        <v>21</v>
      </c>
      <c r="B1054" t="s">
        <v>509</v>
      </c>
      <c r="C1054" t="s">
        <v>510</v>
      </c>
      <c r="D1054" t="s">
        <v>511</v>
      </c>
      <c r="E1054" t="s">
        <v>512</v>
      </c>
      <c r="F1054" t="s">
        <v>169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 t="s">
        <v>88</v>
      </c>
      <c r="W1054" s="2">
        <v>45.279999999999994</v>
      </c>
      <c r="X1054" s="3">
        <f t="shared" si="32"/>
        <v>45.279999999999994</v>
      </c>
      <c r="Y1054">
        <f>VLOOKUP(D1054,'[1]Cost Sheet'!$C:$D,2,0)</f>
        <v>45.36</v>
      </c>
      <c r="Z1054" s="3">
        <f t="shared" si="33"/>
        <v>45.36</v>
      </c>
    </row>
    <row r="1055" spans="1:26" x14ac:dyDescent="0.3">
      <c r="A1055" s="7" t="s">
        <v>21</v>
      </c>
      <c r="B1055" t="s">
        <v>509</v>
      </c>
      <c r="C1055" t="s">
        <v>510</v>
      </c>
      <c r="D1055" t="s">
        <v>511</v>
      </c>
      <c r="E1055" t="s">
        <v>512</v>
      </c>
      <c r="F1055" t="s">
        <v>106</v>
      </c>
      <c r="G1055">
        <v>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9</v>
      </c>
      <c r="T1055">
        <v>0</v>
      </c>
      <c r="U1055" t="s">
        <v>38</v>
      </c>
      <c r="W1055" s="2">
        <v>45.279999999999994</v>
      </c>
      <c r="X1055" s="3">
        <f t="shared" si="32"/>
        <v>407.51999999999992</v>
      </c>
      <c r="Y1055">
        <f>VLOOKUP(D1055,'[1]Cost Sheet'!$C:$D,2,0)</f>
        <v>45.36</v>
      </c>
      <c r="Z1055" s="3">
        <f t="shared" si="33"/>
        <v>408.24</v>
      </c>
    </row>
    <row r="1056" spans="1:26" x14ac:dyDescent="0.3">
      <c r="A1056" s="7" t="s">
        <v>21</v>
      </c>
      <c r="B1056" t="s">
        <v>509</v>
      </c>
      <c r="C1056" t="s">
        <v>510</v>
      </c>
      <c r="D1056" t="s">
        <v>511</v>
      </c>
      <c r="E1056" t="s">
        <v>512</v>
      </c>
      <c r="F1056" t="s">
        <v>106</v>
      </c>
      <c r="G1056">
        <v>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-1</v>
      </c>
      <c r="P1056">
        <v>0</v>
      </c>
      <c r="Q1056">
        <v>0</v>
      </c>
      <c r="R1056">
        <v>2</v>
      </c>
      <c r="S1056">
        <v>6</v>
      </c>
      <c r="T1056">
        <v>0</v>
      </c>
      <c r="U1056" t="s">
        <v>45</v>
      </c>
      <c r="W1056" s="2">
        <v>45.279999999999994</v>
      </c>
      <c r="X1056" s="3">
        <f t="shared" si="32"/>
        <v>271.67999999999995</v>
      </c>
      <c r="Y1056">
        <f>VLOOKUP(D1056,'[1]Cost Sheet'!$C:$D,2,0)</f>
        <v>45.36</v>
      </c>
      <c r="Z1056" s="3">
        <f t="shared" si="33"/>
        <v>272.15999999999997</v>
      </c>
    </row>
    <row r="1057" spans="1:26" x14ac:dyDescent="0.3">
      <c r="A1057" s="7" t="s">
        <v>21</v>
      </c>
      <c r="B1057" t="s">
        <v>509</v>
      </c>
      <c r="C1057" t="s">
        <v>510</v>
      </c>
      <c r="D1057" t="s">
        <v>511</v>
      </c>
      <c r="E1057" t="s">
        <v>512</v>
      </c>
      <c r="F1057" t="s">
        <v>106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 t="s">
        <v>39</v>
      </c>
      <c r="W1057" s="2">
        <v>45.279999999999994</v>
      </c>
      <c r="X1057" s="3">
        <f t="shared" si="32"/>
        <v>45.279999999999994</v>
      </c>
      <c r="Y1057">
        <f>VLOOKUP(D1057,'[1]Cost Sheet'!$C:$D,2,0)</f>
        <v>45.36</v>
      </c>
      <c r="Z1057" s="3">
        <f t="shared" si="33"/>
        <v>45.36</v>
      </c>
    </row>
    <row r="1058" spans="1:26" x14ac:dyDescent="0.3">
      <c r="A1058" s="7" t="s">
        <v>21</v>
      </c>
      <c r="B1058" t="s">
        <v>509</v>
      </c>
      <c r="C1058" t="s">
        <v>510</v>
      </c>
      <c r="D1058" t="s">
        <v>511</v>
      </c>
      <c r="E1058" t="s">
        <v>512</v>
      </c>
      <c r="F1058" t="s">
        <v>106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3</v>
      </c>
      <c r="T1058">
        <v>0</v>
      </c>
      <c r="U1058" t="s">
        <v>53</v>
      </c>
      <c r="W1058" s="2">
        <v>45.279999999999994</v>
      </c>
      <c r="X1058" s="3">
        <f t="shared" si="32"/>
        <v>135.83999999999997</v>
      </c>
      <c r="Y1058">
        <f>VLOOKUP(D1058,'[1]Cost Sheet'!$C:$D,2,0)</f>
        <v>45.36</v>
      </c>
      <c r="Z1058" s="3">
        <f t="shared" si="33"/>
        <v>136.07999999999998</v>
      </c>
    </row>
    <row r="1059" spans="1:26" x14ac:dyDescent="0.3">
      <c r="A1059" s="7" t="s">
        <v>21</v>
      </c>
      <c r="B1059" t="s">
        <v>509</v>
      </c>
      <c r="C1059" t="s">
        <v>510</v>
      </c>
      <c r="D1059" t="s">
        <v>511</v>
      </c>
      <c r="E1059" t="s">
        <v>512</v>
      </c>
      <c r="F1059" t="s">
        <v>106</v>
      </c>
      <c r="G1059">
        <v>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6</v>
      </c>
      <c r="T1059">
        <v>0</v>
      </c>
      <c r="U1059" t="s">
        <v>54</v>
      </c>
      <c r="W1059" s="2">
        <v>45.279999999999994</v>
      </c>
      <c r="X1059" s="3">
        <f t="shared" si="32"/>
        <v>271.67999999999995</v>
      </c>
      <c r="Y1059">
        <f>VLOOKUP(D1059,'[1]Cost Sheet'!$C:$D,2,0)</f>
        <v>45.36</v>
      </c>
      <c r="Z1059" s="3">
        <f t="shared" si="33"/>
        <v>272.15999999999997</v>
      </c>
    </row>
    <row r="1060" spans="1:26" x14ac:dyDescent="0.3">
      <c r="A1060" s="7" t="s">
        <v>21</v>
      </c>
      <c r="B1060" t="s">
        <v>509</v>
      </c>
      <c r="C1060" t="s">
        <v>510</v>
      </c>
      <c r="D1060" t="s">
        <v>511</v>
      </c>
      <c r="E1060" t="s">
        <v>512</v>
      </c>
      <c r="F1060" t="s">
        <v>106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</v>
      </c>
      <c r="T1060">
        <v>0</v>
      </c>
      <c r="U1060" t="s">
        <v>32</v>
      </c>
      <c r="W1060" s="2">
        <v>45.279999999999994</v>
      </c>
      <c r="X1060" s="3">
        <f t="shared" si="32"/>
        <v>181.11999999999998</v>
      </c>
      <c r="Y1060">
        <f>VLOOKUP(D1060,'[1]Cost Sheet'!$C:$D,2,0)</f>
        <v>45.36</v>
      </c>
      <c r="Z1060" s="3">
        <f t="shared" si="33"/>
        <v>181.44</v>
      </c>
    </row>
    <row r="1061" spans="1:26" x14ac:dyDescent="0.3">
      <c r="A1061" s="7" t="s">
        <v>21</v>
      </c>
      <c r="B1061" t="s">
        <v>509</v>
      </c>
      <c r="C1061" t="s">
        <v>510</v>
      </c>
      <c r="D1061" t="s">
        <v>511</v>
      </c>
      <c r="E1061" t="s">
        <v>512</v>
      </c>
      <c r="F1061" t="s">
        <v>106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 t="s">
        <v>33</v>
      </c>
      <c r="W1061" s="2">
        <v>45.279999999999994</v>
      </c>
      <c r="X1061" s="3">
        <f t="shared" si="32"/>
        <v>45.279999999999994</v>
      </c>
      <c r="Y1061">
        <f>VLOOKUP(D1061,'[1]Cost Sheet'!$C:$D,2,0)</f>
        <v>45.36</v>
      </c>
      <c r="Z1061" s="3">
        <f t="shared" si="33"/>
        <v>45.36</v>
      </c>
    </row>
    <row r="1062" spans="1:26" x14ac:dyDescent="0.3">
      <c r="A1062" s="7" t="s">
        <v>21</v>
      </c>
      <c r="B1062" t="s">
        <v>509</v>
      </c>
      <c r="C1062" t="s">
        <v>510</v>
      </c>
      <c r="D1062" t="s">
        <v>511</v>
      </c>
      <c r="E1062" t="s">
        <v>512</v>
      </c>
      <c r="F1062" t="s">
        <v>106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</v>
      </c>
      <c r="T1062">
        <v>0</v>
      </c>
      <c r="U1062" t="s">
        <v>46</v>
      </c>
      <c r="W1062" s="2">
        <v>45.279999999999994</v>
      </c>
      <c r="X1062" s="3">
        <f t="shared" si="32"/>
        <v>90.559999999999988</v>
      </c>
      <c r="Y1062">
        <f>VLOOKUP(D1062,'[1]Cost Sheet'!$C:$D,2,0)</f>
        <v>45.36</v>
      </c>
      <c r="Z1062" s="3">
        <f t="shared" si="33"/>
        <v>90.72</v>
      </c>
    </row>
    <row r="1063" spans="1:26" x14ac:dyDescent="0.3">
      <c r="A1063" s="7" t="s">
        <v>21</v>
      </c>
      <c r="B1063" t="s">
        <v>509</v>
      </c>
      <c r="C1063" t="s">
        <v>510</v>
      </c>
      <c r="D1063" t="s">
        <v>511</v>
      </c>
      <c r="E1063" t="s">
        <v>512</v>
      </c>
      <c r="F1063" t="s">
        <v>106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-1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4</v>
      </c>
      <c r="T1063">
        <v>0</v>
      </c>
      <c r="U1063" t="s">
        <v>47</v>
      </c>
      <c r="W1063" s="2">
        <v>45.279999999999994</v>
      </c>
      <c r="X1063" s="3">
        <f t="shared" si="32"/>
        <v>181.11999999999998</v>
      </c>
      <c r="Y1063">
        <f>VLOOKUP(D1063,'[1]Cost Sheet'!$C:$D,2,0)</f>
        <v>45.36</v>
      </c>
      <c r="Z1063" s="3">
        <f t="shared" si="33"/>
        <v>181.44</v>
      </c>
    </row>
    <row r="1064" spans="1:26" x14ac:dyDescent="0.3">
      <c r="A1064" s="7" t="s">
        <v>21</v>
      </c>
      <c r="B1064" t="s">
        <v>509</v>
      </c>
      <c r="C1064" t="s">
        <v>510</v>
      </c>
      <c r="D1064" t="s">
        <v>511</v>
      </c>
      <c r="E1064" t="s">
        <v>512</v>
      </c>
      <c r="F1064" t="s">
        <v>106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</v>
      </c>
      <c r="T1064">
        <v>0</v>
      </c>
      <c r="U1064" t="s">
        <v>40</v>
      </c>
      <c r="W1064" s="2">
        <v>45.279999999999994</v>
      </c>
      <c r="X1064" s="3">
        <f t="shared" si="32"/>
        <v>90.559999999999988</v>
      </c>
      <c r="Y1064">
        <f>VLOOKUP(D1064,'[1]Cost Sheet'!$C:$D,2,0)</f>
        <v>45.36</v>
      </c>
      <c r="Z1064" s="3">
        <f t="shared" si="33"/>
        <v>90.72</v>
      </c>
    </row>
    <row r="1065" spans="1:26" x14ac:dyDescent="0.3">
      <c r="A1065" s="7" t="s">
        <v>21</v>
      </c>
      <c r="B1065" t="s">
        <v>509</v>
      </c>
      <c r="C1065" t="s">
        <v>510</v>
      </c>
      <c r="D1065" t="s">
        <v>511</v>
      </c>
      <c r="E1065" t="s">
        <v>512</v>
      </c>
      <c r="F1065" t="s">
        <v>106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6</v>
      </c>
      <c r="T1065">
        <v>0</v>
      </c>
      <c r="U1065" t="s">
        <v>48</v>
      </c>
      <c r="W1065" s="2">
        <v>45.279999999999994</v>
      </c>
      <c r="X1065" s="3">
        <f t="shared" si="32"/>
        <v>271.67999999999995</v>
      </c>
      <c r="Y1065">
        <f>VLOOKUP(D1065,'[1]Cost Sheet'!$C:$D,2,0)</f>
        <v>45.36</v>
      </c>
      <c r="Z1065" s="3">
        <f t="shared" si="33"/>
        <v>272.15999999999997</v>
      </c>
    </row>
    <row r="1066" spans="1:26" x14ac:dyDescent="0.3">
      <c r="A1066" s="7" t="s">
        <v>21</v>
      </c>
      <c r="B1066" t="s">
        <v>509</v>
      </c>
      <c r="C1066" t="s">
        <v>510</v>
      </c>
      <c r="D1066" t="s">
        <v>511</v>
      </c>
      <c r="E1066" t="s">
        <v>512</v>
      </c>
      <c r="F1066" t="s">
        <v>106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3</v>
      </c>
      <c r="T1066">
        <v>0</v>
      </c>
      <c r="U1066" t="s">
        <v>27</v>
      </c>
      <c r="W1066" s="2">
        <v>45.279999999999994</v>
      </c>
      <c r="X1066" s="3">
        <f t="shared" si="32"/>
        <v>135.83999999999997</v>
      </c>
      <c r="Y1066">
        <f>VLOOKUP(D1066,'[1]Cost Sheet'!$C:$D,2,0)</f>
        <v>45.36</v>
      </c>
      <c r="Z1066" s="3">
        <f t="shared" si="33"/>
        <v>136.07999999999998</v>
      </c>
    </row>
    <row r="1067" spans="1:26" x14ac:dyDescent="0.3">
      <c r="A1067" s="7" t="s">
        <v>21</v>
      </c>
      <c r="B1067" t="s">
        <v>509</v>
      </c>
      <c r="C1067" t="s">
        <v>510</v>
      </c>
      <c r="D1067" t="s">
        <v>511</v>
      </c>
      <c r="E1067" t="s">
        <v>512</v>
      </c>
      <c r="F1067" t="s">
        <v>130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 t="s">
        <v>39</v>
      </c>
      <c r="W1067" s="2">
        <v>45.279999999999994</v>
      </c>
      <c r="X1067" s="3">
        <f t="shared" si="32"/>
        <v>45.279999999999994</v>
      </c>
      <c r="Y1067">
        <f>VLOOKUP(D1067,'[1]Cost Sheet'!$C:$D,2,0)</f>
        <v>45.36</v>
      </c>
      <c r="Z1067" s="3">
        <f t="shared" si="33"/>
        <v>45.36</v>
      </c>
    </row>
    <row r="1068" spans="1:26" x14ac:dyDescent="0.3">
      <c r="A1068" s="7" t="s">
        <v>21</v>
      </c>
      <c r="B1068" t="s">
        <v>509</v>
      </c>
      <c r="C1068" t="s">
        <v>510</v>
      </c>
      <c r="D1068" t="s">
        <v>511</v>
      </c>
      <c r="E1068" t="s">
        <v>512</v>
      </c>
      <c r="F1068" t="s">
        <v>130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 t="s">
        <v>46</v>
      </c>
      <c r="W1068" s="2">
        <v>45.279999999999994</v>
      </c>
      <c r="X1068" s="3">
        <f t="shared" si="32"/>
        <v>45.279999999999994</v>
      </c>
      <c r="Y1068">
        <f>VLOOKUP(D1068,'[1]Cost Sheet'!$C:$D,2,0)</f>
        <v>45.36</v>
      </c>
      <c r="Z1068" s="3">
        <f t="shared" si="33"/>
        <v>45.36</v>
      </c>
    </row>
    <row r="1069" spans="1:26" x14ac:dyDescent="0.3">
      <c r="A1069" s="7" t="s">
        <v>21</v>
      </c>
      <c r="B1069" t="s">
        <v>509</v>
      </c>
      <c r="C1069" t="s">
        <v>510</v>
      </c>
      <c r="D1069" t="s">
        <v>511</v>
      </c>
      <c r="E1069" t="s">
        <v>512</v>
      </c>
      <c r="F1069" t="s">
        <v>26</v>
      </c>
      <c r="G1069">
        <v>82</v>
      </c>
      <c r="H1069">
        <v>0</v>
      </c>
      <c r="I1069">
        <v>0</v>
      </c>
      <c r="J1069">
        <v>-6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76</v>
      </c>
      <c r="T1069">
        <v>0</v>
      </c>
      <c r="U1069" t="s">
        <v>38</v>
      </c>
      <c r="W1069" s="2">
        <v>45.279999999999994</v>
      </c>
      <c r="X1069" s="3">
        <f t="shared" si="32"/>
        <v>3441.2799999999997</v>
      </c>
      <c r="Y1069">
        <f>VLOOKUP(D1069,'[1]Cost Sheet'!$C:$D,2,0)</f>
        <v>45.36</v>
      </c>
      <c r="Z1069" s="3">
        <f t="shared" si="33"/>
        <v>3447.36</v>
      </c>
    </row>
    <row r="1070" spans="1:26" x14ac:dyDescent="0.3">
      <c r="A1070" s="7" t="s">
        <v>21</v>
      </c>
      <c r="B1070" t="s">
        <v>509</v>
      </c>
      <c r="C1070" t="s">
        <v>510</v>
      </c>
      <c r="D1070" t="s">
        <v>511</v>
      </c>
      <c r="E1070" t="s">
        <v>512</v>
      </c>
      <c r="F1070" t="s">
        <v>26</v>
      </c>
      <c r="G1070">
        <v>549</v>
      </c>
      <c r="H1070">
        <v>0</v>
      </c>
      <c r="I1070">
        <v>0</v>
      </c>
      <c r="J1070">
        <v>-3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546</v>
      </c>
      <c r="T1070">
        <v>0</v>
      </c>
      <c r="U1070" t="s">
        <v>107</v>
      </c>
      <c r="W1070" s="2">
        <v>45.279999999999994</v>
      </c>
      <c r="X1070" s="3">
        <f t="shared" si="32"/>
        <v>24722.879999999997</v>
      </c>
      <c r="Y1070">
        <f>VLOOKUP(D1070,'[1]Cost Sheet'!$C:$D,2,0)</f>
        <v>45.36</v>
      </c>
      <c r="Z1070" s="3">
        <f t="shared" si="33"/>
        <v>24766.560000000001</v>
      </c>
    </row>
    <row r="1071" spans="1:26" x14ac:dyDescent="0.3">
      <c r="A1071" s="7" t="s">
        <v>21</v>
      </c>
      <c r="B1071" t="s">
        <v>509</v>
      </c>
      <c r="C1071" t="s">
        <v>510</v>
      </c>
      <c r="D1071" t="s">
        <v>511</v>
      </c>
      <c r="E1071" t="s">
        <v>512</v>
      </c>
      <c r="F1071" t="s">
        <v>26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 t="s">
        <v>151</v>
      </c>
      <c r="W1071" s="2">
        <v>45.279999999999994</v>
      </c>
      <c r="X1071" s="3">
        <f t="shared" si="32"/>
        <v>45.279999999999994</v>
      </c>
      <c r="Y1071">
        <f>VLOOKUP(D1071,'[1]Cost Sheet'!$C:$D,2,0)</f>
        <v>45.36</v>
      </c>
      <c r="Z1071" s="3">
        <f t="shared" si="33"/>
        <v>45.36</v>
      </c>
    </row>
    <row r="1072" spans="1:26" x14ac:dyDescent="0.3">
      <c r="A1072" s="7" t="s">
        <v>21</v>
      </c>
      <c r="B1072" t="s">
        <v>509</v>
      </c>
      <c r="C1072" t="s">
        <v>510</v>
      </c>
      <c r="D1072" t="s">
        <v>511</v>
      </c>
      <c r="E1072" t="s">
        <v>512</v>
      </c>
      <c r="F1072" t="s">
        <v>26</v>
      </c>
      <c r="G1072">
        <v>215</v>
      </c>
      <c r="H1072">
        <v>0</v>
      </c>
      <c r="I1072">
        <v>0</v>
      </c>
      <c r="J1072">
        <v>-8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-2</v>
      </c>
      <c r="S1072">
        <v>205</v>
      </c>
      <c r="T1072">
        <v>0</v>
      </c>
      <c r="U1072" t="s">
        <v>45</v>
      </c>
      <c r="W1072" s="2">
        <v>45.279999999999994</v>
      </c>
      <c r="X1072" s="3">
        <f t="shared" si="32"/>
        <v>9282.4</v>
      </c>
      <c r="Y1072">
        <f>VLOOKUP(D1072,'[1]Cost Sheet'!$C:$D,2,0)</f>
        <v>45.36</v>
      </c>
      <c r="Z1072" s="3">
        <f t="shared" si="33"/>
        <v>9298.7999999999993</v>
      </c>
    </row>
    <row r="1073" spans="1:26" x14ac:dyDescent="0.3">
      <c r="A1073" s="7" t="s">
        <v>21</v>
      </c>
      <c r="B1073" t="s">
        <v>509</v>
      </c>
      <c r="C1073" t="s">
        <v>510</v>
      </c>
      <c r="D1073" t="s">
        <v>511</v>
      </c>
      <c r="E1073" t="s">
        <v>512</v>
      </c>
      <c r="F1073" t="s">
        <v>26</v>
      </c>
      <c r="G1073">
        <v>0</v>
      </c>
      <c r="H1073">
        <v>2</v>
      </c>
      <c r="I1073">
        <v>0</v>
      </c>
      <c r="J1073">
        <v>0</v>
      </c>
      <c r="K1073">
        <v>2</v>
      </c>
      <c r="L1073">
        <v>0</v>
      </c>
      <c r="M1073">
        <v>-2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108</v>
      </c>
      <c r="W1073" s="2">
        <v>45.279999999999994</v>
      </c>
      <c r="X1073" s="3">
        <f t="shared" si="32"/>
        <v>0</v>
      </c>
      <c r="Y1073">
        <f>VLOOKUP(D1073,'[1]Cost Sheet'!$C:$D,2,0)</f>
        <v>45.36</v>
      </c>
      <c r="Z1073" s="3">
        <f t="shared" si="33"/>
        <v>0</v>
      </c>
    </row>
    <row r="1074" spans="1:26" x14ac:dyDescent="0.3">
      <c r="A1074" s="7" t="s">
        <v>21</v>
      </c>
      <c r="B1074" t="s">
        <v>509</v>
      </c>
      <c r="C1074" t="s">
        <v>510</v>
      </c>
      <c r="D1074" t="s">
        <v>511</v>
      </c>
      <c r="E1074" t="s">
        <v>512</v>
      </c>
      <c r="F1074" t="s">
        <v>26</v>
      </c>
      <c r="G1074">
        <v>101</v>
      </c>
      <c r="H1074">
        <v>0</v>
      </c>
      <c r="I1074">
        <v>0</v>
      </c>
      <c r="J1074">
        <v>-6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95</v>
      </c>
      <c r="T1074">
        <v>0</v>
      </c>
      <c r="U1074" t="s">
        <v>39</v>
      </c>
      <c r="W1074" s="2">
        <v>45.279999999999994</v>
      </c>
      <c r="X1074" s="3">
        <f t="shared" si="32"/>
        <v>4301.5999999999995</v>
      </c>
      <c r="Y1074">
        <f>VLOOKUP(D1074,'[1]Cost Sheet'!$C:$D,2,0)</f>
        <v>45.36</v>
      </c>
      <c r="Z1074" s="3">
        <f t="shared" si="33"/>
        <v>4309.2</v>
      </c>
    </row>
    <row r="1075" spans="1:26" x14ac:dyDescent="0.3">
      <c r="A1075" s="7" t="s">
        <v>21</v>
      </c>
      <c r="B1075" t="s">
        <v>509</v>
      </c>
      <c r="C1075" t="s">
        <v>510</v>
      </c>
      <c r="D1075" t="s">
        <v>511</v>
      </c>
      <c r="E1075" t="s">
        <v>512</v>
      </c>
      <c r="F1075" t="s">
        <v>26</v>
      </c>
      <c r="G1075">
        <v>103</v>
      </c>
      <c r="H1075">
        <v>0</v>
      </c>
      <c r="I1075">
        <v>0</v>
      </c>
      <c r="J1075">
        <v>-7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96</v>
      </c>
      <c r="T1075">
        <v>0</v>
      </c>
      <c r="U1075" t="s">
        <v>53</v>
      </c>
      <c r="W1075" s="2">
        <v>45.279999999999994</v>
      </c>
      <c r="X1075" s="3">
        <f t="shared" si="32"/>
        <v>4346.8799999999992</v>
      </c>
      <c r="Y1075">
        <f>VLOOKUP(D1075,'[1]Cost Sheet'!$C:$D,2,0)</f>
        <v>45.36</v>
      </c>
      <c r="Z1075" s="3">
        <f t="shared" si="33"/>
        <v>4354.5599999999995</v>
      </c>
    </row>
    <row r="1076" spans="1:26" x14ac:dyDescent="0.3">
      <c r="A1076" s="7" t="s">
        <v>21</v>
      </c>
      <c r="B1076" t="s">
        <v>509</v>
      </c>
      <c r="C1076" t="s">
        <v>510</v>
      </c>
      <c r="D1076" t="s">
        <v>511</v>
      </c>
      <c r="E1076" t="s">
        <v>512</v>
      </c>
      <c r="F1076" t="s">
        <v>26</v>
      </c>
      <c r="G1076">
        <v>987</v>
      </c>
      <c r="H1076">
        <v>0</v>
      </c>
      <c r="I1076">
        <v>0</v>
      </c>
      <c r="J1076">
        <v>-13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974</v>
      </c>
      <c r="T1076">
        <v>0</v>
      </c>
      <c r="U1076" t="s">
        <v>54</v>
      </c>
      <c r="W1076" s="2">
        <v>45.279999999999994</v>
      </c>
      <c r="X1076" s="3">
        <f t="shared" si="32"/>
        <v>44102.719999999994</v>
      </c>
      <c r="Y1076">
        <f>VLOOKUP(D1076,'[1]Cost Sheet'!$C:$D,2,0)</f>
        <v>45.36</v>
      </c>
      <c r="Z1076" s="3">
        <f t="shared" si="33"/>
        <v>44180.639999999999</v>
      </c>
    </row>
    <row r="1077" spans="1:26" x14ac:dyDescent="0.3">
      <c r="A1077" s="7" t="s">
        <v>21</v>
      </c>
      <c r="B1077" t="s">
        <v>509</v>
      </c>
      <c r="C1077" t="s">
        <v>510</v>
      </c>
      <c r="D1077" t="s">
        <v>511</v>
      </c>
      <c r="E1077" t="s">
        <v>512</v>
      </c>
      <c r="F1077" t="s">
        <v>26</v>
      </c>
      <c r="G1077">
        <v>72</v>
      </c>
      <c r="H1077">
        <v>1113</v>
      </c>
      <c r="I1077">
        <v>0</v>
      </c>
      <c r="J1077">
        <v>0</v>
      </c>
      <c r="K1077">
        <v>0</v>
      </c>
      <c r="L1077">
        <v>0</v>
      </c>
      <c r="M1077">
        <v>-72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152</v>
      </c>
      <c r="W1077" s="2">
        <v>45.279999999999994</v>
      </c>
      <c r="X1077" s="3">
        <f t="shared" si="32"/>
        <v>0</v>
      </c>
      <c r="Y1077">
        <f>VLOOKUP(D1077,'[1]Cost Sheet'!$C:$D,2,0)</f>
        <v>45.36</v>
      </c>
      <c r="Z1077" s="3">
        <f t="shared" si="33"/>
        <v>0</v>
      </c>
    </row>
    <row r="1078" spans="1:26" x14ac:dyDescent="0.3">
      <c r="A1078" s="7" t="s">
        <v>21</v>
      </c>
      <c r="B1078" t="s">
        <v>509</v>
      </c>
      <c r="C1078" t="s">
        <v>510</v>
      </c>
      <c r="D1078" t="s">
        <v>511</v>
      </c>
      <c r="E1078" t="s">
        <v>512</v>
      </c>
      <c r="F1078" t="s">
        <v>26</v>
      </c>
      <c r="G1078">
        <v>938</v>
      </c>
      <c r="H1078">
        <v>0</v>
      </c>
      <c r="I1078">
        <v>0</v>
      </c>
      <c r="J1078">
        <v>-3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935</v>
      </c>
      <c r="T1078">
        <v>0</v>
      </c>
      <c r="U1078" t="s">
        <v>32</v>
      </c>
      <c r="W1078" s="2">
        <v>45.279999999999994</v>
      </c>
      <c r="X1078" s="3">
        <f t="shared" si="32"/>
        <v>42336.799999999996</v>
      </c>
      <c r="Y1078">
        <f>VLOOKUP(D1078,'[1]Cost Sheet'!$C:$D,2,0)</f>
        <v>45.36</v>
      </c>
      <c r="Z1078" s="3">
        <f t="shared" si="33"/>
        <v>42411.6</v>
      </c>
    </row>
    <row r="1079" spans="1:26" x14ac:dyDescent="0.3">
      <c r="A1079" s="7" t="s">
        <v>21</v>
      </c>
      <c r="B1079" t="s">
        <v>509</v>
      </c>
      <c r="C1079" t="s">
        <v>510</v>
      </c>
      <c r="D1079" t="s">
        <v>511</v>
      </c>
      <c r="E1079" t="s">
        <v>512</v>
      </c>
      <c r="F1079" t="s">
        <v>26</v>
      </c>
      <c r="G1079">
        <v>2</v>
      </c>
      <c r="H1079">
        <v>2</v>
      </c>
      <c r="I1079">
        <v>0</v>
      </c>
      <c r="J1079">
        <v>0</v>
      </c>
      <c r="K1079">
        <v>4</v>
      </c>
      <c r="L1079">
        <v>0</v>
      </c>
      <c r="M1079">
        <v>-4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</v>
      </c>
      <c r="T1079">
        <v>0</v>
      </c>
      <c r="U1079" t="s">
        <v>88</v>
      </c>
      <c r="W1079" s="2">
        <v>45.279999999999994</v>
      </c>
      <c r="X1079" s="3">
        <f t="shared" si="32"/>
        <v>90.559999999999988</v>
      </c>
      <c r="Y1079">
        <f>VLOOKUP(D1079,'[1]Cost Sheet'!$C:$D,2,0)</f>
        <v>45.36</v>
      </c>
      <c r="Z1079" s="3">
        <f t="shared" si="33"/>
        <v>90.72</v>
      </c>
    </row>
    <row r="1080" spans="1:26" x14ac:dyDescent="0.3">
      <c r="A1080" s="7" t="s">
        <v>21</v>
      </c>
      <c r="B1080" t="s">
        <v>509</v>
      </c>
      <c r="C1080" t="s">
        <v>510</v>
      </c>
      <c r="D1080" t="s">
        <v>511</v>
      </c>
      <c r="E1080" t="s">
        <v>512</v>
      </c>
      <c r="F1080" t="s">
        <v>26</v>
      </c>
      <c r="G1080">
        <v>172</v>
      </c>
      <c r="H1080">
        <v>0</v>
      </c>
      <c r="I1080">
        <v>0</v>
      </c>
      <c r="J1080">
        <v>-4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170</v>
      </c>
      <c r="T1080">
        <v>0</v>
      </c>
      <c r="U1080" t="s">
        <v>33</v>
      </c>
      <c r="W1080" s="2">
        <v>45.279999999999994</v>
      </c>
      <c r="X1080" s="3">
        <f t="shared" si="32"/>
        <v>7697.5999999999985</v>
      </c>
      <c r="Y1080">
        <f>VLOOKUP(D1080,'[1]Cost Sheet'!$C:$D,2,0)</f>
        <v>45.36</v>
      </c>
      <c r="Z1080" s="3">
        <f t="shared" si="33"/>
        <v>7711.2</v>
      </c>
    </row>
    <row r="1081" spans="1:26" x14ac:dyDescent="0.3">
      <c r="A1081" s="7" t="s">
        <v>21</v>
      </c>
      <c r="B1081" t="s">
        <v>509</v>
      </c>
      <c r="C1081" t="s">
        <v>510</v>
      </c>
      <c r="D1081" t="s">
        <v>511</v>
      </c>
      <c r="E1081" t="s">
        <v>512</v>
      </c>
      <c r="F1081" t="s">
        <v>26</v>
      </c>
      <c r="G1081">
        <v>299</v>
      </c>
      <c r="H1081">
        <v>0</v>
      </c>
      <c r="I1081">
        <v>0</v>
      </c>
      <c r="J1081">
        <v>-7</v>
      </c>
      <c r="K1081">
        <v>0</v>
      </c>
      <c r="L1081">
        <v>0</v>
      </c>
      <c r="M1081">
        <v>75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367</v>
      </c>
      <c r="T1081">
        <v>0</v>
      </c>
      <c r="U1081" t="s">
        <v>46</v>
      </c>
      <c r="W1081" s="2">
        <v>45.279999999999994</v>
      </c>
      <c r="X1081" s="3">
        <f t="shared" si="32"/>
        <v>16617.759999999998</v>
      </c>
      <c r="Y1081">
        <f>VLOOKUP(D1081,'[1]Cost Sheet'!$C:$D,2,0)</f>
        <v>45.36</v>
      </c>
      <c r="Z1081" s="3">
        <f t="shared" si="33"/>
        <v>16647.12</v>
      </c>
    </row>
    <row r="1082" spans="1:26" x14ac:dyDescent="0.3">
      <c r="A1082" s="7" t="s">
        <v>21</v>
      </c>
      <c r="B1082" t="s">
        <v>509</v>
      </c>
      <c r="C1082" t="s">
        <v>510</v>
      </c>
      <c r="D1082" t="s">
        <v>511</v>
      </c>
      <c r="E1082" t="s">
        <v>512</v>
      </c>
      <c r="F1082" t="s">
        <v>26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2</v>
      </c>
      <c r="T1082">
        <v>0</v>
      </c>
      <c r="U1082" t="s">
        <v>110</v>
      </c>
      <c r="W1082" s="2">
        <v>45.279999999999994</v>
      </c>
      <c r="X1082" s="3">
        <f t="shared" si="32"/>
        <v>90.559999999999988</v>
      </c>
      <c r="Y1082">
        <f>VLOOKUP(D1082,'[1]Cost Sheet'!$C:$D,2,0)</f>
        <v>45.36</v>
      </c>
      <c r="Z1082" s="3">
        <f t="shared" si="33"/>
        <v>90.72</v>
      </c>
    </row>
    <row r="1083" spans="1:26" x14ac:dyDescent="0.3">
      <c r="A1083" s="7" t="s">
        <v>21</v>
      </c>
      <c r="B1083" t="s">
        <v>509</v>
      </c>
      <c r="C1083" t="s">
        <v>510</v>
      </c>
      <c r="D1083" t="s">
        <v>511</v>
      </c>
      <c r="E1083" t="s">
        <v>512</v>
      </c>
      <c r="F1083" t="s">
        <v>26</v>
      </c>
      <c r="G1083">
        <v>11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11</v>
      </c>
      <c r="T1083">
        <v>0</v>
      </c>
      <c r="U1083" t="s">
        <v>111</v>
      </c>
      <c r="W1083" s="2">
        <v>45.279999999999994</v>
      </c>
      <c r="X1083" s="3">
        <f t="shared" si="32"/>
        <v>498.07999999999993</v>
      </c>
      <c r="Y1083">
        <f>VLOOKUP(D1083,'[1]Cost Sheet'!$C:$D,2,0)</f>
        <v>45.36</v>
      </c>
      <c r="Z1083" s="3">
        <f t="shared" si="33"/>
        <v>498.96</v>
      </c>
    </row>
    <row r="1084" spans="1:26" x14ac:dyDescent="0.3">
      <c r="A1084" s="7" t="s">
        <v>21</v>
      </c>
      <c r="B1084" t="s">
        <v>509</v>
      </c>
      <c r="C1084" t="s">
        <v>510</v>
      </c>
      <c r="D1084" t="s">
        <v>511</v>
      </c>
      <c r="E1084" t="s">
        <v>512</v>
      </c>
      <c r="F1084" t="s">
        <v>26</v>
      </c>
      <c r="G1084">
        <v>31</v>
      </c>
      <c r="H1084">
        <v>0</v>
      </c>
      <c r="I1084">
        <v>0</v>
      </c>
      <c r="J1084">
        <v>-4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28</v>
      </c>
      <c r="T1084">
        <v>0</v>
      </c>
      <c r="U1084" t="s">
        <v>47</v>
      </c>
      <c r="W1084" s="2">
        <v>45.279999999999994</v>
      </c>
      <c r="X1084" s="3">
        <f t="shared" si="32"/>
        <v>1267.8399999999999</v>
      </c>
      <c r="Y1084">
        <f>VLOOKUP(D1084,'[1]Cost Sheet'!$C:$D,2,0)</f>
        <v>45.36</v>
      </c>
      <c r="Z1084" s="3">
        <f t="shared" si="33"/>
        <v>1270.08</v>
      </c>
    </row>
    <row r="1085" spans="1:26" x14ac:dyDescent="0.3">
      <c r="A1085" s="7" t="s">
        <v>21</v>
      </c>
      <c r="B1085" t="s">
        <v>509</v>
      </c>
      <c r="C1085" t="s">
        <v>510</v>
      </c>
      <c r="D1085" t="s">
        <v>511</v>
      </c>
      <c r="E1085" t="s">
        <v>512</v>
      </c>
      <c r="F1085" t="s">
        <v>26</v>
      </c>
      <c r="G1085">
        <v>226</v>
      </c>
      <c r="H1085">
        <v>0</v>
      </c>
      <c r="I1085">
        <v>0</v>
      </c>
      <c r="J1085">
        <v>-7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219</v>
      </c>
      <c r="T1085">
        <v>0</v>
      </c>
      <c r="U1085" t="s">
        <v>40</v>
      </c>
      <c r="W1085" s="2">
        <v>45.279999999999994</v>
      </c>
      <c r="X1085" s="3">
        <f t="shared" si="32"/>
        <v>9916.3199999999979</v>
      </c>
      <c r="Y1085">
        <f>VLOOKUP(D1085,'[1]Cost Sheet'!$C:$D,2,0)</f>
        <v>45.36</v>
      </c>
      <c r="Z1085" s="3">
        <f t="shared" si="33"/>
        <v>9933.84</v>
      </c>
    </row>
    <row r="1086" spans="1:26" x14ac:dyDescent="0.3">
      <c r="A1086" s="7" t="s">
        <v>21</v>
      </c>
      <c r="B1086" t="s">
        <v>509</v>
      </c>
      <c r="C1086" t="s">
        <v>510</v>
      </c>
      <c r="D1086" t="s">
        <v>511</v>
      </c>
      <c r="E1086" t="s">
        <v>512</v>
      </c>
      <c r="F1086" t="s">
        <v>26</v>
      </c>
      <c r="G1086">
        <v>31</v>
      </c>
      <c r="H1086">
        <v>0</v>
      </c>
      <c r="I1086">
        <v>0</v>
      </c>
      <c r="J1086">
        <v>-1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30</v>
      </c>
      <c r="T1086">
        <v>0</v>
      </c>
      <c r="U1086" t="s">
        <v>120</v>
      </c>
      <c r="W1086" s="2">
        <v>45.279999999999994</v>
      </c>
      <c r="X1086" s="3">
        <f t="shared" si="32"/>
        <v>1358.3999999999999</v>
      </c>
      <c r="Y1086">
        <f>VLOOKUP(D1086,'[1]Cost Sheet'!$C:$D,2,0)</f>
        <v>45.36</v>
      </c>
      <c r="Z1086" s="3">
        <f t="shared" si="33"/>
        <v>1360.8</v>
      </c>
    </row>
    <row r="1087" spans="1:26" x14ac:dyDescent="0.3">
      <c r="A1087" s="7" t="s">
        <v>21</v>
      </c>
      <c r="B1087" t="s">
        <v>509</v>
      </c>
      <c r="C1087" t="s">
        <v>510</v>
      </c>
      <c r="D1087" t="s">
        <v>511</v>
      </c>
      <c r="E1087" t="s">
        <v>512</v>
      </c>
      <c r="F1087" t="s">
        <v>26</v>
      </c>
      <c r="G1087">
        <v>173</v>
      </c>
      <c r="H1087">
        <v>0</v>
      </c>
      <c r="I1087">
        <v>0</v>
      </c>
      <c r="J1087">
        <v>-7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167</v>
      </c>
      <c r="T1087">
        <v>0</v>
      </c>
      <c r="U1087" t="s">
        <v>113</v>
      </c>
      <c r="W1087" s="2">
        <v>45.279999999999994</v>
      </c>
      <c r="X1087" s="3">
        <f t="shared" si="32"/>
        <v>7561.7599999999993</v>
      </c>
      <c r="Y1087">
        <f>VLOOKUP(D1087,'[1]Cost Sheet'!$C:$D,2,0)</f>
        <v>45.36</v>
      </c>
      <c r="Z1087" s="3">
        <f t="shared" si="33"/>
        <v>7575.12</v>
      </c>
    </row>
    <row r="1088" spans="1:26" x14ac:dyDescent="0.3">
      <c r="A1088" s="7" t="s">
        <v>21</v>
      </c>
      <c r="B1088" t="s">
        <v>509</v>
      </c>
      <c r="C1088" t="s">
        <v>510</v>
      </c>
      <c r="D1088" t="s">
        <v>511</v>
      </c>
      <c r="E1088" t="s">
        <v>512</v>
      </c>
      <c r="F1088" t="s">
        <v>26</v>
      </c>
      <c r="G1088">
        <v>104</v>
      </c>
      <c r="H1088">
        <v>0</v>
      </c>
      <c r="I1088">
        <v>0</v>
      </c>
      <c r="J1088">
        <v>-7</v>
      </c>
      <c r="K1088">
        <v>1</v>
      </c>
      <c r="L1088">
        <v>0</v>
      </c>
      <c r="M1088">
        <v>144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242</v>
      </c>
      <c r="T1088">
        <v>0</v>
      </c>
      <c r="U1088" t="s">
        <v>48</v>
      </c>
      <c r="W1088" s="2">
        <v>45.279999999999994</v>
      </c>
      <c r="X1088" s="3">
        <f t="shared" si="32"/>
        <v>10957.759999999998</v>
      </c>
      <c r="Y1088">
        <f>VLOOKUP(D1088,'[1]Cost Sheet'!$C:$D,2,0)</f>
        <v>45.36</v>
      </c>
      <c r="Z1088" s="3">
        <f t="shared" si="33"/>
        <v>10977.119999999999</v>
      </c>
    </row>
    <row r="1089" spans="1:26" x14ac:dyDescent="0.3">
      <c r="A1089" s="7" t="s">
        <v>21</v>
      </c>
      <c r="B1089" t="s">
        <v>509</v>
      </c>
      <c r="C1089" t="s">
        <v>510</v>
      </c>
      <c r="D1089" t="s">
        <v>511</v>
      </c>
      <c r="E1089" t="s">
        <v>512</v>
      </c>
      <c r="F1089" t="s">
        <v>26</v>
      </c>
      <c r="G1089">
        <v>112</v>
      </c>
      <c r="H1089">
        <v>0</v>
      </c>
      <c r="I1089">
        <v>0</v>
      </c>
      <c r="J1089">
        <v>-20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92</v>
      </c>
      <c r="T1089">
        <v>0</v>
      </c>
      <c r="U1089" t="s">
        <v>59</v>
      </c>
      <c r="W1089" s="2">
        <v>45.279999999999994</v>
      </c>
      <c r="X1089" s="3">
        <f t="shared" si="32"/>
        <v>4165.7599999999993</v>
      </c>
      <c r="Y1089">
        <f>VLOOKUP(D1089,'[1]Cost Sheet'!$C:$D,2,0)</f>
        <v>45.36</v>
      </c>
      <c r="Z1089" s="3">
        <f t="shared" si="33"/>
        <v>4173.12</v>
      </c>
    </row>
    <row r="1090" spans="1:26" x14ac:dyDescent="0.3">
      <c r="A1090" s="7" t="s">
        <v>21</v>
      </c>
      <c r="B1090" t="s">
        <v>509</v>
      </c>
      <c r="C1090" t="s">
        <v>510</v>
      </c>
      <c r="D1090" t="s">
        <v>511</v>
      </c>
      <c r="E1090" t="s">
        <v>512</v>
      </c>
      <c r="F1090" t="s">
        <v>26</v>
      </c>
      <c r="G1090">
        <v>4003</v>
      </c>
      <c r="H1090">
        <v>0</v>
      </c>
      <c r="I1090">
        <v>0</v>
      </c>
      <c r="J1090">
        <v>-5</v>
      </c>
      <c r="K1090">
        <v>1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4000</v>
      </c>
      <c r="T1090">
        <v>0</v>
      </c>
      <c r="U1090" t="s">
        <v>27</v>
      </c>
      <c r="W1090" s="2">
        <v>45.279999999999994</v>
      </c>
      <c r="X1090" s="3">
        <f t="shared" si="32"/>
        <v>181119.99999999997</v>
      </c>
      <c r="Y1090">
        <f>VLOOKUP(D1090,'[1]Cost Sheet'!$C:$D,2,0)</f>
        <v>45.36</v>
      </c>
      <c r="Z1090" s="3">
        <f t="shared" si="33"/>
        <v>181440</v>
      </c>
    </row>
    <row r="1091" spans="1:26" x14ac:dyDescent="0.3">
      <c r="A1091" s="7" t="s">
        <v>21</v>
      </c>
      <c r="B1091" t="s">
        <v>509</v>
      </c>
      <c r="C1091" t="s">
        <v>510</v>
      </c>
      <c r="D1091" t="s">
        <v>511</v>
      </c>
      <c r="E1091" t="s">
        <v>512</v>
      </c>
      <c r="F1091" t="s">
        <v>114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 t="s">
        <v>53</v>
      </c>
      <c r="W1091" s="2">
        <v>45.279999999999994</v>
      </c>
      <c r="X1091" s="3">
        <f t="shared" ref="X1091:X1154" si="34">S1091*W1091</f>
        <v>45.279999999999994</v>
      </c>
      <c r="Y1091">
        <f>VLOOKUP(D1091,'[1]Cost Sheet'!$C:$D,2,0)</f>
        <v>45.36</v>
      </c>
      <c r="Z1091" s="3">
        <f t="shared" ref="Z1091:Z1154" si="35">Y1091*S1091</f>
        <v>45.36</v>
      </c>
    </row>
    <row r="1092" spans="1:26" x14ac:dyDescent="0.3">
      <c r="A1092" s="7" t="s">
        <v>21</v>
      </c>
      <c r="B1092" t="s">
        <v>509</v>
      </c>
      <c r="C1092" t="s">
        <v>510</v>
      </c>
      <c r="D1092" t="s">
        <v>511</v>
      </c>
      <c r="E1092" t="s">
        <v>512</v>
      </c>
      <c r="F1092" t="s">
        <v>114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 t="s">
        <v>54</v>
      </c>
      <c r="W1092" s="2">
        <v>45.279999999999994</v>
      </c>
      <c r="X1092" s="3">
        <f t="shared" si="34"/>
        <v>45.279999999999994</v>
      </c>
      <c r="Y1092">
        <f>VLOOKUP(D1092,'[1]Cost Sheet'!$C:$D,2,0)</f>
        <v>45.36</v>
      </c>
      <c r="Z1092" s="3">
        <f t="shared" si="35"/>
        <v>45.36</v>
      </c>
    </row>
    <row r="1093" spans="1:26" x14ac:dyDescent="0.3">
      <c r="A1093" s="7" t="s">
        <v>21</v>
      </c>
      <c r="B1093" t="s">
        <v>509</v>
      </c>
      <c r="C1093" t="s">
        <v>510</v>
      </c>
      <c r="D1093" t="s">
        <v>511</v>
      </c>
      <c r="E1093" t="s">
        <v>512</v>
      </c>
      <c r="F1093" t="s">
        <v>114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 t="s">
        <v>32</v>
      </c>
      <c r="W1093" s="2">
        <v>45.279999999999994</v>
      </c>
      <c r="X1093" s="3">
        <f t="shared" si="34"/>
        <v>45.279999999999994</v>
      </c>
      <c r="Y1093">
        <f>VLOOKUP(D1093,'[1]Cost Sheet'!$C:$D,2,0)</f>
        <v>45.36</v>
      </c>
      <c r="Z1093" s="3">
        <f t="shared" si="35"/>
        <v>45.36</v>
      </c>
    </row>
    <row r="1094" spans="1:26" x14ac:dyDescent="0.3">
      <c r="A1094" s="7" t="s">
        <v>21</v>
      </c>
      <c r="B1094" t="s">
        <v>513</v>
      </c>
      <c r="C1094" t="s">
        <v>514</v>
      </c>
      <c r="D1094" t="s">
        <v>515</v>
      </c>
      <c r="E1094" t="s">
        <v>516</v>
      </c>
      <c r="F1094" t="s">
        <v>125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 t="s">
        <v>108</v>
      </c>
      <c r="W1094" s="2">
        <v>28.199999999999996</v>
      </c>
      <c r="X1094" s="3">
        <f t="shared" si="34"/>
        <v>28.199999999999996</v>
      </c>
      <c r="Y1094">
        <f>VLOOKUP(D1094,'[1]Cost Sheet'!$C:$D,2,0)</f>
        <v>28.199999999999996</v>
      </c>
      <c r="Z1094" s="3">
        <f t="shared" si="35"/>
        <v>28.199999999999996</v>
      </c>
    </row>
    <row r="1095" spans="1:26" x14ac:dyDescent="0.3">
      <c r="A1095" s="7" t="s">
        <v>21</v>
      </c>
      <c r="B1095" t="s">
        <v>513</v>
      </c>
      <c r="C1095" t="s">
        <v>514</v>
      </c>
      <c r="D1095" t="s">
        <v>515</v>
      </c>
      <c r="E1095" t="s">
        <v>516</v>
      </c>
      <c r="F1095" t="s">
        <v>125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 t="s">
        <v>54</v>
      </c>
      <c r="W1095" s="2">
        <v>28.199999999999996</v>
      </c>
      <c r="X1095" s="3">
        <f t="shared" si="34"/>
        <v>28.199999999999996</v>
      </c>
      <c r="Y1095">
        <f>VLOOKUP(D1095,'[1]Cost Sheet'!$C:$D,2,0)</f>
        <v>28.199999999999996</v>
      </c>
      <c r="Z1095" s="3">
        <f t="shared" si="35"/>
        <v>28.199999999999996</v>
      </c>
    </row>
    <row r="1096" spans="1:26" x14ac:dyDescent="0.3">
      <c r="A1096" s="7" t="s">
        <v>21</v>
      </c>
      <c r="B1096" t="s">
        <v>513</v>
      </c>
      <c r="C1096" t="s">
        <v>514</v>
      </c>
      <c r="D1096" t="s">
        <v>515</v>
      </c>
      <c r="E1096" t="s">
        <v>516</v>
      </c>
      <c r="F1096" t="s">
        <v>106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 t="s">
        <v>39</v>
      </c>
      <c r="W1096" s="2">
        <v>28.199999999999996</v>
      </c>
      <c r="X1096" s="3">
        <f t="shared" si="34"/>
        <v>28.199999999999996</v>
      </c>
      <c r="Y1096">
        <f>VLOOKUP(D1096,'[1]Cost Sheet'!$C:$D,2,0)</f>
        <v>28.199999999999996</v>
      </c>
      <c r="Z1096" s="3">
        <f t="shared" si="35"/>
        <v>28.199999999999996</v>
      </c>
    </row>
    <row r="1097" spans="1:26" x14ac:dyDescent="0.3">
      <c r="A1097" s="7" t="s">
        <v>21</v>
      </c>
      <c r="B1097" t="s">
        <v>513</v>
      </c>
      <c r="C1097" t="s">
        <v>514</v>
      </c>
      <c r="D1097" t="s">
        <v>515</v>
      </c>
      <c r="E1097" t="s">
        <v>516</v>
      </c>
      <c r="F1097" t="s">
        <v>106</v>
      </c>
      <c r="G1097">
        <v>409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411</v>
      </c>
      <c r="T1097">
        <v>0</v>
      </c>
      <c r="U1097" t="s">
        <v>32</v>
      </c>
      <c r="W1097" s="2">
        <v>28.199999999999996</v>
      </c>
      <c r="X1097" s="3">
        <f t="shared" si="34"/>
        <v>11590.199999999999</v>
      </c>
      <c r="Y1097">
        <f>VLOOKUP(D1097,'[1]Cost Sheet'!$C:$D,2,0)</f>
        <v>28.199999999999996</v>
      </c>
      <c r="Z1097" s="3">
        <f t="shared" si="35"/>
        <v>11590.199999999999</v>
      </c>
    </row>
    <row r="1098" spans="1:26" x14ac:dyDescent="0.3">
      <c r="A1098" s="7" t="s">
        <v>21</v>
      </c>
      <c r="B1098" t="s">
        <v>513</v>
      </c>
      <c r="C1098" t="s">
        <v>514</v>
      </c>
      <c r="D1098" t="s">
        <v>515</v>
      </c>
      <c r="E1098" t="s">
        <v>516</v>
      </c>
      <c r="F1098" t="s">
        <v>106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-7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 t="s">
        <v>46</v>
      </c>
      <c r="W1098" s="2">
        <v>28.199999999999996</v>
      </c>
      <c r="X1098" s="3">
        <f t="shared" si="34"/>
        <v>0</v>
      </c>
      <c r="Y1098">
        <f>VLOOKUP(D1098,'[1]Cost Sheet'!$C:$D,2,0)</f>
        <v>28.199999999999996</v>
      </c>
      <c r="Z1098" s="3">
        <f t="shared" si="35"/>
        <v>0</v>
      </c>
    </row>
    <row r="1099" spans="1:26" x14ac:dyDescent="0.3">
      <c r="A1099" s="7" t="s">
        <v>21</v>
      </c>
      <c r="B1099" t="s">
        <v>513</v>
      </c>
      <c r="C1099" t="s">
        <v>514</v>
      </c>
      <c r="D1099" t="s">
        <v>515</v>
      </c>
      <c r="E1099" t="s">
        <v>516</v>
      </c>
      <c r="F1099" t="s">
        <v>130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2</v>
      </c>
      <c r="T1099">
        <v>0</v>
      </c>
      <c r="U1099" t="s">
        <v>33</v>
      </c>
      <c r="W1099" s="2">
        <v>28.199999999999996</v>
      </c>
      <c r="X1099" s="3">
        <f t="shared" si="34"/>
        <v>56.399999999999991</v>
      </c>
      <c r="Y1099">
        <f>VLOOKUP(D1099,'[1]Cost Sheet'!$C:$D,2,0)</f>
        <v>28.199999999999996</v>
      </c>
      <c r="Z1099" s="3">
        <f t="shared" si="35"/>
        <v>56.399999999999991</v>
      </c>
    </row>
    <row r="1100" spans="1:26" x14ac:dyDescent="0.3">
      <c r="A1100" s="7" t="s">
        <v>21</v>
      </c>
      <c r="B1100" t="s">
        <v>513</v>
      </c>
      <c r="C1100" t="s">
        <v>514</v>
      </c>
      <c r="D1100" t="s">
        <v>515</v>
      </c>
      <c r="E1100" t="s">
        <v>516</v>
      </c>
      <c r="F1100" t="s">
        <v>26</v>
      </c>
      <c r="G1100">
        <v>10</v>
      </c>
      <c r="H1100">
        <v>0</v>
      </c>
      <c r="I1100">
        <v>0</v>
      </c>
      <c r="J1100">
        <v>-1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9</v>
      </c>
      <c r="T1100">
        <v>0</v>
      </c>
      <c r="U1100" t="s">
        <v>38</v>
      </c>
      <c r="W1100" s="2">
        <v>28.199999999999996</v>
      </c>
      <c r="X1100" s="3">
        <f t="shared" si="34"/>
        <v>253.79999999999995</v>
      </c>
      <c r="Y1100">
        <f>VLOOKUP(D1100,'[1]Cost Sheet'!$C:$D,2,0)</f>
        <v>28.199999999999996</v>
      </c>
      <c r="Z1100" s="3">
        <f t="shared" si="35"/>
        <v>253.79999999999995</v>
      </c>
    </row>
    <row r="1101" spans="1:26" x14ac:dyDescent="0.3">
      <c r="A1101" s="7" t="s">
        <v>21</v>
      </c>
      <c r="B1101" t="s">
        <v>513</v>
      </c>
      <c r="C1101" t="s">
        <v>514</v>
      </c>
      <c r="D1101" t="s">
        <v>515</v>
      </c>
      <c r="E1101" t="s">
        <v>516</v>
      </c>
      <c r="F1101" t="s">
        <v>26</v>
      </c>
      <c r="G1101">
        <v>36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36</v>
      </c>
      <c r="T1101">
        <v>0</v>
      </c>
      <c r="U1101" t="s">
        <v>107</v>
      </c>
      <c r="W1101" s="2">
        <v>28.199999999999996</v>
      </c>
      <c r="X1101" s="3">
        <f t="shared" si="34"/>
        <v>1015.1999999999998</v>
      </c>
      <c r="Y1101">
        <f>VLOOKUP(D1101,'[1]Cost Sheet'!$C:$D,2,0)</f>
        <v>28.199999999999996</v>
      </c>
      <c r="Z1101" s="3">
        <f t="shared" si="35"/>
        <v>1015.1999999999998</v>
      </c>
    </row>
    <row r="1102" spans="1:26" x14ac:dyDescent="0.3">
      <c r="A1102" s="7" t="s">
        <v>21</v>
      </c>
      <c r="B1102" t="s">
        <v>513</v>
      </c>
      <c r="C1102" t="s">
        <v>514</v>
      </c>
      <c r="D1102" t="s">
        <v>515</v>
      </c>
      <c r="E1102" t="s">
        <v>516</v>
      </c>
      <c r="F1102" t="s">
        <v>26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-1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t="s">
        <v>151</v>
      </c>
      <c r="W1102" s="2">
        <v>28.199999999999996</v>
      </c>
      <c r="X1102" s="3">
        <f t="shared" si="34"/>
        <v>0</v>
      </c>
      <c r="Y1102">
        <f>VLOOKUP(D1102,'[1]Cost Sheet'!$C:$D,2,0)</f>
        <v>28.199999999999996</v>
      </c>
      <c r="Z1102" s="3">
        <f t="shared" si="35"/>
        <v>0</v>
      </c>
    </row>
    <row r="1103" spans="1:26" x14ac:dyDescent="0.3">
      <c r="A1103" s="7" t="s">
        <v>21</v>
      </c>
      <c r="B1103" t="s">
        <v>513</v>
      </c>
      <c r="C1103" t="s">
        <v>514</v>
      </c>
      <c r="D1103" t="s">
        <v>515</v>
      </c>
      <c r="E1103" t="s">
        <v>516</v>
      </c>
      <c r="F1103" t="s">
        <v>26</v>
      </c>
      <c r="G1103">
        <v>119</v>
      </c>
      <c r="H1103">
        <v>0</v>
      </c>
      <c r="I1103">
        <v>0</v>
      </c>
      <c r="J1103">
        <v>-7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112</v>
      </c>
      <c r="T1103">
        <v>0</v>
      </c>
      <c r="U1103" t="s">
        <v>45</v>
      </c>
      <c r="W1103" s="2">
        <v>28.199999999999996</v>
      </c>
      <c r="X1103" s="3">
        <f t="shared" si="34"/>
        <v>3158.3999999999996</v>
      </c>
      <c r="Y1103">
        <f>VLOOKUP(D1103,'[1]Cost Sheet'!$C:$D,2,0)</f>
        <v>28.199999999999996</v>
      </c>
      <c r="Z1103" s="3">
        <f t="shared" si="35"/>
        <v>3158.3999999999996</v>
      </c>
    </row>
    <row r="1104" spans="1:26" x14ac:dyDescent="0.3">
      <c r="A1104" s="7" t="s">
        <v>21</v>
      </c>
      <c r="B1104" t="s">
        <v>513</v>
      </c>
      <c r="C1104" t="s">
        <v>514</v>
      </c>
      <c r="D1104" t="s">
        <v>515</v>
      </c>
      <c r="E1104" t="s">
        <v>516</v>
      </c>
      <c r="F1104" t="s">
        <v>26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-1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108</v>
      </c>
      <c r="W1104" s="2">
        <v>28.199999999999996</v>
      </c>
      <c r="X1104" s="3">
        <f t="shared" si="34"/>
        <v>0</v>
      </c>
      <c r="Y1104">
        <f>VLOOKUP(D1104,'[1]Cost Sheet'!$C:$D,2,0)</f>
        <v>28.199999999999996</v>
      </c>
      <c r="Z1104" s="3">
        <f t="shared" si="35"/>
        <v>0</v>
      </c>
    </row>
    <row r="1105" spans="1:26" x14ac:dyDescent="0.3">
      <c r="A1105" s="7" t="s">
        <v>21</v>
      </c>
      <c r="B1105" t="s">
        <v>513</v>
      </c>
      <c r="C1105" t="s">
        <v>514</v>
      </c>
      <c r="D1105" t="s">
        <v>515</v>
      </c>
      <c r="E1105" t="s">
        <v>516</v>
      </c>
      <c r="F1105" t="s">
        <v>26</v>
      </c>
      <c r="G1105">
        <v>69</v>
      </c>
      <c r="H1105">
        <v>0</v>
      </c>
      <c r="I1105">
        <v>0</v>
      </c>
      <c r="J1105">
        <v>-4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66</v>
      </c>
      <c r="T1105">
        <v>0</v>
      </c>
      <c r="U1105" t="s">
        <v>39</v>
      </c>
      <c r="W1105" s="2">
        <v>28.199999999999996</v>
      </c>
      <c r="X1105" s="3">
        <f t="shared" si="34"/>
        <v>1861.1999999999998</v>
      </c>
      <c r="Y1105">
        <f>VLOOKUP(D1105,'[1]Cost Sheet'!$C:$D,2,0)</f>
        <v>28.199999999999996</v>
      </c>
      <c r="Z1105" s="3">
        <f t="shared" si="35"/>
        <v>1861.1999999999998</v>
      </c>
    </row>
    <row r="1106" spans="1:26" x14ac:dyDescent="0.3">
      <c r="A1106" s="7" t="s">
        <v>21</v>
      </c>
      <c r="B1106" t="s">
        <v>513</v>
      </c>
      <c r="C1106" t="s">
        <v>514</v>
      </c>
      <c r="D1106" t="s">
        <v>515</v>
      </c>
      <c r="E1106" t="s">
        <v>516</v>
      </c>
      <c r="F1106" t="s">
        <v>26</v>
      </c>
      <c r="G1106">
        <v>3</v>
      </c>
      <c r="H1106">
        <v>0</v>
      </c>
      <c r="I1106">
        <v>0</v>
      </c>
      <c r="J1106">
        <v>-2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</v>
      </c>
      <c r="T1106">
        <v>0</v>
      </c>
      <c r="U1106" t="s">
        <v>53</v>
      </c>
      <c r="W1106" s="2">
        <v>28.199999999999996</v>
      </c>
      <c r="X1106" s="3">
        <f t="shared" si="34"/>
        <v>56.399999999999991</v>
      </c>
      <c r="Y1106">
        <f>VLOOKUP(D1106,'[1]Cost Sheet'!$C:$D,2,0)</f>
        <v>28.199999999999996</v>
      </c>
      <c r="Z1106" s="3">
        <f t="shared" si="35"/>
        <v>56.399999999999991</v>
      </c>
    </row>
    <row r="1107" spans="1:26" x14ac:dyDescent="0.3">
      <c r="A1107" s="7" t="s">
        <v>21</v>
      </c>
      <c r="B1107" t="s">
        <v>513</v>
      </c>
      <c r="C1107" t="s">
        <v>514</v>
      </c>
      <c r="D1107" t="s">
        <v>515</v>
      </c>
      <c r="E1107" t="s">
        <v>516</v>
      </c>
      <c r="F1107" t="s">
        <v>26</v>
      </c>
      <c r="G1107">
        <v>341</v>
      </c>
      <c r="H1107">
        <v>0</v>
      </c>
      <c r="I1107">
        <v>0</v>
      </c>
      <c r="J1107">
        <v>-12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329</v>
      </c>
      <c r="T1107">
        <v>0</v>
      </c>
      <c r="U1107" t="s">
        <v>54</v>
      </c>
      <c r="W1107" s="2">
        <v>28.199999999999996</v>
      </c>
      <c r="X1107" s="3">
        <f t="shared" si="34"/>
        <v>9277.7999999999993</v>
      </c>
      <c r="Y1107">
        <f>VLOOKUP(D1107,'[1]Cost Sheet'!$C:$D,2,0)</f>
        <v>28.199999999999996</v>
      </c>
      <c r="Z1107" s="3">
        <f t="shared" si="35"/>
        <v>9277.7999999999993</v>
      </c>
    </row>
    <row r="1108" spans="1:26" x14ac:dyDescent="0.3">
      <c r="A1108" s="7" t="s">
        <v>21</v>
      </c>
      <c r="B1108" t="s">
        <v>513</v>
      </c>
      <c r="C1108" t="s">
        <v>514</v>
      </c>
      <c r="D1108" t="s">
        <v>515</v>
      </c>
      <c r="E1108" t="s">
        <v>516</v>
      </c>
      <c r="F1108" t="s">
        <v>26</v>
      </c>
      <c r="G1108">
        <v>118</v>
      </c>
      <c r="H1108">
        <v>0</v>
      </c>
      <c r="I1108">
        <v>0</v>
      </c>
      <c r="J1108">
        <v>-4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115</v>
      </c>
      <c r="T1108">
        <v>0</v>
      </c>
      <c r="U1108" t="s">
        <v>32</v>
      </c>
      <c r="W1108" s="2">
        <v>28.199999999999996</v>
      </c>
      <c r="X1108" s="3">
        <f t="shared" si="34"/>
        <v>3242.9999999999995</v>
      </c>
      <c r="Y1108">
        <f>VLOOKUP(D1108,'[1]Cost Sheet'!$C:$D,2,0)</f>
        <v>28.199999999999996</v>
      </c>
      <c r="Z1108" s="3">
        <f t="shared" si="35"/>
        <v>3242.9999999999995</v>
      </c>
    </row>
    <row r="1109" spans="1:26" x14ac:dyDescent="0.3">
      <c r="A1109" s="7" t="s">
        <v>21</v>
      </c>
      <c r="B1109" t="s">
        <v>513</v>
      </c>
      <c r="C1109" t="s">
        <v>514</v>
      </c>
      <c r="D1109" t="s">
        <v>515</v>
      </c>
      <c r="E1109" t="s">
        <v>516</v>
      </c>
      <c r="F1109" t="s">
        <v>26</v>
      </c>
      <c r="G1109">
        <v>1</v>
      </c>
      <c r="H1109">
        <v>3</v>
      </c>
      <c r="I1109">
        <v>0</v>
      </c>
      <c r="J1109">
        <v>0</v>
      </c>
      <c r="K1109">
        <v>4</v>
      </c>
      <c r="L1109">
        <v>0</v>
      </c>
      <c r="M1109">
        <v>-3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</v>
      </c>
      <c r="T1109">
        <v>0</v>
      </c>
      <c r="U1109" t="s">
        <v>88</v>
      </c>
      <c r="W1109" s="2">
        <v>28.199999999999996</v>
      </c>
      <c r="X1109" s="3">
        <f t="shared" si="34"/>
        <v>56.399999999999991</v>
      </c>
      <c r="Y1109">
        <f>VLOOKUP(D1109,'[1]Cost Sheet'!$C:$D,2,0)</f>
        <v>28.199999999999996</v>
      </c>
      <c r="Z1109" s="3">
        <f t="shared" si="35"/>
        <v>56.399999999999991</v>
      </c>
    </row>
    <row r="1110" spans="1:26" x14ac:dyDescent="0.3">
      <c r="A1110" s="7" t="s">
        <v>21</v>
      </c>
      <c r="B1110" t="s">
        <v>513</v>
      </c>
      <c r="C1110" t="s">
        <v>514</v>
      </c>
      <c r="D1110" t="s">
        <v>515</v>
      </c>
      <c r="E1110" t="s">
        <v>516</v>
      </c>
      <c r="F1110" t="s">
        <v>26</v>
      </c>
      <c r="G1110">
        <v>200</v>
      </c>
      <c r="H1110">
        <v>0</v>
      </c>
      <c r="I1110">
        <v>0</v>
      </c>
      <c r="J1110">
        <v>-1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199</v>
      </c>
      <c r="T1110">
        <v>0</v>
      </c>
      <c r="U1110" t="s">
        <v>33</v>
      </c>
      <c r="W1110" s="2">
        <v>28.199999999999996</v>
      </c>
      <c r="X1110" s="3">
        <f t="shared" si="34"/>
        <v>5611.7999999999993</v>
      </c>
      <c r="Y1110">
        <f>VLOOKUP(D1110,'[1]Cost Sheet'!$C:$D,2,0)</f>
        <v>28.199999999999996</v>
      </c>
      <c r="Z1110" s="3">
        <f t="shared" si="35"/>
        <v>5611.7999999999993</v>
      </c>
    </row>
    <row r="1111" spans="1:26" x14ac:dyDescent="0.3">
      <c r="A1111" s="7" t="s">
        <v>21</v>
      </c>
      <c r="B1111" t="s">
        <v>513</v>
      </c>
      <c r="C1111" t="s">
        <v>514</v>
      </c>
      <c r="D1111" t="s">
        <v>515</v>
      </c>
      <c r="E1111" t="s">
        <v>516</v>
      </c>
      <c r="F1111" t="s">
        <v>26</v>
      </c>
      <c r="G1111">
        <v>374</v>
      </c>
      <c r="H1111">
        <v>0</v>
      </c>
      <c r="I1111">
        <v>0</v>
      </c>
      <c r="J1111">
        <v>-1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374</v>
      </c>
      <c r="T1111">
        <v>0</v>
      </c>
      <c r="U1111" t="s">
        <v>46</v>
      </c>
      <c r="W1111" s="2">
        <v>28.199999999999996</v>
      </c>
      <c r="X1111" s="3">
        <f t="shared" si="34"/>
        <v>10546.8</v>
      </c>
      <c r="Y1111">
        <f>VLOOKUP(D1111,'[1]Cost Sheet'!$C:$D,2,0)</f>
        <v>28.199999999999996</v>
      </c>
      <c r="Z1111" s="3">
        <f t="shared" si="35"/>
        <v>10546.8</v>
      </c>
    </row>
    <row r="1112" spans="1:26" x14ac:dyDescent="0.3">
      <c r="A1112" s="7" t="s">
        <v>21</v>
      </c>
      <c r="B1112" t="s">
        <v>513</v>
      </c>
      <c r="C1112" t="s">
        <v>514</v>
      </c>
      <c r="D1112" t="s">
        <v>515</v>
      </c>
      <c r="E1112" t="s">
        <v>516</v>
      </c>
      <c r="F1112" t="s">
        <v>26</v>
      </c>
      <c r="G1112">
        <v>5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6</v>
      </c>
      <c r="T1112">
        <v>0</v>
      </c>
      <c r="U1112" t="s">
        <v>47</v>
      </c>
      <c r="W1112" s="2">
        <v>28.199999999999996</v>
      </c>
      <c r="X1112" s="3">
        <f t="shared" si="34"/>
        <v>169.2</v>
      </c>
      <c r="Y1112">
        <f>VLOOKUP(D1112,'[1]Cost Sheet'!$C:$D,2,0)</f>
        <v>28.199999999999996</v>
      </c>
      <c r="Z1112" s="3">
        <f t="shared" si="35"/>
        <v>169.2</v>
      </c>
    </row>
    <row r="1113" spans="1:26" x14ac:dyDescent="0.3">
      <c r="A1113" s="7" t="s">
        <v>21</v>
      </c>
      <c r="B1113" t="s">
        <v>513</v>
      </c>
      <c r="C1113" t="s">
        <v>514</v>
      </c>
      <c r="D1113" t="s">
        <v>515</v>
      </c>
      <c r="E1113" t="s">
        <v>516</v>
      </c>
      <c r="F1113" t="s">
        <v>26</v>
      </c>
      <c r="G1113">
        <v>204</v>
      </c>
      <c r="H1113">
        <v>0</v>
      </c>
      <c r="I1113">
        <v>0</v>
      </c>
      <c r="J1113">
        <v>-8</v>
      </c>
      <c r="K1113">
        <v>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199</v>
      </c>
      <c r="T1113">
        <v>0</v>
      </c>
      <c r="U1113" t="s">
        <v>40</v>
      </c>
      <c r="W1113" s="2">
        <v>28.199999999999996</v>
      </c>
      <c r="X1113" s="3">
        <f t="shared" si="34"/>
        <v>5611.7999999999993</v>
      </c>
      <c r="Y1113">
        <f>VLOOKUP(D1113,'[1]Cost Sheet'!$C:$D,2,0)</f>
        <v>28.199999999999996</v>
      </c>
      <c r="Z1113" s="3">
        <f t="shared" si="35"/>
        <v>5611.7999999999993</v>
      </c>
    </row>
    <row r="1114" spans="1:26" x14ac:dyDescent="0.3">
      <c r="A1114" s="7" t="s">
        <v>21</v>
      </c>
      <c r="B1114" t="s">
        <v>513</v>
      </c>
      <c r="C1114" t="s">
        <v>514</v>
      </c>
      <c r="D1114" t="s">
        <v>515</v>
      </c>
      <c r="E1114" t="s">
        <v>516</v>
      </c>
      <c r="F1114" t="s">
        <v>26</v>
      </c>
      <c r="G1114">
        <v>45</v>
      </c>
      <c r="H1114">
        <v>0</v>
      </c>
      <c r="I1114">
        <v>0</v>
      </c>
      <c r="J1114">
        <v>-5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40</v>
      </c>
      <c r="T1114">
        <v>0</v>
      </c>
      <c r="U1114" t="s">
        <v>113</v>
      </c>
      <c r="W1114" s="2">
        <v>28.199999999999996</v>
      </c>
      <c r="X1114" s="3">
        <f t="shared" si="34"/>
        <v>1127.9999999999998</v>
      </c>
      <c r="Y1114">
        <f>VLOOKUP(D1114,'[1]Cost Sheet'!$C:$D,2,0)</f>
        <v>28.199999999999996</v>
      </c>
      <c r="Z1114" s="3">
        <f t="shared" si="35"/>
        <v>1127.9999999999998</v>
      </c>
    </row>
    <row r="1115" spans="1:26" x14ac:dyDescent="0.3">
      <c r="A1115" s="7" t="s">
        <v>21</v>
      </c>
      <c r="B1115" t="s">
        <v>513</v>
      </c>
      <c r="C1115" t="s">
        <v>514</v>
      </c>
      <c r="D1115" t="s">
        <v>515</v>
      </c>
      <c r="E1115" t="s">
        <v>516</v>
      </c>
      <c r="F1115" t="s">
        <v>26</v>
      </c>
      <c r="G1115">
        <v>322</v>
      </c>
      <c r="H1115">
        <v>0</v>
      </c>
      <c r="I1115">
        <v>0</v>
      </c>
      <c r="J1115">
        <v>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320</v>
      </c>
      <c r="T1115">
        <v>0</v>
      </c>
      <c r="U1115" t="s">
        <v>48</v>
      </c>
      <c r="W1115" s="2">
        <v>28.199999999999996</v>
      </c>
      <c r="X1115" s="3">
        <f t="shared" si="34"/>
        <v>9023.9999999999982</v>
      </c>
      <c r="Y1115">
        <f>VLOOKUP(D1115,'[1]Cost Sheet'!$C:$D,2,0)</f>
        <v>28.199999999999996</v>
      </c>
      <c r="Z1115" s="3">
        <f t="shared" si="35"/>
        <v>9023.9999999999982</v>
      </c>
    </row>
    <row r="1116" spans="1:26" x14ac:dyDescent="0.3">
      <c r="A1116" s="7" t="s">
        <v>21</v>
      </c>
      <c r="B1116" t="s">
        <v>513</v>
      </c>
      <c r="C1116" t="s">
        <v>514</v>
      </c>
      <c r="D1116" t="s">
        <v>515</v>
      </c>
      <c r="E1116" t="s">
        <v>516</v>
      </c>
      <c r="F1116" t="s">
        <v>26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3</v>
      </c>
      <c r="T1116">
        <v>0</v>
      </c>
      <c r="U1116" t="s">
        <v>59</v>
      </c>
      <c r="W1116" s="2">
        <v>28.199999999999996</v>
      </c>
      <c r="X1116" s="3">
        <f t="shared" si="34"/>
        <v>84.6</v>
      </c>
      <c r="Y1116">
        <f>VLOOKUP(D1116,'[1]Cost Sheet'!$C:$D,2,0)</f>
        <v>28.199999999999996</v>
      </c>
      <c r="Z1116" s="3">
        <f t="shared" si="35"/>
        <v>84.6</v>
      </c>
    </row>
    <row r="1117" spans="1:26" x14ac:dyDescent="0.3">
      <c r="A1117" s="7" t="s">
        <v>21</v>
      </c>
      <c r="B1117" t="s">
        <v>513</v>
      </c>
      <c r="C1117" t="s">
        <v>514</v>
      </c>
      <c r="D1117" t="s">
        <v>515</v>
      </c>
      <c r="E1117" t="s">
        <v>516</v>
      </c>
      <c r="F1117" t="s">
        <v>26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 t="s">
        <v>27</v>
      </c>
      <c r="W1117" s="2">
        <v>28.199999999999996</v>
      </c>
      <c r="X1117" s="3">
        <f t="shared" si="34"/>
        <v>28.199999999999996</v>
      </c>
      <c r="Y1117">
        <f>VLOOKUP(D1117,'[1]Cost Sheet'!$C:$D,2,0)</f>
        <v>28.199999999999996</v>
      </c>
      <c r="Z1117" s="3">
        <f t="shared" si="35"/>
        <v>28.199999999999996</v>
      </c>
    </row>
    <row r="1118" spans="1:26" x14ac:dyDescent="0.3">
      <c r="A1118" s="7" t="s">
        <v>21</v>
      </c>
      <c r="B1118" t="s">
        <v>513</v>
      </c>
      <c r="C1118" t="s">
        <v>514</v>
      </c>
      <c r="D1118" t="s">
        <v>515</v>
      </c>
      <c r="E1118" t="s">
        <v>516</v>
      </c>
      <c r="F1118" t="s">
        <v>114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 t="s">
        <v>45</v>
      </c>
      <c r="W1118" s="2">
        <v>28.199999999999996</v>
      </c>
      <c r="X1118" s="3">
        <f t="shared" si="34"/>
        <v>28.199999999999996</v>
      </c>
      <c r="Y1118">
        <f>VLOOKUP(D1118,'[1]Cost Sheet'!$C:$D,2,0)</f>
        <v>28.199999999999996</v>
      </c>
      <c r="Z1118" s="3">
        <f t="shared" si="35"/>
        <v>28.199999999999996</v>
      </c>
    </row>
    <row r="1119" spans="1:26" x14ac:dyDescent="0.3">
      <c r="A1119" s="7" t="s">
        <v>21</v>
      </c>
      <c r="B1119" t="s">
        <v>513</v>
      </c>
      <c r="C1119" t="s">
        <v>514</v>
      </c>
      <c r="D1119" t="s">
        <v>515</v>
      </c>
      <c r="E1119" t="s">
        <v>516</v>
      </c>
      <c r="F1119" t="s">
        <v>114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 t="s">
        <v>33</v>
      </c>
      <c r="W1119" s="2">
        <v>28.199999999999996</v>
      </c>
      <c r="X1119" s="3">
        <f t="shared" si="34"/>
        <v>28.199999999999996</v>
      </c>
      <c r="Y1119">
        <f>VLOOKUP(D1119,'[1]Cost Sheet'!$C:$D,2,0)</f>
        <v>28.199999999999996</v>
      </c>
      <c r="Z1119" s="3">
        <f t="shared" si="35"/>
        <v>28.199999999999996</v>
      </c>
    </row>
    <row r="1120" spans="1:26" x14ac:dyDescent="0.3">
      <c r="A1120" s="7" t="s">
        <v>21</v>
      </c>
      <c r="B1120" t="s">
        <v>513</v>
      </c>
      <c r="C1120" t="s">
        <v>514</v>
      </c>
      <c r="D1120" t="s">
        <v>515</v>
      </c>
      <c r="E1120" t="s">
        <v>516</v>
      </c>
      <c r="F1120" t="s">
        <v>114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 t="s">
        <v>47</v>
      </c>
      <c r="W1120" s="2">
        <v>28.199999999999996</v>
      </c>
      <c r="X1120" s="3">
        <f t="shared" si="34"/>
        <v>28.199999999999996</v>
      </c>
      <c r="Y1120">
        <f>VLOOKUP(D1120,'[1]Cost Sheet'!$C:$D,2,0)</f>
        <v>28.199999999999996</v>
      </c>
      <c r="Z1120" s="3">
        <f t="shared" si="35"/>
        <v>28.199999999999996</v>
      </c>
    </row>
    <row r="1121" spans="1:26" x14ac:dyDescent="0.3">
      <c r="A1121" s="7" t="s">
        <v>21</v>
      </c>
      <c r="B1121" t="s">
        <v>517</v>
      </c>
      <c r="C1121" t="s">
        <v>518</v>
      </c>
      <c r="D1121" t="s">
        <v>519</v>
      </c>
      <c r="E1121" t="s">
        <v>520</v>
      </c>
      <c r="F1121" t="s">
        <v>26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 t="s">
        <v>40</v>
      </c>
      <c r="W1121" s="2">
        <v>29.02</v>
      </c>
      <c r="X1121" s="3">
        <f t="shared" si="34"/>
        <v>29.02</v>
      </c>
      <c r="Y1121">
        <f>VLOOKUP(D1121,'[1]Cost Sheet'!$C:$D,2,0)</f>
        <v>29.02</v>
      </c>
      <c r="Z1121" s="3">
        <f t="shared" si="35"/>
        <v>29.02</v>
      </c>
    </row>
    <row r="1122" spans="1:26" x14ac:dyDescent="0.3">
      <c r="A1122" s="7" t="s">
        <v>21</v>
      </c>
      <c r="B1122" t="s">
        <v>521</v>
      </c>
      <c r="C1122" t="s">
        <v>522</v>
      </c>
      <c r="D1122" t="s">
        <v>523</v>
      </c>
      <c r="E1122" t="s">
        <v>524</v>
      </c>
      <c r="F1122" t="s">
        <v>106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 t="s">
        <v>38</v>
      </c>
      <c r="W1122" s="2">
        <v>90.48</v>
      </c>
      <c r="X1122" s="3">
        <f t="shared" si="34"/>
        <v>90.48</v>
      </c>
      <c r="Y1122">
        <f>VLOOKUP(D1122,'[1]Cost Sheet'!$C:$D,2,0)</f>
        <v>90.48</v>
      </c>
      <c r="Z1122" s="3">
        <f t="shared" si="35"/>
        <v>90.48</v>
      </c>
    </row>
    <row r="1123" spans="1:26" x14ac:dyDescent="0.3">
      <c r="A1123" s="7" t="s">
        <v>21</v>
      </c>
      <c r="B1123" t="s">
        <v>521</v>
      </c>
      <c r="C1123" t="s">
        <v>522</v>
      </c>
      <c r="D1123" t="s">
        <v>523</v>
      </c>
      <c r="E1123" t="s">
        <v>524</v>
      </c>
      <c r="F1123" t="s">
        <v>106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3</v>
      </c>
      <c r="T1123">
        <v>0</v>
      </c>
      <c r="U1123" t="s">
        <v>45</v>
      </c>
      <c r="W1123" s="2">
        <v>90.48</v>
      </c>
      <c r="X1123" s="3">
        <f t="shared" si="34"/>
        <v>271.44</v>
      </c>
      <c r="Y1123">
        <f>VLOOKUP(D1123,'[1]Cost Sheet'!$C:$D,2,0)</f>
        <v>90.48</v>
      </c>
      <c r="Z1123" s="3">
        <f t="shared" si="35"/>
        <v>271.44</v>
      </c>
    </row>
    <row r="1124" spans="1:26" x14ac:dyDescent="0.3">
      <c r="A1124" s="7" t="s">
        <v>21</v>
      </c>
      <c r="B1124" t="s">
        <v>521</v>
      </c>
      <c r="C1124" t="s">
        <v>522</v>
      </c>
      <c r="D1124" t="s">
        <v>523</v>
      </c>
      <c r="E1124" t="s">
        <v>524</v>
      </c>
      <c r="F1124" t="s">
        <v>106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 t="s">
        <v>39</v>
      </c>
      <c r="W1124" s="2">
        <v>90.48</v>
      </c>
      <c r="X1124" s="3">
        <f t="shared" si="34"/>
        <v>90.48</v>
      </c>
      <c r="Y1124">
        <f>VLOOKUP(D1124,'[1]Cost Sheet'!$C:$D,2,0)</f>
        <v>90.48</v>
      </c>
      <c r="Z1124" s="3">
        <f t="shared" si="35"/>
        <v>90.48</v>
      </c>
    </row>
    <row r="1125" spans="1:26" x14ac:dyDescent="0.3">
      <c r="A1125" s="7" t="s">
        <v>21</v>
      </c>
      <c r="B1125" t="s">
        <v>521</v>
      </c>
      <c r="C1125" t="s">
        <v>522</v>
      </c>
      <c r="D1125" t="s">
        <v>523</v>
      </c>
      <c r="E1125" t="s">
        <v>524</v>
      </c>
      <c r="F1125" t="s">
        <v>106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5</v>
      </c>
      <c r="T1125">
        <v>0</v>
      </c>
      <c r="U1125" t="s">
        <v>53</v>
      </c>
      <c r="W1125" s="2">
        <v>90.48</v>
      </c>
      <c r="X1125" s="3">
        <f t="shared" si="34"/>
        <v>452.40000000000003</v>
      </c>
      <c r="Y1125">
        <f>VLOOKUP(D1125,'[1]Cost Sheet'!$C:$D,2,0)</f>
        <v>90.48</v>
      </c>
      <c r="Z1125" s="3">
        <f t="shared" si="35"/>
        <v>452.40000000000003</v>
      </c>
    </row>
    <row r="1126" spans="1:26" x14ac:dyDescent="0.3">
      <c r="A1126" s="7" t="s">
        <v>21</v>
      </c>
      <c r="B1126" t="s">
        <v>521</v>
      </c>
      <c r="C1126" t="s">
        <v>522</v>
      </c>
      <c r="D1126" t="s">
        <v>523</v>
      </c>
      <c r="E1126" t="s">
        <v>524</v>
      </c>
      <c r="F1126" t="s">
        <v>106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</v>
      </c>
      <c r="T1126">
        <v>0</v>
      </c>
      <c r="U1126" t="s">
        <v>54</v>
      </c>
      <c r="W1126" s="2">
        <v>90.48</v>
      </c>
      <c r="X1126" s="3">
        <f t="shared" si="34"/>
        <v>180.96</v>
      </c>
      <c r="Y1126">
        <f>VLOOKUP(D1126,'[1]Cost Sheet'!$C:$D,2,0)</f>
        <v>90.48</v>
      </c>
      <c r="Z1126" s="3">
        <f t="shared" si="35"/>
        <v>180.96</v>
      </c>
    </row>
    <row r="1127" spans="1:26" x14ac:dyDescent="0.3">
      <c r="A1127" s="7" t="s">
        <v>21</v>
      </c>
      <c r="B1127" t="s">
        <v>521</v>
      </c>
      <c r="C1127" t="s">
        <v>522</v>
      </c>
      <c r="D1127" t="s">
        <v>523</v>
      </c>
      <c r="E1127" t="s">
        <v>524</v>
      </c>
      <c r="F1127" t="s">
        <v>106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 t="s">
        <v>32</v>
      </c>
      <c r="W1127" s="2">
        <v>90.48</v>
      </c>
      <c r="X1127" s="3">
        <f t="shared" si="34"/>
        <v>90.48</v>
      </c>
      <c r="Y1127">
        <f>VLOOKUP(D1127,'[1]Cost Sheet'!$C:$D,2,0)</f>
        <v>90.48</v>
      </c>
      <c r="Z1127" s="3">
        <f t="shared" si="35"/>
        <v>90.48</v>
      </c>
    </row>
    <row r="1128" spans="1:26" x14ac:dyDescent="0.3">
      <c r="A1128" s="7" t="s">
        <v>21</v>
      </c>
      <c r="B1128" t="s">
        <v>521</v>
      </c>
      <c r="C1128" t="s">
        <v>522</v>
      </c>
      <c r="D1128" t="s">
        <v>523</v>
      </c>
      <c r="E1128" t="s">
        <v>524</v>
      </c>
      <c r="F1128" t="s">
        <v>106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3</v>
      </c>
      <c r="T1128">
        <v>0</v>
      </c>
      <c r="U1128" t="s">
        <v>46</v>
      </c>
      <c r="W1128" s="2">
        <v>90.48</v>
      </c>
      <c r="X1128" s="3">
        <f t="shared" si="34"/>
        <v>271.44</v>
      </c>
      <c r="Y1128">
        <f>VLOOKUP(D1128,'[1]Cost Sheet'!$C:$D,2,0)</f>
        <v>90.48</v>
      </c>
      <c r="Z1128" s="3">
        <f t="shared" si="35"/>
        <v>271.44</v>
      </c>
    </row>
    <row r="1129" spans="1:26" x14ac:dyDescent="0.3">
      <c r="A1129" s="7" t="s">
        <v>21</v>
      </c>
      <c r="B1129" t="s">
        <v>521</v>
      </c>
      <c r="C1129" t="s">
        <v>522</v>
      </c>
      <c r="D1129" t="s">
        <v>523</v>
      </c>
      <c r="E1129" t="s">
        <v>524</v>
      </c>
      <c r="F1129" t="s">
        <v>106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2</v>
      </c>
      <c r="T1129">
        <v>0</v>
      </c>
      <c r="U1129" t="s">
        <v>47</v>
      </c>
      <c r="W1129" s="2">
        <v>90.48</v>
      </c>
      <c r="X1129" s="3">
        <f t="shared" si="34"/>
        <v>180.96</v>
      </c>
      <c r="Y1129">
        <f>VLOOKUP(D1129,'[1]Cost Sheet'!$C:$D,2,0)</f>
        <v>90.48</v>
      </c>
      <c r="Z1129" s="3">
        <f t="shared" si="35"/>
        <v>180.96</v>
      </c>
    </row>
    <row r="1130" spans="1:26" x14ac:dyDescent="0.3">
      <c r="A1130" s="7" t="s">
        <v>21</v>
      </c>
      <c r="B1130" t="s">
        <v>521</v>
      </c>
      <c r="C1130" t="s">
        <v>522</v>
      </c>
      <c r="D1130" t="s">
        <v>523</v>
      </c>
      <c r="E1130" t="s">
        <v>524</v>
      </c>
      <c r="F1130" t="s">
        <v>106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 t="s">
        <v>48</v>
      </c>
      <c r="W1130" s="2">
        <v>90.48</v>
      </c>
      <c r="X1130" s="3">
        <f t="shared" si="34"/>
        <v>90.48</v>
      </c>
      <c r="Y1130">
        <f>VLOOKUP(D1130,'[1]Cost Sheet'!$C:$D,2,0)</f>
        <v>90.48</v>
      </c>
      <c r="Z1130" s="3">
        <f t="shared" si="35"/>
        <v>90.48</v>
      </c>
    </row>
    <row r="1131" spans="1:26" x14ac:dyDescent="0.3">
      <c r="A1131" s="7" t="s">
        <v>21</v>
      </c>
      <c r="B1131" t="s">
        <v>521</v>
      </c>
      <c r="C1131" t="s">
        <v>522</v>
      </c>
      <c r="D1131" t="s">
        <v>523</v>
      </c>
      <c r="E1131" t="s">
        <v>524</v>
      </c>
      <c r="F1131" t="s">
        <v>106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 t="s">
        <v>27</v>
      </c>
      <c r="W1131" s="2">
        <v>90.48</v>
      </c>
      <c r="X1131" s="3">
        <f t="shared" si="34"/>
        <v>90.48</v>
      </c>
      <c r="Y1131">
        <f>VLOOKUP(D1131,'[1]Cost Sheet'!$C:$D,2,0)</f>
        <v>90.48</v>
      </c>
      <c r="Z1131" s="3">
        <f t="shared" si="35"/>
        <v>90.48</v>
      </c>
    </row>
    <row r="1132" spans="1:26" x14ac:dyDescent="0.3">
      <c r="A1132" s="7" t="s">
        <v>21</v>
      </c>
      <c r="B1132" t="s">
        <v>521</v>
      </c>
      <c r="C1132" t="s">
        <v>522</v>
      </c>
      <c r="D1132" t="s">
        <v>523</v>
      </c>
      <c r="E1132" t="s">
        <v>524</v>
      </c>
      <c r="F1132" t="s">
        <v>26</v>
      </c>
      <c r="G1132">
        <v>26</v>
      </c>
      <c r="H1132">
        <v>0</v>
      </c>
      <c r="I1132">
        <v>0</v>
      </c>
      <c r="J1132">
        <v>-1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25</v>
      </c>
      <c r="T1132">
        <v>0</v>
      </c>
      <c r="U1132" t="s">
        <v>38</v>
      </c>
      <c r="W1132" s="2">
        <v>90.48</v>
      </c>
      <c r="X1132" s="3">
        <f t="shared" si="34"/>
        <v>2262</v>
      </c>
      <c r="Y1132">
        <f>VLOOKUP(D1132,'[1]Cost Sheet'!$C:$D,2,0)</f>
        <v>90.48</v>
      </c>
      <c r="Z1132" s="3">
        <f t="shared" si="35"/>
        <v>2262</v>
      </c>
    </row>
    <row r="1133" spans="1:26" x14ac:dyDescent="0.3">
      <c r="A1133" s="7" t="s">
        <v>21</v>
      </c>
      <c r="B1133" t="s">
        <v>521</v>
      </c>
      <c r="C1133" t="s">
        <v>522</v>
      </c>
      <c r="D1133" t="s">
        <v>523</v>
      </c>
      <c r="E1133" t="s">
        <v>524</v>
      </c>
      <c r="F1133" t="s">
        <v>26</v>
      </c>
      <c r="G1133">
        <v>17</v>
      </c>
      <c r="H1133">
        <v>0</v>
      </c>
      <c r="I1133">
        <v>0</v>
      </c>
      <c r="J1133">
        <v>-1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16</v>
      </c>
      <c r="T1133">
        <v>0</v>
      </c>
      <c r="U1133" t="s">
        <v>45</v>
      </c>
      <c r="W1133" s="2">
        <v>90.48</v>
      </c>
      <c r="X1133" s="3">
        <f t="shared" si="34"/>
        <v>1447.68</v>
      </c>
      <c r="Y1133">
        <f>VLOOKUP(D1133,'[1]Cost Sheet'!$C:$D,2,0)</f>
        <v>90.48</v>
      </c>
      <c r="Z1133" s="3">
        <f t="shared" si="35"/>
        <v>1447.68</v>
      </c>
    </row>
    <row r="1134" spans="1:26" x14ac:dyDescent="0.3">
      <c r="A1134" s="7" t="s">
        <v>21</v>
      </c>
      <c r="B1134" t="s">
        <v>521</v>
      </c>
      <c r="C1134" t="s">
        <v>522</v>
      </c>
      <c r="D1134" t="s">
        <v>523</v>
      </c>
      <c r="E1134" t="s">
        <v>524</v>
      </c>
      <c r="F1134" t="s">
        <v>26</v>
      </c>
      <c r="G1134">
        <v>25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25</v>
      </c>
      <c r="T1134">
        <v>0</v>
      </c>
      <c r="U1134" t="s">
        <v>39</v>
      </c>
      <c r="W1134" s="2">
        <v>90.48</v>
      </c>
      <c r="X1134" s="3">
        <f t="shared" si="34"/>
        <v>2262</v>
      </c>
      <c r="Y1134">
        <f>VLOOKUP(D1134,'[1]Cost Sheet'!$C:$D,2,0)</f>
        <v>90.48</v>
      </c>
      <c r="Z1134" s="3">
        <f t="shared" si="35"/>
        <v>2262</v>
      </c>
    </row>
    <row r="1135" spans="1:26" x14ac:dyDescent="0.3">
      <c r="A1135" s="7" t="s">
        <v>21</v>
      </c>
      <c r="B1135" t="s">
        <v>521</v>
      </c>
      <c r="C1135" t="s">
        <v>522</v>
      </c>
      <c r="D1135" t="s">
        <v>523</v>
      </c>
      <c r="E1135" t="s">
        <v>524</v>
      </c>
      <c r="F1135" t="s">
        <v>26</v>
      </c>
      <c r="G1135">
        <v>10</v>
      </c>
      <c r="H1135">
        <v>0</v>
      </c>
      <c r="I1135">
        <v>0</v>
      </c>
      <c r="J1135">
        <v>-1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9</v>
      </c>
      <c r="T1135">
        <v>0</v>
      </c>
      <c r="U1135" t="s">
        <v>53</v>
      </c>
      <c r="W1135" s="2">
        <v>90.48</v>
      </c>
      <c r="X1135" s="3">
        <f t="shared" si="34"/>
        <v>814.32</v>
      </c>
      <c r="Y1135">
        <f>VLOOKUP(D1135,'[1]Cost Sheet'!$C:$D,2,0)</f>
        <v>90.48</v>
      </c>
      <c r="Z1135" s="3">
        <f t="shared" si="35"/>
        <v>814.32</v>
      </c>
    </row>
    <row r="1136" spans="1:26" x14ac:dyDescent="0.3">
      <c r="A1136" s="7" t="s">
        <v>21</v>
      </c>
      <c r="B1136" t="s">
        <v>521</v>
      </c>
      <c r="C1136" t="s">
        <v>522</v>
      </c>
      <c r="D1136" t="s">
        <v>523</v>
      </c>
      <c r="E1136" t="s">
        <v>524</v>
      </c>
      <c r="F1136" t="s">
        <v>26</v>
      </c>
      <c r="G1136">
        <v>18</v>
      </c>
      <c r="H1136">
        <v>0</v>
      </c>
      <c r="I1136">
        <v>0</v>
      </c>
      <c r="J1136">
        <v>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16</v>
      </c>
      <c r="T1136">
        <v>0</v>
      </c>
      <c r="U1136" t="s">
        <v>54</v>
      </c>
      <c r="W1136" s="2">
        <v>90.48</v>
      </c>
      <c r="X1136" s="3">
        <f t="shared" si="34"/>
        <v>1447.68</v>
      </c>
      <c r="Y1136">
        <f>VLOOKUP(D1136,'[1]Cost Sheet'!$C:$D,2,0)</f>
        <v>90.48</v>
      </c>
      <c r="Z1136" s="3">
        <f t="shared" si="35"/>
        <v>1447.68</v>
      </c>
    </row>
    <row r="1137" spans="1:26" x14ac:dyDescent="0.3">
      <c r="A1137" s="7" t="s">
        <v>21</v>
      </c>
      <c r="B1137" t="s">
        <v>521</v>
      </c>
      <c r="C1137" t="s">
        <v>522</v>
      </c>
      <c r="D1137" t="s">
        <v>523</v>
      </c>
      <c r="E1137" t="s">
        <v>524</v>
      </c>
      <c r="F1137" t="s">
        <v>26</v>
      </c>
      <c r="G1137">
        <v>48</v>
      </c>
      <c r="H1137">
        <v>0</v>
      </c>
      <c r="I1137">
        <v>0</v>
      </c>
      <c r="J1137">
        <v>-3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45</v>
      </c>
      <c r="T1137">
        <v>0</v>
      </c>
      <c r="U1137" t="s">
        <v>32</v>
      </c>
      <c r="W1137" s="2">
        <v>90.48</v>
      </c>
      <c r="X1137" s="3">
        <f t="shared" si="34"/>
        <v>4071.6000000000004</v>
      </c>
      <c r="Y1137">
        <f>VLOOKUP(D1137,'[1]Cost Sheet'!$C:$D,2,0)</f>
        <v>90.48</v>
      </c>
      <c r="Z1137" s="3">
        <f t="shared" si="35"/>
        <v>4071.6000000000004</v>
      </c>
    </row>
    <row r="1138" spans="1:26" x14ac:dyDescent="0.3">
      <c r="A1138" s="7" t="s">
        <v>21</v>
      </c>
      <c r="B1138" t="s">
        <v>521</v>
      </c>
      <c r="C1138" t="s">
        <v>522</v>
      </c>
      <c r="D1138" t="s">
        <v>523</v>
      </c>
      <c r="E1138" t="s">
        <v>524</v>
      </c>
      <c r="F1138" t="s">
        <v>26</v>
      </c>
      <c r="G1138">
        <v>25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25</v>
      </c>
      <c r="T1138">
        <v>0</v>
      </c>
      <c r="U1138" t="s">
        <v>33</v>
      </c>
      <c r="W1138" s="2">
        <v>90.48</v>
      </c>
      <c r="X1138" s="3">
        <f t="shared" si="34"/>
        <v>2262</v>
      </c>
      <c r="Y1138">
        <f>VLOOKUP(D1138,'[1]Cost Sheet'!$C:$D,2,0)</f>
        <v>90.48</v>
      </c>
      <c r="Z1138" s="3">
        <f t="shared" si="35"/>
        <v>2262</v>
      </c>
    </row>
    <row r="1139" spans="1:26" x14ac:dyDescent="0.3">
      <c r="A1139" s="7" t="s">
        <v>21</v>
      </c>
      <c r="B1139" t="s">
        <v>521</v>
      </c>
      <c r="C1139" t="s">
        <v>522</v>
      </c>
      <c r="D1139" t="s">
        <v>523</v>
      </c>
      <c r="E1139" t="s">
        <v>524</v>
      </c>
      <c r="F1139" t="s">
        <v>26</v>
      </c>
      <c r="G1139">
        <v>22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23</v>
      </c>
      <c r="T1139">
        <v>0</v>
      </c>
      <c r="U1139" t="s">
        <v>46</v>
      </c>
      <c r="W1139" s="2">
        <v>90.48</v>
      </c>
      <c r="X1139" s="3">
        <f t="shared" si="34"/>
        <v>2081.04</v>
      </c>
      <c r="Y1139">
        <f>VLOOKUP(D1139,'[1]Cost Sheet'!$C:$D,2,0)</f>
        <v>90.48</v>
      </c>
      <c r="Z1139" s="3">
        <f t="shared" si="35"/>
        <v>2081.04</v>
      </c>
    </row>
    <row r="1140" spans="1:26" x14ac:dyDescent="0.3">
      <c r="A1140" s="7" t="s">
        <v>21</v>
      </c>
      <c r="B1140" t="s">
        <v>521</v>
      </c>
      <c r="C1140" t="s">
        <v>522</v>
      </c>
      <c r="D1140" t="s">
        <v>523</v>
      </c>
      <c r="E1140" t="s">
        <v>524</v>
      </c>
      <c r="F1140" t="s">
        <v>26</v>
      </c>
      <c r="G1140">
        <v>25</v>
      </c>
      <c r="H1140">
        <v>0</v>
      </c>
      <c r="I1140">
        <v>0</v>
      </c>
      <c r="J1140">
        <v>-1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24</v>
      </c>
      <c r="T1140">
        <v>0</v>
      </c>
      <c r="U1140" t="s">
        <v>47</v>
      </c>
      <c r="W1140" s="2">
        <v>90.48</v>
      </c>
      <c r="X1140" s="3">
        <f t="shared" si="34"/>
        <v>2171.52</v>
      </c>
      <c r="Y1140">
        <f>VLOOKUP(D1140,'[1]Cost Sheet'!$C:$D,2,0)</f>
        <v>90.48</v>
      </c>
      <c r="Z1140" s="3">
        <f t="shared" si="35"/>
        <v>2171.52</v>
      </c>
    </row>
    <row r="1141" spans="1:26" x14ac:dyDescent="0.3">
      <c r="A1141" s="7" t="s">
        <v>21</v>
      </c>
      <c r="B1141" t="s">
        <v>521</v>
      </c>
      <c r="C1141" t="s">
        <v>522</v>
      </c>
      <c r="D1141" t="s">
        <v>523</v>
      </c>
      <c r="E1141" t="s">
        <v>524</v>
      </c>
      <c r="F1141" t="s">
        <v>26</v>
      </c>
      <c r="G1141">
        <v>21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21</v>
      </c>
      <c r="T1141">
        <v>0</v>
      </c>
      <c r="U1141" t="s">
        <v>40</v>
      </c>
      <c r="W1141" s="2">
        <v>90.48</v>
      </c>
      <c r="X1141" s="3">
        <f t="shared" si="34"/>
        <v>1900.0800000000002</v>
      </c>
      <c r="Y1141">
        <f>VLOOKUP(D1141,'[1]Cost Sheet'!$C:$D,2,0)</f>
        <v>90.48</v>
      </c>
      <c r="Z1141" s="3">
        <f t="shared" si="35"/>
        <v>1900.0800000000002</v>
      </c>
    </row>
    <row r="1142" spans="1:26" x14ac:dyDescent="0.3">
      <c r="A1142" s="7" t="s">
        <v>21</v>
      </c>
      <c r="B1142" t="s">
        <v>521</v>
      </c>
      <c r="C1142" t="s">
        <v>522</v>
      </c>
      <c r="D1142" t="s">
        <v>523</v>
      </c>
      <c r="E1142" t="s">
        <v>524</v>
      </c>
      <c r="F1142" t="s">
        <v>26</v>
      </c>
      <c r="G1142">
        <v>18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18</v>
      </c>
      <c r="T1142">
        <v>0</v>
      </c>
      <c r="U1142" t="s">
        <v>113</v>
      </c>
      <c r="W1142" s="2">
        <v>90.48</v>
      </c>
      <c r="X1142" s="3">
        <f t="shared" si="34"/>
        <v>1628.64</v>
      </c>
      <c r="Y1142">
        <f>VLOOKUP(D1142,'[1]Cost Sheet'!$C:$D,2,0)</f>
        <v>90.48</v>
      </c>
      <c r="Z1142" s="3">
        <f t="shared" si="35"/>
        <v>1628.64</v>
      </c>
    </row>
    <row r="1143" spans="1:26" x14ac:dyDescent="0.3">
      <c r="A1143" s="7" t="s">
        <v>21</v>
      </c>
      <c r="B1143" t="s">
        <v>521</v>
      </c>
      <c r="C1143" t="s">
        <v>522</v>
      </c>
      <c r="D1143" t="s">
        <v>523</v>
      </c>
      <c r="E1143" t="s">
        <v>524</v>
      </c>
      <c r="F1143" t="s">
        <v>26</v>
      </c>
      <c r="G1143">
        <v>7</v>
      </c>
      <c r="H1143">
        <v>0</v>
      </c>
      <c r="I1143">
        <v>0</v>
      </c>
      <c r="J1143">
        <v>-1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6</v>
      </c>
      <c r="T1143">
        <v>0</v>
      </c>
      <c r="U1143" t="s">
        <v>48</v>
      </c>
      <c r="W1143" s="2">
        <v>90.48</v>
      </c>
      <c r="X1143" s="3">
        <f t="shared" si="34"/>
        <v>542.88</v>
      </c>
      <c r="Y1143">
        <f>VLOOKUP(D1143,'[1]Cost Sheet'!$C:$D,2,0)</f>
        <v>90.48</v>
      </c>
      <c r="Z1143" s="3">
        <f t="shared" si="35"/>
        <v>542.88</v>
      </c>
    </row>
    <row r="1144" spans="1:26" x14ac:dyDescent="0.3">
      <c r="A1144" s="7" t="s">
        <v>21</v>
      </c>
      <c r="B1144" t="s">
        <v>521</v>
      </c>
      <c r="C1144" t="s">
        <v>522</v>
      </c>
      <c r="D1144" t="s">
        <v>523</v>
      </c>
      <c r="E1144" t="s">
        <v>524</v>
      </c>
      <c r="F1144" t="s">
        <v>26</v>
      </c>
      <c r="G1144">
        <v>18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18</v>
      </c>
      <c r="T1144">
        <v>0</v>
      </c>
      <c r="U1144" t="s">
        <v>59</v>
      </c>
      <c r="W1144" s="2">
        <v>90.48</v>
      </c>
      <c r="X1144" s="3">
        <f t="shared" si="34"/>
        <v>1628.64</v>
      </c>
      <c r="Y1144">
        <f>VLOOKUP(D1144,'[1]Cost Sheet'!$C:$D,2,0)</f>
        <v>90.48</v>
      </c>
      <c r="Z1144" s="3">
        <f t="shared" si="35"/>
        <v>1628.64</v>
      </c>
    </row>
    <row r="1145" spans="1:26" x14ac:dyDescent="0.3">
      <c r="A1145" s="7" t="s">
        <v>21</v>
      </c>
      <c r="B1145" t="s">
        <v>521</v>
      </c>
      <c r="C1145" t="s">
        <v>522</v>
      </c>
      <c r="D1145" t="s">
        <v>523</v>
      </c>
      <c r="E1145" t="s">
        <v>524</v>
      </c>
      <c r="F1145" t="s">
        <v>26</v>
      </c>
      <c r="G1145">
        <v>24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24</v>
      </c>
      <c r="T1145">
        <v>0</v>
      </c>
      <c r="U1145" t="s">
        <v>27</v>
      </c>
      <c r="W1145" s="2">
        <v>90.48</v>
      </c>
      <c r="X1145" s="3">
        <f t="shared" si="34"/>
        <v>2171.52</v>
      </c>
      <c r="Y1145">
        <f>VLOOKUP(D1145,'[1]Cost Sheet'!$C:$D,2,0)</f>
        <v>90.48</v>
      </c>
      <c r="Z1145" s="3">
        <f t="shared" si="35"/>
        <v>2171.52</v>
      </c>
    </row>
    <row r="1146" spans="1:26" x14ac:dyDescent="0.3">
      <c r="A1146" s="7" t="s">
        <v>21</v>
      </c>
      <c r="B1146" t="s">
        <v>525</v>
      </c>
      <c r="C1146" t="s">
        <v>526</v>
      </c>
      <c r="D1146" t="s">
        <v>1022</v>
      </c>
      <c r="E1146" t="s">
        <v>527</v>
      </c>
      <c r="F1146" t="s">
        <v>125</v>
      </c>
      <c r="G1146">
        <v>11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11</v>
      </c>
      <c r="T1146">
        <v>0</v>
      </c>
      <c r="U1146" t="s">
        <v>107</v>
      </c>
      <c r="W1146" s="2">
        <v>60.216666666666661</v>
      </c>
      <c r="X1146" s="3">
        <f t="shared" si="34"/>
        <v>662.38333333333333</v>
      </c>
      <c r="Y1146">
        <f>VLOOKUP(D1146,'[1]Cost Sheet'!$C:$D,2,0)</f>
        <v>60.216666666666661</v>
      </c>
      <c r="Z1146" s="3">
        <f t="shared" si="35"/>
        <v>662.38333333333333</v>
      </c>
    </row>
    <row r="1147" spans="1:26" x14ac:dyDescent="0.3">
      <c r="A1147" s="7" t="s">
        <v>21</v>
      </c>
      <c r="B1147" t="s">
        <v>525</v>
      </c>
      <c r="C1147" t="s">
        <v>526</v>
      </c>
      <c r="D1147" t="s">
        <v>1022</v>
      </c>
      <c r="E1147" t="s">
        <v>527</v>
      </c>
      <c r="F1147" t="s">
        <v>125</v>
      </c>
      <c r="G1147">
        <v>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3</v>
      </c>
      <c r="T1147">
        <v>0</v>
      </c>
      <c r="U1147" t="s">
        <v>151</v>
      </c>
      <c r="W1147" s="2">
        <v>60.216666666666661</v>
      </c>
      <c r="X1147" s="3">
        <f t="shared" si="34"/>
        <v>180.64999999999998</v>
      </c>
      <c r="Y1147">
        <f>VLOOKUP(D1147,'[1]Cost Sheet'!$C:$D,2,0)</f>
        <v>60.216666666666661</v>
      </c>
      <c r="Z1147" s="3">
        <f t="shared" si="35"/>
        <v>180.64999999999998</v>
      </c>
    </row>
    <row r="1148" spans="1:26" x14ac:dyDescent="0.3">
      <c r="A1148" s="7" t="s">
        <v>21</v>
      </c>
      <c r="B1148" t="s">
        <v>525</v>
      </c>
      <c r="C1148" t="s">
        <v>526</v>
      </c>
      <c r="D1148" t="s">
        <v>1022</v>
      </c>
      <c r="E1148" t="s">
        <v>527</v>
      </c>
      <c r="F1148" t="s">
        <v>125</v>
      </c>
      <c r="G1148">
        <v>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9</v>
      </c>
      <c r="T1148">
        <v>0</v>
      </c>
      <c r="U1148" t="s">
        <v>108</v>
      </c>
      <c r="W1148" s="2">
        <v>60.216666666666661</v>
      </c>
      <c r="X1148" s="3">
        <f t="shared" si="34"/>
        <v>541.94999999999993</v>
      </c>
      <c r="Y1148">
        <f>VLOOKUP(D1148,'[1]Cost Sheet'!$C:$D,2,0)</f>
        <v>60.216666666666661</v>
      </c>
      <c r="Z1148" s="3">
        <f t="shared" si="35"/>
        <v>541.94999999999993</v>
      </c>
    </row>
    <row r="1149" spans="1:26" x14ac:dyDescent="0.3">
      <c r="A1149" s="7" t="s">
        <v>21</v>
      </c>
      <c r="B1149" t="s">
        <v>528</v>
      </c>
      <c r="C1149" t="s">
        <v>529</v>
      </c>
      <c r="D1149" t="s">
        <v>1025</v>
      </c>
      <c r="E1149" t="s">
        <v>530</v>
      </c>
      <c r="F1149" t="s">
        <v>125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 t="s">
        <v>47</v>
      </c>
      <c r="W1149" s="2">
        <v>78.88</v>
      </c>
      <c r="X1149" s="3">
        <f t="shared" si="34"/>
        <v>78.88</v>
      </c>
      <c r="Y1149">
        <f>VLOOKUP(D1149,'[1]Cost Sheet'!$C:$D,2,0)</f>
        <v>78.88</v>
      </c>
      <c r="Z1149" s="3">
        <f t="shared" si="35"/>
        <v>78.88</v>
      </c>
    </row>
    <row r="1150" spans="1:26" x14ac:dyDescent="0.3">
      <c r="A1150" s="7" t="s">
        <v>21</v>
      </c>
      <c r="B1150" t="s">
        <v>528</v>
      </c>
      <c r="C1150" t="s">
        <v>529</v>
      </c>
      <c r="D1150" t="s">
        <v>1025</v>
      </c>
      <c r="E1150" t="s">
        <v>530</v>
      </c>
      <c r="F1150" t="s">
        <v>106</v>
      </c>
      <c r="G1150">
        <v>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3</v>
      </c>
      <c r="T1150">
        <v>0</v>
      </c>
      <c r="U1150" t="s">
        <v>39</v>
      </c>
      <c r="W1150" s="2">
        <v>78.88</v>
      </c>
      <c r="X1150" s="3">
        <f t="shared" si="34"/>
        <v>236.64</v>
      </c>
      <c r="Y1150">
        <f>VLOOKUP(D1150,'[1]Cost Sheet'!$C:$D,2,0)</f>
        <v>78.88</v>
      </c>
      <c r="Z1150" s="3">
        <f t="shared" si="35"/>
        <v>236.64</v>
      </c>
    </row>
    <row r="1151" spans="1:26" x14ac:dyDescent="0.3">
      <c r="A1151" s="7" t="s">
        <v>21</v>
      </c>
      <c r="B1151" t="s">
        <v>528</v>
      </c>
      <c r="C1151" t="s">
        <v>529</v>
      </c>
      <c r="D1151" t="s">
        <v>1025</v>
      </c>
      <c r="E1151" t="s">
        <v>530</v>
      </c>
      <c r="F1151" t="s">
        <v>106</v>
      </c>
      <c r="G1151">
        <v>57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57</v>
      </c>
      <c r="T1151">
        <v>0</v>
      </c>
      <c r="U1151" t="s">
        <v>32</v>
      </c>
      <c r="W1151" s="2">
        <v>78.88</v>
      </c>
      <c r="X1151" s="3">
        <f t="shared" si="34"/>
        <v>4496.16</v>
      </c>
      <c r="Y1151">
        <f>VLOOKUP(D1151,'[1]Cost Sheet'!$C:$D,2,0)</f>
        <v>78.88</v>
      </c>
      <c r="Z1151" s="3">
        <f t="shared" si="35"/>
        <v>4496.16</v>
      </c>
    </row>
    <row r="1152" spans="1:26" x14ac:dyDescent="0.3">
      <c r="A1152" s="7" t="s">
        <v>21</v>
      </c>
      <c r="B1152" t="s">
        <v>528</v>
      </c>
      <c r="C1152" t="s">
        <v>529</v>
      </c>
      <c r="D1152" t="s">
        <v>1025</v>
      </c>
      <c r="E1152" t="s">
        <v>530</v>
      </c>
      <c r="F1152" t="s">
        <v>106</v>
      </c>
      <c r="G1152">
        <v>22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22</v>
      </c>
      <c r="T1152">
        <v>0</v>
      </c>
      <c r="U1152" t="s">
        <v>33</v>
      </c>
      <c r="W1152" s="2">
        <v>78.88</v>
      </c>
      <c r="X1152" s="3">
        <f t="shared" si="34"/>
        <v>1735.36</v>
      </c>
      <c r="Y1152">
        <f>VLOOKUP(D1152,'[1]Cost Sheet'!$C:$D,2,0)</f>
        <v>78.88</v>
      </c>
      <c r="Z1152" s="3">
        <f t="shared" si="35"/>
        <v>1735.36</v>
      </c>
    </row>
    <row r="1153" spans="1:26" x14ac:dyDescent="0.3">
      <c r="A1153" s="7" t="s">
        <v>21</v>
      </c>
      <c r="B1153" t="s">
        <v>528</v>
      </c>
      <c r="C1153" t="s">
        <v>529</v>
      </c>
      <c r="D1153" t="s">
        <v>1025</v>
      </c>
      <c r="E1153" t="s">
        <v>530</v>
      </c>
      <c r="F1153" t="s">
        <v>106</v>
      </c>
      <c r="G1153">
        <v>127</v>
      </c>
      <c r="H1153">
        <v>0</v>
      </c>
      <c r="I1153">
        <v>0</v>
      </c>
      <c r="J1153">
        <v>0</v>
      </c>
      <c r="K1153">
        <v>0</v>
      </c>
      <c r="L1153">
        <v>-4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123</v>
      </c>
      <c r="T1153">
        <v>0</v>
      </c>
      <c r="U1153" t="s">
        <v>46</v>
      </c>
      <c r="W1153" s="2">
        <v>78.88</v>
      </c>
      <c r="X1153" s="3">
        <f t="shared" si="34"/>
        <v>9702.24</v>
      </c>
      <c r="Y1153">
        <f>VLOOKUP(D1153,'[1]Cost Sheet'!$C:$D,2,0)</f>
        <v>78.88</v>
      </c>
      <c r="Z1153" s="3">
        <f t="shared" si="35"/>
        <v>9702.24</v>
      </c>
    </row>
    <row r="1154" spans="1:26" x14ac:dyDescent="0.3">
      <c r="A1154" s="7" t="s">
        <v>21</v>
      </c>
      <c r="B1154" t="s">
        <v>528</v>
      </c>
      <c r="C1154" t="s">
        <v>529</v>
      </c>
      <c r="D1154" t="s">
        <v>1025</v>
      </c>
      <c r="E1154" t="s">
        <v>530</v>
      </c>
      <c r="F1154" t="s">
        <v>26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4</v>
      </c>
      <c r="T1154">
        <v>0</v>
      </c>
      <c r="U1154" t="s">
        <v>38</v>
      </c>
      <c r="W1154" s="2">
        <v>78.88</v>
      </c>
      <c r="X1154" s="3">
        <f t="shared" si="34"/>
        <v>315.52</v>
      </c>
      <c r="Y1154">
        <f>VLOOKUP(D1154,'[1]Cost Sheet'!$C:$D,2,0)</f>
        <v>78.88</v>
      </c>
      <c r="Z1154" s="3">
        <f t="shared" si="35"/>
        <v>315.52</v>
      </c>
    </row>
    <row r="1155" spans="1:26" x14ac:dyDescent="0.3">
      <c r="A1155" s="7" t="s">
        <v>21</v>
      </c>
      <c r="B1155" t="s">
        <v>528</v>
      </c>
      <c r="C1155" t="s">
        <v>529</v>
      </c>
      <c r="D1155" t="s">
        <v>1025</v>
      </c>
      <c r="E1155" t="s">
        <v>530</v>
      </c>
      <c r="F1155" t="s">
        <v>26</v>
      </c>
      <c r="G1155">
        <v>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30</v>
      </c>
      <c r="T1155">
        <v>0</v>
      </c>
      <c r="U1155" t="s">
        <v>107</v>
      </c>
      <c r="W1155" s="2">
        <v>78.88</v>
      </c>
      <c r="X1155" s="3">
        <f t="shared" ref="X1155:X1218" si="36">S1155*W1155</f>
        <v>2366.3999999999996</v>
      </c>
      <c r="Y1155">
        <f>VLOOKUP(D1155,'[1]Cost Sheet'!$C:$D,2,0)</f>
        <v>78.88</v>
      </c>
      <c r="Z1155" s="3">
        <f t="shared" ref="Z1155:Z1218" si="37">Y1155*S1155</f>
        <v>2366.3999999999996</v>
      </c>
    </row>
    <row r="1156" spans="1:26" x14ac:dyDescent="0.3">
      <c r="A1156" s="7" t="s">
        <v>21</v>
      </c>
      <c r="B1156" t="s">
        <v>528</v>
      </c>
      <c r="C1156" t="s">
        <v>529</v>
      </c>
      <c r="D1156" t="s">
        <v>1025</v>
      </c>
      <c r="E1156" t="s">
        <v>530</v>
      </c>
      <c r="F1156" t="s">
        <v>26</v>
      </c>
      <c r="G1156">
        <v>24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24</v>
      </c>
      <c r="T1156">
        <v>0</v>
      </c>
      <c r="U1156" t="s">
        <v>45</v>
      </c>
      <c r="W1156" s="2">
        <v>78.88</v>
      </c>
      <c r="X1156" s="3">
        <f t="shared" si="36"/>
        <v>1893.12</v>
      </c>
      <c r="Y1156">
        <f>VLOOKUP(D1156,'[1]Cost Sheet'!$C:$D,2,0)</f>
        <v>78.88</v>
      </c>
      <c r="Z1156" s="3">
        <f t="shared" si="37"/>
        <v>1893.12</v>
      </c>
    </row>
    <row r="1157" spans="1:26" x14ac:dyDescent="0.3">
      <c r="A1157" s="7" t="s">
        <v>21</v>
      </c>
      <c r="B1157" t="s">
        <v>528</v>
      </c>
      <c r="C1157" t="s">
        <v>529</v>
      </c>
      <c r="D1157" t="s">
        <v>1025</v>
      </c>
      <c r="E1157" t="s">
        <v>530</v>
      </c>
      <c r="F1157" t="s">
        <v>26</v>
      </c>
      <c r="G1157">
        <v>24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24</v>
      </c>
      <c r="T1157">
        <v>0</v>
      </c>
      <c r="U1157" t="s">
        <v>39</v>
      </c>
      <c r="W1157" s="2">
        <v>78.88</v>
      </c>
      <c r="X1157" s="3">
        <f t="shared" si="36"/>
        <v>1893.12</v>
      </c>
      <c r="Y1157">
        <f>VLOOKUP(D1157,'[1]Cost Sheet'!$C:$D,2,0)</f>
        <v>78.88</v>
      </c>
      <c r="Z1157" s="3">
        <f t="shared" si="37"/>
        <v>1893.12</v>
      </c>
    </row>
    <row r="1158" spans="1:26" x14ac:dyDescent="0.3">
      <c r="A1158" s="7" t="s">
        <v>21</v>
      </c>
      <c r="B1158" t="s">
        <v>528</v>
      </c>
      <c r="C1158" t="s">
        <v>529</v>
      </c>
      <c r="D1158" t="s">
        <v>1025</v>
      </c>
      <c r="E1158" t="s">
        <v>530</v>
      </c>
      <c r="F1158" t="s">
        <v>26</v>
      </c>
      <c r="G1158">
        <v>16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16</v>
      </c>
      <c r="T1158">
        <v>0</v>
      </c>
      <c r="U1158" t="s">
        <v>53</v>
      </c>
      <c r="W1158" s="2">
        <v>78.88</v>
      </c>
      <c r="X1158" s="3">
        <f t="shared" si="36"/>
        <v>1262.08</v>
      </c>
      <c r="Y1158">
        <f>VLOOKUP(D1158,'[1]Cost Sheet'!$C:$D,2,0)</f>
        <v>78.88</v>
      </c>
      <c r="Z1158" s="3">
        <f t="shared" si="37"/>
        <v>1262.08</v>
      </c>
    </row>
    <row r="1159" spans="1:26" x14ac:dyDescent="0.3">
      <c r="A1159" s="7" t="s">
        <v>21</v>
      </c>
      <c r="B1159" t="s">
        <v>528</v>
      </c>
      <c r="C1159" t="s">
        <v>529</v>
      </c>
      <c r="D1159" t="s">
        <v>1025</v>
      </c>
      <c r="E1159" t="s">
        <v>530</v>
      </c>
      <c r="F1159" t="s">
        <v>26</v>
      </c>
      <c r="G1159">
        <v>24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24</v>
      </c>
      <c r="T1159">
        <v>0</v>
      </c>
      <c r="U1159" t="s">
        <v>54</v>
      </c>
      <c r="W1159" s="2">
        <v>78.88</v>
      </c>
      <c r="X1159" s="3">
        <f t="shared" si="36"/>
        <v>1893.12</v>
      </c>
      <c r="Y1159">
        <f>VLOOKUP(D1159,'[1]Cost Sheet'!$C:$D,2,0)</f>
        <v>78.88</v>
      </c>
      <c r="Z1159" s="3">
        <f t="shared" si="37"/>
        <v>1893.12</v>
      </c>
    </row>
    <row r="1160" spans="1:26" x14ac:dyDescent="0.3">
      <c r="A1160" s="7" t="s">
        <v>21</v>
      </c>
      <c r="B1160" t="s">
        <v>528</v>
      </c>
      <c r="C1160" t="s">
        <v>529</v>
      </c>
      <c r="D1160" t="s">
        <v>1025</v>
      </c>
      <c r="E1160" t="s">
        <v>530</v>
      </c>
      <c r="F1160" t="s">
        <v>26</v>
      </c>
      <c r="G1160">
        <v>25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25</v>
      </c>
      <c r="T1160">
        <v>0</v>
      </c>
      <c r="U1160" t="s">
        <v>32</v>
      </c>
      <c r="W1160" s="2">
        <v>78.88</v>
      </c>
      <c r="X1160" s="3">
        <f t="shared" si="36"/>
        <v>1972</v>
      </c>
      <c r="Y1160">
        <f>VLOOKUP(D1160,'[1]Cost Sheet'!$C:$D,2,0)</f>
        <v>78.88</v>
      </c>
      <c r="Z1160" s="3">
        <f t="shared" si="37"/>
        <v>1972</v>
      </c>
    </row>
    <row r="1161" spans="1:26" x14ac:dyDescent="0.3">
      <c r="A1161" s="7" t="s">
        <v>21</v>
      </c>
      <c r="B1161" t="s">
        <v>528</v>
      </c>
      <c r="C1161" t="s">
        <v>529</v>
      </c>
      <c r="D1161" t="s">
        <v>1025</v>
      </c>
      <c r="E1161" t="s">
        <v>530</v>
      </c>
      <c r="F1161" t="s">
        <v>26</v>
      </c>
      <c r="G1161">
        <v>27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27</v>
      </c>
      <c r="T1161">
        <v>0</v>
      </c>
      <c r="U1161" t="s">
        <v>33</v>
      </c>
      <c r="W1161" s="2">
        <v>78.88</v>
      </c>
      <c r="X1161" s="3">
        <f t="shared" si="36"/>
        <v>2129.7599999999998</v>
      </c>
      <c r="Y1161">
        <f>VLOOKUP(D1161,'[1]Cost Sheet'!$C:$D,2,0)</f>
        <v>78.88</v>
      </c>
      <c r="Z1161" s="3">
        <f t="shared" si="37"/>
        <v>2129.7599999999998</v>
      </c>
    </row>
    <row r="1162" spans="1:26" x14ac:dyDescent="0.3">
      <c r="A1162" s="7" t="s">
        <v>21</v>
      </c>
      <c r="B1162" t="s">
        <v>528</v>
      </c>
      <c r="C1162" t="s">
        <v>529</v>
      </c>
      <c r="D1162" t="s">
        <v>1025</v>
      </c>
      <c r="E1162" t="s">
        <v>530</v>
      </c>
      <c r="F1162" t="s">
        <v>26</v>
      </c>
      <c r="G1162">
        <v>24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24</v>
      </c>
      <c r="T1162">
        <v>0</v>
      </c>
      <c r="U1162" t="s">
        <v>46</v>
      </c>
      <c r="W1162" s="2">
        <v>78.88</v>
      </c>
      <c r="X1162" s="3">
        <f t="shared" si="36"/>
        <v>1893.12</v>
      </c>
      <c r="Y1162">
        <f>VLOOKUP(D1162,'[1]Cost Sheet'!$C:$D,2,0)</f>
        <v>78.88</v>
      </c>
      <c r="Z1162" s="3">
        <f t="shared" si="37"/>
        <v>1893.12</v>
      </c>
    </row>
    <row r="1163" spans="1:26" x14ac:dyDescent="0.3">
      <c r="A1163" s="7" t="s">
        <v>21</v>
      </c>
      <c r="B1163" t="s">
        <v>528</v>
      </c>
      <c r="C1163" t="s">
        <v>529</v>
      </c>
      <c r="D1163" t="s">
        <v>1025</v>
      </c>
      <c r="E1163" t="s">
        <v>530</v>
      </c>
      <c r="F1163" t="s">
        <v>26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 t="s">
        <v>47</v>
      </c>
      <c r="W1163" s="2">
        <v>78.88</v>
      </c>
      <c r="X1163" s="3">
        <f t="shared" si="36"/>
        <v>78.88</v>
      </c>
      <c r="Y1163">
        <f>VLOOKUP(D1163,'[1]Cost Sheet'!$C:$D,2,0)</f>
        <v>78.88</v>
      </c>
      <c r="Z1163" s="3">
        <f t="shared" si="37"/>
        <v>78.88</v>
      </c>
    </row>
    <row r="1164" spans="1:26" x14ac:dyDescent="0.3">
      <c r="A1164" s="7" t="s">
        <v>21</v>
      </c>
      <c r="B1164" t="s">
        <v>528</v>
      </c>
      <c r="C1164" t="s">
        <v>529</v>
      </c>
      <c r="D1164" t="s">
        <v>1025</v>
      </c>
      <c r="E1164" t="s">
        <v>530</v>
      </c>
      <c r="F1164" t="s">
        <v>26</v>
      </c>
      <c r="G1164">
        <v>13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13</v>
      </c>
      <c r="T1164">
        <v>0</v>
      </c>
      <c r="U1164" t="s">
        <v>40</v>
      </c>
      <c r="W1164" s="2">
        <v>78.88</v>
      </c>
      <c r="X1164" s="3">
        <f t="shared" si="36"/>
        <v>1025.44</v>
      </c>
      <c r="Y1164">
        <f>VLOOKUP(D1164,'[1]Cost Sheet'!$C:$D,2,0)</f>
        <v>78.88</v>
      </c>
      <c r="Z1164" s="3">
        <f t="shared" si="37"/>
        <v>1025.44</v>
      </c>
    </row>
    <row r="1165" spans="1:26" x14ac:dyDescent="0.3">
      <c r="A1165" s="7" t="s">
        <v>21</v>
      </c>
      <c r="B1165" t="s">
        <v>528</v>
      </c>
      <c r="C1165" t="s">
        <v>529</v>
      </c>
      <c r="D1165" t="s">
        <v>1025</v>
      </c>
      <c r="E1165" t="s">
        <v>530</v>
      </c>
      <c r="F1165" t="s">
        <v>26</v>
      </c>
      <c r="G1165">
        <v>24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24</v>
      </c>
      <c r="T1165">
        <v>0</v>
      </c>
      <c r="U1165" t="s">
        <v>113</v>
      </c>
      <c r="W1165" s="2">
        <v>78.88</v>
      </c>
      <c r="X1165" s="3">
        <f t="shared" si="36"/>
        <v>1893.12</v>
      </c>
      <c r="Y1165">
        <f>VLOOKUP(D1165,'[1]Cost Sheet'!$C:$D,2,0)</f>
        <v>78.88</v>
      </c>
      <c r="Z1165" s="3">
        <f t="shared" si="37"/>
        <v>1893.12</v>
      </c>
    </row>
    <row r="1166" spans="1:26" x14ac:dyDescent="0.3">
      <c r="A1166" s="7" t="s">
        <v>21</v>
      </c>
      <c r="B1166" t="s">
        <v>528</v>
      </c>
      <c r="C1166" t="s">
        <v>529</v>
      </c>
      <c r="D1166" t="s">
        <v>1025</v>
      </c>
      <c r="E1166" t="s">
        <v>530</v>
      </c>
      <c r="F1166" t="s">
        <v>26</v>
      </c>
      <c r="G1166">
        <v>26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26</v>
      </c>
      <c r="T1166">
        <v>0</v>
      </c>
      <c r="U1166" t="s">
        <v>48</v>
      </c>
      <c r="W1166" s="2">
        <v>78.88</v>
      </c>
      <c r="X1166" s="3">
        <f t="shared" si="36"/>
        <v>2050.88</v>
      </c>
      <c r="Y1166">
        <f>VLOOKUP(D1166,'[1]Cost Sheet'!$C:$D,2,0)</f>
        <v>78.88</v>
      </c>
      <c r="Z1166" s="3">
        <f t="shared" si="37"/>
        <v>2050.88</v>
      </c>
    </row>
    <row r="1167" spans="1:26" x14ac:dyDescent="0.3">
      <c r="A1167" s="7" t="s">
        <v>21</v>
      </c>
      <c r="B1167" t="s">
        <v>528</v>
      </c>
      <c r="C1167" t="s">
        <v>529</v>
      </c>
      <c r="D1167" t="s">
        <v>1025</v>
      </c>
      <c r="E1167" t="s">
        <v>530</v>
      </c>
      <c r="F1167" t="s">
        <v>26</v>
      </c>
      <c r="G1167">
        <v>10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10</v>
      </c>
      <c r="T1167">
        <v>0</v>
      </c>
      <c r="U1167" t="s">
        <v>59</v>
      </c>
      <c r="W1167" s="2">
        <v>78.88</v>
      </c>
      <c r="X1167" s="3">
        <f t="shared" si="36"/>
        <v>788.8</v>
      </c>
      <c r="Y1167">
        <f>VLOOKUP(D1167,'[1]Cost Sheet'!$C:$D,2,0)</f>
        <v>78.88</v>
      </c>
      <c r="Z1167" s="3">
        <f t="shared" si="37"/>
        <v>788.8</v>
      </c>
    </row>
    <row r="1168" spans="1:26" x14ac:dyDescent="0.3">
      <c r="A1168" s="7" t="s">
        <v>21</v>
      </c>
      <c r="B1168" t="s">
        <v>528</v>
      </c>
      <c r="C1168" t="s">
        <v>529</v>
      </c>
      <c r="D1168" t="s">
        <v>1025</v>
      </c>
      <c r="E1168" t="s">
        <v>530</v>
      </c>
      <c r="F1168" t="s">
        <v>26</v>
      </c>
      <c r="G1168">
        <v>89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89</v>
      </c>
      <c r="T1168">
        <v>0</v>
      </c>
      <c r="U1168" t="s">
        <v>27</v>
      </c>
      <c r="W1168" s="2">
        <v>78.88</v>
      </c>
      <c r="X1168" s="3">
        <f t="shared" si="36"/>
        <v>7020.32</v>
      </c>
      <c r="Y1168">
        <f>VLOOKUP(D1168,'[1]Cost Sheet'!$C:$D,2,0)</f>
        <v>78.88</v>
      </c>
      <c r="Z1168" s="3">
        <f t="shared" si="37"/>
        <v>7020.32</v>
      </c>
    </row>
    <row r="1169" spans="1:26" x14ac:dyDescent="0.3">
      <c r="A1169" s="7" t="s">
        <v>21</v>
      </c>
      <c r="B1169" t="s">
        <v>531</v>
      </c>
      <c r="C1169" t="s">
        <v>532</v>
      </c>
      <c r="D1169" t="s">
        <v>1026</v>
      </c>
      <c r="E1169" t="s">
        <v>533</v>
      </c>
      <c r="F1169" t="s">
        <v>125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 t="s">
        <v>88</v>
      </c>
      <c r="W1169" s="2">
        <v>27.66</v>
      </c>
      <c r="X1169" s="3">
        <f t="shared" si="36"/>
        <v>27.66</v>
      </c>
      <c r="Y1169">
        <f>VLOOKUP(D1169,'[1]Cost Sheet'!$C:$D,2,0)</f>
        <v>27.66</v>
      </c>
      <c r="Z1169" s="3">
        <f t="shared" si="37"/>
        <v>27.66</v>
      </c>
    </row>
    <row r="1170" spans="1:26" x14ac:dyDescent="0.3">
      <c r="A1170" s="7" t="s">
        <v>21</v>
      </c>
      <c r="B1170" t="s">
        <v>531</v>
      </c>
      <c r="C1170" t="s">
        <v>532</v>
      </c>
      <c r="D1170" t="s">
        <v>1026</v>
      </c>
      <c r="E1170" t="s">
        <v>533</v>
      </c>
      <c r="F1170" t="s">
        <v>106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 t="s">
        <v>45</v>
      </c>
      <c r="W1170" s="2">
        <v>27.66</v>
      </c>
      <c r="X1170" s="3">
        <f t="shared" si="36"/>
        <v>27.66</v>
      </c>
      <c r="Y1170">
        <f>VLOOKUP(D1170,'[1]Cost Sheet'!$C:$D,2,0)</f>
        <v>27.66</v>
      </c>
      <c r="Z1170" s="3">
        <f t="shared" si="37"/>
        <v>27.66</v>
      </c>
    </row>
    <row r="1171" spans="1:26" x14ac:dyDescent="0.3">
      <c r="A1171" s="7" t="s">
        <v>21</v>
      </c>
      <c r="B1171" t="s">
        <v>531</v>
      </c>
      <c r="C1171" t="s">
        <v>532</v>
      </c>
      <c r="D1171" t="s">
        <v>1026</v>
      </c>
      <c r="E1171" t="s">
        <v>533</v>
      </c>
      <c r="F1171" t="s">
        <v>106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 t="s">
        <v>32</v>
      </c>
      <c r="W1171" s="2">
        <v>27.66</v>
      </c>
      <c r="X1171" s="3">
        <f t="shared" si="36"/>
        <v>27.66</v>
      </c>
      <c r="Y1171">
        <f>VLOOKUP(D1171,'[1]Cost Sheet'!$C:$D,2,0)</f>
        <v>27.66</v>
      </c>
      <c r="Z1171" s="3">
        <f t="shared" si="37"/>
        <v>27.66</v>
      </c>
    </row>
    <row r="1172" spans="1:26" x14ac:dyDescent="0.3">
      <c r="A1172" s="7" t="s">
        <v>21</v>
      </c>
      <c r="B1172" t="s">
        <v>531</v>
      </c>
      <c r="C1172" t="s">
        <v>532</v>
      </c>
      <c r="D1172" t="s">
        <v>1026</v>
      </c>
      <c r="E1172" t="s">
        <v>533</v>
      </c>
      <c r="F1172" t="s">
        <v>26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 t="s">
        <v>38</v>
      </c>
      <c r="W1172" s="2">
        <v>27.66</v>
      </c>
      <c r="X1172" s="3">
        <f t="shared" si="36"/>
        <v>27.66</v>
      </c>
      <c r="Y1172">
        <f>VLOOKUP(D1172,'[1]Cost Sheet'!$C:$D,2,0)</f>
        <v>27.66</v>
      </c>
      <c r="Z1172" s="3">
        <f t="shared" si="37"/>
        <v>27.66</v>
      </c>
    </row>
    <row r="1173" spans="1:26" x14ac:dyDescent="0.3">
      <c r="A1173" s="7" t="s">
        <v>21</v>
      </c>
      <c r="B1173" t="s">
        <v>531</v>
      </c>
      <c r="C1173" t="s">
        <v>532</v>
      </c>
      <c r="D1173" t="s">
        <v>1026</v>
      </c>
      <c r="E1173" t="s">
        <v>533</v>
      </c>
      <c r="F1173" t="s">
        <v>26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 t="s">
        <v>107</v>
      </c>
      <c r="W1173" s="2">
        <v>27.66</v>
      </c>
      <c r="X1173" s="3">
        <f t="shared" si="36"/>
        <v>27.66</v>
      </c>
      <c r="Y1173">
        <f>VLOOKUP(D1173,'[1]Cost Sheet'!$C:$D,2,0)</f>
        <v>27.66</v>
      </c>
      <c r="Z1173" s="3">
        <f t="shared" si="37"/>
        <v>27.66</v>
      </c>
    </row>
    <row r="1174" spans="1:26" x14ac:dyDescent="0.3">
      <c r="A1174" s="7" t="s">
        <v>21</v>
      </c>
      <c r="B1174" t="s">
        <v>531</v>
      </c>
      <c r="C1174" t="s">
        <v>532</v>
      </c>
      <c r="D1174" t="s">
        <v>1026</v>
      </c>
      <c r="E1174" t="s">
        <v>533</v>
      </c>
      <c r="F1174" t="s">
        <v>26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 t="s">
        <v>39</v>
      </c>
      <c r="W1174" s="2">
        <v>27.66</v>
      </c>
      <c r="X1174" s="3">
        <f t="shared" si="36"/>
        <v>27.66</v>
      </c>
      <c r="Y1174">
        <f>VLOOKUP(D1174,'[1]Cost Sheet'!$C:$D,2,0)</f>
        <v>27.66</v>
      </c>
      <c r="Z1174" s="3">
        <f t="shared" si="37"/>
        <v>27.66</v>
      </c>
    </row>
    <row r="1175" spans="1:26" x14ac:dyDescent="0.3">
      <c r="A1175" s="7" t="s">
        <v>21</v>
      </c>
      <c r="B1175" t="s">
        <v>531</v>
      </c>
      <c r="C1175" t="s">
        <v>532</v>
      </c>
      <c r="D1175" t="s">
        <v>1026</v>
      </c>
      <c r="E1175" t="s">
        <v>533</v>
      </c>
      <c r="F1175" t="s">
        <v>26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 t="s">
        <v>54</v>
      </c>
      <c r="W1175" s="2">
        <v>27.66</v>
      </c>
      <c r="X1175" s="3">
        <f t="shared" si="36"/>
        <v>27.66</v>
      </c>
      <c r="Y1175">
        <f>VLOOKUP(D1175,'[1]Cost Sheet'!$C:$D,2,0)</f>
        <v>27.66</v>
      </c>
      <c r="Z1175" s="3">
        <f t="shared" si="37"/>
        <v>27.66</v>
      </c>
    </row>
    <row r="1176" spans="1:26" x14ac:dyDescent="0.3">
      <c r="A1176" s="7" t="s">
        <v>21</v>
      </c>
      <c r="B1176" t="s">
        <v>531</v>
      </c>
      <c r="C1176" t="s">
        <v>532</v>
      </c>
      <c r="D1176" t="s">
        <v>1026</v>
      </c>
      <c r="E1176" t="s">
        <v>533</v>
      </c>
      <c r="F1176" t="s">
        <v>26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 t="s">
        <v>32</v>
      </c>
      <c r="W1176" s="2">
        <v>27.66</v>
      </c>
      <c r="X1176" s="3">
        <f t="shared" si="36"/>
        <v>27.66</v>
      </c>
      <c r="Y1176">
        <f>VLOOKUP(D1176,'[1]Cost Sheet'!$C:$D,2,0)</f>
        <v>27.66</v>
      </c>
      <c r="Z1176" s="3">
        <f t="shared" si="37"/>
        <v>27.66</v>
      </c>
    </row>
    <row r="1177" spans="1:26" x14ac:dyDescent="0.3">
      <c r="A1177" s="7" t="s">
        <v>21</v>
      </c>
      <c r="B1177" t="s">
        <v>531</v>
      </c>
      <c r="C1177" t="s">
        <v>532</v>
      </c>
      <c r="D1177" t="s">
        <v>1026</v>
      </c>
      <c r="E1177" t="s">
        <v>533</v>
      </c>
      <c r="F1177" t="s">
        <v>26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 t="s">
        <v>47</v>
      </c>
      <c r="W1177" s="2">
        <v>27.66</v>
      </c>
      <c r="X1177" s="3">
        <f t="shared" si="36"/>
        <v>27.66</v>
      </c>
      <c r="Y1177">
        <f>VLOOKUP(D1177,'[1]Cost Sheet'!$C:$D,2,0)</f>
        <v>27.66</v>
      </c>
      <c r="Z1177" s="3">
        <f t="shared" si="37"/>
        <v>27.66</v>
      </c>
    </row>
    <row r="1178" spans="1:26" x14ac:dyDescent="0.3">
      <c r="A1178" s="7" t="s">
        <v>21</v>
      </c>
      <c r="B1178" t="s">
        <v>531</v>
      </c>
      <c r="C1178" t="s">
        <v>532</v>
      </c>
      <c r="D1178" t="s">
        <v>1026</v>
      </c>
      <c r="E1178" t="s">
        <v>533</v>
      </c>
      <c r="F1178" t="s">
        <v>114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 t="s">
        <v>88</v>
      </c>
      <c r="W1178" s="2">
        <v>27.66</v>
      </c>
      <c r="X1178" s="3">
        <f t="shared" si="36"/>
        <v>27.66</v>
      </c>
      <c r="Y1178">
        <f>VLOOKUP(D1178,'[1]Cost Sheet'!$C:$D,2,0)</f>
        <v>27.66</v>
      </c>
      <c r="Z1178" s="3">
        <f t="shared" si="37"/>
        <v>27.66</v>
      </c>
    </row>
    <row r="1179" spans="1:26" x14ac:dyDescent="0.3">
      <c r="A1179" s="7" t="s">
        <v>21</v>
      </c>
      <c r="B1179" t="s">
        <v>534</v>
      </c>
      <c r="C1179" t="s">
        <v>535</v>
      </c>
      <c r="D1179" t="s">
        <v>1027</v>
      </c>
      <c r="E1179" t="s">
        <v>536</v>
      </c>
      <c r="F1179" t="s">
        <v>106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 t="s">
        <v>48</v>
      </c>
      <c r="W1179" s="2">
        <v>94.530000000000015</v>
      </c>
      <c r="X1179" s="3">
        <f t="shared" si="36"/>
        <v>94.530000000000015</v>
      </c>
      <c r="Y1179">
        <f>VLOOKUP(D1179,'[1]Cost Sheet'!$C:$D,2,0)</f>
        <v>94.530000000000015</v>
      </c>
      <c r="Z1179" s="3">
        <f t="shared" si="37"/>
        <v>94.530000000000015</v>
      </c>
    </row>
    <row r="1180" spans="1:26" x14ac:dyDescent="0.3">
      <c r="A1180" s="7" t="s">
        <v>21</v>
      </c>
      <c r="B1180" t="s">
        <v>534</v>
      </c>
      <c r="C1180" t="s">
        <v>535</v>
      </c>
      <c r="D1180" t="s">
        <v>1027</v>
      </c>
      <c r="E1180" t="s">
        <v>536</v>
      </c>
      <c r="F1180" t="s">
        <v>26</v>
      </c>
      <c r="G1180">
        <v>68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68</v>
      </c>
      <c r="T1180">
        <v>0</v>
      </c>
      <c r="U1180" t="s">
        <v>38</v>
      </c>
      <c r="W1180" s="2">
        <v>94.530000000000015</v>
      </c>
      <c r="X1180" s="3">
        <f t="shared" si="36"/>
        <v>6428.0400000000009</v>
      </c>
      <c r="Y1180">
        <f>VLOOKUP(D1180,'[1]Cost Sheet'!$C:$D,2,0)</f>
        <v>94.530000000000015</v>
      </c>
      <c r="Z1180" s="3">
        <f t="shared" si="37"/>
        <v>6428.0400000000009</v>
      </c>
    </row>
    <row r="1181" spans="1:26" x14ac:dyDescent="0.3">
      <c r="A1181" s="7" t="s">
        <v>21</v>
      </c>
      <c r="B1181" t="s">
        <v>534</v>
      </c>
      <c r="C1181" t="s">
        <v>535</v>
      </c>
      <c r="D1181" t="s">
        <v>1027</v>
      </c>
      <c r="E1181" t="s">
        <v>536</v>
      </c>
      <c r="F1181" t="s">
        <v>26</v>
      </c>
      <c r="G1181">
        <v>62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62</v>
      </c>
      <c r="T1181">
        <v>0</v>
      </c>
      <c r="U1181" t="s">
        <v>107</v>
      </c>
      <c r="W1181" s="2">
        <v>94.530000000000015</v>
      </c>
      <c r="X1181" s="3">
        <f t="shared" si="36"/>
        <v>5860.8600000000006</v>
      </c>
      <c r="Y1181">
        <f>VLOOKUP(D1181,'[1]Cost Sheet'!$C:$D,2,0)</f>
        <v>94.530000000000015</v>
      </c>
      <c r="Z1181" s="3">
        <f t="shared" si="37"/>
        <v>5860.8600000000006</v>
      </c>
    </row>
    <row r="1182" spans="1:26" x14ac:dyDescent="0.3">
      <c r="A1182" s="7" t="s">
        <v>21</v>
      </c>
      <c r="B1182" t="s">
        <v>534</v>
      </c>
      <c r="C1182" t="s">
        <v>535</v>
      </c>
      <c r="D1182" t="s">
        <v>1027</v>
      </c>
      <c r="E1182" t="s">
        <v>536</v>
      </c>
      <c r="F1182" t="s">
        <v>26</v>
      </c>
      <c r="G1182">
        <v>45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45</v>
      </c>
      <c r="T1182">
        <v>0</v>
      </c>
      <c r="U1182" t="s">
        <v>45</v>
      </c>
      <c r="W1182" s="2">
        <v>94.530000000000015</v>
      </c>
      <c r="X1182" s="3">
        <f t="shared" si="36"/>
        <v>4253.8500000000004</v>
      </c>
      <c r="Y1182">
        <f>VLOOKUP(D1182,'[1]Cost Sheet'!$C:$D,2,0)</f>
        <v>94.530000000000015</v>
      </c>
      <c r="Z1182" s="3">
        <f t="shared" si="37"/>
        <v>4253.8500000000004</v>
      </c>
    </row>
    <row r="1183" spans="1:26" x14ac:dyDescent="0.3">
      <c r="A1183" s="7" t="s">
        <v>21</v>
      </c>
      <c r="B1183" t="s">
        <v>534</v>
      </c>
      <c r="C1183" t="s">
        <v>535</v>
      </c>
      <c r="D1183" t="s">
        <v>1027</v>
      </c>
      <c r="E1183" t="s">
        <v>536</v>
      </c>
      <c r="F1183" t="s">
        <v>26</v>
      </c>
      <c r="G1183">
        <v>4</v>
      </c>
      <c r="H1183">
        <v>0</v>
      </c>
      <c r="I1183">
        <v>0</v>
      </c>
      <c r="J1183">
        <v>-2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2</v>
      </c>
      <c r="T1183">
        <v>0</v>
      </c>
      <c r="U1183" t="s">
        <v>39</v>
      </c>
      <c r="W1183" s="2">
        <v>94.530000000000015</v>
      </c>
      <c r="X1183" s="3">
        <f t="shared" si="36"/>
        <v>189.06000000000003</v>
      </c>
      <c r="Y1183">
        <f>VLOOKUP(D1183,'[1]Cost Sheet'!$C:$D,2,0)</f>
        <v>94.530000000000015</v>
      </c>
      <c r="Z1183" s="3">
        <f t="shared" si="37"/>
        <v>189.06000000000003</v>
      </c>
    </row>
    <row r="1184" spans="1:26" x14ac:dyDescent="0.3">
      <c r="A1184" s="7" t="s">
        <v>21</v>
      </c>
      <c r="B1184" t="s">
        <v>534</v>
      </c>
      <c r="C1184" t="s">
        <v>535</v>
      </c>
      <c r="D1184" t="s">
        <v>1027</v>
      </c>
      <c r="E1184" t="s">
        <v>536</v>
      </c>
      <c r="F1184" t="s">
        <v>26</v>
      </c>
      <c r="G1184">
        <v>106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106</v>
      </c>
      <c r="T1184">
        <v>0</v>
      </c>
      <c r="U1184" t="s">
        <v>54</v>
      </c>
      <c r="W1184" s="2">
        <v>94.530000000000015</v>
      </c>
      <c r="X1184" s="3">
        <f t="shared" si="36"/>
        <v>10020.180000000002</v>
      </c>
      <c r="Y1184">
        <f>VLOOKUP(D1184,'[1]Cost Sheet'!$C:$D,2,0)</f>
        <v>94.530000000000015</v>
      </c>
      <c r="Z1184" s="3">
        <f t="shared" si="37"/>
        <v>10020.180000000002</v>
      </c>
    </row>
    <row r="1185" spans="1:26" x14ac:dyDescent="0.3">
      <c r="A1185" s="7" t="s">
        <v>21</v>
      </c>
      <c r="B1185" t="s">
        <v>534</v>
      </c>
      <c r="C1185" t="s">
        <v>535</v>
      </c>
      <c r="D1185" t="s">
        <v>1027</v>
      </c>
      <c r="E1185" t="s">
        <v>536</v>
      </c>
      <c r="F1185" t="s">
        <v>26</v>
      </c>
      <c r="G1185">
        <v>351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351</v>
      </c>
      <c r="T1185">
        <v>0</v>
      </c>
      <c r="U1185" t="s">
        <v>32</v>
      </c>
      <c r="W1185" s="2">
        <v>94.530000000000015</v>
      </c>
      <c r="X1185" s="3">
        <f t="shared" si="36"/>
        <v>33180.030000000006</v>
      </c>
      <c r="Y1185">
        <f>VLOOKUP(D1185,'[1]Cost Sheet'!$C:$D,2,0)</f>
        <v>94.530000000000015</v>
      </c>
      <c r="Z1185" s="3">
        <f t="shared" si="37"/>
        <v>33180.030000000006</v>
      </c>
    </row>
    <row r="1186" spans="1:26" x14ac:dyDescent="0.3">
      <c r="A1186" s="7" t="s">
        <v>21</v>
      </c>
      <c r="B1186" t="s">
        <v>534</v>
      </c>
      <c r="C1186" t="s">
        <v>535</v>
      </c>
      <c r="D1186" t="s">
        <v>1027</v>
      </c>
      <c r="E1186" t="s">
        <v>536</v>
      </c>
      <c r="F1186" t="s">
        <v>26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-1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88</v>
      </c>
      <c r="W1186" s="2">
        <v>94.530000000000015</v>
      </c>
      <c r="X1186" s="3">
        <f t="shared" si="36"/>
        <v>0</v>
      </c>
      <c r="Y1186">
        <f>VLOOKUP(D1186,'[1]Cost Sheet'!$C:$D,2,0)</f>
        <v>94.530000000000015</v>
      </c>
      <c r="Z1186" s="3">
        <f t="shared" si="37"/>
        <v>0</v>
      </c>
    </row>
    <row r="1187" spans="1:26" x14ac:dyDescent="0.3">
      <c r="A1187" s="7" t="s">
        <v>21</v>
      </c>
      <c r="B1187" t="s">
        <v>534</v>
      </c>
      <c r="C1187" t="s">
        <v>535</v>
      </c>
      <c r="D1187" t="s">
        <v>1027</v>
      </c>
      <c r="E1187" t="s">
        <v>536</v>
      </c>
      <c r="F1187" t="s">
        <v>26</v>
      </c>
      <c r="G1187">
        <v>43</v>
      </c>
      <c r="H1187">
        <v>0</v>
      </c>
      <c r="I1187">
        <v>0</v>
      </c>
      <c r="J1187">
        <v>-1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42</v>
      </c>
      <c r="T1187">
        <v>0</v>
      </c>
      <c r="U1187" t="s">
        <v>33</v>
      </c>
      <c r="W1187" s="2">
        <v>94.530000000000015</v>
      </c>
      <c r="X1187" s="3">
        <f t="shared" si="36"/>
        <v>3970.2600000000007</v>
      </c>
      <c r="Y1187">
        <f>VLOOKUP(D1187,'[1]Cost Sheet'!$C:$D,2,0)</f>
        <v>94.530000000000015</v>
      </c>
      <c r="Z1187" s="3">
        <f t="shared" si="37"/>
        <v>3970.2600000000007</v>
      </c>
    </row>
    <row r="1188" spans="1:26" x14ac:dyDescent="0.3">
      <c r="A1188" s="7" t="s">
        <v>21</v>
      </c>
      <c r="B1188" t="s">
        <v>534</v>
      </c>
      <c r="C1188" t="s">
        <v>535</v>
      </c>
      <c r="D1188" t="s">
        <v>1027</v>
      </c>
      <c r="E1188" t="s">
        <v>536</v>
      </c>
      <c r="F1188" t="s">
        <v>26</v>
      </c>
      <c r="G1188">
        <v>150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151</v>
      </c>
      <c r="T1188">
        <v>0</v>
      </c>
      <c r="U1188" t="s">
        <v>46</v>
      </c>
      <c r="W1188" s="2">
        <v>94.530000000000015</v>
      </c>
      <c r="X1188" s="3">
        <f t="shared" si="36"/>
        <v>14274.030000000002</v>
      </c>
      <c r="Y1188">
        <f>VLOOKUP(D1188,'[1]Cost Sheet'!$C:$D,2,0)</f>
        <v>94.530000000000015</v>
      </c>
      <c r="Z1188" s="3">
        <f t="shared" si="37"/>
        <v>14274.030000000002</v>
      </c>
    </row>
    <row r="1189" spans="1:26" x14ac:dyDescent="0.3">
      <c r="A1189" s="7" t="s">
        <v>21</v>
      </c>
      <c r="B1189" t="s">
        <v>534</v>
      </c>
      <c r="C1189" t="s">
        <v>535</v>
      </c>
      <c r="D1189" t="s">
        <v>1027</v>
      </c>
      <c r="E1189" t="s">
        <v>536</v>
      </c>
      <c r="F1189" t="s">
        <v>26</v>
      </c>
      <c r="G1189">
        <v>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3</v>
      </c>
      <c r="T1189">
        <v>0</v>
      </c>
      <c r="U1189" t="s">
        <v>111</v>
      </c>
      <c r="W1189" s="2">
        <v>94.530000000000015</v>
      </c>
      <c r="X1189" s="3">
        <f t="shared" si="36"/>
        <v>283.59000000000003</v>
      </c>
      <c r="Y1189">
        <f>VLOOKUP(D1189,'[1]Cost Sheet'!$C:$D,2,0)</f>
        <v>94.530000000000015</v>
      </c>
      <c r="Z1189" s="3">
        <f t="shared" si="37"/>
        <v>283.59000000000003</v>
      </c>
    </row>
    <row r="1190" spans="1:26" x14ac:dyDescent="0.3">
      <c r="A1190" s="7" t="s">
        <v>21</v>
      </c>
      <c r="B1190" t="s">
        <v>534</v>
      </c>
      <c r="C1190" t="s">
        <v>535</v>
      </c>
      <c r="D1190" t="s">
        <v>1027</v>
      </c>
      <c r="E1190" t="s">
        <v>536</v>
      </c>
      <c r="F1190" t="s">
        <v>26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2</v>
      </c>
      <c r="T1190">
        <v>0</v>
      </c>
      <c r="U1190" t="s">
        <v>47</v>
      </c>
      <c r="W1190" s="2">
        <v>94.530000000000015</v>
      </c>
      <c r="X1190" s="3">
        <f t="shared" si="36"/>
        <v>189.06000000000003</v>
      </c>
      <c r="Y1190">
        <f>VLOOKUP(D1190,'[1]Cost Sheet'!$C:$D,2,0)</f>
        <v>94.530000000000015</v>
      </c>
      <c r="Z1190" s="3">
        <f t="shared" si="37"/>
        <v>189.06000000000003</v>
      </c>
    </row>
    <row r="1191" spans="1:26" x14ac:dyDescent="0.3">
      <c r="A1191" s="7" t="s">
        <v>21</v>
      </c>
      <c r="B1191" t="s">
        <v>534</v>
      </c>
      <c r="C1191" t="s">
        <v>535</v>
      </c>
      <c r="D1191" t="s">
        <v>1027</v>
      </c>
      <c r="E1191" t="s">
        <v>536</v>
      </c>
      <c r="F1191" t="s">
        <v>26</v>
      </c>
      <c r="G1191">
        <v>167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167</v>
      </c>
      <c r="T1191">
        <v>0</v>
      </c>
      <c r="U1191" t="s">
        <v>40</v>
      </c>
      <c r="W1191" s="2">
        <v>94.530000000000015</v>
      </c>
      <c r="X1191" s="3">
        <f t="shared" si="36"/>
        <v>15786.510000000002</v>
      </c>
      <c r="Y1191">
        <f>VLOOKUP(D1191,'[1]Cost Sheet'!$C:$D,2,0)</f>
        <v>94.530000000000015</v>
      </c>
      <c r="Z1191" s="3">
        <f t="shared" si="37"/>
        <v>15786.510000000002</v>
      </c>
    </row>
    <row r="1192" spans="1:26" x14ac:dyDescent="0.3">
      <c r="A1192" s="7" t="s">
        <v>21</v>
      </c>
      <c r="B1192" t="s">
        <v>534</v>
      </c>
      <c r="C1192" t="s">
        <v>535</v>
      </c>
      <c r="D1192" t="s">
        <v>1027</v>
      </c>
      <c r="E1192" t="s">
        <v>536</v>
      </c>
      <c r="F1192" t="s">
        <v>26</v>
      </c>
      <c r="G1192">
        <v>54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54</v>
      </c>
      <c r="T1192">
        <v>0</v>
      </c>
      <c r="U1192" t="s">
        <v>48</v>
      </c>
      <c r="W1192" s="2">
        <v>94.530000000000015</v>
      </c>
      <c r="X1192" s="3">
        <f t="shared" si="36"/>
        <v>5104.6200000000008</v>
      </c>
      <c r="Y1192">
        <f>VLOOKUP(D1192,'[1]Cost Sheet'!$C:$D,2,0)</f>
        <v>94.530000000000015</v>
      </c>
      <c r="Z1192" s="3">
        <f t="shared" si="37"/>
        <v>5104.6200000000008</v>
      </c>
    </row>
    <row r="1193" spans="1:26" x14ac:dyDescent="0.3">
      <c r="A1193" s="7" t="s">
        <v>21</v>
      </c>
      <c r="B1193" t="s">
        <v>534</v>
      </c>
      <c r="C1193" t="s">
        <v>535</v>
      </c>
      <c r="D1193" t="s">
        <v>1027</v>
      </c>
      <c r="E1193" t="s">
        <v>536</v>
      </c>
      <c r="F1193" t="s">
        <v>26</v>
      </c>
      <c r="G1193">
        <v>45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45</v>
      </c>
      <c r="T1193">
        <v>0</v>
      </c>
      <c r="U1193" t="s">
        <v>59</v>
      </c>
      <c r="W1193" s="2">
        <v>94.530000000000015</v>
      </c>
      <c r="X1193" s="3">
        <f t="shared" si="36"/>
        <v>4253.8500000000004</v>
      </c>
      <c r="Y1193">
        <f>VLOOKUP(D1193,'[1]Cost Sheet'!$C:$D,2,0)</f>
        <v>94.530000000000015</v>
      </c>
      <c r="Z1193" s="3">
        <f t="shared" si="37"/>
        <v>4253.8500000000004</v>
      </c>
    </row>
    <row r="1194" spans="1:26" x14ac:dyDescent="0.3">
      <c r="A1194" s="7" t="s">
        <v>21</v>
      </c>
      <c r="B1194" t="s">
        <v>537</v>
      </c>
      <c r="C1194" t="s">
        <v>538</v>
      </c>
      <c r="D1194" t="s">
        <v>1028</v>
      </c>
      <c r="E1194" t="s">
        <v>539</v>
      </c>
      <c r="F1194" t="s">
        <v>26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2</v>
      </c>
      <c r="T1194">
        <v>0</v>
      </c>
      <c r="U1194" t="s">
        <v>39</v>
      </c>
      <c r="W1194" s="2">
        <v>38.68</v>
      </c>
      <c r="X1194" s="3">
        <f t="shared" si="36"/>
        <v>77.36</v>
      </c>
      <c r="Y1194">
        <f>VLOOKUP(D1194,'[1]Cost Sheet'!$C:$D,2,0)</f>
        <v>38.68</v>
      </c>
      <c r="Z1194" s="3">
        <f t="shared" si="37"/>
        <v>77.36</v>
      </c>
    </row>
    <row r="1195" spans="1:26" x14ac:dyDescent="0.3">
      <c r="A1195" s="7" t="s">
        <v>21</v>
      </c>
      <c r="B1195" t="s">
        <v>540</v>
      </c>
      <c r="C1195" t="s">
        <v>541</v>
      </c>
      <c r="D1195" t="s">
        <v>1029</v>
      </c>
      <c r="E1195" t="s">
        <v>542</v>
      </c>
      <c r="F1195" t="s">
        <v>93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 t="s">
        <v>119</v>
      </c>
      <c r="W1195" s="2">
        <v>42.19</v>
      </c>
      <c r="X1195" s="3">
        <f t="shared" si="36"/>
        <v>42.19</v>
      </c>
      <c r="Y1195">
        <f>VLOOKUP(D1195,'[1]Cost Sheet'!$C:$D,2,0)</f>
        <v>42.21</v>
      </c>
      <c r="Z1195" s="3">
        <f t="shared" si="37"/>
        <v>42.21</v>
      </c>
    </row>
    <row r="1196" spans="1:26" x14ac:dyDescent="0.3">
      <c r="A1196" s="7" t="s">
        <v>21</v>
      </c>
      <c r="B1196" t="s">
        <v>540</v>
      </c>
      <c r="C1196" t="s">
        <v>541</v>
      </c>
      <c r="D1196" t="s">
        <v>1029</v>
      </c>
      <c r="E1196" t="s">
        <v>542</v>
      </c>
      <c r="F1196" t="s">
        <v>26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 t="s">
        <v>119</v>
      </c>
      <c r="W1196" s="2">
        <v>42.19</v>
      </c>
      <c r="X1196" s="3">
        <f t="shared" si="36"/>
        <v>42.19</v>
      </c>
      <c r="Y1196">
        <f>VLOOKUP(D1196,'[1]Cost Sheet'!$C:$D,2,0)</f>
        <v>42.21</v>
      </c>
      <c r="Z1196" s="3">
        <f t="shared" si="37"/>
        <v>42.21</v>
      </c>
    </row>
    <row r="1197" spans="1:26" x14ac:dyDescent="0.3">
      <c r="A1197" s="7" t="s">
        <v>21</v>
      </c>
      <c r="B1197" t="s">
        <v>543</v>
      </c>
      <c r="C1197" t="s">
        <v>544</v>
      </c>
      <c r="D1197" t="s">
        <v>1030</v>
      </c>
      <c r="E1197" t="s">
        <v>545</v>
      </c>
      <c r="F1197" t="s">
        <v>125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 t="s">
        <v>88</v>
      </c>
      <c r="W1197" s="2">
        <v>41.87</v>
      </c>
      <c r="X1197" s="3">
        <f t="shared" si="36"/>
        <v>41.87</v>
      </c>
      <c r="Y1197">
        <f>VLOOKUP(D1197,'[1]Cost Sheet'!$C:$D,2,0)</f>
        <v>42</v>
      </c>
      <c r="Z1197" s="3">
        <f t="shared" si="37"/>
        <v>42</v>
      </c>
    </row>
    <row r="1198" spans="1:26" x14ac:dyDescent="0.3">
      <c r="A1198" s="7" t="s">
        <v>21</v>
      </c>
      <c r="B1198" t="s">
        <v>543</v>
      </c>
      <c r="C1198" t="s">
        <v>544</v>
      </c>
      <c r="D1198" t="s">
        <v>1030</v>
      </c>
      <c r="E1198" t="s">
        <v>545</v>
      </c>
      <c r="F1198" t="s">
        <v>106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 t="s">
        <v>39</v>
      </c>
      <c r="W1198" s="2">
        <v>41.87</v>
      </c>
      <c r="X1198" s="3">
        <f t="shared" si="36"/>
        <v>41.87</v>
      </c>
      <c r="Y1198">
        <f>VLOOKUP(D1198,'[1]Cost Sheet'!$C:$D,2,0)</f>
        <v>42</v>
      </c>
      <c r="Z1198" s="3">
        <f t="shared" si="37"/>
        <v>42</v>
      </c>
    </row>
    <row r="1199" spans="1:26" x14ac:dyDescent="0.3">
      <c r="A1199" s="7" t="s">
        <v>21</v>
      </c>
      <c r="B1199" t="s">
        <v>543</v>
      </c>
      <c r="C1199" t="s">
        <v>544</v>
      </c>
      <c r="D1199" t="s">
        <v>1030</v>
      </c>
      <c r="E1199" t="s">
        <v>545</v>
      </c>
      <c r="F1199" t="s">
        <v>26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3</v>
      </c>
      <c r="T1199">
        <v>0</v>
      </c>
      <c r="U1199" t="s">
        <v>38</v>
      </c>
      <c r="W1199" s="2">
        <v>41.87</v>
      </c>
      <c r="X1199" s="3">
        <f t="shared" si="36"/>
        <v>125.60999999999999</v>
      </c>
      <c r="Y1199">
        <f>VLOOKUP(D1199,'[1]Cost Sheet'!$C:$D,2,0)</f>
        <v>42</v>
      </c>
      <c r="Z1199" s="3">
        <f t="shared" si="37"/>
        <v>126</v>
      </c>
    </row>
    <row r="1200" spans="1:26" x14ac:dyDescent="0.3">
      <c r="A1200" s="7" t="s">
        <v>21</v>
      </c>
      <c r="B1200" t="s">
        <v>543</v>
      </c>
      <c r="C1200" t="s">
        <v>544</v>
      </c>
      <c r="D1200" t="s">
        <v>1030</v>
      </c>
      <c r="E1200" t="s">
        <v>545</v>
      </c>
      <c r="F1200" t="s">
        <v>26</v>
      </c>
      <c r="G1200">
        <v>42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42</v>
      </c>
      <c r="T1200">
        <v>0</v>
      </c>
      <c r="U1200" t="s">
        <v>107</v>
      </c>
      <c r="W1200" s="2">
        <v>41.87</v>
      </c>
      <c r="X1200" s="3">
        <f t="shared" si="36"/>
        <v>1758.54</v>
      </c>
      <c r="Y1200">
        <f>VLOOKUP(D1200,'[1]Cost Sheet'!$C:$D,2,0)</f>
        <v>42</v>
      </c>
      <c r="Z1200" s="3">
        <f t="shared" si="37"/>
        <v>1764</v>
      </c>
    </row>
    <row r="1201" spans="1:26" x14ac:dyDescent="0.3">
      <c r="A1201" s="7" t="s">
        <v>21</v>
      </c>
      <c r="B1201" t="s">
        <v>543</v>
      </c>
      <c r="C1201" t="s">
        <v>544</v>
      </c>
      <c r="D1201" t="s">
        <v>1030</v>
      </c>
      <c r="E1201" t="s">
        <v>545</v>
      </c>
      <c r="F1201" t="s">
        <v>26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3</v>
      </c>
      <c r="T1201">
        <v>0</v>
      </c>
      <c r="U1201" t="s">
        <v>39</v>
      </c>
      <c r="W1201" s="2">
        <v>41.87</v>
      </c>
      <c r="X1201" s="3">
        <f t="shared" si="36"/>
        <v>125.60999999999999</v>
      </c>
      <c r="Y1201">
        <f>VLOOKUP(D1201,'[1]Cost Sheet'!$C:$D,2,0)</f>
        <v>42</v>
      </c>
      <c r="Z1201" s="3">
        <f t="shared" si="37"/>
        <v>126</v>
      </c>
    </row>
    <row r="1202" spans="1:26" x14ac:dyDescent="0.3">
      <c r="A1202" s="7" t="s">
        <v>21</v>
      </c>
      <c r="B1202" t="s">
        <v>543</v>
      </c>
      <c r="C1202" t="s">
        <v>544</v>
      </c>
      <c r="D1202" t="s">
        <v>1030</v>
      </c>
      <c r="E1202" t="s">
        <v>545</v>
      </c>
      <c r="F1202" t="s">
        <v>26</v>
      </c>
      <c r="G1202">
        <v>49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-1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48</v>
      </c>
      <c r="T1202">
        <v>0</v>
      </c>
      <c r="U1202" t="s">
        <v>53</v>
      </c>
      <c r="W1202" s="2">
        <v>41.87</v>
      </c>
      <c r="X1202" s="3">
        <f t="shared" si="36"/>
        <v>2009.7599999999998</v>
      </c>
      <c r="Y1202">
        <f>VLOOKUP(D1202,'[1]Cost Sheet'!$C:$D,2,0)</f>
        <v>42</v>
      </c>
      <c r="Z1202" s="3">
        <f t="shared" si="37"/>
        <v>2016</v>
      </c>
    </row>
    <row r="1203" spans="1:26" x14ac:dyDescent="0.3">
      <c r="A1203" s="7" t="s">
        <v>21</v>
      </c>
      <c r="B1203" t="s">
        <v>543</v>
      </c>
      <c r="C1203" t="s">
        <v>544</v>
      </c>
      <c r="D1203" t="s">
        <v>1030</v>
      </c>
      <c r="E1203" t="s">
        <v>545</v>
      </c>
      <c r="F1203" t="s">
        <v>26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2</v>
      </c>
      <c r="T1203">
        <v>0</v>
      </c>
      <c r="U1203" t="s">
        <v>33</v>
      </c>
      <c r="W1203" s="2">
        <v>41.87</v>
      </c>
      <c r="X1203" s="3">
        <f t="shared" si="36"/>
        <v>83.74</v>
      </c>
      <c r="Y1203">
        <f>VLOOKUP(D1203,'[1]Cost Sheet'!$C:$D,2,0)</f>
        <v>42</v>
      </c>
      <c r="Z1203" s="3">
        <f t="shared" si="37"/>
        <v>84</v>
      </c>
    </row>
    <row r="1204" spans="1:26" x14ac:dyDescent="0.3">
      <c r="A1204" s="7" t="s">
        <v>21</v>
      </c>
      <c r="B1204" t="s">
        <v>543</v>
      </c>
      <c r="C1204" t="s">
        <v>544</v>
      </c>
      <c r="D1204" t="s">
        <v>1030</v>
      </c>
      <c r="E1204" t="s">
        <v>545</v>
      </c>
      <c r="F1204" t="s">
        <v>26</v>
      </c>
      <c r="G1204">
        <v>37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37</v>
      </c>
      <c r="T1204">
        <v>0</v>
      </c>
      <c r="U1204" t="s">
        <v>46</v>
      </c>
      <c r="W1204" s="2">
        <v>41.87</v>
      </c>
      <c r="X1204" s="3">
        <f t="shared" si="36"/>
        <v>1549.1899999999998</v>
      </c>
      <c r="Y1204">
        <f>VLOOKUP(D1204,'[1]Cost Sheet'!$C:$D,2,0)</f>
        <v>42</v>
      </c>
      <c r="Z1204" s="3">
        <f t="shared" si="37"/>
        <v>1554</v>
      </c>
    </row>
    <row r="1205" spans="1:26" x14ac:dyDescent="0.3">
      <c r="A1205" s="7" t="s">
        <v>21</v>
      </c>
      <c r="B1205" t="s">
        <v>543</v>
      </c>
      <c r="C1205" t="s">
        <v>544</v>
      </c>
      <c r="D1205" t="s">
        <v>1030</v>
      </c>
      <c r="E1205" t="s">
        <v>545</v>
      </c>
      <c r="F1205" t="s">
        <v>26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3</v>
      </c>
      <c r="T1205">
        <v>0</v>
      </c>
      <c r="U1205" t="s">
        <v>111</v>
      </c>
      <c r="W1205" s="2">
        <v>41.87</v>
      </c>
      <c r="X1205" s="3">
        <f t="shared" si="36"/>
        <v>125.60999999999999</v>
      </c>
      <c r="Y1205">
        <f>VLOOKUP(D1205,'[1]Cost Sheet'!$C:$D,2,0)</f>
        <v>42</v>
      </c>
      <c r="Z1205" s="3">
        <f t="shared" si="37"/>
        <v>126</v>
      </c>
    </row>
    <row r="1206" spans="1:26" x14ac:dyDescent="0.3">
      <c r="A1206" s="7" t="s">
        <v>21</v>
      </c>
      <c r="B1206" t="s">
        <v>543</v>
      </c>
      <c r="C1206" t="s">
        <v>544</v>
      </c>
      <c r="D1206" t="s">
        <v>1030</v>
      </c>
      <c r="E1206" t="s">
        <v>545</v>
      </c>
      <c r="F1206" t="s">
        <v>26</v>
      </c>
      <c r="G1206">
        <v>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4</v>
      </c>
      <c r="T1206">
        <v>0</v>
      </c>
      <c r="U1206" t="s">
        <v>40</v>
      </c>
      <c r="W1206" s="2">
        <v>41.87</v>
      </c>
      <c r="X1206" s="3">
        <f t="shared" si="36"/>
        <v>167.48</v>
      </c>
      <c r="Y1206">
        <f>VLOOKUP(D1206,'[1]Cost Sheet'!$C:$D,2,0)</f>
        <v>42</v>
      </c>
      <c r="Z1206" s="3">
        <f t="shared" si="37"/>
        <v>168</v>
      </c>
    </row>
    <row r="1207" spans="1:26" x14ac:dyDescent="0.3">
      <c r="A1207" s="7" t="s">
        <v>21</v>
      </c>
      <c r="B1207" t="s">
        <v>543</v>
      </c>
      <c r="C1207" t="s">
        <v>544</v>
      </c>
      <c r="D1207" t="s">
        <v>1030</v>
      </c>
      <c r="E1207" t="s">
        <v>545</v>
      </c>
      <c r="F1207" t="s">
        <v>26</v>
      </c>
      <c r="G1207">
        <v>101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-1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100</v>
      </c>
      <c r="T1207">
        <v>0</v>
      </c>
      <c r="U1207" t="s">
        <v>48</v>
      </c>
      <c r="W1207" s="2">
        <v>41.87</v>
      </c>
      <c r="X1207" s="3">
        <f t="shared" si="36"/>
        <v>4187</v>
      </c>
      <c r="Y1207">
        <f>VLOOKUP(D1207,'[1]Cost Sheet'!$C:$D,2,0)</f>
        <v>42</v>
      </c>
      <c r="Z1207" s="3">
        <f t="shared" si="37"/>
        <v>4200</v>
      </c>
    </row>
    <row r="1208" spans="1:26" x14ac:dyDescent="0.3">
      <c r="A1208" s="7" t="s">
        <v>21</v>
      </c>
      <c r="B1208" t="s">
        <v>543</v>
      </c>
      <c r="C1208" t="s">
        <v>544</v>
      </c>
      <c r="D1208" t="s">
        <v>1030</v>
      </c>
      <c r="E1208" t="s">
        <v>545</v>
      </c>
      <c r="F1208" t="s">
        <v>26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 t="s">
        <v>27</v>
      </c>
      <c r="W1208" s="2">
        <v>41.87</v>
      </c>
      <c r="X1208" s="3">
        <f t="shared" si="36"/>
        <v>41.87</v>
      </c>
      <c r="Y1208">
        <f>VLOOKUP(D1208,'[1]Cost Sheet'!$C:$D,2,0)</f>
        <v>42</v>
      </c>
      <c r="Z1208" s="3">
        <f t="shared" si="37"/>
        <v>42</v>
      </c>
    </row>
    <row r="1209" spans="1:26" x14ac:dyDescent="0.3">
      <c r="A1209" s="7" t="s">
        <v>21</v>
      </c>
      <c r="B1209" t="s">
        <v>543</v>
      </c>
      <c r="C1209" t="s">
        <v>544</v>
      </c>
      <c r="D1209" t="s">
        <v>1030</v>
      </c>
      <c r="E1209" t="s">
        <v>545</v>
      </c>
      <c r="F1209" t="s">
        <v>114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 t="s">
        <v>27</v>
      </c>
      <c r="W1209" s="2">
        <v>41.87</v>
      </c>
      <c r="X1209" s="3">
        <f t="shared" si="36"/>
        <v>41.87</v>
      </c>
      <c r="Y1209">
        <f>VLOOKUP(D1209,'[1]Cost Sheet'!$C:$D,2,0)</f>
        <v>42</v>
      </c>
      <c r="Z1209" s="3">
        <f t="shared" si="37"/>
        <v>42</v>
      </c>
    </row>
    <row r="1210" spans="1:26" x14ac:dyDescent="0.3">
      <c r="A1210" s="7" t="s">
        <v>21</v>
      </c>
      <c r="B1210" t="s">
        <v>546</v>
      </c>
      <c r="C1210" t="s">
        <v>547</v>
      </c>
      <c r="D1210" t="s">
        <v>1031</v>
      </c>
      <c r="E1210" t="s">
        <v>548</v>
      </c>
      <c r="F1210" t="s">
        <v>26</v>
      </c>
      <c r="G1210">
        <v>25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-1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24</v>
      </c>
      <c r="T1210">
        <v>0</v>
      </c>
      <c r="U1210" t="s">
        <v>38</v>
      </c>
      <c r="W1210" s="2">
        <v>40.090000000000003</v>
      </c>
      <c r="X1210" s="3">
        <f t="shared" si="36"/>
        <v>962.16000000000008</v>
      </c>
      <c r="Y1210">
        <f>VLOOKUP(D1210,'[1]Cost Sheet'!$C:$D,2,0)</f>
        <v>40.090000000000003</v>
      </c>
      <c r="Z1210" s="3">
        <f t="shared" si="37"/>
        <v>962.16000000000008</v>
      </c>
    </row>
    <row r="1211" spans="1:26" x14ac:dyDescent="0.3">
      <c r="A1211" s="7" t="s">
        <v>21</v>
      </c>
      <c r="B1211" t="s">
        <v>546</v>
      </c>
      <c r="C1211" t="s">
        <v>547</v>
      </c>
      <c r="D1211" t="s">
        <v>1031</v>
      </c>
      <c r="E1211" t="s">
        <v>548</v>
      </c>
      <c r="F1211" t="s">
        <v>26</v>
      </c>
      <c r="G1211">
        <v>19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19</v>
      </c>
      <c r="T1211">
        <v>0</v>
      </c>
      <c r="U1211" t="s">
        <v>107</v>
      </c>
      <c r="W1211" s="2">
        <v>40.090000000000003</v>
      </c>
      <c r="X1211" s="3">
        <f t="shared" si="36"/>
        <v>761.71</v>
      </c>
      <c r="Y1211">
        <f>VLOOKUP(D1211,'[1]Cost Sheet'!$C:$D,2,0)</f>
        <v>40.090000000000003</v>
      </c>
      <c r="Z1211" s="3">
        <f t="shared" si="37"/>
        <v>761.71</v>
      </c>
    </row>
    <row r="1212" spans="1:26" x14ac:dyDescent="0.3">
      <c r="A1212" s="7" t="s">
        <v>21</v>
      </c>
      <c r="B1212" t="s">
        <v>546</v>
      </c>
      <c r="C1212" t="s">
        <v>547</v>
      </c>
      <c r="D1212" t="s">
        <v>1031</v>
      </c>
      <c r="E1212" t="s">
        <v>548</v>
      </c>
      <c r="F1212" t="s">
        <v>26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3</v>
      </c>
      <c r="T1212">
        <v>0</v>
      </c>
      <c r="U1212" t="s">
        <v>45</v>
      </c>
      <c r="W1212" s="2">
        <v>40.090000000000003</v>
      </c>
      <c r="X1212" s="3">
        <f t="shared" si="36"/>
        <v>120.27000000000001</v>
      </c>
      <c r="Y1212">
        <f>VLOOKUP(D1212,'[1]Cost Sheet'!$C:$D,2,0)</f>
        <v>40.090000000000003</v>
      </c>
      <c r="Z1212" s="3">
        <f t="shared" si="37"/>
        <v>120.27000000000001</v>
      </c>
    </row>
    <row r="1213" spans="1:26" x14ac:dyDescent="0.3">
      <c r="A1213" s="7" t="s">
        <v>21</v>
      </c>
      <c r="B1213" t="s">
        <v>546</v>
      </c>
      <c r="C1213" t="s">
        <v>547</v>
      </c>
      <c r="D1213" t="s">
        <v>1031</v>
      </c>
      <c r="E1213" t="s">
        <v>548</v>
      </c>
      <c r="F1213" t="s">
        <v>26</v>
      </c>
      <c r="G1213">
        <v>14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14</v>
      </c>
      <c r="T1213">
        <v>0</v>
      </c>
      <c r="U1213" t="s">
        <v>39</v>
      </c>
      <c r="W1213" s="2">
        <v>40.090000000000003</v>
      </c>
      <c r="X1213" s="3">
        <f t="shared" si="36"/>
        <v>561.26</v>
      </c>
      <c r="Y1213">
        <f>VLOOKUP(D1213,'[1]Cost Sheet'!$C:$D,2,0)</f>
        <v>40.090000000000003</v>
      </c>
      <c r="Z1213" s="3">
        <f t="shared" si="37"/>
        <v>561.26</v>
      </c>
    </row>
    <row r="1214" spans="1:26" x14ac:dyDescent="0.3">
      <c r="A1214" s="7" t="s">
        <v>21</v>
      </c>
      <c r="B1214" t="s">
        <v>546</v>
      </c>
      <c r="C1214" t="s">
        <v>547</v>
      </c>
      <c r="D1214" t="s">
        <v>1031</v>
      </c>
      <c r="E1214" t="s">
        <v>548</v>
      </c>
      <c r="F1214" t="s">
        <v>26</v>
      </c>
      <c r="G1214">
        <v>17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17</v>
      </c>
      <c r="T1214">
        <v>0</v>
      </c>
      <c r="U1214" t="s">
        <v>33</v>
      </c>
      <c r="W1214" s="2">
        <v>40.090000000000003</v>
      </c>
      <c r="X1214" s="3">
        <f t="shared" si="36"/>
        <v>681.53000000000009</v>
      </c>
      <c r="Y1214">
        <f>VLOOKUP(D1214,'[1]Cost Sheet'!$C:$D,2,0)</f>
        <v>40.090000000000003</v>
      </c>
      <c r="Z1214" s="3">
        <f t="shared" si="37"/>
        <v>681.53000000000009</v>
      </c>
    </row>
    <row r="1215" spans="1:26" x14ac:dyDescent="0.3">
      <c r="A1215" s="7" t="s">
        <v>21</v>
      </c>
      <c r="B1215" t="s">
        <v>546</v>
      </c>
      <c r="C1215" t="s">
        <v>547</v>
      </c>
      <c r="D1215" t="s">
        <v>1031</v>
      </c>
      <c r="E1215" t="s">
        <v>548</v>
      </c>
      <c r="F1215" t="s">
        <v>26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 t="s">
        <v>46</v>
      </c>
      <c r="W1215" s="2">
        <v>40.090000000000003</v>
      </c>
      <c r="X1215" s="3">
        <f t="shared" si="36"/>
        <v>40.090000000000003</v>
      </c>
      <c r="Y1215">
        <f>VLOOKUP(D1215,'[1]Cost Sheet'!$C:$D,2,0)</f>
        <v>40.090000000000003</v>
      </c>
      <c r="Z1215" s="3">
        <f t="shared" si="37"/>
        <v>40.090000000000003</v>
      </c>
    </row>
    <row r="1216" spans="1:26" x14ac:dyDescent="0.3">
      <c r="A1216" s="7" t="s">
        <v>21</v>
      </c>
      <c r="B1216" t="s">
        <v>546</v>
      </c>
      <c r="C1216" t="s">
        <v>547</v>
      </c>
      <c r="D1216" t="s">
        <v>1031</v>
      </c>
      <c r="E1216" t="s">
        <v>548</v>
      </c>
      <c r="F1216" t="s">
        <v>26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2</v>
      </c>
      <c r="T1216">
        <v>0</v>
      </c>
      <c r="U1216" t="s">
        <v>47</v>
      </c>
      <c r="W1216" s="2">
        <v>40.090000000000003</v>
      </c>
      <c r="X1216" s="3">
        <f t="shared" si="36"/>
        <v>80.180000000000007</v>
      </c>
      <c r="Y1216">
        <f>VLOOKUP(D1216,'[1]Cost Sheet'!$C:$D,2,0)</f>
        <v>40.090000000000003</v>
      </c>
      <c r="Z1216" s="3">
        <f t="shared" si="37"/>
        <v>80.180000000000007</v>
      </c>
    </row>
    <row r="1217" spans="1:26" x14ac:dyDescent="0.3">
      <c r="A1217" s="7" t="s">
        <v>21</v>
      </c>
      <c r="B1217" t="s">
        <v>546</v>
      </c>
      <c r="C1217" t="s">
        <v>547</v>
      </c>
      <c r="D1217" t="s">
        <v>1031</v>
      </c>
      <c r="E1217" t="s">
        <v>548</v>
      </c>
      <c r="F1217" t="s">
        <v>26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2</v>
      </c>
      <c r="T1217">
        <v>0</v>
      </c>
      <c r="U1217" t="s">
        <v>40</v>
      </c>
      <c r="W1217" s="2">
        <v>40.090000000000003</v>
      </c>
      <c r="X1217" s="3">
        <f t="shared" si="36"/>
        <v>80.180000000000007</v>
      </c>
      <c r="Y1217">
        <f>VLOOKUP(D1217,'[1]Cost Sheet'!$C:$D,2,0)</f>
        <v>40.090000000000003</v>
      </c>
      <c r="Z1217" s="3">
        <f t="shared" si="37"/>
        <v>80.180000000000007</v>
      </c>
    </row>
    <row r="1218" spans="1:26" x14ac:dyDescent="0.3">
      <c r="A1218" s="7" t="s">
        <v>21</v>
      </c>
      <c r="B1218" t="s">
        <v>546</v>
      </c>
      <c r="C1218" t="s">
        <v>547</v>
      </c>
      <c r="D1218" t="s">
        <v>1031</v>
      </c>
      <c r="E1218" t="s">
        <v>548</v>
      </c>
      <c r="F1218" t="s">
        <v>26</v>
      </c>
      <c r="G1218">
        <v>15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15</v>
      </c>
      <c r="T1218">
        <v>0</v>
      </c>
      <c r="U1218" t="s">
        <v>113</v>
      </c>
      <c r="W1218" s="2">
        <v>40.090000000000003</v>
      </c>
      <c r="X1218" s="3">
        <f t="shared" si="36"/>
        <v>601.35</v>
      </c>
      <c r="Y1218">
        <f>VLOOKUP(D1218,'[1]Cost Sheet'!$C:$D,2,0)</f>
        <v>40.090000000000003</v>
      </c>
      <c r="Z1218" s="3">
        <f t="shared" si="37"/>
        <v>601.35</v>
      </c>
    </row>
    <row r="1219" spans="1:26" x14ac:dyDescent="0.3">
      <c r="A1219" s="7" t="s">
        <v>21</v>
      </c>
      <c r="B1219" t="s">
        <v>546</v>
      </c>
      <c r="C1219" t="s">
        <v>547</v>
      </c>
      <c r="D1219" t="s">
        <v>1031</v>
      </c>
      <c r="E1219" t="s">
        <v>548</v>
      </c>
      <c r="F1219" t="s">
        <v>26</v>
      </c>
      <c r="G1219">
        <v>5</v>
      </c>
      <c r="H1219">
        <v>0</v>
      </c>
      <c r="I1219">
        <v>0</v>
      </c>
      <c r="J1219">
        <v>-1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4</v>
      </c>
      <c r="T1219">
        <v>0</v>
      </c>
      <c r="U1219" t="s">
        <v>59</v>
      </c>
      <c r="W1219" s="2">
        <v>40.090000000000003</v>
      </c>
      <c r="X1219" s="3">
        <f t="shared" ref="X1219:X1282" si="38">S1219*W1219</f>
        <v>160.36000000000001</v>
      </c>
      <c r="Y1219">
        <f>VLOOKUP(D1219,'[1]Cost Sheet'!$C:$D,2,0)</f>
        <v>40.090000000000003</v>
      </c>
      <c r="Z1219" s="3">
        <f t="shared" ref="Z1219:Z1282" si="39">Y1219*S1219</f>
        <v>160.36000000000001</v>
      </c>
    </row>
    <row r="1220" spans="1:26" x14ac:dyDescent="0.3">
      <c r="A1220" s="7" t="s">
        <v>21</v>
      </c>
      <c r="B1220" t="s">
        <v>546</v>
      </c>
      <c r="C1220" t="s">
        <v>547</v>
      </c>
      <c r="D1220" t="s">
        <v>1031</v>
      </c>
      <c r="E1220" t="s">
        <v>548</v>
      </c>
      <c r="F1220" t="s">
        <v>26</v>
      </c>
      <c r="G1220">
        <v>1</v>
      </c>
      <c r="H1220">
        <v>0</v>
      </c>
      <c r="I1220">
        <v>-1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s">
        <v>27</v>
      </c>
      <c r="W1220" s="2">
        <v>40.090000000000003</v>
      </c>
      <c r="X1220" s="3">
        <f t="shared" si="38"/>
        <v>0</v>
      </c>
      <c r="Y1220">
        <f>VLOOKUP(D1220,'[1]Cost Sheet'!$C:$D,2,0)</f>
        <v>40.090000000000003</v>
      </c>
      <c r="Z1220" s="3">
        <f t="shared" si="39"/>
        <v>0</v>
      </c>
    </row>
    <row r="1221" spans="1:26" x14ac:dyDescent="0.3">
      <c r="A1221" s="7" t="s">
        <v>21</v>
      </c>
      <c r="B1221" t="s">
        <v>549</v>
      </c>
      <c r="C1221" t="s">
        <v>550</v>
      </c>
      <c r="D1221" t="s">
        <v>1032</v>
      </c>
      <c r="E1221" t="s">
        <v>551</v>
      </c>
      <c r="F1221" t="s">
        <v>125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3</v>
      </c>
      <c r="T1221">
        <v>0</v>
      </c>
      <c r="U1221" t="s">
        <v>54</v>
      </c>
      <c r="W1221" s="2">
        <v>41.09</v>
      </c>
      <c r="X1221" s="3">
        <f t="shared" si="38"/>
        <v>123.27000000000001</v>
      </c>
      <c r="Y1221">
        <f>VLOOKUP(D1221,'[1]Cost Sheet'!$C:$D,2,0)</f>
        <v>41.09</v>
      </c>
      <c r="Z1221" s="3">
        <f t="shared" si="39"/>
        <v>123.27000000000001</v>
      </c>
    </row>
    <row r="1222" spans="1:26" x14ac:dyDescent="0.3">
      <c r="A1222" s="7" t="s">
        <v>21</v>
      </c>
      <c r="B1222" t="s">
        <v>549</v>
      </c>
      <c r="C1222" t="s">
        <v>550</v>
      </c>
      <c r="D1222" t="s">
        <v>1032</v>
      </c>
      <c r="E1222" t="s">
        <v>551</v>
      </c>
      <c r="F1222" t="s">
        <v>26</v>
      </c>
      <c r="G1222">
        <v>74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74</v>
      </c>
      <c r="T1222">
        <v>0</v>
      </c>
      <c r="U1222" t="s">
        <v>45</v>
      </c>
      <c r="W1222" s="2">
        <v>41.09</v>
      </c>
      <c r="X1222" s="3">
        <f t="shared" si="38"/>
        <v>3040.6600000000003</v>
      </c>
      <c r="Y1222">
        <f>VLOOKUP(D1222,'[1]Cost Sheet'!$C:$D,2,0)</f>
        <v>41.09</v>
      </c>
      <c r="Z1222" s="3">
        <f t="shared" si="39"/>
        <v>3040.6600000000003</v>
      </c>
    </row>
    <row r="1223" spans="1:26" x14ac:dyDescent="0.3">
      <c r="A1223" s="7" t="s">
        <v>21</v>
      </c>
      <c r="B1223" t="s">
        <v>549</v>
      </c>
      <c r="C1223" t="s">
        <v>550</v>
      </c>
      <c r="D1223" t="s">
        <v>1032</v>
      </c>
      <c r="E1223" t="s">
        <v>551</v>
      </c>
      <c r="F1223" t="s">
        <v>26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2</v>
      </c>
      <c r="T1223">
        <v>0</v>
      </c>
      <c r="U1223" t="s">
        <v>39</v>
      </c>
      <c r="W1223" s="2">
        <v>41.09</v>
      </c>
      <c r="X1223" s="3">
        <f t="shared" si="38"/>
        <v>82.18</v>
      </c>
      <c r="Y1223">
        <f>VLOOKUP(D1223,'[1]Cost Sheet'!$C:$D,2,0)</f>
        <v>41.09</v>
      </c>
      <c r="Z1223" s="3">
        <f t="shared" si="39"/>
        <v>82.18</v>
      </c>
    </row>
    <row r="1224" spans="1:26" x14ac:dyDescent="0.3">
      <c r="A1224" s="7" t="s">
        <v>21</v>
      </c>
      <c r="B1224" t="s">
        <v>549</v>
      </c>
      <c r="C1224" t="s">
        <v>550</v>
      </c>
      <c r="D1224" t="s">
        <v>1032</v>
      </c>
      <c r="E1224" t="s">
        <v>551</v>
      </c>
      <c r="F1224" t="s">
        <v>26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 t="s">
        <v>53</v>
      </c>
      <c r="W1224" s="2">
        <v>41.09</v>
      </c>
      <c r="X1224" s="3">
        <f t="shared" si="38"/>
        <v>41.09</v>
      </c>
      <c r="Y1224">
        <f>VLOOKUP(D1224,'[1]Cost Sheet'!$C:$D,2,0)</f>
        <v>41.09</v>
      </c>
      <c r="Z1224" s="3">
        <f t="shared" si="39"/>
        <v>41.09</v>
      </c>
    </row>
    <row r="1225" spans="1:26" x14ac:dyDescent="0.3">
      <c r="A1225" s="7" t="s">
        <v>21</v>
      </c>
      <c r="B1225" t="s">
        <v>549</v>
      </c>
      <c r="C1225" t="s">
        <v>550</v>
      </c>
      <c r="D1225" t="s">
        <v>1032</v>
      </c>
      <c r="E1225" t="s">
        <v>551</v>
      </c>
      <c r="F1225" t="s">
        <v>26</v>
      </c>
      <c r="G1225">
        <v>65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65</v>
      </c>
      <c r="T1225">
        <v>0</v>
      </c>
      <c r="U1225" t="s">
        <v>54</v>
      </c>
      <c r="W1225" s="2">
        <v>41.09</v>
      </c>
      <c r="X1225" s="3">
        <f t="shared" si="38"/>
        <v>2670.8500000000004</v>
      </c>
      <c r="Y1225">
        <f>VLOOKUP(D1225,'[1]Cost Sheet'!$C:$D,2,0)</f>
        <v>41.09</v>
      </c>
      <c r="Z1225" s="3">
        <f t="shared" si="39"/>
        <v>2670.8500000000004</v>
      </c>
    </row>
    <row r="1226" spans="1:26" x14ac:dyDescent="0.3">
      <c r="A1226" s="7" t="s">
        <v>21</v>
      </c>
      <c r="B1226" t="s">
        <v>549</v>
      </c>
      <c r="C1226" t="s">
        <v>550</v>
      </c>
      <c r="D1226" t="s">
        <v>1032</v>
      </c>
      <c r="E1226" t="s">
        <v>551</v>
      </c>
      <c r="F1226" t="s">
        <v>26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 t="s">
        <v>33</v>
      </c>
      <c r="W1226" s="2">
        <v>41.09</v>
      </c>
      <c r="X1226" s="3">
        <f t="shared" si="38"/>
        <v>41.09</v>
      </c>
      <c r="Y1226">
        <f>VLOOKUP(D1226,'[1]Cost Sheet'!$C:$D,2,0)</f>
        <v>41.09</v>
      </c>
      <c r="Z1226" s="3">
        <f t="shared" si="39"/>
        <v>41.09</v>
      </c>
    </row>
    <row r="1227" spans="1:26" x14ac:dyDescent="0.3">
      <c r="A1227" s="7" t="s">
        <v>21</v>
      </c>
      <c r="B1227" t="s">
        <v>549</v>
      </c>
      <c r="C1227" t="s">
        <v>550</v>
      </c>
      <c r="D1227" t="s">
        <v>1032</v>
      </c>
      <c r="E1227" t="s">
        <v>551</v>
      </c>
      <c r="F1227" t="s">
        <v>26</v>
      </c>
      <c r="G1227">
        <v>10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10</v>
      </c>
      <c r="T1227">
        <v>0</v>
      </c>
      <c r="U1227" t="s">
        <v>46</v>
      </c>
      <c r="W1227" s="2">
        <v>41.09</v>
      </c>
      <c r="X1227" s="3">
        <f t="shared" si="38"/>
        <v>410.90000000000003</v>
      </c>
      <c r="Y1227">
        <f>VLOOKUP(D1227,'[1]Cost Sheet'!$C:$D,2,0)</f>
        <v>41.09</v>
      </c>
      <c r="Z1227" s="3">
        <f t="shared" si="39"/>
        <v>410.90000000000003</v>
      </c>
    </row>
    <row r="1228" spans="1:26" x14ac:dyDescent="0.3">
      <c r="A1228" s="7" t="s">
        <v>21</v>
      </c>
      <c r="B1228" t="s">
        <v>549</v>
      </c>
      <c r="C1228" t="s">
        <v>550</v>
      </c>
      <c r="D1228" t="s">
        <v>1032</v>
      </c>
      <c r="E1228" t="s">
        <v>551</v>
      </c>
      <c r="F1228" t="s">
        <v>26</v>
      </c>
      <c r="G1228">
        <v>17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17</v>
      </c>
      <c r="T1228">
        <v>0</v>
      </c>
      <c r="U1228" t="s">
        <v>40</v>
      </c>
      <c r="W1228" s="2">
        <v>41.09</v>
      </c>
      <c r="X1228" s="3">
        <f t="shared" si="38"/>
        <v>698.53000000000009</v>
      </c>
      <c r="Y1228">
        <f>VLOOKUP(D1228,'[1]Cost Sheet'!$C:$D,2,0)</f>
        <v>41.09</v>
      </c>
      <c r="Z1228" s="3">
        <f t="shared" si="39"/>
        <v>698.53000000000009</v>
      </c>
    </row>
    <row r="1229" spans="1:26" x14ac:dyDescent="0.3">
      <c r="A1229" s="7" t="s">
        <v>21</v>
      </c>
      <c r="B1229" t="s">
        <v>549</v>
      </c>
      <c r="C1229" t="s">
        <v>550</v>
      </c>
      <c r="D1229" t="s">
        <v>1032</v>
      </c>
      <c r="E1229" t="s">
        <v>551</v>
      </c>
      <c r="F1229" t="s">
        <v>26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2</v>
      </c>
      <c r="T1229">
        <v>0</v>
      </c>
      <c r="U1229" t="s">
        <v>48</v>
      </c>
      <c r="W1229" s="2">
        <v>41.09</v>
      </c>
      <c r="X1229" s="3">
        <f t="shared" si="38"/>
        <v>82.18</v>
      </c>
      <c r="Y1229">
        <f>VLOOKUP(D1229,'[1]Cost Sheet'!$C:$D,2,0)</f>
        <v>41.09</v>
      </c>
      <c r="Z1229" s="3">
        <f t="shared" si="39"/>
        <v>82.18</v>
      </c>
    </row>
    <row r="1230" spans="1:26" x14ac:dyDescent="0.3">
      <c r="A1230" s="7" t="s">
        <v>21</v>
      </c>
      <c r="B1230" t="s">
        <v>549</v>
      </c>
      <c r="C1230" t="s">
        <v>550</v>
      </c>
      <c r="D1230" t="s">
        <v>1032</v>
      </c>
      <c r="E1230" t="s">
        <v>551</v>
      </c>
      <c r="F1230" t="s">
        <v>26</v>
      </c>
      <c r="G1230">
        <v>99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99</v>
      </c>
      <c r="T1230">
        <v>0</v>
      </c>
      <c r="U1230" t="s">
        <v>59</v>
      </c>
      <c r="W1230" s="2">
        <v>41.09</v>
      </c>
      <c r="X1230" s="3">
        <f t="shared" si="38"/>
        <v>4067.9100000000003</v>
      </c>
      <c r="Y1230">
        <f>VLOOKUP(D1230,'[1]Cost Sheet'!$C:$D,2,0)</f>
        <v>41.09</v>
      </c>
      <c r="Z1230" s="3">
        <f t="shared" si="39"/>
        <v>4067.9100000000003</v>
      </c>
    </row>
    <row r="1231" spans="1:26" x14ac:dyDescent="0.3">
      <c r="A1231" s="7" t="s">
        <v>21</v>
      </c>
      <c r="B1231" t="s">
        <v>552</v>
      </c>
      <c r="C1231" t="s">
        <v>553</v>
      </c>
      <c r="D1231" t="s">
        <v>1033</v>
      </c>
      <c r="E1231" t="s">
        <v>554</v>
      </c>
      <c r="F1231" t="s">
        <v>125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 t="s">
        <v>107</v>
      </c>
      <c r="W1231" s="2">
        <v>53.202222222222218</v>
      </c>
      <c r="X1231" s="3">
        <f t="shared" si="38"/>
        <v>53.202222222222218</v>
      </c>
      <c r="Y1231">
        <f>VLOOKUP(D1231,'[1]Cost Sheet'!$C:$D,2,0)</f>
        <v>52.94</v>
      </c>
      <c r="Z1231" s="3">
        <f t="shared" si="39"/>
        <v>52.94</v>
      </c>
    </row>
    <row r="1232" spans="1:26" x14ac:dyDescent="0.3">
      <c r="A1232" s="7" t="s">
        <v>21</v>
      </c>
      <c r="B1232" t="s">
        <v>552</v>
      </c>
      <c r="C1232" t="s">
        <v>553</v>
      </c>
      <c r="D1232" t="s">
        <v>1033</v>
      </c>
      <c r="E1232" t="s">
        <v>554</v>
      </c>
      <c r="F1232" t="s">
        <v>93</v>
      </c>
      <c r="G1232">
        <v>21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21</v>
      </c>
      <c r="T1232">
        <v>0</v>
      </c>
      <c r="U1232" t="s">
        <v>59</v>
      </c>
      <c r="W1232" s="2">
        <v>53.202222222222218</v>
      </c>
      <c r="X1232" s="3">
        <f t="shared" si="38"/>
        <v>1117.2466666666667</v>
      </c>
      <c r="Y1232">
        <f>VLOOKUP(D1232,'[1]Cost Sheet'!$C:$D,2,0)</f>
        <v>52.94</v>
      </c>
      <c r="Z1232" s="3">
        <f t="shared" si="39"/>
        <v>1111.74</v>
      </c>
    </row>
    <row r="1233" spans="1:26" x14ac:dyDescent="0.3">
      <c r="A1233" s="7" t="s">
        <v>21</v>
      </c>
      <c r="B1233" t="s">
        <v>552</v>
      </c>
      <c r="C1233" t="s">
        <v>553</v>
      </c>
      <c r="D1233" t="s">
        <v>1033</v>
      </c>
      <c r="E1233" t="s">
        <v>554</v>
      </c>
      <c r="F1233" t="s">
        <v>26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 t="s">
        <v>32</v>
      </c>
      <c r="W1233" s="2">
        <v>53.202222222222218</v>
      </c>
      <c r="X1233" s="3">
        <f t="shared" si="38"/>
        <v>53.202222222222218</v>
      </c>
      <c r="Y1233">
        <f>VLOOKUP(D1233,'[1]Cost Sheet'!$C:$D,2,0)</f>
        <v>52.94</v>
      </c>
      <c r="Z1233" s="3">
        <f t="shared" si="39"/>
        <v>52.94</v>
      </c>
    </row>
    <row r="1234" spans="1:26" x14ac:dyDescent="0.3">
      <c r="A1234" s="7" t="s">
        <v>21</v>
      </c>
      <c r="B1234" t="s">
        <v>552</v>
      </c>
      <c r="C1234" t="s">
        <v>553</v>
      </c>
      <c r="D1234" t="s">
        <v>1033</v>
      </c>
      <c r="E1234" t="s">
        <v>554</v>
      </c>
      <c r="F1234" t="s">
        <v>26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-1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46</v>
      </c>
      <c r="W1234" s="2">
        <v>53.202222222222218</v>
      </c>
      <c r="X1234" s="3">
        <f t="shared" si="38"/>
        <v>0</v>
      </c>
      <c r="Y1234">
        <f>VLOOKUP(D1234,'[1]Cost Sheet'!$C:$D,2,0)</f>
        <v>52.94</v>
      </c>
      <c r="Z1234" s="3">
        <f t="shared" si="39"/>
        <v>0</v>
      </c>
    </row>
    <row r="1235" spans="1:26" x14ac:dyDescent="0.3">
      <c r="A1235" s="7" t="s">
        <v>21</v>
      </c>
      <c r="B1235" t="s">
        <v>555</v>
      </c>
      <c r="C1235" t="s">
        <v>556</v>
      </c>
      <c r="D1235" t="s">
        <v>1034</v>
      </c>
      <c r="E1235" t="s">
        <v>557</v>
      </c>
      <c r="F1235" t="s">
        <v>106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  <c r="T1235">
        <v>0</v>
      </c>
      <c r="U1235" t="s">
        <v>38</v>
      </c>
      <c r="W1235" s="2">
        <v>35.085999999999999</v>
      </c>
      <c r="X1235" s="3">
        <f t="shared" si="38"/>
        <v>105.258</v>
      </c>
      <c r="Y1235">
        <f>VLOOKUP(D1235,'[1]Cost Sheet'!$C:$D,2,0)</f>
        <v>35.64</v>
      </c>
      <c r="Z1235" s="3">
        <f t="shared" si="39"/>
        <v>106.92</v>
      </c>
    </row>
    <row r="1236" spans="1:26" x14ac:dyDescent="0.3">
      <c r="A1236" s="7" t="s">
        <v>21</v>
      </c>
      <c r="B1236" t="s">
        <v>555</v>
      </c>
      <c r="C1236" t="s">
        <v>556</v>
      </c>
      <c r="D1236" t="s">
        <v>1034</v>
      </c>
      <c r="E1236" t="s">
        <v>557</v>
      </c>
      <c r="F1236" t="s">
        <v>106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 t="s">
        <v>45</v>
      </c>
      <c r="W1236" s="2">
        <v>35.085999999999999</v>
      </c>
      <c r="X1236" s="3">
        <f t="shared" si="38"/>
        <v>35.085999999999999</v>
      </c>
      <c r="Y1236">
        <f>VLOOKUP(D1236,'[1]Cost Sheet'!$C:$D,2,0)</f>
        <v>35.64</v>
      </c>
      <c r="Z1236" s="3">
        <f t="shared" si="39"/>
        <v>35.64</v>
      </c>
    </row>
    <row r="1237" spans="1:26" x14ac:dyDescent="0.3">
      <c r="A1237" s="7" t="s">
        <v>21</v>
      </c>
      <c r="B1237" t="s">
        <v>555</v>
      </c>
      <c r="C1237" t="s">
        <v>556</v>
      </c>
      <c r="D1237" t="s">
        <v>1034</v>
      </c>
      <c r="E1237" t="s">
        <v>557</v>
      </c>
      <c r="F1237" t="s">
        <v>106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6</v>
      </c>
      <c r="T1237">
        <v>0</v>
      </c>
      <c r="U1237" t="s">
        <v>39</v>
      </c>
      <c r="W1237" s="2">
        <v>35.085999999999999</v>
      </c>
      <c r="X1237" s="3">
        <f t="shared" si="38"/>
        <v>210.51599999999999</v>
      </c>
      <c r="Y1237">
        <f>VLOOKUP(D1237,'[1]Cost Sheet'!$C:$D,2,0)</f>
        <v>35.64</v>
      </c>
      <c r="Z1237" s="3">
        <f t="shared" si="39"/>
        <v>213.84</v>
      </c>
    </row>
    <row r="1238" spans="1:26" x14ac:dyDescent="0.3">
      <c r="A1238" s="7" t="s">
        <v>21</v>
      </c>
      <c r="B1238" t="s">
        <v>555</v>
      </c>
      <c r="C1238" t="s">
        <v>556</v>
      </c>
      <c r="D1238" t="s">
        <v>1034</v>
      </c>
      <c r="E1238" t="s">
        <v>557</v>
      </c>
      <c r="F1238" t="s">
        <v>106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</v>
      </c>
      <c r="T1238">
        <v>0</v>
      </c>
      <c r="U1238" t="s">
        <v>53</v>
      </c>
      <c r="W1238" s="2">
        <v>35.085999999999999</v>
      </c>
      <c r="X1238" s="3">
        <f t="shared" si="38"/>
        <v>70.171999999999997</v>
      </c>
      <c r="Y1238">
        <f>VLOOKUP(D1238,'[1]Cost Sheet'!$C:$D,2,0)</f>
        <v>35.64</v>
      </c>
      <c r="Z1238" s="3">
        <f t="shared" si="39"/>
        <v>71.28</v>
      </c>
    </row>
    <row r="1239" spans="1:26" x14ac:dyDescent="0.3">
      <c r="A1239" s="7" t="s">
        <v>21</v>
      </c>
      <c r="B1239" t="s">
        <v>555</v>
      </c>
      <c r="C1239" t="s">
        <v>556</v>
      </c>
      <c r="D1239" t="s">
        <v>1034</v>
      </c>
      <c r="E1239" t="s">
        <v>557</v>
      </c>
      <c r="F1239" t="s">
        <v>106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 t="s">
        <v>32</v>
      </c>
      <c r="W1239" s="2">
        <v>35.085999999999999</v>
      </c>
      <c r="X1239" s="3">
        <f t="shared" si="38"/>
        <v>35.085999999999999</v>
      </c>
      <c r="Y1239">
        <f>VLOOKUP(D1239,'[1]Cost Sheet'!$C:$D,2,0)</f>
        <v>35.64</v>
      </c>
      <c r="Z1239" s="3">
        <f t="shared" si="39"/>
        <v>35.64</v>
      </c>
    </row>
    <row r="1240" spans="1:26" x14ac:dyDescent="0.3">
      <c r="A1240" s="7" t="s">
        <v>21</v>
      </c>
      <c r="B1240" t="s">
        <v>555</v>
      </c>
      <c r="C1240" t="s">
        <v>556</v>
      </c>
      <c r="D1240" t="s">
        <v>1034</v>
      </c>
      <c r="E1240" t="s">
        <v>557</v>
      </c>
      <c r="F1240" t="s">
        <v>106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-2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s">
        <v>46</v>
      </c>
      <c r="W1240" s="2">
        <v>35.085999999999999</v>
      </c>
      <c r="X1240" s="3">
        <f t="shared" si="38"/>
        <v>0</v>
      </c>
      <c r="Y1240">
        <f>VLOOKUP(D1240,'[1]Cost Sheet'!$C:$D,2,0)</f>
        <v>35.64</v>
      </c>
      <c r="Z1240" s="3">
        <f t="shared" si="39"/>
        <v>0</v>
      </c>
    </row>
    <row r="1241" spans="1:26" x14ac:dyDescent="0.3">
      <c r="A1241" s="7" t="s">
        <v>21</v>
      </c>
      <c r="B1241" t="s">
        <v>555</v>
      </c>
      <c r="C1241" t="s">
        <v>556</v>
      </c>
      <c r="D1241" t="s">
        <v>1034</v>
      </c>
      <c r="E1241" t="s">
        <v>557</v>
      </c>
      <c r="F1241" t="s">
        <v>106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 t="s">
        <v>47</v>
      </c>
      <c r="W1241" s="2">
        <v>35.085999999999999</v>
      </c>
      <c r="X1241" s="3">
        <f t="shared" si="38"/>
        <v>35.085999999999999</v>
      </c>
      <c r="Y1241">
        <f>VLOOKUP(D1241,'[1]Cost Sheet'!$C:$D,2,0)</f>
        <v>35.64</v>
      </c>
      <c r="Z1241" s="3">
        <f t="shared" si="39"/>
        <v>35.64</v>
      </c>
    </row>
    <row r="1242" spans="1:26" x14ac:dyDescent="0.3">
      <c r="A1242" s="7" t="s">
        <v>21</v>
      </c>
      <c r="B1242" t="s">
        <v>555</v>
      </c>
      <c r="C1242" t="s">
        <v>556</v>
      </c>
      <c r="D1242" t="s">
        <v>1034</v>
      </c>
      <c r="E1242" t="s">
        <v>557</v>
      </c>
      <c r="F1242" t="s">
        <v>106</v>
      </c>
      <c r="G1242">
        <v>6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6</v>
      </c>
      <c r="T1242">
        <v>0</v>
      </c>
      <c r="U1242" t="s">
        <v>40</v>
      </c>
      <c r="W1242" s="2">
        <v>35.085999999999999</v>
      </c>
      <c r="X1242" s="3">
        <f t="shared" si="38"/>
        <v>210.51599999999999</v>
      </c>
      <c r="Y1242">
        <f>VLOOKUP(D1242,'[1]Cost Sheet'!$C:$D,2,0)</f>
        <v>35.64</v>
      </c>
      <c r="Z1242" s="3">
        <f t="shared" si="39"/>
        <v>213.84</v>
      </c>
    </row>
    <row r="1243" spans="1:26" x14ac:dyDescent="0.3">
      <c r="A1243" s="7" t="s">
        <v>21</v>
      </c>
      <c r="B1243" t="s">
        <v>555</v>
      </c>
      <c r="C1243" t="s">
        <v>556</v>
      </c>
      <c r="D1243" t="s">
        <v>1034</v>
      </c>
      <c r="E1243" t="s">
        <v>557</v>
      </c>
      <c r="F1243" t="s">
        <v>106</v>
      </c>
      <c r="G1243">
        <v>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3</v>
      </c>
      <c r="T1243">
        <v>0</v>
      </c>
      <c r="U1243" t="s">
        <v>48</v>
      </c>
      <c r="W1243" s="2">
        <v>35.085999999999999</v>
      </c>
      <c r="X1243" s="3">
        <f t="shared" si="38"/>
        <v>105.258</v>
      </c>
      <c r="Y1243">
        <f>VLOOKUP(D1243,'[1]Cost Sheet'!$C:$D,2,0)</f>
        <v>35.64</v>
      </c>
      <c r="Z1243" s="3">
        <f t="shared" si="39"/>
        <v>106.92</v>
      </c>
    </row>
    <row r="1244" spans="1:26" x14ac:dyDescent="0.3">
      <c r="A1244" s="7" t="s">
        <v>21</v>
      </c>
      <c r="B1244" t="s">
        <v>555</v>
      </c>
      <c r="C1244" t="s">
        <v>556</v>
      </c>
      <c r="D1244" t="s">
        <v>1034</v>
      </c>
      <c r="E1244" t="s">
        <v>557</v>
      </c>
      <c r="F1244" t="s">
        <v>26</v>
      </c>
      <c r="G1244">
        <v>35</v>
      </c>
      <c r="H1244">
        <v>0</v>
      </c>
      <c r="I1244">
        <v>0</v>
      </c>
      <c r="J1244">
        <v>-4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31</v>
      </c>
      <c r="T1244">
        <v>0</v>
      </c>
      <c r="U1244" t="s">
        <v>38</v>
      </c>
      <c r="W1244" s="2">
        <v>35.085999999999999</v>
      </c>
      <c r="X1244" s="3">
        <f t="shared" si="38"/>
        <v>1087.6659999999999</v>
      </c>
      <c r="Y1244">
        <f>VLOOKUP(D1244,'[1]Cost Sheet'!$C:$D,2,0)</f>
        <v>35.64</v>
      </c>
      <c r="Z1244" s="3">
        <f t="shared" si="39"/>
        <v>1104.8399999999999</v>
      </c>
    </row>
    <row r="1245" spans="1:26" x14ac:dyDescent="0.3">
      <c r="A1245" s="7" t="s">
        <v>21</v>
      </c>
      <c r="B1245" t="s">
        <v>555</v>
      </c>
      <c r="C1245" t="s">
        <v>556</v>
      </c>
      <c r="D1245" t="s">
        <v>1034</v>
      </c>
      <c r="E1245" t="s">
        <v>557</v>
      </c>
      <c r="F1245" t="s">
        <v>26</v>
      </c>
      <c r="G1245">
        <v>40</v>
      </c>
      <c r="H1245">
        <v>0</v>
      </c>
      <c r="I1245">
        <v>0</v>
      </c>
      <c r="J1245">
        <v>-2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38</v>
      </c>
      <c r="T1245">
        <v>0</v>
      </c>
      <c r="U1245" t="s">
        <v>107</v>
      </c>
      <c r="W1245" s="2">
        <v>35.085999999999999</v>
      </c>
      <c r="X1245" s="3">
        <f t="shared" si="38"/>
        <v>1333.268</v>
      </c>
      <c r="Y1245">
        <f>VLOOKUP(D1245,'[1]Cost Sheet'!$C:$D,2,0)</f>
        <v>35.64</v>
      </c>
      <c r="Z1245" s="3">
        <f t="shared" si="39"/>
        <v>1354.32</v>
      </c>
    </row>
    <row r="1246" spans="1:26" x14ac:dyDescent="0.3">
      <c r="A1246" s="7" t="s">
        <v>21</v>
      </c>
      <c r="B1246" t="s">
        <v>555</v>
      </c>
      <c r="C1246" t="s">
        <v>556</v>
      </c>
      <c r="D1246" t="s">
        <v>1034</v>
      </c>
      <c r="E1246" t="s">
        <v>557</v>
      </c>
      <c r="F1246" t="s">
        <v>26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 t="s">
        <v>45</v>
      </c>
      <c r="W1246" s="2">
        <v>35.085999999999999</v>
      </c>
      <c r="X1246" s="3">
        <f t="shared" si="38"/>
        <v>35.085999999999999</v>
      </c>
      <c r="Y1246">
        <f>VLOOKUP(D1246,'[1]Cost Sheet'!$C:$D,2,0)</f>
        <v>35.64</v>
      </c>
      <c r="Z1246" s="3">
        <f t="shared" si="39"/>
        <v>35.64</v>
      </c>
    </row>
    <row r="1247" spans="1:26" x14ac:dyDescent="0.3">
      <c r="A1247" s="7" t="s">
        <v>21</v>
      </c>
      <c r="B1247" t="s">
        <v>555</v>
      </c>
      <c r="C1247" t="s">
        <v>556</v>
      </c>
      <c r="D1247" t="s">
        <v>1034</v>
      </c>
      <c r="E1247" t="s">
        <v>557</v>
      </c>
      <c r="F1247" t="s">
        <v>26</v>
      </c>
      <c r="G1247">
        <v>8</v>
      </c>
      <c r="H1247">
        <v>0</v>
      </c>
      <c r="I1247">
        <v>0</v>
      </c>
      <c r="J1247">
        <v>-5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3</v>
      </c>
      <c r="T1247">
        <v>0</v>
      </c>
      <c r="U1247" t="s">
        <v>39</v>
      </c>
      <c r="W1247" s="2">
        <v>35.085999999999999</v>
      </c>
      <c r="X1247" s="3">
        <f t="shared" si="38"/>
        <v>105.258</v>
      </c>
      <c r="Y1247">
        <f>VLOOKUP(D1247,'[1]Cost Sheet'!$C:$D,2,0)</f>
        <v>35.64</v>
      </c>
      <c r="Z1247" s="3">
        <f t="shared" si="39"/>
        <v>106.92</v>
      </c>
    </row>
    <row r="1248" spans="1:26" x14ac:dyDescent="0.3">
      <c r="A1248" s="7" t="s">
        <v>21</v>
      </c>
      <c r="B1248" t="s">
        <v>555</v>
      </c>
      <c r="C1248" t="s">
        <v>556</v>
      </c>
      <c r="D1248" t="s">
        <v>1034</v>
      </c>
      <c r="E1248" t="s">
        <v>557</v>
      </c>
      <c r="F1248" t="s">
        <v>26</v>
      </c>
      <c r="G1248">
        <v>2</v>
      </c>
      <c r="H1248">
        <v>0</v>
      </c>
      <c r="I1248">
        <v>0</v>
      </c>
      <c r="J1248">
        <v>-1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 t="s">
        <v>53</v>
      </c>
      <c r="W1248" s="2">
        <v>35.085999999999999</v>
      </c>
      <c r="X1248" s="3">
        <f t="shared" si="38"/>
        <v>35.085999999999999</v>
      </c>
      <c r="Y1248">
        <f>VLOOKUP(D1248,'[1]Cost Sheet'!$C:$D,2,0)</f>
        <v>35.64</v>
      </c>
      <c r="Z1248" s="3">
        <f t="shared" si="39"/>
        <v>35.64</v>
      </c>
    </row>
    <row r="1249" spans="1:26" x14ac:dyDescent="0.3">
      <c r="A1249" s="7" t="s">
        <v>21</v>
      </c>
      <c r="B1249" t="s">
        <v>555</v>
      </c>
      <c r="C1249" t="s">
        <v>556</v>
      </c>
      <c r="D1249" t="s">
        <v>1034</v>
      </c>
      <c r="E1249" t="s">
        <v>557</v>
      </c>
      <c r="F1249" t="s">
        <v>26</v>
      </c>
      <c r="G1249">
        <v>29</v>
      </c>
      <c r="H1249">
        <v>0</v>
      </c>
      <c r="I1249">
        <v>0</v>
      </c>
      <c r="J1249">
        <v>-4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25</v>
      </c>
      <c r="T1249">
        <v>0</v>
      </c>
      <c r="U1249" t="s">
        <v>32</v>
      </c>
      <c r="W1249" s="2">
        <v>35.085999999999999</v>
      </c>
      <c r="X1249" s="3">
        <f t="shared" si="38"/>
        <v>877.15</v>
      </c>
      <c r="Y1249">
        <f>VLOOKUP(D1249,'[1]Cost Sheet'!$C:$D,2,0)</f>
        <v>35.64</v>
      </c>
      <c r="Z1249" s="3">
        <f t="shared" si="39"/>
        <v>891</v>
      </c>
    </row>
    <row r="1250" spans="1:26" x14ac:dyDescent="0.3">
      <c r="A1250" s="7" t="s">
        <v>21</v>
      </c>
      <c r="B1250" t="s">
        <v>555</v>
      </c>
      <c r="C1250" t="s">
        <v>556</v>
      </c>
      <c r="D1250" t="s">
        <v>1034</v>
      </c>
      <c r="E1250" t="s">
        <v>557</v>
      </c>
      <c r="F1250" t="s">
        <v>26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-1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t="s">
        <v>88</v>
      </c>
      <c r="W1250" s="2">
        <v>35.085999999999999</v>
      </c>
      <c r="X1250" s="3">
        <f t="shared" si="38"/>
        <v>0</v>
      </c>
      <c r="Y1250">
        <f>VLOOKUP(D1250,'[1]Cost Sheet'!$C:$D,2,0)</f>
        <v>35.64</v>
      </c>
      <c r="Z1250" s="3">
        <f t="shared" si="39"/>
        <v>0</v>
      </c>
    </row>
    <row r="1251" spans="1:26" x14ac:dyDescent="0.3">
      <c r="A1251" s="7" t="s">
        <v>21</v>
      </c>
      <c r="B1251" t="s">
        <v>555</v>
      </c>
      <c r="C1251" t="s">
        <v>556</v>
      </c>
      <c r="D1251" t="s">
        <v>1034</v>
      </c>
      <c r="E1251" t="s">
        <v>557</v>
      </c>
      <c r="F1251" t="s">
        <v>26</v>
      </c>
      <c r="G1251">
        <v>2</v>
      </c>
      <c r="H1251">
        <v>0</v>
      </c>
      <c r="I1251">
        <v>0</v>
      </c>
      <c r="J1251">
        <v>-2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s">
        <v>46</v>
      </c>
      <c r="W1251" s="2">
        <v>35.085999999999999</v>
      </c>
      <c r="X1251" s="3">
        <f t="shared" si="38"/>
        <v>0</v>
      </c>
      <c r="Y1251">
        <f>VLOOKUP(D1251,'[1]Cost Sheet'!$C:$D,2,0)</f>
        <v>35.64</v>
      </c>
      <c r="Z1251" s="3">
        <f t="shared" si="39"/>
        <v>0</v>
      </c>
    </row>
    <row r="1252" spans="1:26" x14ac:dyDescent="0.3">
      <c r="A1252" s="7" t="s">
        <v>21</v>
      </c>
      <c r="B1252" t="s">
        <v>555</v>
      </c>
      <c r="C1252" t="s">
        <v>556</v>
      </c>
      <c r="D1252" t="s">
        <v>1034</v>
      </c>
      <c r="E1252" t="s">
        <v>557</v>
      </c>
      <c r="F1252" t="s">
        <v>26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 t="s">
        <v>40</v>
      </c>
      <c r="W1252" s="2">
        <v>35.085999999999999</v>
      </c>
      <c r="X1252" s="3">
        <f t="shared" si="38"/>
        <v>35.085999999999999</v>
      </c>
      <c r="Y1252">
        <f>VLOOKUP(D1252,'[1]Cost Sheet'!$C:$D,2,0)</f>
        <v>35.64</v>
      </c>
      <c r="Z1252" s="3">
        <f t="shared" si="39"/>
        <v>35.64</v>
      </c>
    </row>
    <row r="1253" spans="1:26" x14ac:dyDescent="0.3">
      <c r="A1253" s="7" t="s">
        <v>21</v>
      </c>
      <c r="B1253" t="s">
        <v>555</v>
      </c>
      <c r="C1253" t="s">
        <v>556</v>
      </c>
      <c r="D1253" t="s">
        <v>1034</v>
      </c>
      <c r="E1253" t="s">
        <v>557</v>
      </c>
      <c r="F1253" t="s">
        <v>26</v>
      </c>
      <c r="G1253">
        <v>1</v>
      </c>
      <c r="H1253">
        <v>0</v>
      </c>
      <c r="I1253">
        <v>0</v>
      </c>
      <c r="J1253">
        <v>-1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120</v>
      </c>
      <c r="W1253" s="2">
        <v>35.085999999999999</v>
      </c>
      <c r="X1253" s="3">
        <f t="shared" si="38"/>
        <v>0</v>
      </c>
      <c r="Y1253">
        <f>VLOOKUP(D1253,'[1]Cost Sheet'!$C:$D,2,0)</f>
        <v>35.64</v>
      </c>
      <c r="Z1253" s="3">
        <f t="shared" si="39"/>
        <v>0</v>
      </c>
    </row>
    <row r="1254" spans="1:26" x14ac:dyDescent="0.3">
      <c r="A1254" s="7" t="s">
        <v>21</v>
      </c>
      <c r="B1254" t="s">
        <v>555</v>
      </c>
      <c r="C1254" t="s">
        <v>556</v>
      </c>
      <c r="D1254" t="s">
        <v>1034</v>
      </c>
      <c r="E1254" t="s">
        <v>557</v>
      </c>
      <c r="F1254" t="s">
        <v>26</v>
      </c>
      <c r="G1254">
        <v>88</v>
      </c>
      <c r="H1254">
        <v>0</v>
      </c>
      <c r="I1254">
        <v>0</v>
      </c>
      <c r="J1254">
        <v>-3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85</v>
      </c>
      <c r="T1254">
        <v>0</v>
      </c>
      <c r="U1254" t="s">
        <v>113</v>
      </c>
      <c r="W1254" s="2">
        <v>35.085999999999999</v>
      </c>
      <c r="X1254" s="3">
        <f t="shared" si="38"/>
        <v>2982.31</v>
      </c>
      <c r="Y1254">
        <f>VLOOKUP(D1254,'[1]Cost Sheet'!$C:$D,2,0)</f>
        <v>35.64</v>
      </c>
      <c r="Z1254" s="3">
        <f t="shared" si="39"/>
        <v>3029.4</v>
      </c>
    </row>
    <row r="1255" spans="1:26" x14ac:dyDescent="0.3">
      <c r="A1255" s="7" t="s">
        <v>21</v>
      </c>
      <c r="B1255" t="s">
        <v>555</v>
      </c>
      <c r="C1255" t="s">
        <v>556</v>
      </c>
      <c r="D1255" t="s">
        <v>1034</v>
      </c>
      <c r="E1255" t="s">
        <v>557</v>
      </c>
      <c r="F1255" t="s">
        <v>26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 t="s">
        <v>59</v>
      </c>
      <c r="W1255" s="2">
        <v>35.085999999999999</v>
      </c>
      <c r="X1255" s="3">
        <f t="shared" si="38"/>
        <v>35.085999999999999</v>
      </c>
      <c r="Y1255">
        <f>VLOOKUP(D1255,'[1]Cost Sheet'!$C:$D,2,0)</f>
        <v>35.64</v>
      </c>
      <c r="Z1255" s="3">
        <f t="shared" si="39"/>
        <v>35.64</v>
      </c>
    </row>
    <row r="1256" spans="1:26" x14ac:dyDescent="0.3">
      <c r="A1256" s="7" t="s">
        <v>21</v>
      </c>
      <c r="B1256" t="s">
        <v>555</v>
      </c>
      <c r="C1256" t="s">
        <v>556</v>
      </c>
      <c r="D1256" t="s">
        <v>1034</v>
      </c>
      <c r="E1256" t="s">
        <v>557</v>
      </c>
      <c r="F1256" t="s">
        <v>26</v>
      </c>
      <c r="G1256">
        <v>8</v>
      </c>
      <c r="H1256">
        <v>0</v>
      </c>
      <c r="I1256">
        <v>0</v>
      </c>
      <c r="J1256">
        <v>-3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5</v>
      </c>
      <c r="T1256">
        <v>0</v>
      </c>
      <c r="U1256" t="s">
        <v>27</v>
      </c>
      <c r="W1256" s="2">
        <v>35.085999999999999</v>
      </c>
      <c r="X1256" s="3">
        <f t="shared" si="38"/>
        <v>175.43</v>
      </c>
      <c r="Y1256">
        <f>VLOOKUP(D1256,'[1]Cost Sheet'!$C:$D,2,0)</f>
        <v>35.64</v>
      </c>
      <c r="Z1256" s="3">
        <f t="shared" si="39"/>
        <v>178.2</v>
      </c>
    </row>
    <row r="1257" spans="1:26" x14ac:dyDescent="0.3">
      <c r="A1257" s="7" t="s">
        <v>21</v>
      </c>
      <c r="B1257" t="s">
        <v>555</v>
      </c>
      <c r="C1257" t="s">
        <v>556</v>
      </c>
      <c r="D1257" t="s">
        <v>1034</v>
      </c>
      <c r="E1257" t="s">
        <v>557</v>
      </c>
      <c r="F1257" t="s">
        <v>114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 t="s">
        <v>40</v>
      </c>
      <c r="W1257" s="2">
        <v>35.085999999999999</v>
      </c>
      <c r="X1257" s="3">
        <f t="shared" si="38"/>
        <v>35.085999999999999</v>
      </c>
      <c r="Y1257">
        <f>VLOOKUP(D1257,'[1]Cost Sheet'!$C:$D,2,0)</f>
        <v>35.64</v>
      </c>
      <c r="Z1257" s="3">
        <f t="shared" si="39"/>
        <v>35.64</v>
      </c>
    </row>
    <row r="1258" spans="1:26" x14ac:dyDescent="0.3">
      <c r="A1258" s="7" t="s">
        <v>21</v>
      </c>
      <c r="B1258" t="s">
        <v>558</v>
      </c>
      <c r="C1258" t="s">
        <v>559</v>
      </c>
      <c r="D1258" t="s">
        <v>1035</v>
      </c>
      <c r="E1258" t="s">
        <v>560</v>
      </c>
      <c r="F1258" t="s">
        <v>106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4</v>
      </c>
      <c r="T1258">
        <v>0</v>
      </c>
      <c r="U1258" t="s">
        <v>33</v>
      </c>
      <c r="W1258" s="2">
        <v>37.17</v>
      </c>
      <c r="X1258" s="3">
        <f t="shared" si="38"/>
        <v>148.68</v>
      </c>
      <c r="Y1258">
        <f>VLOOKUP(D1258,'[1]Cost Sheet'!$C:$D,2,0)</f>
        <v>37.15</v>
      </c>
      <c r="Z1258" s="3">
        <f t="shared" si="39"/>
        <v>148.6</v>
      </c>
    </row>
    <row r="1259" spans="1:26" x14ac:dyDescent="0.3">
      <c r="A1259" s="7" t="s">
        <v>21</v>
      </c>
      <c r="B1259" t="s">
        <v>558</v>
      </c>
      <c r="C1259" t="s">
        <v>559</v>
      </c>
      <c r="D1259" t="s">
        <v>1035</v>
      </c>
      <c r="E1259" t="s">
        <v>560</v>
      </c>
      <c r="F1259" t="s">
        <v>106</v>
      </c>
      <c r="G1259">
        <v>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6</v>
      </c>
      <c r="T1259">
        <v>0</v>
      </c>
      <c r="U1259" t="s">
        <v>46</v>
      </c>
      <c r="W1259" s="2">
        <v>37.17</v>
      </c>
      <c r="X1259" s="3">
        <f t="shared" si="38"/>
        <v>223.02</v>
      </c>
      <c r="Y1259">
        <f>VLOOKUP(D1259,'[1]Cost Sheet'!$C:$D,2,0)</f>
        <v>37.15</v>
      </c>
      <c r="Z1259" s="3">
        <f t="shared" si="39"/>
        <v>222.89999999999998</v>
      </c>
    </row>
    <row r="1260" spans="1:26" x14ac:dyDescent="0.3">
      <c r="A1260" s="7" t="s">
        <v>21</v>
      </c>
      <c r="B1260" t="s">
        <v>558</v>
      </c>
      <c r="C1260" t="s">
        <v>559</v>
      </c>
      <c r="D1260" t="s">
        <v>1035</v>
      </c>
      <c r="E1260" t="s">
        <v>560</v>
      </c>
      <c r="F1260" t="s">
        <v>106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 t="s">
        <v>40</v>
      </c>
      <c r="W1260" s="2">
        <v>37.17</v>
      </c>
      <c r="X1260" s="3">
        <f t="shared" si="38"/>
        <v>37.17</v>
      </c>
      <c r="Y1260">
        <f>VLOOKUP(D1260,'[1]Cost Sheet'!$C:$D,2,0)</f>
        <v>37.15</v>
      </c>
      <c r="Z1260" s="3">
        <f t="shared" si="39"/>
        <v>37.15</v>
      </c>
    </row>
    <row r="1261" spans="1:26" x14ac:dyDescent="0.3">
      <c r="A1261" s="7" t="s">
        <v>21</v>
      </c>
      <c r="B1261" t="s">
        <v>558</v>
      </c>
      <c r="C1261" t="s">
        <v>559</v>
      </c>
      <c r="D1261" t="s">
        <v>1035</v>
      </c>
      <c r="E1261" t="s">
        <v>560</v>
      </c>
      <c r="F1261" t="s">
        <v>26</v>
      </c>
      <c r="G1261">
        <v>1</v>
      </c>
      <c r="H1261">
        <v>0</v>
      </c>
      <c r="I1261">
        <v>0</v>
      </c>
      <c r="J1261">
        <v>-1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39</v>
      </c>
      <c r="W1261" s="2">
        <v>37.17</v>
      </c>
      <c r="X1261" s="3">
        <f t="shared" si="38"/>
        <v>0</v>
      </c>
      <c r="Y1261">
        <f>VLOOKUP(D1261,'[1]Cost Sheet'!$C:$D,2,0)</f>
        <v>37.15</v>
      </c>
      <c r="Z1261" s="3">
        <f t="shared" si="39"/>
        <v>0</v>
      </c>
    </row>
    <row r="1262" spans="1:26" x14ac:dyDescent="0.3">
      <c r="A1262" s="7" t="s">
        <v>21</v>
      </c>
      <c r="B1262" t="s">
        <v>558</v>
      </c>
      <c r="C1262" t="s">
        <v>559</v>
      </c>
      <c r="D1262" t="s">
        <v>1035</v>
      </c>
      <c r="E1262" t="s">
        <v>560</v>
      </c>
      <c r="F1262" t="s">
        <v>26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 t="s">
        <v>54</v>
      </c>
      <c r="W1262" s="2">
        <v>37.17</v>
      </c>
      <c r="X1262" s="3">
        <f t="shared" si="38"/>
        <v>37.17</v>
      </c>
      <c r="Y1262">
        <f>VLOOKUP(D1262,'[1]Cost Sheet'!$C:$D,2,0)</f>
        <v>37.15</v>
      </c>
      <c r="Z1262" s="3">
        <f t="shared" si="39"/>
        <v>37.15</v>
      </c>
    </row>
    <row r="1263" spans="1:26" x14ac:dyDescent="0.3">
      <c r="A1263" s="7" t="s">
        <v>21</v>
      </c>
      <c r="B1263" t="s">
        <v>558</v>
      </c>
      <c r="C1263" t="s">
        <v>559</v>
      </c>
      <c r="D1263" t="s">
        <v>1035</v>
      </c>
      <c r="E1263" t="s">
        <v>560</v>
      </c>
      <c r="F1263" t="s">
        <v>26</v>
      </c>
      <c r="G1263">
        <v>39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39</v>
      </c>
      <c r="T1263">
        <v>0</v>
      </c>
      <c r="U1263" t="s">
        <v>33</v>
      </c>
      <c r="W1263" s="2">
        <v>37.17</v>
      </c>
      <c r="X1263" s="3">
        <f t="shared" si="38"/>
        <v>1449.63</v>
      </c>
      <c r="Y1263">
        <f>VLOOKUP(D1263,'[1]Cost Sheet'!$C:$D,2,0)</f>
        <v>37.15</v>
      </c>
      <c r="Z1263" s="3">
        <f t="shared" si="39"/>
        <v>1448.85</v>
      </c>
    </row>
    <row r="1264" spans="1:26" x14ac:dyDescent="0.3">
      <c r="A1264" s="7" t="s">
        <v>21</v>
      </c>
      <c r="B1264" t="s">
        <v>558</v>
      </c>
      <c r="C1264" t="s">
        <v>559</v>
      </c>
      <c r="D1264" t="s">
        <v>1035</v>
      </c>
      <c r="E1264" t="s">
        <v>560</v>
      </c>
      <c r="F1264" t="s">
        <v>26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3</v>
      </c>
      <c r="T1264">
        <v>0</v>
      </c>
      <c r="U1264" t="s">
        <v>46</v>
      </c>
      <c r="W1264" s="2">
        <v>37.17</v>
      </c>
      <c r="X1264" s="3">
        <f t="shared" si="38"/>
        <v>111.51</v>
      </c>
      <c r="Y1264">
        <f>VLOOKUP(D1264,'[1]Cost Sheet'!$C:$D,2,0)</f>
        <v>37.15</v>
      </c>
      <c r="Z1264" s="3">
        <f t="shared" si="39"/>
        <v>111.44999999999999</v>
      </c>
    </row>
    <row r="1265" spans="1:26" x14ac:dyDescent="0.3">
      <c r="A1265" s="7" t="s">
        <v>21</v>
      </c>
      <c r="B1265" t="s">
        <v>558</v>
      </c>
      <c r="C1265" t="s">
        <v>559</v>
      </c>
      <c r="D1265" t="s">
        <v>1035</v>
      </c>
      <c r="E1265" t="s">
        <v>560</v>
      </c>
      <c r="F1265" t="s">
        <v>26</v>
      </c>
      <c r="G1265">
        <v>45</v>
      </c>
      <c r="H1265">
        <v>0</v>
      </c>
      <c r="I1265">
        <v>0</v>
      </c>
      <c r="J1265">
        <v>-5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40</v>
      </c>
      <c r="T1265">
        <v>0</v>
      </c>
      <c r="U1265" t="s">
        <v>40</v>
      </c>
      <c r="W1265" s="2">
        <v>37.17</v>
      </c>
      <c r="X1265" s="3">
        <f t="shared" si="38"/>
        <v>1486.8000000000002</v>
      </c>
      <c r="Y1265">
        <f>VLOOKUP(D1265,'[1]Cost Sheet'!$C:$D,2,0)</f>
        <v>37.15</v>
      </c>
      <c r="Z1265" s="3">
        <f t="shared" si="39"/>
        <v>1486</v>
      </c>
    </row>
    <row r="1266" spans="1:26" x14ac:dyDescent="0.3">
      <c r="A1266" s="7" t="s">
        <v>21</v>
      </c>
      <c r="B1266" t="s">
        <v>561</v>
      </c>
      <c r="C1266" t="s">
        <v>562</v>
      </c>
      <c r="D1266" t="s">
        <v>1036</v>
      </c>
      <c r="E1266" t="s">
        <v>563</v>
      </c>
      <c r="F1266" t="s">
        <v>26</v>
      </c>
      <c r="G1266">
        <v>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4</v>
      </c>
      <c r="T1266">
        <v>0</v>
      </c>
      <c r="U1266" t="s">
        <v>54</v>
      </c>
      <c r="W1266" s="2">
        <v>121.49</v>
      </c>
      <c r="X1266" s="3">
        <f t="shared" si="38"/>
        <v>485.96</v>
      </c>
      <c r="Y1266">
        <f>VLOOKUP(D1266,'[1]Cost Sheet'!$C:$D,2,0)</f>
        <v>88.02</v>
      </c>
      <c r="Z1266" s="3">
        <f t="shared" si="39"/>
        <v>352.08</v>
      </c>
    </row>
    <row r="1267" spans="1:26" x14ac:dyDescent="0.3">
      <c r="A1267" s="7" t="s">
        <v>21</v>
      </c>
      <c r="B1267" t="s">
        <v>561</v>
      </c>
      <c r="C1267" t="s">
        <v>562</v>
      </c>
      <c r="D1267" t="s">
        <v>1036</v>
      </c>
      <c r="E1267" t="s">
        <v>563</v>
      </c>
      <c r="F1267" t="s">
        <v>114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 t="s">
        <v>151</v>
      </c>
      <c r="W1267" s="2">
        <v>121.49</v>
      </c>
      <c r="X1267" s="3">
        <f t="shared" si="38"/>
        <v>121.49</v>
      </c>
      <c r="Y1267">
        <f>VLOOKUP(D1267,'[1]Cost Sheet'!$C:$D,2,0)</f>
        <v>88.02</v>
      </c>
      <c r="Z1267" s="3">
        <f t="shared" si="39"/>
        <v>88.02</v>
      </c>
    </row>
    <row r="1268" spans="1:26" x14ac:dyDescent="0.3">
      <c r="A1268" s="7" t="s">
        <v>21</v>
      </c>
      <c r="B1268" t="s">
        <v>564</v>
      </c>
      <c r="C1268" t="s">
        <v>565</v>
      </c>
      <c r="D1268" t="s">
        <v>1037</v>
      </c>
      <c r="E1268" t="s">
        <v>566</v>
      </c>
      <c r="F1268" t="s">
        <v>125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 t="s">
        <v>88</v>
      </c>
      <c r="W1268" s="2">
        <v>69.16</v>
      </c>
      <c r="X1268" s="3">
        <f t="shared" si="38"/>
        <v>69.16</v>
      </c>
      <c r="Y1268">
        <f>VLOOKUP(D1268,'[1]Cost Sheet'!$C:$D,2,0)</f>
        <v>69.8</v>
      </c>
      <c r="Z1268" s="3">
        <f t="shared" si="39"/>
        <v>69.8</v>
      </c>
    </row>
    <row r="1269" spans="1:26" x14ac:dyDescent="0.3">
      <c r="A1269" s="7" t="s">
        <v>21</v>
      </c>
      <c r="B1269" t="s">
        <v>564</v>
      </c>
      <c r="C1269" t="s">
        <v>565</v>
      </c>
      <c r="D1269" t="s">
        <v>1037</v>
      </c>
      <c r="E1269" t="s">
        <v>566</v>
      </c>
      <c r="F1269" t="s">
        <v>106</v>
      </c>
      <c r="G1269">
        <v>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5</v>
      </c>
      <c r="T1269">
        <v>0</v>
      </c>
      <c r="U1269" t="s">
        <v>38</v>
      </c>
      <c r="W1269" s="2">
        <v>69.16</v>
      </c>
      <c r="X1269" s="3">
        <f t="shared" si="38"/>
        <v>345.79999999999995</v>
      </c>
      <c r="Y1269">
        <f>VLOOKUP(D1269,'[1]Cost Sheet'!$C:$D,2,0)</f>
        <v>69.8</v>
      </c>
      <c r="Z1269" s="3">
        <f t="shared" si="39"/>
        <v>349</v>
      </c>
    </row>
    <row r="1270" spans="1:26" x14ac:dyDescent="0.3">
      <c r="A1270" s="7" t="s">
        <v>21</v>
      </c>
      <c r="B1270" t="s">
        <v>564</v>
      </c>
      <c r="C1270" t="s">
        <v>565</v>
      </c>
      <c r="D1270" t="s">
        <v>1037</v>
      </c>
      <c r="E1270" t="s">
        <v>566</v>
      </c>
      <c r="F1270" t="s">
        <v>106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 t="s">
        <v>53</v>
      </c>
      <c r="W1270" s="2">
        <v>69.16</v>
      </c>
      <c r="X1270" s="3">
        <f t="shared" si="38"/>
        <v>69.16</v>
      </c>
      <c r="Y1270">
        <f>VLOOKUP(D1270,'[1]Cost Sheet'!$C:$D,2,0)</f>
        <v>69.8</v>
      </c>
      <c r="Z1270" s="3">
        <f t="shared" si="39"/>
        <v>69.8</v>
      </c>
    </row>
    <row r="1271" spans="1:26" x14ac:dyDescent="0.3">
      <c r="A1271" s="7" t="s">
        <v>21</v>
      </c>
      <c r="B1271" t="s">
        <v>564</v>
      </c>
      <c r="C1271" t="s">
        <v>565</v>
      </c>
      <c r="D1271" t="s">
        <v>1037</v>
      </c>
      <c r="E1271" t="s">
        <v>566</v>
      </c>
      <c r="F1271" t="s">
        <v>106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 t="s">
        <v>48</v>
      </c>
      <c r="W1271" s="2">
        <v>69.16</v>
      </c>
      <c r="X1271" s="3">
        <f t="shared" si="38"/>
        <v>69.16</v>
      </c>
      <c r="Y1271">
        <f>VLOOKUP(D1271,'[1]Cost Sheet'!$C:$D,2,0)</f>
        <v>69.8</v>
      </c>
      <c r="Z1271" s="3">
        <f t="shared" si="39"/>
        <v>69.8</v>
      </c>
    </row>
    <row r="1272" spans="1:26" x14ac:dyDescent="0.3">
      <c r="A1272" s="7" t="s">
        <v>21</v>
      </c>
      <c r="B1272" t="s">
        <v>564</v>
      </c>
      <c r="C1272" t="s">
        <v>565</v>
      </c>
      <c r="D1272" t="s">
        <v>1037</v>
      </c>
      <c r="E1272" t="s">
        <v>566</v>
      </c>
      <c r="F1272" t="s">
        <v>130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 t="s">
        <v>53</v>
      </c>
      <c r="W1272" s="2">
        <v>69.16</v>
      </c>
      <c r="X1272" s="3">
        <f t="shared" si="38"/>
        <v>69.16</v>
      </c>
      <c r="Y1272">
        <f>VLOOKUP(D1272,'[1]Cost Sheet'!$C:$D,2,0)</f>
        <v>69.8</v>
      </c>
      <c r="Z1272" s="3">
        <f t="shared" si="39"/>
        <v>69.8</v>
      </c>
    </row>
    <row r="1273" spans="1:26" x14ac:dyDescent="0.3">
      <c r="A1273" s="7" t="s">
        <v>21</v>
      </c>
      <c r="B1273" t="s">
        <v>564</v>
      </c>
      <c r="C1273" t="s">
        <v>565</v>
      </c>
      <c r="D1273" t="s">
        <v>1037</v>
      </c>
      <c r="E1273" t="s">
        <v>566</v>
      </c>
      <c r="F1273" t="s">
        <v>93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 t="s">
        <v>27</v>
      </c>
      <c r="W1273" s="2">
        <v>69.16</v>
      </c>
      <c r="X1273" s="3">
        <f t="shared" si="38"/>
        <v>69.16</v>
      </c>
      <c r="Y1273">
        <f>VLOOKUP(D1273,'[1]Cost Sheet'!$C:$D,2,0)</f>
        <v>69.8</v>
      </c>
      <c r="Z1273" s="3">
        <f t="shared" si="39"/>
        <v>69.8</v>
      </c>
    </row>
    <row r="1274" spans="1:26" x14ac:dyDescent="0.3">
      <c r="A1274" s="7" t="s">
        <v>21</v>
      </c>
      <c r="B1274" t="s">
        <v>564</v>
      </c>
      <c r="C1274" t="s">
        <v>565</v>
      </c>
      <c r="D1274" t="s">
        <v>1037</v>
      </c>
      <c r="E1274" t="s">
        <v>566</v>
      </c>
      <c r="F1274" t="s">
        <v>26</v>
      </c>
      <c r="G1274">
        <v>37</v>
      </c>
      <c r="H1274">
        <v>0</v>
      </c>
      <c r="I1274">
        <v>0</v>
      </c>
      <c r="J1274">
        <v>-4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33</v>
      </c>
      <c r="T1274">
        <v>0</v>
      </c>
      <c r="U1274" t="s">
        <v>38</v>
      </c>
      <c r="W1274" s="2">
        <v>69.16</v>
      </c>
      <c r="X1274" s="3">
        <f t="shared" si="38"/>
        <v>2282.2799999999997</v>
      </c>
      <c r="Y1274">
        <f>VLOOKUP(D1274,'[1]Cost Sheet'!$C:$D,2,0)</f>
        <v>69.8</v>
      </c>
      <c r="Z1274" s="3">
        <f t="shared" si="39"/>
        <v>2303.4</v>
      </c>
    </row>
    <row r="1275" spans="1:26" x14ac:dyDescent="0.3">
      <c r="A1275" s="7" t="s">
        <v>21</v>
      </c>
      <c r="B1275" t="s">
        <v>564</v>
      </c>
      <c r="C1275" t="s">
        <v>565</v>
      </c>
      <c r="D1275" t="s">
        <v>1037</v>
      </c>
      <c r="E1275" t="s">
        <v>566</v>
      </c>
      <c r="F1275" t="s">
        <v>26</v>
      </c>
      <c r="G1275">
        <v>137</v>
      </c>
      <c r="H1275">
        <v>0</v>
      </c>
      <c r="I1275">
        <v>0</v>
      </c>
      <c r="J1275">
        <v>-5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132</v>
      </c>
      <c r="T1275">
        <v>0</v>
      </c>
      <c r="U1275" t="s">
        <v>107</v>
      </c>
      <c r="W1275" s="2">
        <v>69.16</v>
      </c>
      <c r="X1275" s="3">
        <f t="shared" si="38"/>
        <v>9129.119999999999</v>
      </c>
      <c r="Y1275">
        <f>VLOOKUP(D1275,'[1]Cost Sheet'!$C:$D,2,0)</f>
        <v>69.8</v>
      </c>
      <c r="Z1275" s="3">
        <f t="shared" si="39"/>
        <v>9213.6</v>
      </c>
    </row>
    <row r="1276" spans="1:26" x14ac:dyDescent="0.3">
      <c r="A1276" s="7" t="s">
        <v>21</v>
      </c>
      <c r="B1276" t="s">
        <v>564</v>
      </c>
      <c r="C1276" t="s">
        <v>565</v>
      </c>
      <c r="D1276" t="s">
        <v>1037</v>
      </c>
      <c r="E1276" t="s">
        <v>566</v>
      </c>
      <c r="F1276" t="s">
        <v>26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-1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151</v>
      </c>
      <c r="W1276" s="2">
        <v>69.16</v>
      </c>
      <c r="X1276" s="3">
        <f t="shared" si="38"/>
        <v>0</v>
      </c>
      <c r="Y1276">
        <f>VLOOKUP(D1276,'[1]Cost Sheet'!$C:$D,2,0)</f>
        <v>69.8</v>
      </c>
      <c r="Z1276" s="3">
        <f t="shared" si="39"/>
        <v>0</v>
      </c>
    </row>
    <row r="1277" spans="1:26" x14ac:dyDescent="0.3">
      <c r="A1277" s="7" t="s">
        <v>21</v>
      </c>
      <c r="B1277" t="s">
        <v>564</v>
      </c>
      <c r="C1277" t="s">
        <v>565</v>
      </c>
      <c r="D1277" t="s">
        <v>1037</v>
      </c>
      <c r="E1277" t="s">
        <v>566</v>
      </c>
      <c r="F1277" t="s">
        <v>26</v>
      </c>
      <c r="G1277">
        <v>36</v>
      </c>
      <c r="H1277">
        <v>0</v>
      </c>
      <c r="I1277">
        <v>0</v>
      </c>
      <c r="J1277">
        <v>-4</v>
      </c>
      <c r="K1277">
        <v>0</v>
      </c>
      <c r="L1277">
        <v>0</v>
      </c>
      <c r="M1277">
        <v>73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105</v>
      </c>
      <c r="T1277">
        <v>0</v>
      </c>
      <c r="U1277" t="s">
        <v>45</v>
      </c>
      <c r="W1277" s="2">
        <v>69.16</v>
      </c>
      <c r="X1277" s="3">
        <f t="shared" si="38"/>
        <v>7261.7999999999993</v>
      </c>
      <c r="Y1277">
        <f>VLOOKUP(D1277,'[1]Cost Sheet'!$C:$D,2,0)</f>
        <v>69.8</v>
      </c>
      <c r="Z1277" s="3">
        <f t="shared" si="39"/>
        <v>7329</v>
      </c>
    </row>
    <row r="1278" spans="1:26" x14ac:dyDescent="0.3">
      <c r="A1278" s="7" t="s">
        <v>21</v>
      </c>
      <c r="B1278" t="s">
        <v>564</v>
      </c>
      <c r="C1278" t="s">
        <v>565</v>
      </c>
      <c r="D1278" t="s">
        <v>1037</v>
      </c>
      <c r="E1278" t="s">
        <v>566</v>
      </c>
      <c r="F1278" t="s">
        <v>26</v>
      </c>
      <c r="G1278">
        <v>69</v>
      </c>
      <c r="H1278">
        <v>0</v>
      </c>
      <c r="I1278">
        <v>0</v>
      </c>
      <c r="J1278">
        <v>-4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66</v>
      </c>
      <c r="T1278">
        <v>0</v>
      </c>
      <c r="U1278" t="s">
        <v>39</v>
      </c>
      <c r="W1278" s="2">
        <v>69.16</v>
      </c>
      <c r="X1278" s="3">
        <f t="shared" si="38"/>
        <v>4564.5599999999995</v>
      </c>
      <c r="Y1278">
        <f>VLOOKUP(D1278,'[1]Cost Sheet'!$C:$D,2,0)</f>
        <v>69.8</v>
      </c>
      <c r="Z1278" s="3">
        <f t="shared" si="39"/>
        <v>4606.8</v>
      </c>
    </row>
    <row r="1279" spans="1:26" x14ac:dyDescent="0.3">
      <c r="A1279" s="7" t="s">
        <v>21</v>
      </c>
      <c r="B1279" t="s">
        <v>564</v>
      </c>
      <c r="C1279" t="s">
        <v>565</v>
      </c>
      <c r="D1279" t="s">
        <v>1037</v>
      </c>
      <c r="E1279" t="s">
        <v>566</v>
      </c>
      <c r="F1279" t="s">
        <v>26</v>
      </c>
      <c r="G1279">
        <v>22</v>
      </c>
      <c r="H1279">
        <v>0</v>
      </c>
      <c r="I1279">
        <v>0</v>
      </c>
      <c r="J1279">
        <v>-2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21</v>
      </c>
      <c r="T1279">
        <v>0</v>
      </c>
      <c r="U1279" t="s">
        <v>53</v>
      </c>
      <c r="W1279" s="2">
        <v>69.16</v>
      </c>
      <c r="X1279" s="3">
        <f t="shared" si="38"/>
        <v>1452.36</v>
      </c>
      <c r="Y1279">
        <f>VLOOKUP(D1279,'[1]Cost Sheet'!$C:$D,2,0)</f>
        <v>69.8</v>
      </c>
      <c r="Z1279" s="3">
        <f t="shared" si="39"/>
        <v>1465.8</v>
      </c>
    </row>
    <row r="1280" spans="1:26" x14ac:dyDescent="0.3">
      <c r="A1280" s="7" t="s">
        <v>21</v>
      </c>
      <c r="B1280" t="s">
        <v>564</v>
      </c>
      <c r="C1280" t="s">
        <v>565</v>
      </c>
      <c r="D1280" t="s">
        <v>1037</v>
      </c>
      <c r="E1280" t="s">
        <v>566</v>
      </c>
      <c r="F1280" t="s">
        <v>26</v>
      </c>
      <c r="G1280">
        <v>187</v>
      </c>
      <c r="H1280">
        <v>1</v>
      </c>
      <c r="I1280">
        <v>0</v>
      </c>
      <c r="J1280">
        <v>-6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182</v>
      </c>
      <c r="T1280">
        <v>0</v>
      </c>
      <c r="U1280" t="s">
        <v>54</v>
      </c>
      <c r="W1280" s="2">
        <v>69.16</v>
      </c>
      <c r="X1280" s="3">
        <f t="shared" si="38"/>
        <v>12587.119999999999</v>
      </c>
      <c r="Y1280">
        <f>VLOOKUP(D1280,'[1]Cost Sheet'!$C:$D,2,0)</f>
        <v>69.8</v>
      </c>
      <c r="Z1280" s="3">
        <f t="shared" si="39"/>
        <v>12703.6</v>
      </c>
    </row>
    <row r="1281" spans="1:26" x14ac:dyDescent="0.3">
      <c r="A1281" s="7" t="s">
        <v>21</v>
      </c>
      <c r="B1281" t="s">
        <v>564</v>
      </c>
      <c r="C1281" t="s">
        <v>565</v>
      </c>
      <c r="D1281" t="s">
        <v>1037</v>
      </c>
      <c r="E1281" t="s">
        <v>566</v>
      </c>
      <c r="F1281" t="s">
        <v>26</v>
      </c>
      <c r="G1281">
        <v>215</v>
      </c>
      <c r="H1281">
        <v>557</v>
      </c>
      <c r="I1281">
        <v>0</v>
      </c>
      <c r="J1281">
        <v>0</v>
      </c>
      <c r="K1281">
        <v>0</v>
      </c>
      <c r="L1281">
        <v>0</v>
      </c>
      <c r="M1281">
        <v>-215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152</v>
      </c>
      <c r="W1281" s="2">
        <v>69.16</v>
      </c>
      <c r="X1281" s="3">
        <f t="shared" si="38"/>
        <v>0</v>
      </c>
      <c r="Y1281">
        <f>VLOOKUP(D1281,'[1]Cost Sheet'!$C:$D,2,0)</f>
        <v>69.8</v>
      </c>
      <c r="Z1281" s="3">
        <f t="shared" si="39"/>
        <v>0</v>
      </c>
    </row>
    <row r="1282" spans="1:26" x14ac:dyDescent="0.3">
      <c r="A1282" s="7" t="s">
        <v>21</v>
      </c>
      <c r="B1282" t="s">
        <v>564</v>
      </c>
      <c r="C1282" t="s">
        <v>565</v>
      </c>
      <c r="D1282" t="s">
        <v>1037</v>
      </c>
      <c r="E1282" t="s">
        <v>566</v>
      </c>
      <c r="F1282" t="s">
        <v>26</v>
      </c>
      <c r="G1282">
        <v>356</v>
      </c>
      <c r="H1282">
        <v>0</v>
      </c>
      <c r="I1282">
        <v>0</v>
      </c>
      <c r="J1282">
        <v>-6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350</v>
      </c>
      <c r="T1282">
        <v>0</v>
      </c>
      <c r="U1282" t="s">
        <v>32</v>
      </c>
      <c r="W1282" s="2">
        <v>69.16</v>
      </c>
      <c r="X1282" s="3">
        <f t="shared" si="38"/>
        <v>24206</v>
      </c>
      <c r="Y1282">
        <f>VLOOKUP(D1282,'[1]Cost Sheet'!$C:$D,2,0)</f>
        <v>69.8</v>
      </c>
      <c r="Z1282" s="3">
        <f t="shared" si="39"/>
        <v>24430</v>
      </c>
    </row>
    <row r="1283" spans="1:26" x14ac:dyDescent="0.3">
      <c r="A1283" s="7" t="s">
        <v>21</v>
      </c>
      <c r="B1283" t="s">
        <v>564</v>
      </c>
      <c r="C1283" t="s">
        <v>565</v>
      </c>
      <c r="D1283" t="s">
        <v>1037</v>
      </c>
      <c r="E1283" t="s">
        <v>566</v>
      </c>
      <c r="F1283" t="s">
        <v>26</v>
      </c>
      <c r="G1283">
        <v>0</v>
      </c>
      <c r="H1283">
        <v>72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109</v>
      </c>
      <c r="W1283" s="2">
        <v>69.16</v>
      </c>
      <c r="X1283" s="3">
        <f t="shared" ref="X1283:X1346" si="40">S1283*W1283</f>
        <v>0</v>
      </c>
      <c r="Y1283">
        <f>VLOOKUP(D1283,'[1]Cost Sheet'!$C:$D,2,0)</f>
        <v>69.8</v>
      </c>
      <c r="Z1283" s="3">
        <f t="shared" ref="Z1283:Z1346" si="41">Y1283*S1283</f>
        <v>0</v>
      </c>
    </row>
    <row r="1284" spans="1:26" x14ac:dyDescent="0.3">
      <c r="A1284" s="7" t="s">
        <v>21</v>
      </c>
      <c r="B1284" t="s">
        <v>564</v>
      </c>
      <c r="C1284" t="s">
        <v>565</v>
      </c>
      <c r="D1284" t="s">
        <v>1037</v>
      </c>
      <c r="E1284" t="s">
        <v>566</v>
      </c>
      <c r="F1284" t="s">
        <v>26</v>
      </c>
      <c r="G1284">
        <v>204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204</v>
      </c>
      <c r="T1284">
        <v>0</v>
      </c>
      <c r="U1284" t="s">
        <v>33</v>
      </c>
      <c r="W1284" s="2">
        <v>69.16</v>
      </c>
      <c r="X1284" s="3">
        <f t="shared" si="40"/>
        <v>14108.64</v>
      </c>
      <c r="Y1284">
        <f>VLOOKUP(D1284,'[1]Cost Sheet'!$C:$D,2,0)</f>
        <v>69.8</v>
      </c>
      <c r="Z1284" s="3">
        <f t="shared" si="41"/>
        <v>14239.199999999999</v>
      </c>
    </row>
    <row r="1285" spans="1:26" x14ac:dyDescent="0.3">
      <c r="A1285" s="7" t="s">
        <v>21</v>
      </c>
      <c r="B1285" t="s">
        <v>564</v>
      </c>
      <c r="C1285" t="s">
        <v>565</v>
      </c>
      <c r="D1285" t="s">
        <v>1037</v>
      </c>
      <c r="E1285" t="s">
        <v>566</v>
      </c>
      <c r="F1285" t="s">
        <v>26</v>
      </c>
      <c r="G1285">
        <v>194</v>
      </c>
      <c r="H1285">
        <v>0</v>
      </c>
      <c r="I1285">
        <v>0</v>
      </c>
      <c r="J1285">
        <v>-6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188</v>
      </c>
      <c r="T1285">
        <v>0</v>
      </c>
      <c r="U1285" t="s">
        <v>46</v>
      </c>
      <c r="W1285" s="2">
        <v>69.16</v>
      </c>
      <c r="X1285" s="3">
        <f t="shared" si="40"/>
        <v>13002.08</v>
      </c>
      <c r="Y1285">
        <f>VLOOKUP(D1285,'[1]Cost Sheet'!$C:$D,2,0)</f>
        <v>69.8</v>
      </c>
      <c r="Z1285" s="3">
        <f t="shared" si="41"/>
        <v>13122.4</v>
      </c>
    </row>
    <row r="1286" spans="1:26" x14ac:dyDescent="0.3">
      <c r="A1286" s="7" t="s">
        <v>21</v>
      </c>
      <c r="B1286" t="s">
        <v>564</v>
      </c>
      <c r="C1286" t="s">
        <v>565</v>
      </c>
      <c r="D1286" t="s">
        <v>1037</v>
      </c>
      <c r="E1286" t="s">
        <v>566</v>
      </c>
      <c r="F1286" t="s">
        <v>26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 t="s">
        <v>110</v>
      </c>
      <c r="W1286" s="2">
        <v>69.16</v>
      </c>
      <c r="X1286" s="3">
        <f t="shared" si="40"/>
        <v>69.16</v>
      </c>
      <c r="Y1286">
        <f>VLOOKUP(D1286,'[1]Cost Sheet'!$C:$D,2,0)</f>
        <v>69.8</v>
      </c>
      <c r="Z1286" s="3">
        <f t="shared" si="41"/>
        <v>69.8</v>
      </c>
    </row>
    <row r="1287" spans="1:26" x14ac:dyDescent="0.3">
      <c r="A1287" s="7" t="s">
        <v>21</v>
      </c>
      <c r="B1287" t="s">
        <v>564</v>
      </c>
      <c r="C1287" t="s">
        <v>565</v>
      </c>
      <c r="D1287" t="s">
        <v>1037</v>
      </c>
      <c r="E1287" t="s">
        <v>566</v>
      </c>
      <c r="F1287" t="s">
        <v>26</v>
      </c>
      <c r="G1287">
        <v>71</v>
      </c>
      <c r="H1287">
        <v>0</v>
      </c>
      <c r="I1287">
        <v>0</v>
      </c>
      <c r="J1287">
        <v>-2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69</v>
      </c>
      <c r="T1287">
        <v>0</v>
      </c>
      <c r="U1287" t="s">
        <v>47</v>
      </c>
      <c r="W1287" s="2">
        <v>69.16</v>
      </c>
      <c r="X1287" s="3">
        <f t="shared" si="40"/>
        <v>4772.04</v>
      </c>
      <c r="Y1287">
        <f>VLOOKUP(D1287,'[1]Cost Sheet'!$C:$D,2,0)</f>
        <v>69.8</v>
      </c>
      <c r="Z1287" s="3">
        <f t="shared" si="41"/>
        <v>4816.2</v>
      </c>
    </row>
    <row r="1288" spans="1:26" x14ac:dyDescent="0.3">
      <c r="A1288" s="7" t="s">
        <v>21</v>
      </c>
      <c r="B1288" t="s">
        <v>564</v>
      </c>
      <c r="C1288" t="s">
        <v>565</v>
      </c>
      <c r="D1288" t="s">
        <v>1037</v>
      </c>
      <c r="E1288" t="s">
        <v>566</v>
      </c>
      <c r="F1288" t="s">
        <v>26</v>
      </c>
      <c r="G1288">
        <v>114</v>
      </c>
      <c r="H1288">
        <v>0</v>
      </c>
      <c r="I1288">
        <v>0</v>
      </c>
      <c r="J1288">
        <v>-5</v>
      </c>
      <c r="K1288">
        <v>0</v>
      </c>
      <c r="L1288">
        <v>0</v>
      </c>
      <c r="M1288">
        <v>72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181</v>
      </c>
      <c r="T1288">
        <v>0</v>
      </c>
      <c r="U1288" t="s">
        <v>40</v>
      </c>
      <c r="W1288" s="2">
        <v>69.16</v>
      </c>
      <c r="X1288" s="3">
        <f t="shared" si="40"/>
        <v>12517.96</v>
      </c>
      <c r="Y1288">
        <f>VLOOKUP(D1288,'[1]Cost Sheet'!$C:$D,2,0)</f>
        <v>69.8</v>
      </c>
      <c r="Z1288" s="3">
        <f t="shared" si="41"/>
        <v>12633.8</v>
      </c>
    </row>
    <row r="1289" spans="1:26" x14ac:dyDescent="0.3">
      <c r="A1289" s="7" t="s">
        <v>21</v>
      </c>
      <c r="B1289" t="s">
        <v>564</v>
      </c>
      <c r="C1289" t="s">
        <v>565</v>
      </c>
      <c r="D1289" t="s">
        <v>1037</v>
      </c>
      <c r="E1289" t="s">
        <v>566</v>
      </c>
      <c r="F1289" t="s">
        <v>26</v>
      </c>
      <c r="G1289">
        <v>133</v>
      </c>
      <c r="H1289">
        <v>0</v>
      </c>
      <c r="I1289">
        <v>0</v>
      </c>
      <c r="J1289">
        <v>-1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132</v>
      </c>
      <c r="T1289">
        <v>0</v>
      </c>
      <c r="U1289" t="s">
        <v>120</v>
      </c>
      <c r="W1289" s="2">
        <v>69.16</v>
      </c>
      <c r="X1289" s="3">
        <f t="shared" si="40"/>
        <v>9129.119999999999</v>
      </c>
      <c r="Y1289">
        <f>VLOOKUP(D1289,'[1]Cost Sheet'!$C:$D,2,0)</f>
        <v>69.8</v>
      </c>
      <c r="Z1289" s="3">
        <f t="shared" si="41"/>
        <v>9213.6</v>
      </c>
    </row>
    <row r="1290" spans="1:26" x14ac:dyDescent="0.3">
      <c r="A1290" s="7" t="s">
        <v>21</v>
      </c>
      <c r="B1290" t="s">
        <v>564</v>
      </c>
      <c r="C1290" t="s">
        <v>565</v>
      </c>
      <c r="D1290" t="s">
        <v>1037</v>
      </c>
      <c r="E1290" t="s">
        <v>566</v>
      </c>
      <c r="F1290" t="s">
        <v>26</v>
      </c>
      <c r="G1290">
        <v>349</v>
      </c>
      <c r="H1290">
        <v>0</v>
      </c>
      <c r="I1290">
        <v>0</v>
      </c>
      <c r="J1290">
        <v>-3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346</v>
      </c>
      <c r="T1290">
        <v>0</v>
      </c>
      <c r="U1290" t="s">
        <v>113</v>
      </c>
      <c r="W1290" s="2">
        <v>69.16</v>
      </c>
      <c r="X1290" s="3">
        <f t="shared" si="40"/>
        <v>23929.360000000001</v>
      </c>
      <c r="Y1290">
        <f>VLOOKUP(D1290,'[1]Cost Sheet'!$C:$D,2,0)</f>
        <v>69.8</v>
      </c>
      <c r="Z1290" s="3">
        <f t="shared" si="41"/>
        <v>24150.799999999999</v>
      </c>
    </row>
    <row r="1291" spans="1:26" x14ac:dyDescent="0.3">
      <c r="A1291" s="7" t="s">
        <v>21</v>
      </c>
      <c r="B1291" t="s">
        <v>564</v>
      </c>
      <c r="C1291" t="s">
        <v>565</v>
      </c>
      <c r="D1291" t="s">
        <v>1037</v>
      </c>
      <c r="E1291" t="s">
        <v>566</v>
      </c>
      <c r="F1291" t="s">
        <v>26</v>
      </c>
      <c r="G1291">
        <v>458</v>
      </c>
      <c r="H1291">
        <v>0</v>
      </c>
      <c r="I1291">
        <v>0</v>
      </c>
      <c r="J1291">
        <v>-5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453</v>
      </c>
      <c r="T1291">
        <v>0</v>
      </c>
      <c r="U1291" t="s">
        <v>48</v>
      </c>
      <c r="W1291" s="2">
        <v>69.16</v>
      </c>
      <c r="X1291" s="3">
        <f t="shared" si="40"/>
        <v>31329.48</v>
      </c>
      <c r="Y1291">
        <f>VLOOKUP(D1291,'[1]Cost Sheet'!$C:$D,2,0)</f>
        <v>69.8</v>
      </c>
      <c r="Z1291" s="3">
        <f t="shared" si="41"/>
        <v>31619.399999999998</v>
      </c>
    </row>
    <row r="1292" spans="1:26" x14ac:dyDescent="0.3">
      <c r="A1292" s="7" t="s">
        <v>21</v>
      </c>
      <c r="B1292" t="s">
        <v>564</v>
      </c>
      <c r="C1292" t="s">
        <v>565</v>
      </c>
      <c r="D1292" t="s">
        <v>1037</v>
      </c>
      <c r="E1292" t="s">
        <v>566</v>
      </c>
      <c r="F1292" t="s">
        <v>26</v>
      </c>
      <c r="G1292">
        <v>63</v>
      </c>
      <c r="H1292">
        <v>0</v>
      </c>
      <c r="I1292">
        <v>0</v>
      </c>
      <c r="J1292">
        <v>-1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63</v>
      </c>
      <c r="T1292">
        <v>0</v>
      </c>
      <c r="U1292" t="s">
        <v>59</v>
      </c>
      <c r="W1292" s="2">
        <v>69.16</v>
      </c>
      <c r="X1292" s="3">
        <f t="shared" si="40"/>
        <v>4357.08</v>
      </c>
      <c r="Y1292">
        <f>VLOOKUP(D1292,'[1]Cost Sheet'!$C:$D,2,0)</f>
        <v>69.8</v>
      </c>
      <c r="Z1292" s="3">
        <f t="shared" si="41"/>
        <v>4397.3999999999996</v>
      </c>
    </row>
    <row r="1293" spans="1:26" x14ac:dyDescent="0.3">
      <c r="A1293" s="7" t="s">
        <v>21</v>
      </c>
      <c r="B1293" t="s">
        <v>564</v>
      </c>
      <c r="C1293" t="s">
        <v>565</v>
      </c>
      <c r="D1293" t="s">
        <v>1037</v>
      </c>
      <c r="E1293" t="s">
        <v>566</v>
      </c>
      <c r="F1293" t="s">
        <v>26</v>
      </c>
      <c r="G1293">
        <v>143</v>
      </c>
      <c r="H1293">
        <v>0</v>
      </c>
      <c r="I1293">
        <v>0</v>
      </c>
      <c r="J1293">
        <v>-6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137</v>
      </c>
      <c r="T1293">
        <v>0</v>
      </c>
      <c r="U1293" t="s">
        <v>27</v>
      </c>
      <c r="W1293" s="2">
        <v>69.16</v>
      </c>
      <c r="X1293" s="3">
        <f t="shared" si="40"/>
        <v>9474.92</v>
      </c>
      <c r="Y1293">
        <f>VLOOKUP(D1293,'[1]Cost Sheet'!$C:$D,2,0)</f>
        <v>69.8</v>
      </c>
      <c r="Z1293" s="3">
        <f t="shared" si="41"/>
        <v>9562.6</v>
      </c>
    </row>
    <row r="1294" spans="1:26" x14ac:dyDescent="0.3">
      <c r="A1294" s="7" t="s">
        <v>21</v>
      </c>
      <c r="B1294" t="s">
        <v>564</v>
      </c>
      <c r="C1294" t="s">
        <v>565</v>
      </c>
      <c r="D1294" t="s">
        <v>1037</v>
      </c>
      <c r="E1294" t="s">
        <v>566</v>
      </c>
      <c r="F1294" t="s">
        <v>114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 t="s">
        <v>38</v>
      </c>
      <c r="W1294" s="2">
        <v>69.16</v>
      </c>
      <c r="X1294" s="3">
        <f t="shared" si="40"/>
        <v>69.16</v>
      </c>
      <c r="Y1294">
        <f>VLOOKUP(D1294,'[1]Cost Sheet'!$C:$D,2,0)</f>
        <v>69.8</v>
      </c>
      <c r="Z1294" s="3">
        <f t="shared" si="41"/>
        <v>69.8</v>
      </c>
    </row>
    <row r="1295" spans="1:26" x14ac:dyDescent="0.3">
      <c r="A1295" s="7" t="s">
        <v>21</v>
      </c>
      <c r="B1295" t="s">
        <v>564</v>
      </c>
      <c r="C1295" t="s">
        <v>565</v>
      </c>
      <c r="D1295" t="s">
        <v>1037</v>
      </c>
      <c r="E1295" t="s">
        <v>566</v>
      </c>
      <c r="F1295" t="s">
        <v>114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 t="s">
        <v>120</v>
      </c>
      <c r="W1295" s="2">
        <v>69.16</v>
      </c>
      <c r="X1295" s="3">
        <f t="shared" si="40"/>
        <v>69.16</v>
      </c>
      <c r="Y1295">
        <f>VLOOKUP(D1295,'[1]Cost Sheet'!$C:$D,2,0)</f>
        <v>69.8</v>
      </c>
      <c r="Z1295" s="3">
        <f t="shared" si="41"/>
        <v>69.8</v>
      </c>
    </row>
    <row r="1296" spans="1:26" x14ac:dyDescent="0.3">
      <c r="A1296" s="7" t="s">
        <v>21</v>
      </c>
      <c r="B1296" t="s">
        <v>567</v>
      </c>
      <c r="C1296" t="s">
        <v>568</v>
      </c>
      <c r="D1296" t="s">
        <v>1038</v>
      </c>
      <c r="E1296" t="s">
        <v>569</v>
      </c>
      <c r="F1296" t="s">
        <v>125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 t="s">
        <v>108</v>
      </c>
      <c r="W1296" s="2">
        <v>63.65</v>
      </c>
      <c r="X1296" s="3">
        <f t="shared" si="40"/>
        <v>63.65</v>
      </c>
      <c r="Y1296">
        <f>VLOOKUP(D1296,'[1]Cost Sheet'!$C:$D,2,0)</f>
        <v>63.65</v>
      </c>
      <c r="Z1296" s="3">
        <f t="shared" si="41"/>
        <v>63.65</v>
      </c>
    </row>
    <row r="1297" spans="1:26" x14ac:dyDescent="0.3">
      <c r="A1297" s="7" t="s">
        <v>21</v>
      </c>
      <c r="B1297" t="s">
        <v>567</v>
      </c>
      <c r="C1297" t="s">
        <v>568</v>
      </c>
      <c r="D1297" t="s">
        <v>1038</v>
      </c>
      <c r="E1297" t="s">
        <v>569</v>
      </c>
      <c r="F1297" t="s">
        <v>106</v>
      </c>
      <c r="G1297">
        <v>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4</v>
      </c>
      <c r="T1297">
        <v>0</v>
      </c>
      <c r="U1297" t="s">
        <v>45</v>
      </c>
      <c r="W1297" s="2">
        <v>63.65</v>
      </c>
      <c r="X1297" s="3">
        <f t="shared" si="40"/>
        <v>254.6</v>
      </c>
      <c r="Y1297">
        <f>VLOOKUP(D1297,'[1]Cost Sheet'!$C:$D,2,0)</f>
        <v>63.65</v>
      </c>
      <c r="Z1297" s="3">
        <f t="shared" si="41"/>
        <v>254.6</v>
      </c>
    </row>
    <row r="1298" spans="1:26" x14ac:dyDescent="0.3">
      <c r="A1298" s="7" t="s">
        <v>21</v>
      </c>
      <c r="B1298" t="s">
        <v>567</v>
      </c>
      <c r="C1298" t="s">
        <v>568</v>
      </c>
      <c r="D1298" t="s">
        <v>1038</v>
      </c>
      <c r="E1298" t="s">
        <v>569</v>
      </c>
      <c r="F1298" t="s">
        <v>106</v>
      </c>
      <c r="G1298">
        <v>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4</v>
      </c>
      <c r="T1298">
        <v>0</v>
      </c>
      <c r="U1298" t="s">
        <v>39</v>
      </c>
      <c r="W1298" s="2">
        <v>63.65</v>
      </c>
      <c r="X1298" s="3">
        <f t="shared" si="40"/>
        <v>254.6</v>
      </c>
      <c r="Y1298">
        <f>VLOOKUP(D1298,'[1]Cost Sheet'!$C:$D,2,0)</f>
        <v>63.65</v>
      </c>
      <c r="Z1298" s="3">
        <f t="shared" si="41"/>
        <v>254.6</v>
      </c>
    </row>
    <row r="1299" spans="1:26" x14ac:dyDescent="0.3">
      <c r="A1299" s="7" t="s">
        <v>21</v>
      </c>
      <c r="B1299" t="s">
        <v>567</v>
      </c>
      <c r="C1299" t="s">
        <v>568</v>
      </c>
      <c r="D1299" t="s">
        <v>1038</v>
      </c>
      <c r="E1299" t="s">
        <v>569</v>
      </c>
      <c r="F1299" t="s">
        <v>93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10</v>
      </c>
      <c r="T1299">
        <v>0</v>
      </c>
      <c r="U1299" t="s">
        <v>32</v>
      </c>
      <c r="W1299" s="2">
        <v>63.65</v>
      </c>
      <c r="X1299" s="3">
        <f t="shared" si="40"/>
        <v>636.5</v>
      </c>
      <c r="Y1299">
        <f>VLOOKUP(D1299,'[1]Cost Sheet'!$C:$D,2,0)</f>
        <v>63.65</v>
      </c>
      <c r="Z1299" s="3">
        <f t="shared" si="41"/>
        <v>636.5</v>
      </c>
    </row>
    <row r="1300" spans="1:26" x14ac:dyDescent="0.3">
      <c r="A1300" s="7" t="s">
        <v>21</v>
      </c>
      <c r="B1300" t="s">
        <v>567</v>
      </c>
      <c r="C1300" t="s">
        <v>568</v>
      </c>
      <c r="D1300" t="s">
        <v>1038</v>
      </c>
      <c r="E1300" t="s">
        <v>569</v>
      </c>
      <c r="F1300" t="s">
        <v>26</v>
      </c>
      <c r="G1300">
        <v>6</v>
      </c>
      <c r="H1300">
        <v>0</v>
      </c>
      <c r="I1300">
        <v>0</v>
      </c>
      <c r="J1300">
        <v>-1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5</v>
      </c>
      <c r="T1300">
        <v>0</v>
      </c>
      <c r="U1300" t="s">
        <v>38</v>
      </c>
      <c r="W1300" s="2">
        <v>63.65</v>
      </c>
      <c r="X1300" s="3">
        <f t="shared" si="40"/>
        <v>318.25</v>
      </c>
      <c r="Y1300">
        <f>VLOOKUP(D1300,'[1]Cost Sheet'!$C:$D,2,0)</f>
        <v>63.65</v>
      </c>
      <c r="Z1300" s="3">
        <f t="shared" si="41"/>
        <v>318.25</v>
      </c>
    </row>
    <row r="1301" spans="1:26" x14ac:dyDescent="0.3">
      <c r="A1301" s="7" t="s">
        <v>21</v>
      </c>
      <c r="B1301" t="s">
        <v>567</v>
      </c>
      <c r="C1301" t="s">
        <v>568</v>
      </c>
      <c r="D1301" t="s">
        <v>1038</v>
      </c>
      <c r="E1301" t="s">
        <v>569</v>
      </c>
      <c r="F1301" t="s">
        <v>26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 t="s">
        <v>151</v>
      </c>
      <c r="W1301" s="2">
        <v>63.65</v>
      </c>
      <c r="X1301" s="3">
        <f t="shared" si="40"/>
        <v>63.65</v>
      </c>
      <c r="Y1301">
        <f>VLOOKUP(D1301,'[1]Cost Sheet'!$C:$D,2,0)</f>
        <v>63.65</v>
      </c>
      <c r="Z1301" s="3">
        <f t="shared" si="41"/>
        <v>63.65</v>
      </c>
    </row>
    <row r="1302" spans="1:26" x14ac:dyDescent="0.3">
      <c r="A1302" s="7" t="s">
        <v>21</v>
      </c>
      <c r="B1302" t="s">
        <v>567</v>
      </c>
      <c r="C1302" t="s">
        <v>568</v>
      </c>
      <c r="D1302" t="s">
        <v>1038</v>
      </c>
      <c r="E1302" t="s">
        <v>569</v>
      </c>
      <c r="F1302" t="s">
        <v>26</v>
      </c>
      <c r="G1302">
        <v>51</v>
      </c>
      <c r="H1302">
        <v>0</v>
      </c>
      <c r="I1302">
        <v>0</v>
      </c>
      <c r="J1302">
        <v>-1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50</v>
      </c>
      <c r="T1302">
        <v>0</v>
      </c>
      <c r="U1302" t="s">
        <v>45</v>
      </c>
      <c r="W1302" s="2">
        <v>63.65</v>
      </c>
      <c r="X1302" s="3">
        <f t="shared" si="40"/>
        <v>3182.5</v>
      </c>
      <c r="Y1302">
        <f>VLOOKUP(D1302,'[1]Cost Sheet'!$C:$D,2,0)</f>
        <v>63.65</v>
      </c>
      <c r="Z1302" s="3">
        <f t="shared" si="41"/>
        <v>3182.5</v>
      </c>
    </row>
    <row r="1303" spans="1:26" x14ac:dyDescent="0.3">
      <c r="A1303" s="7" t="s">
        <v>21</v>
      </c>
      <c r="B1303" t="s">
        <v>567</v>
      </c>
      <c r="C1303" t="s">
        <v>568</v>
      </c>
      <c r="D1303" t="s">
        <v>1038</v>
      </c>
      <c r="E1303" t="s">
        <v>569</v>
      </c>
      <c r="F1303" t="s">
        <v>26</v>
      </c>
      <c r="G1303">
        <v>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3</v>
      </c>
      <c r="T1303">
        <v>0</v>
      </c>
      <c r="U1303" t="s">
        <v>39</v>
      </c>
      <c r="W1303" s="2">
        <v>63.65</v>
      </c>
      <c r="X1303" s="3">
        <f t="shared" si="40"/>
        <v>190.95</v>
      </c>
      <c r="Y1303">
        <f>VLOOKUP(D1303,'[1]Cost Sheet'!$C:$D,2,0)</f>
        <v>63.65</v>
      </c>
      <c r="Z1303" s="3">
        <f t="shared" si="41"/>
        <v>190.95</v>
      </c>
    </row>
    <row r="1304" spans="1:26" x14ac:dyDescent="0.3">
      <c r="A1304" s="7" t="s">
        <v>21</v>
      </c>
      <c r="B1304" t="s">
        <v>567</v>
      </c>
      <c r="C1304" t="s">
        <v>568</v>
      </c>
      <c r="D1304" t="s">
        <v>1038</v>
      </c>
      <c r="E1304" t="s">
        <v>569</v>
      </c>
      <c r="F1304" t="s">
        <v>26</v>
      </c>
      <c r="G1304">
        <v>13</v>
      </c>
      <c r="H1304">
        <v>0</v>
      </c>
      <c r="I1304">
        <v>0</v>
      </c>
      <c r="J1304">
        <v>-1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12</v>
      </c>
      <c r="T1304">
        <v>0</v>
      </c>
      <c r="U1304" t="s">
        <v>53</v>
      </c>
      <c r="W1304" s="2">
        <v>63.65</v>
      </c>
      <c r="X1304" s="3">
        <f t="shared" si="40"/>
        <v>763.8</v>
      </c>
      <c r="Y1304">
        <f>VLOOKUP(D1304,'[1]Cost Sheet'!$C:$D,2,0)</f>
        <v>63.65</v>
      </c>
      <c r="Z1304" s="3">
        <f t="shared" si="41"/>
        <v>763.8</v>
      </c>
    </row>
    <row r="1305" spans="1:26" x14ac:dyDescent="0.3">
      <c r="A1305" s="7" t="s">
        <v>21</v>
      </c>
      <c r="B1305" t="s">
        <v>567</v>
      </c>
      <c r="C1305" t="s">
        <v>568</v>
      </c>
      <c r="D1305" t="s">
        <v>1038</v>
      </c>
      <c r="E1305" t="s">
        <v>569</v>
      </c>
      <c r="F1305" t="s">
        <v>26</v>
      </c>
      <c r="G1305">
        <v>17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17</v>
      </c>
      <c r="T1305">
        <v>0</v>
      </c>
      <c r="U1305" t="s">
        <v>54</v>
      </c>
      <c r="W1305" s="2">
        <v>63.65</v>
      </c>
      <c r="X1305" s="3">
        <f t="shared" si="40"/>
        <v>1082.05</v>
      </c>
      <c r="Y1305">
        <f>VLOOKUP(D1305,'[1]Cost Sheet'!$C:$D,2,0)</f>
        <v>63.65</v>
      </c>
      <c r="Z1305" s="3">
        <f t="shared" si="41"/>
        <v>1082.05</v>
      </c>
    </row>
    <row r="1306" spans="1:26" x14ac:dyDescent="0.3">
      <c r="A1306" s="7" t="s">
        <v>21</v>
      </c>
      <c r="B1306" t="s">
        <v>567</v>
      </c>
      <c r="C1306" t="s">
        <v>568</v>
      </c>
      <c r="D1306" t="s">
        <v>1038</v>
      </c>
      <c r="E1306" t="s">
        <v>569</v>
      </c>
      <c r="F1306" t="s">
        <v>26</v>
      </c>
      <c r="G1306">
        <v>24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24</v>
      </c>
      <c r="T1306">
        <v>0</v>
      </c>
      <c r="U1306" t="s">
        <v>32</v>
      </c>
      <c r="W1306" s="2">
        <v>63.65</v>
      </c>
      <c r="X1306" s="3">
        <f t="shared" si="40"/>
        <v>1527.6</v>
      </c>
      <c r="Y1306">
        <f>VLOOKUP(D1306,'[1]Cost Sheet'!$C:$D,2,0)</f>
        <v>63.65</v>
      </c>
      <c r="Z1306" s="3">
        <f t="shared" si="41"/>
        <v>1527.6</v>
      </c>
    </row>
    <row r="1307" spans="1:26" x14ac:dyDescent="0.3">
      <c r="A1307" s="7" t="s">
        <v>21</v>
      </c>
      <c r="B1307" t="s">
        <v>567</v>
      </c>
      <c r="C1307" t="s">
        <v>568</v>
      </c>
      <c r="D1307" t="s">
        <v>1038</v>
      </c>
      <c r="E1307" t="s">
        <v>569</v>
      </c>
      <c r="F1307" t="s">
        <v>26</v>
      </c>
      <c r="G1307">
        <v>71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71</v>
      </c>
      <c r="T1307">
        <v>0</v>
      </c>
      <c r="U1307" t="s">
        <v>33</v>
      </c>
      <c r="W1307" s="2">
        <v>63.65</v>
      </c>
      <c r="X1307" s="3">
        <f t="shared" si="40"/>
        <v>4519.1499999999996</v>
      </c>
      <c r="Y1307">
        <f>VLOOKUP(D1307,'[1]Cost Sheet'!$C:$D,2,0)</f>
        <v>63.65</v>
      </c>
      <c r="Z1307" s="3">
        <f t="shared" si="41"/>
        <v>4519.1499999999996</v>
      </c>
    </row>
    <row r="1308" spans="1:26" x14ac:dyDescent="0.3">
      <c r="A1308" s="7" t="s">
        <v>21</v>
      </c>
      <c r="B1308" t="s">
        <v>567</v>
      </c>
      <c r="C1308" t="s">
        <v>568</v>
      </c>
      <c r="D1308" t="s">
        <v>1038</v>
      </c>
      <c r="E1308" t="s">
        <v>569</v>
      </c>
      <c r="F1308" t="s">
        <v>26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3</v>
      </c>
      <c r="T1308">
        <v>0</v>
      </c>
      <c r="U1308" t="s">
        <v>46</v>
      </c>
      <c r="W1308" s="2">
        <v>63.65</v>
      </c>
      <c r="X1308" s="3">
        <f t="shared" si="40"/>
        <v>190.95</v>
      </c>
      <c r="Y1308">
        <f>VLOOKUP(D1308,'[1]Cost Sheet'!$C:$D,2,0)</f>
        <v>63.65</v>
      </c>
      <c r="Z1308" s="3">
        <f t="shared" si="41"/>
        <v>190.95</v>
      </c>
    </row>
    <row r="1309" spans="1:26" x14ac:dyDescent="0.3">
      <c r="A1309" s="7" t="s">
        <v>21</v>
      </c>
      <c r="B1309" t="s">
        <v>567</v>
      </c>
      <c r="C1309" t="s">
        <v>568</v>
      </c>
      <c r="D1309" t="s">
        <v>1038</v>
      </c>
      <c r="E1309" t="s">
        <v>569</v>
      </c>
      <c r="F1309" t="s">
        <v>26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 t="s">
        <v>119</v>
      </c>
      <c r="W1309" s="2">
        <v>63.65</v>
      </c>
      <c r="X1309" s="3">
        <f t="shared" si="40"/>
        <v>63.65</v>
      </c>
      <c r="Y1309">
        <f>VLOOKUP(D1309,'[1]Cost Sheet'!$C:$D,2,0)</f>
        <v>63.65</v>
      </c>
      <c r="Z1309" s="3">
        <f t="shared" si="41"/>
        <v>63.65</v>
      </c>
    </row>
    <row r="1310" spans="1:26" x14ac:dyDescent="0.3">
      <c r="A1310" s="7" t="s">
        <v>21</v>
      </c>
      <c r="B1310" t="s">
        <v>567</v>
      </c>
      <c r="C1310" t="s">
        <v>568</v>
      </c>
      <c r="D1310" t="s">
        <v>1038</v>
      </c>
      <c r="E1310" t="s">
        <v>569</v>
      </c>
      <c r="F1310" t="s">
        <v>26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2</v>
      </c>
      <c r="T1310">
        <v>0</v>
      </c>
      <c r="U1310" t="s">
        <v>111</v>
      </c>
      <c r="W1310" s="2">
        <v>63.65</v>
      </c>
      <c r="X1310" s="3">
        <f t="shared" si="40"/>
        <v>127.3</v>
      </c>
      <c r="Y1310">
        <f>VLOOKUP(D1310,'[1]Cost Sheet'!$C:$D,2,0)</f>
        <v>63.65</v>
      </c>
      <c r="Z1310" s="3">
        <f t="shared" si="41"/>
        <v>127.3</v>
      </c>
    </row>
    <row r="1311" spans="1:26" x14ac:dyDescent="0.3">
      <c r="A1311" s="7" t="s">
        <v>21</v>
      </c>
      <c r="B1311" t="s">
        <v>567</v>
      </c>
      <c r="C1311" t="s">
        <v>568</v>
      </c>
      <c r="D1311" t="s">
        <v>1038</v>
      </c>
      <c r="E1311" t="s">
        <v>569</v>
      </c>
      <c r="F1311" t="s">
        <v>26</v>
      </c>
      <c r="G1311">
        <v>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5</v>
      </c>
      <c r="T1311">
        <v>0</v>
      </c>
      <c r="U1311" t="s">
        <v>47</v>
      </c>
      <c r="W1311" s="2">
        <v>63.65</v>
      </c>
      <c r="X1311" s="3">
        <f t="shared" si="40"/>
        <v>318.25</v>
      </c>
      <c r="Y1311">
        <f>VLOOKUP(D1311,'[1]Cost Sheet'!$C:$D,2,0)</f>
        <v>63.65</v>
      </c>
      <c r="Z1311" s="3">
        <f t="shared" si="41"/>
        <v>318.25</v>
      </c>
    </row>
    <row r="1312" spans="1:26" x14ac:dyDescent="0.3">
      <c r="A1312" s="7" t="s">
        <v>21</v>
      </c>
      <c r="B1312" t="s">
        <v>567</v>
      </c>
      <c r="C1312" t="s">
        <v>568</v>
      </c>
      <c r="D1312" t="s">
        <v>1038</v>
      </c>
      <c r="E1312" t="s">
        <v>569</v>
      </c>
      <c r="F1312" t="s">
        <v>26</v>
      </c>
      <c r="G1312">
        <v>10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10</v>
      </c>
      <c r="T1312">
        <v>0</v>
      </c>
      <c r="U1312" t="s">
        <v>40</v>
      </c>
      <c r="W1312" s="2">
        <v>63.65</v>
      </c>
      <c r="X1312" s="3">
        <f t="shared" si="40"/>
        <v>636.5</v>
      </c>
      <c r="Y1312">
        <f>VLOOKUP(D1312,'[1]Cost Sheet'!$C:$D,2,0)</f>
        <v>63.65</v>
      </c>
      <c r="Z1312" s="3">
        <f t="shared" si="41"/>
        <v>636.5</v>
      </c>
    </row>
    <row r="1313" spans="1:26" x14ac:dyDescent="0.3">
      <c r="A1313" s="7" t="s">
        <v>21</v>
      </c>
      <c r="B1313" t="s">
        <v>567</v>
      </c>
      <c r="C1313" t="s">
        <v>568</v>
      </c>
      <c r="D1313" t="s">
        <v>1038</v>
      </c>
      <c r="E1313" t="s">
        <v>569</v>
      </c>
      <c r="F1313" t="s">
        <v>26</v>
      </c>
      <c r="G1313">
        <v>60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60</v>
      </c>
      <c r="T1313">
        <v>0</v>
      </c>
      <c r="U1313" t="s">
        <v>113</v>
      </c>
      <c r="W1313" s="2">
        <v>63.65</v>
      </c>
      <c r="X1313" s="3">
        <f t="shared" si="40"/>
        <v>3819</v>
      </c>
      <c r="Y1313">
        <f>VLOOKUP(D1313,'[1]Cost Sheet'!$C:$D,2,0)</f>
        <v>63.65</v>
      </c>
      <c r="Z1313" s="3">
        <f t="shared" si="41"/>
        <v>3819</v>
      </c>
    </row>
    <row r="1314" spans="1:26" x14ac:dyDescent="0.3">
      <c r="A1314" s="7" t="s">
        <v>21</v>
      </c>
      <c r="B1314" t="s">
        <v>567</v>
      </c>
      <c r="C1314" t="s">
        <v>568</v>
      </c>
      <c r="D1314" t="s">
        <v>1038</v>
      </c>
      <c r="E1314" t="s">
        <v>569</v>
      </c>
      <c r="F1314" t="s">
        <v>26</v>
      </c>
      <c r="G1314">
        <v>18</v>
      </c>
      <c r="H1314">
        <v>0</v>
      </c>
      <c r="I1314">
        <v>0</v>
      </c>
      <c r="J1314">
        <v>-1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17</v>
      </c>
      <c r="T1314">
        <v>0</v>
      </c>
      <c r="U1314" t="s">
        <v>48</v>
      </c>
      <c r="W1314" s="2">
        <v>63.65</v>
      </c>
      <c r="X1314" s="3">
        <f t="shared" si="40"/>
        <v>1082.05</v>
      </c>
      <c r="Y1314">
        <f>VLOOKUP(D1314,'[1]Cost Sheet'!$C:$D,2,0)</f>
        <v>63.65</v>
      </c>
      <c r="Z1314" s="3">
        <f t="shared" si="41"/>
        <v>1082.05</v>
      </c>
    </row>
    <row r="1315" spans="1:26" x14ac:dyDescent="0.3">
      <c r="A1315" s="7" t="s">
        <v>21</v>
      </c>
      <c r="B1315" t="s">
        <v>567</v>
      </c>
      <c r="C1315" t="s">
        <v>568</v>
      </c>
      <c r="D1315" t="s">
        <v>1038</v>
      </c>
      <c r="E1315" t="s">
        <v>569</v>
      </c>
      <c r="F1315" t="s">
        <v>26</v>
      </c>
      <c r="G1315">
        <v>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4</v>
      </c>
      <c r="T1315">
        <v>0</v>
      </c>
      <c r="U1315" t="s">
        <v>59</v>
      </c>
      <c r="W1315" s="2">
        <v>63.65</v>
      </c>
      <c r="X1315" s="3">
        <f t="shared" si="40"/>
        <v>254.6</v>
      </c>
      <c r="Y1315">
        <f>VLOOKUP(D1315,'[1]Cost Sheet'!$C:$D,2,0)</f>
        <v>63.65</v>
      </c>
      <c r="Z1315" s="3">
        <f t="shared" si="41"/>
        <v>254.6</v>
      </c>
    </row>
    <row r="1316" spans="1:26" x14ac:dyDescent="0.3">
      <c r="A1316" s="7" t="s">
        <v>21</v>
      </c>
      <c r="B1316" t="s">
        <v>567</v>
      </c>
      <c r="C1316" t="s">
        <v>568</v>
      </c>
      <c r="D1316" t="s">
        <v>1038</v>
      </c>
      <c r="E1316" t="s">
        <v>569</v>
      </c>
      <c r="F1316" t="s">
        <v>26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3</v>
      </c>
      <c r="T1316">
        <v>0</v>
      </c>
      <c r="U1316" t="s">
        <v>27</v>
      </c>
      <c r="W1316" s="2">
        <v>63.65</v>
      </c>
      <c r="X1316" s="3">
        <f t="shared" si="40"/>
        <v>190.95</v>
      </c>
      <c r="Y1316">
        <f>VLOOKUP(D1316,'[1]Cost Sheet'!$C:$D,2,0)</f>
        <v>63.65</v>
      </c>
      <c r="Z1316" s="3">
        <f t="shared" si="41"/>
        <v>190.95</v>
      </c>
    </row>
    <row r="1317" spans="1:26" x14ac:dyDescent="0.3">
      <c r="A1317" s="7" t="s">
        <v>21</v>
      </c>
      <c r="B1317" t="s">
        <v>570</v>
      </c>
      <c r="C1317" t="s">
        <v>571</v>
      </c>
      <c r="D1317" t="s">
        <v>1039</v>
      </c>
      <c r="E1317" t="s">
        <v>572</v>
      </c>
      <c r="F1317" t="s">
        <v>106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 t="s">
        <v>45</v>
      </c>
      <c r="W1317" s="2">
        <v>75.010000000000005</v>
      </c>
      <c r="X1317" s="3">
        <f t="shared" si="40"/>
        <v>75.010000000000005</v>
      </c>
      <c r="Y1317">
        <f>VLOOKUP(D1317,'[1]Cost Sheet'!$C:$D,2,0)</f>
        <v>74.959999999999994</v>
      </c>
      <c r="Z1317" s="3">
        <f t="shared" si="41"/>
        <v>74.959999999999994</v>
      </c>
    </row>
    <row r="1318" spans="1:26" x14ac:dyDescent="0.3">
      <c r="A1318" s="7" t="s">
        <v>21</v>
      </c>
      <c r="B1318" t="s">
        <v>570</v>
      </c>
      <c r="C1318" t="s">
        <v>571</v>
      </c>
      <c r="D1318" t="s">
        <v>1039</v>
      </c>
      <c r="E1318" t="s">
        <v>572</v>
      </c>
      <c r="F1318" t="s">
        <v>106</v>
      </c>
      <c r="G1318">
        <v>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4</v>
      </c>
      <c r="T1318">
        <v>0</v>
      </c>
      <c r="U1318" t="s">
        <v>46</v>
      </c>
      <c r="W1318" s="2">
        <v>75.010000000000005</v>
      </c>
      <c r="X1318" s="3">
        <f t="shared" si="40"/>
        <v>300.04000000000002</v>
      </c>
      <c r="Y1318">
        <f>VLOOKUP(D1318,'[1]Cost Sheet'!$C:$D,2,0)</f>
        <v>74.959999999999994</v>
      </c>
      <c r="Z1318" s="3">
        <f t="shared" si="41"/>
        <v>299.83999999999997</v>
      </c>
    </row>
    <row r="1319" spans="1:26" x14ac:dyDescent="0.3">
      <c r="A1319" s="7" t="s">
        <v>21</v>
      </c>
      <c r="B1319" t="s">
        <v>570</v>
      </c>
      <c r="C1319" t="s">
        <v>571</v>
      </c>
      <c r="D1319" t="s">
        <v>1039</v>
      </c>
      <c r="E1319" t="s">
        <v>572</v>
      </c>
      <c r="F1319" t="s">
        <v>130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-1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2</v>
      </c>
      <c r="T1319">
        <v>0</v>
      </c>
      <c r="U1319" t="s">
        <v>46</v>
      </c>
      <c r="W1319" s="2">
        <v>75.010000000000005</v>
      </c>
      <c r="X1319" s="3">
        <f t="shared" si="40"/>
        <v>150.02000000000001</v>
      </c>
      <c r="Y1319">
        <f>VLOOKUP(D1319,'[1]Cost Sheet'!$C:$D,2,0)</f>
        <v>74.959999999999994</v>
      </c>
      <c r="Z1319" s="3">
        <f t="shared" si="41"/>
        <v>149.91999999999999</v>
      </c>
    </row>
    <row r="1320" spans="1:26" x14ac:dyDescent="0.3">
      <c r="A1320" s="7" t="s">
        <v>21</v>
      </c>
      <c r="B1320" t="s">
        <v>570</v>
      </c>
      <c r="C1320" t="s">
        <v>571</v>
      </c>
      <c r="D1320" t="s">
        <v>1039</v>
      </c>
      <c r="E1320" t="s">
        <v>572</v>
      </c>
      <c r="F1320" t="s">
        <v>26</v>
      </c>
      <c r="G1320">
        <v>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7</v>
      </c>
      <c r="T1320">
        <v>0</v>
      </c>
      <c r="U1320" t="s">
        <v>45</v>
      </c>
      <c r="W1320" s="2">
        <v>75.010000000000005</v>
      </c>
      <c r="X1320" s="3">
        <f t="shared" si="40"/>
        <v>525.07000000000005</v>
      </c>
      <c r="Y1320">
        <f>VLOOKUP(D1320,'[1]Cost Sheet'!$C:$D,2,0)</f>
        <v>74.959999999999994</v>
      </c>
      <c r="Z1320" s="3">
        <f t="shared" si="41"/>
        <v>524.71999999999991</v>
      </c>
    </row>
    <row r="1321" spans="1:26" x14ac:dyDescent="0.3">
      <c r="A1321" s="7" t="s">
        <v>21</v>
      </c>
      <c r="B1321" t="s">
        <v>570</v>
      </c>
      <c r="C1321" t="s">
        <v>571</v>
      </c>
      <c r="D1321" t="s">
        <v>1039</v>
      </c>
      <c r="E1321" t="s">
        <v>572</v>
      </c>
      <c r="F1321" t="s">
        <v>26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</v>
      </c>
      <c r="T1321">
        <v>0</v>
      </c>
      <c r="U1321" t="s">
        <v>39</v>
      </c>
      <c r="W1321" s="2">
        <v>75.010000000000005</v>
      </c>
      <c r="X1321" s="3">
        <f t="shared" si="40"/>
        <v>150.02000000000001</v>
      </c>
      <c r="Y1321">
        <f>VLOOKUP(D1321,'[1]Cost Sheet'!$C:$D,2,0)</f>
        <v>74.959999999999994</v>
      </c>
      <c r="Z1321" s="3">
        <f t="shared" si="41"/>
        <v>149.91999999999999</v>
      </c>
    </row>
    <row r="1322" spans="1:26" x14ac:dyDescent="0.3">
      <c r="A1322" s="7" t="s">
        <v>21</v>
      </c>
      <c r="B1322" t="s">
        <v>570</v>
      </c>
      <c r="C1322" t="s">
        <v>571</v>
      </c>
      <c r="D1322" t="s">
        <v>1039</v>
      </c>
      <c r="E1322" t="s">
        <v>572</v>
      </c>
      <c r="F1322" t="s">
        <v>26</v>
      </c>
      <c r="G1322">
        <v>1</v>
      </c>
      <c r="H1322">
        <v>0</v>
      </c>
      <c r="I1322">
        <v>0</v>
      </c>
      <c r="J1322">
        <v>-1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 t="s">
        <v>53</v>
      </c>
      <c r="W1322" s="2">
        <v>75.010000000000005</v>
      </c>
      <c r="X1322" s="3">
        <f t="shared" si="40"/>
        <v>0</v>
      </c>
      <c r="Y1322">
        <f>VLOOKUP(D1322,'[1]Cost Sheet'!$C:$D,2,0)</f>
        <v>74.959999999999994</v>
      </c>
      <c r="Z1322" s="3">
        <f t="shared" si="41"/>
        <v>0</v>
      </c>
    </row>
    <row r="1323" spans="1:26" x14ac:dyDescent="0.3">
      <c r="A1323" s="7" t="s">
        <v>21</v>
      </c>
      <c r="B1323" t="s">
        <v>570</v>
      </c>
      <c r="C1323" t="s">
        <v>571</v>
      </c>
      <c r="D1323" t="s">
        <v>1039</v>
      </c>
      <c r="E1323" t="s">
        <v>572</v>
      </c>
      <c r="F1323" t="s">
        <v>26</v>
      </c>
      <c r="G1323">
        <v>8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8</v>
      </c>
      <c r="T1323">
        <v>0</v>
      </c>
      <c r="U1323" t="s">
        <v>54</v>
      </c>
      <c r="W1323" s="2">
        <v>75.010000000000005</v>
      </c>
      <c r="X1323" s="3">
        <f t="shared" si="40"/>
        <v>600.08000000000004</v>
      </c>
      <c r="Y1323">
        <f>VLOOKUP(D1323,'[1]Cost Sheet'!$C:$D,2,0)</f>
        <v>74.959999999999994</v>
      </c>
      <c r="Z1323" s="3">
        <f t="shared" si="41"/>
        <v>599.67999999999995</v>
      </c>
    </row>
    <row r="1324" spans="1:26" x14ac:dyDescent="0.3">
      <c r="A1324" s="7" t="s">
        <v>21</v>
      </c>
      <c r="B1324" t="s">
        <v>570</v>
      </c>
      <c r="C1324" t="s">
        <v>571</v>
      </c>
      <c r="D1324" t="s">
        <v>1039</v>
      </c>
      <c r="E1324" t="s">
        <v>572</v>
      </c>
      <c r="F1324" t="s">
        <v>26</v>
      </c>
      <c r="G1324">
        <v>22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22</v>
      </c>
      <c r="T1324">
        <v>0</v>
      </c>
      <c r="U1324" t="s">
        <v>32</v>
      </c>
      <c r="W1324" s="2">
        <v>75.010000000000005</v>
      </c>
      <c r="X1324" s="3">
        <f t="shared" si="40"/>
        <v>1650.22</v>
      </c>
      <c r="Y1324">
        <f>VLOOKUP(D1324,'[1]Cost Sheet'!$C:$D,2,0)</f>
        <v>74.959999999999994</v>
      </c>
      <c r="Z1324" s="3">
        <f t="shared" si="41"/>
        <v>1649.12</v>
      </c>
    </row>
    <row r="1325" spans="1:26" x14ac:dyDescent="0.3">
      <c r="A1325" s="7" t="s">
        <v>21</v>
      </c>
      <c r="B1325" t="s">
        <v>570</v>
      </c>
      <c r="C1325" t="s">
        <v>571</v>
      </c>
      <c r="D1325" t="s">
        <v>1039</v>
      </c>
      <c r="E1325" t="s">
        <v>572</v>
      </c>
      <c r="F1325" t="s">
        <v>26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 t="s">
        <v>33</v>
      </c>
      <c r="W1325" s="2">
        <v>75.010000000000005</v>
      </c>
      <c r="X1325" s="3">
        <f t="shared" si="40"/>
        <v>75.010000000000005</v>
      </c>
      <c r="Y1325">
        <f>VLOOKUP(D1325,'[1]Cost Sheet'!$C:$D,2,0)</f>
        <v>74.959999999999994</v>
      </c>
      <c r="Z1325" s="3">
        <f t="shared" si="41"/>
        <v>74.959999999999994</v>
      </c>
    </row>
    <row r="1326" spans="1:26" x14ac:dyDescent="0.3">
      <c r="A1326" s="7" t="s">
        <v>21</v>
      </c>
      <c r="B1326" t="s">
        <v>570</v>
      </c>
      <c r="C1326" t="s">
        <v>571</v>
      </c>
      <c r="D1326" t="s">
        <v>1039</v>
      </c>
      <c r="E1326" t="s">
        <v>572</v>
      </c>
      <c r="F1326" t="s">
        <v>26</v>
      </c>
      <c r="G1326">
        <v>12</v>
      </c>
      <c r="H1326">
        <v>0</v>
      </c>
      <c r="I1326">
        <v>0</v>
      </c>
      <c r="J1326">
        <v>-2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10</v>
      </c>
      <c r="T1326">
        <v>0</v>
      </c>
      <c r="U1326" t="s">
        <v>46</v>
      </c>
      <c r="W1326" s="2">
        <v>75.010000000000005</v>
      </c>
      <c r="X1326" s="3">
        <f t="shared" si="40"/>
        <v>750.1</v>
      </c>
      <c r="Y1326">
        <f>VLOOKUP(D1326,'[1]Cost Sheet'!$C:$D,2,0)</f>
        <v>74.959999999999994</v>
      </c>
      <c r="Z1326" s="3">
        <f t="shared" si="41"/>
        <v>749.59999999999991</v>
      </c>
    </row>
    <row r="1327" spans="1:26" x14ac:dyDescent="0.3">
      <c r="A1327" s="7" t="s">
        <v>21</v>
      </c>
      <c r="B1327" t="s">
        <v>570</v>
      </c>
      <c r="C1327" t="s">
        <v>571</v>
      </c>
      <c r="D1327" t="s">
        <v>1039</v>
      </c>
      <c r="E1327" t="s">
        <v>572</v>
      </c>
      <c r="F1327" t="s">
        <v>26</v>
      </c>
      <c r="G1327">
        <v>14</v>
      </c>
      <c r="H1327">
        <v>0</v>
      </c>
      <c r="I1327">
        <v>0</v>
      </c>
      <c r="J1327">
        <v>-1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13</v>
      </c>
      <c r="T1327">
        <v>0</v>
      </c>
      <c r="U1327" t="s">
        <v>47</v>
      </c>
      <c r="W1327" s="2">
        <v>75.010000000000005</v>
      </c>
      <c r="X1327" s="3">
        <f t="shared" si="40"/>
        <v>975.13000000000011</v>
      </c>
      <c r="Y1327">
        <f>VLOOKUP(D1327,'[1]Cost Sheet'!$C:$D,2,0)</f>
        <v>74.959999999999994</v>
      </c>
      <c r="Z1327" s="3">
        <f t="shared" si="41"/>
        <v>974.4799999999999</v>
      </c>
    </row>
    <row r="1328" spans="1:26" x14ac:dyDescent="0.3">
      <c r="A1328" s="7" t="s">
        <v>21</v>
      </c>
      <c r="B1328" t="s">
        <v>570</v>
      </c>
      <c r="C1328" t="s">
        <v>571</v>
      </c>
      <c r="D1328" t="s">
        <v>1039</v>
      </c>
      <c r="E1328" t="s">
        <v>572</v>
      </c>
      <c r="F1328" t="s">
        <v>26</v>
      </c>
      <c r="G1328">
        <v>16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16</v>
      </c>
      <c r="T1328">
        <v>0</v>
      </c>
      <c r="U1328" t="s">
        <v>113</v>
      </c>
      <c r="W1328" s="2">
        <v>75.010000000000005</v>
      </c>
      <c r="X1328" s="3">
        <f t="shared" si="40"/>
        <v>1200.1600000000001</v>
      </c>
      <c r="Y1328">
        <f>VLOOKUP(D1328,'[1]Cost Sheet'!$C:$D,2,0)</f>
        <v>74.959999999999994</v>
      </c>
      <c r="Z1328" s="3">
        <f t="shared" si="41"/>
        <v>1199.3599999999999</v>
      </c>
    </row>
    <row r="1329" spans="1:26" x14ac:dyDescent="0.3">
      <c r="A1329" s="7" t="s">
        <v>21</v>
      </c>
      <c r="B1329" t="s">
        <v>570</v>
      </c>
      <c r="C1329" t="s">
        <v>571</v>
      </c>
      <c r="D1329" t="s">
        <v>1039</v>
      </c>
      <c r="E1329" t="s">
        <v>572</v>
      </c>
      <c r="F1329" t="s">
        <v>26</v>
      </c>
      <c r="G1329">
        <v>10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10</v>
      </c>
      <c r="T1329">
        <v>0</v>
      </c>
      <c r="U1329" t="s">
        <v>48</v>
      </c>
      <c r="W1329" s="2">
        <v>75.010000000000005</v>
      </c>
      <c r="X1329" s="3">
        <f t="shared" si="40"/>
        <v>750.1</v>
      </c>
      <c r="Y1329">
        <f>VLOOKUP(D1329,'[1]Cost Sheet'!$C:$D,2,0)</f>
        <v>74.959999999999994</v>
      </c>
      <c r="Z1329" s="3">
        <f t="shared" si="41"/>
        <v>749.59999999999991</v>
      </c>
    </row>
    <row r="1330" spans="1:26" x14ac:dyDescent="0.3">
      <c r="A1330" s="7" t="s">
        <v>21</v>
      </c>
      <c r="B1330" t="s">
        <v>570</v>
      </c>
      <c r="C1330" t="s">
        <v>571</v>
      </c>
      <c r="D1330" t="s">
        <v>1039</v>
      </c>
      <c r="E1330" t="s">
        <v>572</v>
      </c>
      <c r="F1330" t="s">
        <v>26</v>
      </c>
      <c r="G1330">
        <v>17</v>
      </c>
      <c r="H1330">
        <v>0</v>
      </c>
      <c r="I1330">
        <v>0</v>
      </c>
      <c r="J1330">
        <v>-1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16</v>
      </c>
      <c r="T1330">
        <v>0</v>
      </c>
      <c r="U1330" t="s">
        <v>59</v>
      </c>
      <c r="W1330" s="2">
        <v>75.010000000000005</v>
      </c>
      <c r="X1330" s="3">
        <f t="shared" si="40"/>
        <v>1200.1600000000001</v>
      </c>
      <c r="Y1330">
        <f>VLOOKUP(D1330,'[1]Cost Sheet'!$C:$D,2,0)</f>
        <v>74.959999999999994</v>
      </c>
      <c r="Z1330" s="3">
        <f t="shared" si="41"/>
        <v>1199.3599999999999</v>
      </c>
    </row>
    <row r="1331" spans="1:26" x14ac:dyDescent="0.3">
      <c r="A1331" s="7" t="s">
        <v>21</v>
      </c>
      <c r="B1331" t="s">
        <v>573</v>
      </c>
      <c r="C1331" t="s">
        <v>574</v>
      </c>
      <c r="D1331" t="s">
        <v>1040</v>
      </c>
      <c r="E1331" t="s">
        <v>575</v>
      </c>
      <c r="F1331" t="s">
        <v>125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 t="s">
        <v>111</v>
      </c>
      <c r="W1331" s="2">
        <v>76.619230769230754</v>
      </c>
      <c r="X1331" s="3">
        <f t="shared" si="40"/>
        <v>76.619230769230754</v>
      </c>
      <c r="Y1331">
        <f>VLOOKUP(D1331,'[1]Cost Sheet'!$C:$D,2,0)</f>
        <v>76.59</v>
      </c>
      <c r="Z1331" s="3">
        <f t="shared" si="41"/>
        <v>76.59</v>
      </c>
    </row>
    <row r="1332" spans="1:26" x14ac:dyDescent="0.3">
      <c r="A1332" s="7" t="s">
        <v>21</v>
      </c>
      <c r="B1332" t="s">
        <v>573</v>
      </c>
      <c r="C1332" t="s">
        <v>574</v>
      </c>
      <c r="D1332" t="s">
        <v>1040</v>
      </c>
      <c r="E1332" t="s">
        <v>575</v>
      </c>
      <c r="F1332" t="s">
        <v>106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-1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39</v>
      </c>
      <c r="W1332" s="2">
        <v>76.619230769230754</v>
      </c>
      <c r="X1332" s="3">
        <f t="shared" si="40"/>
        <v>0</v>
      </c>
      <c r="Y1332">
        <f>VLOOKUP(D1332,'[1]Cost Sheet'!$C:$D,2,0)</f>
        <v>76.59</v>
      </c>
      <c r="Z1332" s="3">
        <f t="shared" si="41"/>
        <v>0</v>
      </c>
    </row>
    <row r="1333" spans="1:26" x14ac:dyDescent="0.3">
      <c r="A1333" s="7" t="s">
        <v>21</v>
      </c>
      <c r="B1333" t="s">
        <v>573</v>
      </c>
      <c r="C1333" t="s">
        <v>574</v>
      </c>
      <c r="D1333" t="s">
        <v>1040</v>
      </c>
      <c r="E1333" t="s">
        <v>575</v>
      </c>
      <c r="F1333" t="s">
        <v>106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4</v>
      </c>
      <c r="T1333">
        <v>0</v>
      </c>
      <c r="U1333" t="s">
        <v>32</v>
      </c>
      <c r="W1333" s="2">
        <v>76.619230769230754</v>
      </c>
      <c r="X1333" s="3">
        <f t="shared" si="40"/>
        <v>306.47692307692301</v>
      </c>
      <c r="Y1333">
        <f>VLOOKUP(D1333,'[1]Cost Sheet'!$C:$D,2,0)</f>
        <v>76.59</v>
      </c>
      <c r="Z1333" s="3">
        <f t="shared" si="41"/>
        <v>306.36</v>
      </c>
    </row>
    <row r="1334" spans="1:26" x14ac:dyDescent="0.3">
      <c r="A1334" s="7" t="s">
        <v>21</v>
      </c>
      <c r="B1334" t="s">
        <v>573</v>
      </c>
      <c r="C1334" t="s">
        <v>574</v>
      </c>
      <c r="D1334" t="s">
        <v>1040</v>
      </c>
      <c r="E1334" t="s">
        <v>575</v>
      </c>
      <c r="F1334" t="s">
        <v>106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-1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 t="s">
        <v>33</v>
      </c>
      <c r="W1334" s="2">
        <v>76.619230769230754</v>
      </c>
      <c r="X1334" s="3">
        <f t="shared" si="40"/>
        <v>0</v>
      </c>
      <c r="Y1334">
        <f>VLOOKUP(D1334,'[1]Cost Sheet'!$C:$D,2,0)</f>
        <v>76.59</v>
      </c>
      <c r="Z1334" s="3">
        <f t="shared" si="41"/>
        <v>0</v>
      </c>
    </row>
    <row r="1335" spans="1:26" x14ac:dyDescent="0.3">
      <c r="A1335" s="7" t="s">
        <v>21</v>
      </c>
      <c r="B1335" t="s">
        <v>573</v>
      </c>
      <c r="C1335" t="s">
        <v>574</v>
      </c>
      <c r="D1335" t="s">
        <v>1040</v>
      </c>
      <c r="E1335" t="s">
        <v>575</v>
      </c>
      <c r="F1335" t="s">
        <v>106</v>
      </c>
      <c r="G1335">
        <v>3</v>
      </c>
      <c r="H1335">
        <v>0</v>
      </c>
      <c r="I1335">
        <v>0</v>
      </c>
      <c r="J1335">
        <v>0</v>
      </c>
      <c r="K1335">
        <v>0</v>
      </c>
      <c r="L1335">
        <v>-2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 t="s">
        <v>46</v>
      </c>
      <c r="W1335" s="2">
        <v>76.619230769230754</v>
      </c>
      <c r="X1335" s="3">
        <f t="shared" si="40"/>
        <v>76.619230769230754</v>
      </c>
      <c r="Y1335">
        <f>VLOOKUP(D1335,'[1]Cost Sheet'!$C:$D,2,0)</f>
        <v>76.59</v>
      </c>
      <c r="Z1335" s="3">
        <f t="shared" si="41"/>
        <v>76.59</v>
      </c>
    </row>
    <row r="1336" spans="1:26" x14ac:dyDescent="0.3">
      <c r="A1336" s="7" t="s">
        <v>21</v>
      </c>
      <c r="B1336" t="s">
        <v>573</v>
      </c>
      <c r="C1336" t="s">
        <v>574</v>
      </c>
      <c r="D1336" t="s">
        <v>1040</v>
      </c>
      <c r="E1336" t="s">
        <v>575</v>
      </c>
      <c r="F1336" t="s">
        <v>106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3</v>
      </c>
      <c r="T1336">
        <v>0</v>
      </c>
      <c r="U1336" t="s">
        <v>40</v>
      </c>
      <c r="W1336" s="2">
        <v>76.619230769230754</v>
      </c>
      <c r="X1336" s="3">
        <f t="shared" si="40"/>
        <v>229.85769230769228</v>
      </c>
      <c r="Y1336">
        <f>VLOOKUP(D1336,'[1]Cost Sheet'!$C:$D,2,0)</f>
        <v>76.59</v>
      </c>
      <c r="Z1336" s="3">
        <f t="shared" si="41"/>
        <v>229.77</v>
      </c>
    </row>
    <row r="1337" spans="1:26" x14ac:dyDescent="0.3">
      <c r="A1337" s="7" t="s">
        <v>21</v>
      </c>
      <c r="B1337" t="s">
        <v>573</v>
      </c>
      <c r="C1337" t="s">
        <v>574</v>
      </c>
      <c r="D1337" t="s">
        <v>1040</v>
      </c>
      <c r="E1337" t="s">
        <v>575</v>
      </c>
      <c r="F1337" t="s">
        <v>106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 t="s">
        <v>48</v>
      </c>
      <c r="W1337" s="2">
        <v>76.619230769230754</v>
      </c>
      <c r="X1337" s="3">
        <f t="shared" si="40"/>
        <v>76.619230769230754</v>
      </c>
      <c r="Y1337">
        <f>VLOOKUP(D1337,'[1]Cost Sheet'!$C:$D,2,0)</f>
        <v>76.59</v>
      </c>
      <c r="Z1337" s="3">
        <f t="shared" si="41"/>
        <v>76.59</v>
      </c>
    </row>
    <row r="1338" spans="1:26" x14ac:dyDescent="0.3">
      <c r="A1338" s="7" t="s">
        <v>21</v>
      </c>
      <c r="B1338" t="s">
        <v>573</v>
      </c>
      <c r="C1338" t="s">
        <v>574</v>
      </c>
      <c r="D1338" t="s">
        <v>1040</v>
      </c>
      <c r="E1338" t="s">
        <v>575</v>
      </c>
      <c r="F1338" t="s">
        <v>106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 t="s">
        <v>59</v>
      </c>
      <c r="W1338" s="2">
        <v>76.619230769230754</v>
      </c>
      <c r="X1338" s="3">
        <f t="shared" si="40"/>
        <v>76.619230769230754</v>
      </c>
      <c r="Y1338">
        <f>VLOOKUP(D1338,'[1]Cost Sheet'!$C:$D,2,0)</f>
        <v>76.59</v>
      </c>
      <c r="Z1338" s="3">
        <f t="shared" si="41"/>
        <v>76.59</v>
      </c>
    </row>
    <row r="1339" spans="1:26" x14ac:dyDescent="0.3">
      <c r="A1339" s="7" t="s">
        <v>21</v>
      </c>
      <c r="B1339" t="s">
        <v>573</v>
      </c>
      <c r="C1339" t="s">
        <v>574</v>
      </c>
      <c r="D1339" t="s">
        <v>1040</v>
      </c>
      <c r="E1339" t="s">
        <v>575</v>
      </c>
      <c r="F1339" t="s">
        <v>26</v>
      </c>
      <c r="G1339">
        <v>66</v>
      </c>
      <c r="H1339">
        <v>0</v>
      </c>
      <c r="I1339">
        <v>0</v>
      </c>
      <c r="J1339">
        <v>-1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65</v>
      </c>
      <c r="T1339">
        <v>0</v>
      </c>
      <c r="U1339" t="s">
        <v>38</v>
      </c>
      <c r="W1339" s="2">
        <v>76.619230769230754</v>
      </c>
      <c r="X1339" s="3">
        <f t="shared" si="40"/>
        <v>4980.2499999999991</v>
      </c>
      <c r="Y1339">
        <f>VLOOKUP(D1339,'[1]Cost Sheet'!$C:$D,2,0)</f>
        <v>76.59</v>
      </c>
      <c r="Z1339" s="3">
        <f t="shared" si="41"/>
        <v>4978.3500000000004</v>
      </c>
    </row>
    <row r="1340" spans="1:26" x14ac:dyDescent="0.3">
      <c r="A1340" s="7" t="s">
        <v>21</v>
      </c>
      <c r="B1340" t="s">
        <v>573</v>
      </c>
      <c r="C1340" t="s">
        <v>574</v>
      </c>
      <c r="D1340" t="s">
        <v>1040</v>
      </c>
      <c r="E1340" t="s">
        <v>575</v>
      </c>
      <c r="F1340" t="s">
        <v>26</v>
      </c>
      <c r="G1340">
        <v>364</v>
      </c>
      <c r="H1340">
        <v>0</v>
      </c>
      <c r="I1340">
        <v>0</v>
      </c>
      <c r="J1340">
        <v>-1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363</v>
      </c>
      <c r="T1340">
        <v>0</v>
      </c>
      <c r="U1340" t="s">
        <v>107</v>
      </c>
      <c r="W1340" s="2">
        <v>76.619230769230754</v>
      </c>
      <c r="X1340" s="3">
        <f t="shared" si="40"/>
        <v>27812.780769230765</v>
      </c>
      <c r="Y1340">
        <f>VLOOKUP(D1340,'[1]Cost Sheet'!$C:$D,2,0)</f>
        <v>76.59</v>
      </c>
      <c r="Z1340" s="3">
        <f t="shared" si="41"/>
        <v>27802.170000000002</v>
      </c>
    </row>
    <row r="1341" spans="1:26" x14ac:dyDescent="0.3">
      <c r="A1341" s="7" t="s">
        <v>21</v>
      </c>
      <c r="B1341" t="s">
        <v>573</v>
      </c>
      <c r="C1341" t="s">
        <v>574</v>
      </c>
      <c r="D1341" t="s">
        <v>1040</v>
      </c>
      <c r="E1341" t="s">
        <v>575</v>
      </c>
      <c r="F1341" t="s">
        <v>26</v>
      </c>
      <c r="G1341">
        <v>57</v>
      </c>
      <c r="H1341">
        <v>0</v>
      </c>
      <c r="I1341">
        <v>0</v>
      </c>
      <c r="J1341">
        <v>-1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57</v>
      </c>
      <c r="T1341">
        <v>0</v>
      </c>
      <c r="U1341" t="s">
        <v>45</v>
      </c>
      <c r="W1341" s="2">
        <v>76.619230769230754</v>
      </c>
      <c r="X1341" s="3">
        <f t="shared" si="40"/>
        <v>4367.2961538461532</v>
      </c>
      <c r="Y1341">
        <f>VLOOKUP(D1341,'[1]Cost Sheet'!$C:$D,2,0)</f>
        <v>76.59</v>
      </c>
      <c r="Z1341" s="3">
        <f t="shared" si="41"/>
        <v>4365.63</v>
      </c>
    </row>
    <row r="1342" spans="1:26" x14ac:dyDescent="0.3">
      <c r="A1342" s="7" t="s">
        <v>21</v>
      </c>
      <c r="B1342" t="s">
        <v>573</v>
      </c>
      <c r="C1342" t="s">
        <v>574</v>
      </c>
      <c r="D1342" t="s">
        <v>1040</v>
      </c>
      <c r="E1342" t="s">
        <v>575</v>
      </c>
      <c r="F1342" t="s">
        <v>26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-1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 t="s">
        <v>108</v>
      </c>
      <c r="W1342" s="2">
        <v>76.619230769230754</v>
      </c>
      <c r="X1342" s="3">
        <f t="shared" si="40"/>
        <v>0</v>
      </c>
      <c r="Y1342">
        <f>VLOOKUP(D1342,'[1]Cost Sheet'!$C:$D,2,0)</f>
        <v>76.59</v>
      </c>
      <c r="Z1342" s="3">
        <f t="shared" si="41"/>
        <v>0</v>
      </c>
    </row>
    <row r="1343" spans="1:26" x14ac:dyDescent="0.3">
      <c r="A1343" s="7" t="s">
        <v>21</v>
      </c>
      <c r="B1343" t="s">
        <v>573</v>
      </c>
      <c r="C1343" t="s">
        <v>574</v>
      </c>
      <c r="D1343" t="s">
        <v>1040</v>
      </c>
      <c r="E1343" t="s">
        <v>575</v>
      </c>
      <c r="F1343" t="s">
        <v>26</v>
      </c>
      <c r="G1343">
        <v>38</v>
      </c>
      <c r="H1343">
        <v>0</v>
      </c>
      <c r="I1343">
        <v>0</v>
      </c>
      <c r="J1343">
        <v>-3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35</v>
      </c>
      <c r="T1343">
        <v>0</v>
      </c>
      <c r="U1343" t="s">
        <v>39</v>
      </c>
      <c r="W1343" s="2">
        <v>76.619230769230754</v>
      </c>
      <c r="X1343" s="3">
        <f t="shared" si="40"/>
        <v>2681.6730769230762</v>
      </c>
      <c r="Y1343">
        <f>VLOOKUP(D1343,'[1]Cost Sheet'!$C:$D,2,0)</f>
        <v>76.59</v>
      </c>
      <c r="Z1343" s="3">
        <f t="shared" si="41"/>
        <v>2680.65</v>
      </c>
    </row>
    <row r="1344" spans="1:26" x14ac:dyDescent="0.3">
      <c r="A1344" s="7" t="s">
        <v>21</v>
      </c>
      <c r="B1344" t="s">
        <v>573</v>
      </c>
      <c r="C1344" t="s">
        <v>574</v>
      </c>
      <c r="D1344" t="s">
        <v>1040</v>
      </c>
      <c r="E1344" t="s">
        <v>575</v>
      </c>
      <c r="F1344" t="s">
        <v>26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</v>
      </c>
      <c r="T1344">
        <v>0</v>
      </c>
      <c r="U1344" t="s">
        <v>53</v>
      </c>
      <c r="W1344" s="2">
        <v>76.619230769230754</v>
      </c>
      <c r="X1344" s="3">
        <f t="shared" si="40"/>
        <v>153.23846153846151</v>
      </c>
      <c r="Y1344">
        <f>VLOOKUP(D1344,'[1]Cost Sheet'!$C:$D,2,0)</f>
        <v>76.59</v>
      </c>
      <c r="Z1344" s="3">
        <f t="shared" si="41"/>
        <v>153.18</v>
      </c>
    </row>
    <row r="1345" spans="1:26" x14ac:dyDescent="0.3">
      <c r="A1345" s="7" t="s">
        <v>21</v>
      </c>
      <c r="B1345" t="s">
        <v>573</v>
      </c>
      <c r="C1345" t="s">
        <v>574</v>
      </c>
      <c r="D1345" t="s">
        <v>1040</v>
      </c>
      <c r="E1345" t="s">
        <v>575</v>
      </c>
      <c r="F1345" t="s">
        <v>26</v>
      </c>
      <c r="G1345">
        <v>58</v>
      </c>
      <c r="H1345">
        <v>0</v>
      </c>
      <c r="I1345">
        <v>0</v>
      </c>
      <c r="J1345">
        <v>-1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57</v>
      </c>
      <c r="T1345">
        <v>0</v>
      </c>
      <c r="U1345" t="s">
        <v>54</v>
      </c>
      <c r="W1345" s="2">
        <v>76.619230769230754</v>
      </c>
      <c r="X1345" s="3">
        <f t="shared" si="40"/>
        <v>4367.2961538461532</v>
      </c>
      <c r="Y1345">
        <f>VLOOKUP(D1345,'[1]Cost Sheet'!$C:$D,2,0)</f>
        <v>76.59</v>
      </c>
      <c r="Z1345" s="3">
        <f t="shared" si="41"/>
        <v>4365.63</v>
      </c>
    </row>
    <row r="1346" spans="1:26" x14ac:dyDescent="0.3">
      <c r="A1346" s="7" t="s">
        <v>21</v>
      </c>
      <c r="B1346" t="s">
        <v>573</v>
      </c>
      <c r="C1346" t="s">
        <v>574</v>
      </c>
      <c r="D1346" t="s">
        <v>1040</v>
      </c>
      <c r="E1346" t="s">
        <v>575</v>
      </c>
      <c r="F1346" t="s">
        <v>26</v>
      </c>
      <c r="G1346">
        <v>72</v>
      </c>
      <c r="H1346">
        <v>222</v>
      </c>
      <c r="I1346">
        <v>0</v>
      </c>
      <c r="J1346">
        <v>0</v>
      </c>
      <c r="K1346">
        <v>0</v>
      </c>
      <c r="L1346">
        <v>0</v>
      </c>
      <c r="M1346">
        <v>-72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152</v>
      </c>
      <c r="W1346" s="2">
        <v>76.619230769230754</v>
      </c>
      <c r="X1346" s="3">
        <f t="shared" si="40"/>
        <v>0</v>
      </c>
      <c r="Y1346">
        <f>VLOOKUP(D1346,'[1]Cost Sheet'!$C:$D,2,0)</f>
        <v>76.59</v>
      </c>
      <c r="Z1346" s="3">
        <f t="shared" si="41"/>
        <v>0</v>
      </c>
    </row>
    <row r="1347" spans="1:26" x14ac:dyDescent="0.3">
      <c r="A1347" s="7" t="s">
        <v>21</v>
      </c>
      <c r="B1347" t="s">
        <v>573</v>
      </c>
      <c r="C1347" t="s">
        <v>574</v>
      </c>
      <c r="D1347" t="s">
        <v>1040</v>
      </c>
      <c r="E1347" t="s">
        <v>575</v>
      </c>
      <c r="F1347" t="s">
        <v>26</v>
      </c>
      <c r="G1347">
        <v>191</v>
      </c>
      <c r="H1347">
        <v>0</v>
      </c>
      <c r="I1347">
        <v>0</v>
      </c>
      <c r="J1347">
        <v>-3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188</v>
      </c>
      <c r="T1347">
        <v>0</v>
      </c>
      <c r="U1347" t="s">
        <v>32</v>
      </c>
      <c r="W1347" s="2">
        <v>76.619230769230754</v>
      </c>
      <c r="X1347" s="3">
        <f t="shared" ref="X1347:X1410" si="42">S1347*W1347</f>
        <v>14404.415384615382</v>
      </c>
      <c r="Y1347">
        <f>VLOOKUP(D1347,'[1]Cost Sheet'!$C:$D,2,0)</f>
        <v>76.59</v>
      </c>
      <c r="Z1347" s="3">
        <f t="shared" ref="Z1347:Z1410" si="43">Y1347*S1347</f>
        <v>14398.92</v>
      </c>
    </row>
    <row r="1348" spans="1:26" x14ac:dyDescent="0.3">
      <c r="A1348" s="7" t="s">
        <v>21</v>
      </c>
      <c r="B1348" t="s">
        <v>573</v>
      </c>
      <c r="C1348" t="s">
        <v>574</v>
      </c>
      <c r="D1348" t="s">
        <v>1040</v>
      </c>
      <c r="E1348" t="s">
        <v>575</v>
      </c>
      <c r="F1348" t="s">
        <v>26</v>
      </c>
      <c r="G1348">
        <v>1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-1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 t="s">
        <v>88</v>
      </c>
      <c r="W1348" s="2">
        <v>76.619230769230754</v>
      </c>
      <c r="X1348" s="3">
        <f t="shared" si="42"/>
        <v>76.619230769230754</v>
      </c>
      <c r="Y1348">
        <f>VLOOKUP(D1348,'[1]Cost Sheet'!$C:$D,2,0)</f>
        <v>76.59</v>
      </c>
      <c r="Z1348" s="3">
        <f t="shared" si="43"/>
        <v>76.59</v>
      </c>
    </row>
    <row r="1349" spans="1:26" x14ac:dyDescent="0.3">
      <c r="A1349" s="7" t="s">
        <v>21</v>
      </c>
      <c r="B1349" t="s">
        <v>573</v>
      </c>
      <c r="C1349" t="s">
        <v>574</v>
      </c>
      <c r="D1349" t="s">
        <v>1040</v>
      </c>
      <c r="E1349" t="s">
        <v>575</v>
      </c>
      <c r="F1349" t="s">
        <v>26</v>
      </c>
      <c r="G1349">
        <v>57</v>
      </c>
      <c r="H1349">
        <v>0</v>
      </c>
      <c r="I1349">
        <v>0</v>
      </c>
      <c r="J1349">
        <v>-3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54</v>
      </c>
      <c r="T1349">
        <v>0</v>
      </c>
      <c r="U1349" t="s">
        <v>33</v>
      </c>
      <c r="W1349" s="2">
        <v>76.619230769230754</v>
      </c>
      <c r="X1349" s="3">
        <f t="shared" si="42"/>
        <v>4137.4384615384606</v>
      </c>
      <c r="Y1349">
        <f>VLOOKUP(D1349,'[1]Cost Sheet'!$C:$D,2,0)</f>
        <v>76.59</v>
      </c>
      <c r="Z1349" s="3">
        <f t="shared" si="43"/>
        <v>4135.8600000000006</v>
      </c>
    </row>
    <row r="1350" spans="1:26" x14ac:dyDescent="0.3">
      <c r="A1350" s="7" t="s">
        <v>21</v>
      </c>
      <c r="B1350" t="s">
        <v>573</v>
      </c>
      <c r="C1350" t="s">
        <v>574</v>
      </c>
      <c r="D1350" t="s">
        <v>1040</v>
      </c>
      <c r="E1350" t="s">
        <v>575</v>
      </c>
      <c r="F1350" t="s">
        <v>26</v>
      </c>
      <c r="G1350">
        <v>208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210</v>
      </c>
      <c r="T1350">
        <v>0</v>
      </c>
      <c r="U1350" t="s">
        <v>46</v>
      </c>
      <c r="W1350" s="2">
        <v>76.619230769230754</v>
      </c>
      <c r="X1350" s="3">
        <f t="shared" si="42"/>
        <v>16090.038461538459</v>
      </c>
      <c r="Y1350">
        <f>VLOOKUP(D1350,'[1]Cost Sheet'!$C:$D,2,0)</f>
        <v>76.59</v>
      </c>
      <c r="Z1350" s="3">
        <f t="shared" si="43"/>
        <v>16083.900000000001</v>
      </c>
    </row>
    <row r="1351" spans="1:26" x14ac:dyDescent="0.3">
      <c r="A1351" s="7" t="s">
        <v>21</v>
      </c>
      <c r="B1351" t="s">
        <v>573</v>
      </c>
      <c r="C1351" t="s">
        <v>574</v>
      </c>
      <c r="D1351" t="s">
        <v>1040</v>
      </c>
      <c r="E1351" t="s">
        <v>575</v>
      </c>
      <c r="F1351" t="s">
        <v>26</v>
      </c>
      <c r="G1351">
        <v>1</v>
      </c>
      <c r="H1351">
        <v>0</v>
      </c>
      <c r="I1351">
        <v>0</v>
      </c>
      <c r="J1351">
        <v>-1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 t="s">
        <v>110</v>
      </c>
      <c r="W1351" s="2">
        <v>76.619230769230754</v>
      </c>
      <c r="X1351" s="3">
        <f t="shared" si="42"/>
        <v>76.619230769230754</v>
      </c>
      <c r="Y1351">
        <f>VLOOKUP(D1351,'[1]Cost Sheet'!$C:$D,2,0)</f>
        <v>76.59</v>
      </c>
      <c r="Z1351" s="3">
        <f t="shared" si="43"/>
        <v>76.59</v>
      </c>
    </row>
    <row r="1352" spans="1:26" x14ac:dyDescent="0.3">
      <c r="A1352" s="7" t="s">
        <v>21</v>
      </c>
      <c r="B1352" t="s">
        <v>573</v>
      </c>
      <c r="C1352" t="s">
        <v>574</v>
      </c>
      <c r="D1352" t="s">
        <v>1040</v>
      </c>
      <c r="E1352" t="s">
        <v>575</v>
      </c>
      <c r="F1352" t="s">
        <v>26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3</v>
      </c>
      <c r="T1352">
        <v>0</v>
      </c>
      <c r="U1352" t="s">
        <v>111</v>
      </c>
      <c r="W1352" s="2">
        <v>76.619230769230754</v>
      </c>
      <c r="X1352" s="3">
        <f t="shared" si="42"/>
        <v>229.85769230769228</v>
      </c>
      <c r="Y1352">
        <f>VLOOKUP(D1352,'[1]Cost Sheet'!$C:$D,2,0)</f>
        <v>76.59</v>
      </c>
      <c r="Z1352" s="3">
        <f t="shared" si="43"/>
        <v>229.77</v>
      </c>
    </row>
    <row r="1353" spans="1:26" x14ac:dyDescent="0.3">
      <c r="A1353" s="7" t="s">
        <v>21</v>
      </c>
      <c r="B1353" t="s">
        <v>573</v>
      </c>
      <c r="C1353" t="s">
        <v>574</v>
      </c>
      <c r="D1353" t="s">
        <v>1040</v>
      </c>
      <c r="E1353" t="s">
        <v>575</v>
      </c>
      <c r="F1353" t="s">
        <v>26</v>
      </c>
      <c r="G1353">
        <v>64</v>
      </c>
      <c r="H1353">
        <v>0</v>
      </c>
      <c r="I1353">
        <v>0</v>
      </c>
      <c r="J1353">
        <v>-3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61</v>
      </c>
      <c r="T1353">
        <v>0</v>
      </c>
      <c r="U1353" t="s">
        <v>47</v>
      </c>
      <c r="W1353" s="2">
        <v>76.619230769230754</v>
      </c>
      <c r="X1353" s="3">
        <f t="shared" si="42"/>
        <v>4673.7730769230757</v>
      </c>
      <c r="Y1353">
        <f>VLOOKUP(D1353,'[1]Cost Sheet'!$C:$D,2,0)</f>
        <v>76.59</v>
      </c>
      <c r="Z1353" s="3">
        <f t="shared" si="43"/>
        <v>4671.99</v>
      </c>
    </row>
    <row r="1354" spans="1:26" x14ac:dyDescent="0.3">
      <c r="A1354" s="7" t="s">
        <v>21</v>
      </c>
      <c r="B1354" t="s">
        <v>573</v>
      </c>
      <c r="C1354" t="s">
        <v>574</v>
      </c>
      <c r="D1354" t="s">
        <v>1040</v>
      </c>
      <c r="E1354" t="s">
        <v>575</v>
      </c>
      <c r="F1354" t="s">
        <v>26</v>
      </c>
      <c r="G1354">
        <v>238</v>
      </c>
      <c r="H1354">
        <v>0</v>
      </c>
      <c r="I1354">
        <v>0</v>
      </c>
      <c r="J1354">
        <v>-4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234</v>
      </c>
      <c r="T1354">
        <v>0</v>
      </c>
      <c r="U1354" t="s">
        <v>40</v>
      </c>
      <c r="W1354" s="2">
        <v>76.619230769230754</v>
      </c>
      <c r="X1354" s="3">
        <f t="shared" si="42"/>
        <v>17928.899999999998</v>
      </c>
      <c r="Y1354">
        <f>VLOOKUP(D1354,'[1]Cost Sheet'!$C:$D,2,0)</f>
        <v>76.59</v>
      </c>
      <c r="Z1354" s="3">
        <f t="shared" si="43"/>
        <v>17922.060000000001</v>
      </c>
    </row>
    <row r="1355" spans="1:26" x14ac:dyDescent="0.3">
      <c r="A1355" s="7" t="s">
        <v>21</v>
      </c>
      <c r="B1355" t="s">
        <v>573</v>
      </c>
      <c r="C1355" t="s">
        <v>574</v>
      </c>
      <c r="D1355" t="s">
        <v>1040</v>
      </c>
      <c r="E1355" t="s">
        <v>575</v>
      </c>
      <c r="F1355" t="s">
        <v>26</v>
      </c>
      <c r="G1355">
        <v>24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72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96</v>
      </c>
      <c r="T1355">
        <v>0</v>
      </c>
      <c r="U1355" t="s">
        <v>120</v>
      </c>
      <c r="W1355" s="2">
        <v>76.619230769230754</v>
      </c>
      <c r="X1355" s="3">
        <f t="shared" si="42"/>
        <v>7355.4461538461528</v>
      </c>
      <c r="Y1355">
        <f>VLOOKUP(D1355,'[1]Cost Sheet'!$C:$D,2,0)</f>
        <v>76.59</v>
      </c>
      <c r="Z1355" s="3">
        <f t="shared" si="43"/>
        <v>7352.64</v>
      </c>
    </row>
    <row r="1356" spans="1:26" x14ac:dyDescent="0.3">
      <c r="A1356" s="7" t="s">
        <v>21</v>
      </c>
      <c r="B1356" t="s">
        <v>573</v>
      </c>
      <c r="C1356" t="s">
        <v>574</v>
      </c>
      <c r="D1356" t="s">
        <v>1040</v>
      </c>
      <c r="E1356" t="s">
        <v>575</v>
      </c>
      <c r="F1356" t="s">
        <v>26</v>
      </c>
      <c r="G1356">
        <v>154</v>
      </c>
      <c r="H1356">
        <v>0</v>
      </c>
      <c r="I1356">
        <v>0</v>
      </c>
      <c r="J1356">
        <v>-7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147</v>
      </c>
      <c r="T1356">
        <v>0</v>
      </c>
      <c r="U1356" t="s">
        <v>113</v>
      </c>
      <c r="W1356" s="2">
        <v>76.619230769230754</v>
      </c>
      <c r="X1356" s="3">
        <f t="shared" si="42"/>
        <v>11263.026923076921</v>
      </c>
      <c r="Y1356">
        <f>VLOOKUP(D1356,'[1]Cost Sheet'!$C:$D,2,0)</f>
        <v>76.59</v>
      </c>
      <c r="Z1356" s="3">
        <f t="shared" si="43"/>
        <v>11258.730000000001</v>
      </c>
    </row>
    <row r="1357" spans="1:26" x14ac:dyDescent="0.3">
      <c r="A1357" s="7" t="s">
        <v>21</v>
      </c>
      <c r="B1357" t="s">
        <v>573</v>
      </c>
      <c r="C1357" t="s">
        <v>574</v>
      </c>
      <c r="D1357" t="s">
        <v>1040</v>
      </c>
      <c r="E1357" t="s">
        <v>575</v>
      </c>
      <c r="F1357" t="s">
        <v>26</v>
      </c>
      <c r="G1357">
        <v>56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56</v>
      </c>
      <c r="T1357">
        <v>0</v>
      </c>
      <c r="U1357" t="s">
        <v>48</v>
      </c>
      <c r="W1357" s="2">
        <v>76.619230769230754</v>
      </c>
      <c r="X1357" s="3">
        <f t="shared" si="42"/>
        <v>4290.6769230769223</v>
      </c>
      <c r="Y1357">
        <f>VLOOKUP(D1357,'[1]Cost Sheet'!$C:$D,2,0)</f>
        <v>76.59</v>
      </c>
      <c r="Z1357" s="3">
        <f t="shared" si="43"/>
        <v>4289.04</v>
      </c>
    </row>
    <row r="1358" spans="1:26" x14ac:dyDescent="0.3">
      <c r="A1358" s="7" t="s">
        <v>21</v>
      </c>
      <c r="B1358" t="s">
        <v>573</v>
      </c>
      <c r="C1358" t="s">
        <v>574</v>
      </c>
      <c r="D1358" t="s">
        <v>1040</v>
      </c>
      <c r="E1358" t="s">
        <v>575</v>
      </c>
      <c r="F1358" t="s">
        <v>26</v>
      </c>
      <c r="G1358">
        <v>59</v>
      </c>
      <c r="H1358">
        <v>0</v>
      </c>
      <c r="I1358">
        <v>0</v>
      </c>
      <c r="J1358">
        <v>-7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52</v>
      </c>
      <c r="T1358">
        <v>0</v>
      </c>
      <c r="U1358" t="s">
        <v>59</v>
      </c>
      <c r="W1358" s="2">
        <v>76.619230769230754</v>
      </c>
      <c r="X1358" s="3">
        <f t="shared" si="42"/>
        <v>3984.1999999999994</v>
      </c>
      <c r="Y1358">
        <f>VLOOKUP(D1358,'[1]Cost Sheet'!$C:$D,2,0)</f>
        <v>76.59</v>
      </c>
      <c r="Z1358" s="3">
        <f t="shared" si="43"/>
        <v>3982.6800000000003</v>
      </c>
    </row>
    <row r="1359" spans="1:26" x14ac:dyDescent="0.3">
      <c r="A1359" s="7" t="s">
        <v>21</v>
      </c>
      <c r="B1359" t="s">
        <v>573</v>
      </c>
      <c r="C1359" t="s">
        <v>574</v>
      </c>
      <c r="D1359" t="s">
        <v>1040</v>
      </c>
      <c r="E1359" t="s">
        <v>575</v>
      </c>
      <c r="F1359" t="s">
        <v>26</v>
      </c>
      <c r="G1359">
        <v>144</v>
      </c>
      <c r="H1359">
        <v>0</v>
      </c>
      <c r="I1359">
        <v>0</v>
      </c>
      <c r="J1359">
        <v>-4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140</v>
      </c>
      <c r="T1359">
        <v>0</v>
      </c>
      <c r="U1359" t="s">
        <v>27</v>
      </c>
      <c r="W1359" s="2">
        <v>76.619230769230754</v>
      </c>
      <c r="X1359" s="3">
        <f t="shared" si="42"/>
        <v>10726.692307692305</v>
      </c>
      <c r="Y1359">
        <f>VLOOKUP(D1359,'[1]Cost Sheet'!$C:$D,2,0)</f>
        <v>76.59</v>
      </c>
      <c r="Z1359" s="3">
        <f t="shared" si="43"/>
        <v>10722.6</v>
      </c>
    </row>
    <row r="1360" spans="1:26" x14ac:dyDescent="0.3">
      <c r="A1360" s="7" t="s">
        <v>21</v>
      </c>
      <c r="B1360" t="s">
        <v>576</v>
      </c>
      <c r="C1360" t="s">
        <v>577</v>
      </c>
      <c r="D1360" t="s">
        <v>1041</v>
      </c>
      <c r="E1360" t="s">
        <v>578</v>
      </c>
      <c r="F1360" t="s">
        <v>106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 t="s">
        <v>38</v>
      </c>
      <c r="W1360" s="2">
        <v>51.353999999999999</v>
      </c>
      <c r="X1360" s="3">
        <f t="shared" si="42"/>
        <v>51.353999999999999</v>
      </c>
      <c r="Y1360">
        <f>VLOOKUP(D1360,'[1]Cost Sheet'!$C:$D,2,0)</f>
        <v>51.88</v>
      </c>
      <c r="Z1360" s="3">
        <f t="shared" si="43"/>
        <v>51.88</v>
      </c>
    </row>
    <row r="1361" spans="1:26" x14ac:dyDescent="0.3">
      <c r="A1361" s="7" t="s">
        <v>21</v>
      </c>
      <c r="B1361" t="s">
        <v>576</v>
      </c>
      <c r="C1361" t="s">
        <v>577</v>
      </c>
      <c r="D1361" t="s">
        <v>1041</v>
      </c>
      <c r="E1361" t="s">
        <v>578</v>
      </c>
      <c r="F1361" t="s">
        <v>106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 t="s">
        <v>54</v>
      </c>
      <c r="W1361" s="2">
        <v>51.353999999999999</v>
      </c>
      <c r="X1361" s="3">
        <f t="shared" si="42"/>
        <v>51.353999999999999</v>
      </c>
      <c r="Y1361">
        <f>VLOOKUP(D1361,'[1]Cost Sheet'!$C:$D,2,0)</f>
        <v>51.88</v>
      </c>
      <c r="Z1361" s="3">
        <f t="shared" si="43"/>
        <v>51.88</v>
      </c>
    </row>
    <row r="1362" spans="1:26" x14ac:dyDescent="0.3">
      <c r="A1362" s="7" t="s">
        <v>21</v>
      </c>
      <c r="B1362" t="s">
        <v>576</v>
      </c>
      <c r="C1362" t="s">
        <v>577</v>
      </c>
      <c r="D1362" t="s">
        <v>1041</v>
      </c>
      <c r="E1362" t="s">
        <v>578</v>
      </c>
      <c r="F1362" t="s">
        <v>106</v>
      </c>
      <c r="G1362">
        <v>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3</v>
      </c>
      <c r="T1362">
        <v>0</v>
      </c>
      <c r="U1362" t="s">
        <v>32</v>
      </c>
      <c r="W1362" s="2">
        <v>51.353999999999999</v>
      </c>
      <c r="X1362" s="3">
        <f t="shared" si="42"/>
        <v>154.06200000000001</v>
      </c>
      <c r="Y1362">
        <f>VLOOKUP(D1362,'[1]Cost Sheet'!$C:$D,2,0)</f>
        <v>51.88</v>
      </c>
      <c r="Z1362" s="3">
        <f t="shared" si="43"/>
        <v>155.64000000000001</v>
      </c>
    </row>
    <row r="1363" spans="1:26" x14ac:dyDescent="0.3">
      <c r="A1363" s="7" t="s">
        <v>21</v>
      </c>
      <c r="B1363" t="s">
        <v>576</v>
      </c>
      <c r="C1363" t="s">
        <v>577</v>
      </c>
      <c r="D1363" t="s">
        <v>1041</v>
      </c>
      <c r="E1363" t="s">
        <v>578</v>
      </c>
      <c r="F1363" t="s">
        <v>106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4</v>
      </c>
      <c r="T1363">
        <v>0</v>
      </c>
      <c r="U1363" t="s">
        <v>46</v>
      </c>
      <c r="W1363" s="2">
        <v>51.353999999999999</v>
      </c>
      <c r="X1363" s="3">
        <f t="shared" si="42"/>
        <v>205.416</v>
      </c>
      <c r="Y1363">
        <f>VLOOKUP(D1363,'[1]Cost Sheet'!$C:$D,2,0)</f>
        <v>51.88</v>
      </c>
      <c r="Z1363" s="3">
        <f t="shared" si="43"/>
        <v>207.52</v>
      </c>
    </row>
    <row r="1364" spans="1:26" x14ac:dyDescent="0.3">
      <c r="A1364" s="7" t="s">
        <v>21</v>
      </c>
      <c r="B1364" t="s">
        <v>576</v>
      </c>
      <c r="C1364" t="s">
        <v>577</v>
      </c>
      <c r="D1364" t="s">
        <v>1041</v>
      </c>
      <c r="E1364" t="s">
        <v>578</v>
      </c>
      <c r="F1364" t="s">
        <v>106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 t="s">
        <v>40</v>
      </c>
      <c r="W1364" s="2">
        <v>51.353999999999999</v>
      </c>
      <c r="X1364" s="3">
        <f t="shared" si="42"/>
        <v>51.353999999999999</v>
      </c>
      <c r="Y1364">
        <f>VLOOKUP(D1364,'[1]Cost Sheet'!$C:$D,2,0)</f>
        <v>51.88</v>
      </c>
      <c r="Z1364" s="3">
        <f t="shared" si="43"/>
        <v>51.88</v>
      </c>
    </row>
    <row r="1365" spans="1:26" x14ac:dyDescent="0.3">
      <c r="A1365" s="7" t="s">
        <v>21</v>
      </c>
      <c r="B1365" t="s">
        <v>576</v>
      </c>
      <c r="C1365" t="s">
        <v>577</v>
      </c>
      <c r="D1365" t="s">
        <v>1041</v>
      </c>
      <c r="E1365" t="s">
        <v>578</v>
      </c>
      <c r="F1365" t="s">
        <v>26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2</v>
      </c>
      <c r="T1365">
        <v>0</v>
      </c>
      <c r="U1365" t="s">
        <v>38</v>
      </c>
      <c r="W1365" s="2">
        <v>51.353999999999999</v>
      </c>
      <c r="X1365" s="3">
        <f t="shared" si="42"/>
        <v>102.708</v>
      </c>
      <c r="Y1365">
        <f>VLOOKUP(D1365,'[1]Cost Sheet'!$C:$D,2,0)</f>
        <v>51.88</v>
      </c>
      <c r="Z1365" s="3">
        <f t="shared" si="43"/>
        <v>103.76</v>
      </c>
    </row>
    <row r="1366" spans="1:26" x14ac:dyDescent="0.3">
      <c r="A1366" s="7" t="s">
        <v>21</v>
      </c>
      <c r="B1366" t="s">
        <v>576</v>
      </c>
      <c r="C1366" t="s">
        <v>577</v>
      </c>
      <c r="D1366" t="s">
        <v>1041</v>
      </c>
      <c r="E1366" t="s">
        <v>578</v>
      </c>
      <c r="F1366" t="s">
        <v>26</v>
      </c>
      <c r="G1366">
        <v>11</v>
      </c>
      <c r="H1366">
        <v>0</v>
      </c>
      <c r="I1366">
        <v>0</v>
      </c>
      <c r="J1366">
        <v>-3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8</v>
      </c>
      <c r="T1366">
        <v>0</v>
      </c>
      <c r="U1366" t="s">
        <v>45</v>
      </c>
      <c r="W1366" s="2">
        <v>51.353999999999999</v>
      </c>
      <c r="X1366" s="3">
        <f t="shared" si="42"/>
        <v>410.83199999999999</v>
      </c>
      <c r="Y1366">
        <f>VLOOKUP(D1366,'[1]Cost Sheet'!$C:$D,2,0)</f>
        <v>51.88</v>
      </c>
      <c r="Z1366" s="3">
        <f t="shared" si="43"/>
        <v>415.04</v>
      </c>
    </row>
    <row r="1367" spans="1:26" x14ac:dyDescent="0.3">
      <c r="A1367" s="7" t="s">
        <v>21</v>
      </c>
      <c r="B1367" t="s">
        <v>576</v>
      </c>
      <c r="C1367" t="s">
        <v>577</v>
      </c>
      <c r="D1367" t="s">
        <v>1041</v>
      </c>
      <c r="E1367" t="s">
        <v>578</v>
      </c>
      <c r="F1367" t="s">
        <v>26</v>
      </c>
      <c r="G1367">
        <v>22</v>
      </c>
      <c r="H1367">
        <v>0</v>
      </c>
      <c r="I1367">
        <v>0</v>
      </c>
      <c r="J1367">
        <v>-2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</v>
      </c>
      <c r="T1367">
        <v>0</v>
      </c>
      <c r="U1367" t="s">
        <v>32</v>
      </c>
      <c r="W1367" s="2">
        <v>51.353999999999999</v>
      </c>
      <c r="X1367" s="3">
        <f t="shared" si="42"/>
        <v>1027.08</v>
      </c>
      <c r="Y1367">
        <f>VLOOKUP(D1367,'[1]Cost Sheet'!$C:$D,2,0)</f>
        <v>51.88</v>
      </c>
      <c r="Z1367" s="3">
        <f t="shared" si="43"/>
        <v>1037.6000000000001</v>
      </c>
    </row>
    <row r="1368" spans="1:26" x14ac:dyDescent="0.3">
      <c r="A1368" s="7" t="s">
        <v>21</v>
      </c>
      <c r="B1368" t="s">
        <v>576</v>
      </c>
      <c r="C1368" t="s">
        <v>577</v>
      </c>
      <c r="D1368" t="s">
        <v>1041</v>
      </c>
      <c r="E1368" t="s">
        <v>578</v>
      </c>
      <c r="F1368" t="s">
        <v>26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</v>
      </c>
      <c r="T1368">
        <v>0</v>
      </c>
      <c r="U1368" t="s">
        <v>33</v>
      </c>
      <c r="W1368" s="2">
        <v>51.353999999999999</v>
      </c>
      <c r="X1368" s="3">
        <f t="shared" si="42"/>
        <v>102.708</v>
      </c>
      <c r="Y1368">
        <f>VLOOKUP(D1368,'[1]Cost Sheet'!$C:$D,2,0)</f>
        <v>51.88</v>
      </c>
      <c r="Z1368" s="3">
        <f t="shared" si="43"/>
        <v>103.76</v>
      </c>
    </row>
    <row r="1369" spans="1:26" x14ac:dyDescent="0.3">
      <c r="A1369" s="7" t="s">
        <v>21</v>
      </c>
      <c r="B1369" t="s">
        <v>576</v>
      </c>
      <c r="C1369" t="s">
        <v>577</v>
      </c>
      <c r="D1369" t="s">
        <v>1041</v>
      </c>
      <c r="E1369" t="s">
        <v>578</v>
      </c>
      <c r="F1369" t="s">
        <v>26</v>
      </c>
      <c r="G1369">
        <v>4</v>
      </c>
      <c r="H1369">
        <v>0</v>
      </c>
      <c r="I1369">
        <v>0</v>
      </c>
      <c r="J1369">
        <v>-3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 t="s">
        <v>46</v>
      </c>
      <c r="W1369" s="2">
        <v>51.353999999999999</v>
      </c>
      <c r="X1369" s="3">
        <f t="shared" si="42"/>
        <v>51.353999999999999</v>
      </c>
      <c r="Y1369">
        <f>VLOOKUP(D1369,'[1]Cost Sheet'!$C:$D,2,0)</f>
        <v>51.88</v>
      </c>
      <c r="Z1369" s="3">
        <f t="shared" si="43"/>
        <v>51.88</v>
      </c>
    </row>
    <row r="1370" spans="1:26" x14ac:dyDescent="0.3">
      <c r="A1370" s="7" t="s">
        <v>21</v>
      </c>
      <c r="B1370" t="s">
        <v>576</v>
      </c>
      <c r="C1370" t="s">
        <v>577</v>
      </c>
      <c r="D1370" t="s">
        <v>1041</v>
      </c>
      <c r="E1370" t="s">
        <v>578</v>
      </c>
      <c r="F1370" t="s">
        <v>26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 t="s">
        <v>47</v>
      </c>
      <c r="W1370" s="2">
        <v>51.353999999999999</v>
      </c>
      <c r="X1370" s="3">
        <f t="shared" si="42"/>
        <v>51.353999999999999</v>
      </c>
      <c r="Y1370">
        <f>VLOOKUP(D1370,'[1]Cost Sheet'!$C:$D,2,0)</f>
        <v>51.88</v>
      </c>
      <c r="Z1370" s="3">
        <f t="shared" si="43"/>
        <v>51.88</v>
      </c>
    </row>
    <row r="1371" spans="1:26" x14ac:dyDescent="0.3">
      <c r="A1371" s="7" t="s">
        <v>21</v>
      </c>
      <c r="B1371" t="s">
        <v>576</v>
      </c>
      <c r="C1371" t="s">
        <v>577</v>
      </c>
      <c r="D1371" t="s">
        <v>1041</v>
      </c>
      <c r="E1371" t="s">
        <v>578</v>
      </c>
      <c r="F1371" t="s">
        <v>26</v>
      </c>
      <c r="G1371">
        <v>34</v>
      </c>
      <c r="H1371">
        <v>0</v>
      </c>
      <c r="I1371">
        <v>0</v>
      </c>
      <c r="J1371">
        <v>-2</v>
      </c>
      <c r="K1371">
        <v>0</v>
      </c>
      <c r="L1371">
        <v>0</v>
      </c>
      <c r="M1371">
        <v>-1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31</v>
      </c>
      <c r="T1371">
        <v>0</v>
      </c>
      <c r="U1371" t="s">
        <v>40</v>
      </c>
      <c r="W1371" s="2">
        <v>51.353999999999999</v>
      </c>
      <c r="X1371" s="3">
        <f t="shared" si="42"/>
        <v>1591.9739999999999</v>
      </c>
      <c r="Y1371">
        <f>VLOOKUP(D1371,'[1]Cost Sheet'!$C:$D,2,0)</f>
        <v>51.88</v>
      </c>
      <c r="Z1371" s="3">
        <f t="shared" si="43"/>
        <v>1608.28</v>
      </c>
    </row>
    <row r="1372" spans="1:26" x14ac:dyDescent="0.3">
      <c r="A1372" s="7" t="s">
        <v>21</v>
      </c>
      <c r="B1372" t="s">
        <v>576</v>
      </c>
      <c r="C1372" t="s">
        <v>577</v>
      </c>
      <c r="D1372" t="s">
        <v>1041</v>
      </c>
      <c r="E1372" t="s">
        <v>578</v>
      </c>
      <c r="F1372" t="s">
        <v>26</v>
      </c>
      <c r="G1372">
        <v>18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18</v>
      </c>
      <c r="T1372">
        <v>0</v>
      </c>
      <c r="U1372" t="s">
        <v>120</v>
      </c>
      <c r="W1372" s="2">
        <v>51.353999999999999</v>
      </c>
      <c r="X1372" s="3">
        <f t="shared" si="42"/>
        <v>924.37199999999996</v>
      </c>
      <c r="Y1372">
        <f>VLOOKUP(D1372,'[1]Cost Sheet'!$C:$D,2,0)</f>
        <v>51.88</v>
      </c>
      <c r="Z1372" s="3">
        <f t="shared" si="43"/>
        <v>933.84</v>
      </c>
    </row>
    <row r="1373" spans="1:26" x14ac:dyDescent="0.3">
      <c r="A1373" s="7" t="s">
        <v>21</v>
      </c>
      <c r="B1373" t="s">
        <v>576</v>
      </c>
      <c r="C1373" t="s">
        <v>577</v>
      </c>
      <c r="D1373" t="s">
        <v>1041</v>
      </c>
      <c r="E1373" t="s">
        <v>578</v>
      </c>
      <c r="F1373" t="s">
        <v>26</v>
      </c>
      <c r="G1373">
        <v>25</v>
      </c>
      <c r="H1373">
        <v>0</v>
      </c>
      <c r="I1373">
        <v>0</v>
      </c>
      <c r="J1373">
        <v>-1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24</v>
      </c>
      <c r="T1373">
        <v>0</v>
      </c>
      <c r="U1373" t="s">
        <v>59</v>
      </c>
      <c r="W1373" s="2">
        <v>51.353999999999999</v>
      </c>
      <c r="X1373" s="3">
        <f t="shared" si="42"/>
        <v>1232.4960000000001</v>
      </c>
      <c r="Y1373">
        <f>VLOOKUP(D1373,'[1]Cost Sheet'!$C:$D,2,0)</f>
        <v>51.88</v>
      </c>
      <c r="Z1373" s="3">
        <f t="shared" si="43"/>
        <v>1245.1200000000001</v>
      </c>
    </row>
    <row r="1374" spans="1:26" x14ac:dyDescent="0.3">
      <c r="A1374" s="7" t="s">
        <v>21</v>
      </c>
      <c r="B1374" t="s">
        <v>579</v>
      </c>
      <c r="C1374" t="s">
        <v>580</v>
      </c>
      <c r="D1374" t="s">
        <v>1042</v>
      </c>
      <c r="E1374" t="s">
        <v>581</v>
      </c>
      <c r="F1374" t="s">
        <v>125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 t="s">
        <v>38</v>
      </c>
      <c r="W1374" s="2">
        <v>130.39230769230767</v>
      </c>
      <c r="X1374" s="3">
        <f t="shared" si="42"/>
        <v>130.39230769230767</v>
      </c>
      <c r="Y1374">
        <f>VLOOKUP(D1374,'[1]Cost Sheet'!$C:$D,2,0)</f>
        <v>130.22999999999999</v>
      </c>
      <c r="Z1374" s="3">
        <f t="shared" si="43"/>
        <v>130.22999999999999</v>
      </c>
    </row>
    <row r="1375" spans="1:26" x14ac:dyDescent="0.3">
      <c r="A1375" s="7" t="s">
        <v>21</v>
      </c>
      <c r="B1375" t="s">
        <v>579</v>
      </c>
      <c r="C1375" t="s">
        <v>580</v>
      </c>
      <c r="D1375" t="s">
        <v>1042</v>
      </c>
      <c r="E1375" t="s">
        <v>581</v>
      </c>
      <c r="F1375" t="s">
        <v>125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0</v>
      </c>
      <c r="U1375" t="s">
        <v>45</v>
      </c>
      <c r="W1375" s="2">
        <v>130.39230769230767</v>
      </c>
      <c r="X1375" s="3">
        <f t="shared" si="42"/>
        <v>260.78461538461534</v>
      </c>
      <c r="Y1375">
        <f>VLOOKUP(D1375,'[1]Cost Sheet'!$C:$D,2,0)</f>
        <v>130.22999999999999</v>
      </c>
      <c r="Z1375" s="3">
        <f t="shared" si="43"/>
        <v>260.45999999999998</v>
      </c>
    </row>
    <row r="1376" spans="1:26" x14ac:dyDescent="0.3">
      <c r="A1376" s="7" t="s">
        <v>21</v>
      </c>
      <c r="B1376" t="s">
        <v>579</v>
      </c>
      <c r="C1376" t="s">
        <v>580</v>
      </c>
      <c r="D1376" t="s">
        <v>1042</v>
      </c>
      <c r="E1376" t="s">
        <v>581</v>
      </c>
      <c r="F1376" t="s">
        <v>125</v>
      </c>
      <c r="G1376">
        <v>3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4</v>
      </c>
      <c r="T1376">
        <v>0</v>
      </c>
      <c r="U1376" t="s">
        <v>108</v>
      </c>
      <c r="W1376" s="2">
        <v>130.39230769230767</v>
      </c>
      <c r="X1376" s="3">
        <f t="shared" si="42"/>
        <v>521.56923076923067</v>
      </c>
      <c r="Y1376">
        <f>VLOOKUP(D1376,'[1]Cost Sheet'!$C:$D,2,0)</f>
        <v>130.22999999999999</v>
      </c>
      <c r="Z1376" s="3">
        <f t="shared" si="43"/>
        <v>520.91999999999996</v>
      </c>
    </row>
    <row r="1377" spans="1:26" x14ac:dyDescent="0.3">
      <c r="A1377" s="7" t="s">
        <v>21</v>
      </c>
      <c r="B1377" t="s">
        <v>579</v>
      </c>
      <c r="C1377" t="s">
        <v>580</v>
      </c>
      <c r="D1377" t="s">
        <v>1042</v>
      </c>
      <c r="E1377" t="s">
        <v>581</v>
      </c>
      <c r="F1377" t="s">
        <v>125</v>
      </c>
      <c r="G1377">
        <v>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4</v>
      </c>
      <c r="T1377">
        <v>0</v>
      </c>
      <c r="U1377" t="s">
        <v>54</v>
      </c>
      <c r="W1377" s="2">
        <v>130.39230769230767</v>
      </c>
      <c r="X1377" s="3">
        <f t="shared" si="42"/>
        <v>521.56923076923067</v>
      </c>
      <c r="Y1377">
        <f>VLOOKUP(D1377,'[1]Cost Sheet'!$C:$D,2,0)</f>
        <v>130.22999999999999</v>
      </c>
      <c r="Z1377" s="3">
        <f t="shared" si="43"/>
        <v>520.91999999999996</v>
      </c>
    </row>
    <row r="1378" spans="1:26" x14ac:dyDescent="0.3">
      <c r="A1378" s="7" t="s">
        <v>21</v>
      </c>
      <c r="B1378" t="s">
        <v>579</v>
      </c>
      <c r="C1378" t="s">
        <v>580</v>
      </c>
      <c r="D1378" t="s">
        <v>1042</v>
      </c>
      <c r="E1378" t="s">
        <v>581</v>
      </c>
      <c r="F1378" t="s">
        <v>125</v>
      </c>
      <c r="G1378">
        <v>12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12</v>
      </c>
      <c r="T1378">
        <v>0</v>
      </c>
      <c r="U1378" t="s">
        <v>88</v>
      </c>
      <c r="W1378" s="2">
        <v>130.39230769230767</v>
      </c>
      <c r="X1378" s="3">
        <f t="shared" si="42"/>
        <v>1564.707692307692</v>
      </c>
      <c r="Y1378">
        <f>VLOOKUP(D1378,'[1]Cost Sheet'!$C:$D,2,0)</f>
        <v>130.22999999999999</v>
      </c>
      <c r="Z1378" s="3">
        <f t="shared" si="43"/>
        <v>1562.7599999999998</v>
      </c>
    </row>
    <row r="1379" spans="1:26" x14ac:dyDescent="0.3">
      <c r="A1379" s="7" t="s">
        <v>21</v>
      </c>
      <c r="B1379" t="s">
        <v>579</v>
      </c>
      <c r="C1379" t="s">
        <v>580</v>
      </c>
      <c r="D1379" t="s">
        <v>1042</v>
      </c>
      <c r="E1379" t="s">
        <v>581</v>
      </c>
      <c r="F1379" t="s">
        <v>125</v>
      </c>
      <c r="G1379">
        <v>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7</v>
      </c>
      <c r="T1379">
        <v>0</v>
      </c>
      <c r="U1379" t="s">
        <v>40</v>
      </c>
      <c r="W1379" s="2">
        <v>130.39230769230767</v>
      </c>
      <c r="X1379" s="3">
        <f t="shared" si="42"/>
        <v>912.74615384615367</v>
      </c>
      <c r="Y1379">
        <f>VLOOKUP(D1379,'[1]Cost Sheet'!$C:$D,2,0)</f>
        <v>130.22999999999999</v>
      </c>
      <c r="Z1379" s="3">
        <f t="shared" si="43"/>
        <v>911.6099999999999</v>
      </c>
    </row>
    <row r="1380" spans="1:26" x14ac:dyDescent="0.3">
      <c r="A1380" s="7" t="s">
        <v>21</v>
      </c>
      <c r="B1380" t="s">
        <v>579</v>
      </c>
      <c r="C1380" t="s">
        <v>580</v>
      </c>
      <c r="D1380" t="s">
        <v>1042</v>
      </c>
      <c r="E1380" t="s">
        <v>581</v>
      </c>
      <c r="F1380" t="s">
        <v>125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</v>
      </c>
      <c r="T1380">
        <v>0</v>
      </c>
      <c r="U1380" t="s">
        <v>120</v>
      </c>
      <c r="W1380" s="2">
        <v>130.39230769230767</v>
      </c>
      <c r="X1380" s="3">
        <f t="shared" si="42"/>
        <v>260.78461538461534</v>
      </c>
      <c r="Y1380">
        <f>VLOOKUP(D1380,'[1]Cost Sheet'!$C:$D,2,0)</f>
        <v>130.22999999999999</v>
      </c>
      <c r="Z1380" s="3">
        <f t="shared" si="43"/>
        <v>260.45999999999998</v>
      </c>
    </row>
    <row r="1381" spans="1:26" x14ac:dyDescent="0.3">
      <c r="A1381" s="7" t="s">
        <v>21</v>
      </c>
      <c r="B1381" t="s">
        <v>579</v>
      </c>
      <c r="C1381" t="s">
        <v>580</v>
      </c>
      <c r="D1381" t="s">
        <v>1042</v>
      </c>
      <c r="E1381" t="s">
        <v>581</v>
      </c>
      <c r="F1381" t="s">
        <v>125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-1</v>
      </c>
      <c r="R1381">
        <v>0</v>
      </c>
      <c r="S1381">
        <v>0</v>
      </c>
      <c r="T1381">
        <v>0</v>
      </c>
      <c r="U1381" t="s">
        <v>59</v>
      </c>
      <c r="W1381" s="2">
        <v>130.39230769230767</v>
      </c>
      <c r="X1381" s="3">
        <f t="shared" si="42"/>
        <v>0</v>
      </c>
      <c r="Y1381">
        <f>VLOOKUP(D1381,'[1]Cost Sheet'!$C:$D,2,0)</f>
        <v>130.22999999999999</v>
      </c>
      <c r="Z1381" s="3">
        <f t="shared" si="43"/>
        <v>0</v>
      </c>
    </row>
    <row r="1382" spans="1:26" x14ac:dyDescent="0.3">
      <c r="A1382" s="7" t="s">
        <v>21</v>
      </c>
      <c r="B1382" t="s">
        <v>579</v>
      </c>
      <c r="C1382" t="s">
        <v>580</v>
      </c>
      <c r="D1382" t="s">
        <v>1042</v>
      </c>
      <c r="E1382" t="s">
        <v>581</v>
      </c>
      <c r="F1382" t="s">
        <v>169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 t="s">
        <v>107</v>
      </c>
      <c r="W1382" s="2">
        <v>130.39230769230767</v>
      </c>
      <c r="X1382" s="3">
        <f t="shared" si="42"/>
        <v>130.39230769230767</v>
      </c>
      <c r="Y1382">
        <f>VLOOKUP(D1382,'[1]Cost Sheet'!$C:$D,2,0)</f>
        <v>130.22999999999999</v>
      </c>
      <c r="Z1382" s="3">
        <f t="shared" si="43"/>
        <v>130.22999999999999</v>
      </c>
    </row>
    <row r="1383" spans="1:26" x14ac:dyDescent="0.3">
      <c r="A1383" s="7" t="s">
        <v>21</v>
      </c>
      <c r="B1383" t="s">
        <v>579</v>
      </c>
      <c r="C1383" t="s">
        <v>580</v>
      </c>
      <c r="D1383" t="s">
        <v>1042</v>
      </c>
      <c r="E1383" t="s">
        <v>581</v>
      </c>
      <c r="F1383" t="s">
        <v>169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</v>
      </c>
      <c r="T1383">
        <v>0</v>
      </c>
      <c r="U1383" t="s">
        <v>54</v>
      </c>
      <c r="W1383" s="2">
        <v>130.39230769230767</v>
      </c>
      <c r="X1383" s="3">
        <f t="shared" si="42"/>
        <v>260.78461538461534</v>
      </c>
      <c r="Y1383">
        <f>VLOOKUP(D1383,'[1]Cost Sheet'!$C:$D,2,0)</f>
        <v>130.22999999999999</v>
      </c>
      <c r="Z1383" s="3">
        <f t="shared" si="43"/>
        <v>260.45999999999998</v>
      </c>
    </row>
    <row r="1384" spans="1:26" x14ac:dyDescent="0.3">
      <c r="A1384" s="7" t="s">
        <v>21</v>
      </c>
      <c r="B1384" t="s">
        <v>579</v>
      </c>
      <c r="C1384" t="s">
        <v>580</v>
      </c>
      <c r="D1384" t="s">
        <v>1042</v>
      </c>
      <c r="E1384" t="s">
        <v>581</v>
      </c>
      <c r="F1384" t="s">
        <v>169</v>
      </c>
      <c r="G1384">
        <v>1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-1</v>
      </c>
      <c r="R1384">
        <v>0</v>
      </c>
      <c r="S1384">
        <v>1</v>
      </c>
      <c r="T1384">
        <v>0</v>
      </c>
      <c r="U1384" t="s">
        <v>88</v>
      </c>
      <c r="W1384" s="2">
        <v>130.39230769230767</v>
      </c>
      <c r="X1384" s="3">
        <f t="shared" si="42"/>
        <v>130.39230769230767</v>
      </c>
      <c r="Y1384">
        <f>VLOOKUP(D1384,'[1]Cost Sheet'!$C:$D,2,0)</f>
        <v>130.22999999999999</v>
      </c>
      <c r="Z1384" s="3">
        <f t="shared" si="43"/>
        <v>130.22999999999999</v>
      </c>
    </row>
    <row r="1385" spans="1:26" x14ac:dyDescent="0.3">
      <c r="A1385" s="7" t="s">
        <v>21</v>
      </c>
      <c r="B1385" t="s">
        <v>579</v>
      </c>
      <c r="C1385" t="s">
        <v>580</v>
      </c>
      <c r="D1385" t="s">
        <v>1042</v>
      </c>
      <c r="E1385" t="s">
        <v>581</v>
      </c>
      <c r="F1385" t="s">
        <v>169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 t="s">
        <v>59</v>
      </c>
      <c r="W1385" s="2">
        <v>130.39230769230767</v>
      </c>
      <c r="X1385" s="3">
        <f t="shared" si="42"/>
        <v>130.39230769230767</v>
      </c>
      <c r="Y1385">
        <f>VLOOKUP(D1385,'[1]Cost Sheet'!$C:$D,2,0)</f>
        <v>130.22999999999999</v>
      </c>
      <c r="Z1385" s="3">
        <f t="shared" si="43"/>
        <v>130.22999999999999</v>
      </c>
    </row>
    <row r="1386" spans="1:26" x14ac:dyDescent="0.3">
      <c r="A1386" s="7" t="s">
        <v>21</v>
      </c>
      <c r="B1386" t="s">
        <v>579</v>
      </c>
      <c r="C1386" t="s">
        <v>580</v>
      </c>
      <c r="D1386" t="s">
        <v>1042</v>
      </c>
      <c r="E1386" t="s">
        <v>581</v>
      </c>
      <c r="F1386" t="s">
        <v>106</v>
      </c>
      <c r="G1386">
        <v>20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20</v>
      </c>
      <c r="T1386">
        <v>0</v>
      </c>
      <c r="U1386" t="s">
        <v>38</v>
      </c>
      <c r="W1386" s="2">
        <v>130.39230769230767</v>
      </c>
      <c r="X1386" s="3">
        <f t="shared" si="42"/>
        <v>2607.8461538461534</v>
      </c>
      <c r="Y1386">
        <f>VLOOKUP(D1386,'[1]Cost Sheet'!$C:$D,2,0)</f>
        <v>130.22999999999999</v>
      </c>
      <c r="Z1386" s="3">
        <f t="shared" si="43"/>
        <v>2604.6</v>
      </c>
    </row>
    <row r="1387" spans="1:26" x14ac:dyDescent="0.3">
      <c r="A1387" s="7" t="s">
        <v>21</v>
      </c>
      <c r="B1387" t="s">
        <v>579</v>
      </c>
      <c r="C1387" t="s">
        <v>580</v>
      </c>
      <c r="D1387" t="s">
        <v>1042</v>
      </c>
      <c r="E1387" t="s">
        <v>581</v>
      </c>
      <c r="F1387" t="s">
        <v>106</v>
      </c>
      <c r="G1387">
        <v>11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11</v>
      </c>
      <c r="T1387">
        <v>0</v>
      </c>
      <c r="U1387" t="s">
        <v>107</v>
      </c>
      <c r="W1387" s="2">
        <v>130.39230769230767</v>
      </c>
      <c r="X1387" s="3">
        <f t="shared" si="42"/>
        <v>1434.3153846153843</v>
      </c>
      <c r="Y1387">
        <f>VLOOKUP(D1387,'[1]Cost Sheet'!$C:$D,2,0)</f>
        <v>130.22999999999999</v>
      </c>
      <c r="Z1387" s="3">
        <f t="shared" si="43"/>
        <v>1432.53</v>
      </c>
    </row>
    <row r="1388" spans="1:26" x14ac:dyDescent="0.3">
      <c r="A1388" s="7" t="s">
        <v>21</v>
      </c>
      <c r="B1388" t="s">
        <v>579</v>
      </c>
      <c r="C1388" t="s">
        <v>580</v>
      </c>
      <c r="D1388" t="s">
        <v>1042</v>
      </c>
      <c r="E1388" t="s">
        <v>581</v>
      </c>
      <c r="F1388" t="s">
        <v>106</v>
      </c>
      <c r="G1388">
        <v>16</v>
      </c>
      <c r="H1388">
        <v>0</v>
      </c>
      <c r="I1388">
        <v>0</v>
      </c>
      <c r="J1388">
        <v>0</v>
      </c>
      <c r="K1388">
        <v>0</v>
      </c>
      <c r="L1388">
        <v>-5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11</v>
      </c>
      <c r="T1388">
        <v>0</v>
      </c>
      <c r="U1388" t="s">
        <v>45</v>
      </c>
      <c r="W1388" s="2">
        <v>130.39230769230767</v>
      </c>
      <c r="X1388" s="3">
        <f t="shared" si="42"/>
        <v>1434.3153846153843</v>
      </c>
      <c r="Y1388">
        <f>VLOOKUP(D1388,'[1]Cost Sheet'!$C:$D,2,0)</f>
        <v>130.22999999999999</v>
      </c>
      <c r="Z1388" s="3">
        <f t="shared" si="43"/>
        <v>1432.53</v>
      </c>
    </row>
    <row r="1389" spans="1:26" x14ac:dyDescent="0.3">
      <c r="A1389" s="7" t="s">
        <v>21</v>
      </c>
      <c r="B1389" t="s">
        <v>579</v>
      </c>
      <c r="C1389" t="s">
        <v>580</v>
      </c>
      <c r="D1389" t="s">
        <v>1042</v>
      </c>
      <c r="E1389" t="s">
        <v>581</v>
      </c>
      <c r="F1389" t="s">
        <v>106</v>
      </c>
      <c r="G1389">
        <v>5</v>
      </c>
      <c r="H1389">
        <v>0</v>
      </c>
      <c r="I1389">
        <v>0</v>
      </c>
      <c r="J1389">
        <v>0</v>
      </c>
      <c r="K1389">
        <v>0</v>
      </c>
      <c r="L1389">
        <v>-2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3</v>
      </c>
      <c r="T1389">
        <v>0</v>
      </c>
      <c r="U1389" t="s">
        <v>39</v>
      </c>
      <c r="W1389" s="2">
        <v>130.39230769230767</v>
      </c>
      <c r="X1389" s="3">
        <f t="shared" si="42"/>
        <v>391.176923076923</v>
      </c>
      <c r="Y1389">
        <f>VLOOKUP(D1389,'[1]Cost Sheet'!$C:$D,2,0)</f>
        <v>130.22999999999999</v>
      </c>
      <c r="Z1389" s="3">
        <f t="shared" si="43"/>
        <v>390.68999999999994</v>
      </c>
    </row>
    <row r="1390" spans="1:26" x14ac:dyDescent="0.3">
      <c r="A1390" s="7" t="s">
        <v>21</v>
      </c>
      <c r="B1390" t="s">
        <v>579</v>
      </c>
      <c r="C1390" t="s">
        <v>580</v>
      </c>
      <c r="D1390" t="s">
        <v>1042</v>
      </c>
      <c r="E1390" t="s">
        <v>581</v>
      </c>
      <c r="F1390" t="s">
        <v>106</v>
      </c>
      <c r="G1390">
        <v>14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14</v>
      </c>
      <c r="T1390">
        <v>0</v>
      </c>
      <c r="U1390" t="s">
        <v>53</v>
      </c>
      <c r="W1390" s="2">
        <v>130.39230769230767</v>
      </c>
      <c r="X1390" s="3">
        <f t="shared" si="42"/>
        <v>1825.4923076923073</v>
      </c>
      <c r="Y1390">
        <f>VLOOKUP(D1390,'[1]Cost Sheet'!$C:$D,2,0)</f>
        <v>130.22999999999999</v>
      </c>
      <c r="Z1390" s="3">
        <f t="shared" si="43"/>
        <v>1823.2199999999998</v>
      </c>
    </row>
    <row r="1391" spans="1:26" x14ac:dyDescent="0.3">
      <c r="A1391" s="7" t="s">
        <v>21</v>
      </c>
      <c r="B1391" t="s">
        <v>579</v>
      </c>
      <c r="C1391" t="s">
        <v>580</v>
      </c>
      <c r="D1391" t="s">
        <v>1042</v>
      </c>
      <c r="E1391" t="s">
        <v>581</v>
      </c>
      <c r="F1391" t="s">
        <v>106</v>
      </c>
      <c r="G1391">
        <v>14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14</v>
      </c>
      <c r="T1391">
        <v>0</v>
      </c>
      <c r="U1391" t="s">
        <v>54</v>
      </c>
      <c r="W1391" s="2">
        <v>130.39230769230767</v>
      </c>
      <c r="X1391" s="3">
        <f t="shared" si="42"/>
        <v>1825.4923076923073</v>
      </c>
      <c r="Y1391">
        <f>VLOOKUP(D1391,'[1]Cost Sheet'!$C:$D,2,0)</f>
        <v>130.22999999999999</v>
      </c>
      <c r="Z1391" s="3">
        <f t="shared" si="43"/>
        <v>1823.2199999999998</v>
      </c>
    </row>
    <row r="1392" spans="1:26" x14ac:dyDescent="0.3">
      <c r="A1392" s="7" t="s">
        <v>21</v>
      </c>
      <c r="B1392" t="s">
        <v>579</v>
      </c>
      <c r="C1392" t="s">
        <v>580</v>
      </c>
      <c r="D1392" t="s">
        <v>1042</v>
      </c>
      <c r="E1392" t="s">
        <v>581</v>
      </c>
      <c r="F1392" t="s">
        <v>106</v>
      </c>
      <c r="G1392">
        <v>24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25</v>
      </c>
      <c r="T1392">
        <v>0</v>
      </c>
      <c r="U1392" t="s">
        <v>32</v>
      </c>
      <c r="W1392" s="2">
        <v>130.39230769230767</v>
      </c>
      <c r="X1392" s="3">
        <f t="shared" si="42"/>
        <v>3259.8076923076915</v>
      </c>
      <c r="Y1392">
        <f>VLOOKUP(D1392,'[1]Cost Sheet'!$C:$D,2,0)</f>
        <v>130.22999999999999</v>
      </c>
      <c r="Z1392" s="3">
        <f t="shared" si="43"/>
        <v>3255.7499999999995</v>
      </c>
    </row>
    <row r="1393" spans="1:26" x14ac:dyDescent="0.3">
      <c r="A1393" s="7" t="s">
        <v>21</v>
      </c>
      <c r="B1393" t="s">
        <v>579</v>
      </c>
      <c r="C1393" t="s">
        <v>580</v>
      </c>
      <c r="D1393" t="s">
        <v>1042</v>
      </c>
      <c r="E1393" t="s">
        <v>581</v>
      </c>
      <c r="F1393" t="s">
        <v>106</v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6</v>
      </c>
      <c r="T1393">
        <v>0</v>
      </c>
      <c r="U1393" t="s">
        <v>33</v>
      </c>
      <c r="W1393" s="2">
        <v>130.39230769230767</v>
      </c>
      <c r="X1393" s="3">
        <f t="shared" si="42"/>
        <v>782.35384615384601</v>
      </c>
      <c r="Y1393">
        <f>VLOOKUP(D1393,'[1]Cost Sheet'!$C:$D,2,0)</f>
        <v>130.22999999999999</v>
      </c>
      <c r="Z1393" s="3">
        <f t="shared" si="43"/>
        <v>781.37999999999988</v>
      </c>
    </row>
    <row r="1394" spans="1:26" x14ac:dyDescent="0.3">
      <c r="A1394" s="7" t="s">
        <v>21</v>
      </c>
      <c r="B1394" t="s">
        <v>579</v>
      </c>
      <c r="C1394" t="s">
        <v>580</v>
      </c>
      <c r="D1394" t="s">
        <v>1042</v>
      </c>
      <c r="E1394" t="s">
        <v>581</v>
      </c>
      <c r="F1394" t="s">
        <v>106</v>
      </c>
      <c r="G1394">
        <v>16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16</v>
      </c>
      <c r="T1394">
        <v>0</v>
      </c>
      <c r="U1394" t="s">
        <v>46</v>
      </c>
      <c r="W1394" s="2">
        <v>130.39230769230767</v>
      </c>
      <c r="X1394" s="3">
        <f t="shared" si="42"/>
        <v>2086.2769230769227</v>
      </c>
      <c r="Y1394">
        <f>VLOOKUP(D1394,'[1]Cost Sheet'!$C:$D,2,0)</f>
        <v>130.22999999999999</v>
      </c>
      <c r="Z1394" s="3">
        <f t="shared" si="43"/>
        <v>2083.6799999999998</v>
      </c>
    </row>
    <row r="1395" spans="1:26" x14ac:dyDescent="0.3">
      <c r="A1395" s="7" t="s">
        <v>21</v>
      </c>
      <c r="B1395" t="s">
        <v>579</v>
      </c>
      <c r="C1395" t="s">
        <v>580</v>
      </c>
      <c r="D1395" t="s">
        <v>1042</v>
      </c>
      <c r="E1395" t="s">
        <v>581</v>
      </c>
      <c r="F1395" t="s">
        <v>106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</v>
      </c>
      <c r="T1395">
        <v>0</v>
      </c>
      <c r="U1395" t="s">
        <v>47</v>
      </c>
      <c r="W1395" s="2">
        <v>130.39230769230767</v>
      </c>
      <c r="X1395" s="3">
        <f t="shared" si="42"/>
        <v>391.176923076923</v>
      </c>
      <c r="Y1395">
        <f>VLOOKUP(D1395,'[1]Cost Sheet'!$C:$D,2,0)</f>
        <v>130.22999999999999</v>
      </c>
      <c r="Z1395" s="3">
        <f t="shared" si="43"/>
        <v>390.68999999999994</v>
      </c>
    </row>
    <row r="1396" spans="1:26" x14ac:dyDescent="0.3">
      <c r="A1396" s="7" t="s">
        <v>21</v>
      </c>
      <c r="B1396" t="s">
        <v>579</v>
      </c>
      <c r="C1396" t="s">
        <v>580</v>
      </c>
      <c r="D1396" t="s">
        <v>1042</v>
      </c>
      <c r="E1396" t="s">
        <v>581</v>
      </c>
      <c r="F1396" t="s">
        <v>106</v>
      </c>
      <c r="G1396">
        <v>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6</v>
      </c>
      <c r="T1396">
        <v>0</v>
      </c>
      <c r="U1396" t="s">
        <v>40</v>
      </c>
      <c r="W1396" s="2">
        <v>130.39230769230767</v>
      </c>
      <c r="X1396" s="3">
        <f t="shared" si="42"/>
        <v>782.35384615384601</v>
      </c>
      <c r="Y1396">
        <f>VLOOKUP(D1396,'[1]Cost Sheet'!$C:$D,2,0)</f>
        <v>130.22999999999999</v>
      </c>
      <c r="Z1396" s="3">
        <f t="shared" si="43"/>
        <v>781.37999999999988</v>
      </c>
    </row>
    <row r="1397" spans="1:26" x14ac:dyDescent="0.3">
      <c r="A1397" s="7" t="s">
        <v>21</v>
      </c>
      <c r="B1397" t="s">
        <v>579</v>
      </c>
      <c r="C1397" t="s">
        <v>580</v>
      </c>
      <c r="D1397" t="s">
        <v>1042</v>
      </c>
      <c r="E1397" t="s">
        <v>581</v>
      </c>
      <c r="F1397" t="s">
        <v>106</v>
      </c>
      <c r="G1397">
        <v>21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21</v>
      </c>
      <c r="T1397">
        <v>0</v>
      </c>
      <c r="U1397" t="s">
        <v>48</v>
      </c>
      <c r="W1397" s="2">
        <v>130.39230769230767</v>
      </c>
      <c r="X1397" s="3">
        <f t="shared" si="42"/>
        <v>2738.2384615384608</v>
      </c>
      <c r="Y1397">
        <f>VLOOKUP(D1397,'[1]Cost Sheet'!$C:$D,2,0)</f>
        <v>130.22999999999999</v>
      </c>
      <c r="Z1397" s="3">
        <f t="shared" si="43"/>
        <v>2734.83</v>
      </c>
    </row>
    <row r="1398" spans="1:26" x14ac:dyDescent="0.3">
      <c r="A1398" s="7" t="s">
        <v>21</v>
      </c>
      <c r="B1398" t="s">
        <v>579</v>
      </c>
      <c r="C1398" t="s">
        <v>580</v>
      </c>
      <c r="D1398" t="s">
        <v>1042</v>
      </c>
      <c r="E1398" t="s">
        <v>581</v>
      </c>
      <c r="F1398" t="s">
        <v>106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</v>
      </c>
      <c r="T1398">
        <v>0</v>
      </c>
      <c r="U1398" t="s">
        <v>59</v>
      </c>
      <c r="W1398" s="2">
        <v>130.39230769230767</v>
      </c>
      <c r="X1398" s="3">
        <f t="shared" si="42"/>
        <v>260.78461538461534</v>
      </c>
      <c r="Y1398">
        <f>VLOOKUP(D1398,'[1]Cost Sheet'!$C:$D,2,0)</f>
        <v>130.22999999999999</v>
      </c>
      <c r="Z1398" s="3">
        <f t="shared" si="43"/>
        <v>260.45999999999998</v>
      </c>
    </row>
    <row r="1399" spans="1:26" x14ac:dyDescent="0.3">
      <c r="A1399" s="7" t="s">
        <v>21</v>
      </c>
      <c r="B1399" t="s">
        <v>579</v>
      </c>
      <c r="C1399" t="s">
        <v>580</v>
      </c>
      <c r="D1399" t="s">
        <v>1042</v>
      </c>
      <c r="E1399" t="s">
        <v>581</v>
      </c>
      <c r="F1399" t="s">
        <v>106</v>
      </c>
      <c r="G1399">
        <v>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6</v>
      </c>
      <c r="T1399">
        <v>0</v>
      </c>
      <c r="U1399" t="s">
        <v>27</v>
      </c>
      <c r="W1399" s="2">
        <v>130.39230769230767</v>
      </c>
      <c r="X1399" s="3">
        <f t="shared" si="42"/>
        <v>782.35384615384601</v>
      </c>
      <c r="Y1399">
        <f>VLOOKUP(D1399,'[1]Cost Sheet'!$C:$D,2,0)</f>
        <v>130.22999999999999</v>
      </c>
      <c r="Z1399" s="3">
        <f t="shared" si="43"/>
        <v>781.37999999999988</v>
      </c>
    </row>
    <row r="1400" spans="1:26" x14ac:dyDescent="0.3">
      <c r="A1400" s="7" t="s">
        <v>21</v>
      </c>
      <c r="B1400" t="s">
        <v>579</v>
      </c>
      <c r="C1400" t="s">
        <v>580</v>
      </c>
      <c r="D1400" t="s">
        <v>1042</v>
      </c>
      <c r="E1400" t="s">
        <v>581</v>
      </c>
      <c r="F1400" t="s">
        <v>130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</v>
      </c>
      <c r="T1400">
        <v>0</v>
      </c>
      <c r="U1400" t="s">
        <v>33</v>
      </c>
      <c r="W1400" s="2">
        <v>130.39230769230767</v>
      </c>
      <c r="X1400" s="3">
        <f t="shared" si="42"/>
        <v>260.78461538461534</v>
      </c>
      <c r="Y1400">
        <f>VLOOKUP(D1400,'[1]Cost Sheet'!$C:$D,2,0)</f>
        <v>130.22999999999999</v>
      </c>
      <c r="Z1400" s="3">
        <f t="shared" si="43"/>
        <v>260.45999999999998</v>
      </c>
    </row>
    <row r="1401" spans="1:26" x14ac:dyDescent="0.3">
      <c r="A1401" s="7" t="s">
        <v>21</v>
      </c>
      <c r="B1401" t="s">
        <v>579</v>
      </c>
      <c r="C1401" t="s">
        <v>580</v>
      </c>
      <c r="D1401" t="s">
        <v>1042</v>
      </c>
      <c r="E1401" t="s">
        <v>581</v>
      </c>
      <c r="F1401" t="s">
        <v>130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 t="s">
        <v>46</v>
      </c>
      <c r="W1401" s="2">
        <v>130.39230769230767</v>
      </c>
      <c r="X1401" s="3">
        <f t="shared" si="42"/>
        <v>130.39230769230767</v>
      </c>
      <c r="Y1401">
        <f>VLOOKUP(D1401,'[1]Cost Sheet'!$C:$D,2,0)</f>
        <v>130.22999999999999</v>
      </c>
      <c r="Z1401" s="3">
        <f t="shared" si="43"/>
        <v>130.22999999999999</v>
      </c>
    </row>
    <row r="1402" spans="1:26" x14ac:dyDescent="0.3">
      <c r="A1402" s="7" t="s">
        <v>21</v>
      </c>
      <c r="B1402" t="s">
        <v>579</v>
      </c>
      <c r="C1402" t="s">
        <v>580</v>
      </c>
      <c r="D1402" t="s">
        <v>1042</v>
      </c>
      <c r="E1402" t="s">
        <v>581</v>
      </c>
      <c r="F1402" t="s">
        <v>93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2</v>
      </c>
      <c r="T1402">
        <v>0</v>
      </c>
      <c r="U1402" t="s">
        <v>151</v>
      </c>
      <c r="W1402" s="2">
        <v>130.39230769230767</v>
      </c>
      <c r="X1402" s="3">
        <f t="shared" si="42"/>
        <v>260.78461538461534</v>
      </c>
      <c r="Y1402">
        <f>VLOOKUP(D1402,'[1]Cost Sheet'!$C:$D,2,0)</f>
        <v>130.22999999999999</v>
      </c>
      <c r="Z1402" s="3">
        <f t="shared" si="43"/>
        <v>260.45999999999998</v>
      </c>
    </row>
    <row r="1403" spans="1:26" x14ac:dyDescent="0.3">
      <c r="A1403" s="7" t="s">
        <v>21</v>
      </c>
      <c r="B1403" t="s">
        <v>579</v>
      </c>
      <c r="C1403" t="s">
        <v>580</v>
      </c>
      <c r="D1403" t="s">
        <v>1042</v>
      </c>
      <c r="E1403" t="s">
        <v>581</v>
      </c>
      <c r="F1403" t="s">
        <v>26</v>
      </c>
      <c r="G1403">
        <v>954</v>
      </c>
      <c r="H1403">
        <v>0</v>
      </c>
      <c r="I1403">
        <v>0</v>
      </c>
      <c r="J1403">
        <v>-29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925</v>
      </c>
      <c r="T1403">
        <v>0</v>
      </c>
      <c r="U1403" t="s">
        <v>38</v>
      </c>
      <c r="W1403" s="2">
        <v>130.39230769230767</v>
      </c>
      <c r="X1403" s="3">
        <f t="shared" si="42"/>
        <v>120612.8846153846</v>
      </c>
      <c r="Y1403">
        <f>VLOOKUP(D1403,'[1]Cost Sheet'!$C:$D,2,0)</f>
        <v>130.22999999999999</v>
      </c>
      <c r="Z1403" s="3">
        <f t="shared" si="43"/>
        <v>120462.74999999999</v>
      </c>
    </row>
    <row r="1404" spans="1:26" x14ac:dyDescent="0.3">
      <c r="A1404" s="7" t="s">
        <v>21</v>
      </c>
      <c r="B1404" t="s">
        <v>579</v>
      </c>
      <c r="C1404" t="s">
        <v>580</v>
      </c>
      <c r="D1404" t="s">
        <v>1042</v>
      </c>
      <c r="E1404" t="s">
        <v>581</v>
      </c>
      <c r="F1404" t="s">
        <v>26</v>
      </c>
      <c r="G1404">
        <v>513</v>
      </c>
      <c r="H1404">
        <v>0</v>
      </c>
      <c r="I1404">
        <v>0</v>
      </c>
      <c r="J1404">
        <v>-13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500</v>
      </c>
      <c r="T1404">
        <v>0</v>
      </c>
      <c r="U1404" t="s">
        <v>107</v>
      </c>
      <c r="W1404" s="2">
        <v>130.39230769230767</v>
      </c>
      <c r="X1404" s="3">
        <f t="shared" si="42"/>
        <v>65196.153846153837</v>
      </c>
      <c r="Y1404">
        <f>VLOOKUP(D1404,'[1]Cost Sheet'!$C:$D,2,0)</f>
        <v>130.22999999999999</v>
      </c>
      <c r="Z1404" s="3">
        <f t="shared" si="43"/>
        <v>65114.999999999993</v>
      </c>
    </row>
    <row r="1405" spans="1:26" x14ac:dyDescent="0.3">
      <c r="A1405" s="7" t="s">
        <v>21</v>
      </c>
      <c r="B1405" t="s">
        <v>579</v>
      </c>
      <c r="C1405" t="s">
        <v>580</v>
      </c>
      <c r="D1405" t="s">
        <v>1042</v>
      </c>
      <c r="E1405" t="s">
        <v>581</v>
      </c>
      <c r="F1405" t="s">
        <v>26</v>
      </c>
      <c r="G1405">
        <v>4</v>
      </c>
      <c r="H1405">
        <v>6</v>
      </c>
      <c r="I1405">
        <v>0</v>
      </c>
      <c r="J1405">
        <v>0</v>
      </c>
      <c r="K1405">
        <v>4</v>
      </c>
      <c r="L1405">
        <v>0</v>
      </c>
      <c r="M1405">
        <v>-5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</v>
      </c>
      <c r="T1405">
        <v>0</v>
      </c>
      <c r="U1405" t="s">
        <v>151</v>
      </c>
      <c r="W1405" s="2">
        <v>130.39230769230767</v>
      </c>
      <c r="X1405" s="3">
        <f t="shared" si="42"/>
        <v>391.176923076923</v>
      </c>
      <c r="Y1405">
        <f>VLOOKUP(D1405,'[1]Cost Sheet'!$C:$D,2,0)</f>
        <v>130.22999999999999</v>
      </c>
      <c r="Z1405" s="3">
        <f t="shared" si="43"/>
        <v>390.68999999999994</v>
      </c>
    </row>
    <row r="1406" spans="1:26" x14ac:dyDescent="0.3">
      <c r="A1406" s="7" t="s">
        <v>21</v>
      </c>
      <c r="B1406" t="s">
        <v>579</v>
      </c>
      <c r="C1406" t="s">
        <v>580</v>
      </c>
      <c r="D1406" t="s">
        <v>1042</v>
      </c>
      <c r="E1406" t="s">
        <v>581</v>
      </c>
      <c r="F1406" t="s">
        <v>26</v>
      </c>
      <c r="G1406">
        <v>379</v>
      </c>
      <c r="H1406">
        <v>0</v>
      </c>
      <c r="I1406">
        <v>0</v>
      </c>
      <c r="J1406">
        <v>-50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329</v>
      </c>
      <c r="T1406">
        <v>0</v>
      </c>
      <c r="U1406" t="s">
        <v>45</v>
      </c>
      <c r="W1406" s="2">
        <v>130.39230769230767</v>
      </c>
      <c r="X1406" s="3">
        <f t="shared" si="42"/>
        <v>42899.069230769222</v>
      </c>
      <c r="Y1406">
        <f>VLOOKUP(D1406,'[1]Cost Sheet'!$C:$D,2,0)</f>
        <v>130.22999999999999</v>
      </c>
      <c r="Z1406" s="3">
        <f t="shared" si="43"/>
        <v>42845.67</v>
      </c>
    </row>
    <row r="1407" spans="1:26" x14ac:dyDescent="0.3">
      <c r="A1407" s="7" t="s">
        <v>21</v>
      </c>
      <c r="B1407" t="s">
        <v>579</v>
      </c>
      <c r="C1407" t="s">
        <v>580</v>
      </c>
      <c r="D1407" t="s">
        <v>1042</v>
      </c>
      <c r="E1407" t="s">
        <v>581</v>
      </c>
      <c r="F1407" t="s">
        <v>26</v>
      </c>
      <c r="G1407">
        <v>1</v>
      </c>
      <c r="H1407">
        <v>14</v>
      </c>
      <c r="I1407">
        <v>0</v>
      </c>
      <c r="J1407">
        <v>0</v>
      </c>
      <c r="K1407">
        <v>14</v>
      </c>
      <c r="L1407">
        <v>0</v>
      </c>
      <c r="M1407">
        <v>-15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108</v>
      </c>
      <c r="W1407" s="2">
        <v>130.39230769230767</v>
      </c>
      <c r="X1407" s="3">
        <f t="shared" si="42"/>
        <v>0</v>
      </c>
      <c r="Y1407">
        <f>VLOOKUP(D1407,'[1]Cost Sheet'!$C:$D,2,0)</f>
        <v>130.22999999999999</v>
      </c>
      <c r="Z1407" s="3">
        <f t="shared" si="43"/>
        <v>0</v>
      </c>
    </row>
    <row r="1408" spans="1:26" x14ac:dyDescent="0.3">
      <c r="A1408" s="7" t="s">
        <v>21</v>
      </c>
      <c r="B1408" t="s">
        <v>579</v>
      </c>
      <c r="C1408" t="s">
        <v>580</v>
      </c>
      <c r="D1408" t="s">
        <v>1042</v>
      </c>
      <c r="E1408" t="s">
        <v>581</v>
      </c>
      <c r="F1408" t="s">
        <v>26</v>
      </c>
      <c r="G1408">
        <v>363</v>
      </c>
      <c r="H1408">
        <v>0</v>
      </c>
      <c r="I1408">
        <v>0</v>
      </c>
      <c r="J1408">
        <v>-29</v>
      </c>
      <c r="K1408">
        <v>0</v>
      </c>
      <c r="L1408">
        <v>0</v>
      </c>
      <c r="M1408">
        <v>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340</v>
      </c>
      <c r="T1408">
        <v>0</v>
      </c>
      <c r="U1408" t="s">
        <v>39</v>
      </c>
      <c r="W1408" s="2">
        <v>130.39230769230767</v>
      </c>
      <c r="X1408" s="3">
        <f t="shared" si="42"/>
        <v>44333.38461538461</v>
      </c>
      <c r="Y1408">
        <f>VLOOKUP(D1408,'[1]Cost Sheet'!$C:$D,2,0)</f>
        <v>130.22999999999999</v>
      </c>
      <c r="Z1408" s="3">
        <f t="shared" si="43"/>
        <v>44278.2</v>
      </c>
    </row>
    <row r="1409" spans="1:26" x14ac:dyDescent="0.3">
      <c r="A1409" s="7" t="s">
        <v>21</v>
      </c>
      <c r="B1409" t="s">
        <v>579</v>
      </c>
      <c r="C1409" t="s">
        <v>580</v>
      </c>
      <c r="D1409" t="s">
        <v>1042</v>
      </c>
      <c r="E1409" t="s">
        <v>581</v>
      </c>
      <c r="F1409" t="s">
        <v>26</v>
      </c>
      <c r="G1409">
        <v>167</v>
      </c>
      <c r="H1409">
        <v>0</v>
      </c>
      <c r="I1409">
        <v>0</v>
      </c>
      <c r="J1409">
        <v>-30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137</v>
      </c>
      <c r="T1409">
        <v>0</v>
      </c>
      <c r="U1409" t="s">
        <v>53</v>
      </c>
      <c r="W1409" s="2">
        <v>130.39230769230767</v>
      </c>
      <c r="X1409" s="3">
        <f t="shared" si="42"/>
        <v>17863.74615384615</v>
      </c>
      <c r="Y1409">
        <f>VLOOKUP(D1409,'[1]Cost Sheet'!$C:$D,2,0)</f>
        <v>130.22999999999999</v>
      </c>
      <c r="Z1409" s="3">
        <f t="shared" si="43"/>
        <v>17841.509999999998</v>
      </c>
    </row>
    <row r="1410" spans="1:26" x14ac:dyDescent="0.3">
      <c r="A1410" s="7" t="s">
        <v>21</v>
      </c>
      <c r="B1410" t="s">
        <v>579</v>
      </c>
      <c r="C1410" t="s">
        <v>580</v>
      </c>
      <c r="D1410" t="s">
        <v>1042</v>
      </c>
      <c r="E1410" t="s">
        <v>581</v>
      </c>
      <c r="F1410" t="s">
        <v>26</v>
      </c>
      <c r="G1410">
        <v>852</v>
      </c>
      <c r="H1410">
        <v>0</v>
      </c>
      <c r="I1410">
        <v>0</v>
      </c>
      <c r="J1410">
        <v>-46</v>
      </c>
      <c r="K1410">
        <v>6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812</v>
      </c>
      <c r="T1410">
        <v>0</v>
      </c>
      <c r="U1410" t="s">
        <v>54</v>
      </c>
      <c r="W1410" s="2">
        <v>130.39230769230767</v>
      </c>
      <c r="X1410" s="3">
        <f t="shared" si="42"/>
        <v>105878.55384615382</v>
      </c>
      <c r="Y1410">
        <f>VLOOKUP(D1410,'[1]Cost Sheet'!$C:$D,2,0)</f>
        <v>130.22999999999999</v>
      </c>
      <c r="Z1410" s="3">
        <f t="shared" si="43"/>
        <v>105746.76</v>
      </c>
    </row>
    <row r="1411" spans="1:26" x14ac:dyDescent="0.3">
      <c r="A1411" s="7" t="s">
        <v>21</v>
      </c>
      <c r="B1411" t="s">
        <v>579</v>
      </c>
      <c r="C1411" t="s">
        <v>580</v>
      </c>
      <c r="D1411" t="s">
        <v>1042</v>
      </c>
      <c r="E1411" t="s">
        <v>581</v>
      </c>
      <c r="F1411" t="s">
        <v>26</v>
      </c>
      <c r="G1411">
        <v>24</v>
      </c>
      <c r="H1411">
        <v>360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24</v>
      </c>
      <c r="T1411">
        <v>0</v>
      </c>
      <c r="U1411" t="s">
        <v>152</v>
      </c>
      <c r="W1411" s="2">
        <v>130.39230769230767</v>
      </c>
      <c r="X1411" s="3">
        <f t="shared" ref="X1411:X1474" si="44">S1411*W1411</f>
        <v>3129.415384615384</v>
      </c>
      <c r="Y1411">
        <f>VLOOKUP(D1411,'[1]Cost Sheet'!$C:$D,2,0)</f>
        <v>130.22999999999999</v>
      </c>
      <c r="Z1411" s="3">
        <f t="shared" ref="Z1411:Z1474" si="45">Y1411*S1411</f>
        <v>3125.5199999999995</v>
      </c>
    </row>
    <row r="1412" spans="1:26" x14ac:dyDescent="0.3">
      <c r="A1412" s="7" t="s">
        <v>21</v>
      </c>
      <c r="B1412" t="s">
        <v>579</v>
      </c>
      <c r="C1412" t="s">
        <v>580</v>
      </c>
      <c r="D1412" t="s">
        <v>1042</v>
      </c>
      <c r="E1412" t="s">
        <v>581</v>
      </c>
      <c r="F1412" t="s">
        <v>26</v>
      </c>
      <c r="G1412">
        <v>1214</v>
      </c>
      <c r="H1412">
        <v>0</v>
      </c>
      <c r="I1412">
        <v>0</v>
      </c>
      <c r="J1412">
        <v>-42</v>
      </c>
      <c r="K1412">
        <v>0</v>
      </c>
      <c r="L1412">
        <v>0</v>
      </c>
      <c r="M1412">
        <v>0</v>
      </c>
      <c r="N1412">
        <v>2</v>
      </c>
      <c r="O1412">
        <v>0</v>
      </c>
      <c r="P1412">
        <v>0</v>
      </c>
      <c r="Q1412">
        <v>0</v>
      </c>
      <c r="R1412">
        <v>-1</v>
      </c>
      <c r="S1412">
        <v>1173</v>
      </c>
      <c r="T1412">
        <v>0</v>
      </c>
      <c r="U1412" t="s">
        <v>32</v>
      </c>
      <c r="W1412" s="2">
        <v>130.39230769230767</v>
      </c>
      <c r="X1412" s="3">
        <f t="shared" si="44"/>
        <v>152950.17692307688</v>
      </c>
      <c r="Y1412">
        <f>VLOOKUP(D1412,'[1]Cost Sheet'!$C:$D,2,0)</f>
        <v>130.22999999999999</v>
      </c>
      <c r="Z1412" s="3">
        <f t="shared" si="45"/>
        <v>152759.78999999998</v>
      </c>
    </row>
    <row r="1413" spans="1:26" x14ac:dyDescent="0.3">
      <c r="A1413" s="7" t="s">
        <v>21</v>
      </c>
      <c r="B1413" t="s">
        <v>579</v>
      </c>
      <c r="C1413" t="s">
        <v>580</v>
      </c>
      <c r="D1413" t="s">
        <v>1042</v>
      </c>
      <c r="E1413" t="s">
        <v>581</v>
      </c>
      <c r="F1413" t="s">
        <v>26</v>
      </c>
      <c r="G1413">
        <v>7</v>
      </c>
      <c r="H1413">
        <v>10</v>
      </c>
      <c r="I1413">
        <v>0</v>
      </c>
      <c r="J1413">
        <v>0</v>
      </c>
      <c r="K1413">
        <v>8</v>
      </c>
      <c r="L1413">
        <v>0</v>
      </c>
      <c r="M1413">
        <v>-11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4</v>
      </c>
      <c r="T1413">
        <v>0</v>
      </c>
      <c r="U1413" t="s">
        <v>88</v>
      </c>
      <c r="W1413" s="2">
        <v>130.39230769230767</v>
      </c>
      <c r="X1413" s="3">
        <f t="shared" si="44"/>
        <v>521.56923076923067</v>
      </c>
      <c r="Y1413">
        <f>VLOOKUP(D1413,'[1]Cost Sheet'!$C:$D,2,0)</f>
        <v>130.22999999999999</v>
      </c>
      <c r="Z1413" s="3">
        <f t="shared" si="45"/>
        <v>520.91999999999996</v>
      </c>
    </row>
    <row r="1414" spans="1:26" x14ac:dyDescent="0.3">
      <c r="A1414" s="7" t="s">
        <v>21</v>
      </c>
      <c r="B1414" t="s">
        <v>579</v>
      </c>
      <c r="C1414" t="s">
        <v>580</v>
      </c>
      <c r="D1414" t="s">
        <v>1042</v>
      </c>
      <c r="E1414" t="s">
        <v>581</v>
      </c>
      <c r="F1414" t="s">
        <v>26</v>
      </c>
      <c r="G1414">
        <v>244</v>
      </c>
      <c r="H1414">
        <v>0</v>
      </c>
      <c r="I1414">
        <v>0</v>
      </c>
      <c r="J1414">
        <v>-6</v>
      </c>
      <c r="K1414">
        <v>0</v>
      </c>
      <c r="L1414">
        <v>0</v>
      </c>
      <c r="M1414">
        <v>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242</v>
      </c>
      <c r="T1414">
        <v>0</v>
      </c>
      <c r="U1414" t="s">
        <v>33</v>
      </c>
      <c r="W1414" s="2">
        <v>130.39230769230767</v>
      </c>
      <c r="X1414" s="3">
        <f t="shared" si="44"/>
        <v>31554.938461538455</v>
      </c>
      <c r="Y1414">
        <f>VLOOKUP(D1414,'[1]Cost Sheet'!$C:$D,2,0)</f>
        <v>130.22999999999999</v>
      </c>
      <c r="Z1414" s="3">
        <f t="shared" si="45"/>
        <v>31515.659999999996</v>
      </c>
    </row>
    <row r="1415" spans="1:26" x14ac:dyDescent="0.3">
      <c r="A1415" s="7" t="s">
        <v>21</v>
      </c>
      <c r="B1415" t="s">
        <v>579</v>
      </c>
      <c r="C1415" t="s">
        <v>580</v>
      </c>
      <c r="D1415" t="s">
        <v>1042</v>
      </c>
      <c r="E1415" t="s">
        <v>581</v>
      </c>
      <c r="F1415" t="s">
        <v>26</v>
      </c>
      <c r="G1415">
        <v>337</v>
      </c>
      <c r="H1415">
        <v>2</v>
      </c>
      <c r="I1415">
        <v>0</v>
      </c>
      <c r="J1415">
        <v>-28</v>
      </c>
      <c r="K1415">
        <v>0</v>
      </c>
      <c r="L1415">
        <v>0</v>
      </c>
      <c r="M1415">
        <v>78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387</v>
      </c>
      <c r="T1415">
        <v>0</v>
      </c>
      <c r="U1415" t="s">
        <v>46</v>
      </c>
      <c r="W1415" s="2">
        <v>130.39230769230767</v>
      </c>
      <c r="X1415" s="3">
        <f t="shared" si="44"/>
        <v>50461.823076923065</v>
      </c>
      <c r="Y1415">
        <f>VLOOKUP(D1415,'[1]Cost Sheet'!$C:$D,2,0)</f>
        <v>130.22999999999999</v>
      </c>
      <c r="Z1415" s="3">
        <f t="shared" si="45"/>
        <v>50399.009999999995</v>
      </c>
    </row>
    <row r="1416" spans="1:26" x14ac:dyDescent="0.3">
      <c r="A1416" s="7" t="s">
        <v>21</v>
      </c>
      <c r="B1416" t="s">
        <v>579</v>
      </c>
      <c r="C1416" t="s">
        <v>580</v>
      </c>
      <c r="D1416" t="s">
        <v>1042</v>
      </c>
      <c r="E1416" t="s">
        <v>581</v>
      </c>
      <c r="F1416" t="s">
        <v>26</v>
      </c>
      <c r="G1416">
        <v>2</v>
      </c>
      <c r="H1416">
        <v>0</v>
      </c>
      <c r="I1416">
        <v>0</v>
      </c>
      <c r="J1416">
        <v>-2</v>
      </c>
      <c r="K1416">
        <v>0</v>
      </c>
      <c r="L1416">
        <v>0</v>
      </c>
      <c r="M1416">
        <v>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6</v>
      </c>
      <c r="T1416">
        <v>0</v>
      </c>
      <c r="U1416" t="s">
        <v>110</v>
      </c>
      <c r="W1416" s="2">
        <v>130.39230769230767</v>
      </c>
      <c r="X1416" s="3">
        <f t="shared" si="44"/>
        <v>782.35384615384601</v>
      </c>
      <c r="Y1416">
        <f>VLOOKUP(D1416,'[1]Cost Sheet'!$C:$D,2,0)</f>
        <v>130.22999999999999</v>
      </c>
      <c r="Z1416" s="3">
        <f t="shared" si="45"/>
        <v>781.37999999999988</v>
      </c>
    </row>
    <row r="1417" spans="1:26" x14ac:dyDescent="0.3">
      <c r="A1417" s="7" t="s">
        <v>21</v>
      </c>
      <c r="B1417" t="s">
        <v>579</v>
      </c>
      <c r="C1417" t="s">
        <v>580</v>
      </c>
      <c r="D1417" t="s">
        <v>1042</v>
      </c>
      <c r="E1417" t="s">
        <v>581</v>
      </c>
      <c r="F1417" t="s">
        <v>26</v>
      </c>
      <c r="G1417">
        <v>20</v>
      </c>
      <c r="H1417">
        <v>0</v>
      </c>
      <c r="I1417">
        <v>0</v>
      </c>
      <c r="J1417">
        <v>-11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9</v>
      </c>
      <c r="T1417">
        <v>0</v>
      </c>
      <c r="U1417" t="s">
        <v>111</v>
      </c>
      <c r="W1417" s="2">
        <v>130.39230769230767</v>
      </c>
      <c r="X1417" s="3">
        <f t="shared" si="44"/>
        <v>1173.530769230769</v>
      </c>
      <c r="Y1417">
        <f>VLOOKUP(D1417,'[1]Cost Sheet'!$C:$D,2,0)</f>
        <v>130.22999999999999</v>
      </c>
      <c r="Z1417" s="3">
        <f t="shared" si="45"/>
        <v>1172.07</v>
      </c>
    </row>
    <row r="1418" spans="1:26" x14ac:dyDescent="0.3">
      <c r="A1418" s="7" t="s">
        <v>21</v>
      </c>
      <c r="B1418" t="s">
        <v>579</v>
      </c>
      <c r="C1418" t="s">
        <v>580</v>
      </c>
      <c r="D1418" t="s">
        <v>1042</v>
      </c>
      <c r="E1418" t="s">
        <v>581</v>
      </c>
      <c r="F1418" t="s">
        <v>26</v>
      </c>
      <c r="G1418">
        <v>431</v>
      </c>
      <c r="H1418">
        <v>0</v>
      </c>
      <c r="I1418">
        <v>0</v>
      </c>
      <c r="J1418">
        <v>-27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404</v>
      </c>
      <c r="T1418">
        <v>0</v>
      </c>
      <c r="U1418" t="s">
        <v>47</v>
      </c>
      <c r="W1418" s="2">
        <v>130.39230769230767</v>
      </c>
      <c r="X1418" s="3">
        <f t="shared" si="44"/>
        <v>52678.492307692301</v>
      </c>
      <c r="Y1418">
        <f>VLOOKUP(D1418,'[1]Cost Sheet'!$C:$D,2,0)</f>
        <v>130.22999999999999</v>
      </c>
      <c r="Z1418" s="3">
        <f t="shared" si="45"/>
        <v>52612.92</v>
      </c>
    </row>
    <row r="1419" spans="1:26" x14ac:dyDescent="0.3">
      <c r="A1419" s="7" t="s">
        <v>21</v>
      </c>
      <c r="B1419" t="s">
        <v>579</v>
      </c>
      <c r="C1419" t="s">
        <v>580</v>
      </c>
      <c r="D1419" t="s">
        <v>1042</v>
      </c>
      <c r="E1419" t="s">
        <v>581</v>
      </c>
      <c r="F1419" t="s">
        <v>26</v>
      </c>
      <c r="G1419">
        <v>415</v>
      </c>
      <c r="H1419">
        <v>0</v>
      </c>
      <c r="I1419">
        <v>0</v>
      </c>
      <c r="J1419">
        <v>-43</v>
      </c>
      <c r="K1419">
        <v>3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375</v>
      </c>
      <c r="T1419">
        <v>0</v>
      </c>
      <c r="U1419" t="s">
        <v>40</v>
      </c>
      <c r="W1419" s="2">
        <v>130.39230769230767</v>
      </c>
      <c r="X1419" s="3">
        <f t="shared" si="44"/>
        <v>48897.115384615376</v>
      </c>
      <c r="Y1419">
        <f>VLOOKUP(D1419,'[1]Cost Sheet'!$C:$D,2,0)</f>
        <v>130.22999999999999</v>
      </c>
      <c r="Z1419" s="3">
        <f t="shared" si="45"/>
        <v>48836.249999999993</v>
      </c>
    </row>
    <row r="1420" spans="1:26" x14ac:dyDescent="0.3">
      <c r="A1420" s="7" t="s">
        <v>21</v>
      </c>
      <c r="B1420" t="s">
        <v>579</v>
      </c>
      <c r="C1420" t="s">
        <v>580</v>
      </c>
      <c r="D1420" t="s">
        <v>1042</v>
      </c>
      <c r="E1420" t="s">
        <v>581</v>
      </c>
      <c r="F1420" t="s">
        <v>26</v>
      </c>
      <c r="G1420">
        <v>1151</v>
      </c>
      <c r="H1420">
        <v>0</v>
      </c>
      <c r="I1420">
        <v>0</v>
      </c>
      <c r="J1420">
        <v>-10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1141</v>
      </c>
      <c r="T1420">
        <v>0</v>
      </c>
      <c r="U1420" t="s">
        <v>120</v>
      </c>
      <c r="W1420" s="2">
        <v>130.39230769230767</v>
      </c>
      <c r="X1420" s="3">
        <f t="shared" si="44"/>
        <v>148777.62307692305</v>
      </c>
      <c r="Y1420">
        <f>VLOOKUP(D1420,'[1]Cost Sheet'!$C:$D,2,0)</f>
        <v>130.22999999999999</v>
      </c>
      <c r="Z1420" s="3">
        <f t="shared" si="45"/>
        <v>148592.43</v>
      </c>
    </row>
    <row r="1421" spans="1:26" x14ac:dyDescent="0.3">
      <c r="A1421" s="7" t="s">
        <v>21</v>
      </c>
      <c r="B1421" t="s">
        <v>579</v>
      </c>
      <c r="C1421" t="s">
        <v>580</v>
      </c>
      <c r="D1421" t="s">
        <v>1042</v>
      </c>
      <c r="E1421" t="s">
        <v>581</v>
      </c>
      <c r="F1421" t="s">
        <v>26</v>
      </c>
      <c r="G1421">
        <v>807</v>
      </c>
      <c r="H1421">
        <v>0</v>
      </c>
      <c r="I1421">
        <v>0</v>
      </c>
      <c r="J1421">
        <v>-13</v>
      </c>
      <c r="K1421">
        <v>2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796</v>
      </c>
      <c r="T1421">
        <v>0</v>
      </c>
      <c r="U1421" t="s">
        <v>113</v>
      </c>
      <c r="W1421" s="2">
        <v>130.39230769230767</v>
      </c>
      <c r="X1421" s="3">
        <f t="shared" si="44"/>
        <v>103792.2769230769</v>
      </c>
      <c r="Y1421">
        <f>VLOOKUP(D1421,'[1]Cost Sheet'!$C:$D,2,0)</f>
        <v>130.22999999999999</v>
      </c>
      <c r="Z1421" s="3">
        <f t="shared" si="45"/>
        <v>103663.07999999999</v>
      </c>
    </row>
    <row r="1422" spans="1:26" x14ac:dyDescent="0.3">
      <c r="A1422" s="7" t="s">
        <v>21</v>
      </c>
      <c r="B1422" t="s">
        <v>579</v>
      </c>
      <c r="C1422" t="s">
        <v>580</v>
      </c>
      <c r="D1422" t="s">
        <v>1042</v>
      </c>
      <c r="E1422" t="s">
        <v>581</v>
      </c>
      <c r="F1422" t="s">
        <v>26</v>
      </c>
      <c r="G1422">
        <v>366</v>
      </c>
      <c r="H1422">
        <v>0</v>
      </c>
      <c r="I1422">
        <v>0</v>
      </c>
      <c r="J1422">
        <v>-39</v>
      </c>
      <c r="K1422">
        <v>1</v>
      </c>
      <c r="L1422">
        <v>0</v>
      </c>
      <c r="M1422">
        <v>72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400</v>
      </c>
      <c r="T1422">
        <v>0</v>
      </c>
      <c r="U1422" t="s">
        <v>48</v>
      </c>
      <c r="W1422" s="2">
        <v>130.39230769230767</v>
      </c>
      <c r="X1422" s="3">
        <f t="shared" si="44"/>
        <v>52156.923076923063</v>
      </c>
      <c r="Y1422">
        <f>VLOOKUP(D1422,'[1]Cost Sheet'!$C:$D,2,0)</f>
        <v>130.22999999999999</v>
      </c>
      <c r="Z1422" s="3">
        <f t="shared" si="45"/>
        <v>52091.999999999993</v>
      </c>
    </row>
    <row r="1423" spans="1:26" x14ac:dyDescent="0.3">
      <c r="A1423" s="7" t="s">
        <v>21</v>
      </c>
      <c r="B1423" t="s">
        <v>579</v>
      </c>
      <c r="C1423" t="s">
        <v>580</v>
      </c>
      <c r="D1423" t="s">
        <v>1042</v>
      </c>
      <c r="E1423" t="s">
        <v>581</v>
      </c>
      <c r="F1423" t="s">
        <v>26</v>
      </c>
      <c r="G1423">
        <v>166</v>
      </c>
      <c r="H1423">
        <v>0</v>
      </c>
      <c r="I1423">
        <v>0</v>
      </c>
      <c r="J1423">
        <v>-55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112</v>
      </c>
      <c r="T1423">
        <v>0</v>
      </c>
      <c r="U1423" t="s">
        <v>59</v>
      </c>
      <c r="W1423" s="2">
        <v>130.39230769230767</v>
      </c>
      <c r="X1423" s="3">
        <f t="shared" si="44"/>
        <v>14603.938461538459</v>
      </c>
      <c r="Y1423">
        <f>VLOOKUP(D1423,'[1]Cost Sheet'!$C:$D,2,0)</f>
        <v>130.22999999999999</v>
      </c>
      <c r="Z1423" s="3">
        <f t="shared" si="45"/>
        <v>14585.759999999998</v>
      </c>
    </row>
    <row r="1424" spans="1:26" x14ac:dyDescent="0.3">
      <c r="A1424" s="7" t="s">
        <v>21</v>
      </c>
      <c r="B1424" t="s">
        <v>579</v>
      </c>
      <c r="C1424" t="s">
        <v>580</v>
      </c>
      <c r="D1424" t="s">
        <v>1042</v>
      </c>
      <c r="E1424" t="s">
        <v>581</v>
      </c>
      <c r="F1424" t="s">
        <v>26</v>
      </c>
      <c r="G1424">
        <v>96</v>
      </c>
      <c r="H1424">
        <v>0</v>
      </c>
      <c r="I1424">
        <v>0</v>
      </c>
      <c r="J1424">
        <v>-42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54</v>
      </c>
      <c r="T1424">
        <v>0</v>
      </c>
      <c r="U1424" t="s">
        <v>27</v>
      </c>
      <c r="W1424" s="2">
        <v>130.39230769230767</v>
      </c>
      <c r="X1424" s="3">
        <f t="shared" si="44"/>
        <v>7041.1846153846145</v>
      </c>
      <c r="Y1424">
        <f>VLOOKUP(D1424,'[1]Cost Sheet'!$C:$D,2,0)</f>
        <v>130.22999999999999</v>
      </c>
      <c r="Z1424" s="3">
        <f t="shared" si="45"/>
        <v>7032.4199999999992</v>
      </c>
    </row>
    <row r="1425" spans="1:26" x14ac:dyDescent="0.3">
      <c r="A1425" s="7" t="s">
        <v>21</v>
      </c>
      <c r="B1425" t="s">
        <v>579</v>
      </c>
      <c r="C1425" t="s">
        <v>580</v>
      </c>
      <c r="D1425" t="s">
        <v>1042</v>
      </c>
      <c r="E1425" t="s">
        <v>581</v>
      </c>
      <c r="F1425" t="s">
        <v>114</v>
      </c>
      <c r="G1425">
        <v>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3</v>
      </c>
      <c r="T1425">
        <v>0</v>
      </c>
      <c r="U1425" t="s">
        <v>45</v>
      </c>
      <c r="W1425" s="2">
        <v>130.39230769230767</v>
      </c>
      <c r="X1425" s="3">
        <f t="shared" si="44"/>
        <v>391.176923076923</v>
      </c>
      <c r="Y1425">
        <f>VLOOKUP(D1425,'[1]Cost Sheet'!$C:$D,2,0)</f>
        <v>130.22999999999999</v>
      </c>
      <c r="Z1425" s="3">
        <f t="shared" si="45"/>
        <v>390.68999999999994</v>
      </c>
    </row>
    <row r="1426" spans="1:26" x14ac:dyDescent="0.3">
      <c r="A1426" s="7" t="s">
        <v>21</v>
      </c>
      <c r="B1426" t="s">
        <v>579</v>
      </c>
      <c r="C1426" t="s">
        <v>580</v>
      </c>
      <c r="D1426" t="s">
        <v>1042</v>
      </c>
      <c r="E1426" t="s">
        <v>581</v>
      </c>
      <c r="F1426" t="s">
        <v>114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 t="s">
        <v>53</v>
      </c>
      <c r="W1426" s="2">
        <v>130.39230769230767</v>
      </c>
      <c r="X1426" s="3">
        <f t="shared" si="44"/>
        <v>130.39230769230767</v>
      </c>
      <c r="Y1426">
        <f>VLOOKUP(D1426,'[1]Cost Sheet'!$C:$D,2,0)</f>
        <v>130.22999999999999</v>
      </c>
      <c r="Z1426" s="3">
        <f t="shared" si="45"/>
        <v>130.22999999999999</v>
      </c>
    </row>
    <row r="1427" spans="1:26" x14ac:dyDescent="0.3">
      <c r="A1427" s="7" t="s">
        <v>21</v>
      </c>
      <c r="B1427" t="s">
        <v>579</v>
      </c>
      <c r="C1427" t="s">
        <v>580</v>
      </c>
      <c r="D1427" t="s">
        <v>1042</v>
      </c>
      <c r="E1427" t="s">
        <v>581</v>
      </c>
      <c r="F1427" t="s">
        <v>114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2</v>
      </c>
      <c r="T1427">
        <v>0</v>
      </c>
      <c r="U1427" t="s">
        <v>54</v>
      </c>
      <c r="W1427" s="2">
        <v>130.39230769230767</v>
      </c>
      <c r="X1427" s="3">
        <f t="shared" si="44"/>
        <v>260.78461538461534</v>
      </c>
      <c r="Y1427">
        <f>VLOOKUP(D1427,'[1]Cost Sheet'!$C:$D,2,0)</f>
        <v>130.22999999999999</v>
      </c>
      <c r="Z1427" s="3">
        <f t="shared" si="45"/>
        <v>260.45999999999998</v>
      </c>
    </row>
    <row r="1428" spans="1:26" x14ac:dyDescent="0.3">
      <c r="A1428" s="7" t="s">
        <v>21</v>
      </c>
      <c r="B1428" t="s">
        <v>579</v>
      </c>
      <c r="C1428" t="s">
        <v>580</v>
      </c>
      <c r="D1428" t="s">
        <v>1042</v>
      </c>
      <c r="E1428" t="s">
        <v>581</v>
      </c>
      <c r="F1428" t="s">
        <v>114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 t="s">
        <v>32</v>
      </c>
      <c r="W1428" s="2">
        <v>130.39230769230767</v>
      </c>
      <c r="X1428" s="3">
        <f t="shared" si="44"/>
        <v>130.39230769230767</v>
      </c>
      <c r="Y1428">
        <f>VLOOKUP(D1428,'[1]Cost Sheet'!$C:$D,2,0)</f>
        <v>130.22999999999999</v>
      </c>
      <c r="Z1428" s="3">
        <f t="shared" si="45"/>
        <v>130.22999999999999</v>
      </c>
    </row>
    <row r="1429" spans="1:26" x14ac:dyDescent="0.3">
      <c r="A1429" s="7" t="s">
        <v>21</v>
      </c>
      <c r="B1429" t="s">
        <v>579</v>
      </c>
      <c r="C1429" t="s">
        <v>580</v>
      </c>
      <c r="D1429" t="s">
        <v>1042</v>
      </c>
      <c r="E1429" t="s">
        <v>581</v>
      </c>
      <c r="F1429" t="s">
        <v>114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2</v>
      </c>
      <c r="T1429">
        <v>0</v>
      </c>
      <c r="U1429" t="s">
        <v>88</v>
      </c>
      <c r="W1429" s="2">
        <v>130.39230769230767</v>
      </c>
      <c r="X1429" s="3">
        <f t="shared" si="44"/>
        <v>260.78461538461534</v>
      </c>
      <c r="Y1429">
        <f>VLOOKUP(D1429,'[1]Cost Sheet'!$C:$D,2,0)</f>
        <v>130.22999999999999</v>
      </c>
      <c r="Z1429" s="3">
        <f t="shared" si="45"/>
        <v>260.45999999999998</v>
      </c>
    </row>
    <row r="1430" spans="1:26" x14ac:dyDescent="0.3">
      <c r="A1430" s="7" t="s">
        <v>21</v>
      </c>
      <c r="B1430" t="s">
        <v>579</v>
      </c>
      <c r="C1430" t="s">
        <v>580</v>
      </c>
      <c r="D1430" t="s">
        <v>1042</v>
      </c>
      <c r="E1430" t="s">
        <v>581</v>
      </c>
      <c r="F1430" t="s">
        <v>114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 t="s">
        <v>48</v>
      </c>
      <c r="W1430" s="2">
        <v>130.39230769230767</v>
      </c>
      <c r="X1430" s="3">
        <f t="shared" si="44"/>
        <v>130.39230769230767</v>
      </c>
      <c r="Y1430">
        <f>VLOOKUP(D1430,'[1]Cost Sheet'!$C:$D,2,0)</f>
        <v>130.22999999999999</v>
      </c>
      <c r="Z1430" s="3">
        <f t="shared" si="45"/>
        <v>130.22999999999999</v>
      </c>
    </row>
    <row r="1431" spans="1:26" x14ac:dyDescent="0.3">
      <c r="A1431" s="7" t="s">
        <v>21</v>
      </c>
      <c r="B1431" t="s">
        <v>579</v>
      </c>
      <c r="C1431" t="s">
        <v>580</v>
      </c>
      <c r="D1431" t="s">
        <v>1042</v>
      </c>
      <c r="E1431" t="s">
        <v>581</v>
      </c>
      <c r="F1431" t="s">
        <v>114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 t="s">
        <v>59</v>
      </c>
      <c r="W1431" s="2">
        <v>130.39230769230767</v>
      </c>
      <c r="X1431" s="3">
        <f t="shared" si="44"/>
        <v>130.39230769230767</v>
      </c>
      <c r="Y1431">
        <f>VLOOKUP(D1431,'[1]Cost Sheet'!$C:$D,2,0)</f>
        <v>130.22999999999999</v>
      </c>
      <c r="Z1431" s="3">
        <f t="shared" si="45"/>
        <v>130.22999999999999</v>
      </c>
    </row>
    <row r="1432" spans="1:26" x14ac:dyDescent="0.3">
      <c r="A1432" s="7" t="s">
        <v>21</v>
      </c>
      <c r="B1432" t="s">
        <v>582</v>
      </c>
      <c r="C1432" t="s">
        <v>583</v>
      </c>
      <c r="D1432" t="s">
        <v>1043</v>
      </c>
      <c r="E1432" t="s">
        <v>584</v>
      </c>
      <c r="F1432" t="s">
        <v>106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-1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 t="s">
        <v>45</v>
      </c>
      <c r="W1432" s="2">
        <v>75.27</v>
      </c>
      <c r="X1432" s="3">
        <f t="shared" si="44"/>
        <v>75.27</v>
      </c>
      <c r="Y1432">
        <f>VLOOKUP(D1432,'[1]Cost Sheet'!$C:$D,2,0)</f>
        <v>75.27</v>
      </c>
      <c r="Z1432" s="3">
        <f t="shared" si="45"/>
        <v>75.27</v>
      </c>
    </row>
    <row r="1433" spans="1:26" x14ac:dyDescent="0.3">
      <c r="A1433" s="7" t="s">
        <v>21</v>
      </c>
      <c r="B1433" t="s">
        <v>582</v>
      </c>
      <c r="C1433" t="s">
        <v>583</v>
      </c>
      <c r="D1433" t="s">
        <v>1043</v>
      </c>
      <c r="E1433" t="s">
        <v>584</v>
      </c>
      <c r="F1433" t="s">
        <v>106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-1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 t="s">
        <v>39</v>
      </c>
      <c r="W1433" s="2">
        <v>75.27</v>
      </c>
      <c r="X1433" s="3">
        <f t="shared" si="44"/>
        <v>0</v>
      </c>
      <c r="Y1433">
        <f>VLOOKUP(D1433,'[1]Cost Sheet'!$C:$D,2,0)</f>
        <v>75.27</v>
      </c>
      <c r="Z1433" s="3">
        <f t="shared" si="45"/>
        <v>0</v>
      </c>
    </row>
    <row r="1434" spans="1:26" x14ac:dyDescent="0.3">
      <c r="A1434" s="7" t="s">
        <v>21</v>
      </c>
      <c r="B1434" t="s">
        <v>582</v>
      </c>
      <c r="C1434" t="s">
        <v>583</v>
      </c>
      <c r="D1434" t="s">
        <v>1043</v>
      </c>
      <c r="E1434" t="s">
        <v>584</v>
      </c>
      <c r="F1434" t="s">
        <v>106</v>
      </c>
      <c r="G1434">
        <v>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2</v>
      </c>
      <c r="T1434">
        <v>0</v>
      </c>
      <c r="U1434" t="s">
        <v>32</v>
      </c>
      <c r="W1434" s="2">
        <v>75.27</v>
      </c>
      <c r="X1434" s="3">
        <f t="shared" si="44"/>
        <v>150.54</v>
      </c>
      <c r="Y1434">
        <f>VLOOKUP(D1434,'[1]Cost Sheet'!$C:$D,2,0)</f>
        <v>75.27</v>
      </c>
      <c r="Z1434" s="3">
        <f t="shared" si="45"/>
        <v>150.54</v>
      </c>
    </row>
    <row r="1435" spans="1:26" x14ac:dyDescent="0.3">
      <c r="A1435" s="7" t="s">
        <v>21</v>
      </c>
      <c r="B1435" t="s">
        <v>582</v>
      </c>
      <c r="C1435" t="s">
        <v>583</v>
      </c>
      <c r="D1435" t="s">
        <v>1043</v>
      </c>
      <c r="E1435" t="s">
        <v>584</v>
      </c>
      <c r="F1435" t="s">
        <v>106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 t="s">
        <v>46</v>
      </c>
      <c r="W1435" s="2">
        <v>75.27</v>
      </c>
      <c r="X1435" s="3">
        <f t="shared" si="44"/>
        <v>75.27</v>
      </c>
      <c r="Y1435">
        <f>VLOOKUP(D1435,'[1]Cost Sheet'!$C:$D,2,0)</f>
        <v>75.27</v>
      </c>
      <c r="Z1435" s="3">
        <f t="shared" si="45"/>
        <v>75.27</v>
      </c>
    </row>
    <row r="1436" spans="1:26" x14ac:dyDescent="0.3">
      <c r="A1436" s="7" t="s">
        <v>21</v>
      </c>
      <c r="B1436" t="s">
        <v>582</v>
      </c>
      <c r="C1436" t="s">
        <v>583</v>
      </c>
      <c r="D1436" t="s">
        <v>1043</v>
      </c>
      <c r="E1436" t="s">
        <v>584</v>
      </c>
      <c r="F1436" t="s">
        <v>106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 t="s">
        <v>40</v>
      </c>
      <c r="W1436" s="2">
        <v>75.27</v>
      </c>
      <c r="X1436" s="3">
        <f t="shared" si="44"/>
        <v>75.27</v>
      </c>
      <c r="Y1436">
        <f>VLOOKUP(D1436,'[1]Cost Sheet'!$C:$D,2,0)</f>
        <v>75.27</v>
      </c>
      <c r="Z1436" s="3">
        <f t="shared" si="45"/>
        <v>75.27</v>
      </c>
    </row>
    <row r="1437" spans="1:26" x14ac:dyDescent="0.3">
      <c r="A1437" s="7" t="s">
        <v>21</v>
      </c>
      <c r="B1437" t="s">
        <v>582</v>
      </c>
      <c r="C1437" t="s">
        <v>583</v>
      </c>
      <c r="D1437" t="s">
        <v>1043</v>
      </c>
      <c r="E1437" t="s">
        <v>584</v>
      </c>
      <c r="F1437" t="s">
        <v>106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2</v>
      </c>
      <c r="T1437">
        <v>0</v>
      </c>
      <c r="U1437" t="s">
        <v>48</v>
      </c>
      <c r="W1437" s="2">
        <v>75.27</v>
      </c>
      <c r="X1437" s="3">
        <f t="shared" si="44"/>
        <v>150.54</v>
      </c>
      <c r="Y1437">
        <f>VLOOKUP(D1437,'[1]Cost Sheet'!$C:$D,2,0)</f>
        <v>75.27</v>
      </c>
      <c r="Z1437" s="3">
        <f t="shared" si="45"/>
        <v>150.54</v>
      </c>
    </row>
    <row r="1438" spans="1:26" x14ac:dyDescent="0.3">
      <c r="A1438" s="7" t="s">
        <v>21</v>
      </c>
      <c r="B1438" t="s">
        <v>582</v>
      </c>
      <c r="C1438" t="s">
        <v>583</v>
      </c>
      <c r="D1438" t="s">
        <v>1043</v>
      </c>
      <c r="E1438" t="s">
        <v>584</v>
      </c>
      <c r="F1438" t="s">
        <v>106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 t="s">
        <v>27</v>
      </c>
      <c r="W1438" s="2">
        <v>75.27</v>
      </c>
      <c r="X1438" s="3">
        <f t="shared" si="44"/>
        <v>75.27</v>
      </c>
      <c r="Y1438">
        <f>VLOOKUP(D1438,'[1]Cost Sheet'!$C:$D,2,0)</f>
        <v>75.27</v>
      </c>
      <c r="Z1438" s="3">
        <f t="shared" si="45"/>
        <v>75.27</v>
      </c>
    </row>
    <row r="1439" spans="1:26" x14ac:dyDescent="0.3">
      <c r="A1439" s="7" t="s">
        <v>21</v>
      </c>
      <c r="B1439" t="s">
        <v>582</v>
      </c>
      <c r="C1439" t="s">
        <v>583</v>
      </c>
      <c r="D1439" t="s">
        <v>1043</v>
      </c>
      <c r="E1439" t="s">
        <v>584</v>
      </c>
      <c r="F1439" t="s">
        <v>26</v>
      </c>
      <c r="G1439">
        <v>72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72</v>
      </c>
      <c r="T1439">
        <v>0</v>
      </c>
      <c r="U1439" t="s">
        <v>38</v>
      </c>
      <c r="W1439" s="2">
        <v>75.27</v>
      </c>
      <c r="X1439" s="3">
        <f t="shared" si="44"/>
        <v>5419.44</v>
      </c>
      <c r="Y1439">
        <f>VLOOKUP(D1439,'[1]Cost Sheet'!$C:$D,2,0)</f>
        <v>75.27</v>
      </c>
      <c r="Z1439" s="3">
        <f t="shared" si="45"/>
        <v>5419.44</v>
      </c>
    </row>
    <row r="1440" spans="1:26" x14ac:dyDescent="0.3">
      <c r="A1440" s="7" t="s">
        <v>21</v>
      </c>
      <c r="B1440" t="s">
        <v>582</v>
      </c>
      <c r="C1440" t="s">
        <v>583</v>
      </c>
      <c r="D1440" t="s">
        <v>1043</v>
      </c>
      <c r="E1440" t="s">
        <v>584</v>
      </c>
      <c r="F1440" t="s">
        <v>26</v>
      </c>
      <c r="G1440">
        <v>837</v>
      </c>
      <c r="H1440">
        <v>0</v>
      </c>
      <c r="I1440">
        <v>0</v>
      </c>
      <c r="J1440">
        <v>-3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834</v>
      </c>
      <c r="T1440">
        <v>0</v>
      </c>
      <c r="U1440" t="s">
        <v>107</v>
      </c>
      <c r="W1440" s="2">
        <v>75.27</v>
      </c>
      <c r="X1440" s="3">
        <f t="shared" si="44"/>
        <v>62775.18</v>
      </c>
      <c r="Y1440">
        <f>VLOOKUP(D1440,'[1]Cost Sheet'!$C:$D,2,0)</f>
        <v>75.27</v>
      </c>
      <c r="Z1440" s="3">
        <f t="shared" si="45"/>
        <v>62775.18</v>
      </c>
    </row>
    <row r="1441" spans="1:26" x14ac:dyDescent="0.3">
      <c r="A1441" s="7" t="s">
        <v>21</v>
      </c>
      <c r="B1441" t="s">
        <v>582</v>
      </c>
      <c r="C1441" t="s">
        <v>583</v>
      </c>
      <c r="D1441" t="s">
        <v>1043</v>
      </c>
      <c r="E1441" t="s">
        <v>584</v>
      </c>
      <c r="F1441" t="s">
        <v>26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 t="s">
        <v>151</v>
      </c>
      <c r="W1441" s="2">
        <v>75.27</v>
      </c>
      <c r="X1441" s="3">
        <f t="shared" si="44"/>
        <v>75.27</v>
      </c>
      <c r="Y1441">
        <f>VLOOKUP(D1441,'[1]Cost Sheet'!$C:$D,2,0)</f>
        <v>75.27</v>
      </c>
      <c r="Z1441" s="3">
        <f t="shared" si="45"/>
        <v>75.27</v>
      </c>
    </row>
    <row r="1442" spans="1:26" x14ac:dyDescent="0.3">
      <c r="A1442" s="7" t="s">
        <v>21</v>
      </c>
      <c r="B1442" t="s">
        <v>582</v>
      </c>
      <c r="C1442" t="s">
        <v>583</v>
      </c>
      <c r="D1442" t="s">
        <v>1043</v>
      </c>
      <c r="E1442" t="s">
        <v>584</v>
      </c>
      <c r="F1442" t="s">
        <v>26</v>
      </c>
      <c r="G1442">
        <v>220</v>
      </c>
      <c r="H1442">
        <v>0</v>
      </c>
      <c r="I1442">
        <v>0</v>
      </c>
      <c r="J1442">
        <v>-1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219</v>
      </c>
      <c r="T1442">
        <v>0</v>
      </c>
      <c r="U1442" t="s">
        <v>45</v>
      </c>
      <c r="W1442" s="2">
        <v>75.27</v>
      </c>
      <c r="X1442" s="3">
        <f t="shared" si="44"/>
        <v>16484.129999999997</v>
      </c>
      <c r="Y1442">
        <f>VLOOKUP(D1442,'[1]Cost Sheet'!$C:$D,2,0)</f>
        <v>75.27</v>
      </c>
      <c r="Z1442" s="3">
        <f t="shared" si="45"/>
        <v>16484.129999999997</v>
      </c>
    </row>
    <row r="1443" spans="1:26" x14ac:dyDescent="0.3">
      <c r="A1443" s="7" t="s">
        <v>21</v>
      </c>
      <c r="B1443" t="s">
        <v>582</v>
      </c>
      <c r="C1443" t="s">
        <v>583</v>
      </c>
      <c r="D1443" t="s">
        <v>1043</v>
      </c>
      <c r="E1443" t="s">
        <v>584</v>
      </c>
      <c r="F1443" t="s">
        <v>26</v>
      </c>
      <c r="G1443">
        <v>0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-1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108</v>
      </c>
      <c r="W1443" s="2">
        <v>75.27</v>
      </c>
      <c r="X1443" s="3">
        <f t="shared" si="44"/>
        <v>0</v>
      </c>
      <c r="Y1443">
        <f>VLOOKUP(D1443,'[1]Cost Sheet'!$C:$D,2,0)</f>
        <v>75.27</v>
      </c>
      <c r="Z1443" s="3">
        <f t="shared" si="45"/>
        <v>0</v>
      </c>
    </row>
    <row r="1444" spans="1:26" x14ac:dyDescent="0.3">
      <c r="A1444" s="7" t="s">
        <v>21</v>
      </c>
      <c r="B1444" t="s">
        <v>582</v>
      </c>
      <c r="C1444" t="s">
        <v>583</v>
      </c>
      <c r="D1444" t="s">
        <v>1043</v>
      </c>
      <c r="E1444" t="s">
        <v>584</v>
      </c>
      <c r="F1444" t="s">
        <v>26</v>
      </c>
      <c r="G1444">
        <v>47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47</v>
      </c>
      <c r="T1444">
        <v>0</v>
      </c>
      <c r="U1444" t="s">
        <v>39</v>
      </c>
      <c r="W1444" s="2">
        <v>75.27</v>
      </c>
      <c r="X1444" s="3">
        <f t="shared" si="44"/>
        <v>3537.6899999999996</v>
      </c>
      <c r="Y1444">
        <f>VLOOKUP(D1444,'[1]Cost Sheet'!$C:$D,2,0)</f>
        <v>75.27</v>
      </c>
      <c r="Z1444" s="3">
        <f t="shared" si="45"/>
        <v>3537.6899999999996</v>
      </c>
    </row>
    <row r="1445" spans="1:26" x14ac:dyDescent="0.3">
      <c r="A1445" s="7" t="s">
        <v>21</v>
      </c>
      <c r="B1445" t="s">
        <v>582</v>
      </c>
      <c r="C1445" t="s">
        <v>583</v>
      </c>
      <c r="D1445" t="s">
        <v>1043</v>
      </c>
      <c r="E1445" t="s">
        <v>584</v>
      </c>
      <c r="F1445" t="s">
        <v>26</v>
      </c>
      <c r="G1445">
        <v>56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56</v>
      </c>
      <c r="T1445">
        <v>0</v>
      </c>
      <c r="U1445" t="s">
        <v>53</v>
      </c>
      <c r="W1445" s="2">
        <v>75.27</v>
      </c>
      <c r="X1445" s="3">
        <f t="shared" si="44"/>
        <v>4215.12</v>
      </c>
      <c r="Y1445">
        <f>VLOOKUP(D1445,'[1]Cost Sheet'!$C:$D,2,0)</f>
        <v>75.27</v>
      </c>
      <c r="Z1445" s="3">
        <f t="shared" si="45"/>
        <v>4215.12</v>
      </c>
    </row>
    <row r="1446" spans="1:26" x14ac:dyDescent="0.3">
      <c r="A1446" s="7" t="s">
        <v>21</v>
      </c>
      <c r="B1446" t="s">
        <v>582</v>
      </c>
      <c r="C1446" t="s">
        <v>583</v>
      </c>
      <c r="D1446" t="s">
        <v>1043</v>
      </c>
      <c r="E1446" t="s">
        <v>584</v>
      </c>
      <c r="F1446" t="s">
        <v>26</v>
      </c>
      <c r="G1446">
        <v>198</v>
      </c>
      <c r="H1446">
        <v>0</v>
      </c>
      <c r="I1446">
        <v>0</v>
      </c>
      <c r="J1446">
        <v>-5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194</v>
      </c>
      <c r="T1446">
        <v>0</v>
      </c>
      <c r="U1446" t="s">
        <v>54</v>
      </c>
      <c r="W1446" s="2">
        <v>75.27</v>
      </c>
      <c r="X1446" s="3">
        <f t="shared" si="44"/>
        <v>14602.38</v>
      </c>
      <c r="Y1446">
        <f>VLOOKUP(D1446,'[1]Cost Sheet'!$C:$D,2,0)</f>
        <v>75.27</v>
      </c>
      <c r="Z1446" s="3">
        <f t="shared" si="45"/>
        <v>14602.38</v>
      </c>
    </row>
    <row r="1447" spans="1:26" x14ac:dyDescent="0.3">
      <c r="A1447" s="7" t="s">
        <v>21</v>
      </c>
      <c r="B1447" t="s">
        <v>582</v>
      </c>
      <c r="C1447" t="s">
        <v>583</v>
      </c>
      <c r="D1447" t="s">
        <v>1043</v>
      </c>
      <c r="E1447" t="s">
        <v>584</v>
      </c>
      <c r="F1447" t="s">
        <v>26</v>
      </c>
      <c r="G1447">
        <v>0</v>
      </c>
      <c r="H1447">
        <v>144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t="s">
        <v>152</v>
      </c>
      <c r="W1447" s="2">
        <v>75.27</v>
      </c>
      <c r="X1447" s="3">
        <f t="shared" si="44"/>
        <v>0</v>
      </c>
      <c r="Y1447">
        <f>VLOOKUP(D1447,'[1]Cost Sheet'!$C:$D,2,0)</f>
        <v>75.27</v>
      </c>
      <c r="Z1447" s="3">
        <f t="shared" si="45"/>
        <v>0</v>
      </c>
    </row>
    <row r="1448" spans="1:26" x14ac:dyDescent="0.3">
      <c r="A1448" s="7" t="s">
        <v>21</v>
      </c>
      <c r="B1448" t="s">
        <v>582</v>
      </c>
      <c r="C1448" t="s">
        <v>583</v>
      </c>
      <c r="D1448" t="s">
        <v>1043</v>
      </c>
      <c r="E1448" t="s">
        <v>584</v>
      </c>
      <c r="F1448" t="s">
        <v>26</v>
      </c>
      <c r="G1448">
        <v>464</v>
      </c>
      <c r="H1448">
        <v>0</v>
      </c>
      <c r="I1448">
        <v>0</v>
      </c>
      <c r="J1448">
        <v>-5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459</v>
      </c>
      <c r="T1448">
        <v>0</v>
      </c>
      <c r="U1448" t="s">
        <v>32</v>
      </c>
      <c r="W1448" s="2">
        <v>75.27</v>
      </c>
      <c r="X1448" s="3">
        <f t="shared" si="44"/>
        <v>34548.93</v>
      </c>
      <c r="Y1448">
        <f>VLOOKUP(D1448,'[1]Cost Sheet'!$C:$D,2,0)</f>
        <v>75.27</v>
      </c>
      <c r="Z1448" s="3">
        <f t="shared" si="45"/>
        <v>34548.93</v>
      </c>
    </row>
    <row r="1449" spans="1:26" x14ac:dyDescent="0.3">
      <c r="A1449" s="7" t="s">
        <v>21</v>
      </c>
      <c r="B1449" t="s">
        <v>582</v>
      </c>
      <c r="C1449" t="s">
        <v>583</v>
      </c>
      <c r="D1449" t="s">
        <v>1043</v>
      </c>
      <c r="E1449" t="s">
        <v>584</v>
      </c>
      <c r="F1449" t="s">
        <v>26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-1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 t="s">
        <v>88</v>
      </c>
      <c r="W1449" s="2">
        <v>75.27</v>
      </c>
      <c r="X1449" s="3">
        <f t="shared" si="44"/>
        <v>75.27</v>
      </c>
      <c r="Y1449">
        <f>VLOOKUP(D1449,'[1]Cost Sheet'!$C:$D,2,0)</f>
        <v>75.27</v>
      </c>
      <c r="Z1449" s="3">
        <f t="shared" si="45"/>
        <v>75.27</v>
      </c>
    </row>
    <row r="1450" spans="1:26" x14ac:dyDescent="0.3">
      <c r="A1450" s="7" t="s">
        <v>21</v>
      </c>
      <c r="B1450" t="s">
        <v>582</v>
      </c>
      <c r="C1450" t="s">
        <v>583</v>
      </c>
      <c r="D1450" t="s">
        <v>1043</v>
      </c>
      <c r="E1450" t="s">
        <v>584</v>
      </c>
      <c r="F1450" t="s">
        <v>26</v>
      </c>
      <c r="G1450">
        <v>130</v>
      </c>
      <c r="H1450">
        <v>0</v>
      </c>
      <c r="I1450">
        <v>0</v>
      </c>
      <c r="J1450">
        <v>-3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127</v>
      </c>
      <c r="T1450">
        <v>0</v>
      </c>
      <c r="U1450" t="s">
        <v>33</v>
      </c>
      <c r="W1450" s="2">
        <v>75.27</v>
      </c>
      <c r="X1450" s="3">
        <f t="shared" si="44"/>
        <v>9559.2899999999991</v>
      </c>
      <c r="Y1450">
        <f>VLOOKUP(D1450,'[1]Cost Sheet'!$C:$D,2,0)</f>
        <v>75.27</v>
      </c>
      <c r="Z1450" s="3">
        <f t="shared" si="45"/>
        <v>9559.2899999999991</v>
      </c>
    </row>
    <row r="1451" spans="1:26" x14ac:dyDescent="0.3">
      <c r="A1451" s="7" t="s">
        <v>21</v>
      </c>
      <c r="B1451" t="s">
        <v>582</v>
      </c>
      <c r="C1451" t="s">
        <v>583</v>
      </c>
      <c r="D1451" t="s">
        <v>1043</v>
      </c>
      <c r="E1451" t="s">
        <v>584</v>
      </c>
      <c r="F1451" t="s">
        <v>26</v>
      </c>
      <c r="G1451">
        <v>184</v>
      </c>
      <c r="H1451">
        <v>0</v>
      </c>
      <c r="I1451">
        <v>0</v>
      </c>
      <c r="J1451">
        <v>-1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184</v>
      </c>
      <c r="T1451">
        <v>0</v>
      </c>
      <c r="U1451" t="s">
        <v>46</v>
      </c>
      <c r="W1451" s="2">
        <v>75.27</v>
      </c>
      <c r="X1451" s="3">
        <f t="shared" si="44"/>
        <v>13849.679999999998</v>
      </c>
      <c r="Y1451">
        <f>VLOOKUP(D1451,'[1]Cost Sheet'!$C:$D,2,0)</f>
        <v>75.27</v>
      </c>
      <c r="Z1451" s="3">
        <f t="shared" si="45"/>
        <v>13849.679999999998</v>
      </c>
    </row>
    <row r="1452" spans="1:26" x14ac:dyDescent="0.3">
      <c r="A1452" s="7" t="s">
        <v>21</v>
      </c>
      <c r="B1452" t="s">
        <v>582</v>
      </c>
      <c r="C1452" t="s">
        <v>583</v>
      </c>
      <c r="D1452" t="s">
        <v>1043</v>
      </c>
      <c r="E1452" t="s">
        <v>584</v>
      </c>
      <c r="F1452" t="s">
        <v>26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2</v>
      </c>
      <c r="T1452">
        <v>0</v>
      </c>
      <c r="U1452" t="s">
        <v>110</v>
      </c>
      <c r="W1452" s="2">
        <v>75.27</v>
      </c>
      <c r="X1452" s="3">
        <f t="shared" si="44"/>
        <v>150.54</v>
      </c>
      <c r="Y1452">
        <f>VLOOKUP(D1452,'[1]Cost Sheet'!$C:$D,2,0)</f>
        <v>75.27</v>
      </c>
      <c r="Z1452" s="3">
        <f t="shared" si="45"/>
        <v>150.54</v>
      </c>
    </row>
    <row r="1453" spans="1:26" x14ac:dyDescent="0.3">
      <c r="A1453" s="7" t="s">
        <v>21</v>
      </c>
      <c r="B1453" t="s">
        <v>582</v>
      </c>
      <c r="C1453" t="s">
        <v>583</v>
      </c>
      <c r="D1453" t="s">
        <v>1043</v>
      </c>
      <c r="E1453" t="s">
        <v>584</v>
      </c>
      <c r="F1453" t="s">
        <v>26</v>
      </c>
      <c r="G1453">
        <v>9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9</v>
      </c>
      <c r="T1453">
        <v>0</v>
      </c>
      <c r="U1453" t="s">
        <v>111</v>
      </c>
      <c r="W1453" s="2">
        <v>75.27</v>
      </c>
      <c r="X1453" s="3">
        <f t="shared" si="44"/>
        <v>677.43</v>
      </c>
      <c r="Y1453">
        <f>VLOOKUP(D1453,'[1]Cost Sheet'!$C:$D,2,0)</f>
        <v>75.27</v>
      </c>
      <c r="Z1453" s="3">
        <f t="shared" si="45"/>
        <v>677.43</v>
      </c>
    </row>
    <row r="1454" spans="1:26" x14ac:dyDescent="0.3">
      <c r="A1454" s="7" t="s">
        <v>21</v>
      </c>
      <c r="B1454" t="s">
        <v>582</v>
      </c>
      <c r="C1454" t="s">
        <v>583</v>
      </c>
      <c r="D1454" t="s">
        <v>1043</v>
      </c>
      <c r="E1454" t="s">
        <v>584</v>
      </c>
      <c r="F1454" t="s">
        <v>26</v>
      </c>
      <c r="G1454">
        <v>31</v>
      </c>
      <c r="H1454">
        <v>0</v>
      </c>
      <c r="I1454">
        <v>0</v>
      </c>
      <c r="J1454">
        <v>-2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29</v>
      </c>
      <c r="T1454">
        <v>0</v>
      </c>
      <c r="U1454" t="s">
        <v>47</v>
      </c>
      <c r="W1454" s="2">
        <v>75.27</v>
      </c>
      <c r="X1454" s="3">
        <f t="shared" si="44"/>
        <v>2182.83</v>
      </c>
      <c r="Y1454">
        <f>VLOOKUP(D1454,'[1]Cost Sheet'!$C:$D,2,0)</f>
        <v>75.27</v>
      </c>
      <c r="Z1454" s="3">
        <f t="shared" si="45"/>
        <v>2182.83</v>
      </c>
    </row>
    <row r="1455" spans="1:26" x14ac:dyDescent="0.3">
      <c r="A1455" s="7" t="s">
        <v>21</v>
      </c>
      <c r="B1455" t="s">
        <v>582</v>
      </c>
      <c r="C1455" t="s">
        <v>583</v>
      </c>
      <c r="D1455" t="s">
        <v>1043</v>
      </c>
      <c r="E1455" t="s">
        <v>584</v>
      </c>
      <c r="F1455" t="s">
        <v>26</v>
      </c>
      <c r="G1455">
        <v>122</v>
      </c>
      <c r="H1455">
        <v>0</v>
      </c>
      <c r="I1455">
        <v>0</v>
      </c>
      <c r="J1455">
        <v>-2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120</v>
      </c>
      <c r="T1455">
        <v>0</v>
      </c>
      <c r="U1455" t="s">
        <v>40</v>
      </c>
      <c r="W1455" s="2">
        <v>75.27</v>
      </c>
      <c r="X1455" s="3">
        <f t="shared" si="44"/>
        <v>9032.4</v>
      </c>
      <c r="Y1455">
        <f>VLOOKUP(D1455,'[1]Cost Sheet'!$C:$D,2,0)</f>
        <v>75.27</v>
      </c>
      <c r="Z1455" s="3">
        <f t="shared" si="45"/>
        <v>9032.4</v>
      </c>
    </row>
    <row r="1456" spans="1:26" x14ac:dyDescent="0.3">
      <c r="A1456" s="7" t="s">
        <v>21</v>
      </c>
      <c r="B1456" t="s">
        <v>582</v>
      </c>
      <c r="C1456" t="s">
        <v>583</v>
      </c>
      <c r="D1456" t="s">
        <v>1043</v>
      </c>
      <c r="E1456" t="s">
        <v>584</v>
      </c>
      <c r="F1456" t="s">
        <v>26</v>
      </c>
      <c r="G1456">
        <v>64</v>
      </c>
      <c r="H1456">
        <v>0</v>
      </c>
      <c r="I1456">
        <v>0</v>
      </c>
      <c r="J1456">
        <v>-3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61</v>
      </c>
      <c r="T1456">
        <v>0</v>
      </c>
      <c r="U1456" t="s">
        <v>113</v>
      </c>
      <c r="W1456" s="2">
        <v>75.27</v>
      </c>
      <c r="X1456" s="3">
        <f t="shared" si="44"/>
        <v>4591.4699999999993</v>
      </c>
      <c r="Y1456">
        <f>VLOOKUP(D1456,'[1]Cost Sheet'!$C:$D,2,0)</f>
        <v>75.27</v>
      </c>
      <c r="Z1456" s="3">
        <f t="shared" si="45"/>
        <v>4591.4699999999993</v>
      </c>
    </row>
    <row r="1457" spans="1:26" x14ac:dyDescent="0.3">
      <c r="A1457" s="7" t="s">
        <v>21</v>
      </c>
      <c r="B1457" t="s">
        <v>582</v>
      </c>
      <c r="C1457" t="s">
        <v>583</v>
      </c>
      <c r="D1457" t="s">
        <v>1043</v>
      </c>
      <c r="E1457" t="s">
        <v>584</v>
      </c>
      <c r="F1457" t="s">
        <v>26</v>
      </c>
      <c r="G1457">
        <v>179</v>
      </c>
      <c r="H1457">
        <v>0</v>
      </c>
      <c r="I1457">
        <v>0</v>
      </c>
      <c r="J1457">
        <v>-3</v>
      </c>
      <c r="K1457">
        <v>0</v>
      </c>
      <c r="L1457">
        <v>0</v>
      </c>
      <c r="M1457">
        <v>72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248</v>
      </c>
      <c r="T1457">
        <v>0</v>
      </c>
      <c r="U1457" t="s">
        <v>48</v>
      </c>
      <c r="W1457" s="2">
        <v>75.27</v>
      </c>
      <c r="X1457" s="3">
        <f t="shared" si="44"/>
        <v>18666.96</v>
      </c>
      <c r="Y1457">
        <f>VLOOKUP(D1457,'[1]Cost Sheet'!$C:$D,2,0)</f>
        <v>75.27</v>
      </c>
      <c r="Z1457" s="3">
        <f t="shared" si="45"/>
        <v>18666.96</v>
      </c>
    </row>
    <row r="1458" spans="1:26" x14ac:dyDescent="0.3">
      <c r="A1458" s="7" t="s">
        <v>21</v>
      </c>
      <c r="B1458" t="s">
        <v>582</v>
      </c>
      <c r="C1458" t="s">
        <v>583</v>
      </c>
      <c r="D1458" t="s">
        <v>1043</v>
      </c>
      <c r="E1458" t="s">
        <v>584</v>
      </c>
      <c r="F1458" t="s">
        <v>26</v>
      </c>
      <c r="G1458">
        <v>97</v>
      </c>
      <c r="H1458">
        <v>0</v>
      </c>
      <c r="I1458">
        <v>0</v>
      </c>
      <c r="J1458">
        <v>-5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92</v>
      </c>
      <c r="T1458">
        <v>0</v>
      </c>
      <c r="U1458" t="s">
        <v>59</v>
      </c>
      <c r="W1458" s="2">
        <v>75.27</v>
      </c>
      <c r="X1458" s="3">
        <f t="shared" si="44"/>
        <v>6924.8399999999992</v>
      </c>
      <c r="Y1458">
        <f>VLOOKUP(D1458,'[1]Cost Sheet'!$C:$D,2,0)</f>
        <v>75.27</v>
      </c>
      <c r="Z1458" s="3">
        <f t="shared" si="45"/>
        <v>6924.8399999999992</v>
      </c>
    </row>
    <row r="1459" spans="1:26" x14ac:dyDescent="0.3">
      <c r="A1459" s="7" t="s">
        <v>21</v>
      </c>
      <c r="B1459" t="s">
        <v>582</v>
      </c>
      <c r="C1459" t="s">
        <v>583</v>
      </c>
      <c r="D1459" t="s">
        <v>1043</v>
      </c>
      <c r="E1459" t="s">
        <v>584</v>
      </c>
      <c r="F1459" t="s">
        <v>26</v>
      </c>
      <c r="G1459">
        <v>120</v>
      </c>
      <c r="H1459">
        <v>0</v>
      </c>
      <c r="I1459">
        <v>0</v>
      </c>
      <c r="J1459">
        <v>-3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117</v>
      </c>
      <c r="T1459">
        <v>0</v>
      </c>
      <c r="U1459" t="s">
        <v>27</v>
      </c>
      <c r="W1459" s="2">
        <v>75.27</v>
      </c>
      <c r="X1459" s="3">
        <f t="shared" si="44"/>
        <v>8806.59</v>
      </c>
      <c r="Y1459">
        <f>VLOOKUP(D1459,'[1]Cost Sheet'!$C:$D,2,0)</f>
        <v>75.27</v>
      </c>
      <c r="Z1459" s="3">
        <f t="shared" si="45"/>
        <v>8806.59</v>
      </c>
    </row>
    <row r="1460" spans="1:26" x14ac:dyDescent="0.3">
      <c r="A1460" s="7" t="s">
        <v>21</v>
      </c>
      <c r="B1460" t="s">
        <v>582</v>
      </c>
      <c r="C1460" t="s">
        <v>583</v>
      </c>
      <c r="D1460" t="s">
        <v>1043</v>
      </c>
      <c r="E1460" t="s">
        <v>584</v>
      </c>
      <c r="F1460" t="s">
        <v>114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 t="s">
        <v>40</v>
      </c>
      <c r="W1460" s="2">
        <v>75.27</v>
      </c>
      <c r="X1460" s="3">
        <f t="shared" si="44"/>
        <v>75.27</v>
      </c>
      <c r="Y1460">
        <f>VLOOKUP(D1460,'[1]Cost Sheet'!$C:$D,2,0)</f>
        <v>75.27</v>
      </c>
      <c r="Z1460" s="3">
        <f t="shared" si="45"/>
        <v>75.27</v>
      </c>
    </row>
    <row r="1461" spans="1:26" x14ac:dyDescent="0.3">
      <c r="A1461" s="7" t="s">
        <v>21</v>
      </c>
      <c r="B1461" t="s">
        <v>585</v>
      </c>
      <c r="C1461" t="s">
        <v>586</v>
      </c>
      <c r="D1461" t="s">
        <v>1044</v>
      </c>
      <c r="E1461" t="s">
        <v>587</v>
      </c>
      <c r="F1461" t="s">
        <v>26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 t="s">
        <v>46</v>
      </c>
      <c r="W1461" s="2">
        <v>75.69</v>
      </c>
      <c r="X1461" s="3">
        <f t="shared" si="44"/>
        <v>75.69</v>
      </c>
      <c r="Y1461">
        <f>VLOOKUP(D1461,'[1]Cost Sheet'!$C:$D,2,0)</f>
        <v>76.739999999999995</v>
      </c>
      <c r="Z1461" s="3">
        <f t="shared" si="45"/>
        <v>76.739999999999995</v>
      </c>
    </row>
    <row r="1462" spans="1:26" x14ac:dyDescent="0.3">
      <c r="A1462" s="7" t="s">
        <v>21</v>
      </c>
      <c r="B1462" t="s">
        <v>588</v>
      </c>
      <c r="C1462" t="s">
        <v>589</v>
      </c>
      <c r="D1462" t="s">
        <v>1048</v>
      </c>
      <c r="E1462" t="s">
        <v>590</v>
      </c>
      <c r="F1462" t="s">
        <v>106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3</v>
      </c>
      <c r="T1462">
        <v>0</v>
      </c>
      <c r="U1462" t="s">
        <v>38</v>
      </c>
      <c r="W1462" s="2">
        <v>100.66</v>
      </c>
      <c r="X1462" s="3">
        <f t="shared" si="44"/>
        <v>301.98</v>
      </c>
      <c r="Y1462">
        <f>VLOOKUP(D1462,'[1]Cost Sheet'!$C:$D,2,0)</f>
        <v>100.66</v>
      </c>
      <c r="Z1462" s="3">
        <f t="shared" si="45"/>
        <v>301.98</v>
      </c>
    </row>
    <row r="1463" spans="1:26" x14ac:dyDescent="0.3">
      <c r="A1463" s="7" t="s">
        <v>21</v>
      </c>
      <c r="B1463" t="s">
        <v>588</v>
      </c>
      <c r="C1463" t="s">
        <v>589</v>
      </c>
      <c r="D1463" t="s">
        <v>1048</v>
      </c>
      <c r="E1463" t="s">
        <v>590</v>
      </c>
      <c r="F1463" t="s">
        <v>106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-1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 t="s">
        <v>45</v>
      </c>
      <c r="W1463" s="2">
        <v>100.66</v>
      </c>
      <c r="X1463" s="3">
        <f t="shared" si="44"/>
        <v>100.66</v>
      </c>
      <c r="Y1463">
        <f>VLOOKUP(D1463,'[1]Cost Sheet'!$C:$D,2,0)</f>
        <v>100.66</v>
      </c>
      <c r="Z1463" s="3">
        <f t="shared" si="45"/>
        <v>100.66</v>
      </c>
    </row>
    <row r="1464" spans="1:26" x14ac:dyDescent="0.3">
      <c r="A1464" s="7" t="s">
        <v>21</v>
      </c>
      <c r="B1464" t="s">
        <v>588</v>
      </c>
      <c r="C1464" t="s">
        <v>589</v>
      </c>
      <c r="D1464" t="s">
        <v>1048</v>
      </c>
      <c r="E1464" t="s">
        <v>590</v>
      </c>
      <c r="F1464" t="s">
        <v>106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 t="s">
        <v>39</v>
      </c>
      <c r="W1464" s="2">
        <v>100.66</v>
      </c>
      <c r="X1464" s="3">
        <f t="shared" si="44"/>
        <v>100.66</v>
      </c>
      <c r="Y1464">
        <f>VLOOKUP(D1464,'[1]Cost Sheet'!$C:$D,2,0)</f>
        <v>100.66</v>
      </c>
      <c r="Z1464" s="3">
        <f t="shared" si="45"/>
        <v>100.66</v>
      </c>
    </row>
    <row r="1465" spans="1:26" x14ac:dyDescent="0.3">
      <c r="A1465" s="7" t="s">
        <v>21</v>
      </c>
      <c r="B1465" t="s">
        <v>588</v>
      </c>
      <c r="C1465" t="s">
        <v>589</v>
      </c>
      <c r="D1465" t="s">
        <v>1048</v>
      </c>
      <c r="E1465" t="s">
        <v>590</v>
      </c>
      <c r="F1465" t="s">
        <v>106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 t="s">
        <v>53</v>
      </c>
      <c r="W1465" s="2">
        <v>100.66</v>
      </c>
      <c r="X1465" s="3">
        <f t="shared" si="44"/>
        <v>100.66</v>
      </c>
      <c r="Y1465">
        <f>VLOOKUP(D1465,'[1]Cost Sheet'!$C:$D,2,0)</f>
        <v>100.66</v>
      </c>
      <c r="Z1465" s="3">
        <f t="shared" si="45"/>
        <v>100.66</v>
      </c>
    </row>
    <row r="1466" spans="1:26" x14ac:dyDescent="0.3">
      <c r="A1466" s="7" t="s">
        <v>21</v>
      </c>
      <c r="B1466" t="s">
        <v>588</v>
      </c>
      <c r="C1466" t="s">
        <v>589</v>
      </c>
      <c r="D1466" t="s">
        <v>1048</v>
      </c>
      <c r="E1466" t="s">
        <v>590</v>
      </c>
      <c r="F1466" t="s">
        <v>106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 t="s">
        <v>33</v>
      </c>
      <c r="W1466" s="2">
        <v>100.66</v>
      </c>
      <c r="X1466" s="3">
        <f t="shared" si="44"/>
        <v>100.66</v>
      </c>
      <c r="Y1466">
        <f>VLOOKUP(D1466,'[1]Cost Sheet'!$C:$D,2,0)</f>
        <v>100.66</v>
      </c>
      <c r="Z1466" s="3">
        <f t="shared" si="45"/>
        <v>100.66</v>
      </c>
    </row>
    <row r="1467" spans="1:26" x14ac:dyDescent="0.3">
      <c r="A1467" s="7" t="s">
        <v>21</v>
      </c>
      <c r="B1467" t="s">
        <v>588</v>
      </c>
      <c r="C1467" t="s">
        <v>589</v>
      </c>
      <c r="D1467" t="s">
        <v>1048</v>
      </c>
      <c r="E1467" t="s">
        <v>590</v>
      </c>
      <c r="F1467" t="s">
        <v>106</v>
      </c>
      <c r="G1467">
        <v>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3</v>
      </c>
      <c r="T1467">
        <v>0</v>
      </c>
      <c r="U1467" t="s">
        <v>46</v>
      </c>
      <c r="W1467" s="2">
        <v>100.66</v>
      </c>
      <c r="X1467" s="3">
        <f t="shared" si="44"/>
        <v>301.98</v>
      </c>
      <c r="Y1467">
        <f>VLOOKUP(D1467,'[1]Cost Sheet'!$C:$D,2,0)</f>
        <v>100.66</v>
      </c>
      <c r="Z1467" s="3">
        <f t="shared" si="45"/>
        <v>301.98</v>
      </c>
    </row>
    <row r="1468" spans="1:26" x14ac:dyDescent="0.3">
      <c r="A1468" s="7" t="s">
        <v>21</v>
      </c>
      <c r="B1468" t="s">
        <v>588</v>
      </c>
      <c r="C1468" t="s">
        <v>589</v>
      </c>
      <c r="D1468" t="s">
        <v>1048</v>
      </c>
      <c r="E1468" t="s">
        <v>590</v>
      </c>
      <c r="F1468" t="s">
        <v>106</v>
      </c>
      <c r="G1468">
        <v>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4</v>
      </c>
      <c r="T1468">
        <v>0</v>
      </c>
      <c r="U1468" t="s">
        <v>48</v>
      </c>
      <c r="W1468" s="2">
        <v>100.66</v>
      </c>
      <c r="X1468" s="3">
        <f t="shared" si="44"/>
        <v>402.64</v>
      </c>
      <c r="Y1468">
        <f>VLOOKUP(D1468,'[1]Cost Sheet'!$C:$D,2,0)</f>
        <v>100.66</v>
      </c>
      <c r="Z1468" s="3">
        <f t="shared" si="45"/>
        <v>402.64</v>
      </c>
    </row>
    <row r="1469" spans="1:26" x14ac:dyDescent="0.3">
      <c r="A1469" s="7" t="s">
        <v>21</v>
      </c>
      <c r="B1469" t="s">
        <v>588</v>
      </c>
      <c r="C1469" t="s">
        <v>589</v>
      </c>
      <c r="D1469" t="s">
        <v>1048</v>
      </c>
      <c r="E1469" t="s">
        <v>590</v>
      </c>
      <c r="F1469" t="s">
        <v>130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2</v>
      </c>
      <c r="T1469">
        <v>0</v>
      </c>
      <c r="U1469" t="s">
        <v>47</v>
      </c>
      <c r="W1469" s="2">
        <v>100.66</v>
      </c>
      <c r="X1469" s="3">
        <f t="shared" si="44"/>
        <v>201.32</v>
      </c>
      <c r="Y1469">
        <f>VLOOKUP(D1469,'[1]Cost Sheet'!$C:$D,2,0)</f>
        <v>100.66</v>
      </c>
      <c r="Z1469" s="3">
        <f t="shared" si="45"/>
        <v>201.32</v>
      </c>
    </row>
    <row r="1470" spans="1:26" x14ac:dyDescent="0.3">
      <c r="A1470" s="7" t="s">
        <v>21</v>
      </c>
      <c r="B1470" t="s">
        <v>588</v>
      </c>
      <c r="C1470" t="s">
        <v>589</v>
      </c>
      <c r="D1470" t="s">
        <v>1048</v>
      </c>
      <c r="E1470" t="s">
        <v>590</v>
      </c>
      <c r="F1470" t="s">
        <v>93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 t="s">
        <v>47</v>
      </c>
      <c r="W1470" s="2">
        <v>100.66</v>
      </c>
      <c r="X1470" s="3">
        <f t="shared" si="44"/>
        <v>100.66</v>
      </c>
      <c r="Y1470">
        <f>VLOOKUP(D1470,'[1]Cost Sheet'!$C:$D,2,0)</f>
        <v>100.66</v>
      </c>
      <c r="Z1470" s="3">
        <f t="shared" si="45"/>
        <v>100.66</v>
      </c>
    </row>
    <row r="1471" spans="1:26" x14ac:dyDescent="0.3">
      <c r="A1471" s="7" t="s">
        <v>21</v>
      </c>
      <c r="B1471" t="s">
        <v>588</v>
      </c>
      <c r="C1471" t="s">
        <v>589</v>
      </c>
      <c r="D1471" t="s">
        <v>1048</v>
      </c>
      <c r="E1471" t="s">
        <v>590</v>
      </c>
      <c r="F1471" t="s">
        <v>26</v>
      </c>
      <c r="G1471">
        <v>470</v>
      </c>
      <c r="H1471">
        <v>1</v>
      </c>
      <c r="I1471">
        <v>0</v>
      </c>
      <c r="J1471">
        <v>-5</v>
      </c>
      <c r="K1471">
        <v>0</v>
      </c>
      <c r="L1471">
        <v>0</v>
      </c>
      <c r="M1471">
        <v>-1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464</v>
      </c>
      <c r="T1471">
        <v>0</v>
      </c>
      <c r="U1471" t="s">
        <v>38</v>
      </c>
      <c r="W1471" s="2">
        <v>100.66</v>
      </c>
      <c r="X1471" s="3">
        <f t="shared" si="44"/>
        <v>46706.239999999998</v>
      </c>
      <c r="Y1471">
        <f>VLOOKUP(D1471,'[1]Cost Sheet'!$C:$D,2,0)</f>
        <v>100.66</v>
      </c>
      <c r="Z1471" s="3">
        <f t="shared" si="45"/>
        <v>46706.239999999998</v>
      </c>
    </row>
    <row r="1472" spans="1:26" x14ac:dyDescent="0.3">
      <c r="A1472" s="7" t="s">
        <v>21</v>
      </c>
      <c r="B1472" t="s">
        <v>588</v>
      </c>
      <c r="C1472" t="s">
        <v>589</v>
      </c>
      <c r="D1472" t="s">
        <v>1048</v>
      </c>
      <c r="E1472" t="s">
        <v>590</v>
      </c>
      <c r="F1472" t="s">
        <v>26</v>
      </c>
      <c r="G1472">
        <v>123</v>
      </c>
      <c r="H1472">
        <v>0</v>
      </c>
      <c r="I1472">
        <v>0</v>
      </c>
      <c r="J1472">
        <v>-5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118</v>
      </c>
      <c r="T1472">
        <v>0</v>
      </c>
      <c r="U1472" t="s">
        <v>45</v>
      </c>
      <c r="W1472" s="2">
        <v>100.66</v>
      </c>
      <c r="X1472" s="3">
        <f t="shared" si="44"/>
        <v>11877.88</v>
      </c>
      <c r="Y1472">
        <f>VLOOKUP(D1472,'[1]Cost Sheet'!$C:$D,2,0)</f>
        <v>100.66</v>
      </c>
      <c r="Z1472" s="3">
        <f t="shared" si="45"/>
        <v>11877.88</v>
      </c>
    </row>
    <row r="1473" spans="1:26" x14ac:dyDescent="0.3">
      <c r="A1473" s="7" t="s">
        <v>21</v>
      </c>
      <c r="B1473" t="s">
        <v>588</v>
      </c>
      <c r="C1473" t="s">
        <v>589</v>
      </c>
      <c r="D1473" t="s">
        <v>1048</v>
      </c>
      <c r="E1473" t="s">
        <v>590</v>
      </c>
      <c r="F1473" t="s">
        <v>26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-1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s">
        <v>88</v>
      </c>
      <c r="W1473" s="2">
        <v>100.66</v>
      </c>
      <c r="X1473" s="3">
        <f t="shared" si="44"/>
        <v>0</v>
      </c>
      <c r="Y1473">
        <f>VLOOKUP(D1473,'[1]Cost Sheet'!$C:$D,2,0)</f>
        <v>100.66</v>
      </c>
      <c r="Z1473" s="3">
        <f t="shared" si="45"/>
        <v>0</v>
      </c>
    </row>
    <row r="1474" spans="1:26" x14ac:dyDescent="0.3">
      <c r="A1474" s="7" t="s">
        <v>21</v>
      </c>
      <c r="B1474" t="s">
        <v>588</v>
      </c>
      <c r="C1474" t="s">
        <v>589</v>
      </c>
      <c r="D1474" t="s">
        <v>1048</v>
      </c>
      <c r="E1474" t="s">
        <v>590</v>
      </c>
      <c r="F1474" t="s">
        <v>26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 t="s">
        <v>46</v>
      </c>
      <c r="W1474" s="2">
        <v>100.66</v>
      </c>
      <c r="X1474" s="3">
        <f t="shared" si="44"/>
        <v>100.66</v>
      </c>
      <c r="Y1474">
        <f>VLOOKUP(D1474,'[1]Cost Sheet'!$C:$D,2,0)</f>
        <v>100.66</v>
      </c>
      <c r="Z1474" s="3">
        <f t="shared" si="45"/>
        <v>100.66</v>
      </c>
    </row>
    <row r="1475" spans="1:26" x14ac:dyDescent="0.3">
      <c r="A1475" s="7" t="s">
        <v>21</v>
      </c>
      <c r="B1475" t="s">
        <v>588</v>
      </c>
      <c r="C1475" t="s">
        <v>589</v>
      </c>
      <c r="D1475" t="s">
        <v>1048</v>
      </c>
      <c r="E1475" t="s">
        <v>590</v>
      </c>
      <c r="F1475" t="s">
        <v>26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 t="s">
        <v>111</v>
      </c>
      <c r="W1475" s="2">
        <v>100.66</v>
      </c>
      <c r="X1475" s="3">
        <f t="shared" ref="X1475:X1538" si="46">S1475*W1475</f>
        <v>100.66</v>
      </c>
      <c r="Y1475">
        <f>VLOOKUP(D1475,'[1]Cost Sheet'!$C:$D,2,0)</f>
        <v>100.66</v>
      </c>
      <c r="Z1475" s="3">
        <f t="shared" ref="Z1475:Z1538" si="47">Y1475*S1475</f>
        <v>100.66</v>
      </c>
    </row>
    <row r="1476" spans="1:26" x14ac:dyDescent="0.3">
      <c r="A1476" s="7" t="s">
        <v>21</v>
      </c>
      <c r="B1476" t="s">
        <v>588</v>
      </c>
      <c r="C1476" t="s">
        <v>589</v>
      </c>
      <c r="D1476" t="s">
        <v>1048</v>
      </c>
      <c r="E1476" t="s">
        <v>590</v>
      </c>
      <c r="F1476" t="s">
        <v>26</v>
      </c>
      <c r="G1476">
        <v>202</v>
      </c>
      <c r="H1476">
        <v>0</v>
      </c>
      <c r="I1476">
        <v>0</v>
      </c>
      <c r="J1476">
        <v>-4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198</v>
      </c>
      <c r="T1476">
        <v>0</v>
      </c>
      <c r="U1476" t="s">
        <v>47</v>
      </c>
      <c r="W1476" s="2">
        <v>100.66</v>
      </c>
      <c r="X1476" s="3">
        <f t="shared" si="46"/>
        <v>19930.68</v>
      </c>
      <c r="Y1476">
        <f>VLOOKUP(D1476,'[1]Cost Sheet'!$C:$D,2,0)</f>
        <v>100.66</v>
      </c>
      <c r="Z1476" s="3">
        <f t="shared" si="47"/>
        <v>19930.68</v>
      </c>
    </row>
    <row r="1477" spans="1:26" x14ac:dyDescent="0.3">
      <c r="A1477" s="7" t="s">
        <v>21</v>
      </c>
      <c r="B1477" t="s">
        <v>588</v>
      </c>
      <c r="C1477" t="s">
        <v>589</v>
      </c>
      <c r="D1477" t="s">
        <v>1048</v>
      </c>
      <c r="E1477" t="s">
        <v>590</v>
      </c>
      <c r="F1477" t="s">
        <v>26</v>
      </c>
      <c r="G1477">
        <v>2</v>
      </c>
      <c r="H1477">
        <v>0</v>
      </c>
      <c r="I1477">
        <v>0</v>
      </c>
      <c r="J1477">
        <v>-2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t="s">
        <v>40</v>
      </c>
      <c r="W1477" s="2">
        <v>100.66</v>
      </c>
      <c r="X1477" s="3">
        <f t="shared" si="46"/>
        <v>0</v>
      </c>
      <c r="Y1477">
        <f>VLOOKUP(D1477,'[1]Cost Sheet'!$C:$D,2,0)</f>
        <v>100.66</v>
      </c>
      <c r="Z1477" s="3">
        <f t="shared" si="47"/>
        <v>0</v>
      </c>
    </row>
    <row r="1478" spans="1:26" x14ac:dyDescent="0.3">
      <c r="A1478" s="7" t="s">
        <v>21</v>
      </c>
      <c r="B1478" t="s">
        <v>588</v>
      </c>
      <c r="C1478" t="s">
        <v>589</v>
      </c>
      <c r="D1478" t="s">
        <v>1048</v>
      </c>
      <c r="E1478" t="s">
        <v>590</v>
      </c>
      <c r="F1478" t="s">
        <v>26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 t="s">
        <v>120</v>
      </c>
      <c r="W1478" s="2">
        <v>100.66</v>
      </c>
      <c r="X1478" s="3">
        <f t="shared" si="46"/>
        <v>100.66</v>
      </c>
      <c r="Y1478">
        <f>VLOOKUP(D1478,'[1]Cost Sheet'!$C:$D,2,0)</f>
        <v>100.66</v>
      </c>
      <c r="Z1478" s="3">
        <f t="shared" si="47"/>
        <v>100.66</v>
      </c>
    </row>
    <row r="1479" spans="1:26" x14ac:dyDescent="0.3">
      <c r="A1479" s="7" t="s">
        <v>21</v>
      </c>
      <c r="B1479" t="s">
        <v>588</v>
      </c>
      <c r="C1479" t="s">
        <v>589</v>
      </c>
      <c r="D1479" t="s">
        <v>1048</v>
      </c>
      <c r="E1479" t="s">
        <v>590</v>
      </c>
      <c r="F1479" t="s">
        <v>26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 t="s">
        <v>48</v>
      </c>
      <c r="W1479" s="2">
        <v>100.66</v>
      </c>
      <c r="X1479" s="3">
        <f t="shared" si="46"/>
        <v>100.66</v>
      </c>
      <c r="Y1479">
        <f>VLOOKUP(D1479,'[1]Cost Sheet'!$C:$D,2,0)</f>
        <v>100.66</v>
      </c>
      <c r="Z1479" s="3">
        <f t="shared" si="47"/>
        <v>100.66</v>
      </c>
    </row>
    <row r="1480" spans="1:26" x14ac:dyDescent="0.3">
      <c r="A1480" s="7" t="s">
        <v>21</v>
      </c>
      <c r="B1480" t="s">
        <v>588</v>
      </c>
      <c r="C1480" t="s">
        <v>589</v>
      </c>
      <c r="D1480" t="s">
        <v>1048</v>
      </c>
      <c r="E1480" t="s">
        <v>590</v>
      </c>
      <c r="F1480" t="s">
        <v>26</v>
      </c>
      <c r="G1480">
        <v>1</v>
      </c>
      <c r="H1480">
        <v>0</v>
      </c>
      <c r="I1480">
        <v>0</v>
      </c>
      <c r="J1480">
        <v>-1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s">
        <v>59</v>
      </c>
      <c r="W1480" s="2">
        <v>100.66</v>
      </c>
      <c r="X1480" s="3">
        <f t="shared" si="46"/>
        <v>0</v>
      </c>
      <c r="Y1480">
        <f>VLOOKUP(D1480,'[1]Cost Sheet'!$C:$D,2,0)</f>
        <v>100.66</v>
      </c>
      <c r="Z1480" s="3">
        <f t="shared" si="47"/>
        <v>0</v>
      </c>
    </row>
    <row r="1481" spans="1:26" x14ac:dyDescent="0.3">
      <c r="A1481" s="7" t="s">
        <v>21</v>
      </c>
      <c r="B1481" t="s">
        <v>588</v>
      </c>
      <c r="C1481" t="s">
        <v>589</v>
      </c>
      <c r="D1481" t="s">
        <v>1048</v>
      </c>
      <c r="E1481" t="s">
        <v>590</v>
      </c>
      <c r="F1481" t="s">
        <v>114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 t="s">
        <v>48</v>
      </c>
      <c r="W1481" s="2">
        <v>100.66</v>
      </c>
      <c r="X1481" s="3">
        <f t="shared" si="46"/>
        <v>100.66</v>
      </c>
      <c r="Y1481">
        <f>VLOOKUP(D1481,'[1]Cost Sheet'!$C:$D,2,0)</f>
        <v>100.66</v>
      </c>
      <c r="Z1481" s="3">
        <f t="shared" si="47"/>
        <v>100.66</v>
      </c>
    </row>
    <row r="1482" spans="1:26" x14ac:dyDescent="0.3">
      <c r="A1482" s="7" t="s">
        <v>21</v>
      </c>
      <c r="B1482" t="s">
        <v>591</v>
      </c>
      <c r="C1482" t="s">
        <v>592</v>
      </c>
      <c r="D1482" t="s">
        <v>1045</v>
      </c>
      <c r="E1482" t="s">
        <v>593</v>
      </c>
      <c r="F1482" t="s">
        <v>26</v>
      </c>
      <c r="G1482">
        <v>1</v>
      </c>
      <c r="H1482">
        <v>0</v>
      </c>
      <c r="I1482">
        <v>0</v>
      </c>
      <c r="J1482">
        <v>-1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s">
        <v>32</v>
      </c>
      <c r="W1482" s="2">
        <v>209.52333333333331</v>
      </c>
      <c r="X1482" s="3">
        <f t="shared" si="46"/>
        <v>0</v>
      </c>
      <c r="Y1482">
        <f>VLOOKUP(D1482,'[1]Cost Sheet'!$C:$D,2,0)</f>
        <v>209.68</v>
      </c>
      <c r="Z1482" s="3">
        <f t="shared" si="47"/>
        <v>0</v>
      </c>
    </row>
    <row r="1483" spans="1:26" x14ac:dyDescent="0.3">
      <c r="A1483" s="7" t="s">
        <v>21</v>
      </c>
      <c r="B1483" t="s">
        <v>591</v>
      </c>
      <c r="C1483" t="s">
        <v>592</v>
      </c>
      <c r="D1483" t="s">
        <v>1045</v>
      </c>
      <c r="E1483" t="s">
        <v>593</v>
      </c>
      <c r="F1483" t="s">
        <v>26</v>
      </c>
      <c r="G1483">
        <v>3</v>
      </c>
      <c r="H1483">
        <v>0</v>
      </c>
      <c r="I1483">
        <v>0</v>
      </c>
      <c r="J1483">
        <v>-1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2</v>
      </c>
      <c r="T1483">
        <v>0</v>
      </c>
      <c r="U1483" t="s">
        <v>59</v>
      </c>
      <c r="W1483" s="2">
        <v>209.52333333333331</v>
      </c>
      <c r="X1483" s="3">
        <f t="shared" si="46"/>
        <v>419.04666666666662</v>
      </c>
      <c r="Y1483">
        <f>VLOOKUP(D1483,'[1]Cost Sheet'!$C:$D,2,0)</f>
        <v>209.68</v>
      </c>
      <c r="Z1483" s="3">
        <f t="shared" si="47"/>
        <v>419.36</v>
      </c>
    </row>
    <row r="1484" spans="1:26" x14ac:dyDescent="0.3">
      <c r="A1484" s="7" t="s">
        <v>21</v>
      </c>
      <c r="B1484" t="s">
        <v>594</v>
      </c>
      <c r="C1484" t="s">
        <v>595</v>
      </c>
      <c r="D1484" t="s">
        <v>1046</v>
      </c>
      <c r="E1484" t="s">
        <v>596</v>
      </c>
      <c r="F1484" t="s">
        <v>26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 t="s">
        <v>33</v>
      </c>
      <c r="W1484" s="2">
        <v>230.79333333333332</v>
      </c>
      <c r="X1484" s="3">
        <f t="shared" si="46"/>
        <v>230.79333333333332</v>
      </c>
      <c r="Y1484">
        <f>VLOOKUP(D1484,'[1]Cost Sheet'!$C:$D,2,0)</f>
        <v>230.97000000000003</v>
      </c>
      <c r="Z1484" s="3">
        <f t="shared" si="47"/>
        <v>230.97000000000003</v>
      </c>
    </row>
    <row r="1485" spans="1:26" x14ac:dyDescent="0.3">
      <c r="A1485" s="7" t="s">
        <v>21</v>
      </c>
      <c r="B1485" t="s">
        <v>597</v>
      </c>
      <c r="C1485" t="s">
        <v>598</v>
      </c>
      <c r="D1485" t="s">
        <v>1047</v>
      </c>
      <c r="E1485" t="s">
        <v>599</v>
      </c>
      <c r="F1485" t="s">
        <v>125</v>
      </c>
      <c r="G1485">
        <v>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3</v>
      </c>
      <c r="T1485">
        <v>0</v>
      </c>
      <c r="U1485" t="s">
        <v>38</v>
      </c>
      <c r="W1485" s="2">
        <v>181.62333333333331</v>
      </c>
      <c r="X1485" s="3">
        <f t="shared" si="46"/>
        <v>544.86999999999989</v>
      </c>
      <c r="Y1485">
        <f>VLOOKUP(D1485,'[1]Cost Sheet'!$C:$D,2,0)</f>
        <v>181.72999999999996</v>
      </c>
      <c r="Z1485" s="3">
        <f t="shared" si="47"/>
        <v>545.18999999999983</v>
      </c>
    </row>
    <row r="1486" spans="1:26" x14ac:dyDescent="0.3">
      <c r="A1486" s="7" t="s">
        <v>21</v>
      </c>
      <c r="B1486" t="s">
        <v>597</v>
      </c>
      <c r="C1486" t="s">
        <v>598</v>
      </c>
      <c r="D1486" t="s">
        <v>1047</v>
      </c>
      <c r="E1486" t="s">
        <v>599</v>
      </c>
      <c r="F1486" t="s">
        <v>125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 t="s">
        <v>108</v>
      </c>
      <c r="W1486" s="2">
        <v>181.62333333333331</v>
      </c>
      <c r="X1486" s="3">
        <f t="shared" si="46"/>
        <v>181.62333333333331</v>
      </c>
      <c r="Y1486">
        <f>VLOOKUP(D1486,'[1]Cost Sheet'!$C:$D,2,0)</f>
        <v>181.72999999999996</v>
      </c>
      <c r="Z1486" s="3">
        <f t="shared" si="47"/>
        <v>181.72999999999996</v>
      </c>
    </row>
    <row r="1487" spans="1:26" x14ac:dyDescent="0.3">
      <c r="A1487" s="7" t="s">
        <v>21</v>
      </c>
      <c r="B1487" t="s">
        <v>597</v>
      </c>
      <c r="C1487" t="s">
        <v>598</v>
      </c>
      <c r="D1487" t="s">
        <v>1047</v>
      </c>
      <c r="E1487" t="s">
        <v>599</v>
      </c>
      <c r="F1487" t="s">
        <v>125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2</v>
      </c>
      <c r="T1487">
        <v>0</v>
      </c>
      <c r="U1487" t="s">
        <v>54</v>
      </c>
      <c r="W1487" s="2">
        <v>181.62333333333331</v>
      </c>
      <c r="X1487" s="3">
        <f t="shared" si="46"/>
        <v>363.24666666666661</v>
      </c>
      <c r="Y1487">
        <f>VLOOKUP(D1487,'[1]Cost Sheet'!$C:$D,2,0)</f>
        <v>181.72999999999996</v>
      </c>
      <c r="Z1487" s="3">
        <f t="shared" si="47"/>
        <v>363.45999999999992</v>
      </c>
    </row>
    <row r="1488" spans="1:26" x14ac:dyDescent="0.3">
      <c r="A1488" s="7" t="s">
        <v>21</v>
      </c>
      <c r="B1488" t="s">
        <v>597</v>
      </c>
      <c r="C1488" t="s">
        <v>598</v>
      </c>
      <c r="D1488" t="s">
        <v>1047</v>
      </c>
      <c r="E1488" t="s">
        <v>599</v>
      </c>
      <c r="F1488" t="s">
        <v>26</v>
      </c>
      <c r="G1488">
        <v>48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48</v>
      </c>
      <c r="T1488">
        <v>0</v>
      </c>
      <c r="U1488" t="s">
        <v>38</v>
      </c>
      <c r="W1488" s="2">
        <v>181.62333333333331</v>
      </c>
      <c r="X1488" s="3">
        <f t="shared" si="46"/>
        <v>8717.9199999999983</v>
      </c>
      <c r="Y1488">
        <f>VLOOKUP(D1488,'[1]Cost Sheet'!$C:$D,2,0)</f>
        <v>181.72999999999996</v>
      </c>
      <c r="Z1488" s="3">
        <f t="shared" si="47"/>
        <v>8723.0399999999972</v>
      </c>
    </row>
    <row r="1489" spans="1:26" x14ac:dyDescent="0.3">
      <c r="A1489" s="7" t="s">
        <v>21</v>
      </c>
      <c r="B1489" t="s">
        <v>597</v>
      </c>
      <c r="C1489" t="s">
        <v>598</v>
      </c>
      <c r="D1489" t="s">
        <v>1047</v>
      </c>
      <c r="E1489" t="s">
        <v>599</v>
      </c>
      <c r="F1489" t="s">
        <v>26</v>
      </c>
      <c r="G1489">
        <v>47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47</v>
      </c>
      <c r="T1489">
        <v>0</v>
      </c>
      <c r="U1489" t="s">
        <v>45</v>
      </c>
      <c r="W1489" s="2">
        <v>181.62333333333331</v>
      </c>
      <c r="X1489" s="3">
        <f t="shared" si="46"/>
        <v>8536.2966666666653</v>
      </c>
      <c r="Y1489">
        <f>VLOOKUP(D1489,'[1]Cost Sheet'!$C:$D,2,0)</f>
        <v>181.72999999999996</v>
      </c>
      <c r="Z1489" s="3">
        <f t="shared" si="47"/>
        <v>8541.3099999999977</v>
      </c>
    </row>
    <row r="1490" spans="1:26" x14ac:dyDescent="0.3">
      <c r="A1490" s="7" t="s">
        <v>21</v>
      </c>
      <c r="B1490" t="s">
        <v>597</v>
      </c>
      <c r="C1490" t="s">
        <v>598</v>
      </c>
      <c r="D1490" t="s">
        <v>1047</v>
      </c>
      <c r="E1490" t="s">
        <v>599</v>
      </c>
      <c r="F1490" t="s">
        <v>26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 t="s">
        <v>39</v>
      </c>
      <c r="W1490" s="2">
        <v>181.62333333333331</v>
      </c>
      <c r="X1490" s="3">
        <f t="shared" si="46"/>
        <v>181.62333333333331</v>
      </c>
      <c r="Y1490">
        <f>VLOOKUP(D1490,'[1]Cost Sheet'!$C:$D,2,0)</f>
        <v>181.72999999999996</v>
      </c>
      <c r="Z1490" s="3">
        <f t="shared" si="47"/>
        <v>181.72999999999996</v>
      </c>
    </row>
    <row r="1491" spans="1:26" x14ac:dyDescent="0.3">
      <c r="A1491" s="7" t="s">
        <v>21</v>
      </c>
      <c r="B1491" t="s">
        <v>597</v>
      </c>
      <c r="C1491" t="s">
        <v>598</v>
      </c>
      <c r="D1491" t="s">
        <v>1047</v>
      </c>
      <c r="E1491" t="s">
        <v>599</v>
      </c>
      <c r="F1491" t="s">
        <v>26</v>
      </c>
      <c r="G1491">
        <v>66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66</v>
      </c>
      <c r="T1491">
        <v>0</v>
      </c>
      <c r="U1491" t="s">
        <v>54</v>
      </c>
      <c r="W1491" s="2">
        <v>181.62333333333331</v>
      </c>
      <c r="X1491" s="3">
        <f t="shared" si="46"/>
        <v>11987.139999999998</v>
      </c>
      <c r="Y1491">
        <f>VLOOKUP(D1491,'[1]Cost Sheet'!$C:$D,2,0)</f>
        <v>181.72999999999996</v>
      </c>
      <c r="Z1491" s="3">
        <f t="shared" si="47"/>
        <v>11994.179999999997</v>
      </c>
    </row>
    <row r="1492" spans="1:26" x14ac:dyDescent="0.3">
      <c r="A1492" s="7" t="s">
        <v>21</v>
      </c>
      <c r="B1492" t="s">
        <v>597</v>
      </c>
      <c r="C1492" t="s">
        <v>598</v>
      </c>
      <c r="D1492" t="s">
        <v>1047</v>
      </c>
      <c r="E1492" t="s">
        <v>599</v>
      </c>
      <c r="F1492" t="s">
        <v>26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2</v>
      </c>
      <c r="T1492">
        <v>0</v>
      </c>
      <c r="U1492" t="s">
        <v>46</v>
      </c>
      <c r="W1492" s="2">
        <v>181.62333333333331</v>
      </c>
      <c r="X1492" s="3">
        <f t="shared" si="46"/>
        <v>363.24666666666661</v>
      </c>
      <c r="Y1492">
        <f>VLOOKUP(D1492,'[1]Cost Sheet'!$C:$D,2,0)</f>
        <v>181.72999999999996</v>
      </c>
      <c r="Z1492" s="3">
        <f t="shared" si="47"/>
        <v>363.45999999999992</v>
      </c>
    </row>
    <row r="1493" spans="1:26" x14ac:dyDescent="0.3">
      <c r="A1493" s="7" t="s">
        <v>21</v>
      </c>
      <c r="B1493" t="s">
        <v>597</v>
      </c>
      <c r="C1493" t="s">
        <v>598</v>
      </c>
      <c r="D1493" t="s">
        <v>1047</v>
      </c>
      <c r="E1493" t="s">
        <v>599</v>
      </c>
      <c r="F1493" t="s">
        <v>26</v>
      </c>
      <c r="G1493">
        <v>120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120</v>
      </c>
      <c r="T1493">
        <v>0</v>
      </c>
      <c r="U1493" t="s">
        <v>48</v>
      </c>
      <c r="W1493" s="2">
        <v>181.62333333333331</v>
      </c>
      <c r="X1493" s="3">
        <f t="shared" si="46"/>
        <v>21794.799999999996</v>
      </c>
      <c r="Y1493">
        <f>VLOOKUP(D1493,'[1]Cost Sheet'!$C:$D,2,0)</f>
        <v>181.72999999999996</v>
      </c>
      <c r="Z1493" s="3">
        <f t="shared" si="47"/>
        <v>21807.599999999995</v>
      </c>
    </row>
    <row r="1494" spans="1:26" x14ac:dyDescent="0.3">
      <c r="A1494" s="7" t="s">
        <v>21</v>
      </c>
      <c r="B1494" t="s">
        <v>597</v>
      </c>
      <c r="C1494" t="s">
        <v>598</v>
      </c>
      <c r="D1494" t="s">
        <v>1047</v>
      </c>
      <c r="E1494" t="s">
        <v>599</v>
      </c>
      <c r="F1494" t="s">
        <v>26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 t="s">
        <v>59</v>
      </c>
      <c r="W1494" s="2">
        <v>181.62333333333331</v>
      </c>
      <c r="X1494" s="3">
        <f t="shared" si="46"/>
        <v>181.62333333333331</v>
      </c>
      <c r="Y1494">
        <f>VLOOKUP(D1494,'[1]Cost Sheet'!$C:$D,2,0)</f>
        <v>181.72999999999996</v>
      </c>
      <c r="Z1494" s="3">
        <f t="shared" si="47"/>
        <v>181.72999999999996</v>
      </c>
    </row>
    <row r="1495" spans="1:26" x14ac:dyDescent="0.3">
      <c r="A1495" s="7" t="s">
        <v>21</v>
      </c>
      <c r="B1495" t="s">
        <v>600</v>
      </c>
      <c r="C1495" t="s">
        <v>601</v>
      </c>
      <c r="D1495" t="s">
        <v>602</v>
      </c>
      <c r="E1495" t="s">
        <v>603</v>
      </c>
      <c r="F1495" t="s">
        <v>125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 t="s">
        <v>45</v>
      </c>
      <c r="W1495" s="2">
        <v>51.841111111111118</v>
      </c>
      <c r="X1495" s="3">
        <f t="shared" si="46"/>
        <v>51.841111111111118</v>
      </c>
      <c r="Y1495">
        <f>VLOOKUP(D1495,'[1]Cost Sheet'!$C:$D,2,0)</f>
        <v>53.73</v>
      </c>
      <c r="Z1495" s="3">
        <f t="shared" si="47"/>
        <v>53.73</v>
      </c>
    </row>
    <row r="1496" spans="1:26" x14ac:dyDescent="0.3">
      <c r="A1496" s="7" t="s">
        <v>21</v>
      </c>
      <c r="B1496" t="s">
        <v>600</v>
      </c>
      <c r="C1496" t="s">
        <v>601</v>
      </c>
      <c r="D1496" t="s">
        <v>602</v>
      </c>
      <c r="E1496" t="s">
        <v>603</v>
      </c>
      <c r="F1496" t="s">
        <v>125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3</v>
      </c>
      <c r="T1496">
        <v>0</v>
      </c>
      <c r="U1496" t="s">
        <v>54</v>
      </c>
      <c r="W1496" s="2">
        <v>51.841111111111118</v>
      </c>
      <c r="X1496" s="3">
        <f t="shared" si="46"/>
        <v>155.52333333333337</v>
      </c>
      <c r="Y1496">
        <f>VLOOKUP(D1496,'[1]Cost Sheet'!$C:$D,2,0)</f>
        <v>53.73</v>
      </c>
      <c r="Z1496" s="3">
        <f t="shared" si="47"/>
        <v>161.19</v>
      </c>
    </row>
    <row r="1497" spans="1:26" x14ac:dyDescent="0.3">
      <c r="A1497" s="7" t="s">
        <v>21</v>
      </c>
      <c r="B1497" t="s">
        <v>600</v>
      </c>
      <c r="C1497" t="s">
        <v>601</v>
      </c>
      <c r="D1497" t="s">
        <v>602</v>
      </c>
      <c r="E1497" t="s">
        <v>603</v>
      </c>
      <c r="F1497" t="s">
        <v>125</v>
      </c>
      <c r="G1497">
        <v>10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10</v>
      </c>
      <c r="T1497">
        <v>0</v>
      </c>
      <c r="U1497" t="s">
        <v>88</v>
      </c>
      <c r="W1497" s="2">
        <v>51.841111111111118</v>
      </c>
      <c r="X1497" s="3">
        <f t="shared" si="46"/>
        <v>518.41111111111115</v>
      </c>
      <c r="Y1497">
        <f>VLOOKUP(D1497,'[1]Cost Sheet'!$C:$D,2,0)</f>
        <v>53.73</v>
      </c>
      <c r="Z1497" s="3">
        <f t="shared" si="47"/>
        <v>537.29999999999995</v>
      </c>
    </row>
    <row r="1498" spans="1:26" x14ac:dyDescent="0.3">
      <c r="A1498" s="7" t="s">
        <v>21</v>
      </c>
      <c r="B1498" t="s">
        <v>600</v>
      </c>
      <c r="C1498" t="s">
        <v>601</v>
      </c>
      <c r="D1498" t="s">
        <v>602</v>
      </c>
      <c r="E1498" t="s">
        <v>603</v>
      </c>
      <c r="F1498" t="s">
        <v>125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2</v>
      </c>
      <c r="T1498">
        <v>0</v>
      </c>
      <c r="U1498" t="s">
        <v>120</v>
      </c>
      <c r="W1498" s="2">
        <v>51.841111111111118</v>
      </c>
      <c r="X1498" s="3">
        <f t="shared" si="46"/>
        <v>103.68222222222224</v>
      </c>
      <c r="Y1498">
        <f>VLOOKUP(D1498,'[1]Cost Sheet'!$C:$D,2,0)</f>
        <v>53.73</v>
      </c>
      <c r="Z1498" s="3">
        <f t="shared" si="47"/>
        <v>107.46</v>
      </c>
    </row>
    <row r="1499" spans="1:26" x14ac:dyDescent="0.3">
      <c r="A1499" s="7" t="s">
        <v>21</v>
      </c>
      <c r="B1499" t="s">
        <v>600</v>
      </c>
      <c r="C1499" t="s">
        <v>601</v>
      </c>
      <c r="D1499" t="s">
        <v>602</v>
      </c>
      <c r="E1499" t="s">
        <v>603</v>
      </c>
      <c r="F1499" t="s">
        <v>125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2</v>
      </c>
      <c r="T1499">
        <v>0</v>
      </c>
      <c r="U1499" t="s">
        <v>113</v>
      </c>
      <c r="W1499" s="2">
        <v>51.841111111111118</v>
      </c>
      <c r="X1499" s="3">
        <f t="shared" si="46"/>
        <v>103.68222222222224</v>
      </c>
      <c r="Y1499">
        <f>VLOOKUP(D1499,'[1]Cost Sheet'!$C:$D,2,0)</f>
        <v>53.73</v>
      </c>
      <c r="Z1499" s="3">
        <f t="shared" si="47"/>
        <v>107.46</v>
      </c>
    </row>
    <row r="1500" spans="1:26" x14ac:dyDescent="0.3">
      <c r="A1500" s="7" t="s">
        <v>21</v>
      </c>
      <c r="B1500" t="s">
        <v>600</v>
      </c>
      <c r="C1500" t="s">
        <v>601</v>
      </c>
      <c r="D1500" t="s">
        <v>602</v>
      </c>
      <c r="E1500" t="s">
        <v>603</v>
      </c>
      <c r="F1500" t="s">
        <v>106</v>
      </c>
      <c r="G1500">
        <v>12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12</v>
      </c>
      <c r="T1500">
        <v>0</v>
      </c>
      <c r="U1500" t="s">
        <v>38</v>
      </c>
      <c r="W1500" s="2">
        <v>51.841111111111118</v>
      </c>
      <c r="X1500" s="3">
        <f t="shared" si="46"/>
        <v>622.09333333333348</v>
      </c>
      <c r="Y1500">
        <f>VLOOKUP(D1500,'[1]Cost Sheet'!$C:$D,2,0)</f>
        <v>53.73</v>
      </c>
      <c r="Z1500" s="3">
        <f t="shared" si="47"/>
        <v>644.76</v>
      </c>
    </row>
    <row r="1501" spans="1:26" x14ac:dyDescent="0.3">
      <c r="A1501" s="7" t="s">
        <v>21</v>
      </c>
      <c r="B1501" t="s">
        <v>600</v>
      </c>
      <c r="C1501" t="s">
        <v>601</v>
      </c>
      <c r="D1501" t="s">
        <v>602</v>
      </c>
      <c r="E1501" t="s">
        <v>603</v>
      </c>
      <c r="F1501" t="s">
        <v>106</v>
      </c>
      <c r="G1501">
        <v>3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3</v>
      </c>
      <c r="T1501">
        <v>0</v>
      </c>
      <c r="U1501" t="s">
        <v>107</v>
      </c>
      <c r="W1501" s="2">
        <v>51.841111111111118</v>
      </c>
      <c r="X1501" s="3">
        <f t="shared" si="46"/>
        <v>155.52333333333337</v>
      </c>
      <c r="Y1501">
        <f>VLOOKUP(D1501,'[1]Cost Sheet'!$C:$D,2,0)</f>
        <v>53.73</v>
      </c>
      <c r="Z1501" s="3">
        <f t="shared" si="47"/>
        <v>161.19</v>
      </c>
    </row>
    <row r="1502" spans="1:26" x14ac:dyDescent="0.3">
      <c r="A1502" s="7" t="s">
        <v>21</v>
      </c>
      <c r="B1502" t="s">
        <v>600</v>
      </c>
      <c r="C1502" t="s">
        <v>601</v>
      </c>
      <c r="D1502" t="s">
        <v>602</v>
      </c>
      <c r="E1502" t="s">
        <v>603</v>
      </c>
      <c r="F1502" t="s">
        <v>106</v>
      </c>
      <c r="G1502">
        <v>8</v>
      </c>
      <c r="H1502">
        <v>0</v>
      </c>
      <c r="I1502">
        <v>0</v>
      </c>
      <c r="J1502">
        <v>0</v>
      </c>
      <c r="K1502">
        <v>0</v>
      </c>
      <c r="L1502">
        <v>-3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5</v>
      </c>
      <c r="T1502">
        <v>0</v>
      </c>
      <c r="U1502" t="s">
        <v>45</v>
      </c>
      <c r="W1502" s="2">
        <v>51.841111111111118</v>
      </c>
      <c r="X1502" s="3">
        <f t="shared" si="46"/>
        <v>259.20555555555558</v>
      </c>
      <c r="Y1502">
        <f>VLOOKUP(D1502,'[1]Cost Sheet'!$C:$D,2,0)</f>
        <v>53.73</v>
      </c>
      <c r="Z1502" s="3">
        <f t="shared" si="47"/>
        <v>268.64999999999998</v>
      </c>
    </row>
    <row r="1503" spans="1:26" x14ac:dyDescent="0.3">
      <c r="A1503" s="7" t="s">
        <v>21</v>
      </c>
      <c r="B1503" t="s">
        <v>600</v>
      </c>
      <c r="C1503" t="s">
        <v>601</v>
      </c>
      <c r="D1503" t="s">
        <v>602</v>
      </c>
      <c r="E1503" t="s">
        <v>603</v>
      </c>
      <c r="F1503" t="s">
        <v>106</v>
      </c>
      <c r="G1503">
        <v>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-1</v>
      </c>
      <c r="S1503">
        <v>7</v>
      </c>
      <c r="T1503">
        <v>0</v>
      </c>
      <c r="U1503" t="s">
        <v>39</v>
      </c>
      <c r="W1503" s="2">
        <v>51.841111111111118</v>
      </c>
      <c r="X1503" s="3">
        <f t="shared" si="46"/>
        <v>362.88777777777784</v>
      </c>
      <c r="Y1503">
        <f>VLOOKUP(D1503,'[1]Cost Sheet'!$C:$D,2,0)</f>
        <v>53.73</v>
      </c>
      <c r="Z1503" s="3">
        <f t="shared" si="47"/>
        <v>376.10999999999996</v>
      </c>
    </row>
    <row r="1504" spans="1:26" x14ac:dyDescent="0.3">
      <c r="A1504" s="7" t="s">
        <v>21</v>
      </c>
      <c r="B1504" t="s">
        <v>600</v>
      </c>
      <c r="C1504" t="s">
        <v>601</v>
      </c>
      <c r="D1504" t="s">
        <v>602</v>
      </c>
      <c r="E1504" t="s">
        <v>603</v>
      </c>
      <c r="F1504" t="s">
        <v>106</v>
      </c>
      <c r="G1504">
        <v>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7</v>
      </c>
      <c r="T1504">
        <v>0</v>
      </c>
      <c r="U1504" t="s">
        <v>54</v>
      </c>
      <c r="W1504" s="2">
        <v>51.841111111111118</v>
      </c>
      <c r="X1504" s="3">
        <f t="shared" si="46"/>
        <v>362.88777777777784</v>
      </c>
      <c r="Y1504">
        <f>VLOOKUP(D1504,'[1]Cost Sheet'!$C:$D,2,0)</f>
        <v>53.73</v>
      </c>
      <c r="Z1504" s="3">
        <f t="shared" si="47"/>
        <v>376.10999999999996</v>
      </c>
    </row>
    <row r="1505" spans="1:26" x14ac:dyDescent="0.3">
      <c r="A1505" s="7" t="s">
        <v>21</v>
      </c>
      <c r="B1505" t="s">
        <v>600</v>
      </c>
      <c r="C1505" t="s">
        <v>601</v>
      </c>
      <c r="D1505" t="s">
        <v>602</v>
      </c>
      <c r="E1505" t="s">
        <v>603</v>
      </c>
      <c r="F1505" t="s">
        <v>106</v>
      </c>
      <c r="G1505">
        <v>15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</v>
      </c>
      <c r="T1505">
        <v>0</v>
      </c>
      <c r="U1505" t="s">
        <v>32</v>
      </c>
      <c r="W1505" s="2">
        <v>51.841111111111118</v>
      </c>
      <c r="X1505" s="3">
        <f t="shared" si="46"/>
        <v>777.61666666666679</v>
      </c>
      <c r="Y1505">
        <f>VLOOKUP(D1505,'[1]Cost Sheet'!$C:$D,2,0)</f>
        <v>53.73</v>
      </c>
      <c r="Z1505" s="3">
        <f t="shared" si="47"/>
        <v>805.94999999999993</v>
      </c>
    </row>
    <row r="1506" spans="1:26" x14ac:dyDescent="0.3">
      <c r="A1506" s="7" t="s">
        <v>21</v>
      </c>
      <c r="B1506" t="s">
        <v>600</v>
      </c>
      <c r="C1506" t="s">
        <v>601</v>
      </c>
      <c r="D1506" t="s">
        <v>602</v>
      </c>
      <c r="E1506" t="s">
        <v>603</v>
      </c>
      <c r="F1506" t="s">
        <v>106</v>
      </c>
      <c r="G1506">
        <v>5</v>
      </c>
      <c r="H1506">
        <v>0</v>
      </c>
      <c r="I1506">
        <v>0</v>
      </c>
      <c r="J1506">
        <v>0</v>
      </c>
      <c r="K1506">
        <v>0</v>
      </c>
      <c r="L1506">
        <v>-1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</v>
      </c>
      <c r="T1506">
        <v>0</v>
      </c>
      <c r="U1506" t="s">
        <v>33</v>
      </c>
      <c r="W1506" s="2">
        <v>51.841111111111118</v>
      </c>
      <c r="X1506" s="3">
        <f t="shared" si="46"/>
        <v>207.36444444444447</v>
      </c>
      <c r="Y1506">
        <f>VLOOKUP(D1506,'[1]Cost Sheet'!$C:$D,2,0)</f>
        <v>53.73</v>
      </c>
      <c r="Z1506" s="3">
        <f t="shared" si="47"/>
        <v>214.92</v>
      </c>
    </row>
    <row r="1507" spans="1:26" x14ac:dyDescent="0.3">
      <c r="A1507" s="7" t="s">
        <v>21</v>
      </c>
      <c r="B1507" t="s">
        <v>600</v>
      </c>
      <c r="C1507" t="s">
        <v>601</v>
      </c>
      <c r="D1507" t="s">
        <v>602</v>
      </c>
      <c r="E1507" t="s">
        <v>603</v>
      </c>
      <c r="F1507" t="s">
        <v>106</v>
      </c>
      <c r="G1507">
        <v>10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10</v>
      </c>
      <c r="T1507">
        <v>0</v>
      </c>
      <c r="U1507" t="s">
        <v>46</v>
      </c>
      <c r="W1507" s="2">
        <v>51.841111111111118</v>
      </c>
      <c r="X1507" s="3">
        <f t="shared" si="46"/>
        <v>518.41111111111115</v>
      </c>
      <c r="Y1507">
        <f>VLOOKUP(D1507,'[1]Cost Sheet'!$C:$D,2,0)</f>
        <v>53.73</v>
      </c>
      <c r="Z1507" s="3">
        <f t="shared" si="47"/>
        <v>537.29999999999995</v>
      </c>
    </row>
    <row r="1508" spans="1:26" x14ac:dyDescent="0.3">
      <c r="A1508" s="7" t="s">
        <v>21</v>
      </c>
      <c r="B1508" t="s">
        <v>600</v>
      </c>
      <c r="C1508" t="s">
        <v>601</v>
      </c>
      <c r="D1508" t="s">
        <v>602</v>
      </c>
      <c r="E1508" t="s">
        <v>603</v>
      </c>
      <c r="F1508" t="s">
        <v>106</v>
      </c>
      <c r="G1508">
        <v>3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4</v>
      </c>
      <c r="T1508">
        <v>0</v>
      </c>
      <c r="U1508" t="s">
        <v>40</v>
      </c>
      <c r="W1508" s="2">
        <v>51.841111111111118</v>
      </c>
      <c r="X1508" s="3">
        <f t="shared" si="46"/>
        <v>207.36444444444447</v>
      </c>
      <c r="Y1508">
        <f>VLOOKUP(D1508,'[1]Cost Sheet'!$C:$D,2,0)</f>
        <v>53.73</v>
      </c>
      <c r="Z1508" s="3">
        <f t="shared" si="47"/>
        <v>214.92</v>
      </c>
    </row>
    <row r="1509" spans="1:26" x14ac:dyDescent="0.3">
      <c r="A1509" s="7" t="s">
        <v>21</v>
      </c>
      <c r="B1509" t="s">
        <v>600</v>
      </c>
      <c r="C1509" t="s">
        <v>601</v>
      </c>
      <c r="D1509" t="s">
        <v>602</v>
      </c>
      <c r="E1509" t="s">
        <v>603</v>
      </c>
      <c r="F1509" t="s">
        <v>106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 t="s">
        <v>113</v>
      </c>
      <c r="W1509" s="2">
        <v>51.841111111111118</v>
      </c>
      <c r="X1509" s="3">
        <f t="shared" si="46"/>
        <v>51.841111111111118</v>
      </c>
      <c r="Y1509">
        <f>VLOOKUP(D1509,'[1]Cost Sheet'!$C:$D,2,0)</f>
        <v>53.73</v>
      </c>
      <c r="Z1509" s="3">
        <f t="shared" si="47"/>
        <v>53.73</v>
      </c>
    </row>
    <row r="1510" spans="1:26" x14ac:dyDescent="0.3">
      <c r="A1510" s="7" t="s">
        <v>21</v>
      </c>
      <c r="B1510" t="s">
        <v>600</v>
      </c>
      <c r="C1510" t="s">
        <v>601</v>
      </c>
      <c r="D1510" t="s">
        <v>602</v>
      </c>
      <c r="E1510" t="s">
        <v>603</v>
      </c>
      <c r="F1510" t="s">
        <v>106</v>
      </c>
      <c r="G1510">
        <v>16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16</v>
      </c>
      <c r="T1510">
        <v>0</v>
      </c>
      <c r="U1510" t="s">
        <v>48</v>
      </c>
      <c r="W1510" s="2">
        <v>51.841111111111118</v>
      </c>
      <c r="X1510" s="3">
        <f t="shared" si="46"/>
        <v>829.45777777777789</v>
      </c>
      <c r="Y1510">
        <f>VLOOKUP(D1510,'[1]Cost Sheet'!$C:$D,2,0)</f>
        <v>53.73</v>
      </c>
      <c r="Z1510" s="3">
        <f t="shared" si="47"/>
        <v>859.68</v>
      </c>
    </row>
    <row r="1511" spans="1:26" x14ac:dyDescent="0.3">
      <c r="A1511" s="7" t="s">
        <v>21</v>
      </c>
      <c r="B1511" t="s">
        <v>600</v>
      </c>
      <c r="C1511" t="s">
        <v>601</v>
      </c>
      <c r="D1511" t="s">
        <v>602</v>
      </c>
      <c r="E1511" t="s">
        <v>603</v>
      </c>
      <c r="F1511" t="s">
        <v>106</v>
      </c>
      <c r="G1511">
        <v>3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</v>
      </c>
      <c r="S1511">
        <v>5</v>
      </c>
      <c r="T1511">
        <v>0</v>
      </c>
      <c r="U1511" t="s">
        <v>27</v>
      </c>
      <c r="W1511" s="2">
        <v>51.841111111111118</v>
      </c>
      <c r="X1511" s="3">
        <f t="shared" si="46"/>
        <v>259.20555555555558</v>
      </c>
      <c r="Y1511">
        <f>VLOOKUP(D1511,'[1]Cost Sheet'!$C:$D,2,0)</f>
        <v>53.73</v>
      </c>
      <c r="Z1511" s="3">
        <f t="shared" si="47"/>
        <v>268.64999999999998</v>
      </c>
    </row>
    <row r="1512" spans="1:26" x14ac:dyDescent="0.3">
      <c r="A1512" s="7" t="s">
        <v>21</v>
      </c>
      <c r="B1512" t="s">
        <v>600</v>
      </c>
      <c r="C1512" t="s">
        <v>601</v>
      </c>
      <c r="D1512" t="s">
        <v>602</v>
      </c>
      <c r="E1512" t="s">
        <v>603</v>
      </c>
      <c r="F1512" t="s">
        <v>130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 t="s">
        <v>107</v>
      </c>
      <c r="W1512" s="2">
        <v>51.841111111111118</v>
      </c>
      <c r="X1512" s="3">
        <f t="shared" si="46"/>
        <v>51.841111111111118</v>
      </c>
      <c r="Y1512">
        <f>VLOOKUP(D1512,'[1]Cost Sheet'!$C:$D,2,0)</f>
        <v>53.73</v>
      </c>
      <c r="Z1512" s="3">
        <f t="shared" si="47"/>
        <v>53.73</v>
      </c>
    </row>
    <row r="1513" spans="1:26" x14ac:dyDescent="0.3">
      <c r="A1513" s="7" t="s">
        <v>21</v>
      </c>
      <c r="B1513" t="s">
        <v>600</v>
      </c>
      <c r="C1513" t="s">
        <v>601</v>
      </c>
      <c r="D1513" t="s">
        <v>602</v>
      </c>
      <c r="E1513" t="s">
        <v>603</v>
      </c>
      <c r="F1513" t="s">
        <v>130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 t="s">
        <v>46</v>
      </c>
      <c r="W1513" s="2">
        <v>51.841111111111118</v>
      </c>
      <c r="X1513" s="3">
        <f t="shared" si="46"/>
        <v>51.841111111111118</v>
      </c>
      <c r="Y1513">
        <f>VLOOKUP(D1513,'[1]Cost Sheet'!$C:$D,2,0)</f>
        <v>53.73</v>
      </c>
      <c r="Z1513" s="3">
        <f t="shared" si="47"/>
        <v>53.73</v>
      </c>
    </row>
    <row r="1514" spans="1:26" x14ac:dyDescent="0.3">
      <c r="A1514" s="7" t="s">
        <v>21</v>
      </c>
      <c r="B1514" t="s">
        <v>600</v>
      </c>
      <c r="C1514" t="s">
        <v>601</v>
      </c>
      <c r="D1514" t="s">
        <v>602</v>
      </c>
      <c r="E1514" t="s">
        <v>603</v>
      </c>
      <c r="F1514" t="s">
        <v>93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 t="s">
        <v>151</v>
      </c>
      <c r="W1514" s="2">
        <v>51.841111111111118</v>
      </c>
      <c r="X1514" s="3">
        <f t="shared" si="46"/>
        <v>51.841111111111118</v>
      </c>
      <c r="Y1514">
        <f>VLOOKUP(D1514,'[1]Cost Sheet'!$C:$D,2,0)</f>
        <v>53.73</v>
      </c>
      <c r="Z1514" s="3">
        <f t="shared" si="47"/>
        <v>53.73</v>
      </c>
    </row>
    <row r="1515" spans="1:26" x14ac:dyDescent="0.3">
      <c r="A1515" s="7" t="s">
        <v>21</v>
      </c>
      <c r="B1515" t="s">
        <v>600</v>
      </c>
      <c r="C1515" t="s">
        <v>601</v>
      </c>
      <c r="D1515" t="s">
        <v>602</v>
      </c>
      <c r="E1515" t="s">
        <v>603</v>
      </c>
      <c r="F1515" t="s">
        <v>93</v>
      </c>
      <c r="G1515">
        <v>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5</v>
      </c>
      <c r="T1515">
        <v>0</v>
      </c>
      <c r="U1515" t="s">
        <v>39</v>
      </c>
      <c r="W1515" s="2">
        <v>51.841111111111118</v>
      </c>
      <c r="X1515" s="3">
        <f t="shared" si="46"/>
        <v>259.20555555555558</v>
      </c>
      <c r="Y1515">
        <f>VLOOKUP(D1515,'[1]Cost Sheet'!$C:$D,2,0)</f>
        <v>53.73</v>
      </c>
      <c r="Z1515" s="3">
        <f t="shared" si="47"/>
        <v>268.64999999999998</v>
      </c>
    </row>
    <row r="1516" spans="1:26" x14ac:dyDescent="0.3">
      <c r="A1516" s="7" t="s">
        <v>21</v>
      </c>
      <c r="B1516" t="s">
        <v>600</v>
      </c>
      <c r="C1516" t="s">
        <v>601</v>
      </c>
      <c r="D1516" t="s">
        <v>602</v>
      </c>
      <c r="E1516" t="s">
        <v>603</v>
      </c>
      <c r="F1516" t="s">
        <v>26</v>
      </c>
      <c r="G1516">
        <v>417</v>
      </c>
      <c r="H1516">
        <v>0</v>
      </c>
      <c r="I1516">
        <v>0</v>
      </c>
      <c r="J1516">
        <v>-21</v>
      </c>
      <c r="K1516">
        <v>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398</v>
      </c>
      <c r="T1516">
        <v>0</v>
      </c>
      <c r="U1516" t="s">
        <v>38</v>
      </c>
      <c r="W1516" s="2">
        <v>51.841111111111118</v>
      </c>
      <c r="X1516" s="3">
        <f t="shared" si="46"/>
        <v>20632.762222222223</v>
      </c>
      <c r="Y1516">
        <f>VLOOKUP(D1516,'[1]Cost Sheet'!$C:$D,2,0)</f>
        <v>53.73</v>
      </c>
      <c r="Z1516" s="3">
        <f t="shared" si="47"/>
        <v>21384.539999999997</v>
      </c>
    </row>
    <row r="1517" spans="1:26" x14ac:dyDescent="0.3">
      <c r="A1517" s="7" t="s">
        <v>21</v>
      </c>
      <c r="B1517" t="s">
        <v>600</v>
      </c>
      <c r="C1517" t="s">
        <v>601</v>
      </c>
      <c r="D1517" t="s">
        <v>602</v>
      </c>
      <c r="E1517" t="s">
        <v>603</v>
      </c>
      <c r="F1517" t="s">
        <v>26</v>
      </c>
      <c r="G1517">
        <v>1083</v>
      </c>
      <c r="H1517">
        <v>0</v>
      </c>
      <c r="I1517">
        <v>0</v>
      </c>
      <c r="J1517">
        <v>-11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1072</v>
      </c>
      <c r="T1517">
        <v>0</v>
      </c>
      <c r="U1517" t="s">
        <v>107</v>
      </c>
      <c r="W1517" s="2">
        <v>51.841111111111118</v>
      </c>
      <c r="X1517" s="3">
        <f t="shared" si="46"/>
        <v>55573.671111111122</v>
      </c>
      <c r="Y1517">
        <f>VLOOKUP(D1517,'[1]Cost Sheet'!$C:$D,2,0)</f>
        <v>53.73</v>
      </c>
      <c r="Z1517" s="3">
        <f t="shared" si="47"/>
        <v>57598.559999999998</v>
      </c>
    </row>
    <row r="1518" spans="1:26" x14ac:dyDescent="0.3">
      <c r="A1518" s="7" t="s">
        <v>21</v>
      </c>
      <c r="B1518" t="s">
        <v>600</v>
      </c>
      <c r="C1518" t="s">
        <v>601</v>
      </c>
      <c r="D1518" t="s">
        <v>602</v>
      </c>
      <c r="E1518" t="s">
        <v>603</v>
      </c>
      <c r="F1518" t="s">
        <v>26</v>
      </c>
      <c r="G1518">
        <v>1</v>
      </c>
      <c r="H1518">
        <v>1</v>
      </c>
      <c r="I1518">
        <v>0</v>
      </c>
      <c r="J1518">
        <v>0</v>
      </c>
      <c r="K1518">
        <v>2</v>
      </c>
      <c r="L1518">
        <v>0</v>
      </c>
      <c r="M1518">
        <v>-1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0</v>
      </c>
      <c r="U1518" t="s">
        <v>151</v>
      </c>
      <c r="W1518" s="2">
        <v>51.841111111111118</v>
      </c>
      <c r="X1518" s="3">
        <f t="shared" si="46"/>
        <v>103.68222222222224</v>
      </c>
      <c r="Y1518">
        <f>VLOOKUP(D1518,'[1]Cost Sheet'!$C:$D,2,0)</f>
        <v>53.73</v>
      </c>
      <c r="Z1518" s="3">
        <f t="shared" si="47"/>
        <v>107.46</v>
      </c>
    </row>
    <row r="1519" spans="1:26" x14ac:dyDescent="0.3">
      <c r="A1519" s="7" t="s">
        <v>21</v>
      </c>
      <c r="B1519" t="s">
        <v>600</v>
      </c>
      <c r="C1519" t="s">
        <v>601</v>
      </c>
      <c r="D1519" t="s">
        <v>602</v>
      </c>
      <c r="E1519" t="s">
        <v>603</v>
      </c>
      <c r="F1519" t="s">
        <v>26</v>
      </c>
      <c r="G1519">
        <v>216</v>
      </c>
      <c r="H1519">
        <v>0</v>
      </c>
      <c r="I1519">
        <v>0</v>
      </c>
      <c r="J1519">
        <v>-20</v>
      </c>
      <c r="K1519">
        <v>1</v>
      </c>
      <c r="L1519">
        <v>0</v>
      </c>
      <c r="M1519">
        <v>145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342</v>
      </c>
      <c r="T1519">
        <v>0</v>
      </c>
      <c r="U1519" t="s">
        <v>45</v>
      </c>
      <c r="W1519" s="2">
        <v>51.841111111111118</v>
      </c>
      <c r="X1519" s="3">
        <f t="shared" si="46"/>
        <v>17729.660000000003</v>
      </c>
      <c r="Y1519">
        <f>VLOOKUP(D1519,'[1]Cost Sheet'!$C:$D,2,0)</f>
        <v>53.73</v>
      </c>
      <c r="Z1519" s="3">
        <f t="shared" si="47"/>
        <v>18375.66</v>
      </c>
    </row>
    <row r="1520" spans="1:26" x14ac:dyDescent="0.3">
      <c r="A1520" s="7" t="s">
        <v>21</v>
      </c>
      <c r="B1520" t="s">
        <v>600</v>
      </c>
      <c r="C1520" t="s">
        <v>601</v>
      </c>
      <c r="D1520" t="s">
        <v>602</v>
      </c>
      <c r="E1520" t="s">
        <v>603</v>
      </c>
      <c r="F1520" t="s">
        <v>26</v>
      </c>
      <c r="G1520">
        <v>1</v>
      </c>
      <c r="H1520">
        <v>3</v>
      </c>
      <c r="I1520">
        <v>0</v>
      </c>
      <c r="J1520">
        <v>0</v>
      </c>
      <c r="K1520">
        <v>4</v>
      </c>
      <c r="L1520">
        <v>0</v>
      </c>
      <c r="M1520">
        <v>-3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2</v>
      </c>
      <c r="T1520">
        <v>0</v>
      </c>
      <c r="U1520" t="s">
        <v>108</v>
      </c>
      <c r="W1520" s="2">
        <v>51.841111111111118</v>
      </c>
      <c r="X1520" s="3">
        <f t="shared" si="46"/>
        <v>103.68222222222224</v>
      </c>
      <c r="Y1520">
        <f>VLOOKUP(D1520,'[1]Cost Sheet'!$C:$D,2,0)</f>
        <v>53.73</v>
      </c>
      <c r="Z1520" s="3">
        <f t="shared" si="47"/>
        <v>107.46</v>
      </c>
    </row>
    <row r="1521" spans="1:26" x14ac:dyDescent="0.3">
      <c r="A1521" s="7" t="s">
        <v>21</v>
      </c>
      <c r="B1521" t="s">
        <v>600</v>
      </c>
      <c r="C1521" t="s">
        <v>601</v>
      </c>
      <c r="D1521" t="s">
        <v>602</v>
      </c>
      <c r="E1521" t="s">
        <v>603</v>
      </c>
      <c r="F1521" t="s">
        <v>26</v>
      </c>
      <c r="G1521">
        <v>2693</v>
      </c>
      <c r="H1521">
        <v>0</v>
      </c>
      <c r="I1521">
        <v>1</v>
      </c>
      <c r="J1521">
        <v>-29</v>
      </c>
      <c r="K1521">
        <v>0</v>
      </c>
      <c r="L1521">
        <v>0</v>
      </c>
      <c r="M1521">
        <v>4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2671</v>
      </c>
      <c r="T1521">
        <v>0</v>
      </c>
      <c r="U1521" t="s">
        <v>39</v>
      </c>
      <c r="W1521" s="2">
        <v>51.841111111111118</v>
      </c>
      <c r="X1521" s="3">
        <f t="shared" si="46"/>
        <v>138467.6077777778</v>
      </c>
      <c r="Y1521">
        <f>VLOOKUP(D1521,'[1]Cost Sheet'!$C:$D,2,0)</f>
        <v>53.73</v>
      </c>
      <c r="Z1521" s="3">
        <f t="shared" si="47"/>
        <v>143512.82999999999</v>
      </c>
    </row>
    <row r="1522" spans="1:26" x14ac:dyDescent="0.3">
      <c r="A1522" s="7" t="s">
        <v>21</v>
      </c>
      <c r="B1522" t="s">
        <v>600</v>
      </c>
      <c r="C1522" t="s">
        <v>601</v>
      </c>
      <c r="D1522" t="s">
        <v>602</v>
      </c>
      <c r="E1522" t="s">
        <v>603</v>
      </c>
      <c r="F1522" t="s">
        <v>26</v>
      </c>
      <c r="G1522">
        <v>1</v>
      </c>
      <c r="H1522">
        <v>0</v>
      </c>
      <c r="I1522">
        <v>0</v>
      </c>
      <c r="J1522">
        <v>-1</v>
      </c>
      <c r="K1522">
        <v>1</v>
      </c>
      <c r="L1522">
        <v>0</v>
      </c>
      <c r="M1522">
        <v>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5</v>
      </c>
      <c r="T1522">
        <v>0</v>
      </c>
      <c r="U1522" t="s">
        <v>53</v>
      </c>
      <c r="W1522" s="2">
        <v>51.841111111111118</v>
      </c>
      <c r="X1522" s="3">
        <f t="shared" si="46"/>
        <v>259.20555555555558</v>
      </c>
      <c r="Y1522">
        <f>VLOOKUP(D1522,'[1]Cost Sheet'!$C:$D,2,0)</f>
        <v>53.73</v>
      </c>
      <c r="Z1522" s="3">
        <f t="shared" si="47"/>
        <v>268.64999999999998</v>
      </c>
    </row>
    <row r="1523" spans="1:26" x14ac:dyDescent="0.3">
      <c r="A1523" s="7" t="s">
        <v>21</v>
      </c>
      <c r="B1523" t="s">
        <v>600</v>
      </c>
      <c r="C1523" t="s">
        <v>601</v>
      </c>
      <c r="D1523" t="s">
        <v>602</v>
      </c>
      <c r="E1523" t="s">
        <v>603</v>
      </c>
      <c r="F1523" t="s">
        <v>26</v>
      </c>
      <c r="G1523">
        <v>368</v>
      </c>
      <c r="H1523">
        <v>0</v>
      </c>
      <c r="I1523">
        <v>0</v>
      </c>
      <c r="J1523">
        <v>-14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354</v>
      </c>
      <c r="T1523">
        <v>0</v>
      </c>
      <c r="U1523" t="s">
        <v>54</v>
      </c>
      <c r="W1523" s="2">
        <v>51.841111111111118</v>
      </c>
      <c r="X1523" s="3">
        <f t="shared" si="46"/>
        <v>18351.753333333338</v>
      </c>
      <c r="Y1523">
        <f>VLOOKUP(D1523,'[1]Cost Sheet'!$C:$D,2,0)</f>
        <v>53.73</v>
      </c>
      <c r="Z1523" s="3">
        <f t="shared" si="47"/>
        <v>19020.419999999998</v>
      </c>
    </row>
    <row r="1524" spans="1:26" x14ac:dyDescent="0.3">
      <c r="A1524" s="7" t="s">
        <v>21</v>
      </c>
      <c r="B1524" t="s">
        <v>600</v>
      </c>
      <c r="C1524" t="s">
        <v>601</v>
      </c>
      <c r="D1524" t="s">
        <v>602</v>
      </c>
      <c r="E1524" t="s">
        <v>603</v>
      </c>
      <c r="F1524" t="s">
        <v>26</v>
      </c>
      <c r="G1524">
        <v>0</v>
      </c>
      <c r="H1524">
        <v>792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t="s">
        <v>152</v>
      </c>
      <c r="W1524" s="2">
        <v>51.841111111111118</v>
      </c>
      <c r="X1524" s="3">
        <f t="shared" si="46"/>
        <v>0</v>
      </c>
      <c r="Y1524">
        <f>VLOOKUP(D1524,'[1]Cost Sheet'!$C:$D,2,0)</f>
        <v>53.73</v>
      </c>
      <c r="Z1524" s="3">
        <f t="shared" si="47"/>
        <v>0</v>
      </c>
    </row>
    <row r="1525" spans="1:26" x14ac:dyDescent="0.3">
      <c r="A1525" s="7" t="s">
        <v>21</v>
      </c>
      <c r="B1525" t="s">
        <v>600</v>
      </c>
      <c r="C1525" t="s">
        <v>601</v>
      </c>
      <c r="D1525" t="s">
        <v>602</v>
      </c>
      <c r="E1525" t="s">
        <v>603</v>
      </c>
      <c r="F1525" t="s">
        <v>26</v>
      </c>
      <c r="G1525">
        <v>1702</v>
      </c>
      <c r="H1525">
        <v>0</v>
      </c>
      <c r="I1525">
        <v>0</v>
      </c>
      <c r="J1525">
        <v>-12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1690</v>
      </c>
      <c r="T1525">
        <v>0</v>
      </c>
      <c r="U1525" t="s">
        <v>32</v>
      </c>
      <c r="W1525" s="2">
        <v>51.841111111111118</v>
      </c>
      <c r="X1525" s="3">
        <f t="shared" si="46"/>
        <v>87611.477777777793</v>
      </c>
      <c r="Y1525">
        <f>VLOOKUP(D1525,'[1]Cost Sheet'!$C:$D,2,0)</f>
        <v>53.73</v>
      </c>
      <c r="Z1525" s="3">
        <f t="shared" si="47"/>
        <v>90803.7</v>
      </c>
    </row>
    <row r="1526" spans="1:26" x14ac:dyDescent="0.3">
      <c r="A1526" s="7" t="s">
        <v>21</v>
      </c>
      <c r="B1526" t="s">
        <v>600</v>
      </c>
      <c r="C1526" t="s">
        <v>601</v>
      </c>
      <c r="D1526" t="s">
        <v>602</v>
      </c>
      <c r="E1526" t="s">
        <v>603</v>
      </c>
      <c r="F1526" t="s">
        <v>26</v>
      </c>
      <c r="G1526">
        <v>8</v>
      </c>
      <c r="H1526">
        <v>12</v>
      </c>
      <c r="I1526">
        <v>0</v>
      </c>
      <c r="J1526">
        <v>0</v>
      </c>
      <c r="K1526">
        <v>15</v>
      </c>
      <c r="L1526">
        <v>0</v>
      </c>
      <c r="M1526">
        <v>-14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9</v>
      </c>
      <c r="T1526">
        <v>0</v>
      </c>
      <c r="U1526" t="s">
        <v>88</v>
      </c>
      <c r="W1526" s="2">
        <v>51.841111111111118</v>
      </c>
      <c r="X1526" s="3">
        <f t="shared" si="46"/>
        <v>466.57000000000005</v>
      </c>
      <c r="Y1526">
        <f>VLOOKUP(D1526,'[1]Cost Sheet'!$C:$D,2,0)</f>
        <v>53.73</v>
      </c>
      <c r="Z1526" s="3">
        <f t="shared" si="47"/>
        <v>483.57</v>
      </c>
    </row>
    <row r="1527" spans="1:26" x14ac:dyDescent="0.3">
      <c r="A1527" s="7" t="s">
        <v>21</v>
      </c>
      <c r="B1527" t="s">
        <v>600</v>
      </c>
      <c r="C1527" t="s">
        <v>601</v>
      </c>
      <c r="D1527" t="s">
        <v>602</v>
      </c>
      <c r="E1527" t="s">
        <v>603</v>
      </c>
      <c r="F1527" t="s">
        <v>26</v>
      </c>
      <c r="G1527">
        <v>373</v>
      </c>
      <c r="H1527">
        <v>0</v>
      </c>
      <c r="I1527">
        <v>0</v>
      </c>
      <c r="J1527">
        <v>-16</v>
      </c>
      <c r="K1527">
        <v>0</v>
      </c>
      <c r="L1527">
        <v>0</v>
      </c>
      <c r="M1527">
        <v>31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388</v>
      </c>
      <c r="T1527">
        <v>0</v>
      </c>
      <c r="U1527" t="s">
        <v>33</v>
      </c>
      <c r="W1527" s="2">
        <v>51.841111111111118</v>
      </c>
      <c r="X1527" s="3">
        <f t="shared" si="46"/>
        <v>20114.351111111115</v>
      </c>
      <c r="Y1527">
        <f>VLOOKUP(D1527,'[1]Cost Sheet'!$C:$D,2,0)</f>
        <v>53.73</v>
      </c>
      <c r="Z1527" s="3">
        <f t="shared" si="47"/>
        <v>20847.239999999998</v>
      </c>
    </row>
    <row r="1528" spans="1:26" x14ac:dyDescent="0.3">
      <c r="A1528" s="7" t="s">
        <v>21</v>
      </c>
      <c r="B1528" t="s">
        <v>600</v>
      </c>
      <c r="C1528" t="s">
        <v>601</v>
      </c>
      <c r="D1528" t="s">
        <v>602</v>
      </c>
      <c r="E1528" t="s">
        <v>603</v>
      </c>
      <c r="F1528" t="s">
        <v>26</v>
      </c>
      <c r="G1528">
        <v>295</v>
      </c>
      <c r="H1528">
        <v>0</v>
      </c>
      <c r="I1528">
        <v>0</v>
      </c>
      <c r="J1528">
        <v>-21</v>
      </c>
      <c r="K1528">
        <v>0</v>
      </c>
      <c r="L1528">
        <v>0</v>
      </c>
      <c r="M1528">
        <v>224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498</v>
      </c>
      <c r="T1528">
        <v>0</v>
      </c>
      <c r="U1528" t="s">
        <v>46</v>
      </c>
      <c r="W1528" s="2">
        <v>51.841111111111118</v>
      </c>
      <c r="X1528" s="3">
        <f t="shared" si="46"/>
        <v>25816.873333333337</v>
      </c>
      <c r="Y1528">
        <f>VLOOKUP(D1528,'[1]Cost Sheet'!$C:$D,2,0)</f>
        <v>53.73</v>
      </c>
      <c r="Z1528" s="3">
        <f t="shared" si="47"/>
        <v>26757.539999999997</v>
      </c>
    </row>
    <row r="1529" spans="1:26" x14ac:dyDescent="0.3">
      <c r="A1529" s="7" t="s">
        <v>21</v>
      </c>
      <c r="B1529" t="s">
        <v>600</v>
      </c>
      <c r="C1529" t="s">
        <v>601</v>
      </c>
      <c r="D1529" t="s">
        <v>602</v>
      </c>
      <c r="E1529" t="s">
        <v>603</v>
      </c>
      <c r="F1529" t="s">
        <v>26</v>
      </c>
      <c r="G1529">
        <v>78</v>
      </c>
      <c r="H1529">
        <v>0</v>
      </c>
      <c r="I1529">
        <v>0</v>
      </c>
      <c r="J1529">
        <v>-8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70</v>
      </c>
      <c r="T1529">
        <v>0</v>
      </c>
      <c r="U1529" t="s">
        <v>47</v>
      </c>
      <c r="W1529" s="2">
        <v>51.841111111111118</v>
      </c>
      <c r="X1529" s="3">
        <f t="shared" si="46"/>
        <v>3628.8777777777782</v>
      </c>
      <c r="Y1529">
        <f>VLOOKUP(D1529,'[1]Cost Sheet'!$C:$D,2,0)</f>
        <v>53.73</v>
      </c>
      <c r="Z1529" s="3">
        <f t="shared" si="47"/>
        <v>3761.1</v>
      </c>
    </row>
    <row r="1530" spans="1:26" x14ac:dyDescent="0.3">
      <c r="A1530" s="7" t="s">
        <v>21</v>
      </c>
      <c r="B1530" t="s">
        <v>600</v>
      </c>
      <c r="C1530" t="s">
        <v>601</v>
      </c>
      <c r="D1530" t="s">
        <v>602</v>
      </c>
      <c r="E1530" t="s">
        <v>603</v>
      </c>
      <c r="F1530" t="s">
        <v>26</v>
      </c>
      <c r="G1530">
        <v>307</v>
      </c>
      <c r="H1530">
        <v>0</v>
      </c>
      <c r="I1530">
        <v>0</v>
      </c>
      <c r="J1530">
        <v>-24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-1</v>
      </c>
      <c r="S1530">
        <v>282</v>
      </c>
      <c r="T1530">
        <v>0</v>
      </c>
      <c r="U1530" t="s">
        <v>40</v>
      </c>
      <c r="W1530" s="2">
        <v>51.841111111111118</v>
      </c>
      <c r="X1530" s="3">
        <f t="shared" si="46"/>
        <v>14619.193333333335</v>
      </c>
      <c r="Y1530">
        <f>VLOOKUP(D1530,'[1]Cost Sheet'!$C:$D,2,0)</f>
        <v>53.73</v>
      </c>
      <c r="Z1530" s="3">
        <f t="shared" si="47"/>
        <v>15151.859999999999</v>
      </c>
    </row>
    <row r="1531" spans="1:26" x14ac:dyDescent="0.3">
      <c r="A1531" s="7" t="s">
        <v>21</v>
      </c>
      <c r="B1531" t="s">
        <v>600</v>
      </c>
      <c r="C1531" t="s">
        <v>601</v>
      </c>
      <c r="D1531" t="s">
        <v>602</v>
      </c>
      <c r="E1531" t="s">
        <v>603</v>
      </c>
      <c r="F1531" t="s">
        <v>26</v>
      </c>
      <c r="G1531">
        <v>137</v>
      </c>
      <c r="H1531">
        <v>0</v>
      </c>
      <c r="I1531">
        <v>0</v>
      </c>
      <c r="J1531">
        <v>-4</v>
      </c>
      <c r="K1531">
        <v>0</v>
      </c>
      <c r="L1531">
        <v>0</v>
      </c>
      <c r="M1531">
        <v>1872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2005</v>
      </c>
      <c r="T1531">
        <v>0</v>
      </c>
      <c r="U1531" t="s">
        <v>120</v>
      </c>
      <c r="W1531" s="2">
        <v>51.841111111111118</v>
      </c>
      <c r="X1531" s="3">
        <f t="shared" si="46"/>
        <v>103941.42777777779</v>
      </c>
      <c r="Y1531">
        <f>VLOOKUP(D1531,'[1]Cost Sheet'!$C:$D,2,0)</f>
        <v>53.73</v>
      </c>
      <c r="Z1531" s="3">
        <f t="shared" si="47"/>
        <v>107728.65</v>
      </c>
    </row>
    <row r="1532" spans="1:26" x14ac:dyDescent="0.3">
      <c r="A1532" s="7" t="s">
        <v>21</v>
      </c>
      <c r="B1532" t="s">
        <v>600</v>
      </c>
      <c r="C1532" t="s">
        <v>601</v>
      </c>
      <c r="D1532" t="s">
        <v>602</v>
      </c>
      <c r="E1532" t="s">
        <v>603</v>
      </c>
      <c r="F1532" t="s">
        <v>26</v>
      </c>
      <c r="G1532">
        <v>87</v>
      </c>
      <c r="H1532">
        <v>0</v>
      </c>
      <c r="I1532">
        <v>0</v>
      </c>
      <c r="J1532">
        <v>-26</v>
      </c>
      <c r="K1532">
        <v>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63</v>
      </c>
      <c r="T1532">
        <v>0</v>
      </c>
      <c r="U1532" t="s">
        <v>113</v>
      </c>
      <c r="W1532" s="2">
        <v>51.841111111111118</v>
      </c>
      <c r="X1532" s="3">
        <f t="shared" si="46"/>
        <v>3265.9900000000002</v>
      </c>
      <c r="Y1532">
        <f>VLOOKUP(D1532,'[1]Cost Sheet'!$C:$D,2,0)</f>
        <v>53.73</v>
      </c>
      <c r="Z1532" s="3">
        <f t="shared" si="47"/>
        <v>3384.99</v>
      </c>
    </row>
    <row r="1533" spans="1:26" x14ac:dyDescent="0.3">
      <c r="A1533" s="7" t="s">
        <v>21</v>
      </c>
      <c r="B1533" t="s">
        <v>600</v>
      </c>
      <c r="C1533" t="s">
        <v>601</v>
      </c>
      <c r="D1533" t="s">
        <v>602</v>
      </c>
      <c r="E1533" t="s">
        <v>603</v>
      </c>
      <c r="F1533" t="s">
        <v>26</v>
      </c>
      <c r="G1533">
        <v>394</v>
      </c>
      <c r="H1533">
        <v>0</v>
      </c>
      <c r="I1533">
        <v>0</v>
      </c>
      <c r="J1533">
        <v>-41</v>
      </c>
      <c r="K1533">
        <v>3</v>
      </c>
      <c r="L1533">
        <v>0</v>
      </c>
      <c r="M1533">
        <v>126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482</v>
      </c>
      <c r="T1533">
        <v>0</v>
      </c>
      <c r="U1533" t="s">
        <v>48</v>
      </c>
      <c r="W1533" s="2">
        <v>51.841111111111118</v>
      </c>
      <c r="X1533" s="3">
        <f t="shared" si="46"/>
        <v>24987.415555555559</v>
      </c>
      <c r="Y1533">
        <f>VLOOKUP(D1533,'[1]Cost Sheet'!$C:$D,2,0)</f>
        <v>53.73</v>
      </c>
      <c r="Z1533" s="3">
        <f t="shared" si="47"/>
        <v>25897.859999999997</v>
      </c>
    </row>
    <row r="1534" spans="1:26" x14ac:dyDescent="0.3">
      <c r="A1534" s="7" t="s">
        <v>21</v>
      </c>
      <c r="B1534" t="s">
        <v>600</v>
      </c>
      <c r="C1534" t="s">
        <v>601</v>
      </c>
      <c r="D1534" t="s">
        <v>602</v>
      </c>
      <c r="E1534" t="s">
        <v>603</v>
      </c>
      <c r="F1534" t="s">
        <v>26</v>
      </c>
      <c r="G1534">
        <v>185</v>
      </c>
      <c r="H1534">
        <v>0</v>
      </c>
      <c r="I1534">
        <v>0</v>
      </c>
      <c r="J1534">
        <v>-12</v>
      </c>
      <c r="K1534">
        <v>0</v>
      </c>
      <c r="L1534">
        <v>0</v>
      </c>
      <c r="M1534">
        <v>36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209</v>
      </c>
      <c r="T1534">
        <v>0</v>
      </c>
      <c r="U1534" t="s">
        <v>59</v>
      </c>
      <c r="W1534" s="2">
        <v>51.841111111111118</v>
      </c>
      <c r="X1534" s="3">
        <f t="shared" si="46"/>
        <v>10834.792222222224</v>
      </c>
      <c r="Y1534">
        <f>VLOOKUP(D1534,'[1]Cost Sheet'!$C:$D,2,0)</f>
        <v>53.73</v>
      </c>
      <c r="Z1534" s="3">
        <f t="shared" si="47"/>
        <v>11229.57</v>
      </c>
    </row>
    <row r="1535" spans="1:26" x14ac:dyDescent="0.3">
      <c r="A1535" s="7" t="s">
        <v>21</v>
      </c>
      <c r="B1535" t="s">
        <v>600</v>
      </c>
      <c r="C1535" t="s">
        <v>601</v>
      </c>
      <c r="D1535" t="s">
        <v>602</v>
      </c>
      <c r="E1535" t="s">
        <v>603</v>
      </c>
      <c r="F1535" t="s">
        <v>26</v>
      </c>
      <c r="G1535">
        <v>922</v>
      </c>
      <c r="H1535">
        <v>0</v>
      </c>
      <c r="I1535">
        <v>0</v>
      </c>
      <c r="J1535">
        <v>-24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-2</v>
      </c>
      <c r="S1535">
        <v>896</v>
      </c>
      <c r="T1535">
        <v>0</v>
      </c>
      <c r="U1535" t="s">
        <v>27</v>
      </c>
      <c r="W1535" s="2">
        <v>51.841111111111118</v>
      </c>
      <c r="X1535" s="3">
        <f t="shared" si="46"/>
        <v>46449.635555555564</v>
      </c>
      <c r="Y1535">
        <f>VLOOKUP(D1535,'[1]Cost Sheet'!$C:$D,2,0)</f>
        <v>53.73</v>
      </c>
      <c r="Z1535" s="3">
        <f t="shared" si="47"/>
        <v>48142.079999999994</v>
      </c>
    </row>
    <row r="1536" spans="1:26" x14ac:dyDescent="0.3">
      <c r="A1536" s="7" t="s">
        <v>21</v>
      </c>
      <c r="B1536" t="s">
        <v>600</v>
      </c>
      <c r="C1536" t="s">
        <v>601</v>
      </c>
      <c r="D1536" t="s">
        <v>602</v>
      </c>
      <c r="E1536" t="s">
        <v>603</v>
      </c>
      <c r="F1536" t="s">
        <v>114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 t="s">
        <v>151</v>
      </c>
      <c r="W1536" s="2">
        <v>51.841111111111118</v>
      </c>
      <c r="X1536" s="3">
        <f t="shared" si="46"/>
        <v>51.841111111111118</v>
      </c>
      <c r="Y1536">
        <f>VLOOKUP(D1536,'[1]Cost Sheet'!$C:$D,2,0)</f>
        <v>53.73</v>
      </c>
      <c r="Z1536" s="3">
        <f t="shared" si="47"/>
        <v>53.73</v>
      </c>
    </row>
    <row r="1537" spans="1:26" x14ac:dyDescent="0.3">
      <c r="A1537" s="7" t="s">
        <v>21</v>
      </c>
      <c r="B1537" t="s">
        <v>600</v>
      </c>
      <c r="C1537" t="s">
        <v>601</v>
      </c>
      <c r="D1537" t="s">
        <v>602</v>
      </c>
      <c r="E1537" t="s">
        <v>603</v>
      </c>
      <c r="F1537" t="s">
        <v>114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1</v>
      </c>
      <c r="T1537">
        <v>0</v>
      </c>
      <c r="U1537" t="s">
        <v>39</v>
      </c>
      <c r="W1537" s="2">
        <v>51.841111111111118</v>
      </c>
      <c r="X1537" s="3">
        <f t="shared" si="46"/>
        <v>51.841111111111118</v>
      </c>
      <c r="Y1537">
        <f>VLOOKUP(D1537,'[1]Cost Sheet'!$C:$D,2,0)</f>
        <v>53.73</v>
      </c>
      <c r="Z1537" s="3">
        <f t="shared" si="47"/>
        <v>53.73</v>
      </c>
    </row>
    <row r="1538" spans="1:26" x14ac:dyDescent="0.3">
      <c r="A1538" s="7" t="s">
        <v>21</v>
      </c>
      <c r="B1538" t="s">
        <v>600</v>
      </c>
      <c r="C1538" t="s">
        <v>601</v>
      </c>
      <c r="D1538" t="s">
        <v>602</v>
      </c>
      <c r="E1538" t="s">
        <v>603</v>
      </c>
      <c r="F1538" t="s">
        <v>114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 t="s">
        <v>54</v>
      </c>
      <c r="W1538" s="2">
        <v>51.841111111111118</v>
      </c>
      <c r="X1538" s="3">
        <f t="shared" si="46"/>
        <v>51.841111111111118</v>
      </c>
      <c r="Y1538">
        <f>VLOOKUP(D1538,'[1]Cost Sheet'!$C:$D,2,0)</f>
        <v>53.73</v>
      </c>
      <c r="Z1538" s="3">
        <f t="shared" si="47"/>
        <v>53.73</v>
      </c>
    </row>
    <row r="1539" spans="1:26" x14ac:dyDescent="0.3">
      <c r="A1539" s="7" t="s">
        <v>21</v>
      </c>
      <c r="B1539" t="s">
        <v>600</v>
      </c>
      <c r="C1539" t="s">
        <v>601</v>
      </c>
      <c r="D1539" t="s">
        <v>602</v>
      </c>
      <c r="E1539" t="s">
        <v>603</v>
      </c>
      <c r="F1539" t="s">
        <v>114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 t="s">
        <v>33</v>
      </c>
      <c r="W1539" s="2">
        <v>51.841111111111118</v>
      </c>
      <c r="X1539" s="3">
        <f t="shared" ref="X1539:X1602" si="48">S1539*W1539</f>
        <v>51.841111111111118</v>
      </c>
      <c r="Y1539">
        <f>VLOOKUP(D1539,'[1]Cost Sheet'!$C:$D,2,0)</f>
        <v>53.73</v>
      </c>
      <c r="Z1539" s="3">
        <f t="shared" ref="Z1539:Z1602" si="49">Y1539*S1539</f>
        <v>53.73</v>
      </c>
    </row>
    <row r="1540" spans="1:26" x14ac:dyDescent="0.3">
      <c r="A1540" s="7" t="s">
        <v>21</v>
      </c>
      <c r="B1540" t="s">
        <v>600</v>
      </c>
      <c r="C1540" t="s">
        <v>601</v>
      </c>
      <c r="D1540" t="s">
        <v>602</v>
      </c>
      <c r="E1540" t="s">
        <v>603</v>
      </c>
      <c r="F1540" t="s">
        <v>114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 t="s">
        <v>113</v>
      </c>
      <c r="W1540" s="2">
        <v>51.841111111111118</v>
      </c>
      <c r="X1540" s="3">
        <f t="shared" si="48"/>
        <v>51.841111111111118</v>
      </c>
      <c r="Y1540">
        <f>VLOOKUP(D1540,'[1]Cost Sheet'!$C:$D,2,0)</f>
        <v>53.73</v>
      </c>
      <c r="Z1540" s="3">
        <f t="shared" si="49"/>
        <v>53.73</v>
      </c>
    </row>
    <row r="1541" spans="1:26" x14ac:dyDescent="0.3">
      <c r="A1541" s="7" t="s">
        <v>21</v>
      </c>
      <c r="B1541" t="s">
        <v>600</v>
      </c>
      <c r="C1541" t="s">
        <v>601</v>
      </c>
      <c r="D1541" t="s">
        <v>602</v>
      </c>
      <c r="E1541" t="s">
        <v>603</v>
      </c>
      <c r="F1541" t="s">
        <v>114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 t="s">
        <v>27</v>
      </c>
      <c r="W1541" s="2">
        <v>51.841111111111118</v>
      </c>
      <c r="X1541" s="3">
        <f t="shared" si="48"/>
        <v>51.841111111111118</v>
      </c>
      <c r="Y1541">
        <f>VLOOKUP(D1541,'[1]Cost Sheet'!$C:$D,2,0)</f>
        <v>53.73</v>
      </c>
      <c r="Z1541" s="3">
        <f t="shared" si="49"/>
        <v>53.73</v>
      </c>
    </row>
    <row r="1542" spans="1:26" x14ac:dyDescent="0.3">
      <c r="A1542" s="7" t="s">
        <v>21</v>
      </c>
      <c r="B1542" t="s">
        <v>604</v>
      </c>
      <c r="C1542" t="s">
        <v>605</v>
      </c>
      <c r="D1542" t="s">
        <v>1023</v>
      </c>
      <c r="E1542" t="s">
        <v>606</v>
      </c>
      <c r="F1542" t="s">
        <v>106</v>
      </c>
      <c r="G1542">
        <v>62</v>
      </c>
      <c r="H1542">
        <v>0</v>
      </c>
      <c r="I1542">
        <v>0</v>
      </c>
      <c r="J1542">
        <v>0</v>
      </c>
      <c r="K1542">
        <v>0</v>
      </c>
      <c r="L1542">
        <v>-6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56</v>
      </c>
      <c r="T1542">
        <v>0</v>
      </c>
      <c r="U1542" t="s">
        <v>39</v>
      </c>
      <c r="W1542" s="2">
        <v>61.72</v>
      </c>
      <c r="X1542" s="3">
        <f t="shared" si="48"/>
        <v>3456.3199999999997</v>
      </c>
      <c r="Y1542">
        <f>VLOOKUP(D1542,'[1]Cost Sheet'!$C:$D,2,0)</f>
        <v>60.99</v>
      </c>
      <c r="Z1542" s="3">
        <f t="shared" si="49"/>
        <v>3415.44</v>
      </c>
    </row>
    <row r="1543" spans="1:26" x14ac:dyDescent="0.3">
      <c r="A1543" s="7" t="s">
        <v>21</v>
      </c>
      <c r="B1543" t="s">
        <v>604</v>
      </c>
      <c r="C1543" t="s">
        <v>605</v>
      </c>
      <c r="D1543" t="s">
        <v>1023</v>
      </c>
      <c r="E1543" t="s">
        <v>606</v>
      </c>
      <c r="F1543" t="s">
        <v>106</v>
      </c>
      <c r="G1543">
        <v>81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81</v>
      </c>
      <c r="T1543">
        <v>0</v>
      </c>
      <c r="U1543" t="s">
        <v>32</v>
      </c>
      <c r="W1543" s="2">
        <v>61.72</v>
      </c>
      <c r="X1543" s="3">
        <f t="shared" si="48"/>
        <v>4999.32</v>
      </c>
      <c r="Y1543">
        <f>VLOOKUP(D1543,'[1]Cost Sheet'!$C:$D,2,0)</f>
        <v>60.99</v>
      </c>
      <c r="Z1543" s="3">
        <f t="shared" si="49"/>
        <v>4940.1900000000005</v>
      </c>
    </row>
    <row r="1544" spans="1:26" x14ac:dyDescent="0.3">
      <c r="A1544" s="7" t="s">
        <v>21</v>
      </c>
      <c r="B1544" t="s">
        <v>604</v>
      </c>
      <c r="C1544" t="s">
        <v>605</v>
      </c>
      <c r="D1544" t="s">
        <v>1023</v>
      </c>
      <c r="E1544" t="s">
        <v>606</v>
      </c>
      <c r="F1544" t="s">
        <v>106</v>
      </c>
      <c r="G1544">
        <v>64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64</v>
      </c>
      <c r="T1544">
        <v>0</v>
      </c>
      <c r="U1544" t="s">
        <v>33</v>
      </c>
      <c r="W1544" s="2">
        <v>61.72</v>
      </c>
      <c r="X1544" s="3">
        <f t="shared" si="48"/>
        <v>3950.08</v>
      </c>
      <c r="Y1544">
        <f>VLOOKUP(D1544,'[1]Cost Sheet'!$C:$D,2,0)</f>
        <v>60.99</v>
      </c>
      <c r="Z1544" s="3">
        <f t="shared" si="49"/>
        <v>3903.36</v>
      </c>
    </row>
    <row r="1545" spans="1:26" x14ac:dyDescent="0.3">
      <c r="A1545" s="7" t="s">
        <v>21</v>
      </c>
      <c r="B1545" t="s">
        <v>604</v>
      </c>
      <c r="C1545" t="s">
        <v>605</v>
      </c>
      <c r="D1545" t="s">
        <v>1023</v>
      </c>
      <c r="E1545" t="s">
        <v>606</v>
      </c>
      <c r="F1545" t="s">
        <v>106</v>
      </c>
      <c r="G1545">
        <v>31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31</v>
      </c>
      <c r="T1545">
        <v>0</v>
      </c>
      <c r="U1545" t="s">
        <v>46</v>
      </c>
      <c r="W1545" s="2">
        <v>61.72</v>
      </c>
      <c r="X1545" s="3">
        <f t="shared" si="48"/>
        <v>1913.32</v>
      </c>
      <c r="Y1545">
        <f>VLOOKUP(D1545,'[1]Cost Sheet'!$C:$D,2,0)</f>
        <v>60.99</v>
      </c>
      <c r="Z1545" s="3">
        <f t="shared" si="49"/>
        <v>1890.69</v>
      </c>
    </row>
    <row r="1546" spans="1:26" x14ac:dyDescent="0.3">
      <c r="A1546" s="7" t="s">
        <v>21</v>
      </c>
      <c r="B1546" t="s">
        <v>604</v>
      </c>
      <c r="C1546" t="s">
        <v>605</v>
      </c>
      <c r="D1546" t="s">
        <v>1023</v>
      </c>
      <c r="E1546" t="s">
        <v>606</v>
      </c>
      <c r="F1546" t="s">
        <v>26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 t="s">
        <v>53</v>
      </c>
      <c r="W1546" s="2">
        <v>61.72</v>
      </c>
      <c r="X1546" s="3">
        <f t="shared" si="48"/>
        <v>61.72</v>
      </c>
      <c r="Y1546">
        <f>VLOOKUP(D1546,'[1]Cost Sheet'!$C:$D,2,0)</f>
        <v>60.99</v>
      </c>
      <c r="Z1546" s="3">
        <f t="shared" si="49"/>
        <v>60.99</v>
      </c>
    </row>
    <row r="1547" spans="1:26" x14ac:dyDescent="0.3">
      <c r="A1547" s="7" t="s">
        <v>21</v>
      </c>
      <c r="B1547" t="s">
        <v>604</v>
      </c>
      <c r="C1547" t="s">
        <v>605</v>
      </c>
      <c r="D1547" t="s">
        <v>1023</v>
      </c>
      <c r="E1547" t="s">
        <v>606</v>
      </c>
      <c r="F1547" t="s">
        <v>26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 t="s">
        <v>33</v>
      </c>
      <c r="W1547" s="2">
        <v>61.72</v>
      </c>
      <c r="X1547" s="3">
        <f t="shared" si="48"/>
        <v>61.72</v>
      </c>
      <c r="Y1547">
        <f>VLOOKUP(D1547,'[1]Cost Sheet'!$C:$D,2,0)</f>
        <v>60.99</v>
      </c>
      <c r="Z1547" s="3">
        <f t="shared" si="49"/>
        <v>60.99</v>
      </c>
    </row>
    <row r="1548" spans="1:26" x14ac:dyDescent="0.3">
      <c r="A1548" s="7" t="s">
        <v>21</v>
      </c>
      <c r="B1548" t="s">
        <v>607</v>
      </c>
      <c r="C1548" t="s">
        <v>608</v>
      </c>
      <c r="D1548" t="s">
        <v>609</v>
      </c>
      <c r="E1548" t="s">
        <v>610</v>
      </c>
      <c r="F1548" t="s">
        <v>106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2</v>
      </c>
      <c r="T1548">
        <v>0</v>
      </c>
      <c r="U1548" t="s">
        <v>39</v>
      </c>
      <c r="W1548" s="2">
        <v>72.599999999999994</v>
      </c>
      <c r="X1548" s="3">
        <f t="shared" si="48"/>
        <v>145.19999999999999</v>
      </c>
      <c r="Y1548">
        <f>VLOOKUP(D1548,'[1]Cost Sheet'!$C:$D,2,0)</f>
        <v>72.599999999999994</v>
      </c>
      <c r="Z1548" s="3">
        <f t="shared" si="49"/>
        <v>145.19999999999999</v>
      </c>
    </row>
    <row r="1549" spans="1:26" x14ac:dyDescent="0.3">
      <c r="A1549" s="7" t="s">
        <v>21</v>
      </c>
      <c r="B1549" t="s">
        <v>607</v>
      </c>
      <c r="C1549" t="s">
        <v>608</v>
      </c>
      <c r="D1549" t="s">
        <v>609</v>
      </c>
      <c r="E1549" t="s">
        <v>610</v>
      </c>
      <c r="F1549" t="s">
        <v>106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 t="s">
        <v>33</v>
      </c>
      <c r="W1549" s="2">
        <v>72.599999999999994</v>
      </c>
      <c r="X1549" s="3">
        <f t="shared" si="48"/>
        <v>72.599999999999994</v>
      </c>
      <c r="Y1549">
        <f>VLOOKUP(D1549,'[1]Cost Sheet'!$C:$D,2,0)</f>
        <v>72.599999999999994</v>
      </c>
      <c r="Z1549" s="3">
        <f t="shared" si="49"/>
        <v>72.599999999999994</v>
      </c>
    </row>
    <row r="1550" spans="1:26" x14ac:dyDescent="0.3">
      <c r="A1550" s="7" t="s">
        <v>21</v>
      </c>
      <c r="B1550" t="s">
        <v>607</v>
      </c>
      <c r="C1550" t="s">
        <v>608</v>
      </c>
      <c r="D1550" t="s">
        <v>609</v>
      </c>
      <c r="E1550" t="s">
        <v>610</v>
      </c>
      <c r="F1550" t="s">
        <v>26</v>
      </c>
      <c r="G1550">
        <v>68</v>
      </c>
      <c r="H1550">
        <v>0</v>
      </c>
      <c r="I1550">
        <v>0</v>
      </c>
      <c r="J1550">
        <v>-1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67</v>
      </c>
      <c r="T1550">
        <v>0</v>
      </c>
      <c r="U1550" t="s">
        <v>38</v>
      </c>
      <c r="W1550" s="2">
        <v>72.599999999999994</v>
      </c>
      <c r="X1550" s="3">
        <f t="shared" si="48"/>
        <v>4864.2</v>
      </c>
      <c r="Y1550">
        <f>VLOOKUP(D1550,'[1]Cost Sheet'!$C:$D,2,0)</f>
        <v>72.599999999999994</v>
      </c>
      <c r="Z1550" s="3">
        <f t="shared" si="49"/>
        <v>4864.2</v>
      </c>
    </row>
    <row r="1551" spans="1:26" x14ac:dyDescent="0.3">
      <c r="A1551" s="7" t="s">
        <v>21</v>
      </c>
      <c r="B1551" t="s">
        <v>607</v>
      </c>
      <c r="C1551" t="s">
        <v>608</v>
      </c>
      <c r="D1551" t="s">
        <v>609</v>
      </c>
      <c r="E1551" t="s">
        <v>610</v>
      </c>
      <c r="F1551" t="s">
        <v>26</v>
      </c>
      <c r="G1551">
        <v>69</v>
      </c>
      <c r="H1551">
        <v>0</v>
      </c>
      <c r="I1551">
        <v>0</v>
      </c>
      <c r="J1551">
        <v>-3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66</v>
      </c>
      <c r="T1551">
        <v>0</v>
      </c>
      <c r="U1551" t="s">
        <v>45</v>
      </c>
      <c r="W1551" s="2">
        <v>72.599999999999994</v>
      </c>
      <c r="X1551" s="3">
        <f t="shared" si="48"/>
        <v>4791.5999999999995</v>
      </c>
      <c r="Y1551">
        <f>VLOOKUP(D1551,'[1]Cost Sheet'!$C:$D,2,0)</f>
        <v>72.599999999999994</v>
      </c>
      <c r="Z1551" s="3">
        <f t="shared" si="49"/>
        <v>4791.5999999999995</v>
      </c>
    </row>
    <row r="1552" spans="1:26" x14ac:dyDescent="0.3">
      <c r="A1552" s="7" t="s">
        <v>21</v>
      </c>
      <c r="B1552" t="s">
        <v>607</v>
      </c>
      <c r="C1552" t="s">
        <v>608</v>
      </c>
      <c r="D1552" t="s">
        <v>609</v>
      </c>
      <c r="E1552" t="s">
        <v>610</v>
      </c>
      <c r="F1552" t="s">
        <v>26</v>
      </c>
      <c r="G1552">
        <v>17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17</v>
      </c>
      <c r="T1552">
        <v>0</v>
      </c>
      <c r="U1552" t="s">
        <v>39</v>
      </c>
      <c r="W1552" s="2">
        <v>72.599999999999994</v>
      </c>
      <c r="X1552" s="3">
        <f t="shared" si="48"/>
        <v>1234.1999999999998</v>
      </c>
      <c r="Y1552">
        <f>VLOOKUP(D1552,'[1]Cost Sheet'!$C:$D,2,0)</f>
        <v>72.599999999999994</v>
      </c>
      <c r="Z1552" s="3">
        <f t="shared" si="49"/>
        <v>1234.1999999999998</v>
      </c>
    </row>
    <row r="1553" spans="1:26" x14ac:dyDescent="0.3">
      <c r="A1553" s="7" t="s">
        <v>21</v>
      </c>
      <c r="B1553" t="s">
        <v>607</v>
      </c>
      <c r="C1553" t="s">
        <v>608</v>
      </c>
      <c r="D1553" t="s">
        <v>609</v>
      </c>
      <c r="E1553" t="s">
        <v>610</v>
      </c>
      <c r="F1553" t="s">
        <v>26</v>
      </c>
      <c r="G1553">
        <v>13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13</v>
      </c>
      <c r="T1553">
        <v>0</v>
      </c>
      <c r="U1553" t="s">
        <v>53</v>
      </c>
      <c r="W1553" s="2">
        <v>72.599999999999994</v>
      </c>
      <c r="X1553" s="3">
        <f t="shared" si="48"/>
        <v>943.8</v>
      </c>
      <c r="Y1553">
        <f>VLOOKUP(D1553,'[1]Cost Sheet'!$C:$D,2,0)</f>
        <v>72.599999999999994</v>
      </c>
      <c r="Z1553" s="3">
        <f t="shared" si="49"/>
        <v>943.8</v>
      </c>
    </row>
    <row r="1554" spans="1:26" x14ac:dyDescent="0.3">
      <c r="A1554" s="7" t="s">
        <v>21</v>
      </c>
      <c r="B1554" t="s">
        <v>607</v>
      </c>
      <c r="C1554" t="s">
        <v>608</v>
      </c>
      <c r="D1554" t="s">
        <v>609</v>
      </c>
      <c r="E1554" t="s">
        <v>610</v>
      </c>
      <c r="F1554" t="s">
        <v>26</v>
      </c>
      <c r="G1554">
        <v>145</v>
      </c>
      <c r="H1554">
        <v>0</v>
      </c>
      <c r="I1554">
        <v>0</v>
      </c>
      <c r="J1554">
        <v>-3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142</v>
      </c>
      <c r="T1554">
        <v>0</v>
      </c>
      <c r="U1554" t="s">
        <v>32</v>
      </c>
      <c r="W1554" s="2">
        <v>72.599999999999994</v>
      </c>
      <c r="X1554" s="3">
        <f t="shared" si="48"/>
        <v>10309.199999999999</v>
      </c>
      <c r="Y1554">
        <f>VLOOKUP(D1554,'[1]Cost Sheet'!$C:$D,2,0)</f>
        <v>72.599999999999994</v>
      </c>
      <c r="Z1554" s="3">
        <f t="shared" si="49"/>
        <v>10309.199999999999</v>
      </c>
    </row>
    <row r="1555" spans="1:26" x14ac:dyDescent="0.3">
      <c r="A1555" s="7" t="s">
        <v>21</v>
      </c>
      <c r="B1555" t="s">
        <v>607</v>
      </c>
      <c r="C1555" t="s">
        <v>608</v>
      </c>
      <c r="D1555" t="s">
        <v>609</v>
      </c>
      <c r="E1555" t="s">
        <v>610</v>
      </c>
      <c r="F1555" t="s">
        <v>26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 t="s">
        <v>33</v>
      </c>
      <c r="W1555" s="2">
        <v>72.599999999999994</v>
      </c>
      <c r="X1555" s="3">
        <f t="shared" si="48"/>
        <v>72.599999999999994</v>
      </c>
      <c r="Y1555">
        <f>VLOOKUP(D1555,'[1]Cost Sheet'!$C:$D,2,0)</f>
        <v>72.599999999999994</v>
      </c>
      <c r="Z1555" s="3">
        <f t="shared" si="49"/>
        <v>72.599999999999994</v>
      </c>
    </row>
    <row r="1556" spans="1:26" x14ac:dyDescent="0.3">
      <c r="A1556" s="7" t="s">
        <v>21</v>
      </c>
      <c r="B1556" t="s">
        <v>607</v>
      </c>
      <c r="C1556" t="s">
        <v>608</v>
      </c>
      <c r="D1556" t="s">
        <v>609</v>
      </c>
      <c r="E1556" t="s">
        <v>610</v>
      </c>
      <c r="F1556" t="s">
        <v>26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2</v>
      </c>
      <c r="T1556">
        <v>0</v>
      </c>
      <c r="U1556" t="s">
        <v>46</v>
      </c>
      <c r="W1556" s="2">
        <v>72.599999999999994</v>
      </c>
      <c r="X1556" s="3">
        <f t="shared" si="48"/>
        <v>145.19999999999999</v>
      </c>
      <c r="Y1556">
        <f>VLOOKUP(D1556,'[1]Cost Sheet'!$C:$D,2,0)</f>
        <v>72.599999999999994</v>
      </c>
      <c r="Z1556" s="3">
        <f t="shared" si="49"/>
        <v>145.19999999999999</v>
      </c>
    </row>
    <row r="1557" spans="1:26" x14ac:dyDescent="0.3">
      <c r="A1557" s="7" t="s">
        <v>21</v>
      </c>
      <c r="B1557" t="s">
        <v>607</v>
      </c>
      <c r="C1557" t="s">
        <v>608</v>
      </c>
      <c r="D1557" t="s">
        <v>609</v>
      </c>
      <c r="E1557" t="s">
        <v>610</v>
      </c>
      <c r="F1557" t="s">
        <v>26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 t="s">
        <v>47</v>
      </c>
      <c r="W1557" s="2">
        <v>72.599999999999994</v>
      </c>
      <c r="X1557" s="3">
        <f t="shared" si="48"/>
        <v>72.599999999999994</v>
      </c>
      <c r="Y1557">
        <f>VLOOKUP(D1557,'[1]Cost Sheet'!$C:$D,2,0)</f>
        <v>72.599999999999994</v>
      </c>
      <c r="Z1557" s="3">
        <f t="shared" si="49"/>
        <v>72.599999999999994</v>
      </c>
    </row>
    <row r="1558" spans="1:26" x14ac:dyDescent="0.3">
      <c r="A1558" s="7" t="s">
        <v>21</v>
      </c>
      <c r="B1558" t="s">
        <v>607</v>
      </c>
      <c r="C1558" t="s">
        <v>608</v>
      </c>
      <c r="D1558" t="s">
        <v>609</v>
      </c>
      <c r="E1558" t="s">
        <v>610</v>
      </c>
      <c r="F1558" t="s">
        <v>26</v>
      </c>
      <c r="G1558">
        <v>113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113</v>
      </c>
      <c r="T1558">
        <v>0</v>
      </c>
      <c r="U1558" t="s">
        <v>40</v>
      </c>
      <c r="W1558" s="2">
        <v>72.599999999999994</v>
      </c>
      <c r="X1558" s="3">
        <f t="shared" si="48"/>
        <v>8203.7999999999993</v>
      </c>
      <c r="Y1558">
        <f>VLOOKUP(D1558,'[1]Cost Sheet'!$C:$D,2,0)</f>
        <v>72.599999999999994</v>
      </c>
      <c r="Z1558" s="3">
        <f t="shared" si="49"/>
        <v>8203.7999999999993</v>
      </c>
    </row>
    <row r="1559" spans="1:26" x14ac:dyDescent="0.3">
      <c r="A1559" s="7" t="s">
        <v>21</v>
      </c>
      <c r="B1559" t="s">
        <v>607</v>
      </c>
      <c r="C1559" t="s">
        <v>608</v>
      </c>
      <c r="D1559" t="s">
        <v>609</v>
      </c>
      <c r="E1559" t="s">
        <v>610</v>
      </c>
      <c r="F1559" t="s">
        <v>26</v>
      </c>
      <c r="G1559">
        <v>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6</v>
      </c>
      <c r="T1559">
        <v>0</v>
      </c>
      <c r="U1559" t="s">
        <v>112</v>
      </c>
      <c r="W1559" s="2">
        <v>72.599999999999994</v>
      </c>
      <c r="X1559" s="3">
        <f t="shared" si="48"/>
        <v>435.59999999999997</v>
      </c>
      <c r="Y1559">
        <f>VLOOKUP(D1559,'[1]Cost Sheet'!$C:$D,2,0)</f>
        <v>72.599999999999994</v>
      </c>
      <c r="Z1559" s="3">
        <f t="shared" si="49"/>
        <v>435.59999999999997</v>
      </c>
    </row>
    <row r="1560" spans="1:26" x14ac:dyDescent="0.3">
      <c r="A1560" s="7" t="s">
        <v>21</v>
      </c>
      <c r="B1560" t="s">
        <v>607</v>
      </c>
      <c r="C1560" t="s">
        <v>608</v>
      </c>
      <c r="D1560" t="s">
        <v>609</v>
      </c>
      <c r="E1560" t="s">
        <v>610</v>
      </c>
      <c r="F1560" t="s">
        <v>26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 t="s">
        <v>48</v>
      </c>
      <c r="W1560" s="2">
        <v>72.599999999999994</v>
      </c>
      <c r="X1560" s="3">
        <f t="shared" si="48"/>
        <v>72.599999999999994</v>
      </c>
      <c r="Y1560">
        <f>VLOOKUP(D1560,'[1]Cost Sheet'!$C:$D,2,0)</f>
        <v>72.599999999999994</v>
      </c>
      <c r="Z1560" s="3">
        <f t="shared" si="49"/>
        <v>72.599999999999994</v>
      </c>
    </row>
    <row r="1561" spans="1:26" x14ac:dyDescent="0.3">
      <c r="A1561" s="7" t="s">
        <v>21</v>
      </c>
      <c r="B1561" t="s">
        <v>607</v>
      </c>
      <c r="C1561" t="s">
        <v>608</v>
      </c>
      <c r="D1561" t="s">
        <v>609</v>
      </c>
      <c r="E1561" t="s">
        <v>610</v>
      </c>
      <c r="F1561" t="s">
        <v>26</v>
      </c>
      <c r="G1561">
        <v>12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12</v>
      </c>
      <c r="T1561">
        <v>0</v>
      </c>
      <c r="U1561" t="s">
        <v>59</v>
      </c>
      <c r="W1561" s="2">
        <v>72.599999999999994</v>
      </c>
      <c r="X1561" s="3">
        <f t="shared" si="48"/>
        <v>871.19999999999993</v>
      </c>
      <c r="Y1561">
        <f>VLOOKUP(D1561,'[1]Cost Sheet'!$C:$D,2,0)</f>
        <v>72.599999999999994</v>
      </c>
      <c r="Z1561" s="3">
        <f t="shared" si="49"/>
        <v>871.19999999999993</v>
      </c>
    </row>
    <row r="1562" spans="1:26" x14ac:dyDescent="0.3">
      <c r="A1562" s="7" t="s">
        <v>21</v>
      </c>
      <c r="B1562" t="s">
        <v>607</v>
      </c>
      <c r="C1562" t="s">
        <v>608</v>
      </c>
      <c r="D1562" t="s">
        <v>609</v>
      </c>
      <c r="E1562" t="s">
        <v>610</v>
      </c>
      <c r="F1562" t="s">
        <v>26</v>
      </c>
      <c r="G1562">
        <v>3</v>
      </c>
      <c r="H1562">
        <v>0</v>
      </c>
      <c r="I1562">
        <v>0</v>
      </c>
      <c r="J1562">
        <v>-1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2</v>
      </c>
      <c r="T1562">
        <v>0</v>
      </c>
      <c r="U1562" t="s">
        <v>27</v>
      </c>
      <c r="W1562" s="2">
        <v>72.599999999999994</v>
      </c>
      <c r="X1562" s="3">
        <f t="shared" si="48"/>
        <v>145.19999999999999</v>
      </c>
      <c r="Y1562">
        <f>VLOOKUP(D1562,'[1]Cost Sheet'!$C:$D,2,0)</f>
        <v>72.599999999999994</v>
      </c>
      <c r="Z1562" s="3">
        <f t="shared" si="49"/>
        <v>145.19999999999999</v>
      </c>
    </row>
    <row r="1563" spans="1:26" x14ac:dyDescent="0.3">
      <c r="A1563" s="7" t="s">
        <v>21</v>
      </c>
      <c r="B1563" t="s">
        <v>611</v>
      </c>
      <c r="C1563" t="s">
        <v>612</v>
      </c>
      <c r="D1563" t="s">
        <v>1024</v>
      </c>
      <c r="E1563" t="s">
        <v>613</v>
      </c>
      <c r="F1563" t="s">
        <v>26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 t="s">
        <v>38</v>
      </c>
      <c r="W1563" s="2">
        <v>66.899999999999991</v>
      </c>
      <c r="X1563" s="3">
        <f t="shared" si="48"/>
        <v>66.899999999999991</v>
      </c>
      <c r="Y1563">
        <f>VLOOKUP(D1563,'[1]Cost Sheet'!$C:$D,2,0)</f>
        <v>66.739999999999995</v>
      </c>
      <c r="Z1563" s="3">
        <f t="shared" si="49"/>
        <v>66.739999999999995</v>
      </c>
    </row>
    <row r="1564" spans="1:26" x14ac:dyDescent="0.3">
      <c r="A1564" s="7" t="s">
        <v>21</v>
      </c>
      <c r="B1564" t="s">
        <v>614</v>
      </c>
      <c r="C1564" t="s">
        <v>615</v>
      </c>
      <c r="D1564" t="s">
        <v>616</v>
      </c>
      <c r="E1564" t="s">
        <v>617</v>
      </c>
      <c r="F1564" t="s">
        <v>106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-2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t="s">
        <v>39</v>
      </c>
      <c r="W1564" s="2">
        <v>65.349999999999994</v>
      </c>
      <c r="X1564" s="3">
        <f t="shared" si="48"/>
        <v>0</v>
      </c>
      <c r="Y1564">
        <f>VLOOKUP(D1564,'[1]Cost Sheet'!$C:$D,2,0)</f>
        <v>65.650000000000006</v>
      </c>
      <c r="Z1564" s="3">
        <f t="shared" si="49"/>
        <v>0</v>
      </c>
    </row>
    <row r="1565" spans="1:26" x14ac:dyDescent="0.3">
      <c r="A1565" s="7" t="s">
        <v>21</v>
      </c>
      <c r="B1565" t="s">
        <v>614</v>
      </c>
      <c r="C1565" t="s">
        <v>615</v>
      </c>
      <c r="D1565" t="s">
        <v>616</v>
      </c>
      <c r="E1565" t="s">
        <v>617</v>
      </c>
      <c r="F1565" t="s">
        <v>106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 t="s">
        <v>46</v>
      </c>
      <c r="W1565" s="2">
        <v>65.349999999999994</v>
      </c>
      <c r="X1565" s="3">
        <f t="shared" si="48"/>
        <v>65.349999999999994</v>
      </c>
      <c r="Y1565">
        <f>VLOOKUP(D1565,'[1]Cost Sheet'!$C:$D,2,0)</f>
        <v>65.650000000000006</v>
      </c>
      <c r="Z1565" s="3">
        <f t="shared" si="49"/>
        <v>65.650000000000006</v>
      </c>
    </row>
    <row r="1566" spans="1:26" x14ac:dyDescent="0.3">
      <c r="A1566" s="7" t="s">
        <v>21</v>
      </c>
      <c r="B1566" t="s">
        <v>614</v>
      </c>
      <c r="C1566" t="s">
        <v>615</v>
      </c>
      <c r="D1566" t="s">
        <v>616</v>
      </c>
      <c r="E1566" t="s">
        <v>617</v>
      </c>
      <c r="F1566" t="s">
        <v>106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 t="s">
        <v>40</v>
      </c>
      <c r="W1566" s="2">
        <v>65.349999999999994</v>
      </c>
      <c r="X1566" s="3">
        <f t="shared" si="48"/>
        <v>65.349999999999994</v>
      </c>
      <c r="Y1566">
        <f>VLOOKUP(D1566,'[1]Cost Sheet'!$C:$D,2,0)</f>
        <v>65.650000000000006</v>
      </c>
      <c r="Z1566" s="3">
        <f t="shared" si="49"/>
        <v>65.650000000000006</v>
      </c>
    </row>
    <row r="1567" spans="1:26" x14ac:dyDescent="0.3">
      <c r="A1567" s="7" t="s">
        <v>21</v>
      </c>
      <c r="B1567" t="s">
        <v>614</v>
      </c>
      <c r="C1567" t="s">
        <v>615</v>
      </c>
      <c r="D1567" t="s">
        <v>616</v>
      </c>
      <c r="E1567" t="s">
        <v>617</v>
      </c>
      <c r="F1567" t="s">
        <v>26</v>
      </c>
      <c r="G1567">
        <v>70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70</v>
      </c>
      <c r="T1567">
        <v>0</v>
      </c>
      <c r="U1567" t="s">
        <v>38</v>
      </c>
      <c r="W1567" s="2">
        <v>65.349999999999994</v>
      </c>
      <c r="X1567" s="3">
        <f t="shared" si="48"/>
        <v>4574.5</v>
      </c>
      <c r="Y1567">
        <f>VLOOKUP(D1567,'[1]Cost Sheet'!$C:$D,2,0)</f>
        <v>65.650000000000006</v>
      </c>
      <c r="Z1567" s="3">
        <f t="shared" si="49"/>
        <v>4595.5</v>
      </c>
    </row>
    <row r="1568" spans="1:26" x14ac:dyDescent="0.3">
      <c r="A1568" s="7" t="s">
        <v>21</v>
      </c>
      <c r="B1568" t="s">
        <v>614</v>
      </c>
      <c r="C1568" t="s">
        <v>615</v>
      </c>
      <c r="D1568" t="s">
        <v>616</v>
      </c>
      <c r="E1568" t="s">
        <v>617</v>
      </c>
      <c r="F1568" t="s">
        <v>26</v>
      </c>
      <c r="G1568">
        <v>22</v>
      </c>
      <c r="H1568">
        <v>0</v>
      </c>
      <c r="I1568">
        <v>0</v>
      </c>
      <c r="J1568">
        <v>-1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21</v>
      </c>
      <c r="T1568">
        <v>0</v>
      </c>
      <c r="U1568" t="s">
        <v>45</v>
      </c>
      <c r="W1568" s="2">
        <v>65.349999999999994</v>
      </c>
      <c r="X1568" s="3">
        <f t="shared" si="48"/>
        <v>1372.35</v>
      </c>
      <c r="Y1568">
        <f>VLOOKUP(D1568,'[1]Cost Sheet'!$C:$D,2,0)</f>
        <v>65.650000000000006</v>
      </c>
      <c r="Z1568" s="3">
        <f t="shared" si="49"/>
        <v>1378.65</v>
      </c>
    </row>
    <row r="1569" spans="1:26" x14ac:dyDescent="0.3">
      <c r="A1569" s="7" t="s">
        <v>21</v>
      </c>
      <c r="B1569" t="s">
        <v>614</v>
      </c>
      <c r="C1569" t="s">
        <v>615</v>
      </c>
      <c r="D1569" t="s">
        <v>616</v>
      </c>
      <c r="E1569" t="s">
        <v>617</v>
      </c>
      <c r="F1569" t="s">
        <v>26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 t="s">
        <v>39</v>
      </c>
      <c r="W1569" s="2">
        <v>65.349999999999994</v>
      </c>
      <c r="X1569" s="3">
        <f t="shared" si="48"/>
        <v>65.349999999999994</v>
      </c>
      <c r="Y1569">
        <f>VLOOKUP(D1569,'[1]Cost Sheet'!$C:$D,2,0)</f>
        <v>65.650000000000006</v>
      </c>
      <c r="Z1569" s="3">
        <f t="shared" si="49"/>
        <v>65.650000000000006</v>
      </c>
    </row>
    <row r="1570" spans="1:26" x14ac:dyDescent="0.3">
      <c r="A1570" s="7" t="s">
        <v>21</v>
      </c>
      <c r="B1570" t="s">
        <v>614</v>
      </c>
      <c r="C1570" t="s">
        <v>615</v>
      </c>
      <c r="D1570" t="s">
        <v>616</v>
      </c>
      <c r="E1570" t="s">
        <v>617</v>
      </c>
      <c r="F1570" t="s">
        <v>26</v>
      </c>
      <c r="G1570">
        <v>57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57</v>
      </c>
      <c r="T1570">
        <v>0</v>
      </c>
      <c r="U1570" t="s">
        <v>53</v>
      </c>
      <c r="W1570" s="2">
        <v>65.349999999999994</v>
      </c>
      <c r="X1570" s="3">
        <f t="shared" si="48"/>
        <v>3724.95</v>
      </c>
      <c r="Y1570">
        <f>VLOOKUP(D1570,'[1]Cost Sheet'!$C:$D,2,0)</f>
        <v>65.650000000000006</v>
      </c>
      <c r="Z1570" s="3">
        <f t="shared" si="49"/>
        <v>3742.05</v>
      </c>
    </row>
    <row r="1571" spans="1:26" x14ac:dyDescent="0.3">
      <c r="A1571" s="7" t="s">
        <v>21</v>
      </c>
      <c r="B1571" t="s">
        <v>614</v>
      </c>
      <c r="C1571" t="s">
        <v>615</v>
      </c>
      <c r="D1571" t="s">
        <v>616</v>
      </c>
      <c r="E1571" t="s">
        <v>617</v>
      </c>
      <c r="F1571" t="s">
        <v>26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4</v>
      </c>
      <c r="T1571">
        <v>0</v>
      </c>
      <c r="U1571" t="s">
        <v>54</v>
      </c>
      <c r="W1571" s="2">
        <v>65.349999999999994</v>
      </c>
      <c r="X1571" s="3">
        <f t="shared" si="48"/>
        <v>261.39999999999998</v>
      </c>
      <c r="Y1571">
        <f>VLOOKUP(D1571,'[1]Cost Sheet'!$C:$D,2,0)</f>
        <v>65.650000000000006</v>
      </c>
      <c r="Z1571" s="3">
        <f t="shared" si="49"/>
        <v>262.60000000000002</v>
      </c>
    </row>
    <row r="1572" spans="1:26" x14ac:dyDescent="0.3">
      <c r="A1572" s="7" t="s">
        <v>21</v>
      </c>
      <c r="B1572" t="s">
        <v>614</v>
      </c>
      <c r="C1572" t="s">
        <v>615</v>
      </c>
      <c r="D1572" t="s">
        <v>616</v>
      </c>
      <c r="E1572" t="s">
        <v>617</v>
      </c>
      <c r="F1572" t="s">
        <v>26</v>
      </c>
      <c r="G1572">
        <v>4</v>
      </c>
      <c r="H1572">
        <v>0</v>
      </c>
      <c r="I1572">
        <v>0</v>
      </c>
      <c r="J1572">
        <v>-1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3</v>
      </c>
      <c r="T1572">
        <v>0</v>
      </c>
      <c r="U1572" t="s">
        <v>32</v>
      </c>
      <c r="W1572" s="2">
        <v>65.349999999999994</v>
      </c>
      <c r="X1572" s="3">
        <f t="shared" si="48"/>
        <v>196.04999999999998</v>
      </c>
      <c r="Y1572">
        <f>VLOOKUP(D1572,'[1]Cost Sheet'!$C:$D,2,0)</f>
        <v>65.650000000000006</v>
      </c>
      <c r="Z1572" s="3">
        <f t="shared" si="49"/>
        <v>196.95000000000002</v>
      </c>
    </row>
    <row r="1573" spans="1:26" x14ac:dyDescent="0.3">
      <c r="A1573" s="7" t="s">
        <v>21</v>
      </c>
      <c r="B1573" t="s">
        <v>614</v>
      </c>
      <c r="C1573" t="s">
        <v>615</v>
      </c>
      <c r="D1573" t="s">
        <v>616</v>
      </c>
      <c r="E1573" t="s">
        <v>617</v>
      </c>
      <c r="F1573" t="s">
        <v>26</v>
      </c>
      <c r="G1573">
        <v>22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22</v>
      </c>
      <c r="T1573">
        <v>0</v>
      </c>
      <c r="U1573" t="s">
        <v>33</v>
      </c>
      <c r="W1573" s="2">
        <v>65.349999999999994</v>
      </c>
      <c r="X1573" s="3">
        <f t="shared" si="48"/>
        <v>1437.6999999999998</v>
      </c>
      <c r="Y1573">
        <f>VLOOKUP(D1573,'[1]Cost Sheet'!$C:$D,2,0)</f>
        <v>65.650000000000006</v>
      </c>
      <c r="Z1573" s="3">
        <f t="shared" si="49"/>
        <v>1444.3000000000002</v>
      </c>
    </row>
    <row r="1574" spans="1:26" x14ac:dyDescent="0.3">
      <c r="A1574" s="7" t="s">
        <v>21</v>
      </c>
      <c r="B1574" t="s">
        <v>614</v>
      </c>
      <c r="C1574" t="s">
        <v>615</v>
      </c>
      <c r="D1574" t="s">
        <v>616</v>
      </c>
      <c r="E1574" t="s">
        <v>617</v>
      </c>
      <c r="F1574" t="s">
        <v>26</v>
      </c>
      <c r="G1574">
        <v>4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4</v>
      </c>
      <c r="T1574">
        <v>0</v>
      </c>
      <c r="U1574" t="s">
        <v>46</v>
      </c>
      <c r="W1574" s="2">
        <v>65.349999999999994</v>
      </c>
      <c r="X1574" s="3">
        <f t="shared" si="48"/>
        <v>261.39999999999998</v>
      </c>
      <c r="Y1574">
        <f>VLOOKUP(D1574,'[1]Cost Sheet'!$C:$D,2,0)</f>
        <v>65.650000000000006</v>
      </c>
      <c r="Z1574" s="3">
        <f t="shared" si="49"/>
        <v>262.60000000000002</v>
      </c>
    </row>
    <row r="1575" spans="1:26" x14ac:dyDescent="0.3">
      <c r="A1575" s="7" t="s">
        <v>21</v>
      </c>
      <c r="B1575" t="s">
        <v>614</v>
      </c>
      <c r="C1575" t="s">
        <v>615</v>
      </c>
      <c r="D1575" t="s">
        <v>616</v>
      </c>
      <c r="E1575" t="s">
        <v>617</v>
      </c>
      <c r="F1575" t="s">
        <v>26</v>
      </c>
      <c r="G1575">
        <v>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68</v>
      </c>
      <c r="T1575">
        <v>0</v>
      </c>
      <c r="U1575" t="s">
        <v>40</v>
      </c>
      <c r="W1575" s="2">
        <v>65.349999999999994</v>
      </c>
      <c r="X1575" s="3">
        <f t="shared" si="48"/>
        <v>4443.7999999999993</v>
      </c>
      <c r="Y1575">
        <f>VLOOKUP(D1575,'[1]Cost Sheet'!$C:$D,2,0)</f>
        <v>65.650000000000006</v>
      </c>
      <c r="Z1575" s="3">
        <f t="shared" si="49"/>
        <v>4464.2000000000007</v>
      </c>
    </row>
    <row r="1576" spans="1:26" x14ac:dyDescent="0.3">
      <c r="A1576" s="7" t="s">
        <v>21</v>
      </c>
      <c r="B1576" t="s">
        <v>614</v>
      </c>
      <c r="C1576" t="s">
        <v>615</v>
      </c>
      <c r="D1576" t="s">
        <v>616</v>
      </c>
      <c r="E1576" t="s">
        <v>617</v>
      </c>
      <c r="F1576" t="s">
        <v>26</v>
      </c>
      <c r="G1576">
        <v>72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72</v>
      </c>
      <c r="T1576">
        <v>0</v>
      </c>
      <c r="U1576" t="s">
        <v>120</v>
      </c>
      <c r="W1576" s="2">
        <v>65.349999999999994</v>
      </c>
      <c r="X1576" s="3">
        <f t="shared" si="48"/>
        <v>4705.2</v>
      </c>
      <c r="Y1576">
        <f>VLOOKUP(D1576,'[1]Cost Sheet'!$C:$D,2,0)</f>
        <v>65.650000000000006</v>
      </c>
      <c r="Z1576" s="3">
        <f t="shared" si="49"/>
        <v>4726.8</v>
      </c>
    </row>
    <row r="1577" spans="1:26" x14ac:dyDescent="0.3">
      <c r="A1577" s="7" t="s">
        <v>21</v>
      </c>
      <c r="B1577" t="s">
        <v>614</v>
      </c>
      <c r="C1577" t="s">
        <v>615</v>
      </c>
      <c r="D1577" t="s">
        <v>616</v>
      </c>
      <c r="E1577" t="s">
        <v>617</v>
      </c>
      <c r="F1577" t="s">
        <v>26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 t="s">
        <v>113</v>
      </c>
      <c r="W1577" s="2">
        <v>65.349999999999994</v>
      </c>
      <c r="X1577" s="3">
        <f t="shared" si="48"/>
        <v>65.349999999999994</v>
      </c>
      <c r="Y1577">
        <f>VLOOKUP(D1577,'[1]Cost Sheet'!$C:$D,2,0)</f>
        <v>65.650000000000006</v>
      </c>
      <c r="Z1577" s="3">
        <f t="shared" si="49"/>
        <v>65.650000000000006</v>
      </c>
    </row>
    <row r="1578" spans="1:26" x14ac:dyDescent="0.3">
      <c r="A1578" s="7" t="s">
        <v>21</v>
      </c>
      <c r="B1578" t="s">
        <v>614</v>
      </c>
      <c r="C1578" t="s">
        <v>615</v>
      </c>
      <c r="D1578" t="s">
        <v>616</v>
      </c>
      <c r="E1578" t="s">
        <v>617</v>
      </c>
      <c r="F1578" t="s">
        <v>26</v>
      </c>
      <c r="G1578">
        <v>69</v>
      </c>
      <c r="H1578">
        <v>0</v>
      </c>
      <c r="I1578">
        <v>0</v>
      </c>
      <c r="J1578">
        <v>-1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68</v>
      </c>
      <c r="T1578">
        <v>0</v>
      </c>
      <c r="U1578" t="s">
        <v>48</v>
      </c>
      <c r="W1578" s="2">
        <v>65.349999999999994</v>
      </c>
      <c r="X1578" s="3">
        <f t="shared" si="48"/>
        <v>4443.7999999999993</v>
      </c>
      <c r="Y1578">
        <f>VLOOKUP(D1578,'[1]Cost Sheet'!$C:$D,2,0)</f>
        <v>65.650000000000006</v>
      </c>
      <c r="Z1578" s="3">
        <f t="shared" si="49"/>
        <v>4464.2000000000007</v>
      </c>
    </row>
    <row r="1579" spans="1:26" x14ac:dyDescent="0.3">
      <c r="A1579" s="7" t="s">
        <v>21</v>
      </c>
      <c r="B1579" t="s">
        <v>614</v>
      </c>
      <c r="C1579" t="s">
        <v>615</v>
      </c>
      <c r="D1579" t="s">
        <v>616</v>
      </c>
      <c r="E1579" t="s">
        <v>617</v>
      </c>
      <c r="F1579" t="s">
        <v>26</v>
      </c>
      <c r="G1579">
        <v>7</v>
      </c>
      <c r="H1579">
        <v>0</v>
      </c>
      <c r="I1579">
        <v>0</v>
      </c>
      <c r="J1579">
        <v>-1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6</v>
      </c>
      <c r="T1579">
        <v>0</v>
      </c>
      <c r="U1579" t="s">
        <v>59</v>
      </c>
      <c r="W1579" s="2">
        <v>65.349999999999994</v>
      </c>
      <c r="X1579" s="3">
        <f t="shared" si="48"/>
        <v>392.09999999999997</v>
      </c>
      <c r="Y1579">
        <f>VLOOKUP(D1579,'[1]Cost Sheet'!$C:$D,2,0)</f>
        <v>65.650000000000006</v>
      </c>
      <c r="Z1579" s="3">
        <f t="shared" si="49"/>
        <v>393.90000000000003</v>
      </c>
    </row>
    <row r="1580" spans="1:26" x14ac:dyDescent="0.3">
      <c r="A1580" s="7" t="s">
        <v>21</v>
      </c>
      <c r="B1580" t="s">
        <v>618</v>
      </c>
      <c r="C1580" t="s">
        <v>619</v>
      </c>
      <c r="D1580" t="s">
        <v>620</v>
      </c>
      <c r="E1580" t="s">
        <v>621</v>
      </c>
      <c r="F1580" t="s">
        <v>106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-2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s">
        <v>39</v>
      </c>
      <c r="W1580" s="2">
        <v>50.46</v>
      </c>
      <c r="X1580" s="3">
        <f t="shared" si="48"/>
        <v>0</v>
      </c>
      <c r="Y1580">
        <f>VLOOKUP(D1580,'[1]Cost Sheet'!$C:$D,2,0)</f>
        <v>51.3</v>
      </c>
      <c r="Z1580" s="3">
        <f t="shared" si="49"/>
        <v>0</v>
      </c>
    </row>
    <row r="1581" spans="1:26" x14ac:dyDescent="0.3">
      <c r="A1581" s="7" t="s">
        <v>21</v>
      </c>
      <c r="B1581" t="s">
        <v>618</v>
      </c>
      <c r="C1581" t="s">
        <v>619</v>
      </c>
      <c r="D1581" t="s">
        <v>620</v>
      </c>
      <c r="E1581" t="s">
        <v>621</v>
      </c>
      <c r="F1581" t="s">
        <v>106</v>
      </c>
      <c r="G1581">
        <v>70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70</v>
      </c>
      <c r="T1581">
        <v>0</v>
      </c>
      <c r="U1581" t="s">
        <v>32</v>
      </c>
      <c r="W1581" s="2">
        <v>50.46</v>
      </c>
      <c r="X1581" s="3">
        <f t="shared" si="48"/>
        <v>3532.2000000000003</v>
      </c>
      <c r="Y1581">
        <f>VLOOKUP(D1581,'[1]Cost Sheet'!$C:$D,2,0)</f>
        <v>51.3</v>
      </c>
      <c r="Z1581" s="3">
        <f t="shared" si="49"/>
        <v>3591</v>
      </c>
    </row>
    <row r="1582" spans="1:26" x14ac:dyDescent="0.3">
      <c r="A1582" s="7" t="s">
        <v>21</v>
      </c>
      <c r="B1582" t="s">
        <v>618</v>
      </c>
      <c r="C1582" t="s">
        <v>619</v>
      </c>
      <c r="D1582" t="s">
        <v>620</v>
      </c>
      <c r="E1582" t="s">
        <v>621</v>
      </c>
      <c r="F1582" t="s">
        <v>26</v>
      </c>
      <c r="G1582">
        <v>8</v>
      </c>
      <c r="H1582">
        <v>0</v>
      </c>
      <c r="I1582">
        <v>0</v>
      </c>
      <c r="J1582">
        <v>-2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6</v>
      </c>
      <c r="T1582">
        <v>0</v>
      </c>
      <c r="U1582" t="s">
        <v>38</v>
      </c>
      <c r="W1582" s="2">
        <v>50.46</v>
      </c>
      <c r="X1582" s="3">
        <f t="shared" si="48"/>
        <v>302.76</v>
      </c>
      <c r="Y1582">
        <f>VLOOKUP(D1582,'[1]Cost Sheet'!$C:$D,2,0)</f>
        <v>51.3</v>
      </c>
      <c r="Z1582" s="3">
        <f t="shared" si="49"/>
        <v>307.79999999999995</v>
      </c>
    </row>
    <row r="1583" spans="1:26" x14ac:dyDescent="0.3">
      <c r="A1583" s="7" t="s">
        <v>21</v>
      </c>
      <c r="B1583" t="s">
        <v>618</v>
      </c>
      <c r="C1583" t="s">
        <v>619</v>
      </c>
      <c r="D1583" t="s">
        <v>620</v>
      </c>
      <c r="E1583" t="s">
        <v>621</v>
      </c>
      <c r="F1583" t="s">
        <v>26</v>
      </c>
      <c r="G1583">
        <v>278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278</v>
      </c>
      <c r="T1583">
        <v>0</v>
      </c>
      <c r="U1583" t="s">
        <v>107</v>
      </c>
      <c r="W1583" s="2">
        <v>50.46</v>
      </c>
      <c r="X1583" s="3">
        <f t="shared" si="48"/>
        <v>14027.880000000001</v>
      </c>
      <c r="Y1583">
        <f>VLOOKUP(D1583,'[1]Cost Sheet'!$C:$D,2,0)</f>
        <v>51.3</v>
      </c>
      <c r="Z1583" s="3">
        <f t="shared" si="49"/>
        <v>14261.4</v>
      </c>
    </row>
    <row r="1584" spans="1:26" x14ac:dyDescent="0.3">
      <c r="A1584" s="7" t="s">
        <v>21</v>
      </c>
      <c r="B1584" t="s">
        <v>618</v>
      </c>
      <c r="C1584" t="s">
        <v>619</v>
      </c>
      <c r="D1584" t="s">
        <v>620</v>
      </c>
      <c r="E1584" t="s">
        <v>621</v>
      </c>
      <c r="F1584" t="s">
        <v>26</v>
      </c>
      <c r="G1584">
        <v>115</v>
      </c>
      <c r="H1584">
        <v>0</v>
      </c>
      <c r="I1584">
        <v>0</v>
      </c>
      <c r="J1584">
        <v>-2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113</v>
      </c>
      <c r="T1584">
        <v>0</v>
      </c>
      <c r="U1584" t="s">
        <v>45</v>
      </c>
      <c r="W1584" s="2">
        <v>50.46</v>
      </c>
      <c r="X1584" s="3">
        <f t="shared" si="48"/>
        <v>5701.9800000000005</v>
      </c>
      <c r="Y1584">
        <f>VLOOKUP(D1584,'[1]Cost Sheet'!$C:$D,2,0)</f>
        <v>51.3</v>
      </c>
      <c r="Z1584" s="3">
        <f t="shared" si="49"/>
        <v>5796.9</v>
      </c>
    </row>
    <row r="1585" spans="1:26" x14ac:dyDescent="0.3">
      <c r="A1585" s="7" t="s">
        <v>21</v>
      </c>
      <c r="B1585" t="s">
        <v>618</v>
      </c>
      <c r="C1585" t="s">
        <v>619</v>
      </c>
      <c r="D1585" t="s">
        <v>620</v>
      </c>
      <c r="E1585" t="s">
        <v>621</v>
      </c>
      <c r="F1585" t="s">
        <v>26</v>
      </c>
      <c r="G1585">
        <v>0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-1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108</v>
      </c>
      <c r="W1585" s="2">
        <v>50.46</v>
      </c>
      <c r="X1585" s="3">
        <f t="shared" si="48"/>
        <v>0</v>
      </c>
      <c r="Y1585">
        <f>VLOOKUP(D1585,'[1]Cost Sheet'!$C:$D,2,0)</f>
        <v>51.3</v>
      </c>
      <c r="Z1585" s="3">
        <f t="shared" si="49"/>
        <v>0</v>
      </c>
    </row>
    <row r="1586" spans="1:26" x14ac:dyDescent="0.3">
      <c r="A1586" s="7" t="s">
        <v>21</v>
      </c>
      <c r="B1586" t="s">
        <v>618</v>
      </c>
      <c r="C1586" t="s">
        <v>619</v>
      </c>
      <c r="D1586" t="s">
        <v>620</v>
      </c>
      <c r="E1586" t="s">
        <v>621</v>
      </c>
      <c r="F1586" t="s">
        <v>26</v>
      </c>
      <c r="G1586">
        <v>44</v>
      </c>
      <c r="H1586">
        <v>0</v>
      </c>
      <c r="I1586">
        <v>0</v>
      </c>
      <c r="J1586">
        <v>-2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42</v>
      </c>
      <c r="T1586">
        <v>0</v>
      </c>
      <c r="U1586" t="s">
        <v>39</v>
      </c>
      <c r="W1586" s="2">
        <v>50.46</v>
      </c>
      <c r="X1586" s="3">
        <f t="shared" si="48"/>
        <v>2119.3200000000002</v>
      </c>
      <c r="Y1586">
        <f>VLOOKUP(D1586,'[1]Cost Sheet'!$C:$D,2,0)</f>
        <v>51.3</v>
      </c>
      <c r="Z1586" s="3">
        <f t="shared" si="49"/>
        <v>2154.6</v>
      </c>
    </row>
    <row r="1587" spans="1:26" x14ac:dyDescent="0.3">
      <c r="A1587" s="7" t="s">
        <v>21</v>
      </c>
      <c r="B1587" t="s">
        <v>618</v>
      </c>
      <c r="C1587" t="s">
        <v>619</v>
      </c>
      <c r="D1587" t="s">
        <v>620</v>
      </c>
      <c r="E1587" t="s">
        <v>621</v>
      </c>
      <c r="F1587" t="s">
        <v>26</v>
      </c>
      <c r="G1587">
        <v>68</v>
      </c>
      <c r="H1587">
        <v>0</v>
      </c>
      <c r="I1587">
        <v>0</v>
      </c>
      <c r="J1587">
        <v>-2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66</v>
      </c>
      <c r="T1587">
        <v>0</v>
      </c>
      <c r="U1587" t="s">
        <v>53</v>
      </c>
      <c r="W1587" s="2">
        <v>50.46</v>
      </c>
      <c r="X1587" s="3">
        <f t="shared" si="48"/>
        <v>3330.36</v>
      </c>
      <c r="Y1587">
        <f>VLOOKUP(D1587,'[1]Cost Sheet'!$C:$D,2,0)</f>
        <v>51.3</v>
      </c>
      <c r="Z1587" s="3">
        <f t="shared" si="49"/>
        <v>3385.7999999999997</v>
      </c>
    </row>
    <row r="1588" spans="1:26" x14ac:dyDescent="0.3">
      <c r="A1588" s="7" t="s">
        <v>21</v>
      </c>
      <c r="B1588" t="s">
        <v>618</v>
      </c>
      <c r="C1588" t="s">
        <v>619</v>
      </c>
      <c r="D1588" t="s">
        <v>620</v>
      </c>
      <c r="E1588" t="s">
        <v>621</v>
      </c>
      <c r="F1588" t="s">
        <v>26</v>
      </c>
      <c r="G1588">
        <v>54</v>
      </c>
      <c r="H1588">
        <v>0</v>
      </c>
      <c r="I1588">
        <v>0</v>
      </c>
      <c r="J1588">
        <v>-3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52</v>
      </c>
      <c r="T1588">
        <v>0</v>
      </c>
      <c r="U1588" t="s">
        <v>54</v>
      </c>
      <c r="W1588" s="2">
        <v>50.46</v>
      </c>
      <c r="X1588" s="3">
        <f t="shared" si="48"/>
        <v>2623.92</v>
      </c>
      <c r="Y1588">
        <f>VLOOKUP(D1588,'[1]Cost Sheet'!$C:$D,2,0)</f>
        <v>51.3</v>
      </c>
      <c r="Z1588" s="3">
        <f t="shared" si="49"/>
        <v>2667.6</v>
      </c>
    </row>
    <row r="1589" spans="1:26" x14ac:dyDescent="0.3">
      <c r="A1589" s="7" t="s">
        <v>21</v>
      </c>
      <c r="B1589" t="s">
        <v>618</v>
      </c>
      <c r="C1589" t="s">
        <v>619</v>
      </c>
      <c r="D1589" t="s">
        <v>620</v>
      </c>
      <c r="E1589" t="s">
        <v>621</v>
      </c>
      <c r="F1589" t="s">
        <v>26</v>
      </c>
      <c r="G1589">
        <v>277</v>
      </c>
      <c r="H1589">
        <v>0</v>
      </c>
      <c r="I1589">
        <v>0</v>
      </c>
      <c r="J1589">
        <v>-3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274</v>
      </c>
      <c r="T1589">
        <v>0</v>
      </c>
      <c r="U1589" t="s">
        <v>32</v>
      </c>
      <c r="W1589" s="2">
        <v>50.46</v>
      </c>
      <c r="X1589" s="3">
        <f t="shared" si="48"/>
        <v>13826.04</v>
      </c>
      <c r="Y1589">
        <f>VLOOKUP(D1589,'[1]Cost Sheet'!$C:$D,2,0)</f>
        <v>51.3</v>
      </c>
      <c r="Z1589" s="3">
        <f t="shared" si="49"/>
        <v>14056.199999999999</v>
      </c>
    </row>
    <row r="1590" spans="1:26" x14ac:dyDescent="0.3">
      <c r="A1590" s="7" t="s">
        <v>21</v>
      </c>
      <c r="B1590" t="s">
        <v>618</v>
      </c>
      <c r="C1590" t="s">
        <v>619</v>
      </c>
      <c r="D1590" t="s">
        <v>620</v>
      </c>
      <c r="E1590" t="s">
        <v>621</v>
      </c>
      <c r="F1590" t="s">
        <v>26</v>
      </c>
      <c r="G1590">
        <v>0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-1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t="s">
        <v>88</v>
      </c>
      <c r="W1590" s="2">
        <v>50.46</v>
      </c>
      <c r="X1590" s="3">
        <f t="shared" si="48"/>
        <v>0</v>
      </c>
      <c r="Y1590">
        <f>VLOOKUP(D1590,'[1]Cost Sheet'!$C:$D,2,0)</f>
        <v>51.3</v>
      </c>
      <c r="Z1590" s="3">
        <f t="shared" si="49"/>
        <v>0</v>
      </c>
    </row>
    <row r="1591" spans="1:26" x14ac:dyDescent="0.3">
      <c r="A1591" s="7" t="s">
        <v>21</v>
      </c>
      <c r="B1591" t="s">
        <v>618</v>
      </c>
      <c r="C1591" t="s">
        <v>619</v>
      </c>
      <c r="D1591" t="s">
        <v>620</v>
      </c>
      <c r="E1591" t="s">
        <v>621</v>
      </c>
      <c r="F1591" t="s">
        <v>26</v>
      </c>
      <c r="G1591">
        <v>64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64</v>
      </c>
      <c r="T1591">
        <v>0</v>
      </c>
      <c r="U1591" t="s">
        <v>33</v>
      </c>
      <c r="W1591" s="2">
        <v>50.46</v>
      </c>
      <c r="X1591" s="3">
        <f t="shared" si="48"/>
        <v>3229.44</v>
      </c>
      <c r="Y1591">
        <f>VLOOKUP(D1591,'[1]Cost Sheet'!$C:$D,2,0)</f>
        <v>51.3</v>
      </c>
      <c r="Z1591" s="3">
        <f t="shared" si="49"/>
        <v>3283.2</v>
      </c>
    </row>
    <row r="1592" spans="1:26" x14ac:dyDescent="0.3">
      <c r="A1592" s="7" t="s">
        <v>21</v>
      </c>
      <c r="B1592" t="s">
        <v>618</v>
      </c>
      <c r="C1592" t="s">
        <v>619</v>
      </c>
      <c r="D1592" t="s">
        <v>620</v>
      </c>
      <c r="E1592" t="s">
        <v>621</v>
      </c>
      <c r="F1592" t="s">
        <v>26</v>
      </c>
      <c r="G1592">
        <v>2</v>
      </c>
      <c r="H1592">
        <v>0</v>
      </c>
      <c r="I1592">
        <v>0</v>
      </c>
      <c r="J1592">
        <v>-1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2</v>
      </c>
      <c r="T1592">
        <v>0</v>
      </c>
      <c r="U1592" t="s">
        <v>46</v>
      </c>
      <c r="W1592" s="2">
        <v>50.46</v>
      </c>
      <c r="X1592" s="3">
        <f t="shared" si="48"/>
        <v>100.92</v>
      </c>
      <c r="Y1592">
        <f>VLOOKUP(D1592,'[1]Cost Sheet'!$C:$D,2,0)</f>
        <v>51.3</v>
      </c>
      <c r="Z1592" s="3">
        <f t="shared" si="49"/>
        <v>102.6</v>
      </c>
    </row>
    <row r="1593" spans="1:26" x14ac:dyDescent="0.3">
      <c r="A1593" s="7" t="s">
        <v>21</v>
      </c>
      <c r="B1593" t="s">
        <v>618</v>
      </c>
      <c r="C1593" t="s">
        <v>619</v>
      </c>
      <c r="D1593" t="s">
        <v>620</v>
      </c>
      <c r="E1593" t="s">
        <v>621</v>
      </c>
      <c r="F1593" t="s">
        <v>26</v>
      </c>
      <c r="G1593">
        <v>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4</v>
      </c>
      <c r="T1593">
        <v>0</v>
      </c>
      <c r="U1593" t="s">
        <v>111</v>
      </c>
      <c r="W1593" s="2">
        <v>50.46</v>
      </c>
      <c r="X1593" s="3">
        <f t="shared" si="48"/>
        <v>201.84</v>
      </c>
      <c r="Y1593">
        <f>VLOOKUP(D1593,'[1]Cost Sheet'!$C:$D,2,0)</f>
        <v>51.3</v>
      </c>
      <c r="Z1593" s="3">
        <f t="shared" si="49"/>
        <v>205.2</v>
      </c>
    </row>
    <row r="1594" spans="1:26" x14ac:dyDescent="0.3">
      <c r="A1594" s="7" t="s">
        <v>21</v>
      </c>
      <c r="B1594" t="s">
        <v>618</v>
      </c>
      <c r="C1594" t="s">
        <v>619</v>
      </c>
      <c r="D1594" t="s">
        <v>620</v>
      </c>
      <c r="E1594" t="s">
        <v>621</v>
      </c>
      <c r="F1594" t="s">
        <v>26</v>
      </c>
      <c r="G1594">
        <v>1</v>
      </c>
      <c r="H1594">
        <v>0</v>
      </c>
      <c r="I1594">
        <v>0</v>
      </c>
      <c r="J1594">
        <v>-1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t="s">
        <v>47</v>
      </c>
      <c r="W1594" s="2">
        <v>50.46</v>
      </c>
      <c r="X1594" s="3">
        <f t="shared" si="48"/>
        <v>0</v>
      </c>
      <c r="Y1594">
        <f>VLOOKUP(D1594,'[1]Cost Sheet'!$C:$D,2,0)</f>
        <v>51.3</v>
      </c>
      <c r="Z1594" s="3">
        <f t="shared" si="49"/>
        <v>0</v>
      </c>
    </row>
    <row r="1595" spans="1:26" x14ac:dyDescent="0.3">
      <c r="A1595" s="7" t="s">
        <v>21</v>
      </c>
      <c r="B1595" t="s">
        <v>618</v>
      </c>
      <c r="C1595" t="s">
        <v>619</v>
      </c>
      <c r="D1595" t="s">
        <v>620</v>
      </c>
      <c r="E1595" t="s">
        <v>621</v>
      </c>
      <c r="F1595" t="s">
        <v>26</v>
      </c>
      <c r="G1595">
        <v>64</v>
      </c>
      <c r="H1595">
        <v>0</v>
      </c>
      <c r="I1595">
        <v>0</v>
      </c>
      <c r="J1595">
        <v>-2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62</v>
      </c>
      <c r="T1595">
        <v>0</v>
      </c>
      <c r="U1595" t="s">
        <v>40</v>
      </c>
      <c r="W1595" s="2">
        <v>50.46</v>
      </c>
      <c r="X1595" s="3">
        <f t="shared" si="48"/>
        <v>3128.52</v>
      </c>
      <c r="Y1595">
        <f>VLOOKUP(D1595,'[1]Cost Sheet'!$C:$D,2,0)</f>
        <v>51.3</v>
      </c>
      <c r="Z1595" s="3">
        <f t="shared" si="49"/>
        <v>3180.6</v>
      </c>
    </row>
    <row r="1596" spans="1:26" x14ac:dyDescent="0.3">
      <c r="A1596" s="7" t="s">
        <v>21</v>
      </c>
      <c r="B1596" t="s">
        <v>618</v>
      </c>
      <c r="C1596" t="s">
        <v>619</v>
      </c>
      <c r="D1596" t="s">
        <v>620</v>
      </c>
      <c r="E1596" t="s">
        <v>621</v>
      </c>
      <c r="F1596" t="s">
        <v>26</v>
      </c>
      <c r="G1596">
        <v>70</v>
      </c>
      <c r="H1596">
        <v>0</v>
      </c>
      <c r="I1596">
        <v>0</v>
      </c>
      <c r="J1596">
        <v>-1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69</v>
      </c>
      <c r="T1596">
        <v>0</v>
      </c>
      <c r="U1596" t="s">
        <v>120</v>
      </c>
      <c r="W1596" s="2">
        <v>50.46</v>
      </c>
      <c r="X1596" s="3">
        <f t="shared" si="48"/>
        <v>3481.7400000000002</v>
      </c>
      <c r="Y1596">
        <f>VLOOKUP(D1596,'[1]Cost Sheet'!$C:$D,2,0)</f>
        <v>51.3</v>
      </c>
      <c r="Z1596" s="3">
        <f t="shared" si="49"/>
        <v>3539.7</v>
      </c>
    </row>
    <row r="1597" spans="1:26" x14ac:dyDescent="0.3">
      <c r="A1597" s="7" t="s">
        <v>21</v>
      </c>
      <c r="B1597" t="s">
        <v>618</v>
      </c>
      <c r="C1597" t="s">
        <v>619</v>
      </c>
      <c r="D1597" t="s">
        <v>620</v>
      </c>
      <c r="E1597" t="s">
        <v>621</v>
      </c>
      <c r="F1597" t="s">
        <v>26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 t="s">
        <v>113</v>
      </c>
      <c r="W1597" s="2">
        <v>50.46</v>
      </c>
      <c r="X1597" s="3">
        <f t="shared" si="48"/>
        <v>50.46</v>
      </c>
      <c r="Y1597">
        <f>VLOOKUP(D1597,'[1]Cost Sheet'!$C:$D,2,0)</f>
        <v>51.3</v>
      </c>
      <c r="Z1597" s="3">
        <f t="shared" si="49"/>
        <v>51.3</v>
      </c>
    </row>
    <row r="1598" spans="1:26" x14ac:dyDescent="0.3">
      <c r="A1598" s="7" t="s">
        <v>21</v>
      </c>
      <c r="B1598" t="s">
        <v>618</v>
      </c>
      <c r="C1598" t="s">
        <v>619</v>
      </c>
      <c r="D1598" t="s">
        <v>620</v>
      </c>
      <c r="E1598" t="s">
        <v>621</v>
      </c>
      <c r="F1598" t="s">
        <v>26</v>
      </c>
      <c r="G1598">
        <v>59</v>
      </c>
      <c r="H1598">
        <v>0</v>
      </c>
      <c r="I1598">
        <v>0</v>
      </c>
      <c r="J1598">
        <v>-2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57</v>
      </c>
      <c r="T1598">
        <v>0</v>
      </c>
      <c r="U1598" t="s">
        <v>48</v>
      </c>
      <c r="W1598" s="2">
        <v>50.46</v>
      </c>
      <c r="X1598" s="3">
        <f t="shared" si="48"/>
        <v>2876.2200000000003</v>
      </c>
      <c r="Y1598">
        <f>VLOOKUP(D1598,'[1]Cost Sheet'!$C:$D,2,0)</f>
        <v>51.3</v>
      </c>
      <c r="Z1598" s="3">
        <f t="shared" si="49"/>
        <v>2924.1</v>
      </c>
    </row>
    <row r="1599" spans="1:26" x14ac:dyDescent="0.3">
      <c r="A1599" s="7" t="s">
        <v>21</v>
      </c>
      <c r="B1599" t="s">
        <v>618</v>
      </c>
      <c r="C1599" t="s">
        <v>619</v>
      </c>
      <c r="D1599" t="s">
        <v>620</v>
      </c>
      <c r="E1599" t="s">
        <v>621</v>
      </c>
      <c r="F1599" t="s">
        <v>26</v>
      </c>
      <c r="G1599">
        <v>20</v>
      </c>
      <c r="H1599">
        <v>0</v>
      </c>
      <c r="I1599">
        <v>0</v>
      </c>
      <c r="J1599">
        <v>-3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17</v>
      </c>
      <c r="T1599">
        <v>0</v>
      </c>
      <c r="U1599" t="s">
        <v>59</v>
      </c>
      <c r="W1599" s="2">
        <v>50.46</v>
      </c>
      <c r="X1599" s="3">
        <f t="shared" si="48"/>
        <v>857.82</v>
      </c>
      <c r="Y1599">
        <f>VLOOKUP(D1599,'[1]Cost Sheet'!$C:$D,2,0)</f>
        <v>51.3</v>
      </c>
      <c r="Z1599" s="3">
        <f t="shared" si="49"/>
        <v>872.09999999999991</v>
      </c>
    </row>
    <row r="1600" spans="1:26" x14ac:dyDescent="0.3">
      <c r="A1600" s="7" t="s">
        <v>21</v>
      </c>
      <c r="B1600" t="s">
        <v>622</v>
      </c>
      <c r="C1600" t="s">
        <v>623</v>
      </c>
      <c r="D1600" t="s">
        <v>624</v>
      </c>
      <c r="E1600" t="s">
        <v>625</v>
      </c>
      <c r="F1600" t="s">
        <v>106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 t="s">
        <v>45</v>
      </c>
      <c r="W1600" s="2">
        <v>47.03</v>
      </c>
      <c r="X1600" s="3">
        <f t="shared" si="48"/>
        <v>47.03</v>
      </c>
      <c r="Y1600">
        <f>VLOOKUP(D1600,'[1]Cost Sheet'!$C:$D,2,0)</f>
        <v>52.57</v>
      </c>
      <c r="Z1600" s="3">
        <f t="shared" si="49"/>
        <v>52.57</v>
      </c>
    </row>
    <row r="1601" spans="1:26" x14ac:dyDescent="0.3">
      <c r="A1601" s="7" t="s">
        <v>21</v>
      </c>
      <c r="B1601" t="s">
        <v>622</v>
      </c>
      <c r="C1601" t="s">
        <v>623</v>
      </c>
      <c r="D1601" t="s">
        <v>624</v>
      </c>
      <c r="E1601" t="s">
        <v>625</v>
      </c>
      <c r="F1601" t="s">
        <v>106</v>
      </c>
      <c r="G1601">
        <v>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3</v>
      </c>
      <c r="T1601">
        <v>0</v>
      </c>
      <c r="U1601" t="s">
        <v>32</v>
      </c>
      <c r="W1601" s="2">
        <v>47.03</v>
      </c>
      <c r="X1601" s="3">
        <f t="shared" si="48"/>
        <v>141.09</v>
      </c>
      <c r="Y1601">
        <f>VLOOKUP(D1601,'[1]Cost Sheet'!$C:$D,2,0)</f>
        <v>52.57</v>
      </c>
      <c r="Z1601" s="3">
        <f t="shared" si="49"/>
        <v>157.71</v>
      </c>
    </row>
    <row r="1602" spans="1:26" x14ac:dyDescent="0.3">
      <c r="A1602" s="7" t="s">
        <v>21</v>
      </c>
      <c r="B1602" t="s">
        <v>622</v>
      </c>
      <c r="C1602" t="s">
        <v>623</v>
      </c>
      <c r="D1602" t="s">
        <v>624</v>
      </c>
      <c r="E1602" t="s">
        <v>625</v>
      </c>
      <c r="F1602" t="s">
        <v>26</v>
      </c>
      <c r="G1602">
        <v>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5</v>
      </c>
      <c r="T1602">
        <v>0</v>
      </c>
      <c r="U1602" t="s">
        <v>38</v>
      </c>
      <c r="W1602" s="2">
        <v>47.03</v>
      </c>
      <c r="X1602" s="3">
        <f t="shared" si="48"/>
        <v>235.15</v>
      </c>
      <c r="Y1602">
        <f>VLOOKUP(D1602,'[1]Cost Sheet'!$C:$D,2,0)</f>
        <v>52.57</v>
      </c>
      <c r="Z1602" s="3">
        <f t="shared" si="49"/>
        <v>262.85000000000002</v>
      </c>
    </row>
    <row r="1603" spans="1:26" x14ac:dyDescent="0.3">
      <c r="A1603" s="7" t="s">
        <v>21</v>
      </c>
      <c r="B1603" t="s">
        <v>622</v>
      </c>
      <c r="C1603" t="s">
        <v>623</v>
      </c>
      <c r="D1603" t="s">
        <v>624</v>
      </c>
      <c r="E1603" t="s">
        <v>625</v>
      </c>
      <c r="F1603" t="s">
        <v>26</v>
      </c>
      <c r="G1603">
        <v>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3</v>
      </c>
      <c r="T1603">
        <v>0</v>
      </c>
      <c r="U1603" t="s">
        <v>39</v>
      </c>
      <c r="W1603" s="2">
        <v>47.03</v>
      </c>
      <c r="X1603" s="3">
        <f t="shared" ref="X1603:X1666" si="50">S1603*W1603</f>
        <v>141.09</v>
      </c>
      <c r="Y1603">
        <f>VLOOKUP(D1603,'[1]Cost Sheet'!$C:$D,2,0)</f>
        <v>52.57</v>
      </c>
      <c r="Z1603" s="3">
        <f t="shared" ref="Z1603:Z1666" si="51">Y1603*S1603</f>
        <v>157.71</v>
      </c>
    </row>
    <row r="1604" spans="1:26" x14ac:dyDescent="0.3">
      <c r="A1604" s="7" t="s">
        <v>21</v>
      </c>
      <c r="B1604" t="s">
        <v>622</v>
      </c>
      <c r="C1604" t="s">
        <v>623</v>
      </c>
      <c r="D1604" t="s">
        <v>624</v>
      </c>
      <c r="E1604" t="s">
        <v>625</v>
      </c>
      <c r="F1604" t="s">
        <v>26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 t="s">
        <v>32</v>
      </c>
      <c r="W1604" s="2">
        <v>47.03</v>
      </c>
      <c r="X1604" s="3">
        <f t="shared" si="50"/>
        <v>47.03</v>
      </c>
      <c r="Y1604">
        <f>VLOOKUP(D1604,'[1]Cost Sheet'!$C:$D,2,0)</f>
        <v>52.57</v>
      </c>
      <c r="Z1604" s="3">
        <f t="shared" si="51"/>
        <v>52.57</v>
      </c>
    </row>
    <row r="1605" spans="1:26" x14ac:dyDescent="0.3">
      <c r="A1605" s="7" t="s">
        <v>21</v>
      </c>
      <c r="B1605" t="s">
        <v>622</v>
      </c>
      <c r="C1605" t="s">
        <v>623</v>
      </c>
      <c r="D1605" t="s">
        <v>624</v>
      </c>
      <c r="E1605" t="s">
        <v>625</v>
      </c>
      <c r="F1605" t="s">
        <v>26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 t="s">
        <v>88</v>
      </c>
      <c r="W1605" s="2">
        <v>47.03</v>
      </c>
      <c r="X1605" s="3">
        <f t="shared" si="50"/>
        <v>47.03</v>
      </c>
      <c r="Y1605">
        <f>VLOOKUP(D1605,'[1]Cost Sheet'!$C:$D,2,0)</f>
        <v>52.57</v>
      </c>
      <c r="Z1605" s="3">
        <f t="shared" si="51"/>
        <v>52.57</v>
      </c>
    </row>
    <row r="1606" spans="1:26" x14ac:dyDescent="0.3">
      <c r="A1606" s="7" t="s">
        <v>21</v>
      </c>
      <c r="B1606" t="s">
        <v>622</v>
      </c>
      <c r="C1606" t="s">
        <v>623</v>
      </c>
      <c r="D1606" t="s">
        <v>624</v>
      </c>
      <c r="E1606" t="s">
        <v>625</v>
      </c>
      <c r="F1606" t="s">
        <v>26</v>
      </c>
      <c r="G1606">
        <v>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2</v>
      </c>
      <c r="T1606">
        <v>0</v>
      </c>
      <c r="U1606" t="s">
        <v>33</v>
      </c>
      <c r="W1606" s="2">
        <v>47.03</v>
      </c>
      <c r="X1606" s="3">
        <f t="shared" si="50"/>
        <v>94.06</v>
      </c>
      <c r="Y1606">
        <f>VLOOKUP(D1606,'[1]Cost Sheet'!$C:$D,2,0)</f>
        <v>52.57</v>
      </c>
      <c r="Z1606" s="3">
        <f t="shared" si="51"/>
        <v>105.14</v>
      </c>
    </row>
    <row r="1607" spans="1:26" x14ac:dyDescent="0.3">
      <c r="A1607" s="7" t="s">
        <v>21</v>
      </c>
      <c r="B1607" t="s">
        <v>622</v>
      </c>
      <c r="C1607" t="s">
        <v>623</v>
      </c>
      <c r="D1607" t="s">
        <v>624</v>
      </c>
      <c r="E1607" t="s">
        <v>625</v>
      </c>
      <c r="F1607" t="s">
        <v>26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 t="s">
        <v>46</v>
      </c>
      <c r="W1607" s="2">
        <v>47.03</v>
      </c>
      <c r="X1607" s="3">
        <f t="shared" si="50"/>
        <v>47.03</v>
      </c>
      <c r="Y1607">
        <f>VLOOKUP(D1607,'[1]Cost Sheet'!$C:$D,2,0)</f>
        <v>52.57</v>
      </c>
      <c r="Z1607" s="3">
        <f t="shared" si="51"/>
        <v>52.57</v>
      </c>
    </row>
    <row r="1608" spans="1:26" x14ac:dyDescent="0.3">
      <c r="A1608" s="7" t="s">
        <v>21</v>
      </c>
      <c r="B1608" t="s">
        <v>622</v>
      </c>
      <c r="C1608" t="s">
        <v>623</v>
      </c>
      <c r="D1608" t="s">
        <v>624</v>
      </c>
      <c r="E1608" t="s">
        <v>625</v>
      </c>
      <c r="F1608" t="s">
        <v>26</v>
      </c>
      <c r="G1608">
        <v>18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18</v>
      </c>
      <c r="T1608">
        <v>0</v>
      </c>
      <c r="U1608" t="s">
        <v>120</v>
      </c>
      <c r="W1608" s="2">
        <v>47.03</v>
      </c>
      <c r="X1608" s="3">
        <f t="shared" si="50"/>
        <v>846.54</v>
      </c>
      <c r="Y1608">
        <f>VLOOKUP(D1608,'[1]Cost Sheet'!$C:$D,2,0)</f>
        <v>52.57</v>
      </c>
      <c r="Z1608" s="3">
        <f t="shared" si="51"/>
        <v>946.26</v>
      </c>
    </row>
    <row r="1609" spans="1:26" x14ac:dyDescent="0.3">
      <c r="A1609" s="7" t="s">
        <v>21</v>
      </c>
      <c r="B1609" t="s">
        <v>115</v>
      </c>
      <c r="C1609" t="s">
        <v>116</v>
      </c>
      <c r="D1609" t="s">
        <v>117</v>
      </c>
      <c r="E1609" t="s">
        <v>118</v>
      </c>
      <c r="F1609" t="s">
        <v>106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</v>
      </c>
      <c r="T1609">
        <v>0</v>
      </c>
      <c r="U1609" t="s">
        <v>38</v>
      </c>
      <c r="W1609" s="2">
        <v>102.91</v>
      </c>
      <c r="X1609" s="3">
        <f t="shared" si="50"/>
        <v>205.82</v>
      </c>
      <c r="Y1609">
        <f>VLOOKUP(D1609,'[1]Cost Sheet'!$C:$D,2,0)</f>
        <v>102.91</v>
      </c>
      <c r="Z1609" s="3">
        <f t="shared" si="51"/>
        <v>205.82</v>
      </c>
    </row>
    <row r="1610" spans="1:26" x14ac:dyDescent="0.3">
      <c r="A1610" s="7" t="s">
        <v>21</v>
      </c>
      <c r="B1610" t="s">
        <v>115</v>
      </c>
      <c r="C1610" t="s">
        <v>116</v>
      </c>
      <c r="D1610" t="s">
        <v>117</v>
      </c>
      <c r="E1610" t="s">
        <v>118</v>
      </c>
      <c r="F1610" t="s">
        <v>106</v>
      </c>
      <c r="G1610">
        <v>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4</v>
      </c>
      <c r="T1610">
        <v>0</v>
      </c>
      <c r="U1610" t="s">
        <v>45</v>
      </c>
      <c r="W1610" s="2">
        <v>102.91</v>
      </c>
      <c r="X1610" s="3">
        <f t="shared" si="50"/>
        <v>411.64</v>
      </c>
      <c r="Y1610">
        <f>VLOOKUP(D1610,'[1]Cost Sheet'!$C:$D,2,0)</f>
        <v>102.91</v>
      </c>
      <c r="Z1610" s="3">
        <f t="shared" si="51"/>
        <v>411.64</v>
      </c>
    </row>
    <row r="1611" spans="1:26" x14ac:dyDescent="0.3">
      <c r="A1611" s="7" t="s">
        <v>21</v>
      </c>
      <c r="B1611" t="s">
        <v>115</v>
      </c>
      <c r="C1611" t="s">
        <v>116</v>
      </c>
      <c r="D1611" t="s">
        <v>117</v>
      </c>
      <c r="E1611" t="s">
        <v>118</v>
      </c>
      <c r="F1611" t="s">
        <v>106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 t="s">
        <v>32</v>
      </c>
      <c r="W1611" s="2">
        <v>102.91</v>
      </c>
      <c r="X1611" s="3">
        <f t="shared" si="50"/>
        <v>102.91</v>
      </c>
      <c r="Y1611">
        <f>VLOOKUP(D1611,'[1]Cost Sheet'!$C:$D,2,0)</f>
        <v>102.91</v>
      </c>
      <c r="Z1611" s="3">
        <f t="shared" si="51"/>
        <v>102.91</v>
      </c>
    </row>
    <row r="1612" spans="1:26" x14ac:dyDescent="0.3">
      <c r="A1612" s="7" t="s">
        <v>21</v>
      </c>
      <c r="B1612" t="s">
        <v>115</v>
      </c>
      <c r="C1612" t="s">
        <v>116</v>
      </c>
      <c r="D1612" t="s">
        <v>117</v>
      </c>
      <c r="E1612" t="s">
        <v>118</v>
      </c>
      <c r="F1612" t="s">
        <v>106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 t="s">
        <v>27</v>
      </c>
      <c r="W1612" s="2">
        <v>102.91</v>
      </c>
      <c r="X1612" s="3">
        <f t="shared" si="50"/>
        <v>102.91</v>
      </c>
      <c r="Y1612">
        <f>VLOOKUP(D1612,'[1]Cost Sheet'!$C:$D,2,0)</f>
        <v>102.91</v>
      </c>
      <c r="Z1612" s="3">
        <f t="shared" si="51"/>
        <v>102.91</v>
      </c>
    </row>
    <row r="1613" spans="1:26" x14ac:dyDescent="0.3">
      <c r="A1613" s="7" t="s">
        <v>21</v>
      </c>
      <c r="B1613" t="s">
        <v>115</v>
      </c>
      <c r="C1613" t="s">
        <v>116</v>
      </c>
      <c r="D1613" t="s">
        <v>117</v>
      </c>
      <c r="E1613" t="s">
        <v>118</v>
      </c>
      <c r="F1613" t="s">
        <v>130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 t="s">
        <v>46</v>
      </c>
      <c r="W1613" s="2">
        <v>102.91</v>
      </c>
      <c r="X1613" s="3">
        <f t="shared" si="50"/>
        <v>102.91</v>
      </c>
      <c r="Y1613">
        <f>VLOOKUP(D1613,'[1]Cost Sheet'!$C:$D,2,0)</f>
        <v>102.91</v>
      </c>
      <c r="Z1613" s="3">
        <f t="shared" si="51"/>
        <v>102.91</v>
      </c>
    </row>
    <row r="1614" spans="1:26" x14ac:dyDescent="0.3">
      <c r="A1614" s="7" t="s">
        <v>21</v>
      </c>
      <c r="B1614" t="s">
        <v>115</v>
      </c>
      <c r="C1614" t="s">
        <v>116</v>
      </c>
      <c r="D1614" t="s">
        <v>117</v>
      </c>
      <c r="E1614" t="s">
        <v>118</v>
      </c>
      <c r="F1614" t="s">
        <v>93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 t="s">
        <v>47</v>
      </c>
      <c r="W1614" s="2">
        <v>102.91</v>
      </c>
      <c r="X1614" s="3">
        <f t="shared" si="50"/>
        <v>102.91</v>
      </c>
      <c r="Y1614">
        <f>VLOOKUP(D1614,'[1]Cost Sheet'!$C:$D,2,0)</f>
        <v>102.91</v>
      </c>
      <c r="Z1614" s="3">
        <f t="shared" si="51"/>
        <v>102.91</v>
      </c>
    </row>
    <row r="1615" spans="1:26" x14ac:dyDescent="0.3">
      <c r="A1615" s="7" t="s">
        <v>21</v>
      </c>
      <c r="B1615" t="s">
        <v>115</v>
      </c>
      <c r="C1615" t="s">
        <v>116</v>
      </c>
      <c r="D1615" t="s">
        <v>117</v>
      </c>
      <c r="E1615" t="s">
        <v>118</v>
      </c>
      <c r="F1615" t="s">
        <v>26</v>
      </c>
      <c r="G1615">
        <v>23</v>
      </c>
      <c r="H1615">
        <v>0</v>
      </c>
      <c r="I1615">
        <v>0</v>
      </c>
      <c r="J1615">
        <v>-1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22</v>
      </c>
      <c r="T1615">
        <v>0</v>
      </c>
      <c r="U1615" t="s">
        <v>38</v>
      </c>
      <c r="W1615" s="2">
        <v>102.91</v>
      </c>
      <c r="X1615" s="3">
        <f t="shared" si="50"/>
        <v>2264.02</v>
      </c>
      <c r="Y1615">
        <f>VLOOKUP(D1615,'[1]Cost Sheet'!$C:$D,2,0)</f>
        <v>102.91</v>
      </c>
      <c r="Z1615" s="3">
        <f t="shared" si="51"/>
        <v>2264.02</v>
      </c>
    </row>
    <row r="1616" spans="1:26" x14ac:dyDescent="0.3">
      <c r="A1616" s="7" t="s">
        <v>21</v>
      </c>
      <c r="B1616" t="s">
        <v>115</v>
      </c>
      <c r="C1616" t="s">
        <v>116</v>
      </c>
      <c r="D1616" t="s">
        <v>117</v>
      </c>
      <c r="E1616" t="s">
        <v>118</v>
      </c>
      <c r="F1616" t="s">
        <v>26</v>
      </c>
      <c r="G1616">
        <v>75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75</v>
      </c>
      <c r="T1616">
        <v>0</v>
      </c>
      <c r="U1616" t="s">
        <v>107</v>
      </c>
      <c r="W1616" s="2">
        <v>102.91</v>
      </c>
      <c r="X1616" s="3">
        <f t="shared" si="50"/>
        <v>7718.25</v>
      </c>
      <c r="Y1616">
        <f>VLOOKUP(D1616,'[1]Cost Sheet'!$C:$D,2,0)</f>
        <v>102.91</v>
      </c>
      <c r="Z1616" s="3">
        <f t="shared" si="51"/>
        <v>7718.25</v>
      </c>
    </row>
    <row r="1617" spans="1:26" x14ac:dyDescent="0.3">
      <c r="A1617" s="7" t="s">
        <v>21</v>
      </c>
      <c r="B1617" t="s">
        <v>115</v>
      </c>
      <c r="C1617" t="s">
        <v>116</v>
      </c>
      <c r="D1617" t="s">
        <v>117</v>
      </c>
      <c r="E1617" t="s">
        <v>118</v>
      </c>
      <c r="F1617" t="s">
        <v>26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2</v>
      </c>
      <c r="T1617">
        <v>0</v>
      </c>
      <c r="U1617" t="s">
        <v>45</v>
      </c>
      <c r="W1617" s="2">
        <v>102.91</v>
      </c>
      <c r="X1617" s="3">
        <f t="shared" si="50"/>
        <v>205.82</v>
      </c>
      <c r="Y1617">
        <f>VLOOKUP(D1617,'[1]Cost Sheet'!$C:$D,2,0)</f>
        <v>102.91</v>
      </c>
      <c r="Z1617" s="3">
        <f t="shared" si="51"/>
        <v>205.82</v>
      </c>
    </row>
    <row r="1618" spans="1:26" x14ac:dyDescent="0.3">
      <c r="A1618" s="7" t="s">
        <v>21</v>
      </c>
      <c r="B1618" t="s">
        <v>115</v>
      </c>
      <c r="C1618" t="s">
        <v>116</v>
      </c>
      <c r="D1618" t="s">
        <v>117</v>
      </c>
      <c r="E1618" t="s">
        <v>118</v>
      </c>
      <c r="F1618" t="s">
        <v>26</v>
      </c>
      <c r="G1618">
        <v>24</v>
      </c>
      <c r="H1618">
        <v>0</v>
      </c>
      <c r="I1618">
        <v>-1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23</v>
      </c>
      <c r="T1618">
        <v>0</v>
      </c>
      <c r="U1618" t="s">
        <v>39</v>
      </c>
      <c r="W1618" s="2">
        <v>102.91</v>
      </c>
      <c r="X1618" s="3">
        <f t="shared" si="50"/>
        <v>2366.9299999999998</v>
      </c>
      <c r="Y1618">
        <f>VLOOKUP(D1618,'[1]Cost Sheet'!$C:$D,2,0)</f>
        <v>102.91</v>
      </c>
      <c r="Z1618" s="3">
        <f t="shared" si="51"/>
        <v>2366.9299999999998</v>
      </c>
    </row>
    <row r="1619" spans="1:26" x14ac:dyDescent="0.3">
      <c r="A1619" s="7" t="s">
        <v>21</v>
      </c>
      <c r="B1619" t="s">
        <v>115</v>
      </c>
      <c r="C1619" t="s">
        <v>116</v>
      </c>
      <c r="D1619" t="s">
        <v>117</v>
      </c>
      <c r="E1619" t="s">
        <v>118</v>
      </c>
      <c r="F1619" t="s">
        <v>26</v>
      </c>
      <c r="G1619">
        <v>13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13</v>
      </c>
      <c r="T1619">
        <v>0</v>
      </c>
      <c r="U1619" t="s">
        <v>53</v>
      </c>
      <c r="W1619" s="2">
        <v>102.91</v>
      </c>
      <c r="X1619" s="3">
        <f t="shared" si="50"/>
        <v>1337.83</v>
      </c>
      <c r="Y1619">
        <f>VLOOKUP(D1619,'[1]Cost Sheet'!$C:$D,2,0)</f>
        <v>102.91</v>
      </c>
      <c r="Z1619" s="3">
        <f t="shared" si="51"/>
        <v>1337.83</v>
      </c>
    </row>
    <row r="1620" spans="1:26" x14ac:dyDescent="0.3">
      <c r="A1620" s="7" t="s">
        <v>21</v>
      </c>
      <c r="B1620" t="s">
        <v>115</v>
      </c>
      <c r="C1620" t="s">
        <v>116</v>
      </c>
      <c r="D1620" t="s">
        <v>117</v>
      </c>
      <c r="E1620" t="s">
        <v>118</v>
      </c>
      <c r="F1620" t="s">
        <v>26</v>
      </c>
      <c r="G1620">
        <v>42</v>
      </c>
      <c r="H1620">
        <v>0</v>
      </c>
      <c r="I1620">
        <v>0</v>
      </c>
      <c r="J1620">
        <v>-2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</v>
      </c>
      <c r="T1620">
        <v>0</v>
      </c>
      <c r="U1620" t="s">
        <v>54</v>
      </c>
      <c r="W1620" s="2">
        <v>102.91</v>
      </c>
      <c r="X1620" s="3">
        <f t="shared" si="50"/>
        <v>4116.3999999999996</v>
      </c>
      <c r="Y1620">
        <f>VLOOKUP(D1620,'[1]Cost Sheet'!$C:$D,2,0)</f>
        <v>102.91</v>
      </c>
      <c r="Z1620" s="3">
        <f t="shared" si="51"/>
        <v>4116.3999999999996</v>
      </c>
    </row>
    <row r="1621" spans="1:26" x14ac:dyDescent="0.3">
      <c r="A1621" s="7" t="s">
        <v>21</v>
      </c>
      <c r="B1621" t="s">
        <v>115</v>
      </c>
      <c r="C1621" t="s">
        <v>116</v>
      </c>
      <c r="D1621" t="s">
        <v>117</v>
      </c>
      <c r="E1621" t="s">
        <v>118</v>
      </c>
      <c r="F1621" t="s">
        <v>26</v>
      </c>
      <c r="G1621">
        <v>164</v>
      </c>
      <c r="H1621">
        <v>0</v>
      </c>
      <c r="I1621">
        <v>0</v>
      </c>
      <c r="J1621">
        <v>-3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161</v>
      </c>
      <c r="T1621">
        <v>0</v>
      </c>
      <c r="U1621" t="s">
        <v>32</v>
      </c>
      <c r="W1621" s="2">
        <v>102.91</v>
      </c>
      <c r="X1621" s="3">
        <f t="shared" si="50"/>
        <v>16568.509999999998</v>
      </c>
      <c r="Y1621">
        <f>VLOOKUP(D1621,'[1]Cost Sheet'!$C:$D,2,0)</f>
        <v>102.91</v>
      </c>
      <c r="Z1621" s="3">
        <f t="shared" si="51"/>
        <v>16568.509999999998</v>
      </c>
    </row>
    <row r="1622" spans="1:26" x14ac:dyDescent="0.3">
      <c r="A1622" s="7" t="s">
        <v>21</v>
      </c>
      <c r="B1622" t="s">
        <v>525</v>
      </c>
      <c r="C1622" t="s">
        <v>526</v>
      </c>
      <c r="D1622" t="s">
        <v>1022</v>
      </c>
      <c r="E1622" t="s">
        <v>527</v>
      </c>
      <c r="F1622" t="s">
        <v>125</v>
      </c>
      <c r="G1622">
        <v>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5</v>
      </c>
      <c r="T1622">
        <v>0</v>
      </c>
      <c r="U1622" t="s">
        <v>54</v>
      </c>
      <c r="W1622" s="2">
        <v>60.216666666666661</v>
      </c>
      <c r="X1622" s="3">
        <f t="shared" si="50"/>
        <v>301.08333333333331</v>
      </c>
      <c r="Y1622">
        <f>VLOOKUP(D1622,'[1]Cost Sheet'!$C:$D,2,0)</f>
        <v>60.216666666666661</v>
      </c>
      <c r="Z1622" s="3">
        <f t="shared" si="51"/>
        <v>301.08333333333331</v>
      </c>
    </row>
    <row r="1623" spans="1:26" x14ac:dyDescent="0.3">
      <c r="A1623" s="7" t="s">
        <v>21</v>
      </c>
      <c r="B1623" t="s">
        <v>525</v>
      </c>
      <c r="C1623" t="s">
        <v>526</v>
      </c>
      <c r="D1623" t="s">
        <v>1022</v>
      </c>
      <c r="E1623" t="s">
        <v>527</v>
      </c>
      <c r="F1623" t="s">
        <v>125</v>
      </c>
      <c r="G1623">
        <v>20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21</v>
      </c>
      <c r="T1623">
        <v>0</v>
      </c>
      <c r="U1623" t="s">
        <v>88</v>
      </c>
      <c r="W1623" s="2">
        <v>60.216666666666661</v>
      </c>
      <c r="X1623" s="3">
        <f t="shared" si="50"/>
        <v>1264.55</v>
      </c>
      <c r="Y1623">
        <f>VLOOKUP(D1623,'[1]Cost Sheet'!$C:$D,2,0)</f>
        <v>60.216666666666661</v>
      </c>
      <c r="Z1623" s="3">
        <f t="shared" si="51"/>
        <v>1264.55</v>
      </c>
    </row>
    <row r="1624" spans="1:26" x14ac:dyDescent="0.3">
      <c r="A1624" s="7" t="s">
        <v>21</v>
      </c>
      <c r="B1624" t="s">
        <v>525</v>
      </c>
      <c r="C1624" t="s">
        <v>526</v>
      </c>
      <c r="D1624" t="s">
        <v>1022</v>
      </c>
      <c r="E1624" t="s">
        <v>527</v>
      </c>
      <c r="F1624" t="s">
        <v>125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2</v>
      </c>
      <c r="T1624">
        <v>0</v>
      </c>
      <c r="U1624" t="s">
        <v>40</v>
      </c>
      <c r="W1624" s="2">
        <v>60.216666666666661</v>
      </c>
      <c r="X1624" s="3">
        <f t="shared" si="50"/>
        <v>120.43333333333332</v>
      </c>
      <c r="Y1624">
        <f>VLOOKUP(D1624,'[1]Cost Sheet'!$C:$D,2,0)</f>
        <v>60.216666666666661</v>
      </c>
      <c r="Z1624" s="3">
        <f t="shared" si="51"/>
        <v>120.43333333333332</v>
      </c>
    </row>
    <row r="1625" spans="1:26" x14ac:dyDescent="0.3">
      <c r="A1625" s="7" t="s">
        <v>21</v>
      </c>
      <c r="B1625" t="s">
        <v>525</v>
      </c>
      <c r="C1625" t="s">
        <v>526</v>
      </c>
      <c r="D1625" t="s">
        <v>1022</v>
      </c>
      <c r="E1625" t="s">
        <v>527</v>
      </c>
      <c r="F1625" t="s">
        <v>125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 t="s">
        <v>120</v>
      </c>
      <c r="W1625" s="2">
        <v>60.216666666666661</v>
      </c>
      <c r="X1625" s="3">
        <f t="shared" si="50"/>
        <v>60.216666666666661</v>
      </c>
      <c r="Y1625">
        <f>VLOOKUP(D1625,'[1]Cost Sheet'!$C:$D,2,0)</f>
        <v>60.216666666666661</v>
      </c>
      <c r="Z1625" s="3">
        <f t="shared" si="51"/>
        <v>60.216666666666661</v>
      </c>
    </row>
    <row r="1626" spans="1:26" x14ac:dyDescent="0.3">
      <c r="A1626" s="7" t="s">
        <v>21</v>
      </c>
      <c r="B1626" t="s">
        <v>525</v>
      </c>
      <c r="C1626" t="s">
        <v>526</v>
      </c>
      <c r="D1626" t="s">
        <v>1022</v>
      </c>
      <c r="E1626" t="s">
        <v>527</v>
      </c>
      <c r="F1626" t="s">
        <v>125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2</v>
      </c>
      <c r="T1626">
        <v>0</v>
      </c>
      <c r="U1626" t="s">
        <v>113</v>
      </c>
      <c r="W1626" s="2">
        <v>60.216666666666661</v>
      </c>
      <c r="X1626" s="3">
        <f t="shared" si="50"/>
        <v>120.43333333333332</v>
      </c>
      <c r="Y1626">
        <f>VLOOKUP(D1626,'[1]Cost Sheet'!$C:$D,2,0)</f>
        <v>60.216666666666661</v>
      </c>
      <c r="Z1626" s="3">
        <f t="shared" si="51"/>
        <v>120.43333333333332</v>
      </c>
    </row>
    <row r="1627" spans="1:26" x14ac:dyDescent="0.3">
      <c r="A1627" s="7" t="s">
        <v>21</v>
      </c>
      <c r="B1627" t="s">
        <v>525</v>
      </c>
      <c r="C1627" t="s">
        <v>526</v>
      </c>
      <c r="D1627" t="s">
        <v>1022</v>
      </c>
      <c r="E1627" t="s">
        <v>527</v>
      </c>
      <c r="F1627" t="s">
        <v>125</v>
      </c>
      <c r="G1627">
        <v>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4</v>
      </c>
      <c r="T1627">
        <v>0</v>
      </c>
      <c r="U1627" t="s">
        <v>27</v>
      </c>
      <c r="W1627" s="2">
        <v>60.216666666666661</v>
      </c>
      <c r="X1627" s="3">
        <f t="shared" si="50"/>
        <v>240.86666666666665</v>
      </c>
      <c r="Y1627">
        <f>VLOOKUP(D1627,'[1]Cost Sheet'!$C:$D,2,0)</f>
        <v>60.216666666666661</v>
      </c>
      <c r="Z1627" s="3">
        <f t="shared" si="51"/>
        <v>240.86666666666665</v>
      </c>
    </row>
    <row r="1628" spans="1:26" x14ac:dyDescent="0.3">
      <c r="A1628" s="7" t="s">
        <v>21</v>
      </c>
      <c r="B1628" t="s">
        <v>525</v>
      </c>
      <c r="C1628" t="s">
        <v>526</v>
      </c>
      <c r="D1628" t="s">
        <v>1022</v>
      </c>
      <c r="E1628" t="s">
        <v>527</v>
      </c>
      <c r="F1628" t="s">
        <v>106</v>
      </c>
      <c r="G1628">
        <v>25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25</v>
      </c>
      <c r="T1628">
        <v>0</v>
      </c>
      <c r="U1628" t="s">
        <v>38</v>
      </c>
      <c r="W1628" s="2">
        <v>60.216666666666661</v>
      </c>
      <c r="X1628" s="3">
        <f t="shared" si="50"/>
        <v>1505.4166666666665</v>
      </c>
      <c r="Y1628">
        <f>VLOOKUP(D1628,'[1]Cost Sheet'!$C:$D,2,0)</f>
        <v>60.216666666666661</v>
      </c>
      <c r="Z1628" s="3">
        <f t="shared" si="51"/>
        <v>1505.4166666666665</v>
      </c>
    </row>
    <row r="1629" spans="1:26" x14ac:dyDescent="0.3">
      <c r="A1629" s="7" t="s">
        <v>21</v>
      </c>
      <c r="B1629" t="s">
        <v>525</v>
      </c>
      <c r="C1629" t="s">
        <v>526</v>
      </c>
      <c r="D1629" t="s">
        <v>1022</v>
      </c>
      <c r="E1629" t="s">
        <v>527</v>
      </c>
      <c r="F1629" t="s">
        <v>106</v>
      </c>
      <c r="G1629">
        <v>10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11</v>
      </c>
      <c r="T1629">
        <v>0</v>
      </c>
      <c r="U1629" t="s">
        <v>107</v>
      </c>
      <c r="W1629" s="2">
        <v>60.216666666666661</v>
      </c>
      <c r="X1629" s="3">
        <f t="shared" si="50"/>
        <v>662.38333333333333</v>
      </c>
      <c r="Y1629">
        <f>VLOOKUP(D1629,'[1]Cost Sheet'!$C:$D,2,0)</f>
        <v>60.216666666666661</v>
      </c>
      <c r="Z1629" s="3">
        <f t="shared" si="51"/>
        <v>662.38333333333333</v>
      </c>
    </row>
    <row r="1630" spans="1:26" x14ac:dyDescent="0.3">
      <c r="A1630" s="7" t="s">
        <v>21</v>
      </c>
      <c r="B1630" t="s">
        <v>525</v>
      </c>
      <c r="C1630" t="s">
        <v>526</v>
      </c>
      <c r="D1630" t="s">
        <v>1022</v>
      </c>
      <c r="E1630" t="s">
        <v>527</v>
      </c>
      <c r="F1630" t="s">
        <v>106</v>
      </c>
      <c r="G1630">
        <v>17</v>
      </c>
      <c r="H1630">
        <v>0</v>
      </c>
      <c r="I1630">
        <v>0</v>
      </c>
      <c r="J1630">
        <v>0</v>
      </c>
      <c r="K1630">
        <v>0</v>
      </c>
      <c r="L1630">
        <v>-1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16</v>
      </c>
      <c r="T1630">
        <v>0</v>
      </c>
      <c r="U1630" t="s">
        <v>45</v>
      </c>
      <c r="W1630" s="2">
        <v>60.216666666666661</v>
      </c>
      <c r="X1630" s="3">
        <f t="shared" si="50"/>
        <v>963.46666666666658</v>
      </c>
      <c r="Y1630">
        <f>VLOOKUP(D1630,'[1]Cost Sheet'!$C:$D,2,0)</f>
        <v>60.216666666666661</v>
      </c>
      <c r="Z1630" s="3">
        <f t="shared" si="51"/>
        <v>963.46666666666658</v>
      </c>
    </row>
    <row r="1631" spans="1:26" x14ac:dyDescent="0.3">
      <c r="A1631" s="7" t="s">
        <v>21</v>
      </c>
      <c r="B1631" t="s">
        <v>525</v>
      </c>
      <c r="C1631" t="s">
        <v>526</v>
      </c>
      <c r="D1631" t="s">
        <v>1022</v>
      </c>
      <c r="E1631" t="s">
        <v>527</v>
      </c>
      <c r="F1631" t="s">
        <v>106</v>
      </c>
      <c r="G1631">
        <v>10</v>
      </c>
      <c r="H1631">
        <v>0</v>
      </c>
      <c r="I1631">
        <v>0</v>
      </c>
      <c r="J1631">
        <v>0</v>
      </c>
      <c r="K1631">
        <v>0</v>
      </c>
      <c r="L1631">
        <v>-4</v>
      </c>
      <c r="M1631">
        <v>0</v>
      </c>
      <c r="N1631">
        <v>0</v>
      </c>
      <c r="O1631">
        <v>0</v>
      </c>
      <c r="P1631">
        <v>0</v>
      </c>
      <c r="Q1631">
        <v>-1</v>
      </c>
      <c r="R1631">
        <v>2</v>
      </c>
      <c r="S1631">
        <v>7</v>
      </c>
      <c r="T1631">
        <v>0</v>
      </c>
      <c r="U1631" t="s">
        <v>39</v>
      </c>
      <c r="W1631" s="2">
        <v>60.216666666666661</v>
      </c>
      <c r="X1631" s="3">
        <f t="shared" si="50"/>
        <v>421.51666666666665</v>
      </c>
      <c r="Y1631">
        <f>VLOOKUP(D1631,'[1]Cost Sheet'!$C:$D,2,0)</f>
        <v>60.216666666666661</v>
      </c>
      <c r="Z1631" s="3">
        <f t="shared" si="51"/>
        <v>421.51666666666665</v>
      </c>
    </row>
    <row r="1632" spans="1:26" x14ac:dyDescent="0.3">
      <c r="A1632" s="7" t="s">
        <v>21</v>
      </c>
      <c r="B1632" t="s">
        <v>525</v>
      </c>
      <c r="C1632" t="s">
        <v>526</v>
      </c>
      <c r="D1632" t="s">
        <v>1022</v>
      </c>
      <c r="E1632" t="s">
        <v>527</v>
      </c>
      <c r="F1632" t="s">
        <v>106</v>
      </c>
      <c r="G1632">
        <v>19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19</v>
      </c>
      <c r="T1632">
        <v>0</v>
      </c>
      <c r="U1632" t="s">
        <v>53</v>
      </c>
      <c r="W1632" s="2">
        <v>60.216666666666661</v>
      </c>
      <c r="X1632" s="3">
        <f t="shared" si="50"/>
        <v>1144.1166666666666</v>
      </c>
      <c r="Y1632">
        <f>VLOOKUP(D1632,'[1]Cost Sheet'!$C:$D,2,0)</f>
        <v>60.216666666666661</v>
      </c>
      <c r="Z1632" s="3">
        <f t="shared" si="51"/>
        <v>1144.1166666666666</v>
      </c>
    </row>
    <row r="1633" spans="1:26" x14ac:dyDescent="0.3">
      <c r="A1633" s="7" t="s">
        <v>21</v>
      </c>
      <c r="B1633" t="s">
        <v>525</v>
      </c>
      <c r="C1633" t="s">
        <v>526</v>
      </c>
      <c r="D1633" t="s">
        <v>1022</v>
      </c>
      <c r="E1633" t="s">
        <v>527</v>
      </c>
      <c r="F1633" t="s">
        <v>106</v>
      </c>
      <c r="G1633">
        <v>39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39</v>
      </c>
      <c r="T1633">
        <v>0</v>
      </c>
      <c r="U1633" t="s">
        <v>54</v>
      </c>
      <c r="W1633" s="2">
        <v>60.216666666666661</v>
      </c>
      <c r="X1633" s="3">
        <f t="shared" si="50"/>
        <v>2348.4499999999998</v>
      </c>
      <c r="Y1633">
        <f>VLOOKUP(D1633,'[1]Cost Sheet'!$C:$D,2,0)</f>
        <v>60.216666666666661</v>
      </c>
      <c r="Z1633" s="3">
        <f t="shared" si="51"/>
        <v>2348.4499999999998</v>
      </c>
    </row>
    <row r="1634" spans="1:26" x14ac:dyDescent="0.3">
      <c r="A1634" s="7" t="s">
        <v>21</v>
      </c>
      <c r="B1634" t="s">
        <v>525</v>
      </c>
      <c r="C1634" t="s">
        <v>526</v>
      </c>
      <c r="D1634" t="s">
        <v>1022</v>
      </c>
      <c r="E1634" t="s">
        <v>527</v>
      </c>
      <c r="F1634" t="s">
        <v>106</v>
      </c>
      <c r="G1634">
        <v>16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-1</v>
      </c>
      <c r="P1634">
        <v>0</v>
      </c>
      <c r="Q1634">
        <v>0</v>
      </c>
      <c r="R1634">
        <v>1</v>
      </c>
      <c r="S1634">
        <v>16</v>
      </c>
      <c r="T1634">
        <v>0</v>
      </c>
      <c r="U1634" t="s">
        <v>32</v>
      </c>
      <c r="W1634" s="2">
        <v>60.216666666666661</v>
      </c>
      <c r="X1634" s="3">
        <f t="shared" si="50"/>
        <v>963.46666666666658</v>
      </c>
      <c r="Y1634">
        <f>VLOOKUP(D1634,'[1]Cost Sheet'!$C:$D,2,0)</f>
        <v>60.216666666666661</v>
      </c>
      <c r="Z1634" s="3">
        <f t="shared" si="51"/>
        <v>963.46666666666658</v>
      </c>
    </row>
    <row r="1635" spans="1:26" x14ac:dyDescent="0.3">
      <c r="A1635" s="7" t="s">
        <v>21</v>
      </c>
      <c r="B1635" t="s">
        <v>525</v>
      </c>
      <c r="C1635" t="s">
        <v>526</v>
      </c>
      <c r="D1635" t="s">
        <v>1022</v>
      </c>
      <c r="E1635" t="s">
        <v>527</v>
      </c>
      <c r="F1635" t="s">
        <v>106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 t="s">
        <v>88</v>
      </c>
      <c r="W1635" s="2">
        <v>60.216666666666661</v>
      </c>
      <c r="X1635" s="3">
        <f t="shared" si="50"/>
        <v>60.216666666666661</v>
      </c>
      <c r="Y1635">
        <f>VLOOKUP(D1635,'[1]Cost Sheet'!$C:$D,2,0)</f>
        <v>60.216666666666661</v>
      </c>
      <c r="Z1635" s="3">
        <f t="shared" si="51"/>
        <v>60.216666666666661</v>
      </c>
    </row>
    <row r="1636" spans="1:26" x14ac:dyDescent="0.3">
      <c r="A1636" s="7" t="s">
        <v>21</v>
      </c>
      <c r="B1636" t="s">
        <v>525</v>
      </c>
      <c r="C1636" t="s">
        <v>526</v>
      </c>
      <c r="D1636" t="s">
        <v>1022</v>
      </c>
      <c r="E1636" t="s">
        <v>527</v>
      </c>
      <c r="F1636" t="s">
        <v>106</v>
      </c>
      <c r="G1636">
        <v>5</v>
      </c>
      <c r="H1636">
        <v>0</v>
      </c>
      <c r="I1636">
        <v>0</v>
      </c>
      <c r="J1636">
        <v>0</v>
      </c>
      <c r="K1636">
        <v>0</v>
      </c>
      <c r="L1636">
        <v>-1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</v>
      </c>
      <c r="T1636">
        <v>0</v>
      </c>
      <c r="U1636" t="s">
        <v>33</v>
      </c>
      <c r="W1636" s="2">
        <v>60.216666666666661</v>
      </c>
      <c r="X1636" s="3">
        <f t="shared" si="50"/>
        <v>240.86666666666665</v>
      </c>
      <c r="Y1636">
        <f>VLOOKUP(D1636,'[1]Cost Sheet'!$C:$D,2,0)</f>
        <v>60.216666666666661</v>
      </c>
      <c r="Z1636" s="3">
        <f t="shared" si="51"/>
        <v>240.86666666666665</v>
      </c>
    </row>
    <row r="1637" spans="1:26" x14ac:dyDescent="0.3">
      <c r="A1637" s="7" t="s">
        <v>21</v>
      </c>
      <c r="B1637" t="s">
        <v>525</v>
      </c>
      <c r="C1637" t="s">
        <v>526</v>
      </c>
      <c r="D1637" t="s">
        <v>1022</v>
      </c>
      <c r="E1637" t="s">
        <v>527</v>
      </c>
      <c r="F1637" t="s">
        <v>106</v>
      </c>
      <c r="G1637">
        <v>23</v>
      </c>
      <c r="H1637">
        <v>0</v>
      </c>
      <c r="I1637">
        <v>0</v>
      </c>
      <c r="J1637">
        <v>0</v>
      </c>
      <c r="K1637">
        <v>0</v>
      </c>
      <c r="L1637">
        <v>-1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22</v>
      </c>
      <c r="T1637">
        <v>0</v>
      </c>
      <c r="U1637" t="s">
        <v>46</v>
      </c>
      <c r="W1637" s="2">
        <v>60.216666666666661</v>
      </c>
      <c r="X1637" s="3">
        <f t="shared" si="50"/>
        <v>1324.7666666666667</v>
      </c>
      <c r="Y1637">
        <f>VLOOKUP(D1637,'[1]Cost Sheet'!$C:$D,2,0)</f>
        <v>60.216666666666661</v>
      </c>
      <c r="Z1637" s="3">
        <f t="shared" si="51"/>
        <v>1324.7666666666667</v>
      </c>
    </row>
    <row r="1638" spans="1:26" x14ac:dyDescent="0.3">
      <c r="A1638" s="7" t="s">
        <v>21</v>
      </c>
      <c r="B1638" t="s">
        <v>525</v>
      </c>
      <c r="C1638" t="s">
        <v>526</v>
      </c>
      <c r="D1638" t="s">
        <v>1022</v>
      </c>
      <c r="E1638" t="s">
        <v>527</v>
      </c>
      <c r="F1638" t="s">
        <v>106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2</v>
      </c>
      <c r="T1638">
        <v>0</v>
      </c>
      <c r="U1638" t="s">
        <v>47</v>
      </c>
      <c r="W1638" s="2">
        <v>60.216666666666661</v>
      </c>
      <c r="X1638" s="3">
        <f t="shared" si="50"/>
        <v>120.43333333333332</v>
      </c>
      <c r="Y1638">
        <f>VLOOKUP(D1638,'[1]Cost Sheet'!$C:$D,2,0)</f>
        <v>60.216666666666661</v>
      </c>
      <c r="Z1638" s="3">
        <f t="shared" si="51"/>
        <v>120.43333333333332</v>
      </c>
    </row>
    <row r="1639" spans="1:26" x14ac:dyDescent="0.3">
      <c r="A1639" s="7" t="s">
        <v>21</v>
      </c>
      <c r="B1639" t="s">
        <v>525</v>
      </c>
      <c r="C1639" t="s">
        <v>526</v>
      </c>
      <c r="D1639" t="s">
        <v>1022</v>
      </c>
      <c r="E1639" t="s">
        <v>527</v>
      </c>
      <c r="F1639" t="s">
        <v>106</v>
      </c>
      <c r="G1639">
        <v>11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-1</v>
      </c>
      <c r="S1639">
        <v>10</v>
      </c>
      <c r="T1639">
        <v>0</v>
      </c>
      <c r="U1639" t="s">
        <v>40</v>
      </c>
      <c r="W1639" s="2">
        <v>60.216666666666661</v>
      </c>
      <c r="X1639" s="3">
        <f t="shared" si="50"/>
        <v>602.16666666666663</v>
      </c>
      <c r="Y1639">
        <f>VLOOKUP(D1639,'[1]Cost Sheet'!$C:$D,2,0)</f>
        <v>60.216666666666661</v>
      </c>
      <c r="Z1639" s="3">
        <f t="shared" si="51"/>
        <v>602.16666666666663</v>
      </c>
    </row>
    <row r="1640" spans="1:26" x14ac:dyDescent="0.3">
      <c r="A1640" s="7" t="s">
        <v>21</v>
      </c>
      <c r="B1640" t="s">
        <v>525</v>
      </c>
      <c r="C1640" t="s">
        <v>526</v>
      </c>
      <c r="D1640" t="s">
        <v>1022</v>
      </c>
      <c r="E1640" t="s">
        <v>527</v>
      </c>
      <c r="F1640" t="s">
        <v>106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3</v>
      </c>
      <c r="T1640">
        <v>0</v>
      </c>
      <c r="U1640" t="s">
        <v>113</v>
      </c>
      <c r="W1640" s="2">
        <v>60.216666666666661</v>
      </c>
      <c r="X1640" s="3">
        <f t="shared" si="50"/>
        <v>180.64999999999998</v>
      </c>
      <c r="Y1640">
        <f>VLOOKUP(D1640,'[1]Cost Sheet'!$C:$D,2,0)</f>
        <v>60.216666666666661</v>
      </c>
      <c r="Z1640" s="3">
        <f t="shared" si="51"/>
        <v>180.64999999999998</v>
      </c>
    </row>
    <row r="1641" spans="1:26" x14ac:dyDescent="0.3">
      <c r="A1641" s="7" t="s">
        <v>21</v>
      </c>
      <c r="B1641" t="s">
        <v>525</v>
      </c>
      <c r="C1641" t="s">
        <v>526</v>
      </c>
      <c r="D1641" t="s">
        <v>1022</v>
      </c>
      <c r="E1641" t="s">
        <v>527</v>
      </c>
      <c r="F1641" t="s">
        <v>106</v>
      </c>
      <c r="G1641">
        <v>27</v>
      </c>
      <c r="H1641">
        <v>0</v>
      </c>
      <c r="I1641">
        <v>0</v>
      </c>
      <c r="J1641">
        <v>0</v>
      </c>
      <c r="K1641">
        <v>0</v>
      </c>
      <c r="L1641">
        <v>-2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25</v>
      </c>
      <c r="T1641">
        <v>0</v>
      </c>
      <c r="U1641" t="s">
        <v>48</v>
      </c>
      <c r="W1641" s="2">
        <v>60.216666666666661</v>
      </c>
      <c r="X1641" s="3">
        <f t="shared" si="50"/>
        <v>1505.4166666666665</v>
      </c>
      <c r="Y1641">
        <f>VLOOKUP(D1641,'[1]Cost Sheet'!$C:$D,2,0)</f>
        <v>60.216666666666661</v>
      </c>
      <c r="Z1641" s="3">
        <f t="shared" si="51"/>
        <v>1505.4166666666665</v>
      </c>
    </row>
    <row r="1642" spans="1:26" x14ac:dyDescent="0.3">
      <c r="A1642" s="7" t="s">
        <v>21</v>
      </c>
      <c r="B1642" t="s">
        <v>525</v>
      </c>
      <c r="C1642" t="s">
        <v>526</v>
      </c>
      <c r="D1642" t="s">
        <v>1022</v>
      </c>
      <c r="E1642" t="s">
        <v>527</v>
      </c>
      <c r="F1642" t="s">
        <v>106</v>
      </c>
      <c r="G1642">
        <v>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3</v>
      </c>
      <c r="T1642">
        <v>0</v>
      </c>
      <c r="U1642" t="s">
        <v>59</v>
      </c>
      <c r="W1642" s="2">
        <v>60.216666666666661</v>
      </c>
      <c r="X1642" s="3">
        <f t="shared" si="50"/>
        <v>180.64999999999998</v>
      </c>
      <c r="Y1642">
        <f>VLOOKUP(D1642,'[1]Cost Sheet'!$C:$D,2,0)</f>
        <v>60.216666666666661</v>
      </c>
      <c r="Z1642" s="3">
        <f t="shared" si="51"/>
        <v>180.64999999999998</v>
      </c>
    </row>
    <row r="1643" spans="1:26" x14ac:dyDescent="0.3">
      <c r="A1643" s="7" t="s">
        <v>21</v>
      </c>
      <c r="B1643" t="s">
        <v>525</v>
      </c>
      <c r="C1643" t="s">
        <v>526</v>
      </c>
      <c r="D1643" t="s">
        <v>1022</v>
      </c>
      <c r="E1643" t="s">
        <v>527</v>
      </c>
      <c r="F1643" t="s">
        <v>106</v>
      </c>
      <c r="G1643">
        <v>13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13</v>
      </c>
      <c r="T1643">
        <v>0</v>
      </c>
      <c r="U1643" t="s">
        <v>27</v>
      </c>
      <c r="W1643" s="2">
        <v>60.216666666666661</v>
      </c>
      <c r="X1643" s="3">
        <f t="shared" si="50"/>
        <v>782.81666666666661</v>
      </c>
      <c r="Y1643">
        <f>VLOOKUP(D1643,'[1]Cost Sheet'!$C:$D,2,0)</f>
        <v>60.216666666666661</v>
      </c>
      <c r="Z1643" s="3">
        <f t="shared" si="51"/>
        <v>782.81666666666661</v>
      </c>
    </row>
    <row r="1644" spans="1:26" x14ac:dyDescent="0.3">
      <c r="A1644" s="7" t="s">
        <v>21</v>
      </c>
      <c r="B1644" t="s">
        <v>525</v>
      </c>
      <c r="C1644" t="s">
        <v>526</v>
      </c>
      <c r="D1644" t="s">
        <v>1022</v>
      </c>
      <c r="E1644" t="s">
        <v>527</v>
      </c>
      <c r="F1644" t="s">
        <v>130</v>
      </c>
      <c r="G1644">
        <v>6</v>
      </c>
      <c r="H1644">
        <v>0</v>
      </c>
      <c r="I1644">
        <v>0</v>
      </c>
      <c r="J1644">
        <v>0</v>
      </c>
      <c r="K1644">
        <v>0</v>
      </c>
      <c r="L1644">
        <v>-2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4</v>
      </c>
      <c r="T1644">
        <v>0</v>
      </c>
      <c r="U1644" t="s">
        <v>39</v>
      </c>
      <c r="W1644" s="2">
        <v>60.216666666666661</v>
      </c>
      <c r="X1644" s="3">
        <f t="shared" si="50"/>
        <v>240.86666666666665</v>
      </c>
      <c r="Y1644">
        <f>VLOOKUP(D1644,'[1]Cost Sheet'!$C:$D,2,0)</f>
        <v>60.216666666666661</v>
      </c>
      <c r="Z1644" s="3">
        <f t="shared" si="51"/>
        <v>240.86666666666665</v>
      </c>
    </row>
    <row r="1645" spans="1:26" x14ac:dyDescent="0.3">
      <c r="A1645" s="7" t="s">
        <v>21</v>
      </c>
      <c r="B1645" t="s">
        <v>525</v>
      </c>
      <c r="C1645" t="s">
        <v>526</v>
      </c>
      <c r="D1645" t="s">
        <v>1022</v>
      </c>
      <c r="E1645" t="s">
        <v>527</v>
      </c>
      <c r="F1645" t="s">
        <v>26</v>
      </c>
      <c r="G1645">
        <v>25</v>
      </c>
      <c r="H1645">
        <v>0</v>
      </c>
      <c r="I1645">
        <v>-2</v>
      </c>
      <c r="J1645">
        <v>-5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19</v>
      </c>
      <c r="T1645">
        <v>0</v>
      </c>
      <c r="U1645" t="s">
        <v>38</v>
      </c>
      <c r="W1645" s="2">
        <v>60.216666666666661</v>
      </c>
      <c r="X1645" s="3">
        <f t="shared" si="50"/>
        <v>1144.1166666666666</v>
      </c>
      <c r="Y1645">
        <f>VLOOKUP(D1645,'[1]Cost Sheet'!$C:$D,2,0)</f>
        <v>60.216666666666661</v>
      </c>
      <c r="Z1645" s="3">
        <f t="shared" si="51"/>
        <v>1144.1166666666666</v>
      </c>
    </row>
    <row r="1646" spans="1:26" x14ac:dyDescent="0.3">
      <c r="A1646" s="7" t="s">
        <v>21</v>
      </c>
      <c r="B1646" t="s">
        <v>525</v>
      </c>
      <c r="C1646" t="s">
        <v>526</v>
      </c>
      <c r="D1646" t="s">
        <v>1022</v>
      </c>
      <c r="E1646" t="s">
        <v>527</v>
      </c>
      <c r="F1646" t="s">
        <v>26</v>
      </c>
      <c r="G1646">
        <v>48</v>
      </c>
      <c r="H1646">
        <v>0</v>
      </c>
      <c r="I1646">
        <v>0</v>
      </c>
      <c r="J1646">
        <v>-15</v>
      </c>
      <c r="K1646">
        <v>1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-1</v>
      </c>
      <c r="S1646">
        <v>34</v>
      </c>
      <c r="T1646">
        <v>0</v>
      </c>
      <c r="U1646" t="s">
        <v>107</v>
      </c>
      <c r="W1646" s="2">
        <v>60.216666666666661</v>
      </c>
      <c r="X1646" s="3">
        <f t="shared" si="50"/>
        <v>2047.3666666666666</v>
      </c>
      <c r="Y1646">
        <f>VLOOKUP(D1646,'[1]Cost Sheet'!$C:$D,2,0)</f>
        <v>60.216666666666661</v>
      </c>
      <c r="Z1646" s="3">
        <f t="shared" si="51"/>
        <v>2047.3666666666666</v>
      </c>
    </row>
    <row r="1647" spans="1:26" x14ac:dyDescent="0.3">
      <c r="A1647" s="7" t="s">
        <v>21</v>
      </c>
      <c r="B1647" t="s">
        <v>525</v>
      </c>
      <c r="C1647" t="s">
        <v>526</v>
      </c>
      <c r="D1647" t="s">
        <v>1022</v>
      </c>
      <c r="E1647" t="s">
        <v>527</v>
      </c>
      <c r="F1647" t="s">
        <v>26</v>
      </c>
      <c r="G1647">
        <v>2</v>
      </c>
      <c r="H1647">
        <v>1</v>
      </c>
      <c r="I1647">
        <v>0</v>
      </c>
      <c r="J1647">
        <v>0</v>
      </c>
      <c r="K1647">
        <v>2</v>
      </c>
      <c r="L1647">
        <v>0</v>
      </c>
      <c r="M1647">
        <v>-1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3</v>
      </c>
      <c r="T1647">
        <v>0</v>
      </c>
      <c r="U1647" t="s">
        <v>151</v>
      </c>
      <c r="W1647" s="2">
        <v>60.216666666666661</v>
      </c>
      <c r="X1647" s="3">
        <f t="shared" si="50"/>
        <v>180.64999999999998</v>
      </c>
      <c r="Y1647">
        <f>VLOOKUP(D1647,'[1]Cost Sheet'!$C:$D,2,0)</f>
        <v>60.216666666666661</v>
      </c>
      <c r="Z1647" s="3">
        <f t="shared" si="51"/>
        <v>180.64999999999998</v>
      </c>
    </row>
    <row r="1648" spans="1:26" x14ac:dyDescent="0.3">
      <c r="A1648" s="7" t="s">
        <v>21</v>
      </c>
      <c r="B1648" t="s">
        <v>525</v>
      </c>
      <c r="C1648" t="s">
        <v>526</v>
      </c>
      <c r="D1648" t="s">
        <v>1022</v>
      </c>
      <c r="E1648" t="s">
        <v>527</v>
      </c>
      <c r="F1648" t="s">
        <v>26</v>
      </c>
      <c r="G1648">
        <v>32</v>
      </c>
      <c r="H1648">
        <v>0</v>
      </c>
      <c r="I1648">
        <v>0</v>
      </c>
      <c r="J1648">
        <v>-25</v>
      </c>
      <c r="K1648">
        <v>1</v>
      </c>
      <c r="L1648">
        <v>0</v>
      </c>
      <c r="M1648">
        <v>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17</v>
      </c>
      <c r="T1648">
        <v>0</v>
      </c>
      <c r="U1648" t="s">
        <v>45</v>
      </c>
      <c r="W1648" s="2">
        <v>60.216666666666661</v>
      </c>
      <c r="X1648" s="3">
        <f t="shared" si="50"/>
        <v>1023.6833333333333</v>
      </c>
      <c r="Y1648">
        <f>VLOOKUP(D1648,'[1]Cost Sheet'!$C:$D,2,0)</f>
        <v>60.216666666666661</v>
      </c>
      <c r="Z1648" s="3">
        <f t="shared" si="51"/>
        <v>1023.6833333333333</v>
      </c>
    </row>
    <row r="1649" spans="1:26" x14ac:dyDescent="0.3">
      <c r="A1649" s="7" t="s">
        <v>21</v>
      </c>
      <c r="B1649" t="s">
        <v>525</v>
      </c>
      <c r="C1649" t="s">
        <v>526</v>
      </c>
      <c r="D1649" t="s">
        <v>1022</v>
      </c>
      <c r="E1649" t="s">
        <v>527</v>
      </c>
      <c r="F1649" t="s">
        <v>26</v>
      </c>
      <c r="G1649">
        <v>9</v>
      </c>
      <c r="H1649">
        <v>13</v>
      </c>
      <c r="I1649">
        <v>0</v>
      </c>
      <c r="J1649">
        <v>0</v>
      </c>
      <c r="K1649">
        <v>12</v>
      </c>
      <c r="L1649">
        <v>0</v>
      </c>
      <c r="M1649">
        <v>-19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</v>
      </c>
      <c r="T1649">
        <v>0</v>
      </c>
      <c r="U1649" t="s">
        <v>108</v>
      </c>
      <c r="W1649" s="2">
        <v>60.216666666666661</v>
      </c>
      <c r="X1649" s="3">
        <f t="shared" si="50"/>
        <v>120.43333333333332</v>
      </c>
      <c r="Y1649">
        <f>VLOOKUP(D1649,'[1]Cost Sheet'!$C:$D,2,0)</f>
        <v>60.216666666666661</v>
      </c>
      <c r="Z1649" s="3">
        <f t="shared" si="51"/>
        <v>120.43333333333332</v>
      </c>
    </row>
    <row r="1650" spans="1:26" x14ac:dyDescent="0.3">
      <c r="A1650" s="7" t="s">
        <v>21</v>
      </c>
      <c r="B1650" t="s">
        <v>525</v>
      </c>
      <c r="C1650" t="s">
        <v>526</v>
      </c>
      <c r="D1650" t="s">
        <v>1022</v>
      </c>
      <c r="E1650" t="s">
        <v>527</v>
      </c>
      <c r="F1650" t="s">
        <v>26</v>
      </c>
      <c r="G1650">
        <v>22</v>
      </c>
      <c r="H1650">
        <v>0</v>
      </c>
      <c r="I1650">
        <v>0</v>
      </c>
      <c r="J1650">
        <v>-10</v>
      </c>
      <c r="K1650">
        <v>1</v>
      </c>
      <c r="L1650">
        <v>0</v>
      </c>
      <c r="M1650">
        <v>12</v>
      </c>
      <c r="N1650">
        <v>0</v>
      </c>
      <c r="O1650">
        <v>0</v>
      </c>
      <c r="P1650">
        <v>0</v>
      </c>
      <c r="Q1650">
        <v>0</v>
      </c>
      <c r="R1650">
        <v>-2</v>
      </c>
      <c r="S1650">
        <v>23</v>
      </c>
      <c r="T1650">
        <v>0</v>
      </c>
      <c r="U1650" t="s">
        <v>39</v>
      </c>
      <c r="W1650" s="2">
        <v>60.216666666666661</v>
      </c>
      <c r="X1650" s="3">
        <f t="shared" si="50"/>
        <v>1384.9833333333331</v>
      </c>
      <c r="Y1650">
        <f>VLOOKUP(D1650,'[1]Cost Sheet'!$C:$D,2,0)</f>
        <v>60.216666666666661</v>
      </c>
      <c r="Z1650" s="3">
        <f t="shared" si="51"/>
        <v>1384.9833333333331</v>
      </c>
    </row>
    <row r="1651" spans="1:26" x14ac:dyDescent="0.3">
      <c r="A1651" s="7" t="s">
        <v>21</v>
      </c>
      <c r="B1651" t="s">
        <v>525</v>
      </c>
      <c r="C1651" t="s">
        <v>526</v>
      </c>
      <c r="D1651" t="s">
        <v>1022</v>
      </c>
      <c r="E1651" t="s">
        <v>527</v>
      </c>
      <c r="F1651" t="s">
        <v>26</v>
      </c>
      <c r="G1651">
        <v>54</v>
      </c>
      <c r="H1651">
        <v>0</v>
      </c>
      <c r="I1651">
        <v>-24</v>
      </c>
      <c r="J1651">
        <v>-19</v>
      </c>
      <c r="K1651">
        <v>0</v>
      </c>
      <c r="L1651">
        <v>0</v>
      </c>
      <c r="M1651">
        <v>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14</v>
      </c>
      <c r="T1651">
        <v>0</v>
      </c>
      <c r="U1651" t="s">
        <v>53</v>
      </c>
      <c r="W1651" s="2">
        <v>60.216666666666661</v>
      </c>
      <c r="X1651" s="3">
        <f t="shared" si="50"/>
        <v>843.0333333333333</v>
      </c>
      <c r="Y1651">
        <f>VLOOKUP(D1651,'[1]Cost Sheet'!$C:$D,2,0)</f>
        <v>60.216666666666661</v>
      </c>
      <c r="Z1651" s="3">
        <f t="shared" si="51"/>
        <v>843.0333333333333</v>
      </c>
    </row>
    <row r="1652" spans="1:26" x14ac:dyDescent="0.3">
      <c r="A1652" s="7" t="s">
        <v>21</v>
      </c>
      <c r="B1652" t="s">
        <v>525</v>
      </c>
      <c r="C1652" t="s">
        <v>526</v>
      </c>
      <c r="D1652" t="s">
        <v>1022</v>
      </c>
      <c r="E1652" t="s">
        <v>527</v>
      </c>
      <c r="F1652" t="s">
        <v>26</v>
      </c>
      <c r="G1652">
        <v>34</v>
      </c>
      <c r="H1652">
        <v>1</v>
      </c>
      <c r="I1652">
        <v>0</v>
      </c>
      <c r="J1652">
        <v>-18</v>
      </c>
      <c r="K1652">
        <v>5</v>
      </c>
      <c r="L1652">
        <v>0</v>
      </c>
      <c r="M1652">
        <v>-1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20</v>
      </c>
      <c r="T1652">
        <v>0</v>
      </c>
      <c r="U1652" t="s">
        <v>54</v>
      </c>
      <c r="W1652" s="2">
        <v>60.216666666666661</v>
      </c>
      <c r="X1652" s="3">
        <f t="shared" si="50"/>
        <v>1204.3333333333333</v>
      </c>
      <c r="Y1652">
        <f>VLOOKUP(D1652,'[1]Cost Sheet'!$C:$D,2,0)</f>
        <v>60.216666666666661</v>
      </c>
      <c r="Z1652" s="3">
        <f t="shared" si="51"/>
        <v>1204.3333333333333</v>
      </c>
    </row>
    <row r="1653" spans="1:26" x14ac:dyDescent="0.3">
      <c r="A1653" s="7" t="s">
        <v>21</v>
      </c>
      <c r="B1653" t="s">
        <v>525</v>
      </c>
      <c r="C1653" t="s">
        <v>526</v>
      </c>
      <c r="D1653" t="s">
        <v>1022</v>
      </c>
      <c r="E1653" t="s">
        <v>527</v>
      </c>
      <c r="F1653" t="s">
        <v>26</v>
      </c>
      <c r="G1653">
        <v>24</v>
      </c>
      <c r="H1653">
        <v>24</v>
      </c>
      <c r="I1653">
        <v>0</v>
      </c>
      <c r="J1653">
        <v>0</v>
      </c>
      <c r="K1653">
        <v>0</v>
      </c>
      <c r="L1653">
        <v>0</v>
      </c>
      <c r="M1653">
        <v>-24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s">
        <v>152</v>
      </c>
      <c r="W1653" s="2">
        <v>60.216666666666661</v>
      </c>
      <c r="X1653" s="3">
        <f t="shared" si="50"/>
        <v>0</v>
      </c>
      <c r="Y1653">
        <f>VLOOKUP(D1653,'[1]Cost Sheet'!$C:$D,2,0)</f>
        <v>60.216666666666661</v>
      </c>
      <c r="Z1653" s="3">
        <f t="shared" si="51"/>
        <v>0</v>
      </c>
    </row>
    <row r="1654" spans="1:26" x14ac:dyDescent="0.3">
      <c r="A1654" s="7" t="s">
        <v>21</v>
      </c>
      <c r="B1654" t="s">
        <v>525</v>
      </c>
      <c r="C1654" t="s">
        <v>526</v>
      </c>
      <c r="D1654" t="s">
        <v>1022</v>
      </c>
      <c r="E1654" t="s">
        <v>527</v>
      </c>
      <c r="F1654" t="s">
        <v>26</v>
      </c>
      <c r="G1654">
        <v>87</v>
      </c>
      <c r="H1654">
        <v>0</v>
      </c>
      <c r="I1654">
        <v>-7</v>
      </c>
      <c r="J1654">
        <v>-16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-1</v>
      </c>
      <c r="S1654">
        <v>63</v>
      </c>
      <c r="T1654">
        <v>0</v>
      </c>
      <c r="U1654" t="s">
        <v>32</v>
      </c>
      <c r="W1654" s="2">
        <v>60.216666666666661</v>
      </c>
      <c r="X1654" s="3">
        <f t="shared" si="50"/>
        <v>3793.6499999999996</v>
      </c>
      <c r="Y1654">
        <f>VLOOKUP(D1654,'[1]Cost Sheet'!$C:$D,2,0)</f>
        <v>60.216666666666661</v>
      </c>
      <c r="Z1654" s="3">
        <f t="shared" si="51"/>
        <v>3793.6499999999996</v>
      </c>
    </row>
    <row r="1655" spans="1:26" x14ac:dyDescent="0.3">
      <c r="A1655" s="7" t="s">
        <v>21</v>
      </c>
      <c r="B1655" t="s">
        <v>525</v>
      </c>
      <c r="C1655" t="s">
        <v>526</v>
      </c>
      <c r="D1655" t="s">
        <v>1022</v>
      </c>
      <c r="E1655" t="s">
        <v>527</v>
      </c>
      <c r="F1655" t="s">
        <v>26</v>
      </c>
      <c r="G1655">
        <v>48</v>
      </c>
      <c r="H1655">
        <v>2520</v>
      </c>
      <c r="I1655">
        <v>0</v>
      </c>
      <c r="J1655">
        <v>0</v>
      </c>
      <c r="K1655">
        <v>0</v>
      </c>
      <c r="L1655">
        <v>0</v>
      </c>
      <c r="M1655">
        <v>-48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s">
        <v>109</v>
      </c>
      <c r="W1655" s="2">
        <v>60.216666666666661</v>
      </c>
      <c r="X1655" s="3">
        <f t="shared" si="50"/>
        <v>0</v>
      </c>
      <c r="Y1655">
        <f>VLOOKUP(D1655,'[1]Cost Sheet'!$C:$D,2,0)</f>
        <v>60.216666666666661</v>
      </c>
      <c r="Z1655" s="3">
        <f t="shared" si="51"/>
        <v>0</v>
      </c>
    </row>
    <row r="1656" spans="1:26" x14ac:dyDescent="0.3">
      <c r="A1656" s="7" t="s">
        <v>21</v>
      </c>
      <c r="B1656" t="s">
        <v>525</v>
      </c>
      <c r="C1656" t="s">
        <v>526</v>
      </c>
      <c r="D1656" t="s">
        <v>1022</v>
      </c>
      <c r="E1656" t="s">
        <v>527</v>
      </c>
      <c r="F1656" t="s">
        <v>26</v>
      </c>
      <c r="G1656">
        <v>17</v>
      </c>
      <c r="H1656">
        <v>24</v>
      </c>
      <c r="I1656">
        <v>0</v>
      </c>
      <c r="J1656">
        <v>0</v>
      </c>
      <c r="K1656">
        <v>18</v>
      </c>
      <c r="L1656">
        <v>0</v>
      </c>
      <c r="M1656">
        <v>-28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7</v>
      </c>
      <c r="T1656">
        <v>0</v>
      </c>
      <c r="U1656" t="s">
        <v>88</v>
      </c>
      <c r="W1656" s="2">
        <v>60.216666666666661</v>
      </c>
      <c r="X1656" s="3">
        <f t="shared" si="50"/>
        <v>421.51666666666665</v>
      </c>
      <c r="Y1656">
        <f>VLOOKUP(D1656,'[1]Cost Sheet'!$C:$D,2,0)</f>
        <v>60.216666666666661</v>
      </c>
      <c r="Z1656" s="3">
        <f t="shared" si="51"/>
        <v>421.51666666666665</v>
      </c>
    </row>
    <row r="1657" spans="1:26" x14ac:dyDescent="0.3">
      <c r="A1657" s="7" t="s">
        <v>21</v>
      </c>
      <c r="B1657" t="s">
        <v>525</v>
      </c>
      <c r="C1657" t="s">
        <v>526</v>
      </c>
      <c r="D1657" t="s">
        <v>1022</v>
      </c>
      <c r="E1657" t="s">
        <v>527</v>
      </c>
      <c r="F1657" t="s">
        <v>26</v>
      </c>
      <c r="G1657">
        <v>41</v>
      </c>
      <c r="H1657">
        <v>0</v>
      </c>
      <c r="I1657">
        <v>0</v>
      </c>
      <c r="J1657">
        <v>-19</v>
      </c>
      <c r="K1657">
        <v>1</v>
      </c>
      <c r="L1657">
        <v>0</v>
      </c>
      <c r="M1657">
        <v>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31</v>
      </c>
      <c r="T1657">
        <v>0</v>
      </c>
      <c r="U1657" t="s">
        <v>33</v>
      </c>
      <c r="W1657" s="2">
        <v>60.216666666666661</v>
      </c>
      <c r="X1657" s="3">
        <f t="shared" si="50"/>
        <v>1866.7166666666665</v>
      </c>
      <c r="Y1657">
        <f>VLOOKUP(D1657,'[1]Cost Sheet'!$C:$D,2,0)</f>
        <v>60.216666666666661</v>
      </c>
      <c r="Z1657" s="3">
        <f t="shared" si="51"/>
        <v>1866.7166666666665</v>
      </c>
    </row>
    <row r="1658" spans="1:26" x14ac:dyDescent="0.3">
      <c r="A1658" s="7" t="s">
        <v>21</v>
      </c>
      <c r="B1658" t="s">
        <v>525</v>
      </c>
      <c r="C1658" t="s">
        <v>526</v>
      </c>
      <c r="D1658" t="s">
        <v>1022</v>
      </c>
      <c r="E1658" t="s">
        <v>527</v>
      </c>
      <c r="F1658" t="s">
        <v>26</v>
      </c>
      <c r="G1658">
        <v>41</v>
      </c>
      <c r="H1658">
        <v>0</v>
      </c>
      <c r="I1658">
        <v>0</v>
      </c>
      <c r="J1658">
        <v>-12</v>
      </c>
      <c r="K1658">
        <v>0</v>
      </c>
      <c r="L1658">
        <v>0</v>
      </c>
      <c r="M1658">
        <v>1478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1507</v>
      </c>
      <c r="T1658">
        <v>0</v>
      </c>
      <c r="U1658" t="s">
        <v>46</v>
      </c>
      <c r="W1658" s="2">
        <v>60.216666666666661</v>
      </c>
      <c r="X1658" s="3">
        <f t="shared" si="50"/>
        <v>90746.516666666663</v>
      </c>
      <c r="Y1658">
        <f>VLOOKUP(D1658,'[1]Cost Sheet'!$C:$D,2,0)</f>
        <v>60.216666666666661</v>
      </c>
      <c r="Z1658" s="3">
        <f t="shared" si="51"/>
        <v>90746.516666666663</v>
      </c>
    </row>
    <row r="1659" spans="1:26" x14ac:dyDescent="0.3">
      <c r="A1659" s="7" t="s">
        <v>21</v>
      </c>
      <c r="B1659" t="s">
        <v>525</v>
      </c>
      <c r="C1659" t="s">
        <v>526</v>
      </c>
      <c r="D1659" t="s">
        <v>1022</v>
      </c>
      <c r="E1659" t="s">
        <v>527</v>
      </c>
      <c r="F1659" t="s">
        <v>26</v>
      </c>
      <c r="G1659">
        <v>16</v>
      </c>
      <c r="H1659">
        <v>0</v>
      </c>
      <c r="I1659">
        <v>0</v>
      </c>
      <c r="J1659">
        <v>-3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13</v>
      </c>
      <c r="T1659">
        <v>0</v>
      </c>
      <c r="U1659" t="s">
        <v>111</v>
      </c>
      <c r="W1659" s="2">
        <v>60.216666666666661</v>
      </c>
      <c r="X1659" s="3">
        <f t="shared" si="50"/>
        <v>782.81666666666661</v>
      </c>
      <c r="Y1659">
        <f>VLOOKUP(D1659,'[1]Cost Sheet'!$C:$D,2,0)</f>
        <v>60.216666666666661</v>
      </c>
      <c r="Z1659" s="3">
        <f t="shared" si="51"/>
        <v>782.81666666666661</v>
      </c>
    </row>
    <row r="1660" spans="1:26" x14ac:dyDescent="0.3">
      <c r="A1660" s="7" t="s">
        <v>21</v>
      </c>
      <c r="B1660" t="s">
        <v>525</v>
      </c>
      <c r="C1660" t="s">
        <v>526</v>
      </c>
      <c r="D1660" t="s">
        <v>1022</v>
      </c>
      <c r="E1660" t="s">
        <v>527</v>
      </c>
      <c r="F1660" t="s">
        <v>26</v>
      </c>
      <c r="G1660">
        <v>180</v>
      </c>
      <c r="H1660">
        <v>0</v>
      </c>
      <c r="I1660">
        <v>0</v>
      </c>
      <c r="J1660">
        <v>-36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145</v>
      </c>
      <c r="T1660">
        <v>0</v>
      </c>
      <c r="U1660" t="s">
        <v>47</v>
      </c>
      <c r="W1660" s="2">
        <v>60.216666666666661</v>
      </c>
      <c r="X1660" s="3">
        <f t="shared" si="50"/>
        <v>8731.4166666666661</v>
      </c>
      <c r="Y1660">
        <f>VLOOKUP(D1660,'[1]Cost Sheet'!$C:$D,2,0)</f>
        <v>60.216666666666661</v>
      </c>
      <c r="Z1660" s="3">
        <f t="shared" si="51"/>
        <v>8731.4166666666661</v>
      </c>
    </row>
    <row r="1661" spans="1:26" x14ac:dyDescent="0.3">
      <c r="A1661" s="7" t="s">
        <v>21</v>
      </c>
      <c r="B1661" t="s">
        <v>525</v>
      </c>
      <c r="C1661" t="s">
        <v>526</v>
      </c>
      <c r="D1661" t="s">
        <v>1022</v>
      </c>
      <c r="E1661" t="s">
        <v>527</v>
      </c>
      <c r="F1661" t="s">
        <v>26</v>
      </c>
      <c r="G1661">
        <v>94</v>
      </c>
      <c r="H1661">
        <v>0</v>
      </c>
      <c r="I1661">
        <v>0</v>
      </c>
      <c r="J1661">
        <v>-62</v>
      </c>
      <c r="K1661">
        <v>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37</v>
      </c>
      <c r="T1661">
        <v>0</v>
      </c>
      <c r="U1661" t="s">
        <v>40</v>
      </c>
      <c r="W1661" s="2">
        <v>60.216666666666661</v>
      </c>
      <c r="X1661" s="3">
        <f t="shared" si="50"/>
        <v>2228.0166666666664</v>
      </c>
      <c r="Y1661">
        <f>VLOOKUP(D1661,'[1]Cost Sheet'!$C:$D,2,0)</f>
        <v>60.216666666666661</v>
      </c>
      <c r="Z1661" s="3">
        <f t="shared" si="51"/>
        <v>2228.0166666666664</v>
      </c>
    </row>
    <row r="1662" spans="1:26" x14ac:dyDescent="0.3">
      <c r="A1662" s="7" t="s">
        <v>21</v>
      </c>
      <c r="B1662" t="s">
        <v>525</v>
      </c>
      <c r="C1662" t="s">
        <v>526</v>
      </c>
      <c r="D1662" t="s">
        <v>1022</v>
      </c>
      <c r="E1662" t="s">
        <v>527</v>
      </c>
      <c r="F1662" t="s">
        <v>26</v>
      </c>
      <c r="G1662">
        <v>1282</v>
      </c>
      <c r="H1662">
        <v>0</v>
      </c>
      <c r="I1662">
        <v>0</v>
      </c>
      <c r="J1662">
        <v>-30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1252</v>
      </c>
      <c r="T1662">
        <v>0</v>
      </c>
      <c r="U1662" t="s">
        <v>120</v>
      </c>
      <c r="W1662" s="2">
        <v>60.216666666666661</v>
      </c>
      <c r="X1662" s="3">
        <f t="shared" si="50"/>
        <v>75391.266666666663</v>
      </c>
      <c r="Y1662">
        <f>VLOOKUP(D1662,'[1]Cost Sheet'!$C:$D,2,0)</f>
        <v>60.216666666666661</v>
      </c>
      <c r="Z1662" s="3">
        <f t="shared" si="51"/>
        <v>75391.266666666663</v>
      </c>
    </row>
    <row r="1663" spans="1:26" x14ac:dyDescent="0.3">
      <c r="A1663" s="7" t="s">
        <v>21</v>
      </c>
      <c r="B1663" t="s">
        <v>525</v>
      </c>
      <c r="C1663" t="s">
        <v>526</v>
      </c>
      <c r="D1663" t="s">
        <v>1022</v>
      </c>
      <c r="E1663" t="s">
        <v>527</v>
      </c>
      <c r="F1663" t="s">
        <v>26</v>
      </c>
      <c r="G1663">
        <v>6</v>
      </c>
      <c r="H1663">
        <v>0</v>
      </c>
      <c r="I1663">
        <v>0</v>
      </c>
      <c r="J1663">
        <v>-4</v>
      </c>
      <c r="K1663">
        <v>7</v>
      </c>
      <c r="L1663">
        <v>0</v>
      </c>
      <c r="M1663">
        <v>24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33</v>
      </c>
      <c r="T1663">
        <v>0</v>
      </c>
      <c r="U1663" t="s">
        <v>113</v>
      </c>
      <c r="W1663" s="2">
        <v>60.216666666666661</v>
      </c>
      <c r="X1663" s="3">
        <f t="shared" si="50"/>
        <v>1987.1499999999999</v>
      </c>
      <c r="Y1663">
        <f>VLOOKUP(D1663,'[1]Cost Sheet'!$C:$D,2,0)</f>
        <v>60.216666666666661</v>
      </c>
      <c r="Z1663" s="3">
        <f t="shared" si="51"/>
        <v>1987.1499999999999</v>
      </c>
    </row>
    <row r="1664" spans="1:26" x14ac:dyDescent="0.3">
      <c r="A1664" s="7" t="s">
        <v>21</v>
      </c>
      <c r="B1664" t="s">
        <v>525</v>
      </c>
      <c r="C1664" t="s">
        <v>526</v>
      </c>
      <c r="D1664" t="s">
        <v>1022</v>
      </c>
      <c r="E1664" t="s">
        <v>527</v>
      </c>
      <c r="F1664" t="s">
        <v>26</v>
      </c>
      <c r="G1664">
        <v>41</v>
      </c>
      <c r="H1664">
        <v>0</v>
      </c>
      <c r="I1664">
        <v>-21</v>
      </c>
      <c r="J1664">
        <v>-8</v>
      </c>
      <c r="K1664">
        <v>3</v>
      </c>
      <c r="L1664">
        <v>0</v>
      </c>
      <c r="M1664">
        <v>24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39</v>
      </c>
      <c r="T1664">
        <v>0</v>
      </c>
      <c r="U1664" t="s">
        <v>48</v>
      </c>
      <c r="W1664" s="2">
        <v>60.216666666666661</v>
      </c>
      <c r="X1664" s="3">
        <f t="shared" si="50"/>
        <v>2348.4499999999998</v>
      </c>
      <c r="Y1664">
        <f>VLOOKUP(D1664,'[1]Cost Sheet'!$C:$D,2,0)</f>
        <v>60.216666666666661</v>
      </c>
      <c r="Z1664" s="3">
        <f t="shared" si="51"/>
        <v>2348.4499999999998</v>
      </c>
    </row>
    <row r="1665" spans="1:26" x14ac:dyDescent="0.3">
      <c r="A1665" s="7" t="s">
        <v>21</v>
      </c>
      <c r="B1665" t="s">
        <v>525</v>
      </c>
      <c r="C1665" t="s">
        <v>526</v>
      </c>
      <c r="D1665" t="s">
        <v>1022</v>
      </c>
      <c r="E1665" t="s">
        <v>527</v>
      </c>
      <c r="F1665" t="s">
        <v>26</v>
      </c>
      <c r="G1665">
        <v>23</v>
      </c>
      <c r="H1665">
        <v>1</v>
      </c>
      <c r="I1665">
        <v>0</v>
      </c>
      <c r="J1665">
        <v>-12</v>
      </c>
      <c r="K1665">
        <v>3</v>
      </c>
      <c r="L1665">
        <v>0</v>
      </c>
      <c r="M1665">
        <v>-1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13</v>
      </c>
      <c r="T1665">
        <v>0</v>
      </c>
      <c r="U1665" t="s">
        <v>59</v>
      </c>
      <c r="W1665" s="2">
        <v>60.216666666666661</v>
      </c>
      <c r="X1665" s="3">
        <f t="shared" si="50"/>
        <v>782.81666666666661</v>
      </c>
      <c r="Y1665">
        <f>VLOOKUP(D1665,'[1]Cost Sheet'!$C:$D,2,0)</f>
        <v>60.216666666666661</v>
      </c>
      <c r="Z1665" s="3">
        <f t="shared" si="51"/>
        <v>782.81666666666661</v>
      </c>
    </row>
    <row r="1666" spans="1:26" x14ac:dyDescent="0.3">
      <c r="A1666" s="7" t="s">
        <v>21</v>
      </c>
      <c r="B1666" t="s">
        <v>525</v>
      </c>
      <c r="C1666" t="s">
        <v>526</v>
      </c>
      <c r="D1666" t="s">
        <v>1022</v>
      </c>
      <c r="E1666" t="s">
        <v>527</v>
      </c>
      <c r="F1666" t="s">
        <v>26</v>
      </c>
      <c r="G1666">
        <v>17</v>
      </c>
      <c r="H1666">
        <v>0</v>
      </c>
      <c r="I1666">
        <v>0</v>
      </c>
      <c r="J1666">
        <v>-1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16</v>
      </c>
      <c r="T1666">
        <v>0</v>
      </c>
      <c r="U1666" t="s">
        <v>27</v>
      </c>
      <c r="W1666" s="2">
        <v>60.216666666666661</v>
      </c>
      <c r="X1666" s="3">
        <f t="shared" si="50"/>
        <v>963.46666666666658</v>
      </c>
      <c r="Y1666">
        <f>VLOOKUP(D1666,'[1]Cost Sheet'!$C:$D,2,0)</f>
        <v>60.216666666666661</v>
      </c>
      <c r="Z1666" s="3">
        <f t="shared" si="51"/>
        <v>963.46666666666658</v>
      </c>
    </row>
    <row r="1667" spans="1:26" x14ac:dyDescent="0.3">
      <c r="A1667" s="7" t="s">
        <v>21</v>
      </c>
      <c r="B1667" t="s">
        <v>525</v>
      </c>
      <c r="C1667" t="s">
        <v>526</v>
      </c>
      <c r="D1667" t="s">
        <v>1022</v>
      </c>
      <c r="E1667" t="s">
        <v>527</v>
      </c>
      <c r="F1667" t="s">
        <v>114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2</v>
      </c>
      <c r="T1667">
        <v>0</v>
      </c>
      <c r="U1667" t="s">
        <v>107</v>
      </c>
      <c r="W1667" s="2">
        <v>60.216666666666661</v>
      </c>
      <c r="X1667" s="3">
        <f t="shared" ref="X1667:X1730" si="52">S1667*W1667</f>
        <v>120.43333333333332</v>
      </c>
      <c r="Y1667">
        <f>VLOOKUP(D1667,'[1]Cost Sheet'!$C:$D,2,0)</f>
        <v>60.216666666666661</v>
      </c>
      <c r="Z1667" s="3">
        <f t="shared" ref="Z1667:Z1730" si="53">Y1667*S1667</f>
        <v>120.43333333333332</v>
      </c>
    </row>
    <row r="1668" spans="1:26" x14ac:dyDescent="0.3">
      <c r="A1668" s="7" t="s">
        <v>21</v>
      </c>
      <c r="B1668" t="s">
        <v>525</v>
      </c>
      <c r="C1668" t="s">
        <v>526</v>
      </c>
      <c r="D1668" t="s">
        <v>1022</v>
      </c>
      <c r="E1668" t="s">
        <v>527</v>
      </c>
      <c r="F1668" t="s">
        <v>114</v>
      </c>
      <c r="G1668">
        <v>4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4</v>
      </c>
      <c r="T1668">
        <v>0</v>
      </c>
      <c r="U1668" t="s">
        <v>151</v>
      </c>
      <c r="W1668" s="2">
        <v>60.216666666666661</v>
      </c>
      <c r="X1668" s="3">
        <f t="shared" si="52"/>
        <v>240.86666666666665</v>
      </c>
      <c r="Y1668">
        <f>VLOOKUP(D1668,'[1]Cost Sheet'!$C:$D,2,0)</f>
        <v>60.216666666666661</v>
      </c>
      <c r="Z1668" s="3">
        <f t="shared" si="53"/>
        <v>240.86666666666665</v>
      </c>
    </row>
    <row r="1669" spans="1:26" x14ac:dyDescent="0.3">
      <c r="A1669" s="7" t="s">
        <v>21</v>
      </c>
      <c r="B1669" t="s">
        <v>525</v>
      </c>
      <c r="C1669" t="s">
        <v>526</v>
      </c>
      <c r="D1669" t="s">
        <v>1022</v>
      </c>
      <c r="E1669" t="s">
        <v>527</v>
      </c>
      <c r="F1669" t="s">
        <v>114</v>
      </c>
      <c r="G1669">
        <v>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2</v>
      </c>
      <c r="T1669">
        <v>0</v>
      </c>
      <c r="U1669" t="s">
        <v>45</v>
      </c>
      <c r="W1669" s="2">
        <v>60.216666666666661</v>
      </c>
      <c r="X1669" s="3">
        <f t="shared" si="52"/>
        <v>120.43333333333332</v>
      </c>
      <c r="Y1669">
        <f>VLOOKUP(D1669,'[1]Cost Sheet'!$C:$D,2,0)</f>
        <v>60.216666666666661</v>
      </c>
      <c r="Z1669" s="3">
        <f t="shared" si="53"/>
        <v>120.43333333333332</v>
      </c>
    </row>
    <row r="1670" spans="1:26" x14ac:dyDescent="0.3">
      <c r="A1670" s="7" t="s">
        <v>21</v>
      </c>
      <c r="B1670" t="s">
        <v>525</v>
      </c>
      <c r="C1670" t="s">
        <v>526</v>
      </c>
      <c r="D1670" t="s">
        <v>1022</v>
      </c>
      <c r="E1670" t="s">
        <v>527</v>
      </c>
      <c r="F1670" t="s">
        <v>114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 t="s">
        <v>108</v>
      </c>
      <c r="W1670" s="2">
        <v>60.216666666666661</v>
      </c>
      <c r="X1670" s="3">
        <f t="shared" si="52"/>
        <v>60.216666666666661</v>
      </c>
      <c r="Y1670">
        <f>VLOOKUP(D1670,'[1]Cost Sheet'!$C:$D,2,0)</f>
        <v>60.216666666666661</v>
      </c>
      <c r="Z1670" s="3">
        <f t="shared" si="53"/>
        <v>60.216666666666661</v>
      </c>
    </row>
    <row r="1671" spans="1:26" x14ac:dyDescent="0.3">
      <c r="A1671" s="7" t="s">
        <v>21</v>
      </c>
      <c r="B1671" t="s">
        <v>525</v>
      </c>
      <c r="C1671" t="s">
        <v>526</v>
      </c>
      <c r="D1671" t="s">
        <v>1022</v>
      </c>
      <c r="E1671" t="s">
        <v>527</v>
      </c>
      <c r="F1671" t="s">
        <v>114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 t="s">
        <v>39</v>
      </c>
      <c r="W1671" s="2">
        <v>60.216666666666661</v>
      </c>
      <c r="X1671" s="3">
        <f t="shared" si="52"/>
        <v>60.216666666666661</v>
      </c>
      <c r="Y1671">
        <f>VLOOKUP(D1671,'[1]Cost Sheet'!$C:$D,2,0)</f>
        <v>60.216666666666661</v>
      </c>
      <c r="Z1671" s="3">
        <f t="shared" si="53"/>
        <v>60.216666666666661</v>
      </c>
    </row>
    <row r="1672" spans="1:26" x14ac:dyDescent="0.3">
      <c r="A1672" s="7" t="s">
        <v>21</v>
      </c>
      <c r="B1672" t="s">
        <v>525</v>
      </c>
      <c r="C1672" t="s">
        <v>526</v>
      </c>
      <c r="D1672" t="s">
        <v>1022</v>
      </c>
      <c r="E1672" t="s">
        <v>527</v>
      </c>
      <c r="F1672" t="s">
        <v>114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 t="s">
        <v>54</v>
      </c>
      <c r="W1672" s="2">
        <v>60.216666666666661</v>
      </c>
      <c r="X1672" s="3">
        <f t="shared" si="52"/>
        <v>60.216666666666661</v>
      </c>
      <c r="Y1672">
        <f>VLOOKUP(D1672,'[1]Cost Sheet'!$C:$D,2,0)</f>
        <v>60.216666666666661</v>
      </c>
      <c r="Z1672" s="3">
        <f t="shared" si="53"/>
        <v>60.216666666666661</v>
      </c>
    </row>
    <row r="1673" spans="1:26" x14ac:dyDescent="0.3">
      <c r="A1673" s="7" t="s">
        <v>21</v>
      </c>
      <c r="B1673" t="s">
        <v>525</v>
      </c>
      <c r="C1673" t="s">
        <v>526</v>
      </c>
      <c r="D1673" t="s">
        <v>1022</v>
      </c>
      <c r="E1673" t="s">
        <v>527</v>
      </c>
      <c r="F1673" t="s">
        <v>114</v>
      </c>
      <c r="G1673">
        <v>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</v>
      </c>
      <c r="T1673">
        <v>0</v>
      </c>
      <c r="U1673" t="s">
        <v>32</v>
      </c>
      <c r="W1673" s="2">
        <v>60.216666666666661</v>
      </c>
      <c r="X1673" s="3">
        <f t="shared" si="52"/>
        <v>120.43333333333332</v>
      </c>
      <c r="Y1673">
        <f>VLOOKUP(D1673,'[1]Cost Sheet'!$C:$D,2,0)</f>
        <v>60.216666666666661</v>
      </c>
      <c r="Z1673" s="3">
        <f t="shared" si="53"/>
        <v>120.43333333333332</v>
      </c>
    </row>
    <row r="1674" spans="1:26" x14ac:dyDescent="0.3">
      <c r="A1674" s="7" t="s">
        <v>21</v>
      </c>
      <c r="B1674" t="s">
        <v>525</v>
      </c>
      <c r="C1674" t="s">
        <v>526</v>
      </c>
      <c r="D1674" t="s">
        <v>1022</v>
      </c>
      <c r="E1674" t="s">
        <v>527</v>
      </c>
      <c r="F1674" t="s">
        <v>114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 t="s">
        <v>33</v>
      </c>
      <c r="W1674" s="2">
        <v>60.216666666666661</v>
      </c>
      <c r="X1674" s="3">
        <f t="shared" si="52"/>
        <v>60.216666666666661</v>
      </c>
      <c r="Y1674">
        <f>VLOOKUP(D1674,'[1]Cost Sheet'!$C:$D,2,0)</f>
        <v>60.216666666666661</v>
      </c>
      <c r="Z1674" s="3">
        <f t="shared" si="53"/>
        <v>60.216666666666661</v>
      </c>
    </row>
    <row r="1675" spans="1:26" x14ac:dyDescent="0.3">
      <c r="A1675" s="7" t="s">
        <v>21</v>
      </c>
      <c r="B1675" t="s">
        <v>525</v>
      </c>
      <c r="C1675" t="s">
        <v>526</v>
      </c>
      <c r="D1675" t="s">
        <v>1022</v>
      </c>
      <c r="E1675" t="s">
        <v>527</v>
      </c>
      <c r="F1675" t="s">
        <v>114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 t="s">
        <v>27</v>
      </c>
      <c r="W1675" s="2">
        <v>60.216666666666661</v>
      </c>
      <c r="X1675" s="3">
        <f t="shared" si="52"/>
        <v>60.216666666666661</v>
      </c>
      <c r="Y1675">
        <f>VLOOKUP(D1675,'[1]Cost Sheet'!$C:$D,2,0)</f>
        <v>60.216666666666661</v>
      </c>
      <c r="Z1675" s="3">
        <f t="shared" si="53"/>
        <v>60.216666666666661</v>
      </c>
    </row>
    <row r="1676" spans="1:26" x14ac:dyDescent="0.3">
      <c r="A1676" s="7" t="s">
        <v>21</v>
      </c>
      <c r="B1676" t="s">
        <v>626</v>
      </c>
      <c r="C1676" t="s">
        <v>627</v>
      </c>
      <c r="D1676" t="s">
        <v>628</v>
      </c>
      <c r="E1676" t="s">
        <v>629</v>
      </c>
      <c r="F1676" t="s">
        <v>26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 t="s">
        <v>53</v>
      </c>
      <c r="W1676" s="2">
        <v>57.620000000000005</v>
      </c>
      <c r="X1676" s="3">
        <f t="shared" si="52"/>
        <v>57.620000000000005</v>
      </c>
      <c r="Y1676">
        <f>VLOOKUP(D1676,'[1]Cost Sheet'!$C:$D,2,0)</f>
        <v>56.28</v>
      </c>
      <c r="Z1676" s="3">
        <f t="shared" si="53"/>
        <v>56.28</v>
      </c>
    </row>
    <row r="1677" spans="1:26" x14ac:dyDescent="0.3">
      <c r="A1677" s="7" t="s">
        <v>21</v>
      </c>
      <c r="B1677" t="s">
        <v>626</v>
      </c>
      <c r="C1677" t="s">
        <v>627</v>
      </c>
      <c r="D1677" t="s">
        <v>628</v>
      </c>
      <c r="E1677" t="s">
        <v>629</v>
      </c>
      <c r="F1677" t="s">
        <v>26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 t="s">
        <v>54</v>
      </c>
      <c r="W1677" s="2">
        <v>57.620000000000005</v>
      </c>
      <c r="X1677" s="3">
        <f t="shared" si="52"/>
        <v>57.620000000000005</v>
      </c>
      <c r="Y1677">
        <f>VLOOKUP(D1677,'[1]Cost Sheet'!$C:$D,2,0)</f>
        <v>56.28</v>
      </c>
      <c r="Z1677" s="3">
        <f t="shared" si="53"/>
        <v>56.28</v>
      </c>
    </row>
    <row r="1678" spans="1:26" x14ac:dyDescent="0.3">
      <c r="A1678" s="7" t="s">
        <v>21</v>
      </c>
      <c r="B1678" t="s">
        <v>626</v>
      </c>
      <c r="C1678" t="s">
        <v>627</v>
      </c>
      <c r="D1678" t="s">
        <v>628</v>
      </c>
      <c r="E1678" t="s">
        <v>629</v>
      </c>
      <c r="F1678" t="s">
        <v>26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 t="s">
        <v>40</v>
      </c>
      <c r="W1678" s="2">
        <v>57.620000000000005</v>
      </c>
      <c r="X1678" s="3">
        <f t="shared" si="52"/>
        <v>57.620000000000005</v>
      </c>
      <c r="Y1678">
        <f>VLOOKUP(D1678,'[1]Cost Sheet'!$C:$D,2,0)</f>
        <v>56.28</v>
      </c>
      <c r="Z1678" s="3">
        <f t="shared" si="53"/>
        <v>56.28</v>
      </c>
    </row>
    <row r="1679" spans="1:26" x14ac:dyDescent="0.3">
      <c r="A1679" s="7" t="s">
        <v>21</v>
      </c>
      <c r="B1679" t="s">
        <v>630</v>
      </c>
      <c r="C1679" t="s">
        <v>631</v>
      </c>
      <c r="D1679" t="s">
        <v>632</v>
      </c>
      <c r="E1679" t="s">
        <v>633</v>
      </c>
      <c r="F1679" t="s">
        <v>125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 t="s">
        <v>88</v>
      </c>
      <c r="W1679" s="2">
        <v>41.552</v>
      </c>
      <c r="X1679" s="3">
        <f t="shared" si="52"/>
        <v>41.552</v>
      </c>
      <c r="Y1679">
        <f>VLOOKUP(D1679,'[1]Cost Sheet'!$C:$D,2,0)</f>
        <v>41.62</v>
      </c>
      <c r="Z1679" s="3">
        <f t="shared" si="53"/>
        <v>41.62</v>
      </c>
    </row>
    <row r="1680" spans="1:26" x14ac:dyDescent="0.3">
      <c r="A1680" s="7" t="s">
        <v>21</v>
      </c>
      <c r="B1680" t="s">
        <v>630</v>
      </c>
      <c r="C1680" t="s">
        <v>631</v>
      </c>
      <c r="D1680" t="s">
        <v>632</v>
      </c>
      <c r="E1680" t="s">
        <v>633</v>
      </c>
      <c r="F1680" t="s">
        <v>106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 t="s">
        <v>54</v>
      </c>
      <c r="W1680" s="2">
        <v>41.552</v>
      </c>
      <c r="X1680" s="3">
        <f t="shared" si="52"/>
        <v>41.552</v>
      </c>
      <c r="Y1680">
        <f>VLOOKUP(D1680,'[1]Cost Sheet'!$C:$D,2,0)</f>
        <v>41.62</v>
      </c>
      <c r="Z1680" s="3">
        <f t="shared" si="53"/>
        <v>41.62</v>
      </c>
    </row>
    <row r="1681" spans="1:26" x14ac:dyDescent="0.3">
      <c r="A1681" s="7" t="s">
        <v>21</v>
      </c>
      <c r="B1681" t="s">
        <v>630</v>
      </c>
      <c r="C1681" t="s">
        <v>631</v>
      </c>
      <c r="D1681" t="s">
        <v>632</v>
      </c>
      <c r="E1681" t="s">
        <v>633</v>
      </c>
      <c r="F1681" t="s">
        <v>106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0</v>
      </c>
      <c r="U1681" t="s">
        <v>46</v>
      </c>
      <c r="W1681" s="2">
        <v>41.552</v>
      </c>
      <c r="X1681" s="3">
        <f t="shared" si="52"/>
        <v>41.552</v>
      </c>
      <c r="Y1681">
        <f>VLOOKUP(D1681,'[1]Cost Sheet'!$C:$D,2,0)</f>
        <v>41.62</v>
      </c>
      <c r="Z1681" s="3">
        <f t="shared" si="53"/>
        <v>41.62</v>
      </c>
    </row>
    <row r="1682" spans="1:26" x14ac:dyDescent="0.3">
      <c r="A1682" s="7" t="s">
        <v>21</v>
      </c>
      <c r="B1682" t="s">
        <v>630</v>
      </c>
      <c r="C1682" t="s">
        <v>631</v>
      </c>
      <c r="D1682" t="s">
        <v>632</v>
      </c>
      <c r="E1682" t="s">
        <v>633</v>
      </c>
      <c r="F1682" t="s">
        <v>26</v>
      </c>
      <c r="G1682">
        <v>24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24</v>
      </c>
      <c r="T1682">
        <v>0</v>
      </c>
      <c r="U1682" t="s">
        <v>38</v>
      </c>
      <c r="W1682" s="2">
        <v>41.552</v>
      </c>
      <c r="X1682" s="3">
        <f t="shared" si="52"/>
        <v>997.24800000000005</v>
      </c>
      <c r="Y1682">
        <f>VLOOKUP(D1682,'[1]Cost Sheet'!$C:$D,2,0)</f>
        <v>41.62</v>
      </c>
      <c r="Z1682" s="3">
        <f t="shared" si="53"/>
        <v>998.87999999999988</v>
      </c>
    </row>
    <row r="1683" spans="1:26" x14ac:dyDescent="0.3">
      <c r="A1683" s="7" t="s">
        <v>21</v>
      </c>
      <c r="B1683" t="s">
        <v>630</v>
      </c>
      <c r="C1683" t="s">
        <v>631</v>
      </c>
      <c r="D1683" t="s">
        <v>632</v>
      </c>
      <c r="E1683" t="s">
        <v>633</v>
      </c>
      <c r="F1683" t="s">
        <v>26</v>
      </c>
      <c r="G1683">
        <v>144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144</v>
      </c>
      <c r="T1683">
        <v>0</v>
      </c>
      <c r="U1683" t="s">
        <v>107</v>
      </c>
      <c r="W1683" s="2">
        <v>41.552</v>
      </c>
      <c r="X1683" s="3">
        <f t="shared" si="52"/>
        <v>5983.4880000000003</v>
      </c>
      <c r="Y1683">
        <f>VLOOKUP(D1683,'[1]Cost Sheet'!$C:$D,2,0)</f>
        <v>41.62</v>
      </c>
      <c r="Z1683" s="3">
        <f t="shared" si="53"/>
        <v>5993.28</v>
      </c>
    </row>
    <row r="1684" spans="1:26" x14ac:dyDescent="0.3">
      <c r="A1684" s="7" t="s">
        <v>21</v>
      </c>
      <c r="B1684" t="s">
        <v>630</v>
      </c>
      <c r="C1684" t="s">
        <v>631</v>
      </c>
      <c r="D1684" t="s">
        <v>632</v>
      </c>
      <c r="E1684" t="s">
        <v>633</v>
      </c>
      <c r="F1684" t="s">
        <v>26</v>
      </c>
      <c r="G1684">
        <v>17</v>
      </c>
      <c r="H1684">
        <v>0</v>
      </c>
      <c r="I1684">
        <v>0</v>
      </c>
      <c r="J1684">
        <v>-2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15</v>
      </c>
      <c r="T1684">
        <v>0</v>
      </c>
      <c r="U1684" t="s">
        <v>45</v>
      </c>
      <c r="W1684" s="2">
        <v>41.552</v>
      </c>
      <c r="X1684" s="3">
        <f t="shared" si="52"/>
        <v>623.28</v>
      </c>
      <c r="Y1684">
        <f>VLOOKUP(D1684,'[1]Cost Sheet'!$C:$D,2,0)</f>
        <v>41.62</v>
      </c>
      <c r="Z1684" s="3">
        <f t="shared" si="53"/>
        <v>624.29999999999995</v>
      </c>
    </row>
    <row r="1685" spans="1:26" x14ac:dyDescent="0.3">
      <c r="A1685" s="7" t="s">
        <v>21</v>
      </c>
      <c r="B1685" t="s">
        <v>630</v>
      </c>
      <c r="C1685" t="s">
        <v>631</v>
      </c>
      <c r="D1685" t="s">
        <v>632</v>
      </c>
      <c r="E1685" t="s">
        <v>633</v>
      </c>
      <c r="F1685" t="s">
        <v>26</v>
      </c>
      <c r="G1685">
        <v>48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48</v>
      </c>
      <c r="T1685">
        <v>0</v>
      </c>
      <c r="U1685" t="s">
        <v>39</v>
      </c>
      <c r="W1685" s="2">
        <v>41.552</v>
      </c>
      <c r="X1685" s="3">
        <f t="shared" si="52"/>
        <v>1994.4960000000001</v>
      </c>
      <c r="Y1685">
        <f>VLOOKUP(D1685,'[1]Cost Sheet'!$C:$D,2,0)</f>
        <v>41.62</v>
      </c>
      <c r="Z1685" s="3">
        <f t="shared" si="53"/>
        <v>1997.7599999999998</v>
      </c>
    </row>
    <row r="1686" spans="1:26" x14ac:dyDescent="0.3">
      <c r="A1686" s="7" t="s">
        <v>21</v>
      </c>
      <c r="B1686" t="s">
        <v>630</v>
      </c>
      <c r="C1686" t="s">
        <v>631</v>
      </c>
      <c r="D1686" t="s">
        <v>632</v>
      </c>
      <c r="E1686" t="s">
        <v>633</v>
      </c>
      <c r="F1686" t="s">
        <v>26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 t="s">
        <v>53</v>
      </c>
      <c r="W1686" s="2">
        <v>41.552</v>
      </c>
      <c r="X1686" s="3">
        <f t="shared" si="52"/>
        <v>41.552</v>
      </c>
      <c r="Y1686">
        <f>VLOOKUP(D1686,'[1]Cost Sheet'!$C:$D,2,0)</f>
        <v>41.62</v>
      </c>
      <c r="Z1686" s="3">
        <f t="shared" si="53"/>
        <v>41.62</v>
      </c>
    </row>
    <row r="1687" spans="1:26" x14ac:dyDescent="0.3">
      <c r="A1687" s="7" t="s">
        <v>21</v>
      </c>
      <c r="B1687" t="s">
        <v>630</v>
      </c>
      <c r="C1687" t="s">
        <v>631</v>
      </c>
      <c r="D1687" t="s">
        <v>632</v>
      </c>
      <c r="E1687" t="s">
        <v>633</v>
      </c>
      <c r="F1687" t="s">
        <v>26</v>
      </c>
      <c r="G1687">
        <v>214</v>
      </c>
      <c r="H1687">
        <v>0</v>
      </c>
      <c r="I1687">
        <v>0</v>
      </c>
      <c r="J1687">
        <v>-1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213</v>
      </c>
      <c r="T1687">
        <v>0</v>
      </c>
      <c r="U1687" t="s">
        <v>54</v>
      </c>
      <c r="W1687" s="2">
        <v>41.552</v>
      </c>
      <c r="X1687" s="3">
        <f t="shared" si="52"/>
        <v>8850.5759999999991</v>
      </c>
      <c r="Y1687">
        <f>VLOOKUP(D1687,'[1]Cost Sheet'!$C:$D,2,0)</f>
        <v>41.62</v>
      </c>
      <c r="Z1687" s="3">
        <f t="shared" si="53"/>
        <v>8865.06</v>
      </c>
    </row>
    <row r="1688" spans="1:26" x14ac:dyDescent="0.3">
      <c r="A1688" s="7" t="s">
        <v>21</v>
      </c>
      <c r="B1688" t="s">
        <v>630</v>
      </c>
      <c r="C1688" t="s">
        <v>631</v>
      </c>
      <c r="D1688" t="s">
        <v>632</v>
      </c>
      <c r="E1688" t="s">
        <v>633</v>
      </c>
      <c r="F1688" t="s">
        <v>26</v>
      </c>
      <c r="G1688">
        <v>59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59</v>
      </c>
      <c r="T1688">
        <v>0</v>
      </c>
      <c r="U1688" t="s">
        <v>32</v>
      </c>
      <c r="W1688" s="2">
        <v>41.552</v>
      </c>
      <c r="X1688" s="3">
        <f t="shared" si="52"/>
        <v>2451.5679999999998</v>
      </c>
      <c r="Y1688">
        <f>VLOOKUP(D1688,'[1]Cost Sheet'!$C:$D,2,0)</f>
        <v>41.62</v>
      </c>
      <c r="Z1688" s="3">
        <f t="shared" si="53"/>
        <v>2455.58</v>
      </c>
    </row>
    <row r="1689" spans="1:26" x14ac:dyDescent="0.3">
      <c r="A1689" s="7" t="s">
        <v>21</v>
      </c>
      <c r="B1689" t="s">
        <v>630</v>
      </c>
      <c r="C1689" t="s">
        <v>631</v>
      </c>
      <c r="D1689" t="s">
        <v>632</v>
      </c>
      <c r="E1689" t="s">
        <v>633</v>
      </c>
      <c r="F1689" t="s">
        <v>26</v>
      </c>
      <c r="G1689">
        <v>86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86</v>
      </c>
      <c r="T1689">
        <v>0</v>
      </c>
      <c r="U1689" t="s">
        <v>33</v>
      </c>
      <c r="W1689" s="2">
        <v>41.552</v>
      </c>
      <c r="X1689" s="3">
        <f t="shared" si="52"/>
        <v>3573.4719999999998</v>
      </c>
      <c r="Y1689">
        <f>VLOOKUP(D1689,'[1]Cost Sheet'!$C:$D,2,0)</f>
        <v>41.62</v>
      </c>
      <c r="Z1689" s="3">
        <f t="shared" si="53"/>
        <v>3579.3199999999997</v>
      </c>
    </row>
    <row r="1690" spans="1:26" x14ac:dyDescent="0.3">
      <c r="A1690" s="7" t="s">
        <v>21</v>
      </c>
      <c r="B1690" t="s">
        <v>630</v>
      </c>
      <c r="C1690" t="s">
        <v>631</v>
      </c>
      <c r="D1690" t="s">
        <v>632</v>
      </c>
      <c r="E1690" t="s">
        <v>633</v>
      </c>
      <c r="F1690" t="s">
        <v>26</v>
      </c>
      <c r="G1690">
        <v>98</v>
      </c>
      <c r="H1690">
        <v>0</v>
      </c>
      <c r="I1690">
        <v>0</v>
      </c>
      <c r="J1690">
        <v>-2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-1</v>
      </c>
      <c r="S1690">
        <v>96</v>
      </c>
      <c r="T1690">
        <v>0</v>
      </c>
      <c r="U1690" t="s">
        <v>46</v>
      </c>
      <c r="W1690" s="2">
        <v>41.552</v>
      </c>
      <c r="X1690" s="3">
        <f t="shared" si="52"/>
        <v>3988.9920000000002</v>
      </c>
      <c r="Y1690">
        <f>VLOOKUP(D1690,'[1]Cost Sheet'!$C:$D,2,0)</f>
        <v>41.62</v>
      </c>
      <c r="Z1690" s="3">
        <f t="shared" si="53"/>
        <v>3995.5199999999995</v>
      </c>
    </row>
    <row r="1691" spans="1:26" x14ac:dyDescent="0.3">
      <c r="A1691" s="7" t="s">
        <v>21</v>
      </c>
      <c r="B1691" t="s">
        <v>630</v>
      </c>
      <c r="C1691" t="s">
        <v>631</v>
      </c>
      <c r="D1691" t="s">
        <v>632</v>
      </c>
      <c r="E1691" t="s">
        <v>633</v>
      </c>
      <c r="F1691" t="s">
        <v>26</v>
      </c>
      <c r="G1691">
        <v>34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34</v>
      </c>
      <c r="T1691">
        <v>0</v>
      </c>
      <c r="U1691" t="s">
        <v>47</v>
      </c>
      <c r="W1691" s="2">
        <v>41.552</v>
      </c>
      <c r="X1691" s="3">
        <f t="shared" si="52"/>
        <v>1412.768</v>
      </c>
      <c r="Y1691">
        <f>VLOOKUP(D1691,'[1]Cost Sheet'!$C:$D,2,0)</f>
        <v>41.62</v>
      </c>
      <c r="Z1691" s="3">
        <f t="shared" si="53"/>
        <v>1415.08</v>
      </c>
    </row>
    <row r="1692" spans="1:26" x14ac:dyDescent="0.3">
      <c r="A1692" s="7" t="s">
        <v>21</v>
      </c>
      <c r="B1692" t="s">
        <v>630</v>
      </c>
      <c r="C1692" t="s">
        <v>631</v>
      </c>
      <c r="D1692" t="s">
        <v>632</v>
      </c>
      <c r="E1692" t="s">
        <v>633</v>
      </c>
      <c r="F1692" t="s">
        <v>26</v>
      </c>
      <c r="G1692">
        <v>66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66</v>
      </c>
      <c r="T1692">
        <v>0</v>
      </c>
      <c r="U1692" t="s">
        <v>40</v>
      </c>
      <c r="W1692" s="2">
        <v>41.552</v>
      </c>
      <c r="X1692" s="3">
        <f t="shared" si="52"/>
        <v>2742.4319999999998</v>
      </c>
      <c r="Y1692">
        <f>VLOOKUP(D1692,'[1]Cost Sheet'!$C:$D,2,0)</f>
        <v>41.62</v>
      </c>
      <c r="Z1692" s="3">
        <f t="shared" si="53"/>
        <v>2746.9199999999996</v>
      </c>
    </row>
    <row r="1693" spans="1:26" x14ac:dyDescent="0.3">
      <c r="A1693" s="7" t="s">
        <v>21</v>
      </c>
      <c r="B1693" t="s">
        <v>630</v>
      </c>
      <c r="C1693" t="s">
        <v>631</v>
      </c>
      <c r="D1693" t="s">
        <v>632</v>
      </c>
      <c r="E1693" t="s">
        <v>633</v>
      </c>
      <c r="F1693" t="s">
        <v>26</v>
      </c>
      <c r="G1693">
        <v>9</v>
      </c>
      <c r="H1693">
        <v>0</v>
      </c>
      <c r="I1693">
        <v>0</v>
      </c>
      <c r="J1693">
        <v>-1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8</v>
      </c>
      <c r="T1693">
        <v>0</v>
      </c>
      <c r="U1693" t="s">
        <v>120</v>
      </c>
      <c r="W1693" s="2">
        <v>41.552</v>
      </c>
      <c r="X1693" s="3">
        <f t="shared" si="52"/>
        <v>332.416</v>
      </c>
      <c r="Y1693">
        <f>VLOOKUP(D1693,'[1]Cost Sheet'!$C:$D,2,0)</f>
        <v>41.62</v>
      </c>
      <c r="Z1693" s="3">
        <f t="shared" si="53"/>
        <v>332.96</v>
      </c>
    </row>
    <row r="1694" spans="1:26" x14ac:dyDescent="0.3">
      <c r="A1694" s="7" t="s">
        <v>21</v>
      </c>
      <c r="B1694" t="s">
        <v>630</v>
      </c>
      <c r="C1694" t="s">
        <v>631</v>
      </c>
      <c r="D1694" t="s">
        <v>632</v>
      </c>
      <c r="E1694" t="s">
        <v>633</v>
      </c>
      <c r="F1694" t="s">
        <v>26</v>
      </c>
      <c r="G1694">
        <v>204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204</v>
      </c>
      <c r="T1694">
        <v>0</v>
      </c>
      <c r="U1694" t="s">
        <v>113</v>
      </c>
      <c r="W1694" s="2">
        <v>41.552</v>
      </c>
      <c r="X1694" s="3">
        <f t="shared" si="52"/>
        <v>8476.6080000000002</v>
      </c>
      <c r="Y1694">
        <f>VLOOKUP(D1694,'[1]Cost Sheet'!$C:$D,2,0)</f>
        <v>41.62</v>
      </c>
      <c r="Z1694" s="3">
        <f t="shared" si="53"/>
        <v>8490.48</v>
      </c>
    </row>
    <row r="1695" spans="1:26" x14ac:dyDescent="0.3">
      <c r="A1695" s="7" t="s">
        <v>21</v>
      </c>
      <c r="B1695" t="s">
        <v>630</v>
      </c>
      <c r="C1695" t="s">
        <v>631</v>
      </c>
      <c r="D1695" t="s">
        <v>632</v>
      </c>
      <c r="E1695" t="s">
        <v>633</v>
      </c>
      <c r="F1695" t="s">
        <v>26</v>
      </c>
      <c r="G1695">
        <v>93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93</v>
      </c>
      <c r="T1695">
        <v>0</v>
      </c>
      <c r="U1695" t="s">
        <v>48</v>
      </c>
      <c r="W1695" s="2">
        <v>41.552</v>
      </c>
      <c r="X1695" s="3">
        <f t="shared" si="52"/>
        <v>3864.3359999999998</v>
      </c>
      <c r="Y1695">
        <f>VLOOKUP(D1695,'[1]Cost Sheet'!$C:$D,2,0)</f>
        <v>41.62</v>
      </c>
      <c r="Z1695" s="3">
        <f t="shared" si="53"/>
        <v>3870.66</v>
      </c>
    </row>
    <row r="1696" spans="1:26" x14ac:dyDescent="0.3">
      <c r="A1696" s="7" t="s">
        <v>21</v>
      </c>
      <c r="B1696" t="s">
        <v>630</v>
      </c>
      <c r="C1696" t="s">
        <v>631</v>
      </c>
      <c r="D1696" t="s">
        <v>632</v>
      </c>
      <c r="E1696" t="s">
        <v>633</v>
      </c>
      <c r="F1696" t="s">
        <v>26</v>
      </c>
      <c r="G1696">
        <v>3</v>
      </c>
      <c r="H1696">
        <v>0</v>
      </c>
      <c r="I1696">
        <v>0</v>
      </c>
      <c r="J1696">
        <v>-1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2</v>
      </c>
      <c r="T1696">
        <v>0</v>
      </c>
      <c r="U1696" t="s">
        <v>59</v>
      </c>
      <c r="W1696" s="2">
        <v>41.552</v>
      </c>
      <c r="X1696" s="3">
        <f t="shared" si="52"/>
        <v>83.103999999999999</v>
      </c>
      <c r="Y1696">
        <f>VLOOKUP(D1696,'[1]Cost Sheet'!$C:$D,2,0)</f>
        <v>41.62</v>
      </c>
      <c r="Z1696" s="3">
        <f t="shared" si="53"/>
        <v>83.24</v>
      </c>
    </row>
    <row r="1697" spans="1:26" x14ac:dyDescent="0.3">
      <c r="A1697" s="7" t="s">
        <v>21</v>
      </c>
      <c r="B1697" t="s">
        <v>630</v>
      </c>
      <c r="C1697" t="s">
        <v>631</v>
      </c>
      <c r="D1697" t="s">
        <v>632</v>
      </c>
      <c r="E1697" t="s">
        <v>633</v>
      </c>
      <c r="F1697" t="s">
        <v>26</v>
      </c>
      <c r="G1697">
        <v>69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69</v>
      </c>
      <c r="T1697">
        <v>0</v>
      </c>
      <c r="U1697" t="s">
        <v>27</v>
      </c>
      <c r="W1697" s="2">
        <v>41.552</v>
      </c>
      <c r="X1697" s="3">
        <f t="shared" si="52"/>
        <v>2867.0880000000002</v>
      </c>
      <c r="Y1697">
        <f>VLOOKUP(D1697,'[1]Cost Sheet'!$C:$D,2,0)</f>
        <v>41.62</v>
      </c>
      <c r="Z1697" s="3">
        <f t="shared" si="53"/>
        <v>2871.7799999999997</v>
      </c>
    </row>
    <row r="1698" spans="1:26" x14ac:dyDescent="0.3">
      <c r="A1698" s="7" t="s">
        <v>21</v>
      </c>
      <c r="B1698" t="s">
        <v>634</v>
      </c>
      <c r="C1698" t="s">
        <v>635</v>
      </c>
      <c r="D1698" t="s">
        <v>636</v>
      </c>
      <c r="E1698" t="s">
        <v>637</v>
      </c>
      <c r="F1698" t="s">
        <v>125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 t="s">
        <v>108</v>
      </c>
      <c r="W1698" s="2">
        <v>34.455294117647057</v>
      </c>
      <c r="X1698" s="3">
        <f t="shared" si="52"/>
        <v>34.455294117647057</v>
      </c>
      <c r="Y1698">
        <f>VLOOKUP(D1698,'[1]Cost Sheet'!$C:$D,2,0)</f>
        <v>34.369999999999997</v>
      </c>
      <c r="Z1698" s="3">
        <f t="shared" si="53"/>
        <v>34.369999999999997</v>
      </c>
    </row>
    <row r="1699" spans="1:26" x14ac:dyDescent="0.3">
      <c r="A1699" s="7" t="s">
        <v>21</v>
      </c>
      <c r="B1699" t="s">
        <v>634</v>
      </c>
      <c r="C1699" t="s">
        <v>635</v>
      </c>
      <c r="D1699" t="s">
        <v>636</v>
      </c>
      <c r="E1699" t="s">
        <v>637</v>
      </c>
      <c r="F1699" t="s">
        <v>125</v>
      </c>
      <c r="G1699">
        <v>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</v>
      </c>
      <c r="T1699">
        <v>0</v>
      </c>
      <c r="U1699" t="s">
        <v>88</v>
      </c>
      <c r="W1699" s="2">
        <v>34.455294117647057</v>
      </c>
      <c r="X1699" s="3">
        <f t="shared" si="52"/>
        <v>275.64235294117645</v>
      </c>
      <c r="Y1699">
        <f>VLOOKUP(D1699,'[1]Cost Sheet'!$C:$D,2,0)</f>
        <v>34.369999999999997</v>
      </c>
      <c r="Z1699" s="3">
        <f t="shared" si="53"/>
        <v>274.95999999999998</v>
      </c>
    </row>
    <row r="1700" spans="1:26" x14ac:dyDescent="0.3">
      <c r="A1700" s="7" t="s">
        <v>21</v>
      </c>
      <c r="B1700" t="s">
        <v>634</v>
      </c>
      <c r="C1700" t="s">
        <v>635</v>
      </c>
      <c r="D1700" t="s">
        <v>636</v>
      </c>
      <c r="E1700" t="s">
        <v>637</v>
      </c>
      <c r="F1700" t="s">
        <v>106</v>
      </c>
      <c r="G1700">
        <v>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5</v>
      </c>
      <c r="T1700">
        <v>0</v>
      </c>
      <c r="U1700" t="s">
        <v>38</v>
      </c>
      <c r="W1700" s="2">
        <v>34.455294117647057</v>
      </c>
      <c r="X1700" s="3">
        <f t="shared" si="52"/>
        <v>172.27647058823527</v>
      </c>
      <c r="Y1700">
        <f>VLOOKUP(D1700,'[1]Cost Sheet'!$C:$D,2,0)</f>
        <v>34.369999999999997</v>
      </c>
      <c r="Z1700" s="3">
        <f t="shared" si="53"/>
        <v>171.85</v>
      </c>
    </row>
    <row r="1701" spans="1:26" x14ac:dyDescent="0.3">
      <c r="A1701" s="7" t="s">
        <v>21</v>
      </c>
      <c r="B1701" t="s">
        <v>634</v>
      </c>
      <c r="C1701" t="s">
        <v>635</v>
      </c>
      <c r="D1701" t="s">
        <v>636</v>
      </c>
      <c r="E1701" t="s">
        <v>637</v>
      </c>
      <c r="F1701" t="s">
        <v>106</v>
      </c>
      <c r="G1701">
        <v>9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9</v>
      </c>
      <c r="T1701">
        <v>0</v>
      </c>
      <c r="U1701" t="s">
        <v>107</v>
      </c>
      <c r="W1701" s="2">
        <v>34.455294117647057</v>
      </c>
      <c r="X1701" s="3">
        <f t="shared" si="52"/>
        <v>310.0976470588235</v>
      </c>
      <c r="Y1701">
        <f>VLOOKUP(D1701,'[1]Cost Sheet'!$C:$D,2,0)</f>
        <v>34.369999999999997</v>
      </c>
      <c r="Z1701" s="3">
        <f t="shared" si="53"/>
        <v>309.33</v>
      </c>
    </row>
    <row r="1702" spans="1:26" x14ac:dyDescent="0.3">
      <c r="A1702" s="7" t="s">
        <v>21</v>
      </c>
      <c r="B1702" t="s">
        <v>634</v>
      </c>
      <c r="C1702" t="s">
        <v>635</v>
      </c>
      <c r="D1702" t="s">
        <v>636</v>
      </c>
      <c r="E1702" t="s">
        <v>637</v>
      </c>
      <c r="F1702" t="s">
        <v>106</v>
      </c>
      <c r="G1702">
        <v>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6</v>
      </c>
      <c r="T1702">
        <v>0</v>
      </c>
      <c r="U1702" t="s">
        <v>45</v>
      </c>
      <c r="W1702" s="2">
        <v>34.455294117647057</v>
      </c>
      <c r="X1702" s="3">
        <f t="shared" si="52"/>
        <v>206.73176470588234</v>
      </c>
      <c r="Y1702">
        <f>VLOOKUP(D1702,'[1]Cost Sheet'!$C:$D,2,0)</f>
        <v>34.369999999999997</v>
      </c>
      <c r="Z1702" s="3">
        <f t="shared" si="53"/>
        <v>206.21999999999997</v>
      </c>
    </row>
    <row r="1703" spans="1:26" x14ac:dyDescent="0.3">
      <c r="A1703" s="7" t="s">
        <v>21</v>
      </c>
      <c r="B1703" t="s">
        <v>634</v>
      </c>
      <c r="C1703" t="s">
        <v>635</v>
      </c>
      <c r="D1703" t="s">
        <v>636</v>
      </c>
      <c r="E1703" t="s">
        <v>637</v>
      </c>
      <c r="F1703" t="s">
        <v>106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</v>
      </c>
      <c r="T1703">
        <v>0</v>
      </c>
      <c r="U1703" t="s">
        <v>54</v>
      </c>
      <c r="W1703" s="2">
        <v>34.455294117647057</v>
      </c>
      <c r="X1703" s="3">
        <f t="shared" si="52"/>
        <v>68.910588235294114</v>
      </c>
      <c r="Y1703">
        <f>VLOOKUP(D1703,'[1]Cost Sheet'!$C:$D,2,0)</f>
        <v>34.369999999999997</v>
      </c>
      <c r="Z1703" s="3">
        <f t="shared" si="53"/>
        <v>68.739999999999995</v>
      </c>
    </row>
    <row r="1704" spans="1:26" x14ac:dyDescent="0.3">
      <c r="A1704" s="7" t="s">
        <v>21</v>
      </c>
      <c r="B1704" t="s">
        <v>634</v>
      </c>
      <c r="C1704" t="s">
        <v>635</v>
      </c>
      <c r="D1704" t="s">
        <v>636</v>
      </c>
      <c r="E1704" t="s">
        <v>637</v>
      </c>
      <c r="F1704" t="s">
        <v>106</v>
      </c>
      <c r="G1704">
        <v>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7</v>
      </c>
      <c r="T1704">
        <v>0</v>
      </c>
      <c r="U1704" t="s">
        <v>32</v>
      </c>
      <c r="W1704" s="2">
        <v>34.455294117647057</v>
      </c>
      <c r="X1704" s="3">
        <f t="shared" si="52"/>
        <v>241.18705882352941</v>
      </c>
      <c r="Y1704">
        <f>VLOOKUP(D1704,'[1]Cost Sheet'!$C:$D,2,0)</f>
        <v>34.369999999999997</v>
      </c>
      <c r="Z1704" s="3">
        <f t="shared" si="53"/>
        <v>240.58999999999997</v>
      </c>
    </row>
    <row r="1705" spans="1:26" x14ac:dyDescent="0.3">
      <c r="A1705" s="7" t="s">
        <v>21</v>
      </c>
      <c r="B1705" t="s">
        <v>634</v>
      </c>
      <c r="C1705" t="s">
        <v>635</v>
      </c>
      <c r="D1705" t="s">
        <v>636</v>
      </c>
      <c r="E1705" t="s">
        <v>637</v>
      </c>
      <c r="F1705" t="s">
        <v>106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  <c r="U1705" t="s">
        <v>33</v>
      </c>
      <c r="W1705" s="2">
        <v>34.455294117647057</v>
      </c>
      <c r="X1705" s="3">
        <f t="shared" si="52"/>
        <v>34.455294117647057</v>
      </c>
      <c r="Y1705">
        <f>VLOOKUP(D1705,'[1]Cost Sheet'!$C:$D,2,0)</f>
        <v>34.369999999999997</v>
      </c>
      <c r="Z1705" s="3">
        <f t="shared" si="53"/>
        <v>34.369999999999997</v>
      </c>
    </row>
    <row r="1706" spans="1:26" x14ac:dyDescent="0.3">
      <c r="A1706" s="7" t="s">
        <v>21</v>
      </c>
      <c r="B1706" t="s">
        <v>634</v>
      </c>
      <c r="C1706" t="s">
        <v>635</v>
      </c>
      <c r="D1706" t="s">
        <v>636</v>
      </c>
      <c r="E1706" t="s">
        <v>637</v>
      </c>
      <c r="F1706" t="s">
        <v>106</v>
      </c>
      <c r="G1706">
        <v>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4</v>
      </c>
      <c r="T1706">
        <v>0</v>
      </c>
      <c r="U1706" t="s">
        <v>46</v>
      </c>
      <c r="W1706" s="2">
        <v>34.455294117647057</v>
      </c>
      <c r="X1706" s="3">
        <f t="shared" si="52"/>
        <v>137.82117647058823</v>
      </c>
      <c r="Y1706">
        <f>VLOOKUP(D1706,'[1]Cost Sheet'!$C:$D,2,0)</f>
        <v>34.369999999999997</v>
      </c>
      <c r="Z1706" s="3">
        <f t="shared" si="53"/>
        <v>137.47999999999999</v>
      </c>
    </row>
    <row r="1707" spans="1:26" x14ac:dyDescent="0.3">
      <c r="A1707" s="7" t="s">
        <v>21</v>
      </c>
      <c r="B1707" t="s">
        <v>634</v>
      </c>
      <c r="C1707" t="s">
        <v>635</v>
      </c>
      <c r="D1707" t="s">
        <v>636</v>
      </c>
      <c r="E1707" t="s">
        <v>637</v>
      </c>
      <c r="F1707" t="s">
        <v>106</v>
      </c>
      <c r="G1707">
        <v>5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5</v>
      </c>
      <c r="T1707">
        <v>0</v>
      </c>
      <c r="U1707" t="s">
        <v>47</v>
      </c>
      <c r="W1707" s="2">
        <v>34.455294117647057</v>
      </c>
      <c r="X1707" s="3">
        <f t="shared" si="52"/>
        <v>172.27647058823527</v>
      </c>
      <c r="Y1707">
        <f>VLOOKUP(D1707,'[1]Cost Sheet'!$C:$D,2,0)</f>
        <v>34.369999999999997</v>
      </c>
      <c r="Z1707" s="3">
        <f t="shared" si="53"/>
        <v>171.85</v>
      </c>
    </row>
    <row r="1708" spans="1:26" x14ac:dyDescent="0.3">
      <c r="A1708" s="7" t="s">
        <v>21</v>
      </c>
      <c r="B1708" t="s">
        <v>634</v>
      </c>
      <c r="C1708" t="s">
        <v>635</v>
      </c>
      <c r="D1708" t="s">
        <v>636</v>
      </c>
      <c r="E1708" t="s">
        <v>637</v>
      </c>
      <c r="F1708" t="s">
        <v>106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2</v>
      </c>
      <c r="T1708">
        <v>0</v>
      </c>
      <c r="U1708" t="s">
        <v>48</v>
      </c>
      <c r="W1708" s="2">
        <v>34.455294117647057</v>
      </c>
      <c r="X1708" s="3">
        <f t="shared" si="52"/>
        <v>68.910588235294114</v>
      </c>
      <c r="Y1708">
        <f>VLOOKUP(D1708,'[1]Cost Sheet'!$C:$D,2,0)</f>
        <v>34.369999999999997</v>
      </c>
      <c r="Z1708" s="3">
        <f t="shared" si="53"/>
        <v>68.739999999999995</v>
      </c>
    </row>
    <row r="1709" spans="1:26" x14ac:dyDescent="0.3">
      <c r="A1709" s="7" t="s">
        <v>21</v>
      </c>
      <c r="B1709" t="s">
        <v>634</v>
      </c>
      <c r="C1709" t="s">
        <v>635</v>
      </c>
      <c r="D1709" t="s">
        <v>636</v>
      </c>
      <c r="E1709" t="s">
        <v>637</v>
      </c>
      <c r="F1709" t="s">
        <v>106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 t="s">
        <v>59</v>
      </c>
      <c r="W1709" s="2">
        <v>34.455294117647057</v>
      </c>
      <c r="X1709" s="3">
        <f t="shared" si="52"/>
        <v>34.455294117647057</v>
      </c>
      <c r="Y1709">
        <f>VLOOKUP(D1709,'[1]Cost Sheet'!$C:$D,2,0)</f>
        <v>34.369999999999997</v>
      </c>
      <c r="Z1709" s="3">
        <f t="shared" si="53"/>
        <v>34.369999999999997</v>
      </c>
    </row>
    <row r="1710" spans="1:26" x14ac:dyDescent="0.3">
      <c r="A1710" s="7" t="s">
        <v>21</v>
      </c>
      <c r="B1710" t="s">
        <v>634</v>
      </c>
      <c r="C1710" t="s">
        <v>635</v>
      </c>
      <c r="D1710" t="s">
        <v>636</v>
      </c>
      <c r="E1710" t="s">
        <v>637</v>
      </c>
      <c r="F1710" t="s">
        <v>130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2</v>
      </c>
      <c r="T1710">
        <v>0</v>
      </c>
      <c r="U1710" t="s">
        <v>33</v>
      </c>
      <c r="W1710" s="2">
        <v>34.455294117647057</v>
      </c>
      <c r="X1710" s="3">
        <f t="shared" si="52"/>
        <v>68.910588235294114</v>
      </c>
      <c r="Y1710">
        <f>VLOOKUP(D1710,'[1]Cost Sheet'!$C:$D,2,0)</f>
        <v>34.369999999999997</v>
      </c>
      <c r="Z1710" s="3">
        <f t="shared" si="53"/>
        <v>68.739999999999995</v>
      </c>
    </row>
    <row r="1711" spans="1:26" x14ac:dyDescent="0.3">
      <c r="A1711" s="7" t="s">
        <v>21</v>
      </c>
      <c r="B1711" t="s">
        <v>634</v>
      </c>
      <c r="C1711" t="s">
        <v>635</v>
      </c>
      <c r="D1711" t="s">
        <v>636</v>
      </c>
      <c r="E1711" t="s">
        <v>637</v>
      </c>
      <c r="F1711" t="s">
        <v>26</v>
      </c>
      <c r="G1711">
        <v>92</v>
      </c>
      <c r="H1711">
        <v>0</v>
      </c>
      <c r="I1711">
        <v>0</v>
      </c>
      <c r="J1711">
        <v>-16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-1</v>
      </c>
      <c r="S1711">
        <v>75</v>
      </c>
      <c r="T1711">
        <v>0</v>
      </c>
      <c r="U1711" t="s">
        <v>38</v>
      </c>
      <c r="W1711" s="2">
        <v>34.455294117647057</v>
      </c>
      <c r="X1711" s="3">
        <f t="shared" si="52"/>
        <v>2584.1470588235293</v>
      </c>
      <c r="Y1711">
        <f>VLOOKUP(D1711,'[1]Cost Sheet'!$C:$D,2,0)</f>
        <v>34.369999999999997</v>
      </c>
      <c r="Z1711" s="3">
        <f t="shared" si="53"/>
        <v>2577.75</v>
      </c>
    </row>
    <row r="1712" spans="1:26" x14ac:dyDescent="0.3">
      <c r="A1712" s="7" t="s">
        <v>21</v>
      </c>
      <c r="B1712" t="s">
        <v>634</v>
      </c>
      <c r="C1712" t="s">
        <v>635</v>
      </c>
      <c r="D1712" t="s">
        <v>636</v>
      </c>
      <c r="E1712" t="s">
        <v>637</v>
      </c>
      <c r="F1712" t="s">
        <v>26</v>
      </c>
      <c r="G1712">
        <v>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5</v>
      </c>
      <c r="T1712">
        <v>0</v>
      </c>
      <c r="U1712" t="s">
        <v>107</v>
      </c>
      <c r="W1712" s="2">
        <v>34.455294117647057</v>
      </c>
      <c r="X1712" s="3">
        <f t="shared" si="52"/>
        <v>172.27647058823527</v>
      </c>
      <c r="Y1712">
        <f>VLOOKUP(D1712,'[1]Cost Sheet'!$C:$D,2,0)</f>
        <v>34.369999999999997</v>
      </c>
      <c r="Z1712" s="3">
        <f t="shared" si="53"/>
        <v>171.85</v>
      </c>
    </row>
    <row r="1713" spans="1:26" x14ac:dyDescent="0.3">
      <c r="A1713" s="7" t="s">
        <v>21</v>
      </c>
      <c r="B1713" t="s">
        <v>634</v>
      </c>
      <c r="C1713" t="s">
        <v>635</v>
      </c>
      <c r="D1713" t="s">
        <v>636</v>
      </c>
      <c r="E1713" t="s">
        <v>637</v>
      </c>
      <c r="F1713" t="s">
        <v>26</v>
      </c>
      <c r="G1713">
        <v>45</v>
      </c>
      <c r="H1713">
        <v>0</v>
      </c>
      <c r="I1713">
        <v>1</v>
      </c>
      <c r="J1713">
        <v>-3</v>
      </c>
      <c r="K1713">
        <v>1</v>
      </c>
      <c r="L1713">
        <v>0</v>
      </c>
      <c r="M1713">
        <v>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46</v>
      </c>
      <c r="T1713">
        <v>0</v>
      </c>
      <c r="U1713" t="s">
        <v>45</v>
      </c>
      <c r="W1713" s="2">
        <v>34.455294117647057</v>
      </c>
      <c r="X1713" s="3">
        <f t="shared" si="52"/>
        <v>1584.9435294117645</v>
      </c>
      <c r="Y1713">
        <f>VLOOKUP(D1713,'[1]Cost Sheet'!$C:$D,2,0)</f>
        <v>34.369999999999997</v>
      </c>
      <c r="Z1713" s="3">
        <f t="shared" si="53"/>
        <v>1581.02</v>
      </c>
    </row>
    <row r="1714" spans="1:26" x14ac:dyDescent="0.3">
      <c r="A1714" s="7" t="s">
        <v>21</v>
      </c>
      <c r="B1714" t="s">
        <v>634</v>
      </c>
      <c r="C1714" t="s">
        <v>635</v>
      </c>
      <c r="D1714" t="s">
        <v>636</v>
      </c>
      <c r="E1714" t="s">
        <v>637</v>
      </c>
      <c r="F1714" t="s">
        <v>26</v>
      </c>
      <c r="G1714">
        <v>0</v>
      </c>
      <c r="H1714">
        <v>2</v>
      </c>
      <c r="I1714">
        <v>0</v>
      </c>
      <c r="J1714">
        <v>0</v>
      </c>
      <c r="K1714">
        <v>4</v>
      </c>
      <c r="L1714">
        <v>0</v>
      </c>
      <c r="M1714">
        <v>-3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 t="s">
        <v>108</v>
      </c>
      <c r="W1714" s="2">
        <v>34.455294117647057</v>
      </c>
      <c r="X1714" s="3">
        <f t="shared" si="52"/>
        <v>34.455294117647057</v>
      </c>
      <c r="Y1714">
        <f>VLOOKUP(D1714,'[1]Cost Sheet'!$C:$D,2,0)</f>
        <v>34.369999999999997</v>
      </c>
      <c r="Z1714" s="3">
        <f t="shared" si="53"/>
        <v>34.369999999999997</v>
      </c>
    </row>
    <row r="1715" spans="1:26" x14ac:dyDescent="0.3">
      <c r="A1715" s="7" t="s">
        <v>21</v>
      </c>
      <c r="B1715" t="s">
        <v>634</v>
      </c>
      <c r="C1715" t="s">
        <v>635</v>
      </c>
      <c r="D1715" t="s">
        <v>636</v>
      </c>
      <c r="E1715" t="s">
        <v>637</v>
      </c>
      <c r="F1715" t="s">
        <v>26</v>
      </c>
      <c r="G1715">
        <v>64</v>
      </c>
      <c r="H1715">
        <v>0</v>
      </c>
      <c r="I1715">
        <v>1</v>
      </c>
      <c r="J1715">
        <v>-28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37</v>
      </c>
      <c r="T1715">
        <v>0</v>
      </c>
      <c r="U1715" t="s">
        <v>39</v>
      </c>
      <c r="W1715" s="2">
        <v>34.455294117647057</v>
      </c>
      <c r="X1715" s="3">
        <f t="shared" si="52"/>
        <v>1274.8458823529411</v>
      </c>
      <c r="Y1715">
        <f>VLOOKUP(D1715,'[1]Cost Sheet'!$C:$D,2,0)</f>
        <v>34.369999999999997</v>
      </c>
      <c r="Z1715" s="3">
        <f t="shared" si="53"/>
        <v>1271.6899999999998</v>
      </c>
    </row>
    <row r="1716" spans="1:26" x14ac:dyDescent="0.3">
      <c r="A1716" s="7" t="s">
        <v>21</v>
      </c>
      <c r="B1716" t="s">
        <v>634</v>
      </c>
      <c r="C1716" t="s">
        <v>635</v>
      </c>
      <c r="D1716" t="s">
        <v>636</v>
      </c>
      <c r="E1716" t="s">
        <v>637</v>
      </c>
      <c r="F1716" t="s">
        <v>26</v>
      </c>
      <c r="G1716">
        <v>2</v>
      </c>
      <c r="H1716">
        <v>0</v>
      </c>
      <c r="I1716">
        <v>0</v>
      </c>
      <c r="J1716">
        <v>-1</v>
      </c>
      <c r="K1716">
        <v>0</v>
      </c>
      <c r="L1716">
        <v>0</v>
      </c>
      <c r="M1716">
        <v>41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42</v>
      </c>
      <c r="T1716">
        <v>0</v>
      </c>
      <c r="U1716" t="s">
        <v>53</v>
      </c>
      <c r="W1716" s="2">
        <v>34.455294117647057</v>
      </c>
      <c r="X1716" s="3">
        <f t="shared" si="52"/>
        <v>1447.1223529411764</v>
      </c>
      <c r="Y1716">
        <f>VLOOKUP(D1716,'[1]Cost Sheet'!$C:$D,2,0)</f>
        <v>34.369999999999997</v>
      </c>
      <c r="Z1716" s="3">
        <f t="shared" si="53"/>
        <v>1443.54</v>
      </c>
    </row>
    <row r="1717" spans="1:26" x14ac:dyDescent="0.3">
      <c r="A1717" s="7" t="s">
        <v>21</v>
      </c>
      <c r="B1717" t="s">
        <v>634</v>
      </c>
      <c r="C1717" t="s">
        <v>635</v>
      </c>
      <c r="D1717" t="s">
        <v>636</v>
      </c>
      <c r="E1717" t="s">
        <v>637</v>
      </c>
      <c r="F1717" t="s">
        <v>26</v>
      </c>
      <c r="G1717">
        <v>127</v>
      </c>
      <c r="H1717">
        <v>1</v>
      </c>
      <c r="I1717">
        <v>0</v>
      </c>
      <c r="J1717">
        <v>-21</v>
      </c>
      <c r="K1717">
        <v>0</v>
      </c>
      <c r="L1717">
        <v>0</v>
      </c>
      <c r="M1717">
        <v>-1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105</v>
      </c>
      <c r="T1717">
        <v>0</v>
      </c>
      <c r="U1717" t="s">
        <v>54</v>
      </c>
      <c r="W1717" s="2">
        <v>34.455294117647057</v>
      </c>
      <c r="X1717" s="3">
        <f t="shared" si="52"/>
        <v>3617.8058823529409</v>
      </c>
      <c r="Y1717">
        <f>VLOOKUP(D1717,'[1]Cost Sheet'!$C:$D,2,0)</f>
        <v>34.369999999999997</v>
      </c>
      <c r="Z1717" s="3">
        <f t="shared" si="53"/>
        <v>3608.85</v>
      </c>
    </row>
    <row r="1718" spans="1:26" x14ac:dyDescent="0.3">
      <c r="A1718" s="7" t="s">
        <v>21</v>
      </c>
      <c r="B1718" t="s">
        <v>634</v>
      </c>
      <c r="C1718" t="s">
        <v>635</v>
      </c>
      <c r="D1718" t="s">
        <v>636</v>
      </c>
      <c r="E1718" t="s">
        <v>637</v>
      </c>
      <c r="F1718" t="s">
        <v>26</v>
      </c>
      <c r="G1718">
        <v>108</v>
      </c>
      <c r="H1718">
        <v>0</v>
      </c>
      <c r="I1718">
        <v>0</v>
      </c>
      <c r="J1718">
        <v>-12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96</v>
      </c>
      <c r="T1718">
        <v>0</v>
      </c>
      <c r="U1718" t="s">
        <v>32</v>
      </c>
      <c r="W1718" s="2">
        <v>34.455294117647057</v>
      </c>
      <c r="X1718" s="3">
        <f t="shared" si="52"/>
        <v>3307.7082352941175</v>
      </c>
      <c r="Y1718">
        <f>VLOOKUP(D1718,'[1]Cost Sheet'!$C:$D,2,0)</f>
        <v>34.369999999999997</v>
      </c>
      <c r="Z1718" s="3">
        <f t="shared" si="53"/>
        <v>3299.5199999999995</v>
      </c>
    </row>
    <row r="1719" spans="1:26" x14ac:dyDescent="0.3">
      <c r="A1719" s="7" t="s">
        <v>21</v>
      </c>
      <c r="B1719" t="s">
        <v>634</v>
      </c>
      <c r="C1719" t="s">
        <v>635</v>
      </c>
      <c r="D1719" t="s">
        <v>636</v>
      </c>
      <c r="E1719" t="s">
        <v>637</v>
      </c>
      <c r="F1719" t="s">
        <v>26</v>
      </c>
      <c r="G1719">
        <v>1</v>
      </c>
      <c r="H1719">
        <v>0</v>
      </c>
      <c r="I1719">
        <v>0</v>
      </c>
      <c r="J1719">
        <v>0</v>
      </c>
      <c r="K1719">
        <v>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4</v>
      </c>
      <c r="T1719">
        <v>0</v>
      </c>
      <c r="U1719" t="s">
        <v>88</v>
      </c>
      <c r="W1719" s="2">
        <v>34.455294117647057</v>
      </c>
      <c r="X1719" s="3">
        <f t="shared" si="52"/>
        <v>137.82117647058823</v>
      </c>
      <c r="Y1719">
        <f>VLOOKUP(D1719,'[1]Cost Sheet'!$C:$D,2,0)</f>
        <v>34.369999999999997</v>
      </c>
      <c r="Z1719" s="3">
        <f t="shared" si="53"/>
        <v>137.47999999999999</v>
      </c>
    </row>
    <row r="1720" spans="1:26" x14ac:dyDescent="0.3">
      <c r="A1720" s="7" t="s">
        <v>21</v>
      </c>
      <c r="B1720" t="s">
        <v>634</v>
      </c>
      <c r="C1720" t="s">
        <v>635</v>
      </c>
      <c r="D1720" t="s">
        <v>636</v>
      </c>
      <c r="E1720" t="s">
        <v>637</v>
      </c>
      <c r="F1720" t="s">
        <v>26</v>
      </c>
      <c r="G1720">
        <v>158</v>
      </c>
      <c r="H1720">
        <v>0</v>
      </c>
      <c r="I1720">
        <v>-1</v>
      </c>
      <c r="J1720">
        <v>-16</v>
      </c>
      <c r="K1720">
        <v>0</v>
      </c>
      <c r="L1720">
        <v>0</v>
      </c>
      <c r="M1720">
        <v>2</v>
      </c>
      <c r="N1720">
        <v>0</v>
      </c>
      <c r="O1720">
        <v>0</v>
      </c>
      <c r="P1720">
        <v>0</v>
      </c>
      <c r="Q1720">
        <v>0</v>
      </c>
      <c r="R1720">
        <v>-1</v>
      </c>
      <c r="S1720">
        <v>142</v>
      </c>
      <c r="T1720">
        <v>0</v>
      </c>
      <c r="U1720" t="s">
        <v>33</v>
      </c>
      <c r="W1720" s="2">
        <v>34.455294117647057</v>
      </c>
      <c r="X1720" s="3">
        <f t="shared" si="52"/>
        <v>4892.6517647058818</v>
      </c>
      <c r="Y1720">
        <f>VLOOKUP(D1720,'[1]Cost Sheet'!$C:$D,2,0)</f>
        <v>34.369999999999997</v>
      </c>
      <c r="Z1720" s="3">
        <f t="shared" si="53"/>
        <v>4880.54</v>
      </c>
    </row>
    <row r="1721" spans="1:26" x14ac:dyDescent="0.3">
      <c r="A1721" s="7" t="s">
        <v>21</v>
      </c>
      <c r="B1721" t="s">
        <v>634</v>
      </c>
      <c r="C1721" t="s">
        <v>635</v>
      </c>
      <c r="D1721" t="s">
        <v>636</v>
      </c>
      <c r="E1721" t="s">
        <v>637</v>
      </c>
      <c r="F1721" t="s">
        <v>26</v>
      </c>
      <c r="G1721">
        <v>13</v>
      </c>
      <c r="H1721">
        <v>0</v>
      </c>
      <c r="I1721">
        <v>-1</v>
      </c>
      <c r="J1721">
        <v>-11</v>
      </c>
      <c r="K1721">
        <v>0</v>
      </c>
      <c r="L1721">
        <v>0</v>
      </c>
      <c r="M1721">
        <v>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5</v>
      </c>
      <c r="T1721">
        <v>0</v>
      </c>
      <c r="U1721" t="s">
        <v>46</v>
      </c>
      <c r="W1721" s="2">
        <v>34.455294117647057</v>
      </c>
      <c r="X1721" s="3">
        <f t="shared" si="52"/>
        <v>172.27647058823527</v>
      </c>
      <c r="Y1721">
        <f>VLOOKUP(D1721,'[1]Cost Sheet'!$C:$D,2,0)</f>
        <v>34.369999999999997</v>
      </c>
      <c r="Z1721" s="3">
        <f t="shared" si="53"/>
        <v>171.85</v>
      </c>
    </row>
    <row r="1722" spans="1:26" x14ac:dyDescent="0.3">
      <c r="A1722" s="7" t="s">
        <v>21</v>
      </c>
      <c r="B1722" t="s">
        <v>634</v>
      </c>
      <c r="C1722" t="s">
        <v>635</v>
      </c>
      <c r="D1722" t="s">
        <v>636</v>
      </c>
      <c r="E1722" t="s">
        <v>637</v>
      </c>
      <c r="F1722" t="s">
        <v>26</v>
      </c>
      <c r="G1722">
        <v>38</v>
      </c>
      <c r="H1722">
        <v>0</v>
      </c>
      <c r="I1722">
        <v>-1</v>
      </c>
      <c r="J1722">
        <v>-5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32</v>
      </c>
      <c r="T1722">
        <v>0</v>
      </c>
      <c r="U1722" t="s">
        <v>47</v>
      </c>
      <c r="W1722" s="2">
        <v>34.455294117647057</v>
      </c>
      <c r="X1722" s="3">
        <f t="shared" si="52"/>
        <v>1102.5694117647058</v>
      </c>
      <c r="Y1722">
        <f>VLOOKUP(D1722,'[1]Cost Sheet'!$C:$D,2,0)</f>
        <v>34.369999999999997</v>
      </c>
      <c r="Z1722" s="3">
        <f t="shared" si="53"/>
        <v>1099.8399999999999</v>
      </c>
    </row>
    <row r="1723" spans="1:26" x14ac:dyDescent="0.3">
      <c r="A1723" s="7" t="s">
        <v>21</v>
      </c>
      <c r="B1723" t="s">
        <v>634</v>
      </c>
      <c r="C1723" t="s">
        <v>635</v>
      </c>
      <c r="D1723" t="s">
        <v>636</v>
      </c>
      <c r="E1723" t="s">
        <v>637</v>
      </c>
      <c r="F1723" t="s">
        <v>26</v>
      </c>
      <c r="G1723">
        <v>3</v>
      </c>
      <c r="H1723">
        <v>0</v>
      </c>
      <c r="I1723">
        <v>0</v>
      </c>
      <c r="J1723">
        <v>-5</v>
      </c>
      <c r="K1723">
        <v>0</v>
      </c>
      <c r="L1723">
        <v>0</v>
      </c>
      <c r="M1723">
        <v>88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86</v>
      </c>
      <c r="T1723">
        <v>0</v>
      </c>
      <c r="U1723" t="s">
        <v>40</v>
      </c>
      <c r="W1723" s="2">
        <v>34.455294117647057</v>
      </c>
      <c r="X1723" s="3">
        <f t="shared" si="52"/>
        <v>2963.1552941176469</v>
      </c>
      <c r="Y1723">
        <f>VLOOKUP(D1723,'[1]Cost Sheet'!$C:$D,2,0)</f>
        <v>34.369999999999997</v>
      </c>
      <c r="Z1723" s="3">
        <f t="shared" si="53"/>
        <v>2955.8199999999997</v>
      </c>
    </row>
    <row r="1724" spans="1:26" x14ac:dyDescent="0.3">
      <c r="A1724" s="7" t="s">
        <v>21</v>
      </c>
      <c r="B1724" t="s">
        <v>634</v>
      </c>
      <c r="C1724" t="s">
        <v>635</v>
      </c>
      <c r="D1724" t="s">
        <v>636</v>
      </c>
      <c r="E1724" t="s">
        <v>637</v>
      </c>
      <c r="F1724" t="s">
        <v>26</v>
      </c>
      <c r="G1724">
        <v>110</v>
      </c>
      <c r="H1724">
        <v>0</v>
      </c>
      <c r="I1724">
        <v>0</v>
      </c>
      <c r="J1724">
        <v>-11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99</v>
      </c>
      <c r="T1724">
        <v>0</v>
      </c>
      <c r="U1724" t="s">
        <v>113</v>
      </c>
      <c r="W1724" s="2">
        <v>34.455294117647057</v>
      </c>
      <c r="X1724" s="3">
        <f t="shared" si="52"/>
        <v>3411.0741176470588</v>
      </c>
      <c r="Y1724">
        <f>VLOOKUP(D1724,'[1]Cost Sheet'!$C:$D,2,0)</f>
        <v>34.369999999999997</v>
      </c>
      <c r="Z1724" s="3">
        <f t="shared" si="53"/>
        <v>3402.6299999999997</v>
      </c>
    </row>
    <row r="1725" spans="1:26" x14ac:dyDescent="0.3">
      <c r="A1725" s="7" t="s">
        <v>21</v>
      </c>
      <c r="B1725" t="s">
        <v>634</v>
      </c>
      <c r="C1725" t="s">
        <v>635</v>
      </c>
      <c r="D1725" t="s">
        <v>636</v>
      </c>
      <c r="E1725" t="s">
        <v>637</v>
      </c>
      <c r="F1725" t="s">
        <v>26</v>
      </c>
      <c r="G1725">
        <v>29</v>
      </c>
      <c r="H1725">
        <v>0</v>
      </c>
      <c r="I1725">
        <v>0</v>
      </c>
      <c r="J1725">
        <v>-10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19</v>
      </c>
      <c r="T1725">
        <v>0</v>
      </c>
      <c r="U1725" t="s">
        <v>48</v>
      </c>
      <c r="W1725" s="2">
        <v>34.455294117647057</v>
      </c>
      <c r="X1725" s="3">
        <f t="shared" si="52"/>
        <v>654.65058823529409</v>
      </c>
      <c r="Y1725">
        <f>VLOOKUP(D1725,'[1]Cost Sheet'!$C:$D,2,0)</f>
        <v>34.369999999999997</v>
      </c>
      <c r="Z1725" s="3">
        <f t="shared" si="53"/>
        <v>653.03</v>
      </c>
    </row>
    <row r="1726" spans="1:26" x14ac:dyDescent="0.3">
      <c r="A1726" s="7" t="s">
        <v>21</v>
      </c>
      <c r="B1726" t="s">
        <v>634</v>
      </c>
      <c r="C1726" t="s">
        <v>635</v>
      </c>
      <c r="D1726" t="s">
        <v>636</v>
      </c>
      <c r="E1726" t="s">
        <v>637</v>
      </c>
      <c r="F1726" t="s">
        <v>26</v>
      </c>
      <c r="G1726">
        <v>67</v>
      </c>
      <c r="H1726">
        <v>1</v>
      </c>
      <c r="I1726">
        <v>0</v>
      </c>
      <c r="J1726">
        <v>-21</v>
      </c>
      <c r="K1726">
        <v>0</v>
      </c>
      <c r="L1726">
        <v>0</v>
      </c>
      <c r="M1726">
        <v>-1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44</v>
      </c>
      <c r="T1726">
        <v>-1</v>
      </c>
      <c r="U1726" t="s">
        <v>59</v>
      </c>
      <c r="W1726" s="2">
        <v>34.455294117647057</v>
      </c>
      <c r="X1726" s="3">
        <f t="shared" si="52"/>
        <v>1516.0329411764706</v>
      </c>
      <c r="Y1726">
        <f>VLOOKUP(D1726,'[1]Cost Sheet'!$C:$D,2,0)</f>
        <v>34.369999999999997</v>
      </c>
      <c r="Z1726" s="3">
        <f t="shared" si="53"/>
        <v>1512.28</v>
      </c>
    </row>
    <row r="1727" spans="1:26" x14ac:dyDescent="0.3">
      <c r="A1727" s="7" t="s">
        <v>21</v>
      </c>
      <c r="B1727" t="s">
        <v>634</v>
      </c>
      <c r="C1727" t="s">
        <v>635</v>
      </c>
      <c r="D1727" t="s">
        <v>636</v>
      </c>
      <c r="E1727" t="s">
        <v>637</v>
      </c>
      <c r="F1727" t="s">
        <v>26</v>
      </c>
      <c r="G1727">
        <v>5</v>
      </c>
      <c r="H1727">
        <v>0</v>
      </c>
      <c r="I1727">
        <v>-1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4</v>
      </c>
      <c r="T1727">
        <v>0</v>
      </c>
      <c r="U1727" t="s">
        <v>27</v>
      </c>
      <c r="W1727" s="2">
        <v>34.455294117647057</v>
      </c>
      <c r="X1727" s="3">
        <f t="shared" si="52"/>
        <v>137.82117647058823</v>
      </c>
      <c r="Y1727">
        <f>VLOOKUP(D1727,'[1]Cost Sheet'!$C:$D,2,0)</f>
        <v>34.369999999999997</v>
      </c>
      <c r="Z1727" s="3">
        <f t="shared" si="53"/>
        <v>137.47999999999999</v>
      </c>
    </row>
    <row r="1728" spans="1:26" x14ac:dyDescent="0.3">
      <c r="A1728" s="7" t="s">
        <v>21</v>
      </c>
      <c r="B1728" t="s">
        <v>634</v>
      </c>
      <c r="C1728" t="s">
        <v>635</v>
      </c>
      <c r="D1728" t="s">
        <v>636</v>
      </c>
      <c r="E1728" t="s">
        <v>637</v>
      </c>
      <c r="F1728" t="s">
        <v>114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 t="s">
        <v>151</v>
      </c>
      <c r="W1728" s="2">
        <v>34.455294117647057</v>
      </c>
      <c r="X1728" s="3">
        <f t="shared" si="52"/>
        <v>34.455294117647057</v>
      </c>
      <c r="Y1728">
        <f>VLOOKUP(D1728,'[1]Cost Sheet'!$C:$D,2,0)</f>
        <v>34.369999999999997</v>
      </c>
      <c r="Z1728" s="3">
        <f t="shared" si="53"/>
        <v>34.369999999999997</v>
      </c>
    </row>
    <row r="1729" spans="1:26" x14ac:dyDescent="0.3">
      <c r="A1729" s="7" t="s">
        <v>21</v>
      </c>
      <c r="B1729" t="s">
        <v>634</v>
      </c>
      <c r="C1729" t="s">
        <v>635</v>
      </c>
      <c r="D1729" t="s">
        <v>636</v>
      </c>
      <c r="E1729" t="s">
        <v>637</v>
      </c>
      <c r="F1729" t="s">
        <v>114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 t="s">
        <v>108</v>
      </c>
      <c r="W1729" s="2">
        <v>34.455294117647057</v>
      </c>
      <c r="X1729" s="3">
        <f t="shared" si="52"/>
        <v>34.455294117647057</v>
      </c>
      <c r="Y1729">
        <f>VLOOKUP(D1729,'[1]Cost Sheet'!$C:$D,2,0)</f>
        <v>34.369999999999997</v>
      </c>
      <c r="Z1729" s="3">
        <f t="shared" si="53"/>
        <v>34.369999999999997</v>
      </c>
    </row>
    <row r="1730" spans="1:26" x14ac:dyDescent="0.3">
      <c r="A1730" s="7" t="s">
        <v>21</v>
      </c>
      <c r="B1730" t="s">
        <v>634</v>
      </c>
      <c r="C1730" t="s">
        <v>635</v>
      </c>
      <c r="D1730" t="s">
        <v>636</v>
      </c>
      <c r="E1730" t="s">
        <v>637</v>
      </c>
      <c r="F1730" t="s">
        <v>114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 t="s">
        <v>32</v>
      </c>
      <c r="W1730" s="2">
        <v>34.455294117647057</v>
      </c>
      <c r="X1730" s="3">
        <f t="shared" si="52"/>
        <v>34.455294117647057</v>
      </c>
      <c r="Y1730">
        <f>VLOOKUP(D1730,'[1]Cost Sheet'!$C:$D,2,0)</f>
        <v>34.369999999999997</v>
      </c>
      <c r="Z1730" s="3">
        <f t="shared" si="53"/>
        <v>34.369999999999997</v>
      </c>
    </row>
    <row r="1731" spans="1:26" x14ac:dyDescent="0.3">
      <c r="A1731" s="7" t="s">
        <v>21</v>
      </c>
      <c r="B1731" t="s">
        <v>634</v>
      </c>
      <c r="C1731" t="s">
        <v>635</v>
      </c>
      <c r="D1731" t="s">
        <v>636</v>
      </c>
      <c r="E1731" t="s">
        <v>637</v>
      </c>
      <c r="F1731" t="s">
        <v>114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 t="s">
        <v>88</v>
      </c>
      <c r="W1731" s="2">
        <v>34.455294117647057</v>
      </c>
      <c r="X1731" s="3">
        <f t="shared" ref="X1731:X1794" si="54">S1731*W1731</f>
        <v>34.455294117647057</v>
      </c>
      <c r="Y1731">
        <f>VLOOKUP(D1731,'[1]Cost Sheet'!$C:$D,2,0)</f>
        <v>34.369999999999997</v>
      </c>
      <c r="Z1731" s="3">
        <f t="shared" ref="Z1731:Z1794" si="55">Y1731*S1731</f>
        <v>34.369999999999997</v>
      </c>
    </row>
    <row r="1732" spans="1:26" x14ac:dyDescent="0.3">
      <c r="A1732" s="7" t="s">
        <v>21</v>
      </c>
      <c r="B1732" t="s">
        <v>634</v>
      </c>
      <c r="C1732" t="s">
        <v>635</v>
      </c>
      <c r="D1732" t="s">
        <v>636</v>
      </c>
      <c r="E1732" t="s">
        <v>637</v>
      </c>
      <c r="F1732" t="s">
        <v>114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 t="s">
        <v>59</v>
      </c>
      <c r="W1732" s="2">
        <v>34.455294117647057</v>
      </c>
      <c r="X1732" s="3">
        <f t="shared" si="54"/>
        <v>34.455294117647057</v>
      </c>
      <c r="Y1732">
        <f>VLOOKUP(D1732,'[1]Cost Sheet'!$C:$D,2,0)</f>
        <v>34.369999999999997</v>
      </c>
      <c r="Z1732" s="3">
        <f t="shared" si="55"/>
        <v>34.369999999999997</v>
      </c>
    </row>
    <row r="1733" spans="1:26" x14ac:dyDescent="0.3">
      <c r="A1733" s="7" t="s">
        <v>21</v>
      </c>
      <c r="B1733" t="s">
        <v>638</v>
      </c>
      <c r="C1733" t="s">
        <v>639</v>
      </c>
      <c r="D1733" t="s">
        <v>640</v>
      </c>
      <c r="E1733" t="s">
        <v>641</v>
      </c>
      <c r="F1733" t="s">
        <v>125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 t="s">
        <v>38</v>
      </c>
      <c r="W1733" s="2">
        <v>71.819000000000003</v>
      </c>
      <c r="X1733" s="3">
        <f t="shared" si="54"/>
        <v>71.819000000000003</v>
      </c>
      <c r="Y1733">
        <f>VLOOKUP(D1733,'[1]Cost Sheet'!$C:$D,2,0)</f>
        <v>75.13</v>
      </c>
      <c r="Z1733" s="3">
        <f t="shared" si="55"/>
        <v>75.13</v>
      </c>
    </row>
    <row r="1734" spans="1:26" x14ac:dyDescent="0.3">
      <c r="A1734" s="7" t="s">
        <v>21</v>
      </c>
      <c r="B1734" t="s">
        <v>638</v>
      </c>
      <c r="C1734" t="s">
        <v>639</v>
      </c>
      <c r="D1734" t="s">
        <v>640</v>
      </c>
      <c r="E1734" t="s">
        <v>641</v>
      </c>
      <c r="F1734" t="s">
        <v>125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 t="s">
        <v>107</v>
      </c>
      <c r="W1734" s="2">
        <v>71.819000000000003</v>
      </c>
      <c r="X1734" s="3">
        <f t="shared" si="54"/>
        <v>71.819000000000003</v>
      </c>
      <c r="Y1734">
        <f>VLOOKUP(D1734,'[1]Cost Sheet'!$C:$D,2,0)</f>
        <v>75.13</v>
      </c>
      <c r="Z1734" s="3">
        <f t="shared" si="55"/>
        <v>75.13</v>
      </c>
    </row>
    <row r="1735" spans="1:26" x14ac:dyDescent="0.3">
      <c r="A1735" s="7" t="s">
        <v>21</v>
      </c>
      <c r="B1735" t="s">
        <v>638</v>
      </c>
      <c r="C1735" t="s">
        <v>639</v>
      </c>
      <c r="D1735" t="s">
        <v>640</v>
      </c>
      <c r="E1735" t="s">
        <v>641</v>
      </c>
      <c r="F1735" t="s">
        <v>125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 t="s">
        <v>151</v>
      </c>
      <c r="W1735" s="2">
        <v>71.819000000000003</v>
      </c>
      <c r="X1735" s="3">
        <f t="shared" si="54"/>
        <v>71.819000000000003</v>
      </c>
      <c r="Y1735">
        <f>VLOOKUP(D1735,'[1]Cost Sheet'!$C:$D,2,0)</f>
        <v>75.13</v>
      </c>
      <c r="Z1735" s="3">
        <f t="shared" si="55"/>
        <v>75.13</v>
      </c>
    </row>
    <row r="1736" spans="1:26" x14ac:dyDescent="0.3">
      <c r="A1736" s="7" t="s">
        <v>21</v>
      </c>
      <c r="B1736" t="s">
        <v>638</v>
      </c>
      <c r="C1736" t="s">
        <v>639</v>
      </c>
      <c r="D1736" t="s">
        <v>640</v>
      </c>
      <c r="E1736" t="s">
        <v>641</v>
      </c>
      <c r="F1736" t="s">
        <v>125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2</v>
      </c>
      <c r="T1736">
        <v>0</v>
      </c>
      <c r="U1736" t="s">
        <v>45</v>
      </c>
      <c r="W1736" s="2">
        <v>71.819000000000003</v>
      </c>
      <c r="X1736" s="3">
        <f t="shared" si="54"/>
        <v>143.63800000000001</v>
      </c>
      <c r="Y1736">
        <f>VLOOKUP(D1736,'[1]Cost Sheet'!$C:$D,2,0)</f>
        <v>75.13</v>
      </c>
      <c r="Z1736" s="3">
        <f t="shared" si="55"/>
        <v>150.26</v>
      </c>
    </row>
    <row r="1737" spans="1:26" x14ac:dyDescent="0.3">
      <c r="A1737" s="7" t="s">
        <v>21</v>
      </c>
      <c r="B1737" t="s">
        <v>638</v>
      </c>
      <c r="C1737" t="s">
        <v>639</v>
      </c>
      <c r="D1737" t="s">
        <v>640</v>
      </c>
      <c r="E1737" t="s">
        <v>641</v>
      </c>
      <c r="F1737" t="s">
        <v>125</v>
      </c>
      <c r="G1737">
        <v>11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12</v>
      </c>
      <c r="T1737">
        <v>0</v>
      </c>
      <c r="U1737" t="s">
        <v>108</v>
      </c>
      <c r="W1737" s="2">
        <v>71.819000000000003</v>
      </c>
      <c r="X1737" s="3">
        <f t="shared" si="54"/>
        <v>861.82799999999997</v>
      </c>
      <c r="Y1737">
        <f>VLOOKUP(D1737,'[1]Cost Sheet'!$C:$D,2,0)</f>
        <v>75.13</v>
      </c>
      <c r="Z1737" s="3">
        <f t="shared" si="55"/>
        <v>901.56</v>
      </c>
    </row>
    <row r="1738" spans="1:26" x14ac:dyDescent="0.3">
      <c r="A1738" s="7" t="s">
        <v>21</v>
      </c>
      <c r="B1738" t="s">
        <v>638</v>
      </c>
      <c r="C1738" t="s">
        <v>639</v>
      </c>
      <c r="D1738" t="s">
        <v>640</v>
      </c>
      <c r="E1738" t="s">
        <v>641</v>
      </c>
      <c r="F1738" t="s">
        <v>125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2</v>
      </c>
      <c r="T1738">
        <v>0</v>
      </c>
      <c r="U1738" t="s">
        <v>54</v>
      </c>
      <c r="W1738" s="2">
        <v>71.819000000000003</v>
      </c>
      <c r="X1738" s="3">
        <f t="shared" si="54"/>
        <v>143.63800000000001</v>
      </c>
      <c r="Y1738">
        <f>VLOOKUP(D1738,'[1]Cost Sheet'!$C:$D,2,0)</f>
        <v>75.13</v>
      </c>
      <c r="Z1738" s="3">
        <f t="shared" si="55"/>
        <v>150.26</v>
      </c>
    </row>
    <row r="1739" spans="1:26" x14ac:dyDescent="0.3">
      <c r="A1739" s="7" t="s">
        <v>21</v>
      </c>
      <c r="B1739" t="s">
        <v>638</v>
      </c>
      <c r="C1739" t="s">
        <v>639</v>
      </c>
      <c r="D1739" t="s">
        <v>640</v>
      </c>
      <c r="E1739" t="s">
        <v>641</v>
      </c>
      <c r="F1739" t="s">
        <v>125</v>
      </c>
      <c r="G1739">
        <v>14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14</v>
      </c>
      <c r="T1739">
        <v>0</v>
      </c>
      <c r="U1739" t="s">
        <v>88</v>
      </c>
      <c r="W1739" s="2">
        <v>71.819000000000003</v>
      </c>
      <c r="X1739" s="3">
        <f t="shared" si="54"/>
        <v>1005.466</v>
      </c>
      <c r="Y1739">
        <f>VLOOKUP(D1739,'[1]Cost Sheet'!$C:$D,2,0)</f>
        <v>75.13</v>
      </c>
      <c r="Z1739" s="3">
        <f t="shared" si="55"/>
        <v>1051.82</v>
      </c>
    </row>
    <row r="1740" spans="1:26" x14ac:dyDescent="0.3">
      <c r="A1740" s="7" t="s">
        <v>21</v>
      </c>
      <c r="B1740" t="s">
        <v>638</v>
      </c>
      <c r="C1740" t="s">
        <v>639</v>
      </c>
      <c r="D1740" t="s">
        <v>640</v>
      </c>
      <c r="E1740" t="s">
        <v>641</v>
      </c>
      <c r="F1740" t="s">
        <v>125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 t="s">
        <v>40</v>
      </c>
      <c r="W1740" s="2">
        <v>71.819000000000003</v>
      </c>
      <c r="X1740" s="3">
        <f t="shared" si="54"/>
        <v>71.819000000000003</v>
      </c>
      <c r="Y1740">
        <f>VLOOKUP(D1740,'[1]Cost Sheet'!$C:$D,2,0)</f>
        <v>75.13</v>
      </c>
      <c r="Z1740" s="3">
        <f t="shared" si="55"/>
        <v>75.13</v>
      </c>
    </row>
    <row r="1741" spans="1:26" x14ac:dyDescent="0.3">
      <c r="A1741" s="7" t="s">
        <v>1053</v>
      </c>
      <c r="B1741" t="s">
        <v>638</v>
      </c>
      <c r="C1741" t="s">
        <v>639</v>
      </c>
      <c r="D1741" t="s">
        <v>640</v>
      </c>
      <c r="E1741" t="s">
        <v>641</v>
      </c>
      <c r="F1741" t="s">
        <v>125</v>
      </c>
      <c r="G1741">
        <v>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2</v>
      </c>
      <c r="T1741">
        <v>0</v>
      </c>
      <c r="U1741" t="s">
        <v>113</v>
      </c>
      <c r="W1741" s="2">
        <v>71.819000000000003</v>
      </c>
      <c r="X1741" s="3">
        <f t="shared" si="54"/>
        <v>143.63800000000001</v>
      </c>
      <c r="Y1741">
        <f>VLOOKUP(D1741,'[1]Cost Sheet'!$C:$D,2,0)</f>
        <v>75.13</v>
      </c>
      <c r="Z1741" s="3">
        <f t="shared" si="55"/>
        <v>150.26</v>
      </c>
    </row>
    <row r="1742" spans="1:26" x14ac:dyDescent="0.3">
      <c r="A1742" s="7" t="s">
        <v>1052</v>
      </c>
      <c r="B1742" t="s">
        <v>638</v>
      </c>
      <c r="C1742" t="s">
        <v>639</v>
      </c>
      <c r="D1742" t="s">
        <v>640</v>
      </c>
      <c r="E1742" t="s">
        <v>641</v>
      </c>
      <c r="F1742" t="s">
        <v>169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 t="s">
        <v>151</v>
      </c>
      <c r="W1742" s="2">
        <v>71.819000000000003</v>
      </c>
      <c r="X1742" s="3">
        <f t="shared" si="54"/>
        <v>71.819000000000003</v>
      </c>
      <c r="Y1742">
        <f>VLOOKUP(D1742,'[1]Cost Sheet'!$C:$D,2,0)</f>
        <v>75.13</v>
      </c>
      <c r="Z1742" s="3">
        <f t="shared" si="55"/>
        <v>75.13</v>
      </c>
    </row>
    <row r="1743" spans="1:26" x14ac:dyDescent="0.3">
      <c r="A1743" s="7" t="s">
        <v>21</v>
      </c>
      <c r="B1743" t="s">
        <v>638</v>
      </c>
      <c r="C1743" t="s">
        <v>639</v>
      </c>
      <c r="D1743" t="s">
        <v>640</v>
      </c>
      <c r="E1743" t="s">
        <v>641</v>
      </c>
      <c r="F1743" t="s">
        <v>169</v>
      </c>
      <c r="G1743">
        <v>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4</v>
      </c>
      <c r="T1743">
        <v>0</v>
      </c>
      <c r="U1743" t="s">
        <v>88</v>
      </c>
      <c r="W1743" s="2">
        <v>71.819000000000003</v>
      </c>
      <c r="X1743" s="3">
        <f t="shared" si="54"/>
        <v>287.27600000000001</v>
      </c>
      <c r="Y1743">
        <f>VLOOKUP(D1743,'[1]Cost Sheet'!$C:$D,2,0)</f>
        <v>75.13</v>
      </c>
      <c r="Z1743" s="3">
        <f t="shared" si="55"/>
        <v>300.52</v>
      </c>
    </row>
    <row r="1744" spans="1:26" x14ac:dyDescent="0.3">
      <c r="A1744" s="7" t="s">
        <v>21</v>
      </c>
      <c r="B1744" t="s">
        <v>638</v>
      </c>
      <c r="C1744" t="s">
        <v>639</v>
      </c>
      <c r="D1744" t="s">
        <v>640</v>
      </c>
      <c r="E1744" t="s">
        <v>641</v>
      </c>
      <c r="F1744" t="s">
        <v>169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 t="s">
        <v>27</v>
      </c>
      <c r="W1744" s="2">
        <v>71.819000000000003</v>
      </c>
      <c r="X1744" s="3">
        <f t="shared" si="54"/>
        <v>71.819000000000003</v>
      </c>
      <c r="Y1744">
        <f>VLOOKUP(D1744,'[1]Cost Sheet'!$C:$D,2,0)</f>
        <v>75.13</v>
      </c>
      <c r="Z1744" s="3">
        <f t="shared" si="55"/>
        <v>75.13</v>
      </c>
    </row>
    <row r="1745" spans="1:26" x14ac:dyDescent="0.3">
      <c r="A1745" s="7" t="s">
        <v>21</v>
      </c>
      <c r="B1745" t="s">
        <v>638</v>
      </c>
      <c r="C1745" t="s">
        <v>639</v>
      </c>
      <c r="D1745" t="s">
        <v>640</v>
      </c>
      <c r="E1745" t="s">
        <v>641</v>
      </c>
      <c r="F1745" t="s">
        <v>106</v>
      </c>
      <c r="G1745">
        <v>15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16</v>
      </c>
      <c r="T1745">
        <v>0</v>
      </c>
      <c r="U1745" t="s">
        <v>38</v>
      </c>
      <c r="W1745" s="2">
        <v>71.819000000000003</v>
      </c>
      <c r="X1745" s="3">
        <f t="shared" si="54"/>
        <v>1149.104</v>
      </c>
      <c r="Y1745">
        <f>VLOOKUP(D1745,'[1]Cost Sheet'!$C:$D,2,0)</f>
        <v>75.13</v>
      </c>
      <c r="Z1745" s="3">
        <f t="shared" si="55"/>
        <v>1202.08</v>
      </c>
    </row>
    <row r="1746" spans="1:26" x14ac:dyDescent="0.3">
      <c r="A1746" s="7" t="s">
        <v>21</v>
      </c>
      <c r="B1746" t="s">
        <v>638</v>
      </c>
      <c r="C1746" t="s">
        <v>639</v>
      </c>
      <c r="D1746" t="s">
        <v>640</v>
      </c>
      <c r="E1746" t="s">
        <v>641</v>
      </c>
      <c r="F1746" t="s">
        <v>106</v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5</v>
      </c>
      <c r="T1746">
        <v>0</v>
      </c>
      <c r="U1746" t="s">
        <v>107</v>
      </c>
      <c r="W1746" s="2">
        <v>71.819000000000003</v>
      </c>
      <c r="X1746" s="3">
        <f t="shared" si="54"/>
        <v>359.09500000000003</v>
      </c>
      <c r="Y1746">
        <f>VLOOKUP(D1746,'[1]Cost Sheet'!$C:$D,2,0)</f>
        <v>75.13</v>
      </c>
      <c r="Z1746" s="3">
        <f t="shared" si="55"/>
        <v>375.65</v>
      </c>
    </row>
    <row r="1747" spans="1:26" x14ac:dyDescent="0.3">
      <c r="A1747" s="7" t="s">
        <v>21</v>
      </c>
      <c r="B1747" t="s">
        <v>638</v>
      </c>
      <c r="C1747" t="s">
        <v>639</v>
      </c>
      <c r="D1747" t="s">
        <v>640</v>
      </c>
      <c r="E1747" t="s">
        <v>641</v>
      </c>
      <c r="F1747" t="s">
        <v>106</v>
      </c>
      <c r="G1747">
        <v>9</v>
      </c>
      <c r="H1747">
        <v>0</v>
      </c>
      <c r="I1747">
        <v>0</v>
      </c>
      <c r="J1747">
        <v>0</v>
      </c>
      <c r="K1747">
        <v>0</v>
      </c>
      <c r="L1747">
        <v>-2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7</v>
      </c>
      <c r="T1747">
        <v>0</v>
      </c>
      <c r="U1747" t="s">
        <v>45</v>
      </c>
      <c r="W1747" s="2">
        <v>71.819000000000003</v>
      </c>
      <c r="X1747" s="3">
        <f t="shared" si="54"/>
        <v>502.733</v>
      </c>
      <c r="Y1747">
        <f>VLOOKUP(D1747,'[1]Cost Sheet'!$C:$D,2,0)</f>
        <v>75.13</v>
      </c>
      <c r="Z1747" s="3">
        <f t="shared" si="55"/>
        <v>525.91</v>
      </c>
    </row>
    <row r="1748" spans="1:26" x14ac:dyDescent="0.3">
      <c r="A1748" s="7" t="s">
        <v>21</v>
      </c>
      <c r="B1748" t="s">
        <v>638</v>
      </c>
      <c r="C1748" t="s">
        <v>639</v>
      </c>
      <c r="D1748" t="s">
        <v>640</v>
      </c>
      <c r="E1748" t="s">
        <v>641</v>
      </c>
      <c r="F1748" t="s">
        <v>106</v>
      </c>
      <c r="G1748">
        <v>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</v>
      </c>
      <c r="S1748">
        <v>7</v>
      </c>
      <c r="T1748">
        <v>0</v>
      </c>
      <c r="U1748" t="s">
        <v>39</v>
      </c>
      <c r="W1748" s="2">
        <v>71.819000000000003</v>
      </c>
      <c r="X1748" s="3">
        <f t="shared" si="54"/>
        <v>502.733</v>
      </c>
      <c r="Y1748">
        <f>VLOOKUP(D1748,'[1]Cost Sheet'!$C:$D,2,0)</f>
        <v>75.13</v>
      </c>
      <c r="Z1748" s="3">
        <f t="shared" si="55"/>
        <v>525.91</v>
      </c>
    </row>
    <row r="1749" spans="1:26" x14ac:dyDescent="0.3">
      <c r="A1749" s="7" t="s">
        <v>21</v>
      </c>
      <c r="B1749" t="s">
        <v>638</v>
      </c>
      <c r="C1749" t="s">
        <v>639</v>
      </c>
      <c r="D1749" t="s">
        <v>640</v>
      </c>
      <c r="E1749" t="s">
        <v>641</v>
      </c>
      <c r="F1749" t="s">
        <v>106</v>
      </c>
      <c r="G1749">
        <v>14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14</v>
      </c>
      <c r="T1749">
        <v>0</v>
      </c>
      <c r="U1749" t="s">
        <v>53</v>
      </c>
      <c r="W1749" s="2">
        <v>71.819000000000003</v>
      </c>
      <c r="X1749" s="3">
        <f t="shared" si="54"/>
        <v>1005.466</v>
      </c>
      <c r="Y1749">
        <f>VLOOKUP(D1749,'[1]Cost Sheet'!$C:$D,2,0)</f>
        <v>75.13</v>
      </c>
      <c r="Z1749" s="3">
        <f t="shared" si="55"/>
        <v>1051.82</v>
      </c>
    </row>
    <row r="1750" spans="1:26" x14ac:dyDescent="0.3">
      <c r="A1750" s="7" t="s">
        <v>21</v>
      </c>
      <c r="B1750" t="s">
        <v>638</v>
      </c>
      <c r="C1750" t="s">
        <v>639</v>
      </c>
      <c r="D1750" t="s">
        <v>640</v>
      </c>
      <c r="E1750" t="s">
        <v>641</v>
      </c>
      <c r="F1750" t="s">
        <v>106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3</v>
      </c>
      <c r="T1750">
        <v>0</v>
      </c>
      <c r="U1750" t="s">
        <v>54</v>
      </c>
      <c r="W1750" s="2">
        <v>71.819000000000003</v>
      </c>
      <c r="X1750" s="3">
        <f t="shared" si="54"/>
        <v>215.45699999999999</v>
      </c>
      <c r="Y1750">
        <f>VLOOKUP(D1750,'[1]Cost Sheet'!$C:$D,2,0)</f>
        <v>75.13</v>
      </c>
      <c r="Z1750" s="3">
        <f t="shared" si="55"/>
        <v>225.39</v>
      </c>
    </row>
    <row r="1751" spans="1:26" x14ac:dyDescent="0.3">
      <c r="A1751" s="7" t="s">
        <v>21</v>
      </c>
      <c r="B1751" t="s">
        <v>638</v>
      </c>
      <c r="C1751" t="s">
        <v>639</v>
      </c>
      <c r="D1751" t="s">
        <v>640</v>
      </c>
      <c r="E1751" t="s">
        <v>641</v>
      </c>
      <c r="F1751" t="s">
        <v>106</v>
      </c>
      <c r="G1751">
        <v>12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12</v>
      </c>
      <c r="T1751">
        <v>0</v>
      </c>
      <c r="U1751" t="s">
        <v>32</v>
      </c>
      <c r="W1751" s="2">
        <v>71.819000000000003</v>
      </c>
      <c r="X1751" s="3">
        <f t="shared" si="54"/>
        <v>861.82799999999997</v>
      </c>
      <c r="Y1751">
        <f>VLOOKUP(D1751,'[1]Cost Sheet'!$C:$D,2,0)</f>
        <v>75.13</v>
      </c>
      <c r="Z1751" s="3">
        <f t="shared" si="55"/>
        <v>901.56</v>
      </c>
    </row>
    <row r="1752" spans="1:26" x14ac:dyDescent="0.3">
      <c r="A1752" s="7" t="s">
        <v>21</v>
      </c>
      <c r="B1752" t="s">
        <v>638</v>
      </c>
      <c r="C1752" t="s">
        <v>639</v>
      </c>
      <c r="D1752" t="s">
        <v>640</v>
      </c>
      <c r="E1752" t="s">
        <v>641</v>
      </c>
      <c r="F1752" t="s">
        <v>106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3</v>
      </c>
      <c r="T1752">
        <v>0</v>
      </c>
      <c r="U1752" t="s">
        <v>33</v>
      </c>
      <c r="W1752" s="2">
        <v>71.819000000000003</v>
      </c>
      <c r="X1752" s="3">
        <f t="shared" si="54"/>
        <v>215.45699999999999</v>
      </c>
      <c r="Y1752">
        <f>VLOOKUP(D1752,'[1]Cost Sheet'!$C:$D,2,0)</f>
        <v>75.13</v>
      </c>
      <c r="Z1752" s="3">
        <f t="shared" si="55"/>
        <v>225.39</v>
      </c>
    </row>
    <row r="1753" spans="1:26" x14ac:dyDescent="0.3">
      <c r="A1753" s="7" t="s">
        <v>21</v>
      </c>
      <c r="B1753" t="s">
        <v>638</v>
      </c>
      <c r="C1753" t="s">
        <v>639</v>
      </c>
      <c r="D1753" t="s">
        <v>640</v>
      </c>
      <c r="E1753" t="s">
        <v>641</v>
      </c>
      <c r="F1753" t="s">
        <v>106</v>
      </c>
      <c r="G1753">
        <v>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9</v>
      </c>
      <c r="T1753">
        <v>0</v>
      </c>
      <c r="U1753" t="s">
        <v>46</v>
      </c>
      <c r="W1753" s="2">
        <v>71.819000000000003</v>
      </c>
      <c r="X1753" s="3">
        <f t="shared" si="54"/>
        <v>646.37099999999998</v>
      </c>
      <c r="Y1753">
        <f>VLOOKUP(D1753,'[1]Cost Sheet'!$C:$D,2,0)</f>
        <v>75.13</v>
      </c>
      <c r="Z1753" s="3">
        <f t="shared" si="55"/>
        <v>676.17</v>
      </c>
    </row>
    <row r="1754" spans="1:26" x14ac:dyDescent="0.3">
      <c r="A1754" s="7" t="s">
        <v>21</v>
      </c>
      <c r="B1754" t="s">
        <v>638</v>
      </c>
      <c r="C1754" t="s">
        <v>639</v>
      </c>
      <c r="D1754" t="s">
        <v>640</v>
      </c>
      <c r="E1754" t="s">
        <v>641</v>
      </c>
      <c r="F1754" t="s">
        <v>106</v>
      </c>
      <c r="G1754">
        <v>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4</v>
      </c>
      <c r="T1754">
        <v>0</v>
      </c>
      <c r="U1754" t="s">
        <v>40</v>
      </c>
      <c r="W1754" s="2">
        <v>71.819000000000003</v>
      </c>
      <c r="X1754" s="3">
        <f t="shared" si="54"/>
        <v>287.27600000000001</v>
      </c>
      <c r="Y1754">
        <f>VLOOKUP(D1754,'[1]Cost Sheet'!$C:$D,2,0)</f>
        <v>75.13</v>
      </c>
      <c r="Z1754" s="3">
        <f t="shared" si="55"/>
        <v>300.52</v>
      </c>
    </row>
    <row r="1755" spans="1:26" x14ac:dyDescent="0.3">
      <c r="A1755" s="7" t="s">
        <v>21</v>
      </c>
      <c r="B1755" t="s">
        <v>638</v>
      </c>
      <c r="C1755" t="s">
        <v>639</v>
      </c>
      <c r="D1755" t="s">
        <v>640</v>
      </c>
      <c r="E1755" t="s">
        <v>641</v>
      </c>
      <c r="F1755" t="s">
        <v>106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-1</v>
      </c>
      <c r="S1755">
        <v>0</v>
      </c>
      <c r="T1755">
        <v>0</v>
      </c>
      <c r="U1755" t="s">
        <v>120</v>
      </c>
      <c r="W1755" s="2">
        <v>71.819000000000003</v>
      </c>
      <c r="X1755" s="3">
        <f t="shared" si="54"/>
        <v>0</v>
      </c>
      <c r="Y1755">
        <f>VLOOKUP(D1755,'[1]Cost Sheet'!$C:$D,2,0)</f>
        <v>75.13</v>
      </c>
      <c r="Z1755" s="3">
        <f t="shared" si="55"/>
        <v>0</v>
      </c>
    </row>
    <row r="1756" spans="1:26" x14ac:dyDescent="0.3">
      <c r="A1756" s="7" t="s">
        <v>21</v>
      </c>
      <c r="B1756" t="s">
        <v>638</v>
      </c>
      <c r="C1756" t="s">
        <v>639</v>
      </c>
      <c r="D1756" t="s">
        <v>640</v>
      </c>
      <c r="E1756" t="s">
        <v>641</v>
      </c>
      <c r="F1756" t="s">
        <v>106</v>
      </c>
      <c r="G1756">
        <v>16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16</v>
      </c>
      <c r="T1756">
        <v>0</v>
      </c>
      <c r="U1756" t="s">
        <v>48</v>
      </c>
      <c r="W1756" s="2">
        <v>71.819000000000003</v>
      </c>
      <c r="X1756" s="3">
        <f t="shared" si="54"/>
        <v>1149.104</v>
      </c>
      <c r="Y1756">
        <f>VLOOKUP(D1756,'[1]Cost Sheet'!$C:$D,2,0)</f>
        <v>75.13</v>
      </c>
      <c r="Z1756" s="3">
        <f t="shared" si="55"/>
        <v>1202.08</v>
      </c>
    </row>
    <row r="1757" spans="1:26" x14ac:dyDescent="0.3">
      <c r="A1757" s="7" t="s">
        <v>21</v>
      </c>
      <c r="B1757" t="s">
        <v>638</v>
      </c>
      <c r="C1757" t="s">
        <v>639</v>
      </c>
      <c r="D1757" t="s">
        <v>640</v>
      </c>
      <c r="E1757" t="s">
        <v>641</v>
      </c>
      <c r="F1757" t="s">
        <v>106</v>
      </c>
      <c r="G1757">
        <v>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2</v>
      </c>
      <c r="T1757">
        <v>0</v>
      </c>
      <c r="U1757" t="s">
        <v>59</v>
      </c>
      <c r="W1757" s="2">
        <v>71.819000000000003</v>
      </c>
      <c r="X1757" s="3">
        <f t="shared" si="54"/>
        <v>143.63800000000001</v>
      </c>
      <c r="Y1757">
        <f>VLOOKUP(D1757,'[1]Cost Sheet'!$C:$D,2,0)</f>
        <v>75.13</v>
      </c>
      <c r="Z1757" s="3">
        <f t="shared" si="55"/>
        <v>150.26</v>
      </c>
    </row>
    <row r="1758" spans="1:26" x14ac:dyDescent="0.3">
      <c r="A1758" s="7" t="s">
        <v>21</v>
      </c>
      <c r="B1758" t="s">
        <v>638</v>
      </c>
      <c r="C1758" t="s">
        <v>639</v>
      </c>
      <c r="D1758" t="s">
        <v>640</v>
      </c>
      <c r="E1758" t="s">
        <v>641</v>
      </c>
      <c r="F1758" t="s">
        <v>106</v>
      </c>
      <c r="G1758">
        <v>14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14</v>
      </c>
      <c r="T1758">
        <v>0</v>
      </c>
      <c r="U1758" t="s">
        <v>27</v>
      </c>
      <c r="W1758" s="2">
        <v>71.819000000000003</v>
      </c>
      <c r="X1758" s="3">
        <f t="shared" si="54"/>
        <v>1005.466</v>
      </c>
      <c r="Y1758">
        <f>VLOOKUP(D1758,'[1]Cost Sheet'!$C:$D,2,0)</f>
        <v>75.13</v>
      </c>
      <c r="Z1758" s="3">
        <f t="shared" si="55"/>
        <v>1051.82</v>
      </c>
    </row>
    <row r="1759" spans="1:26" x14ac:dyDescent="0.3">
      <c r="A1759" s="7" t="s">
        <v>21</v>
      </c>
      <c r="B1759" t="s">
        <v>638</v>
      </c>
      <c r="C1759" t="s">
        <v>639</v>
      </c>
      <c r="D1759" t="s">
        <v>640</v>
      </c>
      <c r="E1759" t="s">
        <v>641</v>
      </c>
      <c r="F1759" t="s">
        <v>130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-1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</v>
      </c>
      <c r="T1759">
        <v>0</v>
      </c>
      <c r="U1759" t="s">
        <v>39</v>
      </c>
      <c r="W1759" s="2">
        <v>71.819000000000003</v>
      </c>
      <c r="X1759" s="3">
        <f t="shared" si="54"/>
        <v>143.63800000000001</v>
      </c>
      <c r="Y1759">
        <f>VLOOKUP(D1759,'[1]Cost Sheet'!$C:$D,2,0)</f>
        <v>75.13</v>
      </c>
      <c r="Z1759" s="3">
        <f t="shared" si="55"/>
        <v>150.26</v>
      </c>
    </row>
    <row r="1760" spans="1:26" x14ac:dyDescent="0.3">
      <c r="A1760" s="7" t="s">
        <v>21</v>
      </c>
      <c r="B1760" t="s">
        <v>638</v>
      </c>
      <c r="C1760" t="s">
        <v>639</v>
      </c>
      <c r="D1760" t="s">
        <v>640</v>
      </c>
      <c r="E1760" t="s">
        <v>641</v>
      </c>
      <c r="F1760" t="s">
        <v>130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 t="s">
        <v>33</v>
      </c>
      <c r="W1760" s="2">
        <v>71.819000000000003</v>
      </c>
      <c r="X1760" s="3">
        <f t="shared" si="54"/>
        <v>71.819000000000003</v>
      </c>
      <c r="Y1760">
        <f>VLOOKUP(D1760,'[1]Cost Sheet'!$C:$D,2,0)</f>
        <v>75.13</v>
      </c>
      <c r="Z1760" s="3">
        <f t="shared" si="55"/>
        <v>75.13</v>
      </c>
    </row>
    <row r="1761" spans="1:26" x14ac:dyDescent="0.3">
      <c r="A1761" s="7" t="s">
        <v>21</v>
      </c>
      <c r="B1761" t="s">
        <v>638</v>
      </c>
      <c r="C1761" t="s">
        <v>639</v>
      </c>
      <c r="D1761" t="s">
        <v>640</v>
      </c>
      <c r="E1761" t="s">
        <v>641</v>
      </c>
      <c r="F1761" t="s">
        <v>26</v>
      </c>
      <c r="G1761">
        <v>301</v>
      </c>
      <c r="H1761">
        <v>0</v>
      </c>
      <c r="I1761">
        <v>-56</v>
      </c>
      <c r="J1761">
        <v>-17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-1</v>
      </c>
      <c r="S1761">
        <v>227</v>
      </c>
      <c r="T1761">
        <v>0</v>
      </c>
      <c r="U1761" t="s">
        <v>38</v>
      </c>
      <c r="W1761" s="2">
        <v>71.819000000000003</v>
      </c>
      <c r="X1761" s="3">
        <f t="shared" si="54"/>
        <v>16302.913</v>
      </c>
      <c r="Y1761">
        <f>VLOOKUP(D1761,'[1]Cost Sheet'!$C:$D,2,0)</f>
        <v>75.13</v>
      </c>
      <c r="Z1761" s="3">
        <f t="shared" si="55"/>
        <v>17054.509999999998</v>
      </c>
    </row>
    <row r="1762" spans="1:26" x14ac:dyDescent="0.3">
      <c r="A1762" s="7" t="s">
        <v>21</v>
      </c>
      <c r="B1762" t="s">
        <v>638</v>
      </c>
      <c r="C1762" t="s">
        <v>639</v>
      </c>
      <c r="D1762" t="s">
        <v>640</v>
      </c>
      <c r="E1762" t="s">
        <v>641</v>
      </c>
      <c r="F1762" t="s">
        <v>26</v>
      </c>
      <c r="G1762">
        <v>706</v>
      </c>
      <c r="H1762">
        <v>0</v>
      </c>
      <c r="I1762">
        <v>0</v>
      </c>
      <c r="J1762">
        <v>-22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-1</v>
      </c>
      <c r="S1762">
        <v>684</v>
      </c>
      <c r="T1762">
        <v>0</v>
      </c>
      <c r="U1762" t="s">
        <v>107</v>
      </c>
      <c r="W1762" s="2">
        <v>71.819000000000003</v>
      </c>
      <c r="X1762" s="3">
        <f t="shared" si="54"/>
        <v>49124.196000000004</v>
      </c>
      <c r="Y1762">
        <f>VLOOKUP(D1762,'[1]Cost Sheet'!$C:$D,2,0)</f>
        <v>75.13</v>
      </c>
      <c r="Z1762" s="3">
        <f t="shared" si="55"/>
        <v>51388.92</v>
      </c>
    </row>
    <row r="1763" spans="1:26" x14ac:dyDescent="0.3">
      <c r="A1763" s="7" t="s">
        <v>21</v>
      </c>
      <c r="B1763" t="s">
        <v>638</v>
      </c>
      <c r="C1763" t="s">
        <v>639</v>
      </c>
      <c r="D1763" t="s">
        <v>640</v>
      </c>
      <c r="E1763" t="s">
        <v>641</v>
      </c>
      <c r="F1763" t="s">
        <v>26</v>
      </c>
      <c r="G1763">
        <v>2</v>
      </c>
      <c r="H1763">
        <v>3</v>
      </c>
      <c r="I1763">
        <v>0</v>
      </c>
      <c r="J1763">
        <v>0</v>
      </c>
      <c r="K1763">
        <v>3</v>
      </c>
      <c r="L1763">
        <v>0</v>
      </c>
      <c r="M1763">
        <v>-3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2</v>
      </c>
      <c r="T1763">
        <v>0</v>
      </c>
      <c r="U1763" t="s">
        <v>151</v>
      </c>
      <c r="W1763" s="2">
        <v>71.819000000000003</v>
      </c>
      <c r="X1763" s="3">
        <f t="shared" si="54"/>
        <v>143.63800000000001</v>
      </c>
      <c r="Y1763">
        <f>VLOOKUP(D1763,'[1]Cost Sheet'!$C:$D,2,0)</f>
        <v>75.13</v>
      </c>
      <c r="Z1763" s="3">
        <f t="shared" si="55"/>
        <v>150.26</v>
      </c>
    </row>
    <row r="1764" spans="1:26" x14ac:dyDescent="0.3">
      <c r="A1764" s="7" t="s">
        <v>21</v>
      </c>
      <c r="B1764" t="s">
        <v>638</v>
      </c>
      <c r="C1764" t="s">
        <v>639</v>
      </c>
      <c r="D1764" t="s">
        <v>640</v>
      </c>
      <c r="E1764" t="s">
        <v>641</v>
      </c>
      <c r="F1764" t="s">
        <v>26</v>
      </c>
      <c r="G1764">
        <v>1153</v>
      </c>
      <c r="H1764">
        <v>0</v>
      </c>
      <c r="I1764">
        <v>-1</v>
      </c>
      <c r="J1764">
        <v>-61</v>
      </c>
      <c r="K1764">
        <v>0</v>
      </c>
      <c r="L1764">
        <v>0</v>
      </c>
      <c r="M1764">
        <v>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1093</v>
      </c>
      <c r="T1764">
        <v>0</v>
      </c>
      <c r="U1764" t="s">
        <v>45</v>
      </c>
      <c r="W1764" s="2">
        <v>71.819000000000003</v>
      </c>
      <c r="X1764" s="3">
        <f t="shared" si="54"/>
        <v>78498.167000000001</v>
      </c>
      <c r="Y1764">
        <f>VLOOKUP(D1764,'[1]Cost Sheet'!$C:$D,2,0)</f>
        <v>75.13</v>
      </c>
      <c r="Z1764" s="3">
        <f t="shared" si="55"/>
        <v>82117.09</v>
      </c>
    </row>
    <row r="1765" spans="1:26" x14ac:dyDescent="0.3">
      <c r="A1765" s="7" t="s">
        <v>21</v>
      </c>
      <c r="B1765" t="s">
        <v>638</v>
      </c>
      <c r="C1765" t="s">
        <v>639</v>
      </c>
      <c r="D1765" t="s">
        <v>640</v>
      </c>
      <c r="E1765" t="s">
        <v>641</v>
      </c>
      <c r="F1765" t="s">
        <v>26</v>
      </c>
      <c r="G1765">
        <v>4</v>
      </c>
      <c r="H1765">
        <v>13</v>
      </c>
      <c r="I1765">
        <v>0</v>
      </c>
      <c r="J1765">
        <v>0</v>
      </c>
      <c r="K1765">
        <v>18</v>
      </c>
      <c r="L1765">
        <v>0</v>
      </c>
      <c r="M1765">
        <v>-15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7</v>
      </c>
      <c r="T1765">
        <v>0</v>
      </c>
      <c r="U1765" t="s">
        <v>108</v>
      </c>
      <c r="W1765" s="2">
        <v>71.819000000000003</v>
      </c>
      <c r="X1765" s="3">
        <f t="shared" si="54"/>
        <v>502.733</v>
      </c>
      <c r="Y1765">
        <f>VLOOKUP(D1765,'[1]Cost Sheet'!$C:$D,2,0)</f>
        <v>75.13</v>
      </c>
      <c r="Z1765" s="3">
        <f t="shared" si="55"/>
        <v>525.91</v>
      </c>
    </row>
    <row r="1766" spans="1:26" x14ac:dyDescent="0.3">
      <c r="A1766" s="7" t="s">
        <v>21</v>
      </c>
      <c r="B1766" t="s">
        <v>638</v>
      </c>
      <c r="C1766" t="s">
        <v>639</v>
      </c>
      <c r="D1766" t="s">
        <v>640</v>
      </c>
      <c r="E1766" t="s">
        <v>641</v>
      </c>
      <c r="F1766" t="s">
        <v>26</v>
      </c>
      <c r="G1766">
        <v>196</v>
      </c>
      <c r="H1766">
        <v>0</v>
      </c>
      <c r="I1766">
        <v>0</v>
      </c>
      <c r="J1766">
        <v>-79</v>
      </c>
      <c r="K1766">
        <v>1</v>
      </c>
      <c r="L1766">
        <v>0</v>
      </c>
      <c r="M1766">
        <v>9</v>
      </c>
      <c r="N1766">
        <v>0</v>
      </c>
      <c r="O1766">
        <v>0</v>
      </c>
      <c r="P1766">
        <v>0</v>
      </c>
      <c r="Q1766">
        <v>0</v>
      </c>
      <c r="R1766">
        <v>-2</v>
      </c>
      <c r="S1766">
        <v>125</v>
      </c>
      <c r="T1766">
        <v>0</v>
      </c>
      <c r="U1766" t="s">
        <v>39</v>
      </c>
      <c r="W1766" s="2">
        <v>71.819000000000003</v>
      </c>
      <c r="X1766" s="3">
        <f t="shared" si="54"/>
        <v>8977.375</v>
      </c>
      <c r="Y1766">
        <f>VLOOKUP(D1766,'[1]Cost Sheet'!$C:$D,2,0)</f>
        <v>75.13</v>
      </c>
      <c r="Z1766" s="3">
        <f t="shared" si="55"/>
        <v>9391.25</v>
      </c>
    </row>
    <row r="1767" spans="1:26" x14ac:dyDescent="0.3">
      <c r="A1767" s="7" t="s">
        <v>21</v>
      </c>
      <c r="B1767" t="s">
        <v>638</v>
      </c>
      <c r="C1767" t="s">
        <v>639</v>
      </c>
      <c r="D1767" t="s">
        <v>640</v>
      </c>
      <c r="E1767" t="s">
        <v>641</v>
      </c>
      <c r="F1767" t="s">
        <v>26</v>
      </c>
      <c r="G1767">
        <v>10</v>
      </c>
      <c r="H1767">
        <v>0</v>
      </c>
      <c r="I1767">
        <v>0</v>
      </c>
      <c r="J1767">
        <v>-5</v>
      </c>
      <c r="K1767">
        <v>1</v>
      </c>
      <c r="L1767">
        <v>0</v>
      </c>
      <c r="M1767">
        <v>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10</v>
      </c>
      <c r="T1767">
        <v>0</v>
      </c>
      <c r="U1767" t="s">
        <v>53</v>
      </c>
      <c r="W1767" s="2">
        <v>71.819000000000003</v>
      </c>
      <c r="X1767" s="3">
        <f t="shared" si="54"/>
        <v>718.19</v>
      </c>
      <c r="Y1767">
        <f>VLOOKUP(D1767,'[1]Cost Sheet'!$C:$D,2,0)</f>
        <v>75.13</v>
      </c>
      <c r="Z1767" s="3">
        <f t="shared" si="55"/>
        <v>751.3</v>
      </c>
    </row>
    <row r="1768" spans="1:26" x14ac:dyDescent="0.3">
      <c r="A1768" s="7" t="s">
        <v>21</v>
      </c>
      <c r="B1768" t="s">
        <v>638</v>
      </c>
      <c r="C1768" t="s">
        <v>639</v>
      </c>
      <c r="D1768" t="s">
        <v>640</v>
      </c>
      <c r="E1768" t="s">
        <v>641</v>
      </c>
      <c r="F1768" t="s">
        <v>26</v>
      </c>
      <c r="G1768">
        <v>12</v>
      </c>
      <c r="H1768">
        <v>0</v>
      </c>
      <c r="I1768">
        <v>0</v>
      </c>
      <c r="J1768">
        <v>-2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11</v>
      </c>
      <c r="T1768">
        <v>0</v>
      </c>
      <c r="U1768" t="s">
        <v>54</v>
      </c>
      <c r="W1768" s="2">
        <v>71.819000000000003</v>
      </c>
      <c r="X1768" s="3">
        <f t="shared" si="54"/>
        <v>790.00900000000001</v>
      </c>
      <c r="Y1768">
        <f>VLOOKUP(D1768,'[1]Cost Sheet'!$C:$D,2,0)</f>
        <v>75.13</v>
      </c>
      <c r="Z1768" s="3">
        <f t="shared" si="55"/>
        <v>826.43</v>
      </c>
    </row>
    <row r="1769" spans="1:26" x14ac:dyDescent="0.3">
      <c r="A1769" s="7" t="s">
        <v>21</v>
      </c>
      <c r="B1769" t="s">
        <v>638</v>
      </c>
      <c r="C1769" t="s">
        <v>639</v>
      </c>
      <c r="D1769" t="s">
        <v>640</v>
      </c>
      <c r="E1769" t="s">
        <v>641</v>
      </c>
      <c r="F1769" t="s">
        <v>26</v>
      </c>
      <c r="G1769">
        <v>1</v>
      </c>
      <c r="H1769">
        <v>720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 t="s">
        <v>152</v>
      </c>
      <c r="W1769" s="2">
        <v>71.819000000000003</v>
      </c>
      <c r="X1769" s="3">
        <f t="shared" si="54"/>
        <v>71.819000000000003</v>
      </c>
      <c r="Y1769">
        <f>VLOOKUP(D1769,'[1]Cost Sheet'!$C:$D,2,0)</f>
        <v>75.13</v>
      </c>
      <c r="Z1769" s="3">
        <f t="shared" si="55"/>
        <v>75.13</v>
      </c>
    </row>
    <row r="1770" spans="1:26" x14ac:dyDescent="0.3">
      <c r="A1770" s="7" t="s">
        <v>21</v>
      </c>
      <c r="B1770" t="s">
        <v>638</v>
      </c>
      <c r="C1770" t="s">
        <v>639</v>
      </c>
      <c r="D1770" t="s">
        <v>640</v>
      </c>
      <c r="E1770" t="s">
        <v>641</v>
      </c>
      <c r="F1770" t="s">
        <v>26</v>
      </c>
      <c r="G1770">
        <v>773</v>
      </c>
      <c r="H1770">
        <v>0</v>
      </c>
      <c r="I1770">
        <v>0</v>
      </c>
      <c r="J1770">
        <v>-27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746</v>
      </c>
      <c r="T1770">
        <v>0</v>
      </c>
      <c r="U1770" t="s">
        <v>32</v>
      </c>
      <c r="W1770" s="2">
        <v>71.819000000000003</v>
      </c>
      <c r="X1770" s="3">
        <f t="shared" si="54"/>
        <v>53576.974000000002</v>
      </c>
      <c r="Y1770">
        <f>VLOOKUP(D1770,'[1]Cost Sheet'!$C:$D,2,0)</f>
        <v>75.13</v>
      </c>
      <c r="Z1770" s="3">
        <f t="shared" si="55"/>
        <v>56046.979999999996</v>
      </c>
    </row>
    <row r="1771" spans="1:26" x14ac:dyDescent="0.3">
      <c r="A1771" s="7" t="s">
        <v>21</v>
      </c>
      <c r="B1771" t="s">
        <v>638</v>
      </c>
      <c r="C1771" t="s">
        <v>639</v>
      </c>
      <c r="D1771" t="s">
        <v>640</v>
      </c>
      <c r="E1771" t="s">
        <v>641</v>
      </c>
      <c r="F1771" t="s">
        <v>26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 t="s">
        <v>109</v>
      </c>
      <c r="W1771" s="2">
        <v>71.819000000000003</v>
      </c>
      <c r="X1771" s="3">
        <f t="shared" si="54"/>
        <v>0</v>
      </c>
      <c r="Y1771">
        <f>VLOOKUP(D1771,'[1]Cost Sheet'!$C:$D,2,0)</f>
        <v>75.13</v>
      </c>
      <c r="Z1771" s="3">
        <f t="shared" si="55"/>
        <v>0</v>
      </c>
    </row>
    <row r="1772" spans="1:26" x14ac:dyDescent="0.3">
      <c r="A1772" s="7" t="s">
        <v>21</v>
      </c>
      <c r="B1772" t="s">
        <v>638</v>
      </c>
      <c r="C1772" t="s">
        <v>639</v>
      </c>
      <c r="D1772" t="s">
        <v>640</v>
      </c>
      <c r="E1772" t="s">
        <v>641</v>
      </c>
      <c r="F1772" t="s">
        <v>26</v>
      </c>
      <c r="G1772">
        <v>8</v>
      </c>
      <c r="H1772">
        <v>15</v>
      </c>
      <c r="I1772">
        <v>0</v>
      </c>
      <c r="J1772">
        <v>0</v>
      </c>
      <c r="K1772">
        <v>11</v>
      </c>
      <c r="L1772">
        <v>0</v>
      </c>
      <c r="M1772">
        <v>-16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3</v>
      </c>
      <c r="T1772">
        <v>0</v>
      </c>
      <c r="U1772" t="s">
        <v>88</v>
      </c>
      <c r="W1772" s="2">
        <v>71.819000000000003</v>
      </c>
      <c r="X1772" s="3">
        <f t="shared" si="54"/>
        <v>215.45699999999999</v>
      </c>
      <c r="Y1772">
        <f>VLOOKUP(D1772,'[1]Cost Sheet'!$C:$D,2,0)</f>
        <v>75.13</v>
      </c>
      <c r="Z1772" s="3">
        <f t="shared" si="55"/>
        <v>225.39</v>
      </c>
    </row>
    <row r="1773" spans="1:26" x14ac:dyDescent="0.3">
      <c r="A1773" s="7" t="s">
        <v>21</v>
      </c>
      <c r="B1773" t="s">
        <v>638</v>
      </c>
      <c r="C1773" t="s">
        <v>639</v>
      </c>
      <c r="D1773" t="s">
        <v>640</v>
      </c>
      <c r="E1773" t="s">
        <v>641</v>
      </c>
      <c r="F1773" t="s">
        <v>26</v>
      </c>
      <c r="G1773">
        <v>382</v>
      </c>
      <c r="H1773">
        <v>0</v>
      </c>
      <c r="I1773">
        <v>0</v>
      </c>
      <c r="J1773">
        <v>-19</v>
      </c>
      <c r="K1773">
        <v>0</v>
      </c>
      <c r="L1773">
        <v>0</v>
      </c>
      <c r="M1773">
        <v>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365</v>
      </c>
      <c r="T1773">
        <v>0</v>
      </c>
      <c r="U1773" t="s">
        <v>33</v>
      </c>
      <c r="W1773" s="2">
        <v>71.819000000000003</v>
      </c>
      <c r="X1773" s="3">
        <f t="shared" si="54"/>
        <v>26213.935000000001</v>
      </c>
      <c r="Y1773">
        <f>VLOOKUP(D1773,'[1]Cost Sheet'!$C:$D,2,0)</f>
        <v>75.13</v>
      </c>
      <c r="Z1773" s="3">
        <f t="shared" si="55"/>
        <v>27422.449999999997</v>
      </c>
    </row>
    <row r="1774" spans="1:26" x14ac:dyDescent="0.3">
      <c r="A1774" s="7" t="s">
        <v>21</v>
      </c>
      <c r="B1774" t="s">
        <v>638</v>
      </c>
      <c r="C1774" t="s">
        <v>639</v>
      </c>
      <c r="D1774" t="s">
        <v>640</v>
      </c>
      <c r="E1774" t="s">
        <v>641</v>
      </c>
      <c r="F1774" t="s">
        <v>26</v>
      </c>
      <c r="G1774">
        <v>625</v>
      </c>
      <c r="H1774">
        <v>0</v>
      </c>
      <c r="I1774">
        <v>0</v>
      </c>
      <c r="J1774">
        <v>-24</v>
      </c>
      <c r="K1774">
        <v>0</v>
      </c>
      <c r="L1774">
        <v>0</v>
      </c>
      <c r="M1774">
        <v>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607</v>
      </c>
      <c r="T1774">
        <v>0</v>
      </c>
      <c r="U1774" t="s">
        <v>46</v>
      </c>
      <c r="W1774" s="2">
        <v>71.819000000000003</v>
      </c>
      <c r="X1774" s="3">
        <f t="shared" si="54"/>
        <v>43594.133000000002</v>
      </c>
      <c r="Y1774">
        <f>VLOOKUP(D1774,'[1]Cost Sheet'!$C:$D,2,0)</f>
        <v>75.13</v>
      </c>
      <c r="Z1774" s="3">
        <f t="shared" si="55"/>
        <v>45603.909999999996</v>
      </c>
    </row>
    <row r="1775" spans="1:26" x14ac:dyDescent="0.3">
      <c r="A1775" s="7" t="s">
        <v>21</v>
      </c>
      <c r="B1775" t="s">
        <v>638</v>
      </c>
      <c r="C1775" t="s">
        <v>639</v>
      </c>
      <c r="D1775" t="s">
        <v>640</v>
      </c>
      <c r="E1775" t="s">
        <v>641</v>
      </c>
      <c r="F1775" t="s">
        <v>26</v>
      </c>
      <c r="G1775">
        <v>8</v>
      </c>
      <c r="H1775">
        <v>0</v>
      </c>
      <c r="I1775">
        <v>0</v>
      </c>
      <c r="J1775">
        <v>-3</v>
      </c>
      <c r="K1775">
        <v>0</v>
      </c>
      <c r="L1775">
        <v>0</v>
      </c>
      <c r="M1775">
        <v>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11</v>
      </c>
      <c r="T1775">
        <v>0</v>
      </c>
      <c r="U1775" t="s">
        <v>110</v>
      </c>
      <c r="W1775" s="2">
        <v>71.819000000000003</v>
      </c>
      <c r="X1775" s="3">
        <f t="shared" si="54"/>
        <v>790.00900000000001</v>
      </c>
      <c r="Y1775">
        <f>VLOOKUP(D1775,'[1]Cost Sheet'!$C:$D,2,0)</f>
        <v>75.13</v>
      </c>
      <c r="Z1775" s="3">
        <f t="shared" si="55"/>
        <v>826.43</v>
      </c>
    </row>
    <row r="1776" spans="1:26" x14ac:dyDescent="0.3">
      <c r="A1776" s="7" t="s">
        <v>21</v>
      </c>
      <c r="B1776" t="s">
        <v>638</v>
      </c>
      <c r="C1776" t="s">
        <v>639</v>
      </c>
      <c r="D1776" t="s">
        <v>640</v>
      </c>
      <c r="E1776" t="s">
        <v>641</v>
      </c>
      <c r="F1776" t="s">
        <v>26</v>
      </c>
      <c r="G1776">
        <v>7</v>
      </c>
      <c r="H1776">
        <v>0</v>
      </c>
      <c r="I1776">
        <v>0</v>
      </c>
      <c r="J1776">
        <v>-3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4</v>
      </c>
      <c r="T1776">
        <v>0</v>
      </c>
      <c r="U1776" t="s">
        <v>111</v>
      </c>
      <c r="W1776" s="2">
        <v>71.819000000000003</v>
      </c>
      <c r="X1776" s="3">
        <f t="shared" si="54"/>
        <v>287.27600000000001</v>
      </c>
      <c r="Y1776">
        <f>VLOOKUP(D1776,'[1]Cost Sheet'!$C:$D,2,0)</f>
        <v>75.13</v>
      </c>
      <c r="Z1776" s="3">
        <f t="shared" si="55"/>
        <v>300.52</v>
      </c>
    </row>
    <row r="1777" spans="1:26" x14ac:dyDescent="0.3">
      <c r="A1777" s="7" t="s">
        <v>21</v>
      </c>
      <c r="B1777" t="s">
        <v>638</v>
      </c>
      <c r="C1777" t="s">
        <v>639</v>
      </c>
      <c r="D1777" t="s">
        <v>640</v>
      </c>
      <c r="E1777" t="s">
        <v>641</v>
      </c>
      <c r="F1777" t="s">
        <v>26</v>
      </c>
      <c r="G1777">
        <v>25</v>
      </c>
      <c r="H1777">
        <v>0</v>
      </c>
      <c r="I1777">
        <v>0</v>
      </c>
      <c r="J1777">
        <v>-18</v>
      </c>
      <c r="K1777">
        <v>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9</v>
      </c>
      <c r="T1777">
        <v>0</v>
      </c>
      <c r="U1777" t="s">
        <v>47</v>
      </c>
      <c r="W1777" s="2">
        <v>71.819000000000003</v>
      </c>
      <c r="X1777" s="3">
        <f t="shared" si="54"/>
        <v>646.37099999999998</v>
      </c>
      <c r="Y1777">
        <f>VLOOKUP(D1777,'[1]Cost Sheet'!$C:$D,2,0)</f>
        <v>75.13</v>
      </c>
      <c r="Z1777" s="3">
        <f t="shared" si="55"/>
        <v>676.17</v>
      </c>
    </row>
    <row r="1778" spans="1:26" x14ac:dyDescent="0.3">
      <c r="A1778" s="7" t="s">
        <v>21</v>
      </c>
      <c r="B1778" t="s">
        <v>638</v>
      </c>
      <c r="C1778" t="s">
        <v>639</v>
      </c>
      <c r="D1778" t="s">
        <v>640</v>
      </c>
      <c r="E1778" t="s">
        <v>641</v>
      </c>
      <c r="F1778" t="s">
        <v>26</v>
      </c>
      <c r="G1778">
        <v>98</v>
      </c>
      <c r="H1778">
        <v>0</v>
      </c>
      <c r="I1778">
        <v>0</v>
      </c>
      <c r="J1778">
        <v>-50</v>
      </c>
      <c r="K1778">
        <v>2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50</v>
      </c>
      <c r="T1778">
        <v>0</v>
      </c>
      <c r="U1778" t="s">
        <v>40</v>
      </c>
      <c r="W1778" s="2">
        <v>71.819000000000003</v>
      </c>
      <c r="X1778" s="3">
        <f t="shared" si="54"/>
        <v>3590.9500000000003</v>
      </c>
      <c r="Y1778">
        <f>VLOOKUP(D1778,'[1]Cost Sheet'!$C:$D,2,0)</f>
        <v>75.13</v>
      </c>
      <c r="Z1778" s="3">
        <f t="shared" si="55"/>
        <v>3756.5</v>
      </c>
    </row>
    <row r="1779" spans="1:26" x14ac:dyDescent="0.3">
      <c r="A1779" s="7" t="s">
        <v>21</v>
      </c>
      <c r="B1779" t="s">
        <v>638</v>
      </c>
      <c r="C1779" t="s">
        <v>639</v>
      </c>
      <c r="D1779" t="s">
        <v>640</v>
      </c>
      <c r="E1779" t="s">
        <v>641</v>
      </c>
      <c r="F1779" t="s">
        <v>26</v>
      </c>
      <c r="G1779">
        <v>165</v>
      </c>
      <c r="H1779">
        <v>0</v>
      </c>
      <c r="I1779">
        <v>0</v>
      </c>
      <c r="J1779">
        <v>-5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161</v>
      </c>
      <c r="T1779">
        <v>0</v>
      </c>
      <c r="U1779" t="s">
        <v>120</v>
      </c>
      <c r="W1779" s="2">
        <v>71.819000000000003</v>
      </c>
      <c r="X1779" s="3">
        <f t="shared" si="54"/>
        <v>11562.859</v>
      </c>
      <c r="Y1779">
        <f>VLOOKUP(D1779,'[1]Cost Sheet'!$C:$D,2,0)</f>
        <v>75.13</v>
      </c>
      <c r="Z1779" s="3">
        <f t="shared" si="55"/>
        <v>12095.929999999998</v>
      </c>
    </row>
    <row r="1780" spans="1:26" x14ac:dyDescent="0.3">
      <c r="A1780" s="7" t="s">
        <v>21</v>
      </c>
      <c r="B1780" t="s">
        <v>638</v>
      </c>
      <c r="C1780" t="s">
        <v>639</v>
      </c>
      <c r="D1780" t="s">
        <v>640</v>
      </c>
      <c r="E1780" t="s">
        <v>641</v>
      </c>
      <c r="F1780" t="s">
        <v>26</v>
      </c>
      <c r="G1780">
        <v>862</v>
      </c>
      <c r="H1780">
        <v>0</v>
      </c>
      <c r="I1780">
        <v>0</v>
      </c>
      <c r="J1780">
        <v>-39</v>
      </c>
      <c r="K1780">
        <v>2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825</v>
      </c>
      <c r="T1780">
        <v>0</v>
      </c>
      <c r="U1780" t="s">
        <v>113</v>
      </c>
      <c r="W1780" s="2">
        <v>71.819000000000003</v>
      </c>
      <c r="X1780" s="3">
        <f t="shared" si="54"/>
        <v>59250.675000000003</v>
      </c>
      <c r="Y1780">
        <f>VLOOKUP(D1780,'[1]Cost Sheet'!$C:$D,2,0)</f>
        <v>75.13</v>
      </c>
      <c r="Z1780" s="3">
        <f t="shared" si="55"/>
        <v>61982.249999999993</v>
      </c>
    </row>
    <row r="1781" spans="1:26" x14ac:dyDescent="0.3">
      <c r="A1781" s="7" t="s">
        <v>21</v>
      </c>
      <c r="B1781" t="s">
        <v>638</v>
      </c>
      <c r="C1781" t="s">
        <v>639</v>
      </c>
      <c r="D1781" t="s">
        <v>640</v>
      </c>
      <c r="E1781" t="s">
        <v>641</v>
      </c>
      <c r="F1781" t="s">
        <v>26</v>
      </c>
      <c r="G1781">
        <v>446</v>
      </c>
      <c r="H1781">
        <v>0</v>
      </c>
      <c r="I1781">
        <v>0</v>
      </c>
      <c r="J1781">
        <v>-47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400</v>
      </c>
      <c r="T1781">
        <v>0</v>
      </c>
      <c r="U1781" t="s">
        <v>48</v>
      </c>
      <c r="W1781" s="2">
        <v>71.819000000000003</v>
      </c>
      <c r="X1781" s="3">
        <f t="shared" si="54"/>
        <v>28727.600000000002</v>
      </c>
      <c r="Y1781">
        <f>VLOOKUP(D1781,'[1]Cost Sheet'!$C:$D,2,0)</f>
        <v>75.13</v>
      </c>
      <c r="Z1781" s="3">
        <f t="shared" si="55"/>
        <v>30052</v>
      </c>
    </row>
    <row r="1782" spans="1:26" x14ac:dyDescent="0.3">
      <c r="A1782" s="7" t="s">
        <v>21</v>
      </c>
      <c r="B1782" t="s">
        <v>638</v>
      </c>
      <c r="C1782" t="s">
        <v>639</v>
      </c>
      <c r="D1782" t="s">
        <v>640</v>
      </c>
      <c r="E1782" t="s">
        <v>641</v>
      </c>
      <c r="F1782" t="s">
        <v>26</v>
      </c>
      <c r="G1782">
        <v>65</v>
      </c>
      <c r="H1782">
        <v>0</v>
      </c>
      <c r="I1782">
        <v>0</v>
      </c>
      <c r="J1782">
        <v>-44</v>
      </c>
      <c r="K1782">
        <v>4</v>
      </c>
      <c r="L1782">
        <v>0</v>
      </c>
      <c r="M1782">
        <v>29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54</v>
      </c>
      <c r="T1782">
        <v>0</v>
      </c>
      <c r="U1782" t="s">
        <v>59</v>
      </c>
      <c r="W1782" s="2">
        <v>71.819000000000003</v>
      </c>
      <c r="X1782" s="3">
        <f t="shared" si="54"/>
        <v>3878.2260000000001</v>
      </c>
      <c r="Y1782">
        <f>VLOOKUP(D1782,'[1]Cost Sheet'!$C:$D,2,0)</f>
        <v>75.13</v>
      </c>
      <c r="Z1782" s="3">
        <f t="shared" si="55"/>
        <v>4057.0199999999995</v>
      </c>
    </row>
    <row r="1783" spans="1:26" x14ac:dyDescent="0.3">
      <c r="A1783" s="7" t="s">
        <v>21</v>
      </c>
      <c r="B1783" t="s">
        <v>638</v>
      </c>
      <c r="C1783" t="s">
        <v>639</v>
      </c>
      <c r="D1783" t="s">
        <v>640</v>
      </c>
      <c r="E1783" t="s">
        <v>641</v>
      </c>
      <c r="F1783" t="s">
        <v>26</v>
      </c>
      <c r="G1783">
        <v>15</v>
      </c>
      <c r="H1783">
        <v>0</v>
      </c>
      <c r="I1783">
        <v>0</v>
      </c>
      <c r="J1783">
        <v>-18</v>
      </c>
      <c r="K1783">
        <v>0</v>
      </c>
      <c r="L1783">
        <v>0</v>
      </c>
      <c r="M1783">
        <v>72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69</v>
      </c>
      <c r="T1783">
        <v>0</v>
      </c>
      <c r="U1783" t="s">
        <v>27</v>
      </c>
      <c r="W1783" s="2">
        <v>71.819000000000003</v>
      </c>
      <c r="X1783" s="3">
        <f t="shared" si="54"/>
        <v>4955.5110000000004</v>
      </c>
      <c r="Y1783">
        <f>VLOOKUP(D1783,'[1]Cost Sheet'!$C:$D,2,0)</f>
        <v>75.13</v>
      </c>
      <c r="Z1783" s="3">
        <f t="shared" si="55"/>
        <v>5183.9699999999993</v>
      </c>
    </row>
    <row r="1784" spans="1:26" x14ac:dyDescent="0.3">
      <c r="A1784" s="7" t="s">
        <v>21</v>
      </c>
      <c r="B1784" t="s">
        <v>638</v>
      </c>
      <c r="C1784" t="s">
        <v>639</v>
      </c>
      <c r="D1784" t="s">
        <v>640</v>
      </c>
      <c r="E1784" t="s">
        <v>641</v>
      </c>
      <c r="F1784" t="s">
        <v>114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 t="s">
        <v>107</v>
      </c>
      <c r="W1784" s="2">
        <v>71.819000000000003</v>
      </c>
      <c r="X1784" s="3">
        <f t="shared" si="54"/>
        <v>71.819000000000003</v>
      </c>
      <c r="Y1784">
        <f>VLOOKUP(D1784,'[1]Cost Sheet'!$C:$D,2,0)</f>
        <v>75.13</v>
      </c>
      <c r="Z1784" s="3">
        <f t="shared" si="55"/>
        <v>75.13</v>
      </c>
    </row>
    <row r="1785" spans="1:26" x14ac:dyDescent="0.3">
      <c r="A1785" s="7" t="s">
        <v>21</v>
      </c>
      <c r="B1785" t="s">
        <v>638</v>
      </c>
      <c r="C1785" t="s">
        <v>639</v>
      </c>
      <c r="D1785" t="s">
        <v>640</v>
      </c>
      <c r="E1785" t="s">
        <v>641</v>
      </c>
      <c r="F1785" t="s">
        <v>114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2</v>
      </c>
      <c r="T1785">
        <v>0</v>
      </c>
      <c r="U1785" t="s">
        <v>54</v>
      </c>
      <c r="W1785" s="2">
        <v>71.819000000000003</v>
      </c>
      <c r="X1785" s="3">
        <f t="shared" si="54"/>
        <v>143.63800000000001</v>
      </c>
      <c r="Y1785">
        <f>VLOOKUP(D1785,'[1]Cost Sheet'!$C:$D,2,0)</f>
        <v>75.13</v>
      </c>
      <c r="Z1785" s="3">
        <f t="shared" si="55"/>
        <v>150.26</v>
      </c>
    </row>
    <row r="1786" spans="1:26" x14ac:dyDescent="0.3">
      <c r="A1786" s="7" t="s">
        <v>21</v>
      </c>
      <c r="B1786" t="s">
        <v>638</v>
      </c>
      <c r="C1786" t="s">
        <v>639</v>
      </c>
      <c r="D1786" t="s">
        <v>640</v>
      </c>
      <c r="E1786" t="s">
        <v>641</v>
      </c>
      <c r="F1786" t="s">
        <v>114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 t="s">
        <v>32</v>
      </c>
      <c r="W1786" s="2">
        <v>71.819000000000003</v>
      </c>
      <c r="X1786" s="3">
        <f t="shared" si="54"/>
        <v>71.819000000000003</v>
      </c>
      <c r="Y1786">
        <f>VLOOKUP(D1786,'[1]Cost Sheet'!$C:$D,2,0)</f>
        <v>75.13</v>
      </c>
      <c r="Z1786" s="3">
        <f t="shared" si="55"/>
        <v>75.13</v>
      </c>
    </row>
    <row r="1787" spans="1:26" x14ac:dyDescent="0.3">
      <c r="A1787" s="7" t="s">
        <v>21</v>
      </c>
      <c r="B1787" t="s">
        <v>638</v>
      </c>
      <c r="C1787" t="s">
        <v>639</v>
      </c>
      <c r="D1787" t="s">
        <v>640</v>
      </c>
      <c r="E1787" t="s">
        <v>641</v>
      </c>
      <c r="F1787" t="s">
        <v>114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 t="s">
        <v>33</v>
      </c>
      <c r="W1787" s="2">
        <v>71.819000000000003</v>
      </c>
      <c r="X1787" s="3">
        <f t="shared" si="54"/>
        <v>71.819000000000003</v>
      </c>
      <c r="Y1787">
        <f>VLOOKUP(D1787,'[1]Cost Sheet'!$C:$D,2,0)</f>
        <v>75.13</v>
      </c>
      <c r="Z1787" s="3">
        <f t="shared" si="55"/>
        <v>75.13</v>
      </c>
    </row>
    <row r="1788" spans="1:26" x14ac:dyDescent="0.3">
      <c r="A1788" s="7" t="s">
        <v>21</v>
      </c>
      <c r="B1788" t="s">
        <v>638</v>
      </c>
      <c r="C1788" t="s">
        <v>639</v>
      </c>
      <c r="D1788" t="s">
        <v>640</v>
      </c>
      <c r="E1788" t="s">
        <v>641</v>
      </c>
      <c r="F1788" t="s">
        <v>114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 t="s">
        <v>46</v>
      </c>
      <c r="W1788" s="2">
        <v>71.819000000000003</v>
      </c>
      <c r="X1788" s="3">
        <f t="shared" si="54"/>
        <v>71.819000000000003</v>
      </c>
      <c r="Y1788">
        <f>VLOOKUP(D1788,'[1]Cost Sheet'!$C:$D,2,0)</f>
        <v>75.13</v>
      </c>
      <c r="Z1788" s="3">
        <f t="shared" si="55"/>
        <v>75.13</v>
      </c>
    </row>
    <row r="1789" spans="1:26" x14ac:dyDescent="0.3">
      <c r="A1789" s="7" t="s">
        <v>21</v>
      </c>
      <c r="B1789" t="s">
        <v>638</v>
      </c>
      <c r="C1789" t="s">
        <v>639</v>
      </c>
      <c r="D1789" t="s">
        <v>640</v>
      </c>
      <c r="E1789" t="s">
        <v>641</v>
      </c>
      <c r="F1789" t="s">
        <v>114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 t="s">
        <v>47</v>
      </c>
      <c r="W1789" s="2">
        <v>71.819000000000003</v>
      </c>
      <c r="X1789" s="3">
        <f t="shared" si="54"/>
        <v>71.819000000000003</v>
      </c>
      <c r="Y1789">
        <f>VLOOKUP(D1789,'[1]Cost Sheet'!$C:$D,2,0)</f>
        <v>75.13</v>
      </c>
      <c r="Z1789" s="3">
        <f t="shared" si="55"/>
        <v>75.13</v>
      </c>
    </row>
    <row r="1790" spans="1:26" x14ac:dyDescent="0.3">
      <c r="A1790" s="7" t="s">
        <v>21</v>
      </c>
      <c r="B1790" t="s">
        <v>638</v>
      </c>
      <c r="C1790" t="s">
        <v>639</v>
      </c>
      <c r="D1790" t="s">
        <v>640</v>
      </c>
      <c r="E1790" t="s">
        <v>641</v>
      </c>
      <c r="F1790" t="s">
        <v>114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 t="s">
        <v>120</v>
      </c>
      <c r="W1790" s="2">
        <v>71.819000000000003</v>
      </c>
      <c r="X1790" s="3">
        <f t="shared" si="54"/>
        <v>71.819000000000003</v>
      </c>
      <c r="Y1790">
        <f>VLOOKUP(D1790,'[1]Cost Sheet'!$C:$D,2,0)</f>
        <v>75.13</v>
      </c>
      <c r="Z1790" s="3">
        <f t="shared" si="55"/>
        <v>75.13</v>
      </c>
    </row>
    <row r="1791" spans="1:26" x14ac:dyDescent="0.3">
      <c r="A1791" s="7" t="s">
        <v>21</v>
      </c>
      <c r="B1791" t="s">
        <v>638</v>
      </c>
      <c r="C1791" t="s">
        <v>639</v>
      </c>
      <c r="D1791" t="s">
        <v>640</v>
      </c>
      <c r="E1791" t="s">
        <v>641</v>
      </c>
      <c r="F1791" t="s">
        <v>114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 t="s">
        <v>27</v>
      </c>
      <c r="W1791" s="2">
        <v>71.819000000000003</v>
      </c>
      <c r="X1791" s="3">
        <f t="shared" si="54"/>
        <v>71.819000000000003</v>
      </c>
      <c r="Y1791">
        <f>VLOOKUP(D1791,'[1]Cost Sheet'!$C:$D,2,0)</f>
        <v>75.13</v>
      </c>
      <c r="Z1791" s="3">
        <f t="shared" si="55"/>
        <v>75.13</v>
      </c>
    </row>
    <row r="1792" spans="1:26" x14ac:dyDescent="0.3">
      <c r="A1792" s="7" t="s">
        <v>21</v>
      </c>
      <c r="B1792" t="s">
        <v>642</v>
      </c>
      <c r="C1792" t="s">
        <v>643</v>
      </c>
      <c r="D1792" t="s">
        <v>644</v>
      </c>
      <c r="E1792" t="s">
        <v>645</v>
      </c>
      <c r="F1792" t="s">
        <v>26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 t="s">
        <v>38</v>
      </c>
      <c r="W1792" s="2">
        <v>153.23846153846151</v>
      </c>
      <c r="X1792" s="3">
        <f t="shared" si="54"/>
        <v>153.23846153846151</v>
      </c>
      <c r="Y1792">
        <f>VLOOKUP(D1792,'[1]Cost Sheet'!$C:$D,2,0)</f>
        <v>153.18</v>
      </c>
      <c r="Z1792" s="3">
        <f t="shared" si="55"/>
        <v>153.18</v>
      </c>
    </row>
    <row r="1793" spans="1:26" x14ac:dyDescent="0.3">
      <c r="A1793" s="7" t="s">
        <v>21</v>
      </c>
      <c r="B1793" t="s">
        <v>642</v>
      </c>
      <c r="C1793" t="s">
        <v>643</v>
      </c>
      <c r="D1793" t="s">
        <v>644</v>
      </c>
      <c r="E1793" t="s">
        <v>645</v>
      </c>
      <c r="F1793" t="s">
        <v>26</v>
      </c>
      <c r="G1793">
        <v>7</v>
      </c>
      <c r="H1793">
        <v>0</v>
      </c>
      <c r="I1793">
        <v>0</v>
      </c>
      <c r="J1793">
        <v>-1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6</v>
      </c>
      <c r="T1793">
        <v>0</v>
      </c>
      <c r="U1793" t="s">
        <v>47</v>
      </c>
      <c r="W1793" s="2">
        <v>153.23846153846151</v>
      </c>
      <c r="X1793" s="3">
        <f t="shared" si="54"/>
        <v>919.4307692307691</v>
      </c>
      <c r="Y1793">
        <f>VLOOKUP(D1793,'[1]Cost Sheet'!$C:$D,2,0)</f>
        <v>153.18</v>
      </c>
      <c r="Z1793" s="3">
        <f t="shared" si="55"/>
        <v>919.08</v>
      </c>
    </row>
    <row r="1794" spans="1:26" x14ac:dyDescent="0.3">
      <c r="A1794" s="7" t="s">
        <v>21</v>
      </c>
      <c r="B1794" t="s">
        <v>646</v>
      </c>
      <c r="C1794" t="s">
        <v>647</v>
      </c>
      <c r="D1794" t="s">
        <v>648</v>
      </c>
      <c r="E1794" t="s">
        <v>649</v>
      </c>
      <c r="F1794" t="s">
        <v>125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3</v>
      </c>
      <c r="T1794">
        <v>0</v>
      </c>
      <c r="U1794" t="s">
        <v>108</v>
      </c>
      <c r="W1794" s="2">
        <v>133.79999999999998</v>
      </c>
      <c r="X1794" s="3">
        <f t="shared" si="54"/>
        <v>401.4</v>
      </c>
      <c r="Y1794">
        <f>VLOOKUP(D1794,'[1]Cost Sheet'!$C:$D,2,0)</f>
        <v>133.47999999999999</v>
      </c>
      <c r="Z1794" s="3">
        <f t="shared" si="55"/>
        <v>400.43999999999994</v>
      </c>
    </row>
    <row r="1795" spans="1:26" x14ac:dyDescent="0.3">
      <c r="A1795" s="7" t="s">
        <v>21</v>
      </c>
      <c r="B1795" t="s">
        <v>646</v>
      </c>
      <c r="C1795" t="s">
        <v>647</v>
      </c>
      <c r="D1795" t="s">
        <v>648</v>
      </c>
      <c r="E1795" t="s">
        <v>649</v>
      </c>
      <c r="F1795" t="s">
        <v>125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4</v>
      </c>
      <c r="T1795">
        <v>0</v>
      </c>
      <c r="U1795" t="s">
        <v>88</v>
      </c>
      <c r="W1795" s="2">
        <v>133.79999999999998</v>
      </c>
      <c r="X1795" s="3">
        <f t="shared" ref="X1795:X1858" si="56">S1795*W1795</f>
        <v>535.19999999999993</v>
      </c>
      <c r="Y1795">
        <f>VLOOKUP(D1795,'[1]Cost Sheet'!$C:$D,2,0)</f>
        <v>133.47999999999999</v>
      </c>
      <c r="Z1795" s="3">
        <f t="shared" ref="Z1795:Z1858" si="57">Y1795*S1795</f>
        <v>533.91999999999996</v>
      </c>
    </row>
    <row r="1796" spans="1:26" x14ac:dyDescent="0.3">
      <c r="A1796" s="7" t="s">
        <v>21</v>
      </c>
      <c r="B1796" t="s">
        <v>646</v>
      </c>
      <c r="C1796" t="s">
        <v>647</v>
      </c>
      <c r="D1796" t="s">
        <v>648</v>
      </c>
      <c r="E1796" t="s">
        <v>649</v>
      </c>
      <c r="F1796" t="s">
        <v>106</v>
      </c>
      <c r="G1796">
        <v>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4</v>
      </c>
      <c r="T1796">
        <v>0</v>
      </c>
      <c r="U1796" t="s">
        <v>32</v>
      </c>
      <c r="W1796" s="2">
        <v>133.79999999999998</v>
      </c>
      <c r="X1796" s="3">
        <f t="shared" si="56"/>
        <v>535.19999999999993</v>
      </c>
      <c r="Y1796">
        <f>VLOOKUP(D1796,'[1]Cost Sheet'!$C:$D,2,0)</f>
        <v>133.47999999999999</v>
      </c>
      <c r="Z1796" s="3">
        <f t="shared" si="57"/>
        <v>533.91999999999996</v>
      </c>
    </row>
    <row r="1797" spans="1:26" x14ac:dyDescent="0.3">
      <c r="A1797" s="7" t="s">
        <v>21</v>
      </c>
      <c r="B1797" t="s">
        <v>646</v>
      </c>
      <c r="C1797" t="s">
        <v>647</v>
      </c>
      <c r="D1797" t="s">
        <v>648</v>
      </c>
      <c r="E1797" t="s">
        <v>649</v>
      </c>
      <c r="F1797" t="s">
        <v>106</v>
      </c>
      <c r="G1797">
        <v>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3</v>
      </c>
      <c r="T1797">
        <v>0</v>
      </c>
      <c r="U1797" t="s">
        <v>33</v>
      </c>
      <c r="W1797" s="2">
        <v>133.79999999999998</v>
      </c>
      <c r="X1797" s="3">
        <f t="shared" si="56"/>
        <v>401.4</v>
      </c>
      <c r="Y1797">
        <f>VLOOKUP(D1797,'[1]Cost Sheet'!$C:$D,2,0)</f>
        <v>133.47999999999999</v>
      </c>
      <c r="Z1797" s="3">
        <f t="shared" si="57"/>
        <v>400.43999999999994</v>
      </c>
    </row>
    <row r="1798" spans="1:26" x14ac:dyDescent="0.3">
      <c r="A1798" s="7" t="s">
        <v>21</v>
      </c>
      <c r="B1798" t="s">
        <v>646</v>
      </c>
      <c r="C1798" t="s">
        <v>647</v>
      </c>
      <c r="D1798" t="s">
        <v>648</v>
      </c>
      <c r="E1798" t="s">
        <v>649</v>
      </c>
      <c r="F1798" t="s">
        <v>106</v>
      </c>
      <c r="G1798">
        <v>12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12</v>
      </c>
      <c r="T1798">
        <v>0</v>
      </c>
      <c r="U1798" t="s">
        <v>46</v>
      </c>
      <c r="W1798" s="2">
        <v>133.79999999999998</v>
      </c>
      <c r="X1798" s="3">
        <f t="shared" si="56"/>
        <v>1605.6</v>
      </c>
      <c r="Y1798">
        <f>VLOOKUP(D1798,'[1]Cost Sheet'!$C:$D,2,0)</f>
        <v>133.47999999999999</v>
      </c>
      <c r="Z1798" s="3">
        <f t="shared" si="57"/>
        <v>1601.7599999999998</v>
      </c>
    </row>
    <row r="1799" spans="1:26" x14ac:dyDescent="0.3">
      <c r="A1799" s="7" t="s">
        <v>21</v>
      </c>
      <c r="B1799" t="s">
        <v>646</v>
      </c>
      <c r="C1799" t="s">
        <v>647</v>
      </c>
      <c r="D1799" t="s">
        <v>648</v>
      </c>
      <c r="E1799" t="s">
        <v>649</v>
      </c>
      <c r="F1799" t="s">
        <v>130</v>
      </c>
      <c r="G1799">
        <v>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6</v>
      </c>
      <c r="T1799">
        <v>0</v>
      </c>
      <c r="U1799" t="s">
        <v>45</v>
      </c>
      <c r="W1799" s="2">
        <v>133.79999999999998</v>
      </c>
      <c r="X1799" s="3">
        <f t="shared" si="56"/>
        <v>802.8</v>
      </c>
      <c r="Y1799">
        <f>VLOOKUP(D1799,'[1]Cost Sheet'!$C:$D,2,0)</f>
        <v>133.47999999999999</v>
      </c>
      <c r="Z1799" s="3">
        <f t="shared" si="57"/>
        <v>800.87999999999988</v>
      </c>
    </row>
    <row r="1800" spans="1:26" x14ac:dyDescent="0.3">
      <c r="A1800" s="7" t="s">
        <v>21</v>
      </c>
      <c r="B1800" t="s">
        <v>646</v>
      </c>
      <c r="C1800" t="s">
        <v>647</v>
      </c>
      <c r="D1800" t="s">
        <v>648</v>
      </c>
      <c r="E1800" t="s">
        <v>649</v>
      </c>
      <c r="F1800" t="s">
        <v>130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 t="s">
        <v>53</v>
      </c>
      <c r="W1800" s="2">
        <v>133.79999999999998</v>
      </c>
      <c r="X1800" s="3">
        <f t="shared" si="56"/>
        <v>133.79999999999998</v>
      </c>
      <c r="Y1800">
        <f>VLOOKUP(D1800,'[1]Cost Sheet'!$C:$D,2,0)</f>
        <v>133.47999999999999</v>
      </c>
      <c r="Z1800" s="3">
        <f t="shared" si="57"/>
        <v>133.47999999999999</v>
      </c>
    </row>
    <row r="1801" spans="1:26" x14ac:dyDescent="0.3">
      <c r="A1801" s="7" t="s">
        <v>21</v>
      </c>
      <c r="B1801" t="s">
        <v>646</v>
      </c>
      <c r="C1801" t="s">
        <v>647</v>
      </c>
      <c r="D1801" t="s">
        <v>648</v>
      </c>
      <c r="E1801" t="s">
        <v>649</v>
      </c>
      <c r="F1801" t="s">
        <v>26</v>
      </c>
      <c r="G1801">
        <v>14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14</v>
      </c>
      <c r="T1801">
        <v>0</v>
      </c>
      <c r="U1801" t="s">
        <v>45</v>
      </c>
      <c r="W1801" s="2">
        <v>133.79999999999998</v>
      </c>
      <c r="X1801" s="3">
        <f t="shared" si="56"/>
        <v>1873.1999999999998</v>
      </c>
      <c r="Y1801">
        <f>VLOOKUP(D1801,'[1]Cost Sheet'!$C:$D,2,0)</f>
        <v>133.47999999999999</v>
      </c>
      <c r="Z1801" s="3">
        <f t="shared" si="57"/>
        <v>1868.7199999999998</v>
      </c>
    </row>
    <row r="1802" spans="1:26" x14ac:dyDescent="0.3">
      <c r="A1802" s="7" t="s">
        <v>21</v>
      </c>
      <c r="B1802" t="s">
        <v>646</v>
      </c>
      <c r="C1802" t="s">
        <v>647</v>
      </c>
      <c r="D1802" t="s">
        <v>648</v>
      </c>
      <c r="E1802" t="s">
        <v>649</v>
      </c>
      <c r="F1802" t="s">
        <v>26</v>
      </c>
      <c r="G1802">
        <v>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6</v>
      </c>
      <c r="T1802">
        <v>0</v>
      </c>
      <c r="U1802" t="s">
        <v>39</v>
      </c>
      <c r="W1802" s="2">
        <v>133.79999999999998</v>
      </c>
      <c r="X1802" s="3">
        <f t="shared" si="56"/>
        <v>802.8</v>
      </c>
      <c r="Y1802">
        <f>VLOOKUP(D1802,'[1]Cost Sheet'!$C:$D,2,0)</f>
        <v>133.47999999999999</v>
      </c>
      <c r="Z1802" s="3">
        <f t="shared" si="57"/>
        <v>800.87999999999988</v>
      </c>
    </row>
    <row r="1803" spans="1:26" x14ac:dyDescent="0.3">
      <c r="A1803" s="7" t="s">
        <v>21</v>
      </c>
      <c r="B1803" t="s">
        <v>646</v>
      </c>
      <c r="C1803" t="s">
        <v>647</v>
      </c>
      <c r="D1803" t="s">
        <v>648</v>
      </c>
      <c r="E1803" t="s">
        <v>649</v>
      </c>
      <c r="F1803" t="s">
        <v>26</v>
      </c>
      <c r="G1803">
        <v>14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14</v>
      </c>
      <c r="T1803">
        <v>0</v>
      </c>
      <c r="U1803" t="s">
        <v>53</v>
      </c>
      <c r="W1803" s="2">
        <v>133.79999999999998</v>
      </c>
      <c r="X1803" s="3">
        <f t="shared" si="56"/>
        <v>1873.1999999999998</v>
      </c>
      <c r="Y1803">
        <f>VLOOKUP(D1803,'[1]Cost Sheet'!$C:$D,2,0)</f>
        <v>133.47999999999999</v>
      </c>
      <c r="Z1803" s="3">
        <f t="shared" si="57"/>
        <v>1868.7199999999998</v>
      </c>
    </row>
    <row r="1804" spans="1:26" x14ac:dyDescent="0.3">
      <c r="A1804" s="7" t="s">
        <v>21</v>
      </c>
      <c r="B1804" t="s">
        <v>646</v>
      </c>
      <c r="C1804" t="s">
        <v>647</v>
      </c>
      <c r="D1804" t="s">
        <v>648</v>
      </c>
      <c r="E1804" t="s">
        <v>649</v>
      </c>
      <c r="F1804" t="s">
        <v>26</v>
      </c>
      <c r="G1804">
        <v>4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5</v>
      </c>
      <c r="T1804">
        <v>0</v>
      </c>
      <c r="U1804" t="s">
        <v>54</v>
      </c>
      <c r="W1804" s="2">
        <v>133.79999999999998</v>
      </c>
      <c r="X1804" s="3">
        <f t="shared" si="56"/>
        <v>668.99999999999989</v>
      </c>
      <c r="Y1804">
        <f>VLOOKUP(D1804,'[1]Cost Sheet'!$C:$D,2,0)</f>
        <v>133.47999999999999</v>
      </c>
      <c r="Z1804" s="3">
        <f t="shared" si="57"/>
        <v>667.4</v>
      </c>
    </row>
    <row r="1805" spans="1:26" x14ac:dyDescent="0.3">
      <c r="A1805" s="7" t="s">
        <v>21</v>
      </c>
      <c r="B1805" t="s">
        <v>646</v>
      </c>
      <c r="C1805" t="s">
        <v>647</v>
      </c>
      <c r="D1805" t="s">
        <v>648</v>
      </c>
      <c r="E1805" t="s">
        <v>649</v>
      </c>
      <c r="F1805" t="s">
        <v>26</v>
      </c>
      <c r="G1805">
        <v>43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43</v>
      </c>
      <c r="T1805">
        <v>0</v>
      </c>
      <c r="U1805" t="s">
        <v>32</v>
      </c>
      <c r="W1805" s="2">
        <v>133.79999999999998</v>
      </c>
      <c r="X1805" s="3">
        <f t="shared" si="56"/>
        <v>5753.4</v>
      </c>
      <c r="Y1805">
        <f>VLOOKUP(D1805,'[1]Cost Sheet'!$C:$D,2,0)</f>
        <v>133.47999999999999</v>
      </c>
      <c r="Z1805" s="3">
        <f t="shared" si="57"/>
        <v>5739.6399999999994</v>
      </c>
    </row>
    <row r="1806" spans="1:26" x14ac:dyDescent="0.3">
      <c r="A1806" s="7" t="s">
        <v>21</v>
      </c>
      <c r="B1806" t="s">
        <v>646</v>
      </c>
      <c r="C1806" t="s">
        <v>647</v>
      </c>
      <c r="D1806" t="s">
        <v>648</v>
      </c>
      <c r="E1806" t="s">
        <v>649</v>
      </c>
      <c r="F1806" t="s">
        <v>26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-1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88</v>
      </c>
      <c r="W1806" s="2">
        <v>133.79999999999998</v>
      </c>
      <c r="X1806" s="3">
        <f t="shared" si="56"/>
        <v>0</v>
      </c>
      <c r="Y1806">
        <f>VLOOKUP(D1806,'[1]Cost Sheet'!$C:$D,2,0)</f>
        <v>133.47999999999999</v>
      </c>
      <c r="Z1806" s="3">
        <f t="shared" si="57"/>
        <v>0</v>
      </c>
    </row>
    <row r="1807" spans="1:26" x14ac:dyDescent="0.3">
      <c r="A1807" s="7" t="s">
        <v>21</v>
      </c>
      <c r="B1807" t="s">
        <v>646</v>
      </c>
      <c r="C1807" t="s">
        <v>647</v>
      </c>
      <c r="D1807" t="s">
        <v>648</v>
      </c>
      <c r="E1807" t="s">
        <v>649</v>
      </c>
      <c r="F1807" t="s">
        <v>26</v>
      </c>
      <c r="G1807">
        <v>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3</v>
      </c>
      <c r="T1807">
        <v>0</v>
      </c>
      <c r="U1807" t="s">
        <v>33</v>
      </c>
      <c r="W1807" s="2">
        <v>133.79999999999998</v>
      </c>
      <c r="X1807" s="3">
        <f t="shared" si="56"/>
        <v>401.4</v>
      </c>
      <c r="Y1807">
        <f>VLOOKUP(D1807,'[1]Cost Sheet'!$C:$D,2,0)</f>
        <v>133.47999999999999</v>
      </c>
      <c r="Z1807" s="3">
        <f t="shared" si="57"/>
        <v>400.43999999999994</v>
      </c>
    </row>
    <row r="1808" spans="1:26" x14ac:dyDescent="0.3">
      <c r="A1808" s="7" t="s">
        <v>21</v>
      </c>
      <c r="B1808" t="s">
        <v>646</v>
      </c>
      <c r="C1808" t="s">
        <v>647</v>
      </c>
      <c r="D1808" t="s">
        <v>648</v>
      </c>
      <c r="E1808" t="s">
        <v>649</v>
      </c>
      <c r="F1808" t="s">
        <v>26</v>
      </c>
      <c r="G1808">
        <v>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7</v>
      </c>
      <c r="T1808">
        <v>0</v>
      </c>
      <c r="U1808" t="s">
        <v>46</v>
      </c>
      <c r="W1808" s="2">
        <v>133.79999999999998</v>
      </c>
      <c r="X1808" s="3">
        <f t="shared" si="56"/>
        <v>936.59999999999991</v>
      </c>
      <c r="Y1808">
        <f>VLOOKUP(D1808,'[1]Cost Sheet'!$C:$D,2,0)</f>
        <v>133.47999999999999</v>
      </c>
      <c r="Z1808" s="3">
        <f t="shared" si="57"/>
        <v>934.3599999999999</v>
      </c>
    </row>
    <row r="1809" spans="1:26" x14ac:dyDescent="0.3">
      <c r="A1809" s="7" t="s">
        <v>21</v>
      </c>
      <c r="B1809" t="s">
        <v>646</v>
      </c>
      <c r="C1809" t="s">
        <v>647</v>
      </c>
      <c r="D1809" t="s">
        <v>648</v>
      </c>
      <c r="E1809" t="s">
        <v>649</v>
      </c>
      <c r="F1809" t="s">
        <v>26</v>
      </c>
      <c r="G1809">
        <v>11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11</v>
      </c>
      <c r="T1809">
        <v>0</v>
      </c>
      <c r="U1809" t="s">
        <v>47</v>
      </c>
      <c r="W1809" s="2">
        <v>133.79999999999998</v>
      </c>
      <c r="X1809" s="3">
        <f t="shared" si="56"/>
        <v>1471.7999999999997</v>
      </c>
      <c r="Y1809">
        <f>VLOOKUP(D1809,'[1]Cost Sheet'!$C:$D,2,0)</f>
        <v>133.47999999999999</v>
      </c>
      <c r="Z1809" s="3">
        <f t="shared" si="57"/>
        <v>1468.28</v>
      </c>
    </row>
    <row r="1810" spans="1:26" x14ac:dyDescent="0.3">
      <c r="A1810" s="7" t="s">
        <v>21</v>
      </c>
      <c r="B1810" t="s">
        <v>646</v>
      </c>
      <c r="C1810" t="s">
        <v>647</v>
      </c>
      <c r="D1810" t="s">
        <v>648</v>
      </c>
      <c r="E1810" t="s">
        <v>649</v>
      </c>
      <c r="F1810" t="s">
        <v>26</v>
      </c>
      <c r="G1810">
        <v>25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25</v>
      </c>
      <c r="T1810">
        <v>0</v>
      </c>
      <c r="U1810" t="s">
        <v>40</v>
      </c>
      <c r="W1810" s="2">
        <v>133.79999999999998</v>
      </c>
      <c r="X1810" s="3">
        <f t="shared" si="56"/>
        <v>3344.9999999999995</v>
      </c>
      <c r="Y1810">
        <f>VLOOKUP(D1810,'[1]Cost Sheet'!$C:$D,2,0)</f>
        <v>133.47999999999999</v>
      </c>
      <c r="Z1810" s="3">
        <f t="shared" si="57"/>
        <v>3336.9999999999995</v>
      </c>
    </row>
    <row r="1811" spans="1:26" x14ac:dyDescent="0.3">
      <c r="A1811" s="7" t="s">
        <v>21</v>
      </c>
      <c r="B1811" t="s">
        <v>646</v>
      </c>
      <c r="C1811" t="s">
        <v>647</v>
      </c>
      <c r="D1811" t="s">
        <v>648</v>
      </c>
      <c r="E1811" t="s">
        <v>649</v>
      </c>
      <c r="F1811" t="s">
        <v>26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 t="s">
        <v>48</v>
      </c>
      <c r="W1811" s="2">
        <v>133.79999999999998</v>
      </c>
      <c r="X1811" s="3">
        <f t="shared" si="56"/>
        <v>133.79999999999998</v>
      </c>
      <c r="Y1811">
        <f>VLOOKUP(D1811,'[1]Cost Sheet'!$C:$D,2,0)</f>
        <v>133.47999999999999</v>
      </c>
      <c r="Z1811" s="3">
        <f t="shared" si="57"/>
        <v>133.47999999999999</v>
      </c>
    </row>
    <row r="1812" spans="1:26" x14ac:dyDescent="0.3">
      <c r="A1812" s="7" t="s">
        <v>21</v>
      </c>
      <c r="B1812" t="s">
        <v>646</v>
      </c>
      <c r="C1812" t="s">
        <v>647</v>
      </c>
      <c r="D1812" t="s">
        <v>648</v>
      </c>
      <c r="E1812" t="s">
        <v>649</v>
      </c>
      <c r="F1812" t="s">
        <v>26</v>
      </c>
      <c r="G1812">
        <v>12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12</v>
      </c>
      <c r="T1812">
        <v>0</v>
      </c>
      <c r="U1812" t="s">
        <v>59</v>
      </c>
      <c r="W1812" s="2">
        <v>133.79999999999998</v>
      </c>
      <c r="X1812" s="3">
        <f t="shared" si="56"/>
        <v>1605.6</v>
      </c>
      <c r="Y1812">
        <f>VLOOKUP(D1812,'[1]Cost Sheet'!$C:$D,2,0)</f>
        <v>133.47999999999999</v>
      </c>
      <c r="Z1812" s="3">
        <f t="shared" si="57"/>
        <v>1601.7599999999998</v>
      </c>
    </row>
    <row r="1813" spans="1:26" x14ac:dyDescent="0.3">
      <c r="A1813" s="7" t="s">
        <v>21</v>
      </c>
      <c r="B1813" t="s">
        <v>646</v>
      </c>
      <c r="C1813" t="s">
        <v>647</v>
      </c>
      <c r="D1813" t="s">
        <v>648</v>
      </c>
      <c r="E1813" t="s">
        <v>649</v>
      </c>
      <c r="F1813" t="s">
        <v>114</v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</v>
      </c>
      <c r="T1813">
        <v>0</v>
      </c>
      <c r="U1813" t="s">
        <v>54</v>
      </c>
      <c r="W1813" s="2">
        <v>133.79999999999998</v>
      </c>
      <c r="X1813" s="3">
        <f t="shared" si="56"/>
        <v>267.59999999999997</v>
      </c>
      <c r="Y1813">
        <f>VLOOKUP(D1813,'[1]Cost Sheet'!$C:$D,2,0)</f>
        <v>133.47999999999999</v>
      </c>
      <c r="Z1813" s="3">
        <f t="shared" si="57"/>
        <v>266.95999999999998</v>
      </c>
    </row>
    <row r="1814" spans="1:26" x14ac:dyDescent="0.3">
      <c r="A1814" s="7" t="s">
        <v>21</v>
      </c>
      <c r="B1814" t="s">
        <v>650</v>
      </c>
      <c r="C1814" t="s">
        <v>651</v>
      </c>
      <c r="D1814" t="s">
        <v>652</v>
      </c>
      <c r="E1814" t="s">
        <v>653</v>
      </c>
      <c r="F1814" t="s">
        <v>26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2</v>
      </c>
      <c r="T1814">
        <v>0</v>
      </c>
      <c r="U1814" t="s">
        <v>54</v>
      </c>
      <c r="W1814" s="2">
        <v>94.06</v>
      </c>
      <c r="X1814" s="3">
        <f t="shared" si="56"/>
        <v>188.12</v>
      </c>
      <c r="Y1814">
        <f>VLOOKUP(D1814,'[1]Cost Sheet'!$C:$D,2,0)</f>
        <v>105.14</v>
      </c>
      <c r="Z1814" s="3">
        <f t="shared" si="57"/>
        <v>210.28</v>
      </c>
    </row>
    <row r="1815" spans="1:26" x14ac:dyDescent="0.3">
      <c r="A1815" s="7" t="s">
        <v>21</v>
      </c>
      <c r="B1815" t="s">
        <v>654</v>
      </c>
      <c r="C1815" t="s">
        <v>655</v>
      </c>
      <c r="D1815" t="s">
        <v>656</v>
      </c>
      <c r="E1815" t="s">
        <v>657</v>
      </c>
      <c r="F1815" t="s">
        <v>106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 t="s">
        <v>107</v>
      </c>
      <c r="W1815" s="2">
        <v>90.823333333333338</v>
      </c>
      <c r="X1815" s="3">
        <f t="shared" si="56"/>
        <v>90.823333333333338</v>
      </c>
      <c r="Y1815">
        <f>VLOOKUP(D1815,'[1]Cost Sheet'!$C:$D,2,0)</f>
        <v>90.98</v>
      </c>
      <c r="Z1815" s="3">
        <f t="shared" si="57"/>
        <v>90.98</v>
      </c>
    </row>
    <row r="1816" spans="1:26" x14ac:dyDescent="0.3">
      <c r="A1816" s="7" t="s">
        <v>21</v>
      </c>
      <c r="B1816" t="s">
        <v>654</v>
      </c>
      <c r="C1816" t="s">
        <v>655</v>
      </c>
      <c r="D1816" t="s">
        <v>656</v>
      </c>
      <c r="E1816" t="s">
        <v>657</v>
      </c>
      <c r="F1816" t="s">
        <v>106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2</v>
      </c>
      <c r="T1816">
        <v>0</v>
      </c>
      <c r="U1816" t="s">
        <v>53</v>
      </c>
      <c r="W1816" s="2">
        <v>90.823333333333338</v>
      </c>
      <c r="X1816" s="3">
        <f t="shared" si="56"/>
        <v>181.64666666666668</v>
      </c>
      <c r="Y1816">
        <f>VLOOKUP(D1816,'[1]Cost Sheet'!$C:$D,2,0)</f>
        <v>90.98</v>
      </c>
      <c r="Z1816" s="3">
        <f t="shared" si="57"/>
        <v>181.96</v>
      </c>
    </row>
    <row r="1817" spans="1:26" x14ac:dyDescent="0.3">
      <c r="A1817" s="7" t="s">
        <v>21</v>
      </c>
      <c r="B1817" t="s">
        <v>654</v>
      </c>
      <c r="C1817" t="s">
        <v>655</v>
      </c>
      <c r="D1817" t="s">
        <v>656</v>
      </c>
      <c r="E1817" t="s">
        <v>657</v>
      </c>
      <c r="F1817" t="s">
        <v>106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2</v>
      </c>
      <c r="T1817">
        <v>0</v>
      </c>
      <c r="U1817" t="s">
        <v>32</v>
      </c>
      <c r="W1817" s="2">
        <v>90.823333333333338</v>
      </c>
      <c r="X1817" s="3">
        <f t="shared" si="56"/>
        <v>181.64666666666668</v>
      </c>
      <c r="Y1817">
        <f>VLOOKUP(D1817,'[1]Cost Sheet'!$C:$D,2,0)</f>
        <v>90.98</v>
      </c>
      <c r="Z1817" s="3">
        <f t="shared" si="57"/>
        <v>181.96</v>
      </c>
    </row>
    <row r="1818" spans="1:26" x14ac:dyDescent="0.3">
      <c r="A1818" s="7" t="s">
        <v>21</v>
      </c>
      <c r="B1818" t="s">
        <v>654</v>
      </c>
      <c r="C1818" t="s">
        <v>655</v>
      </c>
      <c r="D1818" t="s">
        <v>656</v>
      </c>
      <c r="E1818" t="s">
        <v>657</v>
      </c>
      <c r="F1818" t="s">
        <v>106</v>
      </c>
      <c r="G1818">
        <v>67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67</v>
      </c>
      <c r="T1818">
        <v>0</v>
      </c>
      <c r="U1818" t="s">
        <v>46</v>
      </c>
      <c r="W1818" s="2">
        <v>90.823333333333338</v>
      </c>
      <c r="X1818" s="3">
        <f t="shared" si="56"/>
        <v>6085.1633333333339</v>
      </c>
      <c r="Y1818">
        <f>VLOOKUP(D1818,'[1]Cost Sheet'!$C:$D,2,0)</f>
        <v>90.98</v>
      </c>
      <c r="Z1818" s="3">
        <f t="shared" si="57"/>
        <v>6095.66</v>
      </c>
    </row>
    <row r="1819" spans="1:26" x14ac:dyDescent="0.3">
      <c r="A1819" s="7" t="s">
        <v>21</v>
      </c>
      <c r="B1819" t="s">
        <v>654</v>
      </c>
      <c r="C1819" t="s">
        <v>655</v>
      </c>
      <c r="D1819" t="s">
        <v>656</v>
      </c>
      <c r="E1819" t="s">
        <v>657</v>
      </c>
      <c r="F1819" t="s">
        <v>26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2</v>
      </c>
      <c r="T1819">
        <v>0</v>
      </c>
      <c r="U1819" t="s">
        <v>38</v>
      </c>
      <c r="W1819" s="2">
        <v>90.823333333333338</v>
      </c>
      <c r="X1819" s="3">
        <f t="shared" si="56"/>
        <v>181.64666666666668</v>
      </c>
      <c r="Y1819">
        <f>VLOOKUP(D1819,'[1]Cost Sheet'!$C:$D,2,0)</f>
        <v>90.98</v>
      </c>
      <c r="Z1819" s="3">
        <f t="shared" si="57"/>
        <v>181.96</v>
      </c>
    </row>
    <row r="1820" spans="1:26" x14ac:dyDescent="0.3">
      <c r="A1820" s="7" t="s">
        <v>21</v>
      </c>
      <c r="B1820" t="s">
        <v>654</v>
      </c>
      <c r="C1820" t="s">
        <v>655</v>
      </c>
      <c r="D1820" t="s">
        <v>656</v>
      </c>
      <c r="E1820" t="s">
        <v>657</v>
      </c>
      <c r="F1820" t="s">
        <v>26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 t="s">
        <v>54</v>
      </c>
      <c r="W1820" s="2">
        <v>90.823333333333338</v>
      </c>
      <c r="X1820" s="3">
        <f t="shared" si="56"/>
        <v>90.823333333333338</v>
      </c>
      <c r="Y1820">
        <f>VLOOKUP(D1820,'[1]Cost Sheet'!$C:$D,2,0)</f>
        <v>90.98</v>
      </c>
      <c r="Z1820" s="3">
        <f t="shared" si="57"/>
        <v>90.98</v>
      </c>
    </row>
    <row r="1821" spans="1:26" x14ac:dyDescent="0.3">
      <c r="A1821" s="7" t="s">
        <v>21</v>
      </c>
      <c r="B1821" t="s">
        <v>654</v>
      </c>
      <c r="C1821" t="s">
        <v>655</v>
      </c>
      <c r="D1821" t="s">
        <v>656</v>
      </c>
      <c r="E1821" t="s">
        <v>657</v>
      </c>
      <c r="F1821" t="s">
        <v>26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 t="s">
        <v>32</v>
      </c>
      <c r="W1821" s="2">
        <v>90.823333333333338</v>
      </c>
      <c r="X1821" s="3">
        <f t="shared" si="56"/>
        <v>90.823333333333338</v>
      </c>
      <c r="Y1821">
        <f>VLOOKUP(D1821,'[1]Cost Sheet'!$C:$D,2,0)</f>
        <v>90.98</v>
      </c>
      <c r="Z1821" s="3">
        <f t="shared" si="57"/>
        <v>90.98</v>
      </c>
    </row>
    <row r="1822" spans="1:26" x14ac:dyDescent="0.3">
      <c r="A1822" s="7" t="s">
        <v>21</v>
      </c>
      <c r="B1822" t="s">
        <v>654</v>
      </c>
      <c r="C1822" t="s">
        <v>655</v>
      </c>
      <c r="D1822" t="s">
        <v>656</v>
      </c>
      <c r="E1822" t="s">
        <v>657</v>
      </c>
      <c r="F1822" t="s">
        <v>26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 t="s">
        <v>88</v>
      </c>
      <c r="W1822" s="2">
        <v>90.823333333333338</v>
      </c>
      <c r="X1822" s="3">
        <f t="shared" si="56"/>
        <v>90.823333333333338</v>
      </c>
      <c r="Y1822">
        <f>VLOOKUP(D1822,'[1]Cost Sheet'!$C:$D,2,0)</f>
        <v>90.98</v>
      </c>
      <c r="Z1822" s="3">
        <f t="shared" si="57"/>
        <v>90.98</v>
      </c>
    </row>
    <row r="1823" spans="1:26" x14ac:dyDescent="0.3">
      <c r="A1823" s="7" t="s">
        <v>21</v>
      </c>
      <c r="B1823" t="s">
        <v>654</v>
      </c>
      <c r="C1823" t="s">
        <v>655</v>
      </c>
      <c r="D1823" t="s">
        <v>656</v>
      </c>
      <c r="E1823" t="s">
        <v>657</v>
      </c>
      <c r="F1823" t="s">
        <v>26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 t="s">
        <v>33</v>
      </c>
      <c r="W1823" s="2">
        <v>90.823333333333338</v>
      </c>
      <c r="X1823" s="3">
        <f t="shared" si="56"/>
        <v>90.823333333333338</v>
      </c>
      <c r="Y1823">
        <f>VLOOKUP(D1823,'[1]Cost Sheet'!$C:$D,2,0)</f>
        <v>90.98</v>
      </c>
      <c r="Z1823" s="3">
        <f t="shared" si="57"/>
        <v>90.98</v>
      </c>
    </row>
    <row r="1824" spans="1:26" x14ac:dyDescent="0.3">
      <c r="A1824" s="7" t="s">
        <v>21</v>
      </c>
      <c r="B1824" t="s">
        <v>654</v>
      </c>
      <c r="C1824" t="s">
        <v>655</v>
      </c>
      <c r="D1824" t="s">
        <v>656</v>
      </c>
      <c r="E1824" t="s">
        <v>657</v>
      </c>
      <c r="F1824" t="s">
        <v>26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 t="s">
        <v>46</v>
      </c>
      <c r="W1824" s="2">
        <v>90.823333333333338</v>
      </c>
      <c r="X1824" s="3">
        <f t="shared" si="56"/>
        <v>90.823333333333338</v>
      </c>
      <c r="Y1824">
        <f>VLOOKUP(D1824,'[1]Cost Sheet'!$C:$D,2,0)</f>
        <v>90.98</v>
      </c>
      <c r="Z1824" s="3">
        <f t="shared" si="57"/>
        <v>90.98</v>
      </c>
    </row>
    <row r="1825" spans="1:26" x14ac:dyDescent="0.3">
      <c r="A1825" s="7" t="s">
        <v>21</v>
      </c>
      <c r="B1825" t="s">
        <v>654</v>
      </c>
      <c r="C1825" t="s">
        <v>655</v>
      </c>
      <c r="D1825" t="s">
        <v>656</v>
      </c>
      <c r="E1825" t="s">
        <v>657</v>
      </c>
      <c r="F1825" t="s">
        <v>26</v>
      </c>
      <c r="G1825">
        <v>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4</v>
      </c>
      <c r="T1825">
        <v>0</v>
      </c>
      <c r="U1825" t="s">
        <v>59</v>
      </c>
      <c r="W1825" s="2">
        <v>90.823333333333338</v>
      </c>
      <c r="X1825" s="3">
        <f t="shared" si="56"/>
        <v>363.29333333333335</v>
      </c>
      <c r="Y1825">
        <f>VLOOKUP(D1825,'[1]Cost Sheet'!$C:$D,2,0)</f>
        <v>90.98</v>
      </c>
      <c r="Z1825" s="3">
        <f t="shared" si="57"/>
        <v>363.92</v>
      </c>
    </row>
    <row r="1826" spans="1:26" x14ac:dyDescent="0.3">
      <c r="A1826" s="7" t="s">
        <v>21</v>
      </c>
      <c r="B1826" t="s">
        <v>654</v>
      </c>
      <c r="C1826" t="s">
        <v>655</v>
      </c>
      <c r="D1826" t="s">
        <v>656</v>
      </c>
      <c r="E1826" t="s">
        <v>657</v>
      </c>
      <c r="F1826" t="s">
        <v>114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 t="s">
        <v>107</v>
      </c>
      <c r="W1826" s="2">
        <v>90.823333333333338</v>
      </c>
      <c r="X1826" s="3">
        <f t="shared" si="56"/>
        <v>90.823333333333338</v>
      </c>
      <c r="Y1826">
        <f>VLOOKUP(D1826,'[1]Cost Sheet'!$C:$D,2,0)</f>
        <v>90.98</v>
      </c>
      <c r="Z1826" s="3">
        <f t="shared" si="57"/>
        <v>90.98</v>
      </c>
    </row>
    <row r="1827" spans="1:26" x14ac:dyDescent="0.3">
      <c r="A1827" s="7" t="s">
        <v>21</v>
      </c>
      <c r="B1827" t="s">
        <v>654</v>
      </c>
      <c r="C1827" t="s">
        <v>655</v>
      </c>
      <c r="D1827" t="s">
        <v>656</v>
      </c>
      <c r="E1827" t="s">
        <v>657</v>
      </c>
      <c r="F1827" t="s">
        <v>114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 t="s">
        <v>88</v>
      </c>
      <c r="W1827" s="2">
        <v>90.823333333333338</v>
      </c>
      <c r="X1827" s="3">
        <f t="shared" si="56"/>
        <v>90.823333333333338</v>
      </c>
      <c r="Y1827">
        <f>VLOOKUP(D1827,'[1]Cost Sheet'!$C:$D,2,0)</f>
        <v>90.98</v>
      </c>
      <c r="Z1827" s="3">
        <f t="shared" si="57"/>
        <v>90.98</v>
      </c>
    </row>
    <row r="1828" spans="1:26" x14ac:dyDescent="0.3">
      <c r="A1828" s="7" t="s">
        <v>21</v>
      </c>
      <c r="B1828" t="s">
        <v>654</v>
      </c>
      <c r="C1828" t="s">
        <v>655</v>
      </c>
      <c r="D1828" t="s">
        <v>656</v>
      </c>
      <c r="E1828" t="s">
        <v>657</v>
      </c>
      <c r="F1828" t="s">
        <v>114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 t="s">
        <v>40</v>
      </c>
      <c r="W1828" s="2">
        <v>90.823333333333338</v>
      </c>
      <c r="X1828" s="3">
        <f t="shared" si="56"/>
        <v>90.823333333333338</v>
      </c>
      <c r="Y1828">
        <f>VLOOKUP(D1828,'[1]Cost Sheet'!$C:$D,2,0)</f>
        <v>90.98</v>
      </c>
      <c r="Z1828" s="3">
        <f t="shared" si="57"/>
        <v>90.98</v>
      </c>
    </row>
    <row r="1829" spans="1:26" x14ac:dyDescent="0.3">
      <c r="A1829" s="7" t="s">
        <v>21</v>
      </c>
      <c r="B1829" t="s">
        <v>658</v>
      </c>
      <c r="C1829" t="s">
        <v>659</v>
      </c>
      <c r="D1829" t="s">
        <v>660</v>
      </c>
      <c r="E1829" t="s">
        <v>661</v>
      </c>
      <c r="F1829" t="s">
        <v>26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 t="s">
        <v>54</v>
      </c>
      <c r="W1829" s="2">
        <v>34.880000000000003</v>
      </c>
      <c r="X1829" s="3">
        <f t="shared" si="56"/>
        <v>34.880000000000003</v>
      </c>
      <c r="Y1829">
        <f>VLOOKUP(D1829,'[1]Cost Sheet'!$C:$D,2,0)</f>
        <v>34.880000000000003</v>
      </c>
      <c r="Z1829" s="3">
        <f t="shared" si="57"/>
        <v>34.880000000000003</v>
      </c>
    </row>
    <row r="1830" spans="1:26" x14ac:dyDescent="0.3">
      <c r="A1830" s="7" t="s">
        <v>21</v>
      </c>
      <c r="B1830" t="s">
        <v>662</v>
      </c>
      <c r="C1830" t="s">
        <v>663</v>
      </c>
      <c r="D1830" t="s">
        <v>664</v>
      </c>
      <c r="E1830" t="s">
        <v>665</v>
      </c>
      <c r="F1830" t="s">
        <v>106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 t="s">
        <v>46</v>
      </c>
      <c r="W1830" s="2">
        <v>71.81</v>
      </c>
      <c r="X1830" s="3">
        <f t="shared" si="56"/>
        <v>71.81</v>
      </c>
      <c r="Y1830">
        <f>VLOOKUP(D1830,'[1]Cost Sheet'!$C:$D,2,0)</f>
        <v>71.959999999999994</v>
      </c>
      <c r="Z1830" s="3">
        <f t="shared" si="57"/>
        <v>71.959999999999994</v>
      </c>
    </row>
    <row r="1831" spans="1:26" x14ac:dyDescent="0.3">
      <c r="A1831" s="7" t="s">
        <v>21</v>
      </c>
      <c r="B1831" t="s">
        <v>662</v>
      </c>
      <c r="C1831" t="s">
        <v>663</v>
      </c>
      <c r="D1831" t="s">
        <v>664</v>
      </c>
      <c r="E1831" t="s">
        <v>665</v>
      </c>
      <c r="F1831" t="s">
        <v>26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 t="s">
        <v>151</v>
      </c>
      <c r="W1831" s="2">
        <v>71.81</v>
      </c>
      <c r="X1831" s="3">
        <f t="shared" si="56"/>
        <v>71.81</v>
      </c>
      <c r="Y1831">
        <f>VLOOKUP(D1831,'[1]Cost Sheet'!$C:$D,2,0)</f>
        <v>71.959999999999994</v>
      </c>
      <c r="Z1831" s="3">
        <f t="shared" si="57"/>
        <v>71.959999999999994</v>
      </c>
    </row>
    <row r="1832" spans="1:26" x14ac:dyDescent="0.3">
      <c r="A1832" s="7" t="s">
        <v>21</v>
      </c>
      <c r="B1832" t="s">
        <v>666</v>
      </c>
      <c r="C1832" t="s">
        <v>667</v>
      </c>
      <c r="D1832" t="s">
        <v>668</v>
      </c>
      <c r="E1832" t="s">
        <v>669</v>
      </c>
      <c r="F1832" t="s">
        <v>106</v>
      </c>
      <c r="G1832">
        <v>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8</v>
      </c>
      <c r="T1832">
        <v>0</v>
      </c>
      <c r="U1832" t="s">
        <v>45</v>
      </c>
      <c r="W1832" s="2">
        <v>79.680000000000007</v>
      </c>
      <c r="X1832" s="3">
        <f t="shared" si="56"/>
        <v>637.44000000000005</v>
      </c>
      <c r="Y1832">
        <f>VLOOKUP(D1832,'[1]Cost Sheet'!$C:$D,2,0)</f>
        <v>79.680000000000007</v>
      </c>
      <c r="Z1832" s="3">
        <f t="shared" si="57"/>
        <v>637.44000000000005</v>
      </c>
    </row>
    <row r="1833" spans="1:26" x14ac:dyDescent="0.3">
      <c r="A1833" s="7" t="s">
        <v>21</v>
      </c>
      <c r="B1833" t="s">
        <v>666</v>
      </c>
      <c r="C1833" t="s">
        <v>667</v>
      </c>
      <c r="D1833" t="s">
        <v>668</v>
      </c>
      <c r="E1833" t="s">
        <v>669</v>
      </c>
      <c r="F1833" t="s">
        <v>106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 t="s">
        <v>39</v>
      </c>
      <c r="W1833" s="2">
        <v>79.680000000000007</v>
      </c>
      <c r="X1833" s="3">
        <f t="shared" si="56"/>
        <v>79.680000000000007</v>
      </c>
      <c r="Y1833">
        <f>VLOOKUP(D1833,'[1]Cost Sheet'!$C:$D,2,0)</f>
        <v>79.680000000000007</v>
      </c>
      <c r="Z1833" s="3">
        <f t="shared" si="57"/>
        <v>79.680000000000007</v>
      </c>
    </row>
    <row r="1834" spans="1:26" x14ac:dyDescent="0.3">
      <c r="A1834" s="7" t="s">
        <v>21</v>
      </c>
      <c r="B1834" t="s">
        <v>666</v>
      </c>
      <c r="C1834" t="s">
        <v>667</v>
      </c>
      <c r="D1834" t="s">
        <v>668</v>
      </c>
      <c r="E1834" t="s">
        <v>669</v>
      </c>
      <c r="F1834" t="s">
        <v>106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 t="s">
        <v>48</v>
      </c>
      <c r="W1834" s="2">
        <v>79.680000000000007</v>
      </c>
      <c r="X1834" s="3">
        <f t="shared" si="56"/>
        <v>79.680000000000007</v>
      </c>
      <c r="Y1834">
        <f>VLOOKUP(D1834,'[1]Cost Sheet'!$C:$D,2,0)</f>
        <v>79.680000000000007</v>
      </c>
      <c r="Z1834" s="3">
        <f t="shared" si="57"/>
        <v>79.680000000000007</v>
      </c>
    </row>
    <row r="1835" spans="1:26" x14ac:dyDescent="0.3">
      <c r="A1835" s="7" t="s">
        <v>21</v>
      </c>
      <c r="B1835" t="s">
        <v>666</v>
      </c>
      <c r="C1835" t="s">
        <v>667</v>
      </c>
      <c r="D1835" t="s">
        <v>668</v>
      </c>
      <c r="E1835" t="s">
        <v>669</v>
      </c>
      <c r="F1835" t="s">
        <v>26</v>
      </c>
      <c r="G1835">
        <v>0</v>
      </c>
      <c r="H1835">
        <v>0</v>
      </c>
      <c r="I1835">
        <v>0</v>
      </c>
      <c r="J1835">
        <v>-3</v>
      </c>
      <c r="K1835">
        <v>0</v>
      </c>
      <c r="L1835">
        <v>0</v>
      </c>
      <c r="M1835">
        <v>0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t="s">
        <v>45</v>
      </c>
      <c r="W1835" s="2">
        <v>79.680000000000007</v>
      </c>
      <c r="X1835" s="3">
        <f t="shared" si="56"/>
        <v>0</v>
      </c>
      <c r="Y1835">
        <f>VLOOKUP(D1835,'[1]Cost Sheet'!$C:$D,2,0)</f>
        <v>79.680000000000007</v>
      </c>
      <c r="Z1835" s="3">
        <f t="shared" si="57"/>
        <v>0</v>
      </c>
    </row>
    <row r="1836" spans="1:26" x14ac:dyDescent="0.3">
      <c r="A1836" s="7" t="s">
        <v>21</v>
      </c>
      <c r="B1836" t="s">
        <v>666</v>
      </c>
      <c r="C1836" t="s">
        <v>667</v>
      </c>
      <c r="D1836" t="s">
        <v>668</v>
      </c>
      <c r="E1836" t="s">
        <v>669</v>
      </c>
      <c r="F1836" t="s">
        <v>26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 t="s">
        <v>40</v>
      </c>
      <c r="W1836" s="2">
        <v>79.680000000000007</v>
      </c>
      <c r="X1836" s="3">
        <f t="shared" si="56"/>
        <v>79.680000000000007</v>
      </c>
      <c r="Y1836">
        <f>VLOOKUP(D1836,'[1]Cost Sheet'!$C:$D,2,0)</f>
        <v>79.680000000000007</v>
      </c>
      <c r="Z1836" s="3">
        <f t="shared" si="57"/>
        <v>79.680000000000007</v>
      </c>
    </row>
    <row r="1837" spans="1:26" x14ac:dyDescent="0.3">
      <c r="A1837" s="7" t="s">
        <v>21</v>
      </c>
      <c r="B1837" t="s">
        <v>670</v>
      </c>
      <c r="C1837" t="s">
        <v>671</v>
      </c>
      <c r="D1837" t="s">
        <v>672</v>
      </c>
      <c r="E1837" t="s">
        <v>673</v>
      </c>
      <c r="F1837" t="s">
        <v>26</v>
      </c>
      <c r="G1837">
        <v>48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48</v>
      </c>
      <c r="T1837">
        <v>0</v>
      </c>
      <c r="U1837" t="s">
        <v>38</v>
      </c>
      <c r="W1837" s="2">
        <v>79.680000000000007</v>
      </c>
      <c r="X1837" s="3">
        <f t="shared" si="56"/>
        <v>3824.6400000000003</v>
      </c>
      <c r="Y1837">
        <f>VLOOKUP(D1837,'[1]Cost Sheet'!$C:$D,2,0)</f>
        <v>79.680000000000007</v>
      </c>
      <c r="Z1837" s="3">
        <f t="shared" si="57"/>
        <v>3824.6400000000003</v>
      </c>
    </row>
    <row r="1838" spans="1:26" x14ac:dyDescent="0.3">
      <c r="A1838" s="7" t="s">
        <v>21</v>
      </c>
      <c r="B1838" t="s">
        <v>670</v>
      </c>
      <c r="C1838" t="s">
        <v>671</v>
      </c>
      <c r="D1838" t="s">
        <v>672</v>
      </c>
      <c r="E1838" t="s">
        <v>673</v>
      </c>
      <c r="F1838" t="s">
        <v>26</v>
      </c>
      <c r="G1838">
        <v>12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12</v>
      </c>
      <c r="T1838">
        <v>0</v>
      </c>
      <c r="U1838" t="s">
        <v>45</v>
      </c>
      <c r="W1838" s="2">
        <v>79.680000000000007</v>
      </c>
      <c r="X1838" s="3">
        <f t="shared" si="56"/>
        <v>956.16000000000008</v>
      </c>
      <c r="Y1838">
        <f>VLOOKUP(D1838,'[1]Cost Sheet'!$C:$D,2,0)</f>
        <v>79.680000000000007</v>
      </c>
      <c r="Z1838" s="3">
        <f t="shared" si="57"/>
        <v>956.16000000000008</v>
      </c>
    </row>
    <row r="1839" spans="1:26" x14ac:dyDescent="0.3">
      <c r="A1839" s="7" t="s">
        <v>21</v>
      </c>
      <c r="B1839" t="s">
        <v>670</v>
      </c>
      <c r="C1839" t="s">
        <v>671</v>
      </c>
      <c r="D1839" t="s">
        <v>672</v>
      </c>
      <c r="E1839" t="s">
        <v>673</v>
      </c>
      <c r="F1839" t="s">
        <v>26</v>
      </c>
      <c r="G1839">
        <v>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7</v>
      </c>
      <c r="T1839">
        <v>0</v>
      </c>
      <c r="U1839" t="s">
        <v>39</v>
      </c>
      <c r="W1839" s="2">
        <v>79.680000000000007</v>
      </c>
      <c r="X1839" s="3">
        <f t="shared" si="56"/>
        <v>557.76</v>
      </c>
      <c r="Y1839">
        <f>VLOOKUP(D1839,'[1]Cost Sheet'!$C:$D,2,0)</f>
        <v>79.680000000000007</v>
      </c>
      <c r="Z1839" s="3">
        <f t="shared" si="57"/>
        <v>557.76</v>
      </c>
    </row>
    <row r="1840" spans="1:26" x14ac:dyDescent="0.3">
      <c r="A1840" s="7" t="s">
        <v>21</v>
      </c>
      <c r="B1840" t="s">
        <v>670</v>
      </c>
      <c r="C1840" t="s">
        <v>671</v>
      </c>
      <c r="D1840" t="s">
        <v>672</v>
      </c>
      <c r="E1840" t="s">
        <v>673</v>
      </c>
      <c r="F1840" t="s">
        <v>26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</v>
      </c>
      <c r="T1840">
        <v>0</v>
      </c>
      <c r="U1840" t="s">
        <v>54</v>
      </c>
      <c r="W1840" s="2">
        <v>79.680000000000007</v>
      </c>
      <c r="X1840" s="3">
        <f t="shared" si="56"/>
        <v>239.04000000000002</v>
      </c>
      <c r="Y1840">
        <f>VLOOKUP(D1840,'[1]Cost Sheet'!$C:$D,2,0)</f>
        <v>79.680000000000007</v>
      </c>
      <c r="Z1840" s="3">
        <f t="shared" si="57"/>
        <v>239.04000000000002</v>
      </c>
    </row>
    <row r="1841" spans="1:26" x14ac:dyDescent="0.3">
      <c r="A1841" s="7" t="s">
        <v>21</v>
      </c>
      <c r="B1841" t="s">
        <v>670</v>
      </c>
      <c r="C1841" t="s">
        <v>671</v>
      </c>
      <c r="D1841" t="s">
        <v>672</v>
      </c>
      <c r="E1841" t="s">
        <v>673</v>
      </c>
      <c r="F1841" t="s">
        <v>26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 t="s">
        <v>33</v>
      </c>
      <c r="W1841" s="2">
        <v>79.680000000000007</v>
      </c>
      <c r="X1841" s="3">
        <f t="shared" si="56"/>
        <v>79.680000000000007</v>
      </c>
      <c r="Y1841">
        <f>VLOOKUP(D1841,'[1]Cost Sheet'!$C:$D,2,0)</f>
        <v>79.680000000000007</v>
      </c>
      <c r="Z1841" s="3">
        <f t="shared" si="57"/>
        <v>79.680000000000007</v>
      </c>
    </row>
    <row r="1842" spans="1:26" x14ac:dyDescent="0.3">
      <c r="A1842" s="7" t="s">
        <v>21</v>
      </c>
      <c r="B1842" t="s">
        <v>670</v>
      </c>
      <c r="C1842" t="s">
        <v>671</v>
      </c>
      <c r="D1842" t="s">
        <v>672</v>
      </c>
      <c r="E1842" t="s">
        <v>673</v>
      </c>
      <c r="F1842" t="s">
        <v>26</v>
      </c>
      <c r="G1842">
        <v>16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16</v>
      </c>
      <c r="T1842">
        <v>0</v>
      </c>
      <c r="U1842" t="s">
        <v>46</v>
      </c>
      <c r="W1842" s="2">
        <v>79.680000000000007</v>
      </c>
      <c r="X1842" s="3">
        <f t="shared" si="56"/>
        <v>1274.8800000000001</v>
      </c>
      <c r="Y1842">
        <f>VLOOKUP(D1842,'[1]Cost Sheet'!$C:$D,2,0)</f>
        <v>79.680000000000007</v>
      </c>
      <c r="Z1842" s="3">
        <f t="shared" si="57"/>
        <v>1274.8800000000001</v>
      </c>
    </row>
    <row r="1843" spans="1:26" x14ac:dyDescent="0.3">
      <c r="A1843" s="7" t="s">
        <v>21</v>
      </c>
      <c r="B1843" t="s">
        <v>670</v>
      </c>
      <c r="C1843" t="s">
        <v>671</v>
      </c>
      <c r="D1843" t="s">
        <v>672</v>
      </c>
      <c r="E1843" t="s">
        <v>673</v>
      </c>
      <c r="F1843" t="s">
        <v>26</v>
      </c>
      <c r="G1843">
        <v>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9</v>
      </c>
      <c r="T1843">
        <v>0</v>
      </c>
      <c r="U1843" t="s">
        <v>120</v>
      </c>
      <c r="W1843" s="2">
        <v>79.680000000000007</v>
      </c>
      <c r="X1843" s="3">
        <f t="shared" si="56"/>
        <v>717.12000000000012</v>
      </c>
      <c r="Y1843">
        <f>VLOOKUP(D1843,'[1]Cost Sheet'!$C:$D,2,0)</f>
        <v>79.680000000000007</v>
      </c>
      <c r="Z1843" s="3">
        <f t="shared" si="57"/>
        <v>717.12000000000012</v>
      </c>
    </row>
    <row r="1844" spans="1:26" x14ac:dyDescent="0.3">
      <c r="A1844" s="7" t="s">
        <v>21</v>
      </c>
      <c r="B1844" t="s">
        <v>670</v>
      </c>
      <c r="C1844" t="s">
        <v>671</v>
      </c>
      <c r="D1844" t="s">
        <v>672</v>
      </c>
      <c r="E1844" t="s">
        <v>673</v>
      </c>
      <c r="F1844" t="s">
        <v>26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2</v>
      </c>
      <c r="T1844">
        <v>0</v>
      </c>
      <c r="U1844" t="s">
        <v>59</v>
      </c>
      <c r="W1844" s="2">
        <v>79.680000000000007</v>
      </c>
      <c r="X1844" s="3">
        <f t="shared" si="56"/>
        <v>159.36000000000001</v>
      </c>
      <c r="Y1844">
        <f>VLOOKUP(D1844,'[1]Cost Sheet'!$C:$D,2,0)</f>
        <v>79.680000000000007</v>
      </c>
      <c r="Z1844" s="3">
        <f t="shared" si="57"/>
        <v>159.36000000000001</v>
      </c>
    </row>
    <row r="1845" spans="1:26" x14ac:dyDescent="0.3">
      <c r="A1845" s="7" t="s">
        <v>21</v>
      </c>
      <c r="B1845" t="s">
        <v>674</v>
      </c>
      <c r="C1845" t="s">
        <v>675</v>
      </c>
      <c r="D1845" t="s">
        <v>676</v>
      </c>
      <c r="E1845" t="s">
        <v>677</v>
      </c>
      <c r="F1845" t="s">
        <v>106</v>
      </c>
      <c r="G1845">
        <v>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4</v>
      </c>
      <c r="T1845">
        <v>0</v>
      </c>
      <c r="U1845" t="s">
        <v>45</v>
      </c>
      <c r="W1845" s="2">
        <v>79.680000000000007</v>
      </c>
      <c r="X1845" s="3">
        <f t="shared" si="56"/>
        <v>318.72000000000003</v>
      </c>
      <c r="Y1845">
        <f>VLOOKUP(D1845,'[1]Cost Sheet'!$C:$D,2,0)</f>
        <v>79.680000000000007</v>
      </c>
      <c r="Z1845" s="3">
        <f t="shared" si="57"/>
        <v>318.72000000000003</v>
      </c>
    </row>
    <row r="1846" spans="1:26" x14ac:dyDescent="0.3">
      <c r="A1846" s="7" t="s">
        <v>21</v>
      </c>
      <c r="B1846" t="s">
        <v>678</v>
      </c>
      <c r="C1846" t="s">
        <v>679</v>
      </c>
      <c r="D1846" t="s">
        <v>680</v>
      </c>
      <c r="E1846" t="s">
        <v>681</v>
      </c>
      <c r="F1846" t="s">
        <v>26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 t="s">
        <v>38</v>
      </c>
      <c r="W1846" s="2">
        <v>79.680000000000007</v>
      </c>
      <c r="X1846" s="3">
        <f t="shared" si="56"/>
        <v>79.680000000000007</v>
      </c>
      <c r="Y1846">
        <f>VLOOKUP(D1846,'[1]Cost Sheet'!$C:$D,2,0)</f>
        <v>79.709999999999994</v>
      </c>
      <c r="Z1846" s="3">
        <f t="shared" si="57"/>
        <v>79.709999999999994</v>
      </c>
    </row>
    <row r="1847" spans="1:26" x14ac:dyDescent="0.3">
      <c r="A1847" s="7" t="s">
        <v>21</v>
      </c>
      <c r="B1847" t="s">
        <v>682</v>
      </c>
      <c r="C1847" t="s">
        <v>683</v>
      </c>
      <c r="D1847" t="s">
        <v>684</v>
      </c>
      <c r="E1847" t="s">
        <v>685</v>
      </c>
      <c r="F1847" t="s">
        <v>26</v>
      </c>
      <c r="G1847">
        <v>15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15</v>
      </c>
      <c r="T1847">
        <v>0</v>
      </c>
      <c r="U1847" t="s">
        <v>38</v>
      </c>
      <c r="W1847" s="2">
        <v>79.680000000000007</v>
      </c>
      <c r="X1847" s="3">
        <f t="shared" si="56"/>
        <v>1195.2</v>
      </c>
      <c r="Y1847">
        <f>VLOOKUP(D1847,'[1]Cost Sheet'!$C:$D,2,0)</f>
        <v>79.680000000000007</v>
      </c>
      <c r="Z1847" s="3">
        <f t="shared" si="57"/>
        <v>1195.2</v>
      </c>
    </row>
    <row r="1848" spans="1:26" x14ac:dyDescent="0.3">
      <c r="A1848" s="7" t="s">
        <v>21</v>
      </c>
      <c r="B1848" t="s">
        <v>682</v>
      </c>
      <c r="C1848" t="s">
        <v>683</v>
      </c>
      <c r="D1848" t="s">
        <v>684</v>
      </c>
      <c r="E1848" t="s">
        <v>685</v>
      </c>
      <c r="F1848" t="s">
        <v>26</v>
      </c>
      <c r="G1848">
        <v>23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23</v>
      </c>
      <c r="T1848">
        <v>0</v>
      </c>
      <c r="U1848" t="s">
        <v>32</v>
      </c>
      <c r="W1848" s="2">
        <v>79.680000000000007</v>
      </c>
      <c r="X1848" s="3">
        <f t="shared" si="56"/>
        <v>1832.64</v>
      </c>
      <c r="Y1848">
        <f>VLOOKUP(D1848,'[1]Cost Sheet'!$C:$D,2,0)</f>
        <v>79.680000000000007</v>
      </c>
      <c r="Z1848" s="3">
        <f t="shared" si="57"/>
        <v>1832.64</v>
      </c>
    </row>
    <row r="1849" spans="1:26" x14ac:dyDescent="0.3">
      <c r="A1849" s="7" t="s">
        <v>21</v>
      </c>
      <c r="B1849" t="s">
        <v>682</v>
      </c>
      <c r="C1849" t="s">
        <v>683</v>
      </c>
      <c r="D1849" t="s">
        <v>684</v>
      </c>
      <c r="E1849" t="s">
        <v>685</v>
      </c>
      <c r="F1849" t="s">
        <v>26</v>
      </c>
      <c r="G1849">
        <v>16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16</v>
      </c>
      <c r="T1849">
        <v>0</v>
      </c>
      <c r="U1849" t="s">
        <v>46</v>
      </c>
      <c r="W1849" s="2">
        <v>79.680000000000007</v>
      </c>
      <c r="X1849" s="3">
        <f t="shared" si="56"/>
        <v>1274.8800000000001</v>
      </c>
      <c r="Y1849">
        <f>VLOOKUP(D1849,'[1]Cost Sheet'!$C:$D,2,0)</f>
        <v>79.680000000000007</v>
      </c>
      <c r="Z1849" s="3">
        <f t="shared" si="57"/>
        <v>1274.8800000000001</v>
      </c>
    </row>
    <row r="1850" spans="1:26" x14ac:dyDescent="0.3">
      <c r="A1850" s="7" t="s">
        <v>21</v>
      </c>
      <c r="B1850" t="s">
        <v>682</v>
      </c>
      <c r="C1850" t="s">
        <v>683</v>
      </c>
      <c r="D1850" t="s">
        <v>684</v>
      </c>
      <c r="E1850" t="s">
        <v>685</v>
      </c>
      <c r="F1850" t="s">
        <v>26</v>
      </c>
      <c r="G1850">
        <v>3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3</v>
      </c>
      <c r="T1850">
        <v>0</v>
      </c>
      <c r="U1850" t="s">
        <v>47</v>
      </c>
      <c r="W1850" s="2">
        <v>79.680000000000007</v>
      </c>
      <c r="X1850" s="3">
        <f t="shared" si="56"/>
        <v>239.04000000000002</v>
      </c>
      <c r="Y1850">
        <f>VLOOKUP(D1850,'[1]Cost Sheet'!$C:$D,2,0)</f>
        <v>79.680000000000007</v>
      </c>
      <c r="Z1850" s="3">
        <f t="shared" si="57"/>
        <v>239.04000000000002</v>
      </c>
    </row>
    <row r="1851" spans="1:26" x14ac:dyDescent="0.3">
      <c r="A1851" s="7" t="s">
        <v>21</v>
      </c>
      <c r="B1851" t="s">
        <v>682</v>
      </c>
      <c r="C1851" t="s">
        <v>683</v>
      </c>
      <c r="D1851" t="s">
        <v>684</v>
      </c>
      <c r="E1851" t="s">
        <v>685</v>
      </c>
      <c r="F1851" t="s">
        <v>26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5</v>
      </c>
      <c r="T1851">
        <v>0</v>
      </c>
      <c r="U1851" t="s">
        <v>40</v>
      </c>
      <c r="W1851" s="2">
        <v>79.680000000000007</v>
      </c>
      <c r="X1851" s="3">
        <f t="shared" si="56"/>
        <v>398.40000000000003</v>
      </c>
      <c r="Y1851">
        <f>VLOOKUP(D1851,'[1]Cost Sheet'!$C:$D,2,0)</f>
        <v>79.680000000000007</v>
      </c>
      <c r="Z1851" s="3">
        <f t="shared" si="57"/>
        <v>398.40000000000003</v>
      </c>
    </row>
    <row r="1852" spans="1:26" x14ac:dyDescent="0.3">
      <c r="A1852" s="7" t="s">
        <v>21</v>
      </c>
      <c r="B1852" t="s">
        <v>682</v>
      </c>
      <c r="C1852" t="s">
        <v>683</v>
      </c>
      <c r="D1852" t="s">
        <v>684</v>
      </c>
      <c r="E1852" t="s">
        <v>685</v>
      </c>
      <c r="F1852" t="s">
        <v>26</v>
      </c>
      <c r="G1852">
        <v>2</v>
      </c>
      <c r="H1852">
        <v>0</v>
      </c>
      <c r="I1852">
        <v>0</v>
      </c>
      <c r="J1852">
        <v>-1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 t="s">
        <v>48</v>
      </c>
      <c r="W1852" s="2">
        <v>79.680000000000007</v>
      </c>
      <c r="X1852" s="3">
        <f t="shared" si="56"/>
        <v>79.680000000000007</v>
      </c>
      <c r="Y1852">
        <f>VLOOKUP(D1852,'[1]Cost Sheet'!$C:$D,2,0)</f>
        <v>79.680000000000007</v>
      </c>
      <c r="Z1852" s="3">
        <f t="shared" si="57"/>
        <v>79.680000000000007</v>
      </c>
    </row>
    <row r="1853" spans="1:26" x14ac:dyDescent="0.3">
      <c r="A1853" s="7" t="s">
        <v>21</v>
      </c>
      <c r="B1853" t="s">
        <v>686</v>
      </c>
      <c r="C1853" t="s">
        <v>687</v>
      </c>
      <c r="D1853" t="s">
        <v>688</v>
      </c>
      <c r="E1853" t="s">
        <v>689</v>
      </c>
      <c r="F1853" t="s">
        <v>26</v>
      </c>
      <c r="G1853">
        <v>12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12</v>
      </c>
      <c r="T1853">
        <v>0</v>
      </c>
      <c r="U1853" t="s">
        <v>38</v>
      </c>
      <c r="W1853" s="2">
        <v>79.680000000000007</v>
      </c>
      <c r="X1853" s="3">
        <f t="shared" si="56"/>
        <v>956.16000000000008</v>
      </c>
      <c r="Y1853">
        <f>VLOOKUP(D1853,'[1]Cost Sheet'!$C:$D,2,0)</f>
        <v>79.680000000000007</v>
      </c>
      <c r="Z1853" s="3">
        <f t="shared" si="57"/>
        <v>956.16000000000008</v>
      </c>
    </row>
    <row r="1854" spans="1:26" x14ac:dyDescent="0.3">
      <c r="A1854" s="7" t="s">
        <v>21</v>
      </c>
      <c r="B1854" t="s">
        <v>686</v>
      </c>
      <c r="C1854" t="s">
        <v>687</v>
      </c>
      <c r="D1854" t="s">
        <v>688</v>
      </c>
      <c r="E1854" t="s">
        <v>689</v>
      </c>
      <c r="F1854" t="s">
        <v>26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 t="s">
        <v>107</v>
      </c>
      <c r="W1854" s="2">
        <v>79.680000000000007</v>
      </c>
      <c r="X1854" s="3">
        <f t="shared" si="56"/>
        <v>79.680000000000007</v>
      </c>
      <c r="Y1854">
        <f>VLOOKUP(D1854,'[1]Cost Sheet'!$C:$D,2,0)</f>
        <v>79.680000000000007</v>
      </c>
      <c r="Z1854" s="3">
        <f t="shared" si="57"/>
        <v>79.680000000000007</v>
      </c>
    </row>
    <row r="1855" spans="1:26" x14ac:dyDescent="0.3">
      <c r="A1855" s="7" t="s">
        <v>21</v>
      </c>
      <c r="B1855" t="s">
        <v>686</v>
      </c>
      <c r="C1855" t="s">
        <v>687</v>
      </c>
      <c r="D1855" t="s">
        <v>688</v>
      </c>
      <c r="E1855" t="s">
        <v>689</v>
      </c>
      <c r="F1855" t="s">
        <v>26</v>
      </c>
      <c r="G1855">
        <v>15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15</v>
      </c>
      <c r="T1855">
        <v>0</v>
      </c>
      <c r="U1855" t="s">
        <v>45</v>
      </c>
      <c r="W1855" s="2">
        <v>79.680000000000007</v>
      </c>
      <c r="X1855" s="3">
        <f t="shared" si="56"/>
        <v>1195.2</v>
      </c>
      <c r="Y1855">
        <f>VLOOKUP(D1855,'[1]Cost Sheet'!$C:$D,2,0)</f>
        <v>79.680000000000007</v>
      </c>
      <c r="Z1855" s="3">
        <f t="shared" si="57"/>
        <v>1195.2</v>
      </c>
    </row>
    <row r="1856" spans="1:26" x14ac:dyDescent="0.3">
      <c r="A1856" s="7" t="s">
        <v>21</v>
      </c>
      <c r="B1856" t="s">
        <v>686</v>
      </c>
      <c r="C1856" t="s">
        <v>687</v>
      </c>
      <c r="D1856" t="s">
        <v>688</v>
      </c>
      <c r="E1856" t="s">
        <v>689</v>
      </c>
      <c r="F1856" t="s">
        <v>26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4</v>
      </c>
      <c r="T1856">
        <v>0</v>
      </c>
      <c r="U1856" t="s">
        <v>39</v>
      </c>
      <c r="W1856" s="2">
        <v>79.680000000000007</v>
      </c>
      <c r="X1856" s="3">
        <f t="shared" si="56"/>
        <v>318.72000000000003</v>
      </c>
      <c r="Y1856">
        <f>VLOOKUP(D1856,'[1]Cost Sheet'!$C:$D,2,0)</f>
        <v>79.680000000000007</v>
      </c>
      <c r="Z1856" s="3">
        <f t="shared" si="57"/>
        <v>318.72000000000003</v>
      </c>
    </row>
    <row r="1857" spans="1:26" x14ac:dyDescent="0.3">
      <c r="A1857" s="7" t="s">
        <v>21</v>
      </c>
      <c r="B1857" t="s">
        <v>686</v>
      </c>
      <c r="C1857" t="s">
        <v>687</v>
      </c>
      <c r="D1857" t="s">
        <v>688</v>
      </c>
      <c r="E1857" t="s">
        <v>689</v>
      </c>
      <c r="F1857" t="s">
        <v>26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 t="s">
        <v>54</v>
      </c>
      <c r="W1857" s="2">
        <v>79.680000000000007</v>
      </c>
      <c r="X1857" s="3">
        <f t="shared" si="56"/>
        <v>79.680000000000007</v>
      </c>
      <c r="Y1857">
        <f>VLOOKUP(D1857,'[1]Cost Sheet'!$C:$D,2,0)</f>
        <v>79.680000000000007</v>
      </c>
      <c r="Z1857" s="3">
        <f t="shared" si="57"/>
        <v>79.680000000000007</v>
      </c>
    </row>
    <row r="1858" spans="1:26" x14ac:dyDescent="0.3">
      <c r="A1858" s="7" t="s">
        <v>21</v>
      </c>
      <c r="B1858" t="s">
        <v>686</v>
      </c>
      <c r="C1858" t="s">
        <v>687</v>
      </c>
      <c r="D1858" t="s">
        <v>688</v>
      </c>
      <c r="E1858" t="s">
        <v>689</v>
      </c>
      <c r="F1858" t="s">
        <v>26</v>
      </c>
      <c r="G1858">
        <v>31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31</v>
      </c>
      <c r="T1858">
        <v>0</v>
      </c>
      <c r="U1858" t="s">
        <v>32</v>
      </c>
      <c r="W1858" s="2">
        <v>79.680000000000007</v>
      </c>
      <c r="X1858" s="3">
        <f t="shared" si="56"/>
        <v>2470.0800000000004</v>
      </c>
      <c r="Y1858">
        <f>VLOOKUP(D1858,'[1]Cost Sheet'!$C:$D,2,0)</f>
        <v>79.680000000000007</v>
      </c>
      <c r="Z1858" s="3">
        <f t="shared" si="57"/>
        <v>2470.0800000000004</v>
      </c>
    </row>
    <row r="1859" spans="1:26" x14ac:dyDescent="0.3">
      <c r="A1859" s="7" t="s">
        <v>21</v>
      </c>
      <c r="B1859" t="s">
        <v>686</v>
      </c>
      <c r="C1859" t="s">
        <v>687</v>
      </c>
      <c r="D1859" t="s">
        <v>688</v>
      </c>
      <c r="E1859" t="s">
        <v>689</v>
      </c>
      <c r="F1859" t="s">
        <v>26</v>
      </c>
      <c r="G1859">
        <v>24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24</v>
      </c>
      <c r="T1859">
        <v>0</v>
      </c>
      <c r="U1859" t="s">
        <v>46</v>
      </c>
      <c r="W1859" s="2">
        <v>79.680000000000007</v>
      </c>
      <c r="X1859" s="3">
        <f t="shared" ref="X1859:X1922" si="58">S1859*W1859</f>
        <v>1912.3200000000002</v>
      </c>
      <c r="Y1859">
        <f>VLOOKUP(D1859,'[1]Cost Sheet'!$C:$D,2,0)</f>
        <v>79.680000000000007</v>
      </c>
      <c r="Z1859" s="3">
        <f t="shared" ref="Z1859:Z1922" si="59">Y1859*S1859</f>
        <v>1912.3200000000002</v>
      </c>
    </row>
    <row r="1860" spans="1:26" x14ac:dyDescent="0.3">
      <c r="A1860" s="7" t="s">
        <v>21</v>
      </c>
      <c r="B1860" t="s">
        <v>686</v>
      </c>
      <c r="C1860" t="s">
        <v>687</v>
      </c>
      <c r="D1860" t="s">
        <v>688</v>
      </c>
      <c r="E1860" t="s">
        <v>689</v>
      </c>
      <c r="F1860" t="s">
        <v>26</v>
      </c>
      <c r="G1860">
        <v>37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37</v>
      </c>
      <c r="T1860">
        <v>0</v>
      </c>
      <c r="U1860" t="s">
        <v>47</v>
      </c>
      <c r="W1860" s="2">
        <v>79.680000000000007</v>
      </c>
      <c r="X1860" s="3">
        <f t="shared" si="58"/>
        <v>2948.1600000000003</v>
      </c>
      <c r="Y1860">
        <f>VLOOKUP(D1860,'[1]Cost Sheet'!$C:$D,2,0)</f>
        <v>79.680000000000007</v>
      </c>
      <c r="Z1860" s="3">
        <f t="shared" si="59"/>
        <v>2948.1600000000003</v>
      </c>
    </row>
    <row r="1861" spans="1:26" x14ac:dyDescent="0.3">
      <c r="A1861" s="7" t="s">
        <v>21</v>
      </c>
      <c r="B1861" t="s">
        <v>686</v>
      </c>
      <c r="C1861" t="s">
        <v>687</v>
      </c>
      <c r="D1861" t="s">
        <v>688</v>
      </c>
      <c r="E1861" t="s">
        <v>689</v>
      </c>
      <c r="F1861" t="s">
        <v>26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 t="s">
        <v>48</v>
      </c>
      <c r="W1861" s="2">
        <v>79.680000000000007</v>
      </c>
      <c r="X1861" s="3">
        <f t="shared" si="58"/>
        <v>79.680000000000007</v>
      </c>
      <c r="Y1861">
        <f>VLOOKUP(D1861,'[1]Cost Sheet'!$C:$D,2,0)</f>
        <v>79.680000000000007</v>
      </c>
      <c r="Z1861" s="3">
        <f t="shared" si="59"/>
        <v>79.680000000000007</v>
      </c>
    </row>
    <row r="1862" spans="1:26" x14ac:dyDescent="0.3">
      <c r="A1862" s="7" t="s">
        <v>21</v>
      </c>
      <c r="B1862" t="s">
        <v>686</v>
      </c>
      <c r="C1862" t="s">
        <v>687</v>
      </c>
      <c r="D1862" t="s">
        <v>688</v>
      </c>
      <c r="E1862" t="s">
        <v>689</v>
      </c>
      <c r="F1862" t="s">
        <v>26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5</v>
      </c>
      <c r="T1862">
        <v>0</v>
      </c>
      <c r="U1862" t="s">
        <v>59</v>
      </c>
      <c r="W1862" s="2">
        <v>79.680000000000007</v>
      </c>
      <c r="X1862" s="3">
        <f t="shared" si="58"/>
        <v>398.40000000000003</v>
      </c>
      <c r="Y1862">
        <f>VLOOKUP(D1862,'[1]Cost Sheet'!$C:$D,2,0)</f>
        <v>79.680000000000007</v>
      </c>
      <c r="Z1862" s="3">
        <f t="shared" si="59"/>
        <v>398.40000000000003</v>
      </c>
    </row>
    <row r="1863" spans="1:26" x14ac:dyDescent="0.3">
      <c r="A1863" s="7" t="s">
        <v>21</v>
      </c>
      <c r="B1863" t="s">
        <v>690</v>
      </c>
      <c r="C1863" t="s">
        <v>691</v>
      </c>
      <c r="D1863" t="s">
        <v>692</v>
      </c>
      <c r="E1863" t="s">
        <v>693</v>
      </c>
      <c r="F1863" t="s">
        <v>106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 t="s">
        <v>88</v>
      </c>
      <c r="W1863" s="2">
        <v>79.680000000000007</v>
      </c>
      <c r="X1863" s="3">
        <f t="shared" si="58"/>
        <v>79.680000000000007</v>
      </c>
      <c r="Y1863">
        <f>VLOOKUP(D1863,'[1]Cost Sheet'!$C:$D,2,0)</f>
        <v>79.680000000000007</v>
      </c>
      <c r="Z1863" s="3">
        <f t="shared" si="59"/>
        <v>79.680000000000007</v>
      </c>
    </row>
    <row r="1864" spans="1:26" x14ac:dyDescent="0.3">
      <c r="A1864" s="7" t="s">
        <v>21</v>
      </c>
      <c r="B1864" t="s">
        <v>690</v>
      </c>
      <c r="C1864" t="s">
        <v>691</v>
      </c>
      <c r="D1864" t="s">
        <v>692</v>
      </c>
      <c r="E1864" t="s">
        <v>693</v>
      </c>
      <c r="F1864" t="s">
        <v>93</v>
      </c>
      <c r="G1864">
        <v>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9</v>
      </c>
      <c r="T1864">
        <v>0</v>
      </c>
      <c r="U1864" t="s">
        <v>38</v>
      </c>
      <c r="W1864" s="2">
        <v>79.680000000000007</v>
      </c>
      <c r="X1864" s="3">
        <f t="shared" si="58"/>
        <v>717.12000000000012</v>
      </c>
      <c r="Y1864">
        <f>VLOOKUP(D1864,'[1]Cost Sheet'!$C:$D,2,0)</f>
        <v>79.680000000000007</v>
      </c>
      <c r="Z1864" s="3">
        <f t="shared" si="59"/>
        <v>717.12000000000012</v>
      </c>
    </row>
    <row r="1865" spans="1:26" x14ac:dyDescent="0.3">
      <c r="A1865" s="7" t="s">
        <v>21</v>
      </c>
      <c r="B1865" t="s">
        <v>690</v>
      </c>
      <c r="C1865" t="s">
        <v>691</v>
      </c>
      <c r="D1865" t="s">
        <v>692</v>
      </c>
      <c r="E1865" t="s">
        <v>693</v>
      </c>
      <c r="F1865" t="s">
        <v>93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2</v>
      </c>
      <c r="T1865">
        <v>0</v>
      </c>
      <c r="U1865" t="s">
        <v>53</v>
      </c>
      <c r="W1865" s="2">
        <v>79.680000000000007</v>
      </c>
      <c r="X1865" s="3">
        <f t="shared" si="58"/>
        <v>159.36000000000001</v>
      </c>
      <c r="Y1865">
        <f>VLOOKUP(D1865,'[1]Cost Sheet'!$C:$D,2,0)</f>
        <v>79.680000000000007</v>
      </c>
      <c r="Z1865" s="3">
        <f t="shared" si="59"/>
        <v>159.36000000000001</v>
      </c>
    </row>
    <row r="1866" spans="1:26" x14ac:dyDescent="0.3">
      <c r="A1866" s="7" t="s">
        <v>21</v>
      </c>
      <c r="B1866" t="s">
        <v>690</v>
      </c>
      <c r="C1866" t="s">
        <v>691</v>
      </c>
      <c r="D1866" t="s">
        <v>692</v>
      </c>
      <c r="E1866" t="s">
        <v>693</v>
      </c>
      <c r="F1866" t="s">
        <v>93</v>
      </c>
      <c r="G1866">
        <v>2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2</v>
      </c>
      <c r="T1866">
        <v>0</v>
      </c>
      <c r="U1866" t="s">
        <v>47</v>
      </c>
      <c r="W1866" s="2">
        <v>79.680000000000007</v>
      </c>
      <c r="X1866" s="3">
        <f t="shared" si="58"/>
        <v>159.36000000000001</v>
      </c>
      <c r="Y1866">
        <f>VLOOKUP(D1866,'[1]Cost Sheet'!$C:$D,2,0)</f>
        <v>79.680000000000007</v>
      </c>
      <c r="Z1866" s="3">
        <f t="shared" si="59"/>
        <v>159.36000000000001</v>
      </c>
    </row>
    <row r="1867" spans="1:26" x14ac:dyDescent="0.3">
      <c r="A1867" s="7" t="s">
        <v>21</v>
      </c>
      <c r="B1867" t="s">
        <v>690</v>
      </c>
      <c r="C1867" t="s">
        <v>691</v>
      </c>
      <c r="D1867" t="s">
        <v>692</v>
      </c>
      <c r="E1867" t="s">
        <v>693</v>
      </c>
      <c r="F1867" t="s">
        <v>26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6</v>
      </c>
      <c r="T1867">
        <v>0</v>
      </c>
      <c r="U1867" t="s">
        <v>38</v>
      </c>
      <c r="W1867" s="2">
        <v>79.680000000000007</v>
      </c>
      <c r="X1867" s="3">
        <f t="shared" si="58"/>
        <v>478.08000000000004</v>
      </c>
      <c r="Y1867">
        <f>VLOOKUP(D1867,'[1]Cost Sheet'!$C:$D,2,0)</f>
        <v>79.680000000000007</v>
      </c>
      <c r="Z1867" s="3">
        <f t="shared" si="59"/>
        <v>478.08000000000004</v>
      </c>
    </row>
    <row r="1868" spans="1:26" x14ac:dyDescent="0.3">
      <c r="A1868" s="7" t="s">
        <v>21</v>
      </c>
      <c r="B1868" t="s">
        <v>690</v>
      </c>
      <c r="C1868" t="s">
        <v>691</v>
      </c>
      <c r="D1868" t="s">
        <v>692</v>
      </c>
      <c r="E1868" t="s">
        <v>693</v>
      </c>
      <c r="F1868" t="s">
        <v>26</v>
      </c>
      <c r="G1868">
        <v>9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9</v>
      </c>
      <c r="T1868">
        <v>0</v>
      </c>
      <c r="U1868" t="s">
        <v>45</v>
      </c>
      <c r="W1868" s="2">
        <v>79.680000000000007</v>
      </c>
      <c r="X1868" s="3">
        <f t="shared" si="58"/>
        <v>717.12000000000012</v>
      </c>
      <c r="Y1868">
        <f>VLOOKUP(D1868,'[1]Cost Sheet'!$C:$D,2,0)</f>
        <v>79.680000000000007</v>
      </c>
      <c r="Z1868" s="3">
        <f t="shared" si="59"/>
        <v>717.12000000000012</v>
      </c>
    </row>
    <row r="1869" spans="1:26" x14ac:dyDescent="0.3">
      <c r="A1869" s="7" t="s">
        <v>21</v>
      </c>
      <c r="B1869" t="s">
        <v>690</v>
      </c>
      <c r="C1869" t="s">
        <v>691</v>
      </c>
      <c r="D1869" t="s">
        <v>692</v>
      </c>
      <c r="E1869" t="s">
        <v>693</v>
      </c>
      <c r="F1869" t="s">
        <v>26</v>
      </c>
      <c r="G1869">
        <v>35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35</v>
      </c>
      <c r="T1869">
        <v>0</v>
      </c>
      <c r="U1869" t="s">
        <v>39</v>
      </c>
      <c r="W1869" s="2">
        <v>79.680000000000007</v>
      </c>
      <c r="X1869" s="3">
        <f t="shared" si="58"/>
        <v>2788.8</v>
      </c>
      <c r="Y1869">
        <f>VLOOKUP(D1869,'[1]Cost Sheet'!$C:$D,2,0)</f>
        <v>79.680000000000007</v>
      </c>
      <c r="Z1869" s="3">
        <f t="shared" si="59"/>
        <v>2788.8</v>
      </c>
    </row>
    <row r="1870" spans="1:26" x14ac:dyDescent="0.3">
      <c r="A1870" s="7" t="s">
        <v>21</v>
      </c>
      <c r="B1870" t="s">
        <v>690</v>
      </c>
      <c r="C1870" t="s">
        <v>691</v>
      </c>
      <c r="D1870" t="s">
        <v>692</v>
      </c>
      <c r="E1870" t="s">
        <v>693</v>
      </c>
      <c r="F1870" t="s">
        <v>26</v>
      </c>
      <c r="G1870">
        <v>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3</v>
      </c>
      <c r="T1870">
        <v>0</v>
      </c>
      <c r="U1870" t="s">
        <v>54</v>
      </c>
      <c r="W1870" s="2">
        <v>79.680000000000007</v>
      </c>
      <c r="X1870" s="3">
        <f t="shared" si="58"/>
        <v>239.04000000000002</v>
      </c>
      <c r="Y1870">
        <f>VLOOKUP(D1870,'[1]Cost Sheet'!$C:$D,2,0)</f>
        <v>79.680000000000007</v>
      </c>
      <c r="Z1870" s="3">
        <f t="shared" si="59"/>
        <v>239.04000000000002</v>
      </c>
    </row>
    <row r="1871" spans="1:26" x14ac:dyDescent="0.3">
      <c r="A1871" s="7" t="s">
        <v>21</v>
      </c>
      <c r="B1871" t="s">
        <v>690</v>
      </c>
      <c r="C1871" t="s">
        <v>691</v>
      </c>
      <c r="D1871" t="s">
        <v>692</v>
      </c>
      <c r="E1871" t="s">
        <v>693</v>
      </c>
      <c r="F1871" t="s">
        <v>26</v>
      </c>
      <c r="G1871">
        <v>19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19</v>
      </c>
      <c r="T1871">
        <v>0</v>
      </c>
      <c r="U1871" t="s">
        <v>46</v>
      </c>
      <c r="W1871" s="2">
        <v>79.680000000000007</v>
      </c>
      <c r="X1871" s="3">
        <f t="shared" si="58"/>
        <v>1513.92</v>
      </c>
      <c r="Y1871">
        <f>VLOOKUP(D1871,'[1]Cost Sheet'!$C:$D,2,0)</f>
        <v>79.680000000000007</v>
      </c>
      <c r="Z1871" s="3">
        <f t="shared" si="59"/>
        <v>1513.92</v>
      </c>
    </row>
    <row r="1872" spans="1:26" x14ac:dyDescent="0.3">
      <c r="A1872" s="7" t="s">
        <v>21</v>
      </c>
      <c r="B1872" t="s">
        <v>690</v>
      </c>
      <c r="C1872" t="s">
        <v>691</v>
      </c>
      <c r="D1872" t="s">
        <v>692</v>
      </c>
      <c r="E1872" t="s">
        <v>693</v>
      </c>
      <c r="F1872" t="s">
        <v>26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2</v>
      </c>
      <c r="T1872">
        <v>0</v>
      </c>
      <c r="U1872" t="s">
        <v>47</v>
      </c>
      <c r="W1872" s="2">
        <v>79.680000000000007</v>
      </c>
      <c r="X1872" s="3">
        <f t="shared" si="58"/>
        <v>159.36000000000001</v>
      </c>
      <c r="Y1872">
        <f>VLOOKUP(D1872,'[1]Cost Sheet'!$C:$D,2,0)</f>
        <v>79.680000000000007</v>
      </c>
      <c r="Z1872" s="3">
        <f t="shared" si="59"/>
        <v>159.36000000000001</v>
      </c>
    </row>
    <row r="1873" spans="1:26" x14ac:dyDescent="0.3">
      <c r="A1873" s="7" t="s">
        <v>21</v>
      </c>
      <c r="B1873" t="s">
        <v>690</v>
      </c>
      <c r="C1873" t="s">
        <v>691</v>
      </c>
      <c r="D1873" t="s">
        <v>692</v>
      </c>
      <c r="E1873" t="s">
        <v>693</v>
      </c>
      <c r="F1873" t="s">
        <v>26</v>
      </c>
      <c r="G1873">
        <v>9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9</v>
      </c>
      <c r="T1873">
        <v>0</v>
      </c>
      <c r="U1873" t="s">
        <v>40</v>
      </c>
      <c r="W1873" s="2">
        <v>79.680000000000007</v>
      </c>
      <c r="X1873" s="3">
        <f t="shared" si="58"/>
        <v>717.12000000000012</v>
      </c>
      <c r="Y1873">
        <f>VLOOKUP(D1873,'[1]Cost Sheet'!$C:$D,2,0)</f>
        <v>79.680000000000007</v>
      </c>
      <c r="Z1873" s="3">
        <f t="shared" si="59"/>
        <v>717.12000000000012</v>
      </c>
    </row>
    <row r="1874" spans="1:26" x14ac:dyDescent="0.3">
      <c r="A1874" s="7" t="s">
        <v>21</v>
      </c>
      <c r="B1874" t="s">
        <v>690</v>
      </c>
      <c r="C1874" t="s">
        <v>691</v>
      </c>
      <c r="D1874" t="s">
        <v>692</v>
      </c>
      <c r="E1874" t="s">
        <v>693</v>
      </c>
      <c r="F1874" t="s">
        <v>26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 t="s">
        <v>113</v>
      </c>
      <c r="W1874" s="2">
        <v>79.680000000000007</v>
      </c>
      <c r="X1874" s="3">
        <f t="shared" si="58"/>
        <v>79.680000000000007</v>
      </c>
      <c r="Y1874">
        <f>VLOOKUP(D1874,'[1]Cost Sheet'!$C:$D,2,0)</f>
        <v>79.680000000000007</v>
      </c>
      <c r="Z1874" s="3">
        <f t="shared" si="59"/>
        <v>79.680000000000007</v>
      </c>
    </row>
    <row r="1875" spans="1:26" x14ac:dyDescent="0.3">
      <c r="A1875" s="7" t="s">
        <v>21</v>
      </c>
      <c r="B1875" t="s">
        <v>690</v>
      </c>
      <c r="C1875" t="s">
        <v>691</v>
      </c>
      <c r="D1875" t="s">
        <v>692</v>
      </c>
      <c r="E1875" t="s">
        <v>693</v>
      </c>
      <c r="F1875" t="s">
        <v>26</v>
      </c>
      <c r="G1875">
        <v>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7</v>
      </c>
      <c r="T1875">
        <v>0</v>
      </c>
      <c r="U1875" t="s">
        <v>48</v>
      </c>
      <c r="W1875" s="2">
        <v>79.680000000000007</v>
      </c>
      <c r="X1875" s="3">
        <f t="shared" si="58"/>
        <v>557.76</v>
      </c>
      <c r="Y1875">
        <f>VLOOKUP(D1875,'[1]Cost Sheet'!$C:$D,2,0)</f>
        <v>79.680000000000007</v>
      </c>
      <c r="Z1875" s="3">
        <f t="shared" si="59"/>
        <v>557.76</v>
      </c>
    </row>
    <row r="1876" spans="1:26" x14ac:dyDescent="0.3">
      <c r="A1876" s="7" t="s">
        <v>21</v>
      </c>
      <c r="B1876" t="s">
        <v>690</v>
      </c>
      <c r="C1876" t="s">
        <v>691</v>
      </c>
      <c r="D1876" t="s">
        <v>692</v>
      </c>
      <c r="E1876" t="s">
        <v>693</v>
      </c>
      <c r="F1876" t="s">
        <v>26</v>
      </c>
      <c r="G1876">
        <v>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7</v>
      </c>
      <c r="T1876">
        <v>0</v>
      </c>
      <c r="U1876" t="s">
        <v>59</v>
      </c>
      <c r="W1876" s="2">
        <v>79.680000000000007</v>
      </c>
      <c r="X1876" s="3">
        <f t="shared" si="58"/>
        <v>557.76</v>
      </c>
      <c r="Y1876">
        <f>VLOOKUP(D1876,'[1]Cost Sheet'!$C:$D,2,0)</f>
        <v>79.680000000000007</v>
      </c>
      <c r="Z1876" s="3">
        <f t="shared" si="59"/>
        <v>557.76</v>
      </c>
    </row>
    <row r="1877" spans="1:26" x14ac:dyDescent="0.3">
      <c r="A1877" s="7" t="s">
        <v>21</v>
      </c>
      <c r="B1877" t="s">
        <v>690</v>
      </c>
      <c r="C1877" t="s">
        <v>691</v>
      </c>
      <c r="D1877" t="s">
        <v>692</v>
      </c>
      <c r="E1877" t="s">
        <v>693</v>
      </c>
      <c r="F1877" t="s">
        <v>114</v>
      </c>
      <c r="G1877">
        <v>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2</v>
      </c>
      <c r="T1877">
        <v>0</v>
      </c>
      <c r="U1877" t="s">
        <v>88</v>
      </c>
      <c r="W1877" s="2">
        <v>79.680000000000007</v>
      </c>
      <c r="X1877" s="3">
        <f t="shared" si="58"/>
        <v>159.36000000000001</v>
      </c>
      <c r="Y1877">
        <f>VLOOKUP(D1877,'[1]Cost Sheet'!$C:$D,2,0)</f>
        <v>79.680000000000007</v>
      </c>
      <c r="Z1877" s="3">
        <f t="shared" si="59"/>
        <v>159.36000000000001</v>
      </c>
    </row>
    <row r="1878" spans="1:26" x14ac:dyDescent="0.3">
      <c r="A1878" s="7" t="s">
        <v>21</v>
      </c>
      <c r="B1878" t="s">
        <v>694</v>
      </c>
      <c r="C1878" t="s">
        <v>695</v>
      </c>
      <c r="D1878" t="s">
        <v>696</v>
      </c>
      <c r="E1878" t="s">
        <v>697</v>
      </c>
      <c r="F1878" t="s">
        <v>26</v>
      </c>
      <c r="G1878">
        <v>45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-1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44</v>
      </c>
      <c r="T1878">
        <v>0</v>
      </c>
      <c r="U1878" t="s">
        <v>54</v>
      </c>
      <c r="W1878" s="2">
        <v>77.84</v>
      </c>
      <c r="X1878" s="3">
        <f t="shared" si="58"/>
        <v>3424.96</v>
      </c>
      <c r="Y1878">
        <f>VLOOKUP(D1878,'[1]Cost Sheet'!$C:$D,2,0)</f>
        <v>79.14</v>
      </c>
      <c r="Z1878" s="3">
        <f t="shared" si="59"/>
        <v>3482.16</v>
      </c>
    </row>
    <row r="1879" spans="1:26" x14ac:dyDescent="0.3">
      <c r="A1879" s="7" t="s">
        <v>21</v>
      </c>
      <c r="B1879" t="s">
        <v>694</v>
      </c>
      <c r="C1879" t="s">
        <v>695</v>
      </c>
      <c r="D1879" t="s">
        <v>696</v>
      </c>
      <c r="E1879" t="s">
        <v>697</v>
      </c>
      <c r="F1879" t="s">
        <v>26</v>
      </c>
      <c r="G1879">
        <v>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</v>
      </c>
      <c r="T1879">
        <v>0</v>
      </c>
      <c r="U1879" t="s">
        <v>33</v>
      </c>
      <c r="W1879" s="2">
        <v>77.84</v>
      </c>
      <c r="X1879" s="3">
        <f t="shared" si="58"/>
        <v>233.52</v>
      </c>
      <c r="Y1879">
        <f>VLOOKUP(D1879,'[1]Cost Sheet'!$C:$D,2,0)</f>
        <v>79.14</v>
      </c>
      <c r="Z1879" s="3">
        <f t="shared" si="59"/>
        <v>237.42000000000002</v>
      </c>
    </row>
    <row r="1880" spans="1:26" x14ac:dyDescent="0.3">
      <c r="A1880" s="7" t="s">
        <v>21</v>
      </c>
      <c r="B1880" t="s">
        <v>694</v>
      </c>
      <c r="C1880" t="s">
        <v>695</v>
      </c>
      <c r="D1880" t="s">
        <v>696</v>
      </c>
      <c r="E1880" t="s">
        <v>697</v>
      </c>
      <c r="F1880" t="s">
        <v>26</v>
      </c>
      <c r="G1880">
        <v>5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5</v>
      </c>
      <c r="T1880">
        <v>0</v>
      </c>
      <c r="U1880" t="s">
        <v>40</v>
      </c>
      <c r="W1880" s="2">
        <v>77.84</v>
      </c>
      <c r="X1880" s="3">
        <f t="shared" si="58"/>
        <v>389.20000000000005</v>
      </c>
      <c r="Y1880">
        <f>VLOOKUP(D1880,'[1]Cost Sheet'!$C:$D,2,0)</f>
        <v>79.14</v>
      </c>
      <c r="Z1880" s="3">
        <f t="shared" si="59"/>
        <v>395.7</v>
      </c>
    </row>
    <row r="1881" spans="1:26" x14ac:dyDescent="0.3">
      <c r="A1881" s="7" t="s">
        <v>21</v>
      </c>
      <c r="B1881" t="s">
        <v>694</v>
      </c>
      <c r="C1881" t="s">
        <v>695</v>
      </c>
      <c r="D1881" t="s">
        <v>696</v>
      </c>
      <c r="E1881" t="s">
        <v>697</v>
      </c>
      <c r="F1881" t="s">
        <v>26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 t="s">
        <v>113</v>
      </c>
      <c r="W1881" s="2">
        <v>77.84</v>
      </c>
      <c r="X1881" s="3">
        <f t="shared" si="58"/>
        <v>77.84</v>
      </c>
      <c r="Y1881">
        <f>VLOOKUP(D1881,'[1]Cost Sheet'!$C:$D,2,0)</f>
        <v>79.14</v>
      </c>
      <c r="Z1881" s="3">
        <f t="shared" si="59"/>
        <v>79.14</v>
      </c>
    </row>
    <row r="1882" spans="1:26" x14ac:dyDescent="0.3">
      <c r="A1882" s="7" t="s">
        <v>21</v>
      </c>
      <c r="B1882" t="s">
        <v>694</v>
      </c>
      <c r="C1882" t="s">
        <v>695</v>
      </c>
      <c r="D1882" t="s">
        <v>696</v>
      </c>
      <c r="E1882" t="s">
        <v>697</v>
      </c>
      <c r="F1882" t="s">
        <v>26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 t="s">
        <v>48</v>
      </c>
      <c r="W1882" s="2">
        <v>77.84</v>
      </c>
      <c r="X1882" s="3">
        <f t="shared" si="58"/>
        <v>77.84</v>
      </c>
      <c r="Y1882">
        <f>VLOOKUP(D1882,'[1]Cost Sheet'!$C:$D,2,0)</f>
        <v>79.14</v>
      </c>
      <c r="Z1882" s="3">
        <f t="shared" si="59"/>
        <v>79.14</v>
      </c>
    </row>
    <row r="1883" spans="1:26" x14ac:dyDescent="0.3">
      <c r="A1883" s="7" t="s">
        <v>21</v>
      </c>
      <c r="B1883" t="s">
        <v>698</v>
      </c>
      <c r="C1883" t="s">
        <v>699</v>
      </c>
      <c r="D1883" t="s">
        <v>700</v>
      </c>
      <c r="E1883" t="s">
        <v>701</v>
      </c>
      <c r="F1883" t="s">
        <v>26</v>
      </c>
      <c r="G1883">
        <v>26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-1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25</v>
      </c>
      <c r="T1883">
        <v>0</v>
      </c>
      <c r="U1883" t="s">
        <v>38</v>
      </c>
      <c r="W1883" s="2">
        <v>79.066666666666677</v>
      </c>
      <c r="X1883" s="3">
        <f t="shared" si="58"/>
        <v>1976.666666666667</v>
      </c>
      <c r="Y1883">
        <f>VLOOKUP(D1883,'[1]Cost Sheet'!$C:$D,2,0)</f>
        <v>79.62</v>
      </c>
      <c r="Z1883" s="3">
        <f t="shared" si="59"/>
        <v>1990.5</v>
      </c>
    </row>
    <row r="1884" spans="1:26" x14ac:dyDescent="0.3">
      <c r="A1884" s="7" t="s">
        <v>21</v>
      </c>
      <c r="B1884" t="s">
        <v>698</v>
      </c>
      <c r="C1884" t="s">
        <v>699</v>
      </c>
      <c r="D1884" t="s">
        <v>700</v>
      </c>
      <c r="E1884" t="s">
        <v>701</v>
      </c>
      <c r="F1884" t="s">
        <v>26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 t="s">
        <v>107</v>
      </c>
      <c r="W1884" s="2">
        <v>79.066666666666677</v>
      </c>
      <c r="X1884" s="3">
        <f t="shared" si="58"/>
        <v>79.066666666666677</v>
      </c>
      <c r="Y1884">
        <f>VLOOKUP(D1884,'[1]Cost Sheet'!$C:$D,2,0)</f>
        <v>79.62</v>
      </c>
      <c r="Z1884" s="3">
        <f t="shared" si="59"/>
        <v>79.62</v>
      </c>
    </row>
    <row r="1885" spans="1:26" x14ac:dyDescent="0.3">
      <c r="A1885" s="7" t="s">
        <v>21</v>
      </c>
      <c r="B1885" t="s">
        <v>698</v>
      </c>
      <c r="C1885" t="s">
        <v>699</v>
      </c>
      <c r="D1885" t="s">
        <v>700</v>
      </c>
      <c r="E1885" t="s">
        <v>701</v>
      </c>
      <c r="F1885" t="s">
        <v>26</v>
      </c>
      <c r="G1885">
        <v>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9</v>
      </c>
      <c r="T1885">
        <v>0</v>
      </c>
      <c r="U1885" t="s">
        <v>45</v>
      </c>
      <c r="W1885" s="2">
        <v>79.066666666666677</v>
      </c>
      <c r="X1885" s="3">
        <f t="shared" si="58"/>
        <v>711.60000000000014</v>
      </c>
      <c r="Y1885">
        <f>VLOOKUP(D1885,'[1]Cost Sheet'!$C:$D,2,0)</f>
        <v>79.62</v>
      </c>
      <c r="Z1885" s="3">
        <f t="shared" si="59"/>
        <v>716.58</v>
      </c>
    </row>
    <row r="1886" spans="1:26" x14ac:dyDescent="0.3">
      <c r="A1886" s="7" t="s">
        <v>21</v>
      </c>
      <c r="B1886" t="s">
        <v>698</v>
      </c>
      <c r="C1886" t="s">
        <v>699</v>
      </c>
      <c r="D1886" t="s">
        <v>700</v>
      </c>
      <c r="E1886" t="s">
        <v>701</v>
      </c>
      <c r="F1886" t="s">
        <v>26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0</v>
      </c>
      <c r="U1886" t="s">
        <v>39</v>
      </c>
      <c r="W1886" s="2">
        <v>79.066666666666677</v>
      </c>
      <c r="X1886" s="3">
        <f t="shared" si="58"/>
        <v>79.066666666666677</v>
      </c>
      <c r="Y1886">
        <f>VLOOKUP(D1886,'[1]Cost Sheet'!$C:$D,2,0)</f>
        <v>79.62</v>
      </c>
      <c r="Z1886" s="3">
        <f t="shared" si="59"/>
        <v>79.62</v>
      </c>
    </row>
    <row r="1887" spans="1:26" x14ac:dyDescent="0.3">
      <c r="A1887" s="7" t="s">
        <v>21</v>
      </c>
      <c r="B1887" t="s">
        <v>698</v>
      </c>
      <c r="C1887" t="s">
        <v>699</v>
      </c>
      <c r="D1887" t="s">
        <v>700</v>
      </c>
      <c r="E1887" t="s">
        <v>701</v>
      </c>
      <c r="F1887" t="s">
        <v>26</v>
      </c>
      <c r="G1887">
        <v>3</v>
      </c>
      <c r="H1887">
        <v>0</v>
      </c>
      <c r="I1887">
        <v>0</v>
      </c>
      <c r="J1887">
        <v>-1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2</v>
      </c>
      <c r="T1887">
        <v>0</v>
      </c>
      <c r="U1887" t="s">
        <v>54</v>
      </c>
      <c r="W1887" s="2">
        <v>79.066666666666677</v>
      </c>
      <c r="X1887" s="3">
        <f t="shared" si="58"/>
        <v>158.13333333333335</v>
      </c>
      <c r="Y1887">
        <f>VLOOKUP(D1887,'[1]Cost Sheet'!$C:$D,2,0)</f>
        <v>79.62</v>
      </c>
      <c r="Z1887" s="3">
        <f t="shared" si="59"/>
        <v>159.24</v>
      </c>
    </row>
    <row r="1888" spans="1:26" x14ac:dyDescent="0.3">
      <c r="A1888" s="7" t="s">
        <v>21</v>
      </c>
      <c r="B1888" t="s">
        <v>698</v>
      </c>
      <c r="C1888" t="s">
        <v>699</v>
      </c>
      <c r="D1888" t="s">
        <v>700</v>
      </c>
      <c r="E1888" t="s">
        <v>701</v>
      </c>
      <c r="F1888" t="s">
        <v>26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 t="s">
        <v>46</v>
      </c>
      <c r="W1888" s="2">
        <v>79.066666666666677</v>
      </c>
      <c r="X1888" s="3">
        <f t="shared" si="58"/>
        <v>79.066666666666677</v>
      </c>
      <c r="Y1888">
        <f>VLOOKUP(D1888,'[1]Cost Sheet'!$C:$D,2,0)</f>
        <v>79.62</v>
      </c>
      <c r="Z1888" s="3">
        <f t="shared" si="59"/>
        <v>79.62</v>
      </c>
    </row>
    <row r="1889" spans="1:26" x14ac:dyDescent="0.3">
      <c r="A1889" s="7" t="s">
        <v>21</v>
      </c>
      <c r="B1889" t="s">
        <v>698</v>
      </c>
      <c r="C1889" t="s">
        <v>699</v>
      </c>
      <c r="D1889" t="s">
        <v>700</v>
      </c>
      <c r="E1889" t="s">
        <v>701</v>
      </c>
      <c r="F1889" t="s">
        <v>26</v>
      </c>
      <c r="G1889">
        <v>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3</v>
      </c>
      <c r="T1889">
        <v>0</v>
      </c>
      <c r="U1889" t="s">
        <v>40</v>
      </c>
      <c r="W1889" s="2">
        <v>79.066666666666677</v>
      </c>
      <c r="X1889" s="3">
        <f t="shared" si="58"/>
        <v>237.20000000000005</v>
      </c>
      <c r="Y1889">
        <f>VLOOKUP(D1889,'[1]Cost Sheet'!$C:$D,2,0)</f>
        <v>79.62</v>
      </c>
      <c r="Z1889" s="3">
        <f t="shared" si="59"/>
        <v>238.86</v>
      </c>
    </row>
    <row r="1890" spans="1:26" x14ac:dyDescent="0.3">
      <c r="A1890" s="7" t="s">
        <v>21</v>
      </c>
      <c r="B1890" t="s">
        <v>698</v>
      </c>
      <c r="C1890" t="s">
        <v>699</v>
      </c>
      <c r="D1890" t="s">
        <v>700</v>
      </c>
      <c r="E1890" t="s">
        <v>701</v>
      </c>
      <c r="F1890" t="s">
        <v>26</v>
      </c>
      <c r="G1890">
        <v>23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23</v>
      </c>
      <c r="T1890">
        <v>0</v>
      </c>
      <c r="U1890" t="s">
        <v>48</v>
      </c>
      <c r="W1890" s="2">
        <v>79.066666666666677</v>
      </c>
      <c r="X1890" s="3">
        <f t="shared" si="58"/>
        <v>1818.5333333333335</v>
      </c>
      <c r="Y1890">
        <f>VLOOKUP(D1890,'[1]Cost Sheet'!$C:$D,2,0)</f>
        <v>79.62</v>
      </c>
      <c r="Z1890" s="3">
        <f t="shared" si="59"/>
        <v>1831.2600000000002</v>
      </c>
    </row>
    <row r="1891" spans="1:26" x14ac:dyDescent="0.3">
      <c r="A1891" s="7" t="s">
        <v>21</v>
      </c>
      <c r="B1891" t="s">
        <v>698</v>
      </c>
      <c r="C1891" t="s">
        <v>699</v>
      </c>
      <c r="D1891" t="s">
        <v>700</v>
      </c>
      <c r="E1891" t="s">
        <v>701</v>
      </c>
      <c r="F1891" t="s">
        <v>26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 t="s">
        <v>59</v>
      </c>
      <c r="W1891" s="2">
        <v>79.066666666666677</v>
      </c>
      <c r="X1891" s="3">
        <f t="shared" si="58"/>
        <v>79.066666666666677</v>
      </c>
      <c r="Y1891">
        <f>VLOOKUP(D1891,'[1]Cost Sheet'!$C:$D,2,0)</f>
        <v>79.62</v>
      </c>
      <c r="Z1891" s="3">
        <f t="shared" si="59"/>
        <v>79.62</v>
      </c>
    </row>
    <row r="1892" spans="1:26" x14ac:dyDescent="0.3">
      <c r="A1892" s="7" t="s">
        <v>21</v>
      </c>
      <c r="B1892" t="s">
        <v>702</v>
      </c>
      <c r="C1892" t="s">
        <v>703</v>
      </c>
      <c r="D1892" t="s">
        <v>704</v>
      </c>
      <c r="E1892" t="s">
        <v>705</v>
      </c>
      <c r="F1892" t="s">
        <v>26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 t="s">
        <v>45</v>
      </c>
      <c r="W1892" s="2">
        <v>79.680000000000007</v>
      </c>
      <c r="X1892" s="3">
        <f t="shared" si="58"/>
        <v>79.680000000000007</v>
      </c>
      <c r="Y1892">
        <f>VLOOKUP(D1892,'[1]Cost Sheet'!$C:$D,2,0)</f>
        <v>79.680000000000007</v>
      </c>
      <c r="Z1892" s="3">
        <f t="shared" si="59"/>
        <v>79.680000000000007</v>
      </c>
    </row>
    <row r="1893" spans="1:26" x14ac:dyDescent="0.3">
      <c r="A1893" s="7" t="s">
        <v>21</v>
      </c>
      <c r="B1893" t="s">
        <v>702</v>
      </c>
      <c r="C1893" t="s">
        <v>703</v>
      </c>
      <c r="D1893" t="s">
        <v>704</v>
      </c>
      <c r="E1893" t="s">
        <v>705</v>
      </c>
      <c r="F1893" t="s">
        <v>26</v>
      </c>
      <c r="G1893">
        <v>1</v>
      </c>
      <c r="H1893">
        <v>0</v>
      </c>
      <c r="I1893">
        <v>0</v>
      </c>
      <c r="J1893">
        <v>-1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39</v>
      </c>
      <c r="W1893" s="2">
        <v>79.680000000000007</v>
      </c>
      <c r="X1893" s="3">
        <f t="shared" si="58"/>
        <v>0</v>
      </c>
      <c r="Y1893">
        <f>VLOOKUP(D1893,'[1]Cost Sheet'!$C:$D,2,0)</f>
        <v>79.680000000000007</v>
      </c>
      <c r="Z1893" s="3">
        <f t="shared" si="59"/>
        <v>0</v>
      </c>
    </row>
    <row r="1894" spans="1:26" x14ac:dyDescent="0.3">
      <c r="A1894" s="7" t="s">
        <v>21</v>
      </c>
      <c r="B1894" t="s">
        <v>706</v>
      </c>
      <c r="C1894" t="s">
        <v>707</v>
      </c>
      <c r="D1894" t="s">
        <v>708</v>
      </c>
      <c r="E1894" t="s">
        <v>709</v>
      </c>
      <c r="F1894" t="s">
        <v>26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 t="s">
        <v>38</v>
      </c>
      <c r="W1894" s="2">
        <v>79.680000000000007</v>
      </c>
      <c r="X1894" s="3">
        <f t="shared" si="58"/>
        <v>79.680000000000007</v>
      </c>
      <c r="Y1894">
        <f>VLOOKUP(D1894,'[1]Cost Sheet'!$C:$D,2,0)</f>
        <v>79.680000000000007</v>
      </c>
      <c r="Z1894" s="3">
        <f t="shared" si="59"/>
        <v>79.680000000000007</v>
      </c>
    </row>
    <row r="1895" spans="1:26" x14ac:dyDescent="0.3">
      <c r="A1895" s="7" t="s">
        <v>21</v>
      </c>
      <c r="B1895" t="s">
        <v>706</v>
      </c>
      <c r="C1895" t="s">
        <v>707</v>
      </c>
      <c r="D1895" t="s">
        <v>708</v>
      </c>
      <c r="E1895" t="s">
        <v>709</v>
      </c>
      <c r="F1895" t="s">
        <v>26</v>
      </c>
      <c r="G1895">
        <v>14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14</v>
      </c>
      <c r="T1895">
        <v>0</v>
      </c>
      <c r="U1895" t="s">
        <v>39</v>
      </c>
      <c r="W1895" s="2">
        <v>79.680000000000007</v>
      </c>
      <c r="X1895" s="3">
        <f t="shared" si="58"/>
        <v>1115.52</v>
      </c>
      <c r="Y1895">
        <f>VLOOKUP(D1895,'[1]Cost Sheet'!$C:$D,2,0)</f>
        <v>79.680000000000007</v>
      </c>
      <c r="Z1895" s="3">
        <f t="shared" si="59"/>
        <v>1115.52</v>
      </c>
    </row>
    <row r="1896" spans="1:26" x14ac:dyDescent="0.3">
      <c r="A1896" s="7" t="s">
        <v>21</v>
      </c>
      <c r="B1896" t="s">
        <v>706</v>
      </c>
      <c r="C1896" t="s">
        <v>707</v>
      </c>
      <c r="D1896" t="s">
        <v>708</v>
      </c>
      <c r="E1896" t="s">
        <v>709</v>
      </c>
      <c r="F1896" t="s">
        <v>26</v>
      </c>
      <c r="G1896">
        <v>7</v>
      </c>
      <c r="H1896">
        <v>0</v>
      </c>
      <c r="I1896">
        <v>0</v>
      </c>
      <c r="J1896">
        <v>-1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6</v>
      </c>
      <c r="T1896">
        <v>0</v>
      </c>
      <c r="U1896" t="s">
        <v>46</v>
      </c>
      <c r="W1896" s="2">
        <v>79.680000000000007</v>
      </c>
      <c r="X1896" s="3">
        <f t="shared" si="58"/>
        <v>478.08000000000004</v>
      </c>
      <c r="Y1896">
        <f>VLOOKUP(D1896,'[1]Cost Sheet'!$C:$D,2,0)</f>
        <v>79.680000000000007</v>
      </c>
      <c r="Z1896" s="3">
        <f t="shared" si="59"/>
        <v>478.08000000000004</v>
      </c>
    </row>
    <row r="1897" spans="1:26" x14ac:dyDescent="0.3">
      <c r="A1897" s="7" t="s">
        <v>21</v>
      </c>
      <c r="B1897" t="s">
        <v>706</v>
      </c>
      <c r="C1897" t="s">
        <v>707</v>
      </c>
      <c r="D1897" t="s">
        <v>708</v>
      </c>
      <c r="E1897" t="s">
        <v>709</v>
      </c>
      <c r="F1897" t="s">
        <v>26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</v>
      </c>
      <c r="T1897">
        <v>0</v>
      </c>
      <c r="U1897" t="s">
        <v>47</v>
      </c>
      <c r="W1897" s="2">
        <v>79.680000000000007</v>
      </c>
      <c r="X1897" s="3">
        <f t="shared" si="58"/>
        <v>159.36000000000001</v>
      </c>
      <c r="Y1897">
        <f>VLOOKUP(D1897,'[1]Cost Sheet'!$C:$D,2,0)</f>
        <v>79.680000000000007</v>
      </c>
      <c r="Z1897" s="3">
        <f t="shared" si="59"/>
        <v>159.36000000000001</v>
      </c>
    </row>
    <row r="1898" spans="1:26" x14ac:dyDescent="0.3">
      <c r="A1898" s="7" t="s">
        <v>21</v>
      </c>
      <c r="B1898" t="s">
        <v>706</v>
      </c>
      <c r="C1898" t="s">
        <v>707</v>
      </c>
      <c r="D1898" t="s">
        <v>708</v>
      </c>
      <c r="E1898" t="s">
        <v>709</v>
      </c>
      <c r="F1898" t="s">
        <v>26</v>
      </c>
      <c r="G1898">
        <v>28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28</v>
      </c>
      <c r="T1898">
        <v>0</v>
      </c>
      <c r="U1898" t="s">
        <v>59</v>
      </c>
      <c r="W1898" s="2">
        <v>79.680000000000007</v>
      </c>
      <c r="X1898" s="3">
        <f t="shared" si="58"/>
        <v>2231.04</v>
      </c>
      <c r="Y1898">
        <f>VLOOKUP(D1898,'[1]Cost Sheet'!$C:$D,2,0)</f>
        <v>79.680000000000007</v>
      </c>
      <c r="Z1898" s="3">
        <f t="shared" si="59"/>
        <v>2231.04</v>
      </c>
    </row>
    <row r="1899" spans="1:26" x14ac:dyDescent="0.3">
      <c r="A1899" s="7" t="s">
        <v>21</v>
      </c>
      <c r="B1899" t="s">
        <v>706</v>
      </c>
      <c r="C1899" t="s">
        <v>707</v>
      </c>
      <c r="D1899" t="s">
        <v>708</v>
      </c>
      <c r="E1899" t="s">
        <v>709</v>
      </c>
      <c r="F1899" t="s">
        <v>26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 t="s">
        <v>27</v>
      </c>
      <c r="W1899" s="2">
        <v>79.680000000000007</v>
      </c>
      <c r="X1899" s="3">
        <f t="shared" si="58"/>
        <v>79.680000000000007</v>
      </c>
      <c r="Y1899">
        <f>VLOOKUP(D1899,'[1]Cost Sheet'!$C:$D,2,0)</f>
        <v>79.680000000000007</v>
      </c>
      <c r="Z1899" s="3">
        <f t="shared" si="59"/>
        <v>79.680000000000007</v>
      </c>
    </row>
    <row r="1900" spans="1:26" x14ac:dyDescent="0.3">
      <c r="A1900" s="7" t="s">
        <v>21</v>
      </c>
      <c r="B1900" t="s">
        <v>710</v>
      </c>
      <c r="C1900" t="s">
        <v>711</v>
      </c>
      <c r="D1900" t="s">
        <v>712</v>
      </c>
      <c r="E1900" t="s">
        <v>713</v>
      </c>
      <c r="F1900" t="s">
        <v>125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 t="s">
        <v>151</v>
      </c>
      <c r="W1900" s="2">
        <v>79.760000000000005</v>
      </c>
      <c r="X1900" s="3">
        <f t="shared" si="58"/>
        <v>79.760000000000005</v>
      </c>
      <c r="Y1900">
        <f>VLOOKUP(D1900,'[1]Cost Sheet'!$C:$D,2,0)</f>
        <v>79.760000000000005</v>
      </c>
      <c r="Z1900" s="3">
        <f t="shared" si="59"/>
        <v>79.760000000000005</v>
      </c>
    </row>
    <row r="1901" spans="1:26" x14ac:dyDescent="0.3">
      <c r="A1901" s="7" t="s">
        <v>21</v>
      </c>
      <c r="B1901" t="s">
        <v>710</v>
      </c>
      <c r="C1901" t="s">
        <v>711</v>
      </c>
      <c r="D1901" t="s">
        <v>712</v>
      </c>
      <c r="E1901" t="s">
        <v>713</v>
      </c>
      <c r="F1901" t="s">
        <v>106</v>
      </c>
      <c r="G1901">
        <v>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6</v>
      </c>
      <c r="T1901">
        <v>0</v>
      </c>
      <c r="U1901" t="s">
        <v>45</v>
      </c>
      <c r="W1901" s="2">
        <v>79.760000000000005</v>
      </c>
      <c r="X1901" s="3">
        <f t="shared" si="58"/>
        <v>478.56000000000006</v>
      </c>
      <c r="Y1901">
        <f>VLOOKUP(D1901,'[1]Cost Sheet'!$C:$D,2,0)</f>
        <v>79.760000000000005</v>
      </c>
      <c r="Z1901" s="3">
        <f t="shared" si="59"/>
        <v>478.56000000000006</v>
      </c>
    </row>
    <row r="1902" spans="1:26" x14ac:dyDescent="0.3">
      <c r="A1902" s="7" t="s">
        <v>21</v>
      </c>
      <c r="B1902" t="s">
        <v>710</v>
      </c>
      <c r="C1902" t="s">
        <v>711</v>
      </c>
      <c r="D1902" t="s">
        <v>712</v>
      </c>
      <c r="E1902" t="s">
        <v>713</v>
      </c>
      <c r="F1902" t="s">
        <v>106</v>
      </c>
      <c r="G1902">
        <v>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4</v>
      </c>
      <c r="T1902">
        <v>0</v>
      </c>
      <c r="U1902" t="s">
        <v>39</v>
      </c>
      <c r="W1902" s="2">
        <v>79.760000000000005</v>
      </c>
      <c r="X1902" s="3">
        <f t="shared" si="58"/>
        <v>319.04000000000002</v>
      </c>
      <c r="Y1902">
        <f>VLOOKUP(D1902,'[1]Cost Sheet'!$C:$D,2,0)</f>
        <v>79.760000000000005</v>
      </c>
      <c r="Z1902" s="3">
        <f t="shared" si="59"/>
        <v>319.04000000000002</v>
      </c>
    </row>
    <row r="1903" spans="1:26" x14ac:dyDescent="0.3">
      <c r="A1903" s="7" t="s">
        <v>21</v>
      </c>
      <c r="B1903" t="s">
        <v>710</v>
      </c>
      <c r="C1903" t="s">
        <v>711</v>
      </c>
      <c r="D1903" t="s">
        <v>712</v>
      </c>
      <c r="E1903" t="s">
        <v>713</v>
      </c>
      <c r="F1903" t="s">
        <v>106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 t="s">
        <v>48</v>
      </c>
      <c r="W1903" s="2">
        <v>79.760000000000005</v>
      </c>
      <c r="X1903" s="3">
        <f t="shared" si="58"/>
        <v>79.760000000000005</v>
      </c>
      <c r="Y1903">
        <f>VLOOKUP(D1903,'[1]Cost Sheet'!$C:$D,2,0)</f>
        <v>79.760000000000005</v>
      </c>
      <c r="Z1903" s="3">
        <f t="shared" si="59"/>
        <v>79.760000000000005</v>
      </c>
    </row>
    <row r="1904" spans="1:26" x14ac:dyDescent="0.3">
      <c r="A1904" s="7" t="s">
        <v>21</v>
      </c>
      <c r="B1904" t="s">
        <v>710</v>
      </c>
      <c r="C1904" t="s">
        <v>711</v>
      </c>
      <c r="D1904" t="s">
        <v>712</v>
      </c>
      <c r="E1904" t="s">
        <v>713</v>
      </c>
      <c r="F1904" t="s">
        <v>106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 t="s">
        <v>59</v>
      </c>
      <c r="W1904" s="2">
        <v>79.760000000000005</v>
      </c>
      <c r="X1904" s="3">
        <f t="shared" si="58"/>
        <v>79.760000000000005</v>
      </c>
      <c r="Y1904">
        <f>VLOOKUP(D1904,'[1]Cost Sheet'!$C:$D,2,0)</f>
        <v>79.760000000000005</v>
      </c>
      <c r="Z1904" s="3">
        <f t="shared" si="59"/>
        <v>79.760000000000005</v>
      </c>
    </row>
    <row r="1905" spans="1:26" x14ac:dyDescent="0.3">
      <c r="A1905" s="7" t="s">
        <v>21</v>
      </c>
      <c r="B1905" t="s">
        <v>710</v>
      </c>
      <c r="C1905" t="s">
        <v>711</v>
      </c>
      <c r="D1905" t="s">
        <v>712</v>
      </c>
      <c r="E1905" t="s">
        <v>713</v>
      </c>
      <c r="F1905" t="s">
        <v>106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2</v>
      </c>
      <c r="T1905">
        <v>0</v>
      </c>
      <c r="U1905" t="s">
        <v>27</v>
      </c>
      <c r="W1905" s="2">
        <v>79.760000000000005</v>
      </c>
      <c r="X1905" s="3">
        <f t="shared" si="58"/>
        <v>159.52000000000001</v>
      </c>
      <c r="Y1905">
        <f>VLOOKUP(D1905,'[1]Cost Sheet'!$C:$D,2,0)</f>
        <v>79.760000000000005</v>
      </c>
      <c r="Z1905" s="3">
        <f t="shared" si="59"/>
        <v>159.52000000000001</v>
      </c>
    </row>
    <row r="1906" spans="1:26" x14ac:dyDescent="0.3">
      <c r="A1906" s="7" t="s">
        <v>21</v>
      </c>
      <c r="B1906" t="s">
        <v>710</v>
      </c>
      <c r="C1906" t="s">
        <v>711</v>
      </c>
      <c r="D1906" t="s">
        <v>712</v>
      </c>
      <c r="E1906" t="s">
        <v>713</v>
      </c>
      <c r="F1906" t="s">
        <v>26</v>
      </c>
      <c r="G1906">
        <v>3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</v>
      </c>
      <c r="T1906">
        <v>0</v>
      </c>
      <c r="U1906" t="s">
        <v>38</v>
      </c>
      <c r="W1906" s="2">
        <v>79.760000000000005</v>
      </c>
      <c r="X1906" s="3">
        <f t="shared" si="58"/>
        <v>239.28000000000003</v>
      </c>
      <c r="Y1906">
        <f>VLOOKUP(D1906,'[1]Cost Sheet'!$C:$D,2,0)</f>
        <v>79.760000000000005</v>
      </c>
      <c r="Z1906" s="3">
        <f t="shared" si="59"/>
        <v>239.28000000000003</v>
      </c>
    </row>
    <row r="1907" spans="1:26" x14ac:dyDescent="0.3">
      <c r="A1907" s="7" t="s">
        <v>21</v>
      </c>
      <c r="B1907" t="s">
        <v>710</v>
      </c>
      <c r="C1907" t="s">
        <v>711</v>
      </c>
      <c r="D1907" t="s">
        <v>712</v>
      </c>
      <c r="E1907" t="s">
        <v>713</v>
      </c>
      <c r="F1907" t="s">
        <v>26</v>
      </c>
      <c r="G1907">
        <v>23</v>
      </c>
      <c r="H1907">
        <v>0</v>
      </c>
      <c r="I1907">
        <v>0</v>
      </c>
      <c r="J1907">
        <v>-1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22</v>
      </c>
      <c r="T1907">
        <v>0</v>
      </c>
      <c r="U1907" t="s">
        <v>45</v>
      </c>
      <c r="W1907" s="2">
        <v>79.760000000000005</v>
      </c>
      <c r="X1907" s="3">
        <f t="shared" si="58"/>
        <v>1754.72</v>
      </c>
      <c r="Y1907">
        <f>VLOOKUP(D1907,'[1]Cost Sheet'!$C:$D,2,0)</f>
        <v>79.760000000000005</v>
      </c>
      <c r="Z1907" s="3">
        <f t="shared" si="59"/>
        <v>1754.72</v>
      </c>
    </row>
    <row r="1908" spans="1:26" x14ac:dyDescent="0.3">
      <c r="A1908" s="7" t="s">
        <v>21</v>
      </c>
      <c r="B1908" t="s">
        <v>710</v>
      </c>
      <c r="C1908" t="s">
        <v>711</v>
      </c>
      <c r="D1908" t="s">
        <v>712</v>
      </c>
      <c r="E1908" t="s">
        <v>713</v>
      </c>
      <c r="F1908" t="s">
        <v>26</v>
      </c>
      <c r="G1908">
        <v>18</v>
      </c>
      <c r="H1908">
        <v>0</v>
      </c>
      <c r="I1908">
        <v>0</v>
      </c>
      <c r="J1908">
        <v>-1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17</v>
      </c>
      <c r="T1908">
        <v>0</v>
      </c>
      <c r="U1908" t="s">
        <v>39</v>
      </c>
      <c r="W1908" s="2">
        <v>79.760000000000005</v>
      </c>
      <c r="X1908" s="3">
        <f t="shared" si="58"/>
        <v>1355.92</v>
      </c>
      <c r="Y1908">
        <f>VLOOKUP(D1908,'[1]Cost Sheet'!$C:$D,2,0)</f>
        <v>79.760000000000005</v>
      </c>
      <c r="Z1908" s="3">
        <f t="shared" si="59"/>
        <v>1355.92</v>
      </c>
    </row>
    <row r="1909" spans="1:26" x14ac:dyDescent="0.3">
      <c r="A1909" s="7" t="s">
        <v>21</v>
      </c>
      <c r="B1909" t="s">
        <v>710</v>
      </c>
      <c r="C1909" t="s">
        <v>711</v>
      </c>
      <c r="D1909" t="s">
        <v>712</v>
      </c>
      <c r="E1909" t="s">
        <v>713</v>
      </c>
      <c r="F1909" t="s">
        <v>26</v>
      </c>
      <c r="G1909">
        <v>1</v>
      </c>
      <c r="H1909">
        <v>0</v>
      </c>
      <c r="I1909">
        <v>0</v>
      </c>
      <c r="J1909">
        <v>-1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53</v>
      </c>
      <c r="W1909" s="2">
        <v>79.760000000000005</v>
      </c>
      <c r="X1909" s="3">
        <f t="shared" si="58"/>
        <v>0</v>
      </c>
      <c r="Y1909">
        <f>VLOOKUP(D1909,'[1]Cost Sheet'!$C:$D,2,0)</f>
        <v>79.760000000000005</v>
      </c>
      <c r="Z1909" s="3">
        <f t="shared" si="59"/>
        <v>0</v>
      </c>
    </row>
    <row r="1910" spans="1:26" x14ac:dyDescent="0.3">
      <c r="A1910" s="7" t="s">
        <v>21</v>
      </c>
      <c r="B1910" t="s">
        <v>710</v>
      </c>
      <c r="C1910" t="s">
        <v>711</v>
      </c>
      <c r="D1910" t="s">
        <v>712</v>
      </c>
      <c r="E1910" t="s">
        <v>713</v>
      </c>
      <c r="F1910" t="s">
        <v>26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 t="s">
        <v>54</v>
      </c>
      <c r="W1910" s="2">
        <v>79.760000000000005</v>
      </c>
      <c r="X1910" s="3">
        <f t="shared" si="58"/>
        <v>79.760000000000005</v>
      </c>
      <c r="Y1910">
        <f>VLOOKUP(D1910,'[1]Cost Sheet'!$C:$D,2,0)</f>
        <v>79.760000000000005</v>
      </c>
      <c r="Z1910" s="3">
        <f t="shared" si="59"/>
        <v>79.760000000000005</v>
      </c>
    </row>
    <row r="1911" spans="1:26" x14ac:dyDescent="0.3">
      <c r="A1911" s="7" t="s">
        <v>21</v>
      </c>
      <c r="B1911" t="s">
        <v>710</v>
      </c>
      <c r="C1911" t="s">
        <v>711</v>
      </c>
      <c r="D1911" t="s">
        <v>712</v>
      </c>
      <c r="E1911" t="s">
        <v>713</v>
      </c>
      <c r="F1911" t="s">
        <v>26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24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24</v>
      </c>
      <c r="T1911">
        <v>0</v>
      </c>
      <c r="U1911" t="s">
        <v>32</v>
      </c>
      <c r="W1911" s="2">
        <v>79.760000000000005</v>
      </c>
      <c r="X1911" s="3">
        <f t="shared" si="58"/>
        <v>1914.2400000000002</v>
      </c>
      <c r="Y1911">
        <f>VLOOKUP(D1911,'[1]Cost Sheet'!$C:$D,2,0)</f>
        <v>79.760000000000005</v>
      </c>
      <c r="Z1911" s="3">
        <f t="shared" si="59"/>
        <v>1914.2400000000002</v>
      </c>
    </row>
    <row r="1912" spans="1:26" x14ac:dyDescent="0.3">
      <c r="A1912" s="7" t="s">
        <v>21</v>
      </c>
      <c r="B1912" t="s">
        <v>710</v>
      </c>
      <c r="C1912" t="s">
        <v>711</v>
      </c>
      <c r="D1912" t="s">
        <v>712</v>
      </c>
      <c r="E1912" t="s">
        <v>713</v>
      </c>
      <c r="F1912" t="s">
        <v>26</v>
      </c>
      <c r="G1912">
        <v>24</v>
      </c>
      <c r="H1912">
        <v>72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24</v>
      </c>
      <c r="T1912">
        <v>0</v>
      </c>
      <c r="U1912" t="s">
        <v>109</v>
      </c>
      <c r="W1912" s="2">
        <v>79.760000000000005</v>
      </c>
      <c r="X1912" s="3">
        <f t="shared" si="58"/>
        <v>1914.2400000000002</v>
      </c>
      <c r="Y1912">
        <f>VLOOKUP(D1912,'[1]Cost Sheet'!$C:$D,2,0)</f>
        <v>79.760000000000005</v>
      </c>
      <c r="Z1912" s="3">
        <f t="shared" si="59"/>
        <v>1914.2400000000002</v>
      </c>
    </row>
    <row r="1913" spans="1:26" x14ac:dyDescent="0.3">
      <c r="A1913" s="7" t="s">
        <v>21</v>
      </c>
      <c r="B1913" t="s">
        <v>710</v>
      </c>
      <c r="C1913" t="s">
        <v>711</v>
      </c>
      <c r="D1913" t="s">
        <v>712</v>
      </c>
      <c r="E1913" t="s">
        <v>713</v>
      </c>
      <c r="F1913" t="s">
        <v>26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24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24</v>
      </c>
      <c r="T1913">
        <v>0</v>
      </c>
      <c r="U1913" t="s">
        <v>33</v>
      </c>
      <c r="W1913" s="2">
        <v>79.760000000000005</v>
      </c>
      <c r="X1913" s="3">
        <f t="shared" si="58"/>
        <v>1914.2400000000002</v>
      </c>
      <c r="Y1913">
        <f>VLOOKUP(D1913,'[1]Cost Sheet'!$C:$D,2,0)</f>
        <v>79.760000000000005</v>
      </c>
      <c r="Z1913" s="3">
        <f t="shared" si="59"/>
        <v>1914.2400000000002</v>
      </c>
    </row>
    <row r="1914" spans="1:26" x14ac:dyDescent="0.3">
      <c r="A1914" s="7" t="s">
        <v>21</v>
      </c>
      <c r="B1914" t="s">
        <v>710</v>
      </c>
      <c r="C1914" t="s">
        <v>711</v>
      </c>
      <c r="D1914" t="s">
        <v>712</v>
      </c>
      <c r="E1914" t="s">
        <v>713</v>
      </c>
      <c r="F1914" t="s">
        <v>26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16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16</v>
      </c>
      <c r="T1914">
        <v>0</v>
      </c>
      <c r="U1914" t="s">
        <v>46</v>
      </c>
      <c r="W1914" s="2">
        <v>79.760000000000005</v>
      </c>
      <c r="X1914" s="3">
        <f t="shared" si="58"/>
        <v>1276.1600000000001</v>
      </c>
      <c r="Y1914">
        <f>VLOOKUP(D1914,'[1]Cost Sheet'!$C:$D,2,0)</f>
        <v>79.760000000000005</v>
      </c>
      <c r="Z1914" s="3">
        <f t="shared" si="59"/>
        <v>1276.1600000000001</v>
      </c>
    </row>
    <row r="1915" spans="1:26" x14ac:dyDescent="0.3">
      <c r="A1915" s="7" t="s">
        <v>21</v>
      </c>
      <c r="B1915" t="s">
        <v>710</v>
      </c>
      <c r="C1915" t="s">
        <v>711</v>
      </c>
      <c r="D1915" t="s">
        <v>712</v>
      </c>
      <c r="E1915" t="s">
        <v>713</v>
      </c>
      <c r="F1915" t="s">
        <v>26</v>
      </c>
      <c r="G1915">
        <v>23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23</v>
      </c>
      <c r="T1915">
        <v>0</v>
      </c>
      <c r="U1915" t="s">
        <v>40</v>
      </c>
      <c r="W1915" s="2">
        <v>79.760000000000005</v>
      </c>
      <c r="X1915" s="3">
        <f t="shared" si="58"/>
        <v>1834.48</v>
      </c>
      <c r="Y1915">
        <f>VLOOKUP(D1915,'[1]Cost Sheet'!$C:$D,2,0)</f>
        <v>79.760000000000005</v>
      </c>
      <c r="Z1915" s="3">
        <f t="shared" si="59"/>
        <v>1834.48</v>
      </c>
    </row>
    <row r="1916" spans="1:26" x14ac:dyDescent="0.3">
      <c r="A1916" s="7" t="s">
        <v>21</v>
      </c>
      <c r="B1916" t="s">
        <v>710</v>
      </c>
      <c r="C1916" t="s">
        <v>711</v>
      </c>
      <c r="D1916" t="s">
        <v>712</v>
      </c>
      <c r="E1916" t="s">
        <v>713</v>
      </c>
      <c r="F1916" t="s">
        <v>26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16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16</v>
      </c>
      <c r="T1916">
        <v>0</v>
      </c>
      <c r="U1916" t="s">
        <v>48</v>
      </c>
      <c r="W1916" s="2">
        <v>79.760000000000005</v>
      </c>
      <c r="X1916" s="3">
        <f t="shared" si="58"/>
        <v>1276.1600000000001</v>
      </c>
      <c r="Y1916">
        <f>VLOOKUP(D1916,'[1]Cost Sheet'!$C:$D,2,0)</f>
        <v>79.760000000000005</v>
      </c>
      <c r="Z1916" s="3">
        <f t="shared" si="59"/>
        <v>1276.1600000000001</v>
      </c>
    </row>
    <row r="1917" spans="1:26" x14ac:dyDescent="0.3">
      <c r="A1917" s="7" t="s">
        <v>21</v>
      </c>
      <c r="B1917" t="s">
        <v>710</v>
      </c>
      <c r="C1917" t="s">
        <v>711</v>
      </c>
      <c r="D1917" t="s">
        <v>712</v>
      </c>
      <c r="E1917" t="s">
        <v>713</v>
      </c>
      <c r="F1917" t="s">
        <v>26</v>
      </c>
      <c r="G1917">
        <v>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8</v>
      </c>
      <c r="T1917">
        <v>0</v>
      </c>
      <c r="U1917" t="s">
        <v>59</v>
      </c>
      <c r="W1917" s="2">
        <v>79.760000000000005</v>
      </c>
      <c r="X1917" s="3">
        <f t="shared" si="58"/>
        <v>638.08000000000004</v>
      </c>
      <c r="Y1917">
        <f>VLOOKUP(D1917,'[1]Cost Sheet'!$C:$D,2,0)</f>
        <v>79.760000000000005</v>
      </c>
      <c r="Z1917" s="3">
        <f t="shared" si="59"/>
        <v>638.08000000000004</v>
      </c>
    </row>
    <row r="1918" spans="1:26" x14ac:dyDescent="0.3">
      <c r="A1918" s="7" t="s">
        <v>21</v>
      </c>
      <c r="B1918" t="s">
        <v>710</v>
      </c>
      <c r="C1918" t="s">
        <v>711</v>
      </c>
      <c r="D1918" t="s">
        <v>712</v>
      </c>
      <c r="E1918" t="s">
        <v>713</v>
      </c>
      <c r="F1918" t="s">
        <v>26</v>
      </c>
      <c r="G1918">
        <v>1</v>
      </c>
      <c r="H1918">
        <v>0</v>
      </c>
      <c r="I1918">
        <v>0</v>
      </c>
      <c r="J1918">
        <v>-1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t="s">
        <v>27</v>
      </c>
      <c r="W1918" s="2">
        <v>79.760000000000005</v>
      </c>
      <c r="X1918" s="3">
        <f t="shared" si="58"/>
        <v>0</v>
      </c>
      <c r="Y1918">
        <f>VLOOKUP(D1918,'[1]Cost Sheet'!$C:$D,2,0)</f>
        <v>79.760000000000005</v>
      </c>
      <c r="Z1918" s="3">
        <f t="shared" si="59"/>
        <v>0</v>
      </c>
    </row>
    <row r="1919" spans="1:26" x14ac:dyDescent="0.3">
      <c r="A1919" s="7" t="s">
        <v>21</v>
      </c>
      <c r="B1919" t="s">
        <v>710</v>
      </c>
      <c r="C1919" t="s">
        <v>711</v>
      </c>
      <c r="D1919" t="s">
        <v>712</v>
      </c>
      <c r="E1919" t="s">
        <v>713</v>
      </c>
      <c r="F1919" t="s">
        <v>114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 t="s">
        <v>88</v>
      </c>
      <c r="W1919" s="2">
        <v>79.760000000000005</v>
      </c>
      <c r="X1919" s="3">
        <f t="shared" si="58"/>
        <v>79.760000000000005</v>
      </c>
      <c r="Y1919">
        <f>VLOOKUP(D1919,'[1]Cost Sheet'!$C:$D,2,0)</f>
        <v>79.760000000000005</v>
      </c>
      <c r="Z1919" s="3">
        <f t="shared" si="59"/>
        <v>79.760000000000005</v>
      </c>
    </row>
    <row r="1920" spans="1:26" x14ac:dyDescent="0.3">
      <c r="A1920" s="7" t="s">
        <v>21</v>
      </c>
      <c r="B1920" t="s">
        <v>714</v>
      </c>
      <c r="C1920" t="s">
        <v>715</v>
      </c>
      <c r="D1920" t="s">
        <v>716</v>
      </c>
      <c r="E1920" t="s">
        <v>717</v>
      </c>
      <c r="F1920" t="s">
        <v>125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 t="s">
        <v>151</v>
      </c>
      <c r="W1920" s="2">
        <v>91.35</v>
      </c>
      <c r="X1920" s="3">
        <f t="shared" si="58"/>
        <v>91.35</v>
      </c>
      <c r="Y1920">
        <f>VLOOKUP(D1920,'[1]Cost Sheet'!$C:$D,2,0)</f>
        <v>91.35</v>
      </c>
      <c r="Z1920" s="3">
        <f t="shared" si="59"/>
        <v>91.35</v>
      </c>
    </row>
    <row r="1921" spans="1:26" x14ac:dyDescent="0.3">
      <c r="A1921" s="7" t="s">
        <v>21</v>
      </c>
      <c r="B1921" t="s">
        <v>714</v>
      </c>
      <c r="C1921" t="s">
        <v>715</v>
      </c>
      <c r="D1921" t="s">
        <v>716</v>
      </c>
      <c r="E1921" t="s">
        <v>717</v>
      </c>
      <c r="F1921" t="s">
        <v>26</v>
      </c>
      <c r="G1921">
        <v>12</v>
      </c>
      <c r="H1921">
        <v>0</v>
      </c>
      <c r="I1921">
        <v>0</v>
      </c>
      <c r="J1921">
        <v>-1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11</v>
      </c>
      <c r="T1921">
        <v>0</v>
      </c>
      <c r="U1921" t="s">
        <v>38</v>
      </c>
      <c r="W1921" s="2">
        <v>91.35</v>
      </c>
      <c r="X1921" s="3">
        <f t="shared" si="58"/>
        <v>1004.8499999999999</v>
      </c>
      <c r="Y1921">
        <f>VLOOKUP(D1921,'[1]Cost Sheet'!$C:$D,2,0)</f>
        <v>91.35</v>
      </c>
      <c r="Z1921" s="3">
        <f t="shared" si="59"/>
        <v>1004.8499999999999</v>
      </c>
    </row>
    <row r="1922" spans="1:26" x14ac:dyDescent="0.3">
      <c r="A1922" s="7" t="s">
        <v>21</v>
      </c>
      <c r="B1922" t="s">
        <v>714</v>
      </c>
      <c r="C1922" t="s">
        <v>715</v>
      </c>
      <c r="D1922" t="s">
        <v>716</v>
      </c>
      <c r="E1922" t="s">
        <v>717</v>
      </c>
      <c r="F1922" t="s">
        <v>26</v>
      </c>
      <c r="G1922">
        <v>16</v>
      </c>
      <c r="H1922">
        <v>0</v>
      </c>
      <c r="I1922">
        <v>0</v>
      </c>
      <c r="J1922">
        <v>-2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14</v>
      </c>
      <c r="T1922">
        <v>0</v>
      </c>
      <c r="U1922" t="s">
        <v>39</v>
      </c>
      <c r="W1922" s="2">
        <v>91.35</v>
      </c>
      <c r="X1922" s="3">
        <f t="shared" si="58"/>
        <v>1278.8999999999999</v>
      </c>
      <c r="Y1922">
        <f>VLOOKUP(D1922,'[1]Cost Sheet'!$C:$D,2,0)</f>
        <v>91.35</v>
      </c>
      <c r="Z1922" s="3">
        <f t="shared" si="59"/>
        <v>1278.8999999999999</v>
      </c>
    </row>
    <row r="1923" spans="1:26" x14ac:dyDescent="0.3">
      <c r="A1923" s="7" t="s">
        <v>21</v>
      </c>
      <c r="B1923" t="s">
        <v>714</v>
      </c>
      <c r="C1923" t="s">
        <v>715</v>
      </c>
      <c r="D1923" t="s">
        <v>716</v>
      </c>
      <c r="E1923" t="s">
        <v>717</v>
      </c>
      <c r="F1923" t="s">
        <v>26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 t="s">
        <v>53</v>
      </c>
      <c r="W1923" s="2">
        <v>91.35</v>
      </c>
      <c r="X1923" s="3">
        <f t="shared" ref="X1923:X1986" si="60">S1923*W1923</f>
        <v>91.35</v>
      </c>
      <c r="Y1923">
        <f>VLOOKUP(D1923,'[1]Cost Sheet'!$C:$D,2,0)</f>
        <v>91.35</v>
      </c>
      <c r="Z1923" s="3">
        <f t="shared" ref="Z1923:Z1986" si="61">Y1923*S1923</f>
        <v>91.35</v>
      </c>
    </row>
    <row r="1924" spans="1:26" x14ac:dyDescent="0.3">
      <c r="A1924" s="7" t="s">
        <v>21</v>
      </c>
      <c r="B1924" t="s">
        <v>714</v>
      </c>
      <c r="C1924" t="s">
        <v>715</v>
      </c>
      <c r="D1924" t="s">
        <v>716</v>
      </c>
      <c r="E1924" t="s">
        <v>717</v>
      </c>
      <c r="F1924" t="s">
        <v>26</v>
      </c>
      <c r="G1924">
        <v>18</v>
      </c>
      <c r="H1924">
        <v>0</v>
      </c>
      <c r="I1924">
        <v>0</v>
      </c>
      <c r="J1924">
        <v>-1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17</v>
      </c>
      <c r="T1924">
        <v>0</v>
      </c>
      <c r="U1924" t="s">
        <v>54</v>
      </c>
      <c r="W1924" s="2">
        <v>91.35</v>
      </c>
      <c r="X1924" s="3">
        <f t="shared" si="60"/>
        <v>1552.9499999999998</v>
      </c>
      <c r="Y1924">
        <f>VLOOKUP(D1924,'[1]Cost Sheet'!$C:$D,2,0)</f>
        <v>91.35</v>
      </c>
      <c r="Z1924" s="3">
        <f t="shared" si="61"/>
        <v>1552.9499999999998</v>
      </c>
    </row>
    <row r="1925" spans="1:26" x14ac:dyDescent="0.3">
      <c r="A1925" s="7" t="s">
        <v>21</v>
      </c>
      <c r="B1925" t="s">
        <v>714</v>
      </c>
      <c r="C1925" t="s">
        <v>715</v>
      </c>
      <c r="D1925" t="s">
        <v>716</v>
      </c>
      <c r="E1925" t="s">
        <v>717</v>
      </c>
      <c r="F1925" t="s">
        <v>26</v>
      </c>
      <c r="G1925">
        <v>19</v>
      </c>
      <c r="H1925">
        <v>0</v>
      </c>
      <c r="I1925">
        <v>0</v>
      </c>
      <c r="J1925">
        <v>-3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16</v>
      </c>
      <c r="T1925">
        <v>0</v>
      </c>
      <c r="U1925" t="s">
        <v>32</v>
      </c>
      <c r="W1925" s="2">
        <v>91.35</v>
      </c>
      <c r="X1925" s="3">
        <f t="shared" si="60"/>
        <v>1461.6</v>
      </c>
      <c r="Y1925">
        <f>VLOOKUP(D1925,'[1]Cost Sheet'!$C:$D,2,0)</f>
        <v>91.35</v>
      </c>
      <c r="Z1925" s="3">
        <f t="shared" si="61"/>
        <v>1461.6</v>
      </c>
    </row>
    <row r="1926" spans="1:26" x14ac:dyDescent="0.3">
      <c r="A1926" s="7" t="s">
        <v>21</v>
      </c>
      <c r="B1926" t="s">
        <v>714</v>
      </c>
      <c r="C1926" t="s">
        <v>715</v>
      </c>
      <c r="D1926" t="s">
        <v>716</v>
      </c>
      <c r="E1926" t="s">
        <v>717</v>
      </c>
      <c r="F1926" t="s">
        <v>26</v>
      </c>
      <c r="G1926">
        <v>27</v>
      </c>
      <c r="H1926">
        <v>0</v>
      </c>
      <c r="I1926">
        <v>0</v>
      </c>
      <c r="J1926">
        <v>-3</v>
      </c>
      <c r="K1926">
        <v>0</v>
      </c>
      <c r="L1926">
        <v>0</v>
      </c>
      <c r="M1926">
        <v>-1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23</v>
      </c>
      <c r="T1926">
        <v>0</v>
      </c>
      <c r="U1926" t="s">
        <v>33</v>
      </c>
      <c r="W1926" s="2">
        <v>91.35</v>
      </c>
      <c r="X1926" s="3">
        <f t="shared" si="60"/>
        <v>2101.0499999999997</v>
      </c>
      <c r="Y1926">
        <f>VLOOKUP(D1926,'[1]Cost Sheet'!$C:$D,2,0)</f>
        <v>91.35</v>
      </c>
      <c r="Z1926" s="3">
        <f t="shared" si="61"/>
        <v>2101.0499999999997</v>
      </c>
    </row>
    <row r="1927" spans="1:26" x14ac:dyDescent="0.3">
      <c r="A1927" s="7" t="s">
        <v>21</v>
      </c>
      <c r="B1927" t="s">
        <v>714</v>
      </c>
      <c r="C1927" t="s">
        <v>715</v>
      </c>
      <c r="D1927" t="s">
        <v>716</v>
      </c>
      <c r="E1927" t="s">
        <v>717</v>
      </c>
      <c r="F1927" t="s">
        <v>26</v>
      </c>
      <c r="G1927">
        <v>1</v>
      </c>
      <c r="H1927">
        <v>0</v>
      </c>
      <c r="I1927">
        <v>0</v>
      </c>
      <c r="J1927">
        <v>-1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 t="s">
        <v>46</v>
      </c>
      <c r="W1927" s="2">
        <v>91.35</v>
      </c>
      <c r="X1927" s="3">
        <f t="shared" si="60"/>
        <v>91.35</v>
      </c>
      <c r="Y1927">
        <f>VLOOKUP(D1927,'[1]Cost Sheet'!$C:$D,2,0)</f>
        <v>91.35</v>
      </c>
      <c r="Z1927" s="3">
        <f t="shared" si="61"/>
        <v>91.35</v>
      </c>
    </row>
    <row r="1928" spans="1:26" x14ac:dyDescent="0.3">
      <c r="A1928" s="7" t="s">
        <v>21</v>
      </c>
      <c r="B1928" t="s">
        <v>714</v>
      </c>
      <c r="C1928" t="s">
        <v>715</v>
      </c>
      <c r="D1928" t="s">
        <v>716</v>
      </c>
      <c r="E1928" t="s">
        <v>717</v>
      </c>
      <c r="F1928" t="s">
        <v>26</v>
      </c>
      <c r="G1928">
        <v>13</v>
      </c>
      <c r="H1928">
        <v>0</v>
      </c>
      <c r="I1928">
        <v>0</v>
      </c>
      <c r="J1928">
        <v>-1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12</v>
      </c>
      <c r="T1928">
        <v>0</v>
      </c>
      <c r="U1928" t="s">
        <v>47</v>
      </c>
      <c r="W1928" s="2">
        <v>91.35</v>
      </c>
      <c r="X1928" s="3">
        <f t="shared" si="60"/>
        <v>1096.1999999999998</v>
      </c>
      <c r="Y1928">
        <f>VLOOKUP(D1928,'[1]Cost Sheet'!$C:$D,2,0)</f>
        <v>91.35</v>
      </c>
      <c r="Z1928" s="3">
        <f t="shared" si="61"/>
        <v>1096.1999999999998</v>
      </c>
    </row>
    <row r="1929" spans="1:26" x14ac:dyDescent="0.3">
      <c r="A1929" s="7" t="s">
        <v>21</v>
      </c>
      <c r="B1929" t="s">
        <v>714</v>
      </c>
      <c r="C1929" t="s">
        <v>715</v>
      </c>
      <c r="D1929" t="s">
        <v>716</v>
      </c>
      <c r="E1929" t="s">
        <v>717</v>
      </c>
      <c r="F1929" t="s">
        <v>26</v>
      </c>
      <c r="G1929">
        <v>10</v>
      </c>
      <c r="H1929">
        <v>0</v>
      </c>
      <c r="I1929">
        <v>0</v>
      </c>
      <c r="J1929">
        <v>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8</v>
      </c>
      <c r="T1929">
        <v>0</v>
      </c>
      <c r="U1929" t="s">
        <v>40</v>
      </c>
      <c r="W1929" s="2">
        <v>91.35</v>
      </c>
      <c r="X1929" s="3">
        <f t="shared" si="60"/>
        <v>730.8</v>
      </c>
      <c r="Y1929">
        <f>VLOOKUP(D1929,'[1]Cost Sheet'!$C:$D,2,0)</f>
        <v>91.35</v>
      </c>
      <c r="Z1929" s="3">
        <f t="shared" si="61"/>
        <v>730.8</v>
      </c>
    </row>
    <row r="1930" spans="1:26" x14ac:dyDescent="0.3">
      <c r="A1930" s="7" t="s">
        <v>21</v>
      </c>
      <c r="B1930" t="s">
        <v>714</v>
      </c>
      <c r="C1930" t="s">
        <v>715</v>
      </c>
      <c r="D1930" t="s">
        <v>716</v>
      </c>
      <c r="E1930" t="s">
        <v>717</v>
      </c>
      <c r="F1930" t="s">
        <v>26</v>
      </c>
      <c r="G1930">
        <v>1</v>
      </c>
      <c r="H1930">
        <v>0</v>
      </c>
      <c r="I1930">
        <v>0</v>
      </c>
      <c r="J1930">
        <v>-1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 t="s">
        <v>59</v>
      </c>
      <c r="W1930" s="2">
        <v>91.35</v>
      </c>
      <c r="X1930" s="3">
        <f t="shared" si="60"/>
        <v>91.35</v>
      </c>
      <c r="Y1930">
        <f>VLOOKUP(D1930,'[1]Cost Sheet'!$C:$D,2,0)</f>
        <v>91.35</v>
      </c>
      <c r="Z1930" s="3">
        <f t="shared" si="61"/>
        <v>91.35</v>
      </c>
    </row>
    <row r="1931" spans="1:26" x14ac:dyDescent="0.3">
      <c r="A1931" s="7" t="s">
        <v>21</v>
      </c>
      <c r="B1931" t="s">
        <v>714</v>
      </c>
      <c r="C1931" t="s">
        <v>715</v>
      </c>
      <c r="D1931" t="s">
        <v>716</v>
      </c>
      <c r="E1931" t="s">
        <v>717</v>
      </c>
      <c r="F1931" t="s">
        <v>26</v>
      </c>
      <c r="G1931">
        <v>23</v>
      </c>
      <c r="H1931">
        <v>0</v>
      </c>
      <c r="I1931">
        <v>0</v>
      </c>
      <c r="J1931">
        <v>-1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22</v>
      </c>
      <c r="T1931">
        <v>0</v>
      </c>
      <c r="U1931" t="s">
        <v>27</v>
      </c>
      <c r="W1931" s="2">
        <v>91.35</v>
      </c>
      <c r="X1931" s="3">
        <f t="shared" si="60"/>
        <v>2009.6999999999998</v>
      </c>
      <c r="Y1931">
        <f>VLOOKUP(D1931,'[1]Cost Sheet'!$C:$D,2,0)</f>
        <v>91.35</v>
      </c>
      <c r="Z1931" s="3">
        <f t="shared" si="61"/>
        <v>2009.6999999999998</v>
      </c>
    </row>
    <row r="1932" spans="1:26" x14ac:dyDescent="0.3">
      <c r="A1932" s="7" t="s">
        <v>21</v>
      </c>
      <c r="B1932" t="s">
        <v>718</v>
      </c>
      <c r="C1932" t="s">
        <v>719</v>
      </c>
      <c r="D1932" t="s">
        <v>720</v>
      </c>
      <c r="E1932" t="s">
        <v>721</v>
      </c>
      <c r="F1932" t="s">
        <v>26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2</v>
      </c>
      <c r="T1932">
        <v>0</v>
      </c>
      <c r="U1932" t="s">
        <v>38</v>
      </c>
      <c r="W1932" s="2">
        <v>73.05</v>
      </c>
      <c r="X1932" s="3">
        <f t="shared" si="60"/>
        <v>146.1</v>
      </c>
      <c r="Y1932">
        <f>VLOOKUP(D1932,'[1]Cost Sheet'!$C:$D,2,0)</f>
        <v>73.05</v>
      </c>
      <c r="Z1932" s="3">
        <f t="shared" si="61"/>
        <v>146.1</v>
      </c>
    </row>
    <row r="1933" spans="1:26" x14ac:dyDescent="0.3">
      <c r="A1933" s="7" t="s">
        <v>21</v>
      </c>
      <c r="B1933" t="s">
        <v>718</v>
      </c>
      <c r="C1933" t="s">
        <v>719</v>
      </c>
      <c r="D1933" t="s">
        <v>720</v>
      </c>
      <c r="E1933" t="s">
        <v>721</v>
      </c>
      <c r="F1933" t="s">
        <v>26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4</v>
      </c>
      <c r="T1933">
        <v>0</v>
      </c>
      <c r="U1933" t="s">
        <v>45</v>
      </c>
      <c r="W1933" s="2">
        <v>73.05</v>
      </c>
      <c r="X1933" s="3">
        <f t="shared" si="60"/>
        <v>292.2</v>
      </c>
      <c r="Y1933">
        <f>VLOOKUP(D1933,'[1]Cost Sheet'!$C:$D,2,0)</f>
        <v>73.05</v>
      </c>
      <c r="Z1933" s="3">
        <f t="shared" si="61"/>
        <v>292.2</v>
      </c>
    </row>
    <row r="1934" spans="1:26" x14ac:dyDescent="0.3">
      <c r="A1934" s="7" t="s">
        <v>21</v>
      </c>
      <c r="B1934" t="s">
        <v>718</v>
      </c>
      <c r="C1934" t="s">
        <v>719</v>
      </c>
      <c r="D1934" t="s">
        <v>720</v>
      </c>
      <c r="E1934" t="s">
        <v>721</v>
      </c>
      <c r="F1934" t="s">
        <v>26</v>
      </c>
      <c r="G1934">
        <v>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6</v>
      </c>
      <c r="T1934">
        <v>0</v>
      </c>
      <c r="U1934" t="s">
        <v>39</v>
      </c>
      <c r="W1934" s="2">
        <v>73.05</v>
      </c>
      <c r="X1934" s="3">
        <f t="shared" si="60"/>
        <v>438.29999999999995</v>
      </c>
      <c r="Y1934">
        <f>VLOOKUP(D1934,'[1]Cost Sheet'!$C:$D,2,0)</f>
        <v>73.05</v>
      </c>
      <c r="Z1934" s="3">
        <f t="shared" si="61"/>
        <v>438.29999999999995</v>
      </c>
    </row>
    <row r="1935" spans="1:26" x14ac:dyDescent="0.3">
      <c r="A1935" s="7" t="s">
        <v>21</v>
      </c>
      <c r="B1935" t="s">
        <v>718</v>
      </c>
      <c r="C1935" t="s">
        <v>719</v>
      </c>
      <c r="D1935" t="s">
        <v>720</v>
      </c>
      <c r="E1935" t="s">
        <v>721</v>
      </c>
      <c r="F1935" t="s">
        <v>26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 t="s">
        <v>53</v>
      </c>
      <c r="W1935" s="2">
        <v>73.05</v>
      </c>
      <c r="X1935" s="3">
        <f t="shared" si="60"/>
        <v>73.05</v>
      </c>
      <c r="Y1935">
        <f>VLOOKUP(D1935,'[1]Cost Sheet'!$C:$D,2,0)</f>
        <v>73.05</v>
      </c>
      <c r="Z1935" s="3">
        <f t="shared" si="61"/>
        <v>73.05</v>
      </c>
    </row>
    <row r="1936" spans="1:26" x14ac:dyDescent="0.3">
      <c r="A1936" s="7" t="s">
        <v>21</v>
      </c>
      <c r="B1936" t="s">
        <v>718</v>
      </c>
      <c r="C1936" t="s">
        <v>719</v>
      </c>
      <c r="D1936" t="s">
        <v>720</v>
      </c>
      <c r="E1936" t="s">
        <v>721</v>
      </c>
      <c r="F1936" t="s">
        <v>26</v>
      </c>
      <c r="G1936">
        <v>12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12</v>
      </c>
      <c r="T1936">
        <v>0</v>
      </c>
      <c r="U1936" t="s">
        <v>32</v>
      </c>
      <c r="W1936" s="2">
        <v>73.05</v>
      </c>
      <c r="X1936" s="3">
        <f t="shared" si="60"/>
        <v>876.59999999999991</v>
      </c>
      <c r="Y1936">
        <f>VLOOKUP(D1936,'[1]Cost Sheet'!$C:$D,2,0)</f>
        <v>73.05</v>
      </c>
      <c r="Z1936" s="3">
        <f t="shared" si="61"/>
        <v>876.59999999999991</v>
      </c>
    </row>
    <row r="1937" spans="1:26" x14ac:dyDescent="0.3">
      <c r="A1937" s="7" t="s">
        <v>21</v>
      </c>
      <c r="B1937" t="s">
        <v>718</v>
      </c>
      <c r="C1937" t="s">
        <v>719</v>
      </c>
      <c r="D1937" t="s">
        <v>720</v>
      </c>
      <c r="E1937" t="s">
        <v>721</v>
      </c>
      <c r="F1937" t="s">
        <v>26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 t="s">
        <v>46</v>
      </c>
      <c r="W1937" s="2">
        <v>73.05</v>
      </c>
      <c r="X1937" s="3">
        <f t="shared" si="60"/>
        <v>73.05</v>
      </c>
      <c r="Y1937">
        <f>VLOOKUP(D1937,'[1]Cost Sheet'!$C:$D,2,0)</f>
        <v>73.05</v>
      </c>
      <c r="Z1937" s="3">
        <f t="shared" si="61"/>
        <v>73.05</v>
      </c>
    </row>
    <row r="1938" spans="1:26" x14ac:dyDescent="0.3">
      <c r="A1938" s="7" t="s">
        <v>21</v>
      </c>
      <c r="B1938" t="s">
        <v>718</v>
      </c>
      <c r="C1938" t="s">
        <v>719</v>
      </c>
      <c r="D1938" t="s">
        <v>720</v>
      </c>
      <c r="E1938" t="s">
        <v>721</v>
      </c>
      <c r="F1938" t="s">
        <v>26</v>
      </c>
      <c r="G1938">
        <v>49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49</v>
      </c>
      <c r="T1938">
        <v>0</v>
      </c>
      <c r="U1938" t="s">
        <v>40</v>
      </c>
      <c r="W1938" s="2">
        <v>73.05</v>
      </c>
      <c r="X1938" s="3">
        <f t="shared" si="60"/>
        <v>3579.45</v>
      </c>
      <c r="Y1938">
        <f>VLOOKUP(D1938,'[1]Cost Sheet'!$C:$D,2,0)</f>
        <v>73.05</v>
      </c>
      <c r="Z1938" s="3">
        <f t="shared" si="61"/>
        <v>3579.45</v>
      </c>
    </row>
    <row r="1939" spans="1:26" x14ac:dyDescent="0.3">
      <c r="A1939" s="7" t="s">
        <v>21</v>
      </c>
      <c r="B1939" t="s">
        <v>718</v>
      </c>
      <c r="C1939" t="s">
        <v>719</v>
      </c>
      <c r="D1939" t="s">
        <v>720</v>
      </c>
      <c r="E1939" t="s">
        <v>721</v>
      </c>
      <c r="F1939" t="s">
        <v>26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3</v>
      </c>
      <c r="T1939">
        <v>0</v>
      </c>
      <c r="U1939" t="s">
        <v>59</v>
      </c>
      <c r="W1939" s="2">
        <v>73.05</v>
      </c>
      <c r="X1939" s="3">
        <f t="shared" si="60"/>
        <v>219.14999999999998</v>
      </c>
      <c r="Y1939">
        <f>VLOOKUP(D1939,'[1]Cost Sheet'!$C:$D,2,0)</f>
        <v>73.05</v>
      </c>
      <c r="Z1939" s="3">
        <f t="shared" si="61"/>
        <v>219.14999999999998</v>
      </c>
    </row>
    <row r="1940" spans="1:26" x14ac:dyDescent="0.3">
      <c r="A1940" s="7" t="s">
        <v>21</v>
      </c>
      <c r="B1940" t="s">
        <v>722</v>
      </c>
      <c r="C1940" t="s">
        <v>723</v>
      </c>
      <c r="D1940" t="s">
        <v>724</v>
      </c>
      <c r="E1940" t="s">
        <v>725</v>
      </c>
      <c r="F1940" t="s">
        <v>26</v>
      </c>
      <c r="G1940">
        <v>1</v>
      </c>
      <c r="H1940">
        <v>0</v>
      </c>
      <c r="I1940">
        <v>0</v>
      </c>
      <c r="J1940">
        <v>-1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t="s">
        <v>46</v>
      </c>
      <c r="W1940" s="2">
        <v>98.3</v>
      </c>
      <c r="X1940" s="3">
        <f t="shared" si="60"/>
        <v>0</v>
      </c>
      <c r="Y1940">
        <f>VLOOKUP(D1940,'[1]Cost Sheet'!$C:$D,2,0)</f>
        <v>98.3</v>
      </c>
      <c r="Z1940" s="3">
        <f t="shared" si="61"/>
        <v>0</v>
      </c>
    </row>
    <row r="1941" spans="1:26" x14ac:dyDescent="0.3">
      <c r="A1941" s="7" t="s">
        <v>21</v>
      </c>
      <c r="B1941" t="s">
        <v>726</v>
      </c>
      <c r="C1941" t="s">
        <v>727</v>
      </c>
      <c r="D1941" t="s">
        <v>728</v>
      </c>
      <c r="E1941" t="s">
        <v>729</v>
      </c>
      <c r="F1941" t="s">
        <v>106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 t="s">
        <v>38</v>
      </c>
      <c r="W1941" s="2">
        <v>54.699999999999996</v>
      </c>
      <c r="X1941" s="3">
        <f t="shared" si="60"/>
        <v>54.699999999999996</v>
      </c>
      <c r="Y1941">
        <f>VLOOKUP(D1941,'[1]Cost Sheet'!$C:$D,2,0)</f>
        <v>54.79</v>
      </c>
      <c r="Z1941" s="3">
        <f t="shared" si="61"/>
        <v>54.79</v>
      </c>
    </row>
    <row r="1942" spans="1:26" x14ac:dyDescent="0.3">
      <c r="A1942" s="7" t="s">
        <v>21</v>
      </c>
      <c r="B1942" t="s">
        <v>726</v>
      </c>
      <c r="C1942" t="s">
        <v>727</v>
      </c>
      <c r="D1942" t="s">
        <v>728</v>
      </c>
      <c r="E1942" t="s">
        <v>729</v>
      </c>
      <c r="F1942" t="s">
        <v>106</v>
      </c>
      <c r="G1942">
        <v>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2</v>
      </c>
      <c r="T1942">
        <v>0</v>
      </c>
      <c r="U1942" t="s">
        <v>45</v>
      </c>
      <c r="W1942" s="2">
        <v>54.699999999999996</v>
      </c>
      <c r="X1942" s="3">
        <f t="shared" si="60"/>
        <v>109.39999999999999</v>
      </c>
      <c r="Y1942">
        <f>VLOOKUP(D1942,'[1]Cost Sheet'!$C:$D,2,0)</f>
        <v>54.79</v>
      </c>
      <c r="Z1942" s="3">
        <f t="shared" si="61"/>
        <v>109.58</v>
      </c>
    </row>
    <row r="1943" spans="1:26" x14ac:dyDescent="0.3">
      <c r="A1943" s="7" t="s">
        <v>21</v>
      </c>
      <c r="B1943" t="s">
        <v>726</v>
      </c>
      <c r="C1943" t="s">
        <v>727</v>
      </c>
      <c r="D1943" t="s">
        <v>728</v>
      </c>
      <c r="E1943" t="s">
        <v>729</v>
      </c>
      <c r="F1943" t="s">
        <v>106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2</v>
      </c>
      <c r="T1943">
        <v>0</v>
      </c>
      <c r="U1943" t="s">
        <v>53</v>
      </c>
      <c r="W1943" s="2">
        <v>54.699999999999996</v>
      </c>
      <c r="X1943" s="3">
        <f t="shared" si="60"/>
        <v>109.39999999999999</v>
      </c>
      <c r="Y1943">
        <f>VLOOKUP(D1943,'[1]Cost Sheet'!$C:$D,2,0)</f>
        <v>54.79</v>
      </c>
      <c r="Z1943" s="3">
        <f t="shared" si="61"/>
        <v>109.58</v>
      </c>
    </row>
    <row r="1944" spans="1:26" x14ac:dyDescent="0.3">
      <c r="A1944" s="7" t="s">
        <v>21</v>
      </c>
      <c r="B1944" t="s">
        <v>726</v>
      </c>
      <c r="C1944" t="s">
        <v>727</v>
      </c>
      <c r="D1944" t="s">
        <v>728</v>
      </c>
      <c r="E1944" t="s">
        <v>729</v>
      </c>
      <c r="F1944" t="s">
        <v>106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3</v>
      </c>
      <c r="T1944">
        <v>0</v>
      </c>
      <c r="U1944" t="s">
        <v>54</v>
      </c>
      <c r="W1944" s="2">
        <v>54.699999999999996</v>
      </c>
      <c r="X1944" s="3">
        <f t="shared" si="60"/>
        <v>164.1</v>
      </c>
      <c r="Y1944">
        <f>VLOOKUP(D1944,'[1]Cost Sheet'!$C:$D,2,0)</f>
        <v>54.79</v>
      </c>
      <c r="Z1944" s="3">
        <f t="shared" si="61"/>
        <v>164.37</v>
      </c>
    </row>
    <row r="1945" spans="1:26" x14ac:dyDescent="0.3">
      <c r="A1945" s="7" t="s">
        <v>21</v>
      </c>
      <c r="B1945" t="s">
        <v>726</v>
      </c>
      <c r="C1945" t="s">
        <v>727</v>
      </c>
      <c r="D1945" t="s">
        <v>728</v>
      </c>
      <c r="E1945" t="s">
        <v>729</v>
      </c>
      <c r="F1945" t="s">
        <v>106</v>
      </c>
      <c r="G1945">
        <v>4</v>
      </c>
      <c r="H1945">
        <v>0</v>
      </c>
      <c r="I1945">
        <v>0</v>
      </c>
      <c r="J1945">
        <v>0</v>
      </c>
      <c r="K1945">
        <v>0</v>
      </c>
      <c r="L1945">
        <v>-1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3</v>
      </c>
      <c r="T1945">
        <v>0</v>
      </c>
      <c r="U1945" t="s">
        <v>46</v>
      </c>
      <c r="W1945" s="2">
        <v>54.699999999999996</v>
      </c>
      <c r="X1945" s="3">
        <f t="shared" si="60"/>
        <v>164.1</v>
      </c>
      <c r="Y1945">
        <f>VLOOKUP(D1945,'[1]Cost Sheet'!$C:$D,2,0)</f>
        <v>54.79</v>
      </c>
      <c r="Z1945" s="3">
        <f t="shared" si="61"/>
        <v>164.37</v>
      </c>
    </row>
    <row r="1946" spans="1:26" x14ac:dyDescent="0.3">
      <c r="A1946" s="7" t="s">
        <v>21</v>
      </c>
      <c r="B1946" t="s">
        <v>726</v>
      </c>
      <c r="C1946" t="s">
        <v>727</v>
      </c>
      <c r="D1946" t="s">
        <v>728</v>
      </c>
      <c r="E1946" t="s">
        <v>729</v>
      </c>
      <c r="F1946" t="s">
        <v>106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 t="s">
        <v>40</v>
      </c>
      <c r="W1946" s="2">
        <v>54.699999999999996</v>
      </c>
      <c r="X1946" s="3">
        <f t="shared" si="60"/>
        <v>54.699999999999996</v>
      </c>
      <c r="Y1946">
        <f>VLOOKUP(D1946,'[1]Cost Sheet'!$C:$D,2,0)</f>
        <v>54.79</v>
      </c>
      <c r="Z1946" s="3">
        <f t="shared" si="61"/>
        <v>54.79</v>
      </c>
    </row>
    <row r="1947" spans="1:26" x14ac:dyDescent="0.3">
      <c r="A1947" s="7" t="s">
        <v>21</v>
      </c>
      <c r="B1947" t="s">
        <v>726</v>
      </c>
      <c r="C1947" t="s">
        <v>727</v>
      </c>
      <c r="D1947" t="s">
        <v>728</v>
      </c>
      <c r="E1947" t="s">
        <v>729</v>
      </c>
      <c r="F1947" t="s">
        <v>106</v>
      </c>
      <c r="G1947">
        <v>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3</v>
      </c>
      <c r="T1947">
        <v>0</v>
      </c>
      <c r="U1947" t="s">
        <v>48</v>
      </c>
      <c r="W1947" s="2">
        <v>54.699999999999996</v>
      </c>
      <c r="X1947" s="3">
        <f t="shared" si="60"/>
        <v>164.1</v>
      </c>
      <c r="Y1947">
        <f>VLOOKUP(D1947,'[1]Cost Sheet'!$C:$D,2,0)</f>
        <v>54.79</v>
      </c>
      <c r="Z1947" s="3">
        <f t="shared" si="61"/>
        <v>164.37</v>
      </c>
    </row>
    <row r="1948" spans="1:26" x14ac:dyDescent="0.3">
      <c r="A1948" s="7" t="s">
        <v>21</v>
      </c>
      <c r="B1948" t="s">
        <v>726</v>
      </c>
      <c r="C1948" t="s">
        <v>727</v>
      </c>
      <c r="D1948" t="s">
        <v>728</v>
      </c>
      <c r="E1948" t="s">
        <v>729</v>
      </c>
      <c r="F1948" t="s">
        <v>106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3</v>
      </c>
      <c r="T1948">
        <v>0</v>
      </c>
      <c r="U1948" t="s">
        <v>59</v>
      </c>
      <c r="W1948" s="2">
        <v>54.699999999999996</v>
      </c>
      <c r="X1948" s="3">
        <f t="shared" si="60"/>
        <v>164.1</v>
      </c>
      <c r="Y1948">
        <f>VLOOKUP(D1948,'[1]Cost Sheet'!$C:$D,2,0)</f>
        <v>54.79</v>
      </c>
      <c r="Z1948" s="3">
        <f t="shared" si="61"/>
        <v>164.37</v>
      </c>
    </row>
    <row r="1949" spans="1:26" x14ac:dyDescent="0.3">
      <c r="A1949" s="7" t="s">
        <v>21</v>
      </c>
      <c r="B1949" t="s">
        <v>726</v>
      </c>
      <c r="C1949" t="s">
        <v>727</v>
      </c>
      <c r="D1949" t="s">
        <v>728</v>
      </c>
      <c r="E1949" t="s">
        <v>729</v>
      </c>
      <c r="F1949" t="s">
        <v>26</v>
      </c>
      <c r="G1949">
        <v>12</v>
      </c>
      <c r="H1949">
        <v>0</v>
      </c>
      <c r="I1949">
        <v>0</v>
      </c>
      <c r="J1949">
        <v>-2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10</v>
      </c>
      <c r="T1949">
        <v>0</v>
      </c>
      <c r="U1949" t="s">
        <v>38</v>
      </c>
      <c r="W1949" s="2">
        <v>54.699999999999996</v>
      </c>
      <c r="X1949" s="3">
        <f t="shared" si="60"/>
        <v>547</v>
      </c>
      <c r="Y1949">
        <f>VLOOKUP(D1949,'[1]Cost Sheet'!$C:$D,2,0)</f>
        <v>54.79</v>
      </c>
      <c r="Z1949" s="3">
        <f t="shared" si="61"/>
        <v>547.9</v>
      </c>
    </row>
    <row r="1950" spans="1:26" x14ac:dyDescent="0.3">
      <c r="A1950" s="7" t="s">
        <v>21</v>
      </c>
      <c r="B1950" t="s">
        <v>726</v>
      </c>
      <c r="C1950" t="s">
        <v>727</v>
      </c>
      <c r="D1950" t="s">
        <v>728</v>
      </c>
      <c r="E1950" t="s">
        <v>729</v>
      </c>
      <c r="F1950" t="s">
        <v>26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 t="s">
        <v>151</v>
      </c>
      <c r="W1950" s="2">
        <v>54.699999999999996</v>
      </c>
      <c r="X1950" s="3">
        <f t="shared" si="60"/>
        <v>54.699999999999996</v>
      </c>
      <c r="Y1950">
        <f>VLOOKUP(D1950,'[1]Cost Sheet'!$C:$D,2,0)</f>
        <v>54.79</v>
      </c>
      <c r="Z1950" s="3">
        <f t="shared" si="61"/>
        <v>54.79</v>
      </c>
    </row>
    <row r="1951" spans="1:26" x14ac:dyDescent="0.3">
      <c r="A1951" s="7" t="s">
        <v>21</v>
      </c>
      <c r="B1951" t="s">
        <v>726</v>
      </c>
      <c r="C1951" t="s">
        <v>727</v>
      </c>
      <c r="D1951" t="s">
        <v>728</v>
      </c>
      <c r="E1951" t="s">
        <v>729</v>
      </c>
      <c r="F1951" t="s">
        <v>26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 t="s">
        <v>45</v>
      </c>
      <c r="W1951" s="2">
        <v>54.699999999999996</v>
      </c>
      <c r="X1951" s="3">
        <f t="shared" si="60"/>
        <v>54.699999999999996</v>
      </c>
      <c r="Y1951">
        <f>VLOOKUP(D1951,'[1]Cost Sheet'!$C:$D,2,0)</f>
        <v>54.79</v>
      </c>
      <c r="Z1951" s="3">
        <f t="shared" si="61"/>
        <v>54.79</v>
      </c>
    </row>
    <row r="1952" spans="1:26" x14ac:dyDescent="0.3">
      <c r="A1952" s="7" t="s">
        <v>21</v>
      </c>
      <c r="B1952" t="s">
        <v>726</v>
      </c>
      <c r="C1952" t="s">
        <v>727</v>
      </c>
      <c r="D1952" t="s">
        <v>728</v>
      </c>
      <c r="E1952" t="s">
        <v>729</v>
      </c>
      <c r="F1952" t="s">
        <v>26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2</v>
      </c>
      <c r="T1952">
        <v>0</v>
      </c>
      <c r="U1952" t="s">
        <v>39</v>
      </c>
      <c r="W1952" s="2">
        <v>54.699999999999996</v>
      </c>
      <c r="X1952" s="3">
        <f t="shared" si="60"/>
        <v>109.39999999999999</v>
      </c>
      <c r="Y1952">
        <f>VLOOKUP(D1952,'[1]Cost Sheet'!$C:$D,2,0)</f>
        <v>54.79</v>
      </c>
      <c r="Z1952" s="3">
        <f t="shared" si="61"/>
        <v>109.58</v>
      </c>
    </row>
    <row r="1953" spans="1:26" x14ac:dyDescent="0.3">
      <c r="A1953" s="7" t="s">
        <v>21</v>
      </c>
      <c r="B1953" t="s">
        <v>726</v>
      </c>
      <c r="C1953" t="s">
        <v>727</v>
      </c>
      <c r="D1953" t="s">
        <v>728</v>
      </c>
      <c r="E1953" t="s">
        <v>729</v>
      </c>
      <c r="F1953" t="s">
        <v>26</v>
      </c>
      <c r="G1953">
        <v>182</v>
      </c>
      <c r="H1953">
        <v>0</v>
      </c>
      <c r="I1953">
        <v>-1</v>
      </c>
      <c r="J1953">
        <v>-5</v>
      </c>
      <c r="K1953">
        <v>0</v>
      </c>
      <c r="L1953">
        <v>0</v>
      </c>
      <c r="M1953">
        <v>-1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175</v>
      </c>
      <c r="T1953">
        <v>0</v>
      </c>
      <c r="U1953" t="s">
        <v>53</v>
      </c>
      <c r="W1953" s="2">
        <v>54.699999999999996</v>
      </c>
      <c r="X1953" s="3">
        <f t="shared" si="60"/>
        <v>9572.5</v>
      </c>
      <c r="Y1953">
        <f>VLOOKUP(D1953,'[1]Cost Sheet'!$C:$D,2,0)</f>
        <v>54.79</v>
      </c>
      <c r="Z1953" s="3">
        <f t="shared" si="61"/>
        <v>9588.25</v>
      </c>
    </row>
    <row r="1954" spans="1:26" x14ac:dyDescent="0.3">
      <c r="A1954" s="7" t="s">
        <v>21</v>
      </c>
      <c r="B1954" t="s">
        <v>726</v>
      </c>
      <c r="C1954" t="s">
        <v>727</v>
      </c>
      <c r="D1954" t="s">
        <v>728</v>
      </c>
      <c r="E1954" t="s">
        <v>729</v>
      </c>
      <c r="F1954" t="s">
        <v>26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8</v>
      </c>
      <c r="T1954">
        <v>0</v>
      </c>
      <c r="U1954" t="s">
        <v>32</v>
      </c>
      <c r="W1954" s="2">
        <v>54.699999999999996</v>
      </c>
      <c r="X1954" s="3">
        <f t="shared" si="60"/>
        <v>437.59999999999997</v>
      </c>
      <c r="Y1954">
        <f>VLOOKUP(D1954,'[1]Cost Sheet'!$C:$D,2,0)</f>
        <v>54.79</v>
      </c>
      <c r="Z1954" s="3">
        <f t="shared" si="61"/>
        <v>438.32</v>
      </c>
    </row>
    <row r="1955" spans="1:26" x14ac:dyDescent="0.3">
      <c r="A1955" s="7" t="s">
        <v>21</v>
      </c>
      <c r="B1955" t="s">
        <v>726</v>
      </c>
      <c r="C1955" t="s">
        <v>727</v>
      </c>
      <c r="D1955" t="s">
        <v>728</v>
      </c>
      <c r="E1955" t="s">
        <v>729</v>
      </c>
      <c r="F1955" t="s">
        <v>26</v>
      </c>
      <c r="G1955">
        <v>104</v>
      </c>
      <c r="H1955">
        <v>136</v>
      </c>
      <c r="I1955">
        <v>0</v>
      </c>
      <c r="J1955">
        <v>0</v>
      </c>
      <c r="K1955">
        <v>0</v>
      </c>
      <c r="L1955">
        <v>0</v>
      </c>
      <c r="M1955">
        <v>-56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48</v>
      </c>
      <c r="T1955">
        <v>0</v>
      </c>
      <c r="U1955" t="s">
        <v>109</v>
      </c>
      <c r="W1955" s="2">
        <v>54.699999999999996</v>
      </c>
      <c r="X1955" s="3">
        <f t="shared" si="60"/>
        <v>2625.6</v>
      </c>
      <c r="Y1955">
        <f>VLOOKUP(D1955,'[1]Cost Sheet'!$C:$D,2,0)</f>
        <v>54.79</v>
      </c>
      <c r="Z1955" s="3">
        <f t="shared" si="61"/>
        <v>2629.92</v>
      </c>
    </row>
    <row r="1956" spans="1:26" x14ac:dyDescent="0.3">
      <c r="A1956" s="7" t="s">
        <v>21</v>
      </c>
      <c r="B1956" t="s">
        <v>726</v>
      </c>
      <c r="C1956" t="s">
        <v>727</v>
      </c>
      <c r="D1956" t="s">
        <v>728</v>
      </c>
      <c r="E1956" t="s">
        <v>729</v>
      </c>
      <c r="F1956" t="s">
        <v>26</v>
      </c>
      <c r="G1956">
        <v>0</v>
      </c>
      <c r="H1956">
        <v>1</v>
      </c>
      <c r="I1956">
        <v>0</v>
      </c>
      <c r="J1956">
        <v>0</v>
      </c>
      <c r="K1956">
        <v>1</v>
      </c>
      <c r="L1956">
        <v>0</v>
      </c>
      <c r="M1956">
        <v>-1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s">
        <v>88</v>
      </c>
      <c r="W1956" s="2">
        <v>54.699999999999996</v>
      </c>
      <c r="X1956" s="3">
        <f t="shared" si="60"/>
        <v>0</v>
      </c>
      <c r="Y1956">
        <f>VLOOKUP(D1956,'[1]Cost Sheet'!$C:$D,2,0)</f>
        <v>54.79</v>
      </c>
      <c r="Z1956" s="3">
        <f t="shared" si="61"/>
        <v>0</v>
      </c>
    </row>
    <row r="1957" spans="1:26" x14ac:dyDescent="0.3">
      <c r="A1957" s="7" t="s">
        <v>21</v>
      </c>
      <c r="B1957" t="s">
        <v>726</v>
      </c>
      <c r="C1957" t="s">
        <v>727</v>
      </c>
      <c r="D1957" t="s">
        <v>728</v>
      </c>
      <c r="E1957" t="s">
        <v>729</v>
      </c>
      <c r="F1957" t="s">
        <v>26</v>
      </c>
      <c r="G1957">
        <v>1</v>
      </c>
      <c r="H1957">
        <v>0</v>
      </c>
      <c r="I1957">
        <v>0</v>
      </c>
      <c r="J1957">
        <v>-1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s">
        <v>33</v>
      </c>
      <c r="W1957" s="2">
        <v>54.699999999999996</v>
      </c>
      <c r="X1957" s="3">
        <f t="shared" si="60"/>
        <v>0</v>
      </c>
      <c r="Y1957">
        <f>VLOOKUP(D1957,'[1]Cost Sheet'!$C:$D,2,0)</f>
        <v>54.79</v>
      </c>
      <c r="Z1957" s="3">
        <f t="shared" si="61"/>
        <v>0</v>
      </c>
    </row>
    <row r="1958" spans="1:26" x14ac:dyDescent="0.3">
      <c r="A1958" s="7" t="s">
        <v>21</v>
      </c>
      <c r="B1958" t="s">
        <v>726</v>
      </c>
      <c r="C1958" t="s">
        <v>727</v>
      </c>
      <c r="D1958" t="s">
        <v>728</v>
      </c>
      <c r="E1958" t="s">
        <v>729</v>
      </c>
      <c r="F1958" t="s">
        <v>26</v>
      </c>
      <c r="G1958">
        <v>70</v>
      </c>
      <c r="H1958">
        <v>0</v>
      </c>
      <c r="I1958">
        <v>0</v>
      </c>
      <c r="J1958">
        <v>-6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64</v>
      </c>
      <c r="T1958">
        <v>0</v>
      </c>
      <c r="U1958" t="s">
        <v>46</v>
      </c>
      <c r="W1958" s="2">
        <v>54.699999999999996</v>
      </c>
      <c r="X1958" s="3">
        <f t="shared" si="60"/>
        <v>3500.7999999999997</v>
      </c>
      <c r="Y1958">
        <f>VLOOKUP(D1958,'[1]Cost Sheet'!$C:$D,2,0)</f>
        <v>54.79</v>
      </c>
      <c r="Z1958" s="3">
        <f t="shared" si="61"/>
        <v>3506.56</v>
      </c>
    </row>
    <row r="1959" spans="1:26" x14ac:dyDescent="0.3">
      <c r="A1959" s="7" t="s">
        <v>21</v>
      </c>
      <c r="B1959" t="s">
        <v>726</v>
      </c>
      <c r="C1959" t="s">
        <v>727</v>
      </c>
      <c r="D1959" t="s">
        <v>728</v>
      </c>
      <c r="E1959" t="s">
        <v>729</v>
      </c>
      <c r="F1959" t="s">
        <v>26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 t="s">
        <v>110</v>
      </c>
      <c r="W1959" s="2">
        <v>54.699999999999996</v>
      </c>
      <c r="X1959" s="3">
        <f t="shared" si="60"/>
        <v>54.699999999999996</v>
      </c>
      <c r="Y1959">
        <f>VLOOKUP(D1959,'[1]Cost Sheet'!$C:$D,2,0)</f>
        <v>54.79</v>
      </c>
      <c r="Z1959" s="3">
        <f t="shared" si="61"/>
        <v>54.79</v>
      </c>
    </row>
    <row r="1960" spans="1:26" x14ac:dyDescent="0.3">
      <c r="A1960" s="7" t="s">
        <v>21</v>
      </c>
      <c r="B1960" t="s">
        <v>726</v>
      </c>
      <c r="C1960" t="s">
        <v>727</v>
      </c>
      <c r="D1960" t="s">
        <v>728</v>
      </c>
      <c r="E1960" t="s">
        <v>729</v>
      </c>
      <c r="F1960" t="s">
        <v>26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 t="s">
        <v>40</v>
      </c>
      <c r="W1960" s="2">
        <v>54.699999999999996</v>
      </c>
      <c r="X1960" s="3">
        <f t="shared" si="60"/>
        <v>54.699999999999996</v>
      </c>
      <c r="Y1960">
        <f>VLOOKUP(D1960,'[1]Cost Sheet'!$C:$D,2,0)</f>
        <v>54.79</v>
      </c>
      <c r="Z1960" s="3">
        <f t="shared" si="61"/>
        <v>54.79</v>
      </c>
    </row>
    <row r="1961" spans="1:26" x14ac:dyDescent="0.3">
      <c r="A1961" s="7" t="s">
        <v>21</v>
      </c>
      <c r="B1961" t="s">
        <v>726</v>
      </c>
      <c r="C1961" t="s">
        <v>727</v>
      </c>
      <c r="D1961" t="s">
        <v>728</v>
      </c>
      <c r="E1961" t="s">
        <v>729</v>
      </c>
      <c r="F1961" t="s">
        <v>26</v>
      </c>
      <c r="G1961">
        <v>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2</v>
      </c>
      <c r="T1961">
        <v>0</v>
      </c>
      <c r="U1961" t="s">
        <v>48</v>
      </c>
      <c r="W1961" s="2">
        <v>54.699999999999996</v>
      </c>
      <c r="X1961" s="3">
        <f t="shared" si="60"/>
        <v>109.39999999999999</v>
      </c>
      <c r="Y1961">
        <f>VLOOKUP(D1961,'[1]Cost Sheet'!$C:$D,2,0)</f>
        <v>54.79</v>
      </c>
      <c r="Z1961" s="3">
        <f t="shared" si="61"/>
        <v>109.58</v>
      </c>
    </row>
    <row r="1962" spans="1:26" x14ac:dyDescent="0.3">
      <c r="A1962" s="7" t="s">
        <v>21</v>
      </c>
      <c r="B1962" t="s">
        <v>730</v>
      </c>
      <c r="C1962" t="s">
        <v>731</v>
      </c>
      <c r="D1962" t="s">
        <v>732</v>
      </c>
      <c r="E1962" t="s">
        <v>733</v>
      </c>
      <c r="F1962" t="s">
        <v>26</v>
      </c>
      <c r="G1962">
        <v>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4</v>
      </c>
      <c r="T1962">
        <v>0</v>
      </c>
      <c r="U1962" t="s">
        <v>38</v>
      </c>
      <c r="W1962" s="2">
        <v>73.05</v>
      </c>
      <c r="X1962" s="3">
        <f t="shared" si="60"/>
        <v>292.2</v>
      </c>
      <c r="Y1962">
        <f>VLOOKUP(D1962,'[1]Cost Sheet'!$C:$D,2,0)</f>
        <v>73.05</v>
      </c>
      <c r="Z1962" s="3">
        <f t="shared" si="61"/>
        <v>292.2</v>
      </c>
    </row>
    <row r="1963" spans="1:26" x14ac:dyDescent="0.3">
      <c r="A1963" s="7" t="s">
        <v>21</v>
      </c>
      <c r="B1963" t="s">
        <v>730</v>
      </c>
      <c r="C1963" t="s">
        <v>731</v>
      </c>
      <c r="D1963" t="s">
        <v>732</v>
      </c>
      <c r="E1963" t="s">
        <v>733</v>
      </c>
      <c r="F1963" t="s">
        <v>26</v>
      </c>
      <c r="G1963">
        <v>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5</v>
      </c>
      <c r="T1963">
        <v>0</v>
      </c>
      <c r="U1963" t="s">
        <v>45</v>
      </c>
      <c r="W1963" s="2">
        <v>73.05</v>
      </c>
      <c r="X1963" s="3">
        <f t="shared" si="60"/>
        <v>365.25</v>
      </c>
      <c r="Y1963">
        <f>VLOOKUP(D1963,'[1]Cost Sheet'!$C:$D,2,0)</f>
        <v>73.05</v>
      </c>
      <c r="Z1963" s="3">
        <f t="shared" si="61"/>
        <v>365.25</v>
      </c>
    </row>
    <row r="1964" spans="1:26" x14ac:dyDescent="0.3">
      <c r="A1964" s="7" t="s">
        <v>21</v>
      </c>
      <c r="B1964" t="s">
        <v>730</v>
      </c>
      <c r="C1964" t="s">
        <v>731</v>
      </c>
      <c r="D1964" t="s">
        <v>732</v>
      </c>
      <c r="E1964" t="s">
        <v>733</v>
      </c>
      <c r="F1964" t="s">
        <v>26</v>
      </c>
      <c r="G1964">
        <v>6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6</v>
      </c>
      <c r="T1964">
        <v>0</v>
      </c>
      <c r="U1964" t="s">
        <v>39</v>
      </c>
      <c r="W1964" s="2">
        <v>73.05</v>
      </c>
      <c r="X1964" s="3">
        <f t="shared" si="60"/>
        <v>438.29999999999995</v>
      </c>
      <c r="Y1964">
        <f>VLOOKUP(D1964,'[1]Cost Sheet'!$C:$D,2,0)</f>
        <v>73.05</v>
      </c>
      <c r="Z1964" s="3">
        <f t="shared" si="61"/>
        <v>438.29999999999995</v>
      </c>
    </row>
    <row r="1965" spans="1:26" x14ac:dyDescent="0.3">
      <c r="A1965" s="7" t="s">
        <v>21</v>
      </c>
      <c r="B1965" t="s">
        <v>730</v>
      </c>
      <c r="C1965" t="s">
        <v>731</v>
      </c>
      <c r="D1965" t="s">
        <v>732</v>
      </c>
      <c r="E1965" t="s">
        <v>733</v>
      </c>
      <c r="F1965" t="s">
        <v>26</v>
      </c>
      <c r="G1965">
        <v>13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13</v>
      </c>
      <c r="T1965">
        <v>0</v>
      </c>
      <c r="U1965" t="s">
        <v>54</v>
      </c>
      <c r="W1965" s="2">
        <v>73.05</v>
      </c>
      <c r="X1965" s="3">
        <f t="shared" si="60"/>
        <v>949.65</v>
      </c>
      <c r="Y1965">
        <f>VLOOKUP(D1965,'[1]Cost Sheet'!$C:$D,2,0)</f>
        <v>73.05</v>
      </c>
      <c r="Z1965" s="3">
        <f t="shared" si="61"/>
        <v>949.65</v>
      </c>
    </row>
    <row r="1966" spans="1:26" x14ac:dyDescent="0.3">
      <c r="A1966" s="7" t="s">
        <v>21</v>
      </c>
      <c r="B1966" t="s">
        <v>730</v>
      </c>
      <c r="C1966" t="s">
        <v>731</v>
      </c>
      <c r="D1966" t="s">
        <v>732</v>
      </c>
      <c r="E1966" t="s">
        <v>733</v>
      </c>
      <c r="F1966" t="s">
        <v>26</v>
      </c>
      <c r="G1966">
        <v>13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13</v>
      </c>
      <c r="T1966">
        <v>0</v>
      </c>
      <c r="U1966" t="s">
        <v>33</v>
      </c>
      <c r="W1966" s="2">
        <v>73.05</v>
      </c>
      <c r="X1966" s="3">
        <f t="shared" si="60"/>
        <v>949.65</v>
      </c>
      <c r="Y1966">
        <f>VLOOKUP(D1966,'[1]Cost Sheet'!$C:$D,2,0)</f>
        <v>73.05</v>
      </c>
      <c r="Z1966" s="3">
        <f t="shared" si="61"/>
        <v>949.65</v>
      </c>
    </row>
    <row r="1967" spans="1:26" x14ac:dyDescent="0.3">
      <c r="A1967" s="7" t="s">
        <v>21</v>
      </c>
      <c r="B1967" t="s">
        <v>730</v>
      </c>
      <c r="C1967" t="s">
        <v>731</v>
      </c>
      <c r="D1967" t="s">
        <v>732</v>
      </c>
      <c r="E1967" t="s">
        <v>733</v>
      </c>
      <c r="F1967" t="s">
        <v>26</v>
      </c>
      <c r="G1967">
        <v>3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3</v>
      </c>
      <c r="T1967">
        <v>0</v>
      </c>
      <c r="U1967" t="s">
        <v>46</v>
      </c>
      <c r="W1967" s="2">
        <v>73.05</v>
      </c>
      <c r="X1967" s="3">
        <f t="shared" si="60"/>
        <v>219.14999999999998</v>
      </c>
      <c r="Y1967">
        <f>VLOOKUP(D1967,'[1]Cost Sheet'!$C:$D,2,0)</f>
        <v>73.05</v>
      </c>
      <c r="Z1967" s="3">
        <f t="shared" si="61"/>
        <v>219.14999999999998</v>
      </c>
    </row>
    <row r="1968" spans="1:26" x14ac:dyDescent="0.3">
      <c r="A1968" s="7" t="s">
        <v>21</v>
      </c>
      <c r="B1968" t="s">
        <v>730</v>
      </c>
      <c r="C1968" t="s">
        <v>731</v>
      </c>
      <c r="D1968" t="s">
        <v>732</v>
      </c>
      <c r="E1968" t="s">
        <v>733</v>
      </c>
      <c r="F1968" t="s">
        <v>26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4</v>
      </c>
      <c r="T1968">
        <v>0</v>
      </c>
      <c r="U1968" t="s">
        <v>40</v>
      </c>
      <c r="W1968" s="2">
        <v>73.05</v>
      </c>
      <c r="X1968" s="3">
        <f t="shared" si="60"/>
        <v>292.2</v>
      </c>
      <c r="Y1968">
        <f>VLOOKUP(D1968,'[1]Cost Sheet'!$C:$D,2,0)</f>
        <v>73.05</v>
      </c>
      <c r="Z1968" s="3">
        <f t="shared" si="61"/>
        <v>292.2</v>
      </c>
    </row>
    <row r="1969" spans="1:26" x14ac:dyDescent="0.3">
      <c r="A1969" s="7" t="s">
        <v>21</v>
      </c>
      <c r="B1969" t="s">
        <v>730</v>
      </c>
      <c r="C1969" t="s">
        <v>731</v>
      </c>
      <c r="D1969" t="s">
        <v>732</v>
      </c>
      <c r="E1969" t="s">
        <v>733</v>
      </c>
      <c r="F1969" t="s">
        <v>26</v>
      </c>
      <c r="G1969">
        <v>11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11</v>
      </c>
      <c r="T1969">
        <v>0</v>
      </c>
      <c r="U1969" t="s">
        <v>48</v>
      </c>
      <c r="W1969" s="2">
        <v>73.05</v>
      </c>
      <c r="X1969" s="3">
        <f t="shared" si="60"/>
        <v>803.55</v>
      </c>
      <c r="Y1969">
        <f>VLOOKUP(D1969,'[1]Cost Sheet'!$C:$D,2,0)</f>
        <v>73.05</v>
      </c>
      <c r="Z1969" s="3">
        <f t="shared" si="61"/>
        <v>803.55</v>
      </c>
    </row>
    <row r="1970" spans="1:26" x14ac:dyDescent="0.3">
      <c r="A1970" s="7" t="s">
        <v>21</v>
      </c>
      <c r="B1970" t="s">
        <v>734</v>
      </c>
      <c r="C1970" t="s">
        <v>735</v>
      </c>
      <c r="D1970" t="s">
        <v>736</v>
      </c>
      <c r="E1970" t="s">
        <v>737</v>
      </c>
      <c r="F1970" t="s">
        <v>26</v>
      </c>
      <c r="G1970">
        <v>3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3</v>
      </c>
      <c r="T1970">
        <v>0</v>
      </c>
      <c r="U1970" t="s">
        <v>107</v>
      </c>
      <c r="W1970" s="2">
        <v>73.05</v>
      </c>
      <c r="X1970" s="3">
        <f t="shared" si="60"/>
        <v>219.14999999999998</v>
      </c>
      <c r="Y1970">
        <f>VLOOKUP(D1970,'[1]Cost Sheet'!$C:$D,2,0)</f>
        <v>73.05</v>
      </c>
      <c r="Z1970" s="3">
        <f t="shared" si="61"/>
        <v>219.14999999999998</v>
      </c>
    </row>
    <row r="1971" spans="1:26" x14ac:dyDescent="0.3">
      <c r="A1971" s="7" t="s">
        <v>21</v>
      </c>
      <c r="B1971" t="s">
        <v>734</v>
      </c>
      <c r="C1971" t="s">
        <v>735</v>
      </c>
      <c r="D1971" t="s">
        <v>736</v>
      </c>
      <c r="E1971" t="s">
        <v>737</v>
      </c>
      <c r="F1971" t="s">
        <v>26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 t="s">
        <v>45</v>
      </c>
      <c r="W1971" s="2">
        <v>73.05</v>
      </c>
      <c r="X1971" s="3">
        <f t="shared" si="60"/>
        <v>73.05</v>
      </c>
      <c r="Y1971">
        <f>VLOOKUP(D1971,'[1]Cost Sheet'!$C:$D,2,0)</f>
        <v>73.05</v>
      </c>
      <c r="Z1971" s="3">
        <f t="shared" si="61"/>
        <v>73.05</v>
      </c>
    </row>
    <row r="1972" spans="1:26" x14ac:dyDescent="0.3">
      <c r="A1972" s="7" t="s">
        <v>21</v>
      </c>
      <c r="B1972" t="s">
        <v>734</v>
      </c>
      <c r="C1972" t="s">
        <v>735</v>
      </c>
      <c r="D1972" t="s">
        <v>736</v>
      </c>
      <c r="E1972" t="s">
        <v>737</v>
      </c>
      <c r="F1972" t="s">
        <v>26</v>
      </c>
      <c r="G1972">
        <v>16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16</v>
      </c>
      <c r="T1972">
        <v>0</v>
      </c>
      <c r="U1972" t="s">
        <v>39</v>
      </c>
      <c r="W1972" s="2">
        <v>73.05</v>
      </c>
      <c r="X1972" s="3">
        <f t="shared" si="60"/>
        <v>1168.8</v>
      </c>
      <c r="Y1972">
        <f>VLOOKUP(D1972,'[1]Cost Sheet'!$C:$D,2,0)</f>
        <v>73.05</v>
      </c>
      <c r="Z1972" s="3">
        <f t="shared" si="61"/>
        <v>1168.8</v>
      </c>
    </row>
    <row r="1973" spans="1:26" x14ac:dyDescent="0.3">
      <c r="A1973" s="7" t="s">
        <v>21</v>
      </c>
      <c r="B1973" t="s">
        <v>734</v>
      </c>
      <c r="C1973" t="s">
        <v>735</v>
      </c>
      <c r="D1973" t="s">
        <v>736</v>
      </c>
      <c r="E1973" t="s">
        <v>737</v>
      </c>
      <c r="F1973" t="s">
        <v>26</v>
      </c>
      <c r="G1973">
        <v>3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3</v>
      </c>
      <c r="T1973">
        <v>0</v>
      </c>
      <c r="U1973" t="s">
        <v>54</v>
      </c>
      <c r="W1973" s="2">
        <v>73.05</v>
      </c>
      <c r="X1973" s="3">
        <f t="shared" si="60"/>
        <v>219.14999999999998</v>
      </c>
      <c r="Y1973">
        <f>VLOOKUP(D1973,'[1]Cost Sheet'!$C:$D,2,0)</f>
        <v>73.05</v>
      </c>
      <c r="Z1973" s="3">
        <f t="shared" si="61"/>
        <v>219.14999999999998</v>
      </c>
    </row>
    <row r="1974" spans="1:26" x14ac:dyDescent="0.3">
      <c r="A1974" s="7" t="s">
        <v>21</v>
      </c>
      <c r="B1974" t="s">
        <v>734</v>
      </c>
      <c r="C1974" t="s">
        <v>735</v>
      </c>
      <c r="D1974" t="s">
        <v>736</v>
      </c>
      <c r="E1974" t="s">
        <v>737</v>
      </c>
      <c r="F1974" t="s">
        <v>26</v>
      </c>
      <c r="G1974">
        <v>1</v>
      </c>
      <c r="H1974">
        <v>0</v>
      </c>
      <c r="I1974">
        <v>0</v>
      </c>
      <c r="J1974">
        <v>-1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s">
        <v>47</v>
      </c>
      <c r="W1974" s="2">
        <v>73.05</v>
      </c>
      <c r="X1974" s="3">
        <f t="shared" si="60"/>
        <v>0</v>
      </c>
      <c r="Y1974">
        <f>VLOOKUP(D1974,'[1]Cost Sheet'!$C:$D,2,0)</f>
        <v>73.05</v>
      </c>
      <c r="Z1974" s="3">
        <f t="shared" si="61"/>
        <v>0</v>
      </c>
    </row>
    <row r="1975" spans="1:26" x14ac:dyDescent="0.3">
      <c r="A1975" s="7" t="s">
        <v>21</v>
      </c>
      <c r="B1975" t="s">
        <v>734</v>
      </c>
      <c r="C1975" t="s">
        <v>735</v>
      </c>
      <c r="D1975" t="s">
        <v>736</v>
      </c>
      <c r="E1975" t="s">
        <v>737</v>
      </c>
      <c r="F1975" t="s">
        <v>26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 t="s">
        <v>113</v>
      </c>
      <c r="W1975" s="2">
        <v>73.05</v>
      </c>
      <c r="X1975" s="3">
        <f t="shared" si="60"/>
        <v>73.05</v>
      </c>
      <c r="Y1975">
        <f>VLOOKUP(D1975,'[1]Cost Sheet'!$C:$D,2,0)</f>
        <v>73.05</v>
      </c>
      <c r="Z1975" s="3">
        <f t="shared" si="61"/>
        <v>73.05</v>
      </c>
    </row>
    <row r="1976" spans="1:26" x14ac:dyDescent="0.3">
      <c r="A1976" s="7" t="s">
        <v>21</v>
      </c>
      <c r="B1976" t="s">
        <v>734</v>
      </c>
      <c r="C1976" t="s">
        <v>735</v>
      </c>
      <c r="D1976" t="s">
        <v>736</v>
      </c>
      <c r="E1976" t="s">
        <v>737</v>
      </c>
      <c r="F1976" t="s">
        <v>26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 t="s">
        <v>59</v>
      </c>
      <c r="W1976" s="2">
        <v>73.05</v>
      </c>
      <c r="X1976" s="3">
        <f t="shared" si="60"/>
        <v>73.05</v>
      </c>
      <c r="Y1976">
        <f>VLOOKUP(D1976,'[1]Cost Sheet'!$C:$D,2,0)</f>
        <v>73.05</v>
      </c>
      <c r="Z1976" s="3">
        <f t="shared" si="61"/>
        <v>73.05</v>
      </c>
    </row>
    <row r="1977" spans="1:26" x14ac:dyDescent="0.3">
      <c r="A1977" s="7" t="s">
        <v>21</v>
      </c>
      <c r="B1977" t="s">
        <v>734</v>
      </c>
      <c r="C1977" t="s">
        <v>735</v>
      </c>
      <c r="D1977" t="s">
        <v>736</v>
      </c>
      <c r="E1977" t="s">
        <v>737</v>
      </c>
      <c r="F1977" t="s">
        <v>26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 t="s">
        <v>27</v>
      </c>
      <c r="W1977" s="2">
        <v>73.05</v>
      </c>
      <c r="X1977" s="3">
        <f t="shared" si="60"/>
        <v>73.05</v>
      </c>
      <c r="Y1977">
        <f>VLOOKUP(D1977,'[1]Cost Sheet'!$C:$D,2,0)</f>
        <v>73.05</v>
      </c>
      <c r="Z1977" s="3">
        <f t="shared" si="61"/>
        <v>73.05</v>
      </c>
    </row>
    <row r="1978" spans="1:26" x14ac:dyDescent="0.3">
      <c r="A1978" s="7" t="s">
        <v>21</v>
      </c>
      <c r="B1978" t="s">
        <v>738</v>
      </c>
      <c r="C1978" t="s">
        <v>739</v>
      </c>
      <c r="D1978" t="s">
        <v>740</v>
      </c>
      <c r="E1978" t="s">
        <v>741</v>
      </c>
      <c r="F1978" t="s">
        <v>106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2</v>
      </c>
      <c r="T1978">
        <v>0</v>
      </c>
      <c r="U1978" t="s">
        <v>38</v>
      </c>
      <c r="W1978" s="2">
        <v>98.3</v>
      </c>
      <c r="X1978" s="3">
        <f t="shared" si="60"/>
        <v>196.6</v>
      </c>
      <c r="Y1978">
        <f>VLOOKUP(D1978,'[1]Cost Sheet'!$C:$D,2,0)</f>
        <v>98.3</v>
      </c>
      <c r="Z1978" s="3">
        <f t="shared" si="61"/>
        <v>196.6</v>
      </c>
    </row>
    <row r="1979" spans="1:26" x14ac:dyDescent="0.3">
      <c r="A1979" s="7" t="s">
        <v>21</v>
      </c>
      <c r="B1979" t="s">
        <v>738</v>
      </c>
      <c r="C1979" t="s">
        <v>739</v>
      </c>
      <c r="D1979" t="s">
        <v>740</v>
      </c>
      <c r="E1979" t="s">
        <v>741</v>
      </c>
      <c r="F1979" t="s">
        <v>106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2</v>
      </c>
      <c r="T1979">
        <v>0</v>
      </c>
      <c r="U1979" t="s">
        <v>45</v>
      </c>
      <c r="W1979" s="2">
        <v>98.3</v>
      </c>
      <c r="X1979" s="3">
        <f t="shared" si="60"/>
        <v>196.6</v>
      </c>
      <c r="Y1979">
        <f>VLOOKUP(D1979,'[1]Cost Sheet'!$C:$D,2,0)</f>
        <v>98.3</v>
      </c>
      <c r="Z1979" s="3">
        <f t="shared" si="61"/>
        <v>196.6</v>
      </c>
    </row>
    <row r="1980" spans="1:26" x14ac:dyDescent="0.3">
      <c r="A1980" s="7" t="s">
        <v>21</v>
      </c>
      <c r="B1980" t="s">
        <v>738</v>
      </c>
      <c r="C1980" t="s">
        <v>739</v>
      </c>
      <c r="D1980" t="s">
        <v>740</v>
      </c>
      <c r="E1980" t="s">
        <v>741</v>
      </c>
      <c r="F1980" t="s">
        <v>106</v>
      </c>
      <c r="G1980">
        <v>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4</v>
      </c>
      <c r="T1980">
        <v>0</v>
      </c>
      <c r="U1980" t="s">
        <v>39</v>
      </c>
      <c r="W1980" s="2">
        <v>98.3</v>
      </c>
      <c r="X1980" s="3">
        <f t="shared" si="60"/>
        <v>393.2</v>
      </c>
      <c r="Y1980">
        <f>VLOOKUP(D1980,'[1]Cost Sheet'!$C:$D,2,0)</f>
        <v>98.3</v>
      </c>
      <c r="Z1980" s="3">
        <f t="shared" si="61"/>
        <v>393.2</v>
      </c>
    </row>
    <row r="1981" spans="1:26" x14ac:dyDescent="0.3">
      <c r="A1981" s="7" t="s">
        <v>21</v>
      </c>
      <c r="B1981" t="s">
        <v>738</v>
      </c>
      <c r="C1981" t="s">
        <v>739</v>
      </c>
      <c r="D1981" t="s">
        <v>740</v>
      </c>
      <c r="E1981" t="s">
        <v>741</v>
      </c>
      <c r="F1981" t="s">
        <v>106</v>
      </c>
      <c r="G1981">
        <v>3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3</v>
      </c>
      <c r="T1981">
        <v>0</v>
      </c>
      <c r="U1981" t="s">
        <v>53</v>
      </c>
      <c r="W1981" s="2">
        <v>98.3</v>
      </c>
      <c r="X1981" s="3">
        <f t="shared" si="60"/>
        <v>294.89999999999998</v>
      </c>
      <c r="Y1981">
        <f>VLOOKUP(D1981,'[1]Cost Sheet'!$C:$D,2,0)</f>
        <v>98.3</v>
      </c>
      <c r="Z1981" s="3">
        <f t="shared" si="61"/>
        <v>294.89999999999998</v>
      </c>
    </row>
    <row r="1982" spans="1:26" x14ac:dyDescent="0.3">
      <c r="A1982" s="7" t="s">
        <v>21</v>
      </c>
      <c r="B1982" t="s">
        <v>738</v>
      </c>
      <c r="C1982" t="s">
        <v>739</v>
      </c>
      <c r="D1982" t="s">
        <v>740</v>
      </c>
      <c r="E1982" t="s">
        <v>741</v>
      </c>
      <c r="F1982" t="s">
        <v>106</v>
      </c>
      <c r="G1982">
        <v>6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6</v>
      </c>
      <c r="T1982">
        <v>0</v>
      </c>
      <c r="U1982" t="s">
        <v>54</v>
      </c>
      <c r="W1982" s="2">
        <v>98.3</v>
      </c>
      <c r="X1982" s="3">
        <f t="shared" si="60"/>
        <v>589.79999999999995</v>
      </c>
      <c r="Y1982">
        <f>VLOOKUP(D1982,'[1]Cost Sheet'!$C:$D,2,0)</f>
        <v>98.3</v>
      </c>
      <c r="Z1982" s="3">
        <f t="shared" si="61"/>
        <v>589.79999999999995</v>
      </c>
    </row>
    <row r="1983" spans="1:26" x14ac:dyDescent="0.3">
      <c r="A1983" s="7" t="s">
        <v>21</v>
      </c>
      <c r="B1983" t="s">
        <v>738</v>
      </c>
      <c r="C1983" t="s">
        <v>739</v>
      </c>
      <c r="D1983" t="s">
        <v>740</v>
      </c>
      <c r="E1983" t="s">
        <v>741</v>
      </c>
      <c r="F1983" t="s">
        <v>106</v>
      </c>
      <c r="G1983">
        <v>4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4</v>
      </c>
      <c r="T1983">
        <v>0</v>
      </c>
      <c r="U1983" t="s">
        <v>32</v>
      </c>
      <c r="W1983" s="2">
        <v>98.3</v>
      </c>
      <c r="X1983" s="3">
        <f t="shared" si="60"/>
        <v>393.2</v>
      </c>
      <c r="Y1983">
        <f>VLOOKUP(D1983,'[1]Cost Sheet'!$C:$D,2,0)</f>
        <v>98.3</v>
      </c>
      <c r="Z1983" s="3">
        <f t="shared" si="61"/>
        <v>393.2</v>
      </c>
    </row>
    <row r="1984" spans="1:26" x14ac:dyDescent="0.3">
      <c r="A1984" s="7" t="s">
        <v>21</v>
      </c>
      <c r="B1984" t="s">
        <v>738</v>
      </c>
      <c r="C1984" t="s">
        <v>739</v>
      </c>
      <c r="D1984" t="s">
        <v>740</v>
      </c>
      <c r="E1984" t="s">
        <v>741</v>
      </c>
      <c r="F1984" t="s">
        <v>106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 t="s">
        <v>33</v>
      </c>
      <c r="W1984" s="2">
        <v>98.3</v>
      </c>
      <c r="X1984" s="3">
        <f t="shared" si="60"/>
        <v>98.3</v>
      </c>
      <c r="Y1984">
        <f>VLOOKUP(D1984,'[1]Cost Sheet'!$C:$D,2,0)</f>
        <v>98.3</v>
      </c>
      <c r="Z1984" s="3">
        <f t="shared" si="61"/>
        <v>98.3</v>
      </c>
    </row>
    <row r="1985" spans="1:26" x14ac:dyDescent="0.3">
      <c r="A1985" s="7" t="s">
        <v>21</v>
      </c>
      <c r="B1985" t="s">
        <v>738</v>
      </c>
      <c r="C1985" t="s">
        <v>739</v>
      </c>
      <c r="D1985" t="s">
        <v>740</v>
      </c>
      <c r="E1985" t="s">
        <v>741</v>
      </c>
      <c r="F1985" t="s">
        <v>106</v>
      </c>
      <c r="G1985">
        <v>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3</v>
      </c>
      <c r="T1985">
        <v>0</v>
      </c>
      <c r="U1985" t="s">
        <v>46</v>
      </c>
      <c r="W1985" s="2">
        <v>98.3</v>
      </c>
      <c r="X1985" s="3">
        <f t="shared" si="60"/>
        <v>294.89999999999998</v>
      </c>
      <c r="Y1985">
        <f>VLOOKUP(D1985,'[1]Cost Sheet'!$C:$D,2,0)</f>
        <v>98.3</v>
      </c>
      <c r="Z1985" s="3">
        <f t="shared" si="61"/>
        <v>294.89999999999998</v>
      </c>
    </row>
    <row r="1986" spans="1:26" x14ac:dyDescent="0.3">
      <c r="A1986" s="7" t="s">
        <v>21</v>
      </c>
      <c r="B1986" t="s">
        <v>738</v>
      </c>
      <c r="C1986" t="s">
        <v>739</v>
      </c>
      <c r="D1986" t="s">
        <v>740</v>
      </c>
      <c r="E1986" t="s">
        <v>741</v>
      </c>
      <c r="F1986" t="s">
        <v>106</v>
      </c>
      <c r="G1986">
        <v>3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3</v>
      </c>
      <c r="T1986">
        <v>0</v>
      </c>
      <c r="U1986" t="s">
        <v>47</v>
      </c>
      <c r="W1986" s="2">
        <v>98.3</v>
      </c>
      <c r="X1986" s="3">
        <f t="shared" si="60"/>
        <v>294.89999999999998</v>
      </c>
      <c r="Y1986">
        <f>VLOOKUP(D1986,'[1]Cost Sheet'!$C:$D,2,0)</f>
        <v>98.3</v>
      </c>
      <c r="Z1986" s="3">
        <f t="shared" si="61"/>
        <v>294.89999999999998</v>
      </c>
    </row>
    <row r="1987" spans="1:26" x14ac:dyDescent="0.3">
      <c r="A1987" s="7" t="s">
        <v>21</v>
      </c>
      <c r="B1987" t="s">
        <v>738</v>
      </c>
      <c r="C1987" t="s">
        <v>739</v>
      </c>
      <c r="D1987" t="s">
        <v>740</v>
      </c>
      <c r="E1987" t="s">
        <v>741</v>
      </c>
      <c r="F1987" t="s">
        <v>106</v>
      </c>
      <c r="G1987">
        <v>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5</v>
      </c>
      <c r="T1987">
        <v>0</v>
      </c>
      <c r="U1987" t="s">
        <v>48</v>
      </c>
      <c r="W1987" s="2">
        <v>98.3</v>
      </c>
      <c r="X1987" s="3">
        <f t="shared" ref="X1987:X2050" si="62">S1987*W1987</f>
        <v>491.5</v>
      </c>
      <c r="Y1987">
        <f>VLOOKUP(D1987,'[1]Cost Sheet'!$C:$D,2,0)</f>
        <v>98.3</v>
      </c>
      <c r="Z1987" s="3">
        <f t="shared" ref="Z1987:Z2050" si="63">Y1987*S1987</f>
        <v>491.5</v>
      </c>
    </row>
    <row r="1988" spans="1:26" x14ac:dyDescent="0.3">
      <c r="A1988" s="7" t="s">
        <v>21</v>
      </c>
      <c r="B1988" t="s">
        <v>738</v>
      </c>
      <c r="C1988" t="s">
        <v>739</v>
      </c>
      <c r="D1988" t="s">
        <v>740</v>
      </c>
      <c r="E1988" t="s">
        <v>741</v>
      </c>
      <c r="F1988" t="s">
        <v>106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2</v>
      </c>
      <c r="T1988">
        <v>0</v>
      </c>
      <c r="U1988" t="s">
        <v>27</v>
      </c>
      <c r="W1988" s="2">
        <v>98.3</v>
      </c>
      <c r="X1988" s="3">
        <f t="shared" si="62"/>
        <v>196.6</v>
      </c>
      <c r="Y1988">
        <f>VLOOKUP(D1988,'[1]Cost Sheet'!$C:$D,2,0)</f>
        <v>98.3</v>
      </c>
      <c r="Z1988" s="3">
        <f t="shared" si="63"/>
        <v>196.6</v>
      </c>
    </row>
    <row r="1989" spans="1:26" x14ac:dyDescent="0.3">
      <c r="A1989" s="7" t="s">
        <v>21</v>
      </c>
      <c r="B1989" t="s">
        <v>738</v>
      </c>
      <c r="C1989" t="s">
        <v>739</v>
      </c>
      <c r="D1989" t="s">
        <v>740</v>
      </c>
      <c r="E1989" t="s">
        <v>741</v>
      </c>
      <c r="F1989" t="s">
        <v>26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 t="s">
        <v>38</v>
      </c>
      <c r="W1989" s="2">
        <v>98.3</v>
      </c>
      <c r="X1989" s="3">
        <f t="shared" si="62"/>
        <v>98.3</v>
      </c>
      <c r="Y1989">
        <f>VLOOKUP(D1989,'[1]Cost Sheet'!$C:$D,2,0)</f>
        <v>98.3</v>
      </c>
      <c r="Z1989" s="3">
        <f t="shared" si="63"/>
        <v>98.3</v>
      </c>
    </row>
    <row r="1990" spans="1:26" x14ac:dyDescent="0.3">
      <c r="A1990" s="7" t="s">
        <v>21</v>
      </c>
      <c r="B1990" t="s">
        <v>738</v>
      </c>
      <c r="C1990" t="s">
        <v>739</v>
      </c>
      <c r="D1990" t="s">
        <v>740</v>
      </c>
      <c r="E1990" t="s">
        <v>741</v>
      </c>
      <c r="F1990" t="s">
        <v>26</v>
      </c>
      <c r="G1990">
        <v>18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18</v>
      </c>
      <c r="T1990">
        <v>0</v>
      </c>
      <c r="U1990" t="s">
        <v>112</v>
      </c>
      <c r="W1990" s="2">
        <v>98.3</v>
      </c>
      <c r="X1990" s="3">
        <f t="shared" si="62"/>
        <v>1769.3999999999999</v>
      </c>
      <c r="Y1990">
        <f>VLOOKUP(D1990,'[1]Cost Sheet'!$C:$D,2,0)</f>
        <v>98.3</v>
      </c>
      <c r="Z1990" s="3">
        <f t="shared" si="63"/>
        <v>1769.3999999999999</v>
      </c>
    </row>
    <row r="1991" spans="1:26" x14ac:dyDescent="0.3">
      <c r="A1991" s="7" t="s">
        <v>21</v>
      </c>
      <c r="B1991" t="s">
        <v>738</v>
      </c>
      <c r="C1991" t="s">
        <v>739</v>
      </c>
      <c r="D1991" t="s">
        <v>740</v>
      </c>
      <c r="E1991" t="s">
        <v>741</v>
      </c>
      <c r="F1991" t="s">
        <v>26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 t="s">
        <v>27</v>
      </c>
      <c r="W1991" s="2">
        <v>98.3</v>
      </c>
      <c r="X1991" s="3">
        <f t="shared" si="62"/>
        <v>98.3</v>
      </c>
      <c r="Y1991">
        <f>VLOOKUP(D1991,'[1]Cost Sheet'!$C:$D,2,0)</f>
        <v>98.3</v>
      </c>
      <c r="Z1991" s="3">
        <f t="shared" si="63"/>
        <v>98.3</v>
      </c>
    </row>
    <row r="1992" spans="1:26" x14ac:dyDescent="0.3">
      <c r="A1992" s="7" t="s">
        <v>21</v>
      </c>
      <c r="B1992" t="s">
        <v>742</v>
      </c>
      <c r="C1992" t="s">
        <v>743</v>
      </c>
      <c r="D1992" t="s">
        <v>744</v>
      </c>
      <c r="E1992" t="s">
        <v>745</v>
      </c>
      <c r="F1992" t="s">
        <v>26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 t="s">
        <v>38</v>
      </c>
      <c r="W1992" s="2">
        <v>86.7</v>
      </c>
      <c r="X1992" s="3">
        <f t="shared" si="62"/>
        <v>86.7</v>
      </c>
      <c r="Y1992">
        <f>VLOOKUP(D1992,'[1]Cost Sheet'!$C:$D,2,0)</f>
        <v>86.7</v>
      </c>
      <c r="Z1992" s="3">
        <f t="shared" si="63"/>
        <v>86.7</v>
      </c>
    </row>
    <row r="1993" spans="1:26" x14ac:dyDescent="0.3">
      <c r="A1993" s="7" t="s">
        <v>21</v>
      </c>
      <c r="B1993" t="s">
        <v>742</v>
      </c>
      <c r="C1993" t="s">
        <v>743</v>
      </c>
      <c r="D1993" t="s">
        <v>744</v>
      </c>
      <c r="E1993" t="s">
        <v>745</v>
      </c>
      <c r="F1993" t="s">
        <v>26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2</v>
      </c>
      <c r="T1993">
        <v>0</v>
      </c>
      <c r="U1993" t="s">
        <v>39</v>
      </c>
      <c r="W1993" s="2">
        <v>86.7</v>
      </c>
      <c r="X1993" s="3">
        <f t="shared" si="62"/>
        <v>173.4</v>
      </c>
      <c r="Y1993">
        <f>VLOOKUP(D1993,'[1]Cost Sheet'!$C:$D,2,0)</f>
        <v>86.7</v>
      </c>
      <c r="Z1993" s="3">
        <f t="shared" si="63"/>
        <v>173.4</v>
      </c>
    </row>
    <row r="1994" spans="1:26" x14ac:dyDescent="0.3">
      <c r="A1994" s="7" t="s">
        <v>21</v>
      </c>
      <c r="B1994" t="s">
        <v>742</v>
      </c>
      <c r="C1994" t="s">
        <v>743</v>
      </c>
      <c r="D1994" t="s">
        <v>744</v>
      </c>
      <c r="E1994" t="s">
        <v>745</v>
      </c>
      <c r="F1994" t="s">
        <v>26</v>
      </c>
      <c r="G1994">
        <v>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6</v>
      </c>
      <c r="T1994">
        <v>0</v>
      </c>
      <c r="U1994" t="s">
        <v>54</v>
      </c>
      <c r="W1994" s="2">
        <v>86.7</v>
      </c>
      <c r="X1994" s="3">
        <f t="shared" si="62"/>
        <v>520.20000000000005</v>
      </c>
      <c r="Y1994">
        <f>VLOOKUP(D1994,'[1]Cost Sheet'!$C:$D,2,0)</f>
        <v>86.7</v>
      </c>
      <c r="Z1994" s="3">
        <f t="shared" si="63"/>
        <v>520.20000000000005</v>
      </c>
    </row>
    <row r="1995" spans="1:26" x14ac:dyDescent="0.3">
      <c r="A1995" s="7" t="s">
        <v>21</v>
      </c>
      <c r="B1995" t="s">
        <v>742</v>
      </c>
      <c r="C1995" t="s">
        <v>743</v>
      </c>
      <c r="D1995" t="s">
        <v>744</v>
      </c>
      <c r="E1995" t="s">
        <v>745</v>
      </c>
      <c r="F1995" t="s">
        <v>26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3</v>
      </c>
      <c r="T1995">
        <v>0</v>
      </c>
      <c r="U1995" t="s">
        <v>33</v>
      </c>
      <c r="W1995" s="2">
        <v>86.7</v>
      </c>
      <c r="X1995" s="3">
        <f t="shared" si="62"/>
        <v>260.10000000000002</v>
      </c>
      <c r="Y1995">
        <f>VLOOKUP(D1995,'[1]Cost Sheet'!$C:$D,2,0)</f>
        <v>86.7</v>
      </c>
      <c r="Z1995" s="3">
        <f t="shared" si="63"/>
        <v>260.10000000000002</v>
      </c>
    </row>
    <row r="1996" spans="1:26" x14ac:dyDescent="0.3">
      <c r="A1996" s="7" t="s">
        <v>21</v>
      </c>
      <c r="B1996" t="s">
        <v>742</v>
      </c>
      <c r="C1996" t="s">
        <v>743</v>
      </c>
      <c r="D1996" t="s">
        <v>744</v>
      </c>
      <c r="E1996" t="s">
        <v>745</v>
      </c>
      <c r="F1996" t="s">
        <v>26</v>
      </c>
      <c r="G1996">
        <v>16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16</v>
      </c>
      <c r="T1996">
        <v>0</v>
      </c>
      <c r="U1996" t="s">
        <v>48</v>
      </c>
      <c r="W1996" s="2">
        <v>86.7</v>
      </c>
      <c r="X1996" s="3">
        <f t="shared" si="62"/>
        <v>1387.2</v>
      </c>
      <c r="Y1996">
        <f>VLOOKUP(D1996,'[1]Cost Sheet'!$C:$D,2,0)</f>
        <v>86.7</v>
      </c>
      <c r="Z1996" s="3">
        <f t="shared" si="63"/>
        <v>1387.2</v>
      </c>
    </row>
    <row r="1997" spans="1:26" x14ac:dyDescent="0.3">
      <c r="A1997" s="7" t="s">
        <v>21</v>
      </c>
      <c r="B1997" t="s">
        <v>746</v>
      </c>
      <c r="C1997" t="s">
        <v>747</v>
      </c>
      <c r="D1997" t="s">
        <v>748</v>
      </c>
      <c r="E1997" t="s">
        <v>749</v>
      </c>
      <c r="F1997" t="s">
        <v>26</v>
      </c>
      <c r="G1997">
        <v>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9</v>
      </c>
      <c r="T1997">
        <v>0</v>
      </c>
      <c r="U1997" t="s">
        <v>38</v>
      </c>
      <c r="W1997" s="2">
        <v>86.7</v>
      </c>
      <c r="X1997" s="3">
        <f t="shared" si="62"/>
        <v>780.30000000000007</v>
      </c>
      <c r="Y1997">
        <f>VLOOKUP(D1997,'[1]Cost Sheet'!$C:$D,2,0)</f>
        <v>86.7</v>
      </c>
      <c r="Z1997" s="3">
        <f t="shared" si="63"/>
        <v>780.30000000000007</v>
      </c>
    </row>
    <row r="1998" spans="1:26" x14ac:dyDescent="0.3">
      <c r="A1998" s="7" t="s">
        <v>21</v>
      </c>
      <c r="B1998" t="s">
        <v>746</v>
      </c>
      <c r="C1998" t="s">
        <v>747</v>
      </c>
      <c r="D1998" t="s">
        <v>748</v>
      </c>
      <c r="E1998" t="s">
        <v>749</v>
      </c>
      <c r="F1998" t="s">
        <v>26</v>
      </c>
      <c r="G1998">
        <v>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7</v>
      </c>
      <c r="T1998">
        <v>0</v>
      </c>
      <c r="U1998" t="s">
        <v>107</v>
      </c>
      <c r="W1998" s="2">
        <v>86.7</v>
      </c>
      <c r="X1998" s="3">
        <f t="shared" si="62"/>
        <v>606.9</v>
      </c>
      <c r="Y1998">
        <f>VLOOKUP(D1998,'[1]Cost Sheet'!$C:$D,2,0)</f>
        <v>86.7</v>
      </c>
      <c r="Z1998" s="3">
        <f t="shared" si="63"/>
        <v>606.9</v>
      </c>
    </row>
    <row r="1999" spans="1:26" x14ac:dyDescent="0.3">
      <c r="A1999" s="7" t="s">
        <v>21</v>
      </c>
      <c r="B1999" t="s">
        <v>746</v>
      </c>
      <c r="C1999" t="s">
        <v>747</v>
      </c>
      <c r="D1999" t="s">
        <v>748</v>
      </c>
      <c r="E1999" t="s">
        <v>749</v>
      </c>
      <c r="F1999" t="s">
        <v>26</v>
      </c>
      <c r="G1999">
        <v>50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50</v>
      </c>
      <c r="T1999">
        <v>0</v>
      </c>
      <c r="U1999" t="s">
        <v>45</v>
      </c>
      <c r="W1999" s="2">
        <v>86.7</v>
      </c>
      <c r="X1999" s="3">
        <f t="shared" si="62"/>
        <v>4335</v>
      </c>
      <c r="Y1999">
        <f>VLOOKUP(D1999,'[1]Cost Sheet'!$C:$D,2,0)</f>
        <v>86.7</v>
      </c>
      <c r="Z1999" s="3">
        <f t="shared" si="63"/>
        <v>4335</v>
      </c>
    </row>
    <row r="2000" spans="1:26" x14ac:dyDescent="0.3">
      <c r="A2000" s="7" t="s">
        <v>21</v>
      </c>
      <c r="B2000" t="s">
        <v>746</v>
      </c>
      <c r="C2000" t="s">
        <v>747</v>
      </c>
      <c r="D2000" t="s">
        <v>748</v>
      </c>
      <c r="E2000" t="s">
        <v>749</v>
      </c>
      <c r="F2000" t="s">
        <v>26</v>
      </c>
      <c r="G2000">
        <v>14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-1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13</v>
      </c>
      <c r="T2000">
        <v>0</v>
      </c>
      <c r="U2000" t="s">
        <v>39</v>
      </c>
      <c r="W2000" s="2">
        <v>86.7</v>
      </c>
      <c r="X2000" s="3">
        <f t="shared" si="62"/>
        <v>1127.1000000000001</v>
      </c>
      <c r="Y2000">
        <f>VLOOKUP(D2000,'[1]Cost Sheet'!$C:$D,2,0)</f>
        <v>86.7</v>
      </c>
      <c r="Z2000" s="3">
        <f t="shared" si="63"/>
        <v>1127.1000000000001</v>
      </c>
    </row>
    <row r="2001" spans="1:26" x14ac:dyDescent="0.3">
      <c r="A2001" s="7" t="s">
        <v>21</v>
      </c>
      <c r="B2001" t="s">
        <v>746</v>
      </c>
      <c r="C2001" t="s">
        <v>747</v>
      </c>
      <c r="D2001" t="s">
        <v>748</v>
      </c>
      <c r="E2001" t="s">
        <v>749</v>
      </c>
      <c r="F2001" t="s">
        <v>26</v>
      </c>
      <c r="G2001">
        <v>0</v>
      </c>
      <c r="H2001">
        <v>0</v>
      </c>
      <c r="I2001">
        <v>0</v>
      </c>
      <c r="J2001">
        <v>-1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s">
        <v>53</v>
      </c>
      <c r="W2001" s="2">
        <v>86.7</v>
      </c>
      <c r="X2001" s="3">
        <f t="shared" si="62"/>
        <v>0</v>
      </c>
      <c r="Y2001">
        <f>VLOOKUP(D2001,'[1]Cost Sheet'!$C:$D,2,0)</f>
        <v>86.7</v>
      </c>
      <c r="Z2001" s="3">
        <f t="shared" si="63"/>
        <v>0</v>
      </c>
    </row>
    <row r="2002" spans="1:26" x14ac:dyDescent="0.3">
      <c r="A2002" s="7" t="s">
        <v>21</v>
      </c>
      <c r="B2002" t="s">
        <v>746</v>
      </c>
      <c r="C2002" t="s">
        <v>747</v>
      </c>
      <c r="D2002" t="s">
        <v>748</v>
      </c>
      <c r="E2002" t="s">
        <v>749</v>
      </c>
      <c r="F2002" t="s">
        <v>26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 t="s">
        <v>32</v>
      </c>
      <c r="W2002" s="2">
        <v>86.7</v>
      </c>
      <c r="X2002" s="3">
        <f t="shared" si="62"/>
        <v>86.7</v>
      </c>
      <c r="Y2002">
        <f>VLOOKUP(D2002,'[1]Cost Sheet'!$C:$D,2,0)</f>
        <v>86.7</v>
      </c>
      <c r="Z2002" s="3">
        <f t="shared" si="63"/>
        <v>86.7</v>
      </c>
    </row>
    <row r="2003" spans="1:26" x14ac:dyDescent="0.3">
      <c r="A2003" s="7" t="s">
        <v>21</v>
      </c>
      <c r="B2003" t="s">
        <v>746</v>
      </c>
      <c r="C2003" t="s">
        <v>747</v>
      </c>
      <c r="D2003" t="s">
        <v>748</v>
      </c>
      <c r="E2003" t="s">
        <v>749</v>
      </c>
      <c r="F2003" t="s">
        <v>26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 t="s">
        <v>33</v>
      </c>
      <c r="W2003" s="2">
        <v>86.7</v>
      </c>
      <c r="X2003" s="3">
        <f t="shared" si="62"/>
        <v>86.7</v>
      </c>
      <c r="Y2003">
        <f>VLOOKUP(D2003,'[1]Cost Sheet'!$C:$D,2,0)</f>
        <v>86.7</v>
      </c>
      <c r="Z2003" s="3">
        <f t="shared" si="63"/>
        <v>86.7</v>
      </c>
    </row>
    <row r="2004" spans="1:26" x14ac:dyDescent="0.3">
      <c r="A2004" s="7" t="s">
        <v>21</v>
      </c>
      <c r="B2004" t="s">
        <v>746</v>
      </c>
      <c r="C2004" t="s">
        <v>747</v>
      </c>
      <c r="D2004" t="s">
        <v>748</v>
      </c>
      <c r="E2004" t="s">
        <v>749</v>
      </c>
      <c r="F2004" t="s">
        <v>26</v>
      </c>
      <c r="G2004">
        <v>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7</v>
      </c>
      <c r="T2004">
        <v>0</v>
      </c>
      <c r="U2004" t="s">
        <v>46</v>
      </c>
      <c r="W2004" s="2">
        <v>86.7</v>
      </c>
      <c r="X2004" s="3">
        <f t="shared" si="62"/>
        <v>606.9</v>
      </c>
      <c r="Y2004">
        <f>VLOOKUP(D2004,'[1]Cost Sheet'!$C:$D,2,0)</f>
        <v>86.7</v>
      </c>
      <c r="Z2004" s="3">
        <f t="shared" si="63"/>
        <v>606.9</v>
      </c>
    </row>
    <row r="2005" spans="1:26" x14ac:dyDescent="0.3">
      <c r="A2005" s="7" t="s">
        <v>21</v>
      </c>
      <c r="B2005" t="s">
        <v>746</v>
      </c>
      <c r="C2005" t="s">
        <v>747</v>
      </c>
      <c r="D2005" t="s">
        <v>748</v>
      </c>
      <c r="E2005" t="s">
        <v>749</v>
      </c>
      <c r="F2005" t="s">
        <v>26</v>
      </c>
      <c r="G2005">
        <v>7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7</v>
      </c>
      <c r="T2005">
        <v>0</v>
      </c>
      <c r="U2005" t="s">
        <v>40</v>
      </c>
      <c r="W2005" s="2">
        <v>86.7</v>
      </c>
      <c r="X2005" s="3">
        <f t="shared" si="62"/>
        <v>606.9</v>
      </c>
      <c r="Y2005">
        <f>VLOOKUP(D2005,'[1]Cost Sheet'!$C:$D,2,0)</f>
        <v>86.7</v>
      </c>
      <c r="Z2005" s="3">
        <f t="shared" si="63"/>
        <v>606.9</v>
      </c>
    </row>
    <row r="2006" spans="1:26" x14ac:dyDescent="0.3">
      <c r="A2006" s="7" t="s">
        <v>21</v>
      </c>
      <c r="B2006" t="s">
        <v>746</v>
      </c>
      <c r="C2006" t="s">
        <v>747</v>
      </c>
      <c r="D2006" t="s">
        <v>748</v>
      </c>
      <c r="E2006" t="s">
        <v>749</v>
      </c>
      <c r="F2006" t="s">
        <v>26</v>
      </c>
      <c r="G2006">
        <v>10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10</v>
      </c>
      <c r="T2006">
        <v>0</v>
      </c>
      <c r="U2006" t="s">
        <v>120</v>
      </c>
      <c r="W2006" s="2">
        <v>86.7</v>
      </c>
      <c r="X2006" s="3">
        <f t="shared" si="62"/>
        <v>867</v>
      </c>
      <c r="Y2006">
        <f>VLOOKUP(D2006,'[1]Cost Sheet'!$C:$D,2,0)</f>
        <v>86.7</v>
      </c>
      <c r="Z2006" s="3">
        <f t="shared" si="63"/>
        <v>867</v>
      </c>
    </row>
    <row r="2007" spans="1:26" x14ac:dyDescent="0.3">
      <c r="A2007" s="7" t="s">
        <v>21</v>
      </c>
      <c r="B2007" t="s">
        <v>746</v>
      </c>
      <c r="C2007" t="s">
        <v>747</v>
      </c>
      <c r="D2007" t="s">
        <v>748</v>
      </c>
      <c r="E2007" t="s">
        <v>749</v>
      </c>
      <c r="F2007" t="s">
        <v>26</v>
      </c>
      <c r="G2007">
        <v>9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9</v>
      </c>
      <c r="T2007">
        <v>0</v>
      </c>
      <c r="U2007" t="s">
        <v>48</v>
      </c>
      <c r="W2007" s="2">
        <v>86.7</v>
      </c>
      <c r="X2007" s="3">
        <f t="shared" si="62"/>
        <v>780.30000000000007</v>
      </c>
      <c r="Y2007">
        <f>VLOOKUP(D2007,'[1]Cost Sheet'!$C:$D,2,0)</f>
        <v>86.7</v>
      </c>
      <c r="Z2007" s="3">
        <f t="shared" si="63"/>
        <v>780.30000000000007</v>
      </c>
    </row>
    <row r="2008" spans="1:26" x14ac:dyDescent="0.3">
      <c r="A2008" s="7" t="s">
        <v>21</v>
      </c>
      <c r="B2008" t="s">
        <v>750</v>
      </c>
      <c r="C2008" t="s">
        <v>751</v>
      </c>
      <c r="D2008" t="s">
        <v>752</v>
      </c>
      <c r="E2008" t="s">
        <v>753</v>
      </c>
      <c r="F2008" t="s">
        <v>26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 t="s">
        <v>45</v>
      </c>
      <c r="W2008" s="2">
        <v>120.58</v>
      </c>
      <c r="X2008" s="3">
        <f t="shared" si="62"/>
        <v>120.58</v>
      </c>
      <c r="Y2008">
        <f>VLOOKUP(D2008,'[1]Cost Sheet'!$C:$D,2,0)</f>
        <v>120.58</v>
      </c>
      <c r="Z2008" s="3">
        <f t="shared" si="63"/>
        <v>120.58</v>
      </c>
    </row>
    <row r="2009" spans="1:26" x14ac:dyDescent="0.3">
      <c r="A2009" s="7" t="s">
        <v>21</v>
      </c>
      <c r="B2009" t="s">
        <v>750</v>
      </c>
      <c r="C2009" t="s">
        <v>751</v>
      </c>
      <c r="D2009" t="s">
        <v>752</v>
      </c>
      <c r="E2009" t="s">
        <v>753</v>
      </c>
      <c r="F2009" t="s">
        <v>26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32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32</v>
      </c>
      <c r="T2009">
        <v>0</v>
      </c>
      <c r="U2009" t="s">
        <v>33</v>
      </c>
      <c r="W2009" s="2">
        <v>120.58</v>
      </c>
      <c r="X2009" s="3">
        <f t="shared" si="62"/>
        <v>3858.56</v>
      </c>
      <c r="Y2009">
        <f>VLOOKUP(D2009,'[1]Cost Sheet'!$C:$D,2,0)</f>
        <v>120.58</v>
      </c>
      <c r="Z2009" s="3">
        <f t="shared" si="63"/>
        <v>3858.56</v>
      </c>
    </row>
    <row r="2010" spans="1:26" x14ac:dyDescent="0.3">
      <c r="A2010" s="7" t="s">
        <v>21</v>
      </c>
      <c r="B2010" t="s">
        <v>754</v>
      </c>
      <c r="C2010" t="s">
        <v>755</v>
      </c>
      <c r="D2010" t="s">
        <v>756</v>
      </c>
      <c r="E2010" t="s">
        <v>757</v>
      </c>
      <c r="F2010" t="s">
        <v>26</v>
      </c>
      <c r="G2010">
        <v>48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48</v>
      </c>
      <c r="T2010">
        <v>0</v>
      </c>
      <c r="U2010" t="s">
        <v>45</v>
      </c>
      <c r="W2010" s="2">
        <v>73.05</v>
      </c>
      <c r="X2010" s="3">
        <f t="shared" si="62"/>
        <v>3506.3999999999996</v>
      </c>
      <c r="Y2010">
        <f>VLOOKUP(D2010,'[1]Cost Sheet'!$C:$D,2,0)</f>
        <v>73.17</v>
      </c>
      <c r="Z2010" s="3">
        <f t="shared" si="63"/>
        <v>3512.16</v>
      </c>
    </row>
    <row r="2011" spans="1:26" x14ac:dyDescent="0.3">
      <c r="A2011" s="7" t="s">
        <v>21</v>
      </c>
      <c r="B2011" t="s">
        <v>754</v>
      </c>
      <c r="C2011" t="s">
        <v>755</v>
      </c>
      <c r="D2011" t="s">
        <v>756</v>
      </c>
      <c r="E2011" t="s">
        <v>757</v>
      </c>
      <c r="F2011" t="s">
        <v>26</v>
      </c>
      <c r="G2011">
        <v>17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17</v>
      </c>
      <c r="T2011">
        <v>0</v>
      </c>
      <c r="U2011" t="s">
        <v>39</v>
      </c>
      <c r="W2011" s="2">
        <v>73.05</v>
      </c>
      <c r="X2011" s="3">
        <f t="shared" si="62"/>
        <v>1241.8499999999999</v>
      </c>
      <c r="Y2011">
        <f>VLOOKUP(D2011,'[1]Cost Sheet'!$C:$D,2,0)</f>
        <v>73.17</v>
      </c>
      <c r="Z2011" s="3">
        <f t="shared" si="63"/>
        <v>1243.8900000000001</v>
      </c>
    </row>
    <row r="2012" spans="1:26" x14ac:dyDescent="0.3">
      <c r="A2012" s="7" t="s">
        <v>21</v>
      </c>
      <c r="B2012" t="s">
        <v>754</v>
      </c>
      <c r="C2012" t="s">
        <v>755</v>
      </c>
      <c r="D2012" t="s">
        <v>756</v>
      </c>
      <c r="E2012" t="s">
        <v>757</v>
      </c>
      <c r="F2012" t="s">
        <v>26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 t="s">
        <v>53</v>
      </c>
      <c r="W2012" s="2">
        <v>73.05</v>
      </c>
      <c r="X2012" s="3">
        <f t="shared" si="62"/>
        <v>73.05</v>
      </c>
      <c r="Y2012">
        <f>VLOOKUP(D2012,'[1]Cost Sheet'!$C:$D,2,0)</f>
        <v>73.17</v>
      </c>
      <c r="Z2012" s="3">
        <f t="shared" si="63"/>
        <v>73.17</v>
      </c>
    </row>
    <row r="2013" spans="1:26" x14ac:dyDescent="0.3">
      <c r="A2013" s="7" t="s">
        <v>21</v>
      </c>
      <c r="B2013" t="s">
        <v>754</v>
      </c>
      <c r="C2013" t="s">
        <v>755</v>
      </c>
      <c r="D2013" t="s">
        <v>756</v>
      </c>
      <c r="E2013" t="s">
        <v>757</v>
      </c>
      <c r="F2013" t="s">
        <v>26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 t="s">
        <v>46</v>
      </c>
      <c r="W2013" s="2">
        <v>73.05</v>
      </c>
      <c r="X2013" s="3">
        <f t="shared" si="62"/>
        <v>73.05</v>
      </c>
      <c r="Y2013">
        <f>VLOOKUP(D2013,'[1]Cost Sheet'!$C:$D,2,0)</f>
        <v>73.17</v>
      </c>
      <c r="Z2013" s="3">
        <f t="shared" si="63"/>
        <v>73.17</v>
      </c>
    </row>
    <row r="2014" spans="1:26" x14ac:dyDescent="0.3">
      <c r="A2014" s="7" t="s">
        <v>21</v>
      </c>
      <c r="B2014" t="s">
        <v>758</v>
      </c>
      <c r="C2014" t="s">
        <v>759</v>
      </c>
      <c r="D2014" t="s">
        <v>760</v>
      </c>
      <c r="E2014" t="s">
        <v>761</v>
      </c>
      <c r="F2014" t="s">
        <v>106</v>
      </c>
      <c r="G2014">
        <v>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5</v>
      </c>
      <c r="T2014">
        <v>0</v>
      </c>
      <c r="U2014" t="s">
        <v>38</v>
      </c>
      <c r="W2014" s="2">
        <v>98.299999999999983</v>
      </c>
      <c r="X2014" s="3">
        <f t="shared" si="62"/>
        <v>491.49999999999989</v>
      </c>
      <c r="Y2014">
        <f>VLOOKUP(D2014,'[1]Cost Sheet'!$C:$D,2,0)</f>
        <v>98.299999999999983</v>
      </c>
      <c r="Z2014" s="3">
        <f t="shared" si="63"/>
        <v>491.49999999999989</v>
      </c>
    </row>
    <row r="2015" spans="1:26" x14ac:dyDescent="0.3">
      <c r="A2015" s="7" t="s">
        <v>21</v>
      </c>
      <c r="B2015" t="s">
        <v>758</v>
      </c>
      <c r="C2015" t="s">
        <v>759</v>
      </c>
      <c r="D2015" t="s">
        <v>760</v>
      </c>
      <c r="E2015" t="s">
        <v>761</v>
      </c>
      <c r="F2015" t="s">
        <v>106</v>
      </c>
      <c r="G2015">
        <v>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6</v>
      </c>
      <c r="T2015">
        <v>0</v>
      </c>
      <c r="U2015" t="s">
        <v>39</v>
      </c>
      <c r="W2015" s="2">
        <v>98.299999999999983</v>
      </c>
      <c r="X2015" s="3">
        <f t="shared" si="62"/>
        <v>589.79999999999995</v>
      </c>
      <c r="Y2015">
        <f>VLOOKUP(D2015,'[1]Cost Sheet'!$C:$D,2,0)</f>
        <v>98.299999999999983</v>
      </c>
      <c r="Z2015" s="3">
        <f t="shared" si="63"/>
        <v>589.79999999999995</v>
      </c>
    </row>
    <row r="2016" spans="1:26" x14ac:dyDescent="0.3">
      <c r="A2016" s="7" t="s">
        <v>21</v>
      </c>
      <c r="B2016" t="s">
        <v>758</v>
      </c>
      <c r="C2016" t="s">
        <v>759</v>
      </c>
      <c r="D2016" t="s">
        <v>760</v>
      </c>
      <c r="E2016" t="s">
        <v>761</v>
      </c>
      <c r="F2016" t="s">
        <v>106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0</v>
      </c>
      <c r="U2016" t="s">
        <v>53</v>
      </c>
      <c r="W2016" s="2">
        <v>98.299999999999983</v>
      </c>
      <c r="X2016" s="3">
        <f t="shared" si="62"/>
        <v>98.299999999999983</v>
      </c>
      <c r="Y2016">
        <f>VLOOKUP(D2016,'[1]Cost Sheet'!$C:$D,2,0)</f>
        <v>98.299999999999983</v>
      </c>
      <c r="Z2016" s="3">
        <f t="shared" si="63"/>
        <v>98.299999999999983</v>
      </c>
    </row>
    <row r="2017" spans="1:26" x14ac:dyDescent="0.3">
      <c r="A2017" s="7" t="s">
        <v>21</v>
      </c>
      <c r="B2017" t="s">
        <v>758</v>
      </c>
      <c r="C2017" t="s">
        <v>759</v>
      </c>
      <c r="D2017" t="s">
        <v>760</v>
      </c>
      <c r="E2017" t="s">
        <v>761</v>
      </c>
      <c r="F2017" t="s">
        <v>106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 t="s">
        <v>32</v>
      </c>
      <c r="W2017" s="2">
        <v>98.299999999999983</v>
      </c>
      <c r="X2017" s="3">
        <f t="shared" si="62"/>
        <v>98.299999999999983</v>
      </c>
      <c r="Y2017">
        <f>VLOOKUP(D2017,'[1]Cost Sheet'!$C:$D,2,0)</f>
        <v>98.299999999999983</v>
      </c>
      <c r="Z2017" s="3">
        <f t="shared" si="63"/>
        <v>98.299999999999983</v>
      </c>
    </row>
    <row r="2018" spans="1:26" x14ac:dyDescent="0.3">
      <c r="A2018" s="7" t="s">
        <v>21</v>
      </c>
      <c r="B2018" t="s">
        <v>758</v>
      </c>
      <c r="C2018" t="s">
        <v>759</v>
      </c>
      <c r="D2018" t="s">
        <v>760</v>
      </c>
      <c r="E2018" t="s">
        <v>761</v>
      </c>
      <c r="F2018" t="s">
        <v>106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 t="s">
        <v>46</v>
      </c>
      <c r="W2018" s="2">
        <v>98.299999999999983</v>
      </c>
      <c r="X2018" s="3">
        <f t="shared" si="62"/>
        <v>98.299999999999983</v>
      </c>
      <c r="Y2018">
        <f>VLOOKUP(D2018,'[1]Cost Sheet'!$C:$D,2,0)</f>
        <v>98.299999999999983</v>
      </c>
      <c r="Z2018" s="3">
        <f t="shared" si="63"/>
        <v>98.299999999999983</v>
      </c>
    </row>
    <row r="2019" spans="1:26" x14ac:dyDescent="0.3">
      <c r="A2019" s="7" t="s">
        <v>21</v>
      </c>
      <c r="B2019" t="s">
        <v>758</v>
      </c>
      <c r="C2019" t="s">
        <v>759</v>
      </c>
      <c r="D2019" t="s">
        <v>760</v>
      </c>
      <c r="E2019" t="s">
        <v>761</v>
      </c>
      <c r="F2019" t="s">
        <v>106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 t="s">
        <v>40</v>
      </c>
      <c r="W2019" s="2">
        <v>98.299999999999983</v>
      </c>
      <c r="X2019" s="3">
        <f t="shared" si="62"/>
        <v>98.299999999999983</v>
      </c>
      <c r="Y2019">
        <f>VLOOKUP(D2019,'[1]Cost Sheet'!$C:$D,2,0)</f>
        <v>98.299999999999983</v>
      </c>
      <c r="Z2019" s="3">
        <f t="shared" si="63"/>
        <v>98.299999999999983</v>
      </c>
    </row>
    <row r="2020" spans="1:26" x14ac:dyDescent="0.3">
      <c r="A2020" s="7" t="s">
        <v>21</v>
      </c>
      <c r="B2020" t="s">
        <v>758</v>
      </c>
      <c r="C2020" t="s">
        <v>759</v>
      </c>
      <c r="D2020" t="s">
        <v>760</v>
      </c>
      <c r="E2020" t="s">
        <v>761</v>
      </c>
      <c r="F2020" t="s">
        <v>26</v>
      </c>
      <c r="G2020">
        <v>2</v>
      </c>
      <c r="H2020">
        <v>0</v>
      </c>
      <c r="I2020">
        <v>0</v>
      </c>
      <c r="J2020">
        <v>-1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 t="s">
        <v>45</v>
      </c>
      <c r="W2020" s="2">
        <v>98.299999999999983</v>
      </c>
      <c r="X2020" s="3">
        <f t="shared" si="62"/>
        <v>98.299999999999983</v>
      </c>
      <c r="Y2020">
        <f>VLOOKUP(D2020,'[1]Cost Sheet'!$C:$D,2,0)</f>
        <v>98.299999999999983</v>
      </c>
      <c r="Z2020" s="3">
        <f t="shared" si="63"/>
        <v>98.299999999999983</v>
      </c>
    </row>
    <row r="2021" spans="1:26" x14ac:dyDescent="0.3">
      <c r="A2021" s="7" t="s">
        <v>21</v>
      </c>
      <c r="B2021" t="s">
        <v>758</v>
      </c>
      <c r="C2021" t="s">
        <v>759</v>
      </c>
      <c r="D2021" t="s">
        <v>760</v>
      </c>
      <c r="E2021" t="s">
        <v>761</v>
      </c>
      <c r="F2021" t="s">
        <v>26</v>
      </c>
      <c r="G2021">
        <v>35</v>
      </c>
      <c r="H2021">
        <v>0</v>
      </c>
      <c r="I2021">
        <v>0</v>
      </c>
      <c r="J2021">
        <v>-2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33</v>
      </c>
      <c r="T2021">
        <v>0</v>
      </c>
      <c r="U2021" t="s">
        <v>39</v>
      </c>
      <c r="W2021" s="2">
        <v>98.299999999999983</v>
      </c>
      <c r="X2021" s="3">
        <f t="shared" si="62"/>
        <v>3243.8999999999996</v>
      </c>
      <c r="Y2021">
        <f>VLOOKUP(D2021,'[1]Cost Sheet'!$C:$D,2,0)</f>
        <v>98.299999999999983</v>
      </c>
      <c r="Z2021" s="3">
        <f t="shared" si="63"/>
        <v>3243.8999999999996</v>
      </c>
    </row>
    <row r="2022" spans="1:26" x14ac:dyDescent="0.3">
      <c r="A2022" s="7" t="s">
        <v>21</v>
      </c>
      <c r="B2022" t="s">
        <v>758</v>
      </c>
      <c r="C2022" t="s">
        <v>759</v>
      </c>
      <c r="D2022" t="s">
        <v>760</v>
      </c>
      <c r="E2022" t="s">
        <v>761</v>
      </c>
      <c r="F2022" t="s">
        <v>26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-1</v>
      </c>
      <c r="S2022">
        <v>0</v>
      </c>
      <c r="T2022">
        <v>0</v>
      </c>
      <c r="U2022" t="s">
        <v>53</v>
      </c>
      <c r="W2022" s="2">
        <v>98.299999999999983</v>
      </c>
      <c r="X2022" s="3">
        <f t="shared" si="62"/>
        <v>0</v>
      </c>
      <c r="Y2022">
        <f>VLOOKUP(D2022,'[1]Cost Sheet'!$C:$D,2,0)</f>
        <v>98.299999999999983</v>
      </c>
      <c r="Z2022" s="3">
        <f t="shared" si="63"/>
        <v>0</v>
      </c>
    </row>
    <row r="2023" spans="1:26" x14ac:dyDescent="0.3">
      <c r="A2023" s="7" t="s">
        <v>21</v>
      </c>
      <c r="B2023" t="s">
        <v>758</v>
      </c>
      <c r="C2023" t="s">
        <v>759</v>
      </c>
      <c r="D2023" t="s">
        <v>760</v>
      </c>
      <c r="E2023" t="s">
        <v>761</v>
      </c>
      <c r="F2023" t="s">
        <v>26</v>
      </c>
      <c r="G2023">
        <v>29</v>
      </c>
      <c r="H2023">
        <v>14</v>
      </c>
      <c r="I2023">
        <v>0</v>
      </c>
      <c r="J2023">
        <v>-1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28</v>
      </c>
      <c r="T2023">
        <v>0</v>
      </c>
      <c r="U2023" t="s">
        <v>54</v>
      </c>
      <c r="W2023" s="2">
        <v>98.299999999999983</v>
      </c>
      <c r="X2023" s="3">
        <f t="shared" si="62"/>
        <v>2752.3999999999996</v>
      </c>
      <c r="Y2023">
        <f>VLOOKUP(D2023,'[1]Cost Sheet'!$C:$D,2,0)</f>
        <v>98.299999999999983</v>
      </c>
      <c r="Z2023" s="3">
        <f t="shared" si="63"/>
        <v>2752.3999999999996</v>
      </c>
    </row>
    <row r="2024" spans="1:26" x14ac:dyDescent="0.3">
      <c r="A2024" s="7" t="s">
        <v>21</v>
      </c>
      <c r="B2024" t="s">
        <v>758</v>
      </c>
      <c r="C2024" t="s">
        <v>759</v>
      </c>
      <c r="D2024" t="s">
        <v>760</v>
      </c>
      <c r="E2024" t="s">
        <v>761</v>
      </c>
      <c r="F2024" t="s">
        <v>26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-1</v>
      </c>
      <c r="P2024">
        <v>0</v>
      </c>
      <c r="Q2024">
        <v>0</v>
      </c>
      <c r="R2024">
        <v>0</v>
      </c>
      <c r="S2024">
        <v>0</v>
      </c>
      <c r="T2024">
        <v>0</v>
      </c>
      <c r="U2024" t="s">
        <v>32</v>
      </c>
      <c r="W2024" s="2">
        <v>98.299999999999983</v>
      </c>
      <c r="X2024" s="3">
        <f t="shared" si="62"/>
        <v>0</v>
      </c>
      <c r="Y2024">
        <f>VLOOKUP(D2024,'[1]Cost Sheet'!$C:$D,2,0)</f>
        <v>98.299999999999983</v>
      </c>
      <c r="Z2024" s="3">
        <f t="shared" si="63"/>
        <v>0</v>
      </c>
    </row>
    <row r="2025" spans="1:26" x14ac:dyDescent="0.3">
      <c r="A2025" s="7" t="s">
        <v>21</v>
      </c>
      <c r="B2025" t="s">
        <v>758</v>
      </c>
      <c r="C2025" t="s">
        <v>759</v>
      </c>
      <c r="D2025" t="s">
        <v>760</v>
      </c>
      <c r="E2025" t="s">
        <v>761</v>
      </c>
      <c r="F2025" t="s">
        <v>26</v>
      </c>
      <c r="G2025">
        <v>1</v>
      </c>
      <c r="H2025">
        <v>0</v>
      </c>
      <c r="I2025">
        <v>0</v>
      </c>
      <c r="J2025">
        <v>-1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t="s">
        <v>111</v>
      </c>
      <c r="W2025" s="2">
        <v>98.299999999999983</v>
      </c>
      <c r="X2025" s="3">
        <f t="shared" si="62"/>
        <v>0</v>
      </c>
      <c r="Y2025">
        <f>VLOOKUP(D2025,'[1]Cost Sheet'!$C:$D,2,0)</f>
        <v>98.299999999999983</v>
      </c>
      <c r="Z2025" s="3">
        <f t="shared" si="63"/>
        <v>0</v>
      </c>
    </row>
    <row r="2026" spans="1:26" x14ac:dyDescent="0.3">
      <c r="A2026" s="7" t="s">
        <v>21</v>
      </c>
      <c r="B2026" t="s">
        <v>758</v>
      </c>
      <c r="C2026" t="s">
        <v>759</v>
      </c>
      <c r="D2026" t="s">
        <v>760</v>
      </c>
      <c r="E2026" t="s">
        <v>761</v>
      </c>
      <c r="F2026" t="s">
        <v>26</v>
      </c>
      <c r="G2026">
        <v>43</v>
      </c>
      <c r="H2026">
        <v>0</v>
      </c>
      <c r="I2026">
        <v>0</v>
      </c>
      <c r="J2026">
        <v>-1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42</v>
      </c>
      <c r="T2026">
        <v>0</v>
      </c>
      <c r="U2026" t="s">
        <v>40</v>
      </c>
      <c r="W2026" s="2">
        <v>98.299999999999983</v>
      </c>
      <c r="X2026" s="3">
        <f t="shared" si="62"/>
        <v>4128.5999999999995</v>
      </c>
      <c r="Y2026">
        <f>VLOOKUP(D2026,'[1]Cost Sheet'!$C:$D,2,0)</f>
        <v>98.299999999999983</v>
      </c>
      <c r="Z2026" s="3">
        <f t="shared" si="63"/>
        <v>4128.5999999999995</v>
      </c>
    </row>
    <row r="2027" spans="1:26" x14ac:dyDescent="0.3">
      <c r="A2027" s="7" t="s">
        <v>21</v>
      </c>
      <c r="B2027" t="s">
        <v>758</v>
      </c>
      <c r="C2027" t="s">
        <v>759</v>
      </c>
      <c r="D2027" t="s">
        <v>760</v>
      </c>
      <c r="E2027" t="s">
        <v>761</v>
      </c>
      <c r="F2027" t="s">
        <v>26</v>
      </c>
      <c r="G2027">
        <v>4</v>
      </c>
      <c r="H2027">
        <v>0</v>
      </c>
      <c r="I2027">
        <v>0</v>
      </c>
      <c r="J2027">
        <v>-1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3</v>
      </c>
      <c r="T2027">
        <v>0</v>
      </c>
      <c r="U2027" t="s">
        <v>27</v>
      </c>
      <c r="W2027" s="2">
        <v>98.299999999999983</v>
      </c>
      <c r="X2027" s="3">
        <f t="shared" si="62"/>
        <v>294.89999999999998</v>
      </c>
      <c r="Y2027">
        <f>VLOOKUP(D2027,'[1]Cost Sheet'!$C:$D,2,0)</f>
        <v>98.299999999999983</v>
      </c>
      <c r="Z2027" s="3">
        <f t="shared" si="63"/>
        <v>294.89999999999998</v>
      </c>
    </row>
    <row r="2028" spans="1:26" x14ac:dyDescent="0.3">
      <c r="A2028" s="7" t="s">
        <v>21</v>
      </c>
      <c r="B2028" t="s">
        <v>762</v>
      </c>
      <c r="C2028" t="s">
        <v>763</v>
      </c>
      <c r="D2028" t="s">
        <v>764</v>
      </c>
      <c r="E2028" t="s">
        <v>765</v>
      </c>
      <c r="F2028" t="s">
        <v>106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 t="s">
        <v>32</v>
      </c>
      <c r="W2028" s="2">
        <v>98.3</v>
      </c>
      <c r="X2028" s="3">
        <f t="shared" si="62"/>
        <v>98.3</v>
      </c>
      <c r="Y2028">
        <f>VLOOKUP(D2028,'[1]Cost Sheet'!$C:$D,2,0)</f>
        <v>98.3</v>
      </c>
      <c r="Z2028" s="3">
        <f t="shared" si="63"/>
        <v>98.3</v>
      </c>
    </row>
    <row r="2029" spans="1:26" x14ac:dyDescent="0.3">
      <c r="A2029" s="7" t="s">
        <v>21</v>
      </c>
      <c r="B2029" t="s">
        <v>762</v>
      </c>
      <c r="C2029" t="s">
        <v>763</v>
      </c>
      <c r="D2029" t="s">
        <v>764</v>
      </c>
      <c r="E2029" t="s">
        <v>765</v>
      </c>
      <c r="F2029" t="s">
        <v>106</v>
      </c>
      <c r="G2029">
        <v>1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 t="s">
        <v>109</v>
      </c>
      <c r="W2029" s="2">
        <v>98.3</v>
      </c>
      <c r="X2029" s="3">
        <f t="shared" si="62"/>
        <v>98.3</v>
      </c>
      <c r="Y2029">
        <f>VLOOKUP(D2029,'[1]Cost Sheet'!$C:$D,2,0)</f>
        <v>98.3</v>
      </c>
      <c r="Z2029" s="3">
        <f t="shared" si="63"/>
        <v>98.3</v>
      </c>
    </row>
    <row r="2030" spans="1:26" x14ac:dyDescent="0.3">
      <c r="A2030" s="7" t="s">
        <v>21</v>
      </c>
      <c r="B2030" t="s">
        <v>762</v>
      </c>
      <c r="C2030" t="s">
        <v>763</v>
      </c>
      <c r="D2030" t="s">
        <v>764</v>
      </c>
      <c r="E2030" t="s">
        <v>765</v>
      </c>
      <c r="F2030" t="s">
        <v>130</v>
      </c>
      <c r="G2030">
        <v>3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3</v>
      </c>
      <c r="T2030">
        <v>0</v>
      </c>
      <c r="U2030" t="s">
        <v>109</v>
      </c>
      <c r="W2030" s="2">
        <v>98.3</v>
      </c>
      <c r="X2030" s="3">
        <f t="shared" si="62"/>
        <v>294.89999999999998</v>
      </c>
      <c r="Y2030">
        <f>VLOOKUP(D2030,'[1]Cost Sheet'!$C:$D,2,0)</f>
        <v>98.3</v>
      </c>
      <c r="Z2030" s="3">
        <f t="shared" si="63"/>
        <v>294.89999999999998</v>
      </c>
    </row>
    <row r="2031" spans="1:26" x14ac:dyDescent="0.3">
      <c r="A2031" s="7" t="s">
        <v>21</v>
      </c>
      <c r="B2031" t="s">
        <v>762</v>
      </c>
      <c r="C2031" t="s">
        <v>763</v>
      </c>
      <c r="D2031" t="s">
        <v>764</v>
      </c>
      <c r="E2031" t="s">
        <v>765</v>
      </c>
      <c r="F2031" t="s">
        <v>26</v>
      </c>
      <c r="G2031">
        <v>39</v>
      </c>
      <c r="H2031">
        <v>0</v>
      </c>
      <c r="I2031">
        <v>0</v>
      </c>
      <c r="J2031">
        <v>-2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37</v>
      </c>
      <c r="T2031">
        <v>0</v>
      </c>
      <c r="U2031" t="s">
        <v>32</v>
      </c>
      <c r="W2031" s="2">
        <v>98.3</v>
      </c>
      <c r="X2031" s="3">
        <f t="shared" si="62"/>
        <v>3637.1</v>
      </c>
      <c r="Y2031">
        <f>VLOOKUP(D2031,'[1]Cost Sheet'!$C:$D,2,0)</f>
        <v>98.3</v>
      </c>
      <c r="Z2031" s="3">
        <f t="shared" si="63"/>
        <v>3637.1</v>
      </c>
    </row>
    <row r="2032" spans="1:26" x14ac:dyDescent="0.3">
      <c r="A2032" s="7" t="s">
        <v>21</v>
      </c>
      <c r="B2032" t="s">
        <v>766</v>
      </c>
      <c r="C2032" t="s">
        <v>767</v>
      </c>
      <c r="D2032" t="s">
        <v>768</v>
      </c>
      <c r="E2032" t="s">
        <v>769</v>
      </c>
      <c r="F2032" t="s">
        <v>106</v>
      </c>
      <c r="G2032">
        <v>4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</v>
      </c>
      <c r="T2032">
        <v>0</v>
      </c>
      <c r="U2032" t="s">
        <v>46</v>
      </c>
      <c r="W2032" s="2">
        <v>98.3</v>
      </c>
      <c r="X2032" s="3">
        <f t="shared" si="62"/>
        <v>393.2</v>
      </c>
      <c r="Y2032">
        <f>VLOOKUP(D2032,'[1]Cost Sheet'!$C:$D,2,0)</f>
        <v>98.3</v>
      </c>
      <c r="Z2032" s="3">
        <f t="shared" si="63"/>
        <v>393.2</v>
      </c>
    </row>
    <row r="2033" spans="1:26" x14ac:dyDescent="0.3">
      <c r="A2033" s="7" t="s">
        <v>21</v>
      </c>
      <c r="B2033" t="s">
        <v>766</v>
      </c>
      <c r="C2033" t="s">
        <v>767</v>
      </c>
      <c r="D2033" t="s">
        <v>768</v>
      </c>
      <c r="E2033" t="s">
        <v>769</v>
      </c>
      <c r="F2033" t="s">
        <v>26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 t="s">
        <v>38</v>
      </c>
      <c r="W2033" s="2">
        <v>98.3</v>
      </c>
      <c r="X2033" s="3">
        <f t="shared" si="62"/>
        <v>98.3</v>
      </c>
      <c r="Y2033">
        <f>VLOOKUP(D2033,'[1]Cost Sheet'!$C:$D,2,0)</f>
        <v>98.3</v>
      </c>
      <c r="Z2033" s="3">
        <f t="shared" si="63"/>
        <v>98.3</v>
      </c>
    </row>
    <row r="2034" spans="1:26" x14ac:dyDescent="0.3">
      <c r="A2034" s="7" t="s">
        <v>21</v>
      </c>
      <c r="B2034" t="s">
        <v>766</v>
      </c>
      <c r="C2034" t="s">
        <v>767</v>
      </c>
      <c r="D2034" t="s">
        <v>768</v>
      </c>
      <c r="E2034" t="s">
        <v>769</v>
      </c>
      <c r="F2034" t="s">
        <v>26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 t="s">
        <v>54</v>
      </c>
      <c r="W2034" s="2">
        <v>98.3</v>
      </c>
      <c r="X2034" s="3">
        <f t="shared" si="62"/>
        <v>98.3</v>
      </c>
      <c r="Y2034">
        <f>VLOOKUP(D2034,'[1]Cost Sheet'!$C:$D,2,0)</f>
        <v>98.3</v>
      </c>
      <c r="Z2034" s="3">
        <f t="shared" si="63"/>
        <v>98.3</v>
      </c>
    </row>
    <row r="2035" spans="1:26" x14ac:dyDescent="0.3">
      <c r="A2035" s="7" t="s">
        <v>21</v>
      </c>
      <c r="B2035" t="s">
        <v>766</v>
      </c>
      <c r="C2035" t="s">
        <v>767</v>
      </c>
      <c r="D2035" t="s">
        <v>768</v>
      </c>
      <c r="E2035" t="s">
        <v>769</v>
      </c>
      <c r="F2035" t="s">
        <v>26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 t="s">
        <v>59</v>
      </c>
      <c r="W2035" s="2">
        <v>98.3</v>
      </c>
      <c r="X2035" s="3">
        <f t="shared" si="62"/>
        <v>98.3</v>
      </c>
      <c r="Y2035">
        <f>VLOOKUP(D2035,'[1]Cost Sheet'!$C:$D,2,0)</f>
        <v>98.3</v>
      </c>
      <c r="Z2035" s="3">
        <f t="shared" si="63"/>
        <v>98.3</v>
      </c>
    </row>
    <row r="2036" spans="1:26" x14ac:dyDescent="0.3">
      <c r="A2036" s="7" t="s">
        <v>21</v>
      </c>
      <c r="B2036" t="s">
        <v>770</v>
      </c>
      <c r="C2036" t="s">
        <v>771</v>
      </c>
      <c r="D2036" t="s">
        <v>772</v>
      </c>
      <c r="E2036" t="s">
        <v>773</v>
      </c>
      <c r="F2036" t="s">
        <v>106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 t="s">
        <v>33</v>
      </c>
      <c r="W2036" s="2">
        <v>86.699999999999989</v>
      </c>
      <c r="X2036" s="3">
        <f t="shared" si="62"/>
        <v>86.699999999999989</v>
      </c>
      <c r="Y2036">
        <f>VLOOKUP(D2036,'[1]Cost Sheet'!$C:$D,2,0)</f>
        <v>86.699999999999989</v>
      </c>
      <c r="Z2036" s="3">
        <f t="shared" si="63"/>
        <v>86.699999999999989</v>
      </c>
    </row>
    <row r="2037" spans="1:26" x14ac:dyDescent="0.3">
      <c r="A2037" s="7" t="s">
        <v>21</v>
      </c>
      <c r="B2037" t="s">
        <v>770</v>
      </c>
      <c r="C2037" t="s">
        <v>771</v>
      </c>
      <c r="D2037" t="s">
        <v>772</v>
      </c>
      <c r="E2037" t="s">
        <v>773</v>
      </c>
      <c r="F2037" t="s">
        <v>26</v>
      </c>
      <c r="G2037">
        <v>13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13</v>
      </c>
      <c r="T2037">
        <v>0</v>
      </c>
      <c r="U2037" t="s">
        <v>38</v>
      </c>
      <c r="W2037" s="2">
        <v>86.699999999999989</v>
      </c>
      <c r="X2037" s="3">
        <f t="shared" si="62"/>
        <v>1127.0999999999999</v>
      </c>
      <c r="Y2037">
        <f>VLOOKUP(D2037,'[1]Cost Sheet'!$C:$D,2,0)</f>
        <v>86.699999999999989</v>
      </c>
      <c r="Z2037" s="3">
        <f t="shared" si="63"/>
        <v>1127.0999999999999</v>
      </c>
    </row>
    <row r="2038" spans="1:26" x14ac:dyDescent="0.3">
      <c r="A2038" s="7" t="s">
        <v>21</v>
      </c>
      <c r="B2038" t="s">
        <v>770</v>
      </c>
      <c r="C2038" t="s">
        <v>771</v>
      </c>
      <c r="D2038" t="s">
        <v>772</v>
      </c>
      <c r="E2038" t="s">
        <v>773</v>
      </c>
      <c r="F2038" t="s">
        <v>26</v>
      </c>
      <c r="G2038">
        <v>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3</v>
      </c>
      <c r="T2038">
        <v>0</v>
      </c>
      <c r="U2038" t="s">
        <v>45</v>
      </c>
      <c r="W2038" s="2">
        <v>86.699999999999989</v>
      </c>
      <c r="X2038" s="3">
        <f t="shared" si="62"/>
        <v>260.09999999999997</v>
      </c>
      <c r="Y2038">
        <f>VLOOKUP(D2038,'[1]Cost Sheet'!$C:$D,2,0)</f>
        <v>86.699999999999989</v>
      </c>
      <c r="Z2038" s="3">
        <f t="shared" si="63"/>
        <v>260.09999999999997</v>
      </c>
    </row>
    <row r="2039" spans="1:26" x14ac:dyDescent="0.3">
      <c r="A2039" s="7" t="s">
        <v>21</v>
      </c>
      <c r="B2039" t="s">
        <v>770</v>
      </c>
      <c r="C2039" t="s">
        <v>771</v>
      </c>
      <c r="D2039" t="s">
        <v>772</v>
      </c>
      <c r="E2039" t="s">
        <v>773</v>
      </c>
      <c r="F2039" t="s">
        <v>26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 t="s">
        <v>39</v>
      </c>
      <c r="W2039" s="2">
        <v>86.699999999999989</v>
      </c>
      <c r="X2039" s="3">
        <f t="shared" si="62"/>
        <v>86.699999999999989</v>
      </c>
      <c r="Y2039">
        <f>VLOOKUP(D2039,'[1]Cost Sheet'!$C:$D,2,0)</f>
        <v>86.699999999999989</v>
      </c>
      <c r="Z2039" s="3">
        <f t="shared" si="63"/>
        <v>86.699999999999989</v>
      </c>
    </row>
    <row r="2040" spans="1:26" x14ac:dyDescent="0.3">
      <c r="A2040" s="7" t="s">
        <v>21</v>
      </c>
      <c r="B2040" t="s">
        <v>770</v>
      </c>
      <c r="C2040" t="s">
        <v>771</v>
      </c>
      <c r="D2040" t="s">
        <v>772</v>
      </c>
      <c r="E2040" t="s">
        <v>773</v>
      </c>
      <c r="F2040" t="s">
        <v>26</v>
      </c>
      <c r="G2040">
        <v>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7</v>
      </c>
      <c r="T2040">
        <v>0</v>
      </c>
      <c r="U2040" t="s">
        <v>54</v>
      </c>
      <c r="W2040" s="2">
        <v>86.699999999999989</v>
      </c>
      <c r="X2040" s="3">
        <f t="shared" si="62"/>
        <v>606.89999999999986</v>
      </c>
      <c r="Y2040">
        <f>VLOOKUP(D2040,'[1]Cost Sheet'!$C:$D,2,0)</f>
        <v>86.699999999999989</v>
      </c>
      <c r="Z2040" s="3">
        <f t="shared" si="63"/>
        <v>606.89999999999986</v>
      </c>
    </row>
    <row r="2041" spans="1:26" x14ac:dyDescent="0.3">
      <c r="A2041" s="7" t="s">
        <v>21</v>
      </c>
      <c r="B2041" t="s">
        <v>770</v>
      </c>
      <c r="C2041" t="s">
        <v>771</v>
      </c>
      <c r="D2041" t="s">
        <v>772</v>
      </c>
      <c r="E2041" t="s">
        <v>773</v>
      </c>
      <c r="F2041" t="s">
        <v>26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 t="s">
        <v>32</v>
      </c>
      <c r="W2041" s="2">
        <v>86.699999999999989</v>
      </c>
      <c r="X2041" s="3">
        <f t="shared" si="62"/>
        <v>86.699999999999989</v>
      </c>
      <c r="Y2041">
        <f>VLOOKUP(D2041,'[1]Cost Sheet'!$C:$D,2,0)</f>
        <v>86.699999999999989</v>
      </c>
      <c r="Z2041" s="3">
        <f t="shared" si="63"/>
        <v>86.699999999999989</v>
      </c>
    </row>
    <row r="2042" spans="1:26" x14ac:dyDescent="0.3">
      <c r="A2042" s="7" t="s">
        <v>21</v>
      </c>
      <c r="B2042" t="s">
        <v>770</v>
      </c>
      <c r="C2042" t="s">
        <v>771</v>
      </c>
      <c r="D2042" t="s">
        <v>772</v>
      </c>
      <c r="E2042" t="s">
        <v>773</v>
      </c>
      <c r="F2042" t="s">
        <v>26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2</v>
      </c>
      <c r="T2042">
        <v>0</v>
      </c>
      <c r="U2042" t="s">
        <v>33</v>
      </c>
      <c r="W2042" s="2">
        <v>86.699999999999989</v>
      </c>
      <c r="X2042" s="3">
        <f t="shared" si="62"/>
        <v>173.39999999999998</v>
      </c>
      <c r="Y2042">
        <f>VLOOKUP(D2042,'[1]Cost Sheet'!$C:$D,2,0)</f>
        <v>86.699999999999989</v>
      </c>
      <c r="Z2042" s="3">
        <f t="shared" si="63"/>
        <v>173.39999999999998</v>
      </c>
    </row>
    <row r="2043" spans="1:26" x14ac:dyDescent="0.3">
      <c r="A2043" s="7" t="s">
        <v>21</v>
      </c>
      <c r="B2043" t="s">
        <v>770</v>
      </c>
      <c r="C2043" t="s">
        <v>771</v>
      </c>
      <c r="D2043" t="s">
        <v>772</v>
      </c>
      <c r="E2043" t="s">
        <v>773</v>
      </c>
      <c r="F2043" t="s">
        <v>26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 t="s">
        <v>47</v>
      </c>
      <c r="W2043" s="2">
        <v>86.699999999999989</v>
      </c>
      <c r="X2043" s="3">
        <f t="shared" si="62"/>
        <v>86.699999999999989</v>
      </c>
      <c r="Y2043">
        <f>VLOOKUP(D2043,'[1]Cost Sheet'!$C:$D,2,0)</f>
        <v>86.699999999999989</v>
      </c>
      <c r="Z2043" s="3">
        <f t="shared" si="63"/>
        <v>86.699999999999989</v>
      </c>
    </row>
    <row r="2044" spans="1:26" x14ac:dyDescent="0.3">
      <c r="A2044" s="7" t="s">
        <v>21</v>
      </c>
      <c r="B2044" t="s">
        <v>770</v>
      </c>
      <c r="C2044" t="s">
        <v>771</v>
      </c>
      <c r="D2044" t="s">
        <v>772</v>
      </c>
      <c r="E2044" t="s">
        <v>773</v>
      </c>
      <c r="F2044" t="s">
        <v>26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 t="s">
        <v>40</v>
      </c>
      <c r="W2044" s="2">
        <v>86.699999999999989</v>
      </c>
      <c r="X2044" s="3">
        <f t="shared" si="62"/>
        <v>86.699999999999989</v>
      </c>
      <c r="Y2044">
        <f>VLOOKUP(D2044,'[1]Cost Sheet'!$C:$D,2,0)</f>
        <v>86.699999999999989</v>
      </c>
      <c r="Z2044" s="3">
        <f t="shared" si="63"/>
        <v>86.699999999999989</v>
      </c>
    </row>
    <row r="2045" spans="1:26" x14ac:dyDescent="0.3">
      <c r="A2045" s="7" t="s">
        <v>21</v>
      </c>
      <c r="B2045" t="s">
        <v>770</v>
      </c>
      <c r="C2045" t="s">
        <v>771</v>
      </c>
      <c r="D2045" t="s">
        <v>772</v>
      </c>
      <c r="E2045" t="s">
        <v>773</v>
      </c>
      <c r="F2045" t="s">
        <v>26</v>
      </c>
      <c r="G2045">
        <v>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3</v>
      </c>
      <c r="T2045">
        <v>0</v>
      </c>
      <c r="U2045" t="s">
        <v>59</v>
      </c>
      <c r="W2045" s="2">
        <v>86.699999999999989</v>
      </c>
      <c r="X2045" s="3">
        <f t="shared" si="62"/>
        <v>260.09999999999997</v>
      </c>
      <c r="Y2045">
        <f>VLOOKUP(D2045,'[1]Cost Sheet'!$C:$D,2,0)</f>
        <v>86.699999999999989</v>
      </c>
      <c r="Z2045" s="3">
        <f t="shared" si="63"/>
        <v>260.09999999999997</v>
      </c>
    </row>
    <row r="2046" spans="1:26" x14ac:dyDescent="0.3">
      <c r="A2046" s="7" t="s">
        <v>21</v>
      </c>
      <c r="B2046" t="s">
        <v>774</v>
      </c>
      <c r="C2046" t="s">
        <v>775</v>
      </c>
      <c r="D2046" t="s">
        <v>776</v>
      </c>
      <c r="E2046" t="s">
        <v>777</v>
      </c>
      <c r="F2046" t="s">
        <v>26</v>
      </c>
      <c r="G2046">
        <v>1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-1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s">
        <v>38</v>
      </c>
      <c r="W2046" s="2">
        <v>98.3</v>
      </c>
      <c r="X2046" s="3">
        <f t="shared" si="62"/>
        <v>0</v>
      </c>
      <c r="Y2046">
        <f>VLOOKUP(D2046,'[1]Cost Sheet'!$C:$D,2,0)</f>
        <v>98.3</v>
      </c>
      <c r="Z2046" s="3">
        <f t="shared" si="63"/>
        <v>0</v>
      </c>
    </row>
    <row r="2047" spans="1:26" x14ac:dyDescent="0.3">
      <c r="A2047" s="7" t="s">
        <v>21</v>
      </c>
      <c r="B2047" t="s">
        <v>774</v>
      </c>
      <c r="C2047" t="s">
        <v>775</v>
      </c>
      <c r="D2047" t="s">
        <v>776</v>
      </c>
      <c r="E2047" t="s">
        <v>777</v>
      </c>
      <c r="F2047" t="s">
        <v>26</v>
      </c>
      <c r="G2047">
        <v>11</v>
      </c>
      <c r="H2047">
        <v>0</v>
      </c>
      <c r="I2047">
        <v>0</v>
      </c>
      <c r="J2047">
        <v>-1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10</v>
      </c>
      <c r="T2047">
        <v>0</v>
      </c>
      <c r="U2047" t="s">
        <v>45</v>
      </c>
      <c r="W2047" s="2">
        <v>98.3</v>
      </c>
      <c r="X2047" s="3">
        <f t="shared" si="62"/>
        <v>983</v>
      </c>
      <c r="Y2047">
        <f>VLOOKUP(D2047,'[1]Cost Sheet'!$C:$D,2,0)</f>
        <v>98.3</v>
      </c>
      <c r="Z2047" s="3">
        <f t="shared" si="63"/>
        <v>983</v>
      </c>
    </row>
    <row r="2048" spans="1:26" x14ac:dyDescent="0.3">
      <c r="A2048" s="7" t="s">
        <v>21</v>
      </c>
      <c r="B2048" t="s">
        <v>774</v>
      </c>
      <c r="C2048" t="s">
        <v>775</v>
      </c>
      <c r="D2048" t="s">
        <v>776</v>
      </c>
      <c r="E2048" t="s">
        <v>777</v>
      </c>
      <c r="F2048" t="s">
        <v>26</v>
      </c>
      <c r="G2048">
        <v>2</v>
      </c>
      <c r="H2048">
        <v>0</v>
      </c>
      <c r="I2048">
        <v>0</v>
      </c>
      <c r="J2048">
        <v>-1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 t="s">
        <v>40</v>
      </c>
      <c r="W2048" s="2">
        <v>98.3</v>
      </c>
      <c r="X2048" s="3">
        <f t="shared" si="62"/>
        <v>98.3</v>
      </c>
      <c r="Y2048">
        <f>VLOOKUP(D2048,'[1]Cost Sheet'!$C:$D,2,0)</f>
        <v>98.3</v>
      </c>
      <c r="Z2048" s="3">
        <f t="shared" si="63"/>
        <v>98.3</v>
      </c>
    </row>
    <row r="2049" spans="1:26" x14ac:dyDescent="0.3">
      <c r="A2049" s="7" t="s">
        <v>21</v>
      </c>
      <c r="B2049" t="s">
        <v>778</v>
      </c>
      <c r="C2049" t="s">
        <v>779</v>
      </c>
      <c r="D2049" t="s">
        <v>780</v>
      </c>
      <c r="E2049" t="s">
        <v>781</v>
      </c>
      <c r="F2049" t="s">
        <v>130</v>
      </c>
      <c r="G2049">
        <v>41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41</v>
      </c>
      <c r="T2049">
        <v>0</v>
      </c>
      <c r="U2049" t="s">
        <v>32</v>
      </c>
      <c r="W2049" s="2">
        <v>96.2</v>
      </c>
      <c r="X2049" s="3">
        <f t="shared" si="62"/>
        <v>3944.2000000000003</v>
      </c>
      <c r="Y2049">
        <f>VLOOKUP(D2049,'[1]Cost Sheet'!$C:$D,2,0)</f>
        <v>96.2</v>
      </c>
      <c r="Z2049" s="3">
        <f t="shared" si="63"/>
        <v>3944.2000000000003</v>
      </c>
    </row>
    <row r="2050" spans="1:26" x14ac:dyDescent="0.3">
      <c r="A2050" s="7" t="s">
        <v>21</v>
      </c>
      <c r="B2050" t="s">
        <v>778</v>
      </c>
      <c r="C2050" t="s">
        <v>779</v>
      </c>
      <c r="D2050" t="s">
        <v>780</v>
      </c>
      <c r="E2050" t="s">
        <v>781</v>
      </c>
      <c r="F2050" t="s">
        <v>26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 t="s">
        <v>38</v>
      </c>
      <c r="W2050" s="2">
        <v>96.2</v>
      </c>
      <c r="X2050" s="3">
        <f t="shared" si="62"/>
        <v>96.2</v>
      </c>
      <c r="Y2050">
        <f>VLOOKUP(D2050,'[1]Cost Sheet'!$C:$D,2,0)</f>
        <v>96.2</v>
      </c>
      <c r="Z2050" s="3">
        <f t="shared" si="63"/>
        <v>96.2</v>
      </c>
    </row>
    <row r="2051" spans="1:26" x14ac:dyDescent="0.3">
      <c r="A2051" s="7" t="s">
        <v>21</v>
      </c>
      <c r="B2051" t="s">
        <v>782</v>
      </c>
      <c r="C2051" t="s">
        <v>783</v>
      </c>
      <c r="D2051" t="s">
        <v>784</v>
      </c>
      <c r="E2051" t="s">
        <v>785</v>
      </c>
      <c r="F2051" t="s">
        <v>26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 t="s">
        <v>32</v>
      </c>
      <c r="W2051" s="2">
        <v>96.2</v>
      </c>
      <c r="X2051" s="3">
        <f t="shared" ref="X2051:X2114" si="64">S2051*W2051</f>
        <v>96.2</v>
      </c>
      <c r="Y2051">
        <f>VLOOKUP(D2051,'[1]Cost Sheet'!$C:$D,2,0)</f>
        <v>96.2</v>
      </c>
      <c r="Z2051" s="3">
        <f t="shared" ref="Z2051:Z2114" si="65">Y2051*S2051</f>
        <v>96.2</v>
      </c>
    </row>
    <row r="2052" spans="1:26" x14ac:dyDescent="0.3">
      <c r="A2052" s="7" t="s">
        <v>21</v>
      </c>
      <c r="B2052" t="s">
        <v>786</v>
      </c>
      <c r="C2052" t="s">
        <v>787</v>
      </c>
      <c r="D2052" t="s">
        <v>788</v>
      </c>
      <c r="E2052" t="s">
        <v>789</v>
      </c>
      <c r="F2052" t="s">
        <v>106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 t="s">
        <v>38</v>
      </c>
      <c r="W2052" s="2">
        <v>96.2</v>
      </c>
      <c r="X2052" s="3">
        <f t="shared" si="64"/>
        <v>96.2</v>
      </c>
      <c r="Y2052">
        <f>VLOOKUP(D2052,'[1]Cost Sheet'!$C:$D,2,0)</f>
        <v>96.2</v>
      </c>
      <c r="Z2052" s="3">
        <f t="shared" si="65"/>
        <v>96.2</v>
      </c>
    </row>
    <row r="2053" spans="1:26" x14ac:dyDescent="0.3">
      <c r="A2053" s="7" t="s">
        <v>21</v>
      </c>
      <c r="B2053" t="s">
        <v>786</v>
      </c>
      <c r="C2053" t="s">
        <v>787</v>
      </c>
      <c r="D2053" t="s">
        <v>788</v>
      </c>
      <c r="E2053" t="s">
        <v>789</v>
      </c>
      <c r="F2053" t="s">
        <v>106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2</v>
      </c>
      <c r="T2053">
        <v>0</v>
      </c>
      <c r="U2053" t="s">
        <v>45</v>
      </c>
      <c r="W2053" s="2">
        <v>96.2</v>
      </c>
      <c r="X2053" s="3">
        <f t="shared" si="64"/>
        <v>192.4</v>
      </c>
      <c r="Y2053">
        <f>VLOOKUP(D2053,'[1]Cost Sheet'!$C:$D,2,0)</f>
        <v>96.2</v>
      </c>
      <c r="Z2053" s="3">
        <f t="shared" si="65"/>
        <v>192.4</v>
      </c>
    </row>
    <row r="2054" spans="1:26" x14ac:dyDescent="0.3">
      <c r="A2054" s="7" t="s">
        <v>21</v>
      </c>
      <c r="B2054" t="s">
        <v>786</v>
      </c>
      <c r="C2054" t="s">
        <v>787</v>
      </c>
      <c r="D2054" t="s">
        <v>788</v>
      </c>
      <c r="E2054" t="s">
        <v>789</v>
      </c>
      <c r="F2054" t="s">
        <v>106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2</v>
      </c>
      <c r="T2054">
        <v>0</v>
      </c>
      <c r="U2054" t="s">
        <v>53</v>
      </c>
      <c r="W2054" s="2">
        <v>96.2</v>
      </c>
      <c r="X2054" s="3">
        <f t="shared" si="64"/>
        <v>192.4</v>
      </c>
      <c r="Y2054">
        <f>VLOOKUP(D2054,'[1]Cost Sheet'!$C:$D,2,0)</f>
        <v>96.2</v>
      </c>
      <c r="Z2054" s="3">
        <f t="shared" si="65"/>
        <v>192.4</v>
      </c>
    </row>
    <row r="2055" spans="1:26" x14ac:dyDescent="0.3">
      <c r="A2055" s="7" t="s">
        <v>21</v>
      </c>
      <c r="B2055" t="s">
        <v>786</v>
      </c>
      <c r="C2055" t="s">
        <v>787</v>
      </c>
      <c r="D2055" t="s">
        <v>788</v>
      </c>
      <c r="E2055" t="s">
        <v>789</v>
      </c>
      <c r="F2055" t="s">
        <v>106</v>
      </c>
      <c r="G2055">
        <v>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5</v>
      </c>
      <c r="T2055">
        <v>0</v>
      </c>
      <c r="U2055" t="s">
        <v>32</v>
      </c>
      <c r="W2055" s="2">
        <v>96.2</v>
      </c>
      <c r="X2055" s="3">
        <f t="shared" si="64"/>
        <v>481</v>
      </c>
      <c r="Y2055">
        <f>VLOOKUP(D2055,'[1]Cost Sheet'!$C:$D,2,0)</f>
        <v>96.2</v>
      </c>
      <c r="Z2055" s="3">
        <f t="shared" si="65"/>
        <v>481</v>
      </c>
    </row>
    <row r="2056" spans="1:26" x14ac:dyDescent="0.3">
      <c r="A2056" s="7" t="s">
        <v>21</v>
      </c>
      <c r="B2056" t="s">
        <v>786</v>
      </c>
      <c r="C2056" t="s">
        <v>787</v>
      </c>
      <c r="D2056" t="s">
        <v>788</v>
      </c>
      <c r="E2056" t="s">
        <v>789</v>
      </c>
      <c r="F2056" t="s">
        <v>106</v>
      </c>
      <c r="G2056">
        <v>11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11</v>
      </c>
      <c r="T2056">
        <v>0</v>
      </c>
      <c r="U2056" t="s">
        <v>46</v>
      </c>
      <c r="W2056" s="2">
        <v>96.2</v>
      </c>
      <c r="X2056" s="3">
        <f t="shared" si="64"/>
        <v>1058.2</v>
      </c>
      <c r="Y2056">
        <f>VLOOKUP(D2056,'[1]Cost Sheet'!$C:$D,2,0)</f>
        <v>96.2</v>
      </c>
      <c r="Z2056" s="3">
        <f t="shared" si="65"/>
        <v>1058.2</v>
      </c>
    </row>
    <row r="2057" spans="1:26" x14ac:dyDescent="0.3">
      <c r="A2057" s="7" t="s">
        <v>21</v>
      </c>
      <c r="B2057" t="s">
        <v>786</v>
      </c>
      <c r="C2057" t="s">
        <v>787</v>
      </c>
      <c r="D2057" t="s">
        <v>788</v>
      </c>
      <c r="E2057" t="s">
        <v>789</v>
      </c>
      <c r="F2057" t="s">
        <v>106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3</v>
      </c>
      <c r="T2057">
        <v>0</v>
      </c>
      <c r="U2057" t="s">
        <v>40</v>
      </c>
      <c r="W2057" s="2">
        <v>96.2</v>
      </c>
      <c r="X2057" s="3">
        <f t="shared" si="64"/>
        <v>288.60000000000002</v>
      </c>
      <c r="Y2057">
        <f>VLOOKUP(D2057,'[1]Cost Sheet'!$C:$D,2,0)</f>
        <v>96.2</v>
      </c>
      <c r="Z2057" s="3">
        <f t="shared" si="65"/>
        <v>288.60000000000002</v>
      </c>
    </row>
    <row r="2058" spans="1:26" x14ac:dyDescent="0.3">
      <c r="A2058" s="7" t="s">
        <v>21</v>
      </c>
      <c r="B2058" t="s">
        <v>786</v>
      </c>
      <c r="C2058" t="s">
        <v>787</v>
      </c>
      <c r="D2058" t="s">
        <v>788</v>
      </c>
      <c r="E2058" t="s">
        <v>789</v>
      </c>
      <c r="F2058" t="s">
        <v>106</v>
      </c>
      <c r="G2058">
        <v>11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11</v>
      </c>
      <c r="T2058">
        <v>0</v>
      </c>
      <c r="U2058" t="s">
        <v>48</v>
      </c>
      <c r="W2058" s="2">
        <v>96.2</v>
      </c>
      <c r="X2058" s="3">
        <f t="shared" si="64"/>
        <v>1058.2</v>
      </c>
      <c r="Y2058">
        <f>VLOOKUP(D2058,'[1]Cost Sheet'!$C:$D,2,0)</f>
        <v>96.2</v>
      </c>
      <c r="Z2058" s="3">
        <f t="shared" si="65"/>
        <v>1058.2</v>
      </c>
    </row>
    <row r="2059" spans="1:26" x14ac:dyDescent="0.3">
      <c r="A2059" s="7" t="s">
        <v>21</v>
      </c>
      <c r="B2059" t="s">
        <v>786</v>
      </c>
      <c r="C2059" t="s">
        <v>787</v>
      </c>
      <c r="D2059" t="s">
        <v>788</v>
      </c>
      <c r="E2059" t="s">
        <v>789</v>
      </c>
      <c r="F2059" t="s">
        <v>26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2</v>
      </c>
      <c r="T2059">
        <v>0</v>
      </c>
      <c r="U2059" t="s">
        <v>32</v>
      </c>
      <c r="W2059" s="2">
        <v>96.2</v>
      </c>
      <c r="X2059" s="3">
        <f t="shared" si="64"/>
        <v>192.4</v>
      </c>
      <c r="Y2059">
        <f>VLOOKUP(D2059,'[1]Cost Sheet'!$C:$D,2,0)</f>
        <v>96.2</v>
      </c>
      <c r="Z2059" s="3">
        <f t="shared" si="65"/>
        <v>192.4</v>
      </c>
    </row>
    <row r="2060" spans="1:26" x14ac:dyDescent="0.3">
      <c r="A2060" s="7" t="s">
        <v>21</v>
      </c>
      <c r="B2060" t="s">
        <v>786</v>
      </c>
      <c r="C2060" t="s">
        <v>787</v>
      </c>
      <c r="D2060" t="s">
        <v>788</v>
      </c>
      <c r="E2060" t="s">
        <v>789</v>
      </c>
      <c r="F2060" t="s">
        <v>26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 t="s">
        <v>40</v>
      </c>
      <c r="W2060" s="2">
        <v>96.2</v>
      </c>
      <c r="X2060" s="3">
        <f t="shared" si="64"/>
        <v>96.2</v>
      </c>
      <c r="Y2060">
        <f>VLOOKUP(D2060,'[1]Cost Sheet'!$C:$D,2,0)</f>
        <v>96.2</v>
      </c>
      <c r="Z2060" s="3">
        <f t="shared" si="65"/>
        <v>96.2</v>
      </c>
    </row>
    <row r="2061" spans="1:26" x14ac:dyDescent="0.3">
      <c r="A2061" s="7" t="s">
        <v>21</v>
      </c>
      <c r="B2061" t="s">
        <v>790</v>
      </c>
      <c r="C2061" t="s">
        <v>791</v>
      </c>
      <c r="D2061" t="s">
        <v>792</v>
      </c>
      <c r="E2061" t="s">
        <v>793</v>
      </c>
      <c r="F2061" t="s">
        <v>26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 t="s">
        <v>151</v>
      </c>
      <c r="W2061" s="2">
        <v>96.2</v>
      </c>
      <c r="X2061" s="3">
        <f t="shared" si="64"/>
        <v>0</v>
      </c>
      <c r="Y2061">
        <f>VLOOKUP(D2061,'[1]Cost Sheet'!$C:$D,2,0)</f>
        <v>96.2</v>
      </c>
      <c r="Z2061" s="3">
        <f t="shared" si="65"/>
        <v>0</v>
      </c>
    </row>
    <row r="2062" spans="1:26" x14ac:dyDescent="0.3">
      <c r="A2062" s="7" t="s">
        <v>21</v>
      </c>
      <c r="B2062" t="s">
        <v>790</v>
      </c>
      <c r="C2062" t="s">
        <v>791</v>
      </c>
      <c r="D2062" t="s">
        <v>792</v>
      </c>
      <c r="E2062" t="s">
        <v>793</v>
      </c>
      <c r="F2062" t="s">
        <v>26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2</v>
      </c>
      <c r="T2062">
        <v>0</v>
      </c>
      <c r="U2062" t="s">
        <v>39</v>
      </c>
      <c r="W2062" s="2">
        <v>96.2</v>
      </c>
      <c r="X2062" s="3">
        <f t="shared" si="64"/>
        <v>192.4</v>
      </c>
      <c r="Y2062">
        <f>VLOOKUP(D2062,'[1]Cost Sheet'!$C:$D,2,0)</f>
        <v>96.2</v>
      </c>
      <c r="Z2062" s="3">
        <f t="shared" si="65"/>
        <v>192.4</v>
      </c>
    </row>
    <row r="2063" spans="1:26" x14ac:dyDescent="0.3">
      <c r="A2063" s="7" t="s">
        <v>21</v>
      </c>
      <c r="B2063" t="s">
        <v>790</v>
      </c>
      <c r="C2063" t="s">
        <v>791</v>
      </c>
      <c r="D2063" t="s">
        <v>792</v>
      </c>
      <c r="E2063" t="s">
        <v>793</v>
      </c>
      <c r="F2063" t="s">
        <v>26</v>
      </c>
      <c r="G2063">
        <v>2</v>
      </c>
      <c r="H2063">
        <v>0</v>
      </c>
      <c r="I2063">
        <v>0</v>
      </c>
      <c r="J2063">
        <v>-1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 t="s">
        <v>54</v>
      </c>
      <c r="W2063" s="2">
        <v>96.2</v>
      </c>
      <c r="X2063" s="3">
        <f t="shared" si="64"/>
        <v>96.2</v>
      </c>
      <c r="Y2063">
        <f>VLOOKUP(D2063,'[1]Cost Sheet'!$C:$D,2,0)</f>
        <v>96.2</v>
      </c>
      <c r="Z2063" s="3">
        <f t="shared" si="65"/>
        <v>96.2</v>
      </c>
    </row>
    <row r="2064" spans="1:26" x14ac:dyDescent="0.3">
      <c r="A2064" s="7" t="s">
        <v>21</v>
      </c>
      <c r="B2064" t="s">
        <v>790</v>
      </c>
      <c r="C2064" t="s">
        <v>791</v>
      </c>
      <c r="D2064" t="s">
        <v>792</v>
      </c>
      <c r="E2064" t="s">
        <v>793</v>
      </c>
      <c r="F2064" t="s">
        <v>26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 t="s">
        <v>32</v>
      </c>
      <c r="W2064" s="2">
        <v>96.2</v>
      </c>
      <c r="X2064" s="3">
        <f t="shared" si="64"/>
        <v>96.2</v>
      </c>
      <c r="Y2064">
        <f>VLOOKUP(D2064,'[1]Cost Sheet'!$C:$D,2,0)</f>
        <v>96.2</v>
      </c>
      <c r="Z2064" s="3">
        <f t="shared" si="65"/>
        <v>96.2</v>
      </c>
    </row>
    <row r="2065" spans="1:26" x14ac:dyDescent="0.3">
      <c r="A2065" s="7" t="s">
        <v>21</v>
      </c>
      <c r="B2065" t="s">
        <v>790</v>
      </c>
      <c r="C2065" t="s">
        <v>791</v>
      </c>
      <c r="D2065" t="s">
        <v>792</v>
      </c>
      <c r="E2065" t="s">
        <v>793</v>
      </c>
      <c r="F2065" t="s">
        <v>26</v>
      </c>
      <c r="G2065">
        <v>1</v>
      </c>
      <c r="H2065">
        <v>2</v>
      </c>
      <c r="I2065">
        <v>0</v>
      </c>
      <c r="J2065">
        <v>0</v>
      </c>
      <c r="K2065">
        <v>1</v>
      </c>
      <c r="L2065">
        <v>0</v>
      </c>
      <c r="M2065">
        <v>-2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s">
        <v>88</v>
      </c>
      <c r="W2065" s="2">
        <v>96.2</v>
      </c>
      <c r="X2065" s="3">
        <f t="shared" si="64"/>
        <v>0</v>
      </c>
      <c r="Y2065">
        <f>VLOOKUP(D2065,'[1]Cost Sheet'!$C:$D,2,0)</f>
        <v>96.2</v>
      </c>
      <c r="Z2065" s="3">
        <f t="shared" si="65"/>
        <v>0</v>
      </c>
    </row>
    <row r="2066" spans="1:26" x14ac:dyDescent="0.3">
      <c r="A2066" s="7" t="s">
        <v>21</v>
      </c>
      <c r="B2066" t="s">
        <v>790</v>
      </c>
      <c r="C2066" t="s">
        <v>791</v>
      </c>
      <c r="D2066" t="s">
        <v>792</v>
      </c>
      <c r="E2066" t="s">
        <v>793</v>
      </c>
      <c r="F2066" t="s">
        <v>26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 t="s">
        <v>33</v>
      </c>
      <c r="W2066" s="2">
        <v>96.2</v>
      </c>
      <c r="X2066" s="3">
        <f t="shared" si="64"/>
        <v>96.2</v>
      </c>
      <c r="Y2066">
        <f>VLOOKUP(D2066,'[1]Cost Sheet'!$C:$D,2,0)</f>
        <v>96.2</v>
      </c>
      <c r="Z2066" s="3">
        <f t="shared" si="65"/>
        <v>96.2</v>
      </c>
    </row>
    <row r="2067" spans="1:26" x14ac:dyDescent="0.3">
      <c r="A2067" s="7" t="s">
        <v>21</v>
      </c>
      <c r="B2067" t="s">
        <v>790</v>
      </c>
      <c r="C2067" t="s">
        <v>791</v>
      </c>
      <c r="D2067" t="s">
        <v>792</v>
      </c>
      <c r="E2067" t="s">
        <v>793</v>
      </c>
      <c r="F2067" t="s">
        <v>26</v>
      </c>
      <c r="G2067">
        <v>0</v>
      </c>
      <c r="H2067">
        <v>0</v>
      </c>
      <c r="I2067">
        <v>0</v>
      </c>
      <c r="J2067">
        <v>-1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46</v>
      </c>
      <c r="W2067" s="2">
        <v>96.2</v>
      </c>
      <c r="X2067" s="3">
        <f t="shared" si="64"/>
        <v>0</v>
      </c>
      <c r="Y2067">
        <f>VLOOKUP(D2067,'[1]Cost Sheet'!$C:$D,2,0)</f>
        <v>96.2</v>
      </c>
      <c r="Z2067" s="3">
        <f t="shared" si="65"/>
        <v>0</v>
      </c>
    </row>
    <row r="2068" spans="1:26" x14ac:dyDescent="0.3">
      <c r="A2068" s="7" t="s">
        <v>21</v>
      </c>
      <c r="B2068" t="s">
        <v>790</v>
      </c>
      <c r="C2068" t="s">
        <v>791</v>
      </c>
      <c r="D2068" t="s">
        <v>792</v>
      </c>
      <c r="E2068" t="s">
        <v>793</v>
      </c>
      <c r="F2068" t="s">
        <v>26</v>
      </c>
      <c r="G2068">
        <v>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</v>
      </c>
      <c r="T2068">
        <v>0</v>
      </c>
      <c r="U2068" t="s">
        <v>27</v>
      </c>
      <c r="W2068" s="2">
        <v>96.2</v>
      </c>
      <c r="X2068" s="3">
        <f t="shared" si="64"/>
        <v>288.60000000000002</v>
      </c>
      <c r="Y2068">
        <f>VLOOKUP(D2068,'[1]Cost Sheet'!$C:$D,2,0)</f>
        <v>96.2</v>
      </c>
      <c r="Z2068" s="3">
        <f t="shared" si="65"/>
        <v>288.60000000000002</v>
      </c>
    </row>
    <row r="2069" spans="1:26" x14ac:dyDescent="0.3">
      <c r="A2069" s="7" t="s">
        <v>21</v>
      </c>
      <c r="B2069" t="s">
        <v>794</v>
      </c>
      <c r="C2069" t="s">
        <v>795</v>
      </c>
      <c r="D2069" t="s">
        <v>796</v>
      </c>
      <c r="E2069" t="s">
        <v>797</v>
      </c>
      <c r="F2069" t="s">
        <v>125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 t="s">
        <v>151</v>
      </c>
      <c r="W2069" s="2">
        <v>96.2</v>
      </c>
      <c r="X2069" s="3">
        <f t="shared" si="64"/>
        <v>96.2</v>
      </c>
      <c r="Y2069">
        <f>VLOOKUP(D2069,'[1]Cost Sheet'!$C:$D,2,0)</f>
        <v>96.2</v>
      </c>
      <c r="Z2069" s="3">
        <f t="shared" si="65"/>
        <v>96.2</v>
      </c>
    </row>
    <row r="2070" spans="1:26" x14ac:dyDescent="0.3">
      <c r="A2070" s="7" t="s">
        <v>21</v>
      </c>
      <c r="B2070" t="s">
        <v>798</v>
      </c>
      <c r="C2070" t="s">
        <v>799</v>
      </c>
      <c r="D2070" t="s">
        <v>800</v>
      </c>
      <c r="E2070" t="s">
        <v>801</v>
      </c>
      <c r="F2070" t="s">
        <v>106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 t="s">
        <v>48</v>
      </c>
      <c r="W2070" s="2">
        <v>96.2</v>
      </c>
      <c r="X2070" s="3">
        <f t="shared" si="64"/>
        <v>96.2</v>
      </c>
      <c r="Y2070">
        <f>VLOOKUP(D2070,'[1]Cost Sheet'!$C:$D,2,0)</f>
        <v>96.2</v>
      </c>
      <c r="Z2070" s="3">
        <f t="shared" si="65"/>
        <v>96.2</v>
      </c>
    </row>
    <row r="2071" spans="1:26" x14ac:dyDescent="0.3">
      <c r="A2071" s="7" t="s">
        <v>21</v>
      </c>
      <c r="B2071" t="s">
        <v>798</v>
      </c>
      <c r="C2071" t="s">
        <v>799</v>
      </c>
      <c r="D2071" t="s">
        <v>800</v>
      </c>
      <c r="E2071" t="s">
        <v>801</v>
      </c>
      <c r="F2071" t="s">
        <v>26</v>
      </c>
      <c r="G2071">
        <v>74</v>
      </c>
      <c r="H2071">
        <v>0</v>
      </c>
      <c r="I2071">
        <v>0</v>
      </c>
      <c r="J2071">
        <v>-5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69</v>
      </c>
      <c r="T2071">
        <v>0</v>
      </c>
      <c r="U2071" t="s">
        <v>39</v>
      </c>
      <c r="W2071" s="2">
        <v>96.2</v>
      </c>
      <c r="X2071" s="3">
        <f t="shared" si="64"/>
        <v>6637.8</v>
      </c>
      <c r="Y2071">
        <f>VLOOKUP(D2071,'[1]Cost Sheet'!$C:$D,2,0)</f>
        <v>96.2</v>
      </c>
      <c r="Z2071" s="3">
        <f t="shared" si="65"/>
        <v>6637.8</v>
      </c>
    </row>
    <row r="2072" spans="1:26" x14ac:dyDescent="0.3">
      <c r="A2072" s="7" t="s">
        <v>21</v>
      </c>
      <c r="B2072" t="s">
        <v>798</v>
      </c>
      <c r="C2072" t="s">
        <v>799</v>
      </c>
      <c r="D2072" t="s">
        <v>800</v>
      </c>
      <c r="E2072" t="s">
        <v>801</v>
      </c>
      <c r="F2072" t="s">
        <v>26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6</v>
      </c>
      <c r="T2072">
        <v>0</v>
      </c>
      <c r="U2072" t="s">
        <v>53</v>
      </c>
      <c r="W2072" s="2">
        <v>96.2</v>
      </c>
      <c r="X2072" s="3">
        <f t="shared" si="64"/>
        <v>577.20000000000005</v>
      </c>
      <c r="Y2072">
        <f>VLOOKUP(D2072,'[1]Cost Sheet'!$C:$D,2,0)</f>
        <v>96.2</v>
      </c>
      <c r="Z2072" s="3">
        <f t="shared" si="65"/>
        <v>577.20000000000005</v>
      </c>
    </row>
    <row r="2073" spans="1:26" x14ac:dyDescent="0.3">
      <c r="A2073" s="7" t="s">
        <v>21</v>
      </c>
      <c r="B2073" t="s">
        <v>798</v>
      </c>
      <c r="C2073" t="s">
        <v>799</v>
      </c>
      <c r="D2073" t="s">
        <v>800</v>
      </c>
      <c r="E2073" t="s">
        <v>801</v>
      </c>
      <c r="F2073" t="s">
        <v>26</v>
      </c>
      <c r="G2073">
        <v>66</v>
      </c>
      <c r="H2073">
        <v>0</v>
      </c>
      <c r="I2073">
        <v>0</v>
      </c>
      <c r="J2073">
        <v>-9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57</v>
      </c>
      <c r="T2073">
        <v>0</v>
      </c>
      <c r="U2073" t="s">
        <v>32</v>
      </c>
      <c r="W2073" s="2">
        <v>96.2</v>
      </c>
      <c r="X2073" s="3">
        <f t="shared" si="64"/>
        <v>5483.4000000000005</v>
      </c>
      <c r="Y2073">
        <f>VLOOKUP(D2073,'[1]Cost Sheet'!$C:$D,2,0)</f>
        <v>96.2</v>
      </c>
      <c r="Z2073" s="3">
        <f t="shared" si="65"/>
        <v>5483.4000000000005</v>
      </c>
    </row>
    <row r="2074" spans="1:26" x14ac:dyDescent="0.3">
      <c r="A2074" s="7" t="s">
        <v>21</v>
      </c>
      <c r="B2074" t="s">
        <v>798</v>
      </c>
      <c r="C2074" t="s">
        <v>799</v>
      </c>
      <c r="D2074" t="s">
        <v>800</v>
      </c>
      <c r="E2074" t="s">
        <v>801</v>
      </c>
      <c r="F2074" t="s">
        <v>26</v>
      </c>
      <c r="G2074">
        <v>0</v>
      </c>
      <c r="H2074">
        <v>26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t="s">
        <v>109</v>
      </c>
      <c r="W2074" s="2">
        <v>96.2</v>
      </c>
      <c r="X2074" s="3">
        <f t="shared" si="64"/>
        <v>0</v>
      </c>
      <c r="Y2074">
        <f>VLOOKUP(D2074,'[1]Cost Sheet'!$C:$D,2,0)</f>
        <v>96.2</v>
      </c>
      <c r="Z2074" s="3">
        <f t="shared" si="65"/>
        <v>0</v>
      </c>
    </row>
    <row r="2075" spans="1:26" x14ac:dyDescent="0.3">
      <c r="A2075" s="7" t="s">
        <v>21</v>
      </c>
      <c r="B2075" t="s">
        <v>798</v>
      </c>
      <c r="C2075" t="s">
        <v>799</v>
      </c>
      <c r="D2075" t="s">
        <v>800</v>
      </c>
      <c r="E2075" t="s">
        <v>801</v>
      </c>
      <c r="F2075" t="s">
        <v>26</v>
      </c>
      <c r="G2075">
        <v>4</v>
      </c>
      <c r="H2075">
        <v>0</v>
      </c>
      <c r="I2075">
        <v>0</v>
      </c>
      <c r="J2075">
        <v>-4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s">
        <v>46</v>
      </c>
      <c r="W2075" s="2">
        <v>96.2</v>
      </c>
      <c r="X2075" s="3">
        <f t="shared" si="64"/>
        <v>0</v>
      </c>
      <c r="Y2075">
        <f>VLOOKUP(D2075,'[1]Cost Sheet'!$C:$D,2,0)</f>
        <v>96.2</v>
      </c>
      <c r="Z2075" s="3">
        <f t="shared" si="65"/>
        <v>0</v>
      </c>
    </row>
    <row r="2076" spans="1:26" x14ac:dyDescent="0.3">
      <c r="A2076" s="7" t="s">
        <v>21</v>
      </c>
      <c r="B2076" t="s">
        <v>798</v>
      </c>
      <c r="C2076" t="s">
        <v>799</v>
      </c>
      <c r="D2076" t="s">
        <v>800</v>
      </c>
      <c r="E2076" t="s">
        <v>801</v>
      </c>
      <c r="F2076" t="s">
        <v>26</v>
      </c>
      <c r="G2076">
        <v>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5</v>
      </c>
      <c r="T2076">
        <v>0</v>
      </c>
      <c r="U2076" t="s">
        <v>40</v>
      </c>
      <c r="W2076" s="2">
        <v>96.2</v>
      </c>
      <c r="X2076" s="3">
        <f t="shared" si="64"/>
        <v>481</v>
      </c>
      <c r="Y2076">
        <f>VLOOKUP(D2076,'[1]Cost Sheet'!$C:$D,2,0)</f>
        <v>96.2</v>
      </c>
      <c r="Z2076" s="3">
        <f t="shared" si="65"/>
        <v>481</v>
      </c>
    </row>
    <row r="2077" spans="1:26" x14ac:dyDescent="0.3">
      <c r="A2077" s="7" t="s">
        <v>21</v>
      </c>
      <c r="B2077" t="s">
        <v>798</v>
      </c>
      <c r="C2077" t="s">
        <v>799</v>
      </c>
      <c r="D2077" t="s">
        <v>800</v>
      </c>
      <c r="E2077" t="s">
        <v>801</v>
      </c>
      <c r="F2077" t="s">
        <v>26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2</v>
      </c>
      <c r="T2077">
        <v>0</v>
      </c>
      <c r="U2077" t="s">
        <v>113</v>
      </c>
      <c r="W2077" s="2">
        <v>96.2</v>
      </c>
      <c r="X2077" s="3">
        <f t="shared" si="64"/>
        <v>192.4</v>
      </c>
      <c r="Y2077">
        <f>VLOOKUP(D2077,'[1]Cost Sheet'!$C:$D,2,0)</f>
        <v>96.2</v>
      </c>
      <c r="Z2077" s="3">
        <f t="shared" si="65"/>
        <v>192.4</v>
      </c>
    </row>
    <row r="2078" spans="1:26" x14ac:dyDescent="0.3">
      <c r="A2078" s="7" t="s">
        <v>21</v>
      </c>
      <c r="B2078" t="s">
        <v>798</v>
      </c>
      <c r="C2078" t="s">
        <v>799</v>
      </c>
      <c r="D2078" t="s">
        <v>800</v>
      </c>
      <c r="E2078" t="s">
        <v>801</v>
      </c>
      <c r="F2078" t="s">
        <v>26</v>
      </c>
      <c r="G2078">
        <v>9</v>
      </c>
      <c r="H2078">
        <v>0</v>
      </c>
      <c r="I2078">
        <v>0</v>
      </c>
      <c r="J2078">
        <v>-3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6</v>
      </c>
      <c r="T2078">
        <v>0</v>
      </c>
      <c r="U2078" t="s">
        <v>48</v>
      </c>
      <c r="W2078" s="2">
        <v>96.2</v>
      </c>
      <c r="X2078" s="3">
        <f t="shared" si="64"/>
        <v>577.20000000000005</v>
      </c>
      <c r="Y2078">
        <f>VLOOKUP(D2078,'[1]Cost Sheet'!$C:$D,2,0)</f>
        <v>96.2</v>
      </c>
      <c r="Z2078" s="3">
        <f t="shared" si="65"/>
        <v>577.20000000000005</v>
      </c>
    </row>
    <row r="2079" spans="1:26" x14ac:dyDescent="0.3">
      <c r="A2079" s="7" t="s">
        <v>21</v>
      </c>
      <c r="B2079" t="s">
        <v>798</v>
      </c>
      <c r="C2079" t="s">
        <v>799</v>
      </c>
      <c r="D2079" t="s">
        <v>800</v>
      </c>
      <c r="E2079" t="s">
        <v>801</v>
      </c>
      <c r="F2079" t="s">
        <v>26</v>
      </c>
      <c r="G2079">
        <v>5</v>
      </c>
      <c r="H2079">
        <v>0</v>
      </c>
      <c r="I2079">
        <v>0</v>
      </c>
      <c r="J2079">
        <v>-1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4</v>
      </c>
      <c r="T2079">
        <v>0</v>
      </c>
      <c r="U2079" t="s">
        <v>59</v>
      </c>
      <c r="W2079" s="2">
        <v>96.2</v>
      </c>
      <c r="X2079" s="3">
        <f t="shared" si="64"/>
        <v>384.8</v>
      </c>
      <c r="Y2079">
        <f>VLOOKUP(D2079,'[1]Cost Sheet'!$C:$D,2,0)</f>
        <v>96.2</v>
      </c>
      <c r="Z2079" s="3">
        <f t="shared" si="65"/>
        <v>384.8</v>
      </c>
    </row>
    <row r="2080" spans="1:26" x14ac:dyDescent="0.3">
      <c r="A2080" s="7" t="s">
        <v>21</v>
      </c>
      <c r="B2080" t="s">
        <v>798</v>
      </c>
      <c r="C2080" t="s">
        <v>799</v>
      </c>
      <c r="D2080" t="s">
        <v>800</v>
      </c>
      <c r="E2080" t="s">
        <v>801</v>
      </c>
      <c r="F2080" t="s">
        <v>26</v>
      </c>
      <c r="G2080">
        <v>0</v>
      </c>
      <c r="H2080">
        <v>0</v>
      </c>
      <c r="I2080">
        <v>0</v>
      </c>
      <c r="J2080">
        <v>-1</v>
      </c>
      <c r="K2080">
        <v>0</v>
      </c>
      <c r="L2080">
        <v>0</v>
      </c>
      <c r="M2080">
        <v>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3</v>
      </c>
      <c r="T2080">
        <v>0</v>
      </c>
      <c r="U2080" t="s">
        <v>27</v>
      </c>
      <c r="W2080" s="2">
        <v>96.2</v>
      </c>
      <c r="X2080" s="3">
        <f t="shared" si="64"/>
        <v>288.60000000000002</v>
      </c>
      <c r="Y2080">
        <f>VLOOKUP(D2080,'[1]Cost Sheet'!$C:$D,2,0)</f>
        <v>96.2</v>
      </c>
      <c r="Z2080" s="3">
        <f t="shared" si="65"/>
        <v>288.60000000000002</v>
      </c>
    </row>
    <row r="2081" spans="1:26" x14ac:dyDescent="0.3">
      <c r="A2081" s="7" t="s">
        <v>21</v>
      </c>
      <c r="B2081" t="s">
        <v>802</v>
      </c>
      <c r="C2081" t="s">
        <v>803</v>
      </c>
      <c r="D2081" t="s">
        <v>804</v>
      </c>
      <c r="E2081" t="s">
        <v>805</v>
      </c>
      <c r="F2081" t="s">
        <v>125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 t="s">
        <v>88</v>
      </c>
      <c r="W2081" s="2">
        <v>96.2</v>
      </c>
      <c r="X2081" s="3">
        <f t="shared" si="64"/>
        <v>96.2</v>
      </c>
      <c r="Y2081">
        <f>VLOOKUP(D2081,'[1]Cost Sheet'!$C:$D,2,0)</f>
        <v>96.2</v>
      </c>
      <c r="Z2081" s="3">
        <f t="shared" si="65"/>
        <v>96.2</v>
      </c>
    </row>
    <row r="2082" spans="1:26" x14ac:dyDescent="0.3">
      <c r="A2082" s="7" t="s">
        <v>21</v>
      </c>
      <c r="B2082" t="s">
        <v>802</v>
      </c>
      <c r="C2082" t="s">
        <v>803</v>
      </c>
      <c r="D2082" t="s">
        <v>804</v>
      </c>
      <c r="E2082" t="s">
        <v>805</v>
      </c>
      <c r="F2082" t="s">
        <v>106</v>
      </c>
      <c r="G2082">
        <v>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</v>
      </c>
      <c r="T2082">
        <v>0</v>
      </c>
      <c r="U2082" t="s">
        <v>53</v>
      </c>
      <c r="W2082" s="2">
        <v>96.2</v>
      </c>
      <c r="X2082" s="3">
        <f t="shared" si="64"/>
        <v>288.60000000000002</v>
      </c>
      <c r="Y2082">
        <f>VLOOKUP(D2082,'[1]Cost Sheet'!$C:$D,2,0)</f>
        <v>96.2</v>
      </c>
      <c r="Z2082" s="3">
        <f t="shared" si="65"/>
        <v>288.60000000000002</v>
      </c>
    </row>
    <row r="2083" spans="1:26" x14ac:dyDescent="0.3">
      <c r="A2083" s="7" t="s">
        <v>21</v>
      </c>
      <c r="B2083" t="s">
        <v>802</v>
      </c>
      <c r="C2083" t="s">
        <v>803</v>
      </c>
      <c r="D2083" t="s">
        <v>804</v>
      </c>
      <c r="E2083" t="s">
        <v>805</v>
      </c>
      <c r="F2083" t="s">
        <v>106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2</v>
      </c>
      <c r="T2083">
        <v>0</v>
      </c>
      <c r="U2083" t="s">
        <v>54</v>
      </c>
      <c r="W2083" s="2">
        <v>96.2</v>
      </c>
      <c r="X2083" s="3">
        <f t="shared" si="64"/>
        <v>192.4</v>
      </c>
      <c r="Y2083">
        <f>VLOOKUP(D2083,'[1]Cost Sheet'!$C:$D,2,0)</f>
        <v>96.2</v>
      </c>
      <c r="Z2083" s="3">
        <f t="shared" si="65"/>
        <v>192.4</v>
      </c>
    </row>
    <row r="2084" spans="1:26" x14ac:dyDescent="0.3">
      <c r="A2084" s="7" t="s">
        <v>21</v>
      </c>
      <c r="B2084" t="s">
        <v>802</v>
      </c>
      <c r="C2084" t="s">
        <v>803</v>
      </c>
      <c r="D2084" t="s">
        <v>804</v>
      </c>
      <c r="E2084" t="s">
        <v>805</v>
      </c>
      <c r="F2084" t="s">
        <v>106</v>
      </c>
      <c r="G2084">
        <v>4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-1</v>
      </c>
      <c r="P2084">
        <v>0</v>
      </c>
      <c r="Q2084">
        <v>0</v>
      </c>
      <c r="R2084">
        <v>0</v>
      </c>
      <c r="S2084">
        <v>3</v>
      </c>
      <c r="T2084">
        <v>0</v>
      </c>
      <c r="U2084" t="s">
        <v>32</v>
      </c>
      <c r="W2084" s="2">
        <v>96.2</v>
      </c>
      <c r="X2084" s="3">
        <f t="shared" si="64"/>
        <v>288.60000000000002</v>
      </c>
      <c r="Y2084">
        <f>VLOOKUP(D2084,'[1]Cost Sheet'!$C:$D,2,0)</f>
        <v>96.2</v>
      </c>
      <c r="Z2084" s="3">
        <f t="shared" si="65"/>
        <v>288.60000000000002</v>
      </c>
    </row>
    <row r="2085" spans="1:26" x14ac:dyDescent="0.3">
      <c r="A2085" s="7" t="s">
        <v>21</v>
      </c>
      <c r="B2085" t="s">
        <v>802</v>
      </c>
      <c r="C2085" t="s">
        <v>803</v>
      </c>
      <c r="D2085" t="s">
        <v>804</v>
      </c>
      <c r="E2085" t="s">
        <v>805</v>
      </c>
      <c r="F2085" t="s">
        <v>106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 t="s">
        <v>113</v>
      </c>
      <c r="W2085" s="2">
        <v>96.2</v>
      </c>
      <c r="X2085" s="3">
        <f t="shared" si="64"/>
        <v>96.2</v>
      </c>
      <c r="Y2085">
        <f>VLOOKUP(D2085,'[1]Cost Sheet'!$C:$D,2,0)</f>
        <v>96.2</v>
      </c>
      <c r="Z2085" s="3">
        <f t="shared" si="65"/>
        <v>96.2</v>
      </c>
    </row>
    <row r="2086" spans="1:26" x14ac:dyDescent="0.3">
      <c r="A2086" s="7" t="s">
        <v>21</v>
      </c>
      <c r="B2086" t="s">
        <v>802</v>
      </c>
      <c r="C2086" t="s">
        <v>803</v>
      </c>
      <c r="D2086" t="s">
        <v>804</v>
      </c>
      <c r="E2086" t="s">
        <v>805</v>
      </c>
      <c r="F2086" t="s">
        <v>106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 t="s">
        <v>48</v>
      </c>
      <c r="W2086" s="2">
        <v>96.2</v>
      </c>
      <c r="X2086" s="3">
        <f t="shared" si="64"/>
        <v>96.2</v>
      </c>
      <c r="Y2086">
        <f>VLOOKUP(D2086,'[1]Cost Sheet'!$C:$D,2,0)</f>
        <v>96.2</v>
      </c>
      <c r="Z2086" s="3">
        <f t="shared" si="65"/>
        <v>96.2</v>
      </c>
    </row>
    <row r="2087" spans="1:26" x14ac:dyDescent="0.3">
      <c r="A2087" s="7" t="s">
        <v>21</v>
      </c>
      <c r="B2087" t="s">
        <v>802</v>
      </c>
      <c r="C2087" t="s">
        <v>803</v>
      </c>
      <c r="D2087" t="s">
        <v>804</v>
      </c>
      <c r="E2087" t="s">
        <v>805</v>
      </c>
      <c r="F2087" t="s">
        <v>106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 t="s">
        <v>27</v>
      </c>
      <c r="W2087" s="2">
        <v>96.2</v>
      </c>
      <c r="X2087" s="3">
        <f t="shared" si="64"/>
        <v>96.2</v>
      </c>
      <c r="Y2087">
        <f>VLOOKUP(D2087,'[1]Cost Sheet'!$C:$D,2,0)</f>
        <v>96.2</v>
      </c>
      <c r="Z2087" s="3">
        <f t="shared" si="65"/>
        <v>96.2</v>
      </c>
    </row>
    <row r="2088" spans="1:26" x14ac:dyDescent="0.3">
      <c r="A2088" s="7" t="s">
        <v>21</v>
      </c>
      <c r="B2088" t="s">
        <v>802</v>
      </c>
      <c r="C2088" t="s">
        <v>803</v>
      </c>
      <c r="D2088" t="s">
        <v>804</v>
      </c>
      <c r="E2088" t="s">
        <v>805</v>
      </c>
      <c r="F2088" t="s">
        <v>93</v>
      </c>
      <c r="G2088">
        <v>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4</v>
      </c>
      <c r="T2088">
        <v>0</v>
      </c>
      <c r="U2088" t="s">
        <v>27</v>
      </c>
      <c r="W2088" s="2">
        <v>96.2</v>
      </c>
      <c r="X2088" s="3">
        <f t="shared" si="64"/>
        <v>384.8</v>
      </c>
      <c r="Y2088">
        <f>VLOOKUP(D2088,'[1]Cost Sheet'!$C:$D,2,0)</f>
        <v>96.2</v>
      </c>
      <c r="Z2088" s="3">
        <f t="shared" si="65"/>
        <v>384.8</v>
      </c>
    </row>
    <row r="2089" spans="1:26" x14ac:dyDescent="0.3">
      <c r="A2089" s="7" t="s">
        <v>21</v>
      </c>
      <c r="B2089" t="s">
        <v>802</v>
      </c>
      <c r="C2089" t="s">
        <v>803</v>
      </c>
      <c r="D2089" t="s">
        <v>804</v>
      </c>
      <c r="E2089" t="s">
        <v>805</v>
      </c>
      <c r="F2089" t="s">
        <v>26</v>
      </c>
      <c r="G2089">
        <v>17</v>
      </c>
      <c r="H2089">
        <v>0</v>
      </c>
      <c r="I2089">
        <v>0</v>
      </c>
      <c r="J2089">
        <v>-1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16</v>
      </c>
      <c r="T2089">
        <v>0</v>
      </c>
      <c r="U2089" t="s">
        <v>38</v>
      </c>
      <c r="W2089" s="2">
        <v>96.2</v>
      </c>
      <c r="X2089" s="3">
        <f t="shared" si="64"/>
        <v>1539.2</v>
      </c>
      <c r="Y2089">
        <f>VLOOKUP(D2089,'[1]Cost Sheet'!$C:$D,2,0)</f>
        <v>96.2</v>
      </c>
      <c r="Z2089" s="3">
        <f t="shared" si="65"/>
        <v>1539.2</v>
      </c>
    </row>
    <row r="2090" spans="1:26" x14ac:dyDescent="0.3">
      <c r="A2090" s="7" t="s">
        <v>21</v>
      </c>
      <c r="B2090" t="s">
        <v>802</v>
      </c>
      <c r="C2090" t="s">
        <v>803</v>
      </c>
      <c r="D2090" t="s">
        <v>804</v>
      </c>
      <c r="E2090" t="s">
        <v>805</v>
      </c>
      <c r="F2090" t="s">
        <v>26</v>
      </c>
      <c r="G2090">
        <v>28</v>
      </c>
      <c r="H2090">
        <v>0</v>
      </c>
      <c r="I2090">
        <v>0</v>
      </c>
      <c r="J2090">
        <v>-1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27</v>
      </c>
      <c r="T2090">
        <v>0</v>
      </c>
      <c r="U2090" t="s">
        <v>45</v>
      </c>
      <c r="W2090" s="2">
        <v>96.2</v>
      </c>
      <c r="X2090" s="3">
        <f t="shared" si="64"/>
        <v>2597.4</v>
      </c>
      <c r="Y2090">
        <f>VLOOKUP(D2090,'[1]Cost Sheet'!$C:$D,2,0)</f>
        <v>96.2</v>
      </c>
      <c r="Z2090" s="3">
        <f t="shared" si="65"/>
        <v>2597.4</v>
      </c>
    </row>
    <row r="2091" spans="1:26" x14ac:dyDescent="0.3">
      <c r="A2091" s="7" t="s">
        <v>21</v>
      </c>
      <c r="B2091" t="s">
        <v>802</v>
      </c>
      <c r="C2091" t="s">
        <v>803</v>
      </c>
      <c r="D2091" t="s">
        <v>804</v>
      </c>
      <c r="E2091" t="s">
        <v>805</v>
      </c>
      <c r="F2091" t="s">
        <v>26</v>
      </c>
      <c r="G2091">
        <v>6</v>
      </c>
      <c r="H2091">
        <v>0</v>
      </c>
      <c r="I2091">
        <v>0</v>
      </c>
      <c r="J2091">
        <v>-1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5</v>
      </c>
      <c r="T2091">
        <v>0</v>
      </c>
      <c r="U2091" t="s">
        <v>39</v>
      </c>
      <c r="W2091" s="2">
        <v>96.2</v>
      </c>
      <c r="X2091" s="3">
        <f t="shared" si="64"/>
        <v>481</v>
      </c>
      <c r="Y2091">
        <f>VLOOKUP(D2091,'[1]Cost Sheet'!$C:$D,2,0)</f>
        <v>96.2</v>
      </c>
      <c r="Z2091" s="3">
        <f t="shared" si="65"/>
        <v>481</v>
      </c>
    </row>
    <row r="2092" spans="1:26" x14ac:dyDescent="0.3">
      <c r="A2092" s="7" t="s">
        <v>21</v>
      </c>
      <c r="B2092" t="s">
        <v>802</v>
      </c>
      <c r="C2092" t="s">
        <v>803</v>
      </c>
      <c r="D2092" t="s">
        <v>804</v>
      </c>
      <c r="E2092" t="s">
        <v>805</v>
      </c>
      <c r="F2092" t="s">
        <v>26</v>
      </c>
      <c r="G2092">
        <v>18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18</v>
      </c>
      <c r="T2092">
        <v>0</v>
      </c>
      <c r="U2092" t="s">
        <v>54</v>
      </c>
      <c r="W2092" s="2">
        <v>96.2</v>
      </c>
      <c r="X2092" s="3">
        <f t="shared" si="64"/>
        <v>1731.6000000000001</v>
      </c>
      <c r="Y2092">
        <f>VLOOKUP(D2092,'[1]Cost Sheet'!$C:$D,2,0)</f>
        <v>96.2</v>
      </c>
      <c r="Z2092" s="3">
        <f t="shared" si="65"/>
        <v>1731.6000000000001</v>
      </c>
    </row>
    <row r="2093" spans="1:26" x14ac:dyDescent="0.3">
      <c r="A2093" s="7" t="s">
        <v>21</v>
      </c>
      <c r="B2093" t="s">
        <v>802</v>
      </c>
      <c r="C2093" t="s">
        <v>803</v>
      </c>
      <c r="D2093" t="s">
        <v>804</v>
      </c>
      <c r="E2093" t="s">
        <v>805</v>
      </c>
      <c r="F2093" t="s">
        <v>26</v>
      </c>
      <c r="G2093">
        <v>3</v>
      </c>
      <c r="H2093">
        <v>0</v>
      </c>
      <c r="I2093">
        <v>0</v>
      </c>
      <c r="J2093">
        <v>-1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2</v>
      </c>
      <c r="T2093">
        <v>0</v>
      </c>
      <c r="U2093" t="s">
        <v>32</v>
      </c>
      <c r="W2093" s="2">
        <v>96.2</v>
      </c>
      <c r="X2093" s="3">
        <f t="shared" si="64"/>
        <v>192.4</v>
      </c>
      <c r="Y2093">
        <f>VLOOKUP(D2093,'[1]Cost Sheet'!$C:$D,2,0)</f>
        <v>96.2</v>
      </c>
      <c r="Z2093" s="3">
        <f t="shared" si="65"/>
        <v>192.4</v>
      </c>
    </row>
    <row r="2094" spans="1:26" x14ac:dyDescent="0.3">
      <c r="A2094" s="7" t="s">
        <v>21</v>
      </c>
      <c r="B2094" t="s">
        <v>802</v>
      </c>
      <c r="C2094" t="s">
        <v>803</v>
      </c>
      <c r="D2094" t="s">
        <v>804</v>
      </c>
      <c r="E2094" t="s">
        <v>805</v>
      </c>
      <c r="F2094" t="s">
        <v>26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-1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s">
        <v>88</v>
      </c>
      <c r="W2094" s="2">
        <v>96.2</v>
      </c>
      <c r="X2094" s="3">
        <f t="shared" si="64"/>
        <v>0</v>
      </c>
      <c r="Y2094">
        <f>VLOOKUP(D2094,'[1]Cost Sheet'!$C:$D,2,0)</f>
        <v>96.2</v>
      </c>
      <c r="Z2094" s="3">
        <f t="shared" si="65"/>
        <v>0</v>
      </c>
    </row>
    <row r="2095" spans="1:26" x14ac:dyDescent="0.3">
      <c r="A2095" s="7" t="s">
        <v>21</v>
      </c>
      <c r="B2095" t="s">
        <v>802</v>
      </c>
      <c r="C2095" t="s">
        <v>803</v>
      </c>
      <c r="D2095" t="s">
        <v>804</v>
      </c>
      <c r="E2095" t="s">
        <v>805</v>
      </c>
      <c r="F2095" t="s">
        <v>26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 t="s">
        <v>47</v>
      </c>
      <c r="W2095" s="2">
        <v>96.2</v>
      </c>
      <c r="X2095" s="3">
        <f t="shared" si="64"/>
        <v>96.2</v>
      </c>
      <c r="Y2095">
        <f>VLOOKUP(D2095,'[1]Cost Sheet'!$C:$D,2,0)</f>
        <v>96.2</v>
      </c>
      <c r="Z2095" s="3">
        <f t="shared" si="65"/>
        <v>96.2</v>
      </c>
    </row>
    <row r="2096" spans="1:26" x14ac:dyDescent="0.3">
      <c r="A2096" s="7" t="s">
        <v>21</v>
      </c>
      <c r="B2096" t="s">
        <v>802</v>
      </c>
      <c r="C2096" t="s">
        <v>803</v>
      </c>
      <c r="D2096" t="s">
        <v>804</v>
      </c>
      <c r="E2096" t="s">
        <v>805</v>
      </c>
      <c r="F2096" t="s">
        <v>26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 t="s">
        <v>40</v>
      </c>
      <c r="W2096" s="2">
        <v>96.2</v>
      </c>
      <c r="X2096" s="3">
        <f t="shared" si="64"/>
        <v>96.2</v>
      </c>
      <c r="Y2096">
        <f>VLOOKUP(D2096,'[1]Cost Sheet'!$C:$D,2,0)</f>
        <v>96.2</v>
      </c>
      <c r="Z2096" s="3">
        <f t="shared" si="65"/>
        <v>96.2</v>
      </c>
    </row>
    <row r="2097" spans="1:26" x14ac:dyDescent="0.3">
      <c r="A2097" s="7" t="s">
        <v>21</v>
      </c>
      <c r="B2097" t="s">
        <v>802</v>
      </c>
      <c r="C2097" t="s">
        <v>803</v>
      </c>
      <c r="D2097" t="s">
        <v>804</v>
      </c>
      <c r="E2097" t="s">
        <v>805</v>
      </c>
      <c r="F2097" t="s">
        <v>26</v>
      </c>
      <c r="G2097">
        <v>8</v>
      </c>
      <c r="H2097">
        <v>0</v>
      </c>
      <c r="I2097">
        <v>0</v>
      </c>
      <c r="J2097">
        <v>-1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</v>
      </c>
      <c r="T2097">
        <v>0</v>
      </c>
      <c r="U2097" t="s">
        <v>113</v>
      </c>
      <c r="W2097" s="2">
        <v>96.2</v>
      </c>
      <c r="X2097" s="3">
        <f t="shared" si="64"/>
        <v>769.6</v>
      </c>
      <c r="Y2097">
        <f>VLOOKUP(D2097,'[1]Cost Sheet'!$C:$D,2,0)</f>
        <v>96.2</v>
      </c>
      <c r="Z2097" s="3">
        <f t="shared" si="65"/>
        <v>769.6</v>
      </c>
    </row>
    <row r="2098" spans="1:26" x14ac:dyDescent="0.3">
      <c r="A2098" s="7" t="s">
        <v>21</v>
      </c>
      <c r="B2098" t="s">
        <v>802</v>
      </c>
      <c r="C2098" t="s">
        <v>803</v>
      </c>
      <c r="D2098" t="s">
        <v>804</v>
      </c>
      <c r="E2098" t="s">
        <v>805</v>
      </c>
      <c r="F2098" t="s">
        <v>26</v>
      </c>
      <c r="G2098">
        <v>5</v>
      </c>
      <c r="H2098">
        <v>0</v>
      </c>
      <c r="I2098">
        <v>0</v>
      </c>
      <c r="J2098">
        <v>-1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4</v>
      </c>
      <c r="T2098">
        <v>0</v>
      </c>
      <c r="U2098" t="s">
        <v>27</v>
      </c>
      <c r="W2098" s="2">
        <v>96.2</v>
      </c>
      <c r="X2098" s="3">
        <f t="shared" si="64"/>
        <v>384.8</v>
      </c>
      <c r="Y2098">
        <f>VLOOKUP(D2098,'[1]Cost Sheet'!$C:$D,2,0)</f>
        <v>96.2</v>
      </c>
      <c r="Z2098" s="3">
        <f t="shared" si="65"/>
        <v>384.8</v>
      </c>
    </row>
    <row r="2099" spans="1:26" x14ac:dyDescent="0.3">
      <c r="A2099" s="7" t="s">
        <v>21</v>
      </c>
      <c r="B2099" t="s">
        <v>806</v>
      </c>
      <c r="C2099" t="s">
        <v>807</v>
      </c>
      <c r="D2099" t="s">
        <v>808</v>
      </c>
      <c r="E2099" t="s">
        <v>809</v>
      </c>
      <c r="F2099" t="s">
        <v>26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 t="s">
        <v>39</v>
      </c>
      <c r="W2099" s="2">
        <v>96.2</v>
      </c>
      <c r="X2099" s="3">
        <f t="shared" si="64"/>
        <v>96.2</v>
      </c>
      <c r="Y2099">
        <f>VLOOKUP(D2099,'[1]Cost Sheet'!$C:$D,2,0)</f>
        <v>96.2</v>
      </c>
      <c r="Z2099" s="3">
        <f t="shared" si="65"/>
        <v>96.2</v>
      </c>
    </row>
    <row r="2100" spans="1:26" x14ac:dyDescent="0.3">
      <c r="A2100" s="7" t="s">
        <v>21</v>
      </c>
      <c r="B2100" t="s">
        <v>806</v>
      </c>
      <c r="C2100" t="s">
        <v>807</v>
      </c>
      <c r="D2100" t="s">
        <v>808</v>
      </c>
      <c r="E2100" t="s">
        <v>809</v>
      </c>
      <c r="F2100" t="s">
        <v>114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 t="s">
        <v>88</v>
      </c>
      <c r="W2100" s="2">
        <v>96.2</v>
      </c>
      <c r="X2100" s="3">
        <f t="shared" si="64"/>
        <v>96.2</v>
      </c>
      <c r="Y2100">
        <f>VLOOKUP(D2100,'[1]Cost Sheet'!$C:$D,2,0)</f>
        <v>96.2</v>
      </c>
      <c r="Z2100" s="3">
        <f t="shared" si="65"/>
        <v>96.2</v>
      </c>
    </row>
    <row r="2101" spans="1:26" x14ac:dyDescent="0.3">
      <c r="A2101" s="7" t="s">
        <v>21</v>
      </c>
      <c r="B2101" t="s">
        <v>810</v>
      </c>
      <c r="C2101" t="s">
        <v>811</v>
      </c>
      <c r="D2101" t="s">
        <v>812</v>
      </c>
      <c r="E2101" t="s">
        <v>813</v>
      </c>
      <c r="F2101" t="s">
        <v>26</v>
      </c>
      <c r="G2101">
        <v>18</v>
      </c>
      <c r="H2101">
        <v>0</v>
      </c>
      <c r="I2101">
        <v>0</v>
      </c>
      <c r="J2101">
        <v>-1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17</v>
      </c>
      <c r="T2101">
        <v>0</v>
      </c>
      <c r="U2101" t="s">
        <v>38</v>
      </c>
      <c r="W2101" s="2">
        <v>113</v>
      </c>
      <c r="X2101" s="3">
        <f t="shared" si="64"/>
        <v>1921</v>
      </c>
      <c r="Y2101">
        <f>VLOOKUP(D2101,'[1]Cost Sheet'!$C:$D,2,0)</f>
        <v>113</v>
      </c>
      <c r="Z2101" s="3">
        <f t="shared" si="65"/>
        <v>1921</v>
      </c>
    </row>
    <row r="2102" spans="1:26" x14ac:dyDescent="0.3">
      <c r="A2102" s="7" t="s">
        <v>21</v>
      </c>
      <c r="B2102" t="s">
        <v>810</v>
      </c>
      <c r="C2102" t="s">
        <v>811</v>
      </c>
      <c r="D2102" t="s">
        <v>812</v>
      </c>
      <c r="E2102" t="s">
        <v>813</v>
      </c>
      <c r="F2102" t="s">
        <v>26</v>
      </c>
      <c r="G2102">
        <v>4</v>
      </c>
      <c r="H2102">
        <v>0</v>
      </c>
      <c r="I2102">
        <v>0</v>
      </c>
      <c r="J2102">
        <v>-1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3</v>
      </c>
      <c r="T2102">
        <v>0</v>
      </c>
      <c r="U2102" t="s">
        <v>45</v>
      </c>
      <c r="W2102" s="2">
        <v>113</v>
      </c>
      <c r="X2102" s="3">
        <f t="shared" si="64"/>
        <v>339</v>
      </c>
      <c r="Y2102">
        <f>VLOOKUP(D2102,'[1]Cost Sheet'!$C:$D,2,0)</f>
        <v>113</v>
      </c>
      <c r="Z2102" s="3">
        <f t="shared" si="65"/>
        <v>339</v>
      </c>
    </row>
    <row r="2103" spans="1:26" x14ac:dyDescent="0.3">
      <c r="A2103" s="7" t="s">
        <v>21</v>
      </c>
      <c r="B2103" t="s">
        <v>810</v>
      </c>
      <c r="C2103" t="s">
        <v>811</v>
      </c>
      <c r="D2103" t="s">
        <v>812</v>
      </c>
      <c r="E2103" t="s">
        <v>813</v>
      </c>
      <c r="F2103" t="s">
        <v>26</v>
      </c>
      <c r="G2103">
        <v>13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13</v>
      </c>
      <c r="T2103">
        <v>0</v>
      </c>
      <c r="U2103" t="s">
        <v>46</v>
      </c>
      <c r="W2103" s="2">
        <v>113</v>
      </c>
      <c r="X2103" s="3">
        <f t="shared" si="64"/>
        <v>1469</v>
      </c>
      <c r="Y2103">
        <f>VLOOKUP(D2103,'[1]Cost Sheet'!$C:$D,2,0)</f>
        <v>113</v>
      </c>
      <c r="Z2103" s="3">
        <f t="shared" si="65"/>
        <v>1469</v>
      </c>
    </row>
    <row r="2104" spans="1:26" x14ac:dyDescent="0.3">
      <c r="A2104" s="7" t="s">
        <v>21</v>
      </c>
      <c r="B2104" t="s">
        <v>810</v>
      </c>
      <c r="C2104" t="s">
        <v>811</v>
      </c>
      <c r="D2104" t="s">
        <v>812</v>
      </c>
      <c r="E2104" t="s">
        <v>813</v>
      </c>
      <c r="F2104" t="s">
        <v>26</v>
      </c>
      <c r="G2104">
        <v>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8</v>
      </c>
      <c r="T2104">
        <v>0</v>
      </c>
      <c r="U2104" t="s">
        <v>120</v>
      </c>
      <c r="W2104" s="2">
        <v>113</v>
      </c>
      <c r="X2104" s="3">
        <f t="shared" si="64"/>
        <v>904</v>
      </c>
      <c r="Y2104">
        <f>VLOOKUP(D2104,'[1]Cost Sheet'!$C:$D,2,0)</f>
        <v>113</v>
      </c>
      <c r="Z2104" s="3">
        <f t="shared" si="65"/>
        <v>904</v>
      </c>
    </row>
    <row r="2105" spans="1:26" x14ac:dyDescent="0.3">
      <c r="A2105" s="7" t="s">
        <v>21</v>
      </c>
      <c r="B2105" t="s">
        <v>814</v>
      </c>
      <c r="C2105" t="s">
        <v>815</v>
      </c>
      <c r="D2105" t="s">
        <v>816</v>
      </c>
      <c r="E2105" t="s">
        <v>817</v>
      </c>
      <c r="F2105" t="s">
        <v>26</v>
      </c>
      <c r="G2105">
        <v>21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21</v>
      </c>
      <c r="T2105">
        <v>0</v>
      </c>
      <c r="U2105" t="s">
        <v>38</v>
      </c>
      <c r="W2105" s="2">
        <v>90.089999999999989</v>
      </c>
      <c r="X2105" s="3">
        <f t="shared" si="64"/>
        <v>1891.8899999999999</v>
      </c>
      <c r="Y2105">
        <f>VLOOKUP(D2105,'[1]Cost Sheet'!$C:$D,2,0)</f>
        <v>90.089999999999989</v>
      </c>
      <c r="Z2105" s="3">
        <f t="shared" si="65"/>
        <v>1891.8899999999999</v>
      </c>
    </row>
    <row r="2106" spans="1:26" x14ac:dyDescent="0.3">
      <c r="A2106" s="7" t="s">
        <v>21</v>
      </c>
      <c r="B2106" t="s">
        <v>814</v>
      </c>
      <c r="C2106" t="s">
        <v>815</v>
      </c>
      <c r="D2106" t="s">
        <v>816</v>
      </c>
      <c r="E2106" t="s">
        <v>817</v>
      </c>
      <c r="F2106" t="s">
        <v>26</v>
      </c>
      <c r="G2106">
        <v>30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30</v>
      </c>
      <c r="T2106">
        <v>0</v>
      </c>
      <c r="U2106" t="s">
        <v>45</v>
      </c>
      <c r="W2106" s="2">
        <v>90.089999999999989</v>
      </c>
      <c r="X2106" s="3">
        <f t="shared" si="64"/>
        <v>2702.7</v>
      </c>
      <c r="Y2106">
        <f>VLOOKUP(D2106,'[1]Cost Sheet'!$C:$D,2,0)</f>
        <v>90.089999999999989</v>
      </c>
      <c r="Z2106" s="3">
        <f t="shared" si="65"/>
        <v>2702.7</v>
      </c>
    </row>
    <row r="2107" spans="1:26" x14ac:dyDescent="0.3">
      <c r="A2107" s="7" t="s">
        <v>21</v>
      </c>
      <c r="B2107" t="s">
        <v>814</v>
      </c>
      <c r="C2107" t="s">
        <v>815</v>
      </c>
      <c r="D2107" t="s">
        <v>816</v>
      </c>
      <c r="E2107" t="s">
        <v>817</v>
      </c>
      <c r="F2107" t="s">
        <v>26</v>
      </c>
      <c r="G2107">
        <v>4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4</v>
      </c>
      <c r="T2107">
        <v>0</v>
      </c>
      <c r="U2107" t="s">
        <v>39</v>
      </c>
      <c r="W2107" s="2">
        <v>90.089999999999989</v>
      </c>
      <c r="X2107" s="3">
        <f t="shared" si="64"/>
        <v>360.35999999999996</v>
      </c>
      <c r="Y2107">
        <f>VLOOKUP(D2107,'[1]Cost Sheet'!$C:$D,2,0)</f>
        <v>90.089999999999989</v>
      </c>
      <c r="Z2107" s="3">
        <f t="shared" si="65"/>
        <v>360.35999999999996</v>
      </c>
    </row>
    <row r="2108" spans="1:26" x14ac:dyDescent="0.3">
      <c r="A2108" s="7" t="s">
        <v>21</v>
      </c>
      <c r="B2108" t="s">
        <v>814</v>
      </c>
      <c r="C2108" t="s">
        <v>815</v>
      </c>
      <c r="D2108" t="s">
        <v>816</v>
      </c>
      <c r="E2108" t="s">
        <v>817</v>
      </c>
      <c r="F2108" t="s">
        <v>26</v>
      </c>
      <c r="G2108">
        <v>17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17</v>
      </c>
      <c r="T2108">
        <v>0</v>
      </c>
      <c r="U2108" t="s">
        <v>46</v>
      </c>
      <c r="W2108" s="2">
        <v>90.089999999999989</v>
      </c>
      <c r="X2108" s="3">
        <f t="shared" si="64"/>
        <v>1531.5299999999997</v>
      </c>
      <c r="Y2108">
        <f>VLOOKUP(D2108,'[1]Cost Sheet'!$C:$D,2,0)</f>
        <v>90.089999999999989</v>
      </c>
      <c r="Z2108" s="3">
        <f t="shared" si="65"/>
        <v>1531.5299999999997</v>
      </c>
    </row>
    <row r="2109" spans="1:26" x14ac:dyDescent="0.3">
      <c r="A2109" s="7" t="s">
        <v>21</v>
      </c>
      <c r="B2109" t="s">
        <v>814</v>
      </c>
      <c r="C2109" t="s">
        <v>815</v>
      </c>
      <c r="D2109" t="s">
        <v>816</v>
      </c>
      <c r="E2109" t="s">
        <v>817</v>
      </c>
      <c r="F2109" t="s">
        <v>26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 t="s">
        <v>40</v>
      </c>
      <c r="W2109" s="2">
        <v>90.089999999999989</v>
      </c>
      <c r="X2109" s="3">
        <f t="shared" si="64"/>
        <v>90.089999999999989</v>
      </c>
      <c r="Y2109">
        <f>VLOOKUP(D2109,'[1]Cost Sheet'!$C:$D,2,0)</f>
        <v>90.089999999999989</v>
      </c>
      <c r="Z2109" s="3">
        <f t="shared" si="65"/>
        <v>90.089999999999989</v>
      </c>
    </row>
    <row r="2110" spans="1:26" x14ac:dyDescent="0.3">
      <c r="A2110" s="7" t="s">
        <v>21</v>
      </c>
      <c r="B2110" t="s">
        <v>814</v>
      </c>
      <c r="C2110" t="s">
        <v>815</v>
      </c>
      <c r="D2110" t="s">
        <v>816</v>
      </c>
      <c r="E2110" t="s">
        <v>817</v>
      </c>
      <c r="F2110" t="s">
        <v>26</v>
      </c>
      <c r="G2110">
        <v>10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10</v>
      </c>
      <c r="T2110">
        <v>0</v>
      </c>
      <c r="U2110" t="s">
        <v>120</v>
      </c>
      <c r="W2110" s="2">
        <v>90.089999999999989</v>
      </c>
      <c r="X2110" s="3">
        <f t="shared" si="64"/>
        <v>900.89999999999986</v>
      </c>
      <c r="Y2110">
        <f>VLOOKUP(D2110,'[1]Cost Sheet'!$C:$D,2,0)</f>
        <v>90.089999999999989</v>
      </c>
      <c r="Z2110" s="3">
        <f t="shared" si="65"/>
        <v>900.89999999999986</v>
      </c>
    </row>
    <row r="2111" spans="1:26" x14ac:dyDescent="0.3">
      <c r="A2111" s="7" t="s">
        <v>21</v>
      </c>
      <c r="B2111" t="s">
        <v>818</v>
      </c>
      <c r="C2111" t="s">
        <v>819</v>
      </c>
      <c r="D2111" t="s">
        <v>820</v>
      </c>
      <c r="E2111" t="s">
        <v>821</v>
      </c>
      <c r="F2111" t="s">
        <v>106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</v>
      </c>
      <c r="S2111">
        <v>2</v>
      </c>
      <c r="T2111">
        <v>0</v>
      </c>
      <c r="U2111" t="s">
        <v>38</v>
      </c>
      <c r="W2111" s="2">
        <v>129.18</v>
      </c>
      <c r="X2111" s="3">
        <f t="shared" si="64"/>
        <v>258.36</v>
      </c>
      <c r="Y2111">
        <f>VLOOKUP(D2111,'[1]Cost Sheet'!$C:$D,2,0)</f>
        <v>129.18</v>
      </c>
      <c r="Z2111" s="3">
        <f t="shared" si="65"/>
        <v>258.36</v>
      </c>
    </row>
    <row r="2112" spans="1:26" x14ac:dyDescent="0.3">
      <c r="A2112" s="7" t="s">
        <v>21</v>
      </c>
      <c r="B2112" t="s">
        <v>818</v>
      </c>
      <c r="C2112" t="s">
        <v>819</v>
      </c>
      <c r="D2112" t="s">
        <v>820</v>
      </c>
      <c r="E2112" t="s">
        <v>821</v>
      </c>
      <c r="F2112" t="s">
        <v>106</v>
      </c>
      <c r="G2112">
        <v>5</v>
      </c>
      <c r="H2112">
        <v>0</v>
      </c>
      <c r="I2112">
        <v>0</v>
      </c>
      <c r="J2112">
        <v>0</v>
      </c>
      <c r="K2112">
        <v>0</v>
      </c>
      <c r="L2112">
        <v>-1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4</v>
      </c>
      <c r="T2112">
        <v>0</v>
      </c>
      <c r="U2112" t="s">
        <v>45</v>
      </c>
      <c r="W2112" s="2">
        <v>129.18</v>
      </c>
      <c r="X2112" s="3">
        <f t="shared" si="64"/>
        <v>516.72</v>
      </c>
      <c r="Y2112">
        <f>VLOOKUP(D2112,'[1]Cost Sheet'!$C:$D,2,0)</f>
        <v>129.18</v>
      </c>
      <c r="Z2112" s="3">
        <f t="shared" si="65"/>
        <v>516.72</v>
      </c>
    </row>
    <row r="2113" spans="1:26" x14ac:dyDescent="0.3">
      <c r="A2113" s="7" t="s">
        <v>21</v>
      </c>
      <c r="B2113" t="s">
        <v>818</v>
      </c>
      <c r="C2113" t="s">
        <v>819</v>
      </c>
      <c r="D2113" t="s">
        <v>820</v>
      </c>
      <c r="E2113" t="s">
        <v>821</v>
      </c>
      <c r="F2113" t="s">
        <v>106</v>
      </c>
      <c r="G2113">
        <v>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7</v>
      </c>
      <c r="T2113">
        <v>0</v>
      </c>
      <c r="U2113" t="s">
        <v>39</v>
      </c>
      <c r="W2113" s="2">
        <v>129.18</v>
      </c>
      <c r="X2113" s="3">
        <f t="shared" si="64"/>
        <v>904.26</v>
      </c>
      <c r="Y2113">
        <f>VLOOKUP(D2113,'[1]Cost Sheet'!$C:$D,2,0)</f>
        <v>129.18</v>
      </c>
      <c r="Z2113" s="3">
        <f t="shared" si="65"/>
        <v>904.26</v>
      </c>
    </row>
    <row r="2114" spans="1:26" x14ac:dyDescent="0.3">
      <c r="A2114" s="7" t="s">
        <v>21</v>
      </c>
      <c r="B2114" t="s">
        <v>818</v>
      </c>
      <c r="C2114" t="s">
        <v>819</v>
      </c>
      <c r="D2114" t="s">
        <v>820</v>
      </c>
      <c r="E2114" t="s">
        <v>821</v>
      </c>
      <c r="F2114" t="s">
        <v>106</v>
      </c>
      <c r="G2114">
        <v>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5</v>
      </c>
      <c r="T2114">
        <v>0</v>
      </c>
      <c r="U2114" t="s">
        <v>53</v>
      </c>
      <c r="W2114" s="2">
        <v>129.18</v>
      </c>
      <c r="X2114" s="3">
        <f t="shared" si="64"/>
        <v>645.90000000000009</v>
      </c>
      <c r="Y2114">
        <f>VLOOKUP(D2114,'[1]Cost Sheet'!$C:$D,2,0)</f>
        <v>129.18</v>
      </c>
      <c r="Z2114" s="3">
        <f t="shared" si="65"/>
        <v>645.90000000000009</v>
      </c>
    </row>
    <row r="2115" spans="1:26" x14ac:dyDescent="0.3">
      <c r="A2115" s="7" t="s">
        <v>21</v>
      </c>
      <c r="B2115" t="s">
        <v>818</v>
      </c>
      <c r="C2115" t="s">
        <v>819</v>
      </c>
      <c r="D2115" t="s">
        <v>820</v>
      </c>
      <c r="E2115" t="s">
        <v>821</v>
      </c>
      <c r="F2115" t="s">
        <v>106</v>
      </c>
      <c r="G2115">
        <v>3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3</v>
      </c>
      <c r="T2115">
        <v>0</v>
      </c>
      <c r="U2115" t="s">
        <v>54</v>
      </c>
      <c r="W2115" s="2">
        <v>129.18</v>
      </c>
      <c r="X2115" s="3">
        <f t="shared" ref="X2115:X2178" si="66">S2115*W2115</f>
        <v>387.54</v>
      </c>
      <c r="Y2115">
        <f>VLOOKUP(D2115,'[1]Cost Sheet'!$C:$D,2,0)</f>
        <v>129.18</v>
      </c>
      <c r="Z2115" s="3">
        <f t="shared" ref="Z2115:Z2178" si="67">Y2115*S2115</f>
        <v>387.54</v>
      </c>
    </row>
    <row r="2116" spans="1:26" x14ac:dyDescent="0.3">
      <c r="A2116" s="7" t="s">
        <v>21</v>
      </c>
      <c r="B2116" t="s">
        <v>818</v>
      </c>
      <c r="C2116" t="s">
        <v>819</v>
      </c>
      <c r="D2116" t="s">
        <v>820</v>
      </c>
      <c r="E2116" t="s">
        <v>821</v>
      </c>
      <c r="F2116" t="s">
        <v>106</v>
      </c>
      <c r="G2116">
        <v>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2</v>
      </c>
      <c r="T2116">
        <v>0</v>
      </c>
      <c r="U2116" t="s">
        <v>33</v>
      </c>
      <c r="W2116" s="2">
        <v>129.18</v>
      </c>
      <c r="X2116" s="3">
        <f t="shared" si="66"/>
        <v>258.36</v>
      </c>
      <c r="Y2116">
        <f>VLOOKUP(D2116,'[1]Cost Sheet'!$C:$D,2,0)</f>
        <v>129.18</v>
      </c>
      <c r="Z2116" s="3">
        <f t="shared" si="67"/>
        <v>258.36</v>
      </c>
    </row>
    <row r="2117" spans="1:26" x14ac:dyDescent="0.3">
      <c r="A2117" s="7" t="s">
        <v>21</v>
      </c>
      <c r="B2117" t="s">
        <v>818</v>
      </c>
      <c r="C2117" t="s">
        <v>819</v>
      </c>
      <c r="D2117" t="s">
        <v>820</v>
      </c>
      <c r="E2117" t="s">
        <v>821</v>
      </c>
      <c r="F2117" t="s">
        <v>106</v>
      </c>
      <c r="G2117">
        <v>10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11</v>
      </c>
      <c r="T2117">
        <v>0</v>
      </c>
      <c r="U2117" t="s">
        <v>48</v>
      </c>
      <c r="W2117" s="2">
        <v>129.18</v>
      </c>
      <c r="X2117" s="3">
        <f t="shared" si="66"/>
        <v>1420.98</v>
      </c>
      <c r="Y2117">
        <f>VLOOKUP(D2117,'[1]Cost Sheet'!$C:$D,2,0)</f>
        <v>129.18</v>
      </c>
      <c r="Z2117" s="3">
        <f t="shared" si="67"/>
        <v>1420.98</v>
      </c>
    </row>
    <row r="2118" spans="1:26" x14ac:dyDescent="0.3">
      <c r="A2118" s="7" t="s">
        <v>21</v>
      </c>
      <c r="B2118" t="s">
        <v>818</v>
      </c>
      <c r="C2118" t="s">
        <v>819</v>
      </c>
      <c r="D2118" t="s">
        <v>820</v>
      </c>
      <c r="E2118" t="s">
        <v>821</v>
      </c>
      <c r="F2118" t="s">
        <v>26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-2</v>
      </c>
      <c r="S2118">
        <v>0</v>
      </c>
      <c r="T2118">
        <v>0</v>
      </c>
      <c r="U2118" t="s">
        <v>38</v>
      </c>
      <c r="W2118" s="2">
        <v>129.18</v>
      </c>
      <c r="X2118" s="3">
        <f t="shared" si="66"/>
        <v>0</v>
      </c>
      <c r="Y2118">
        <f>VLOOKUP(D2118,'[1]Cost Sheet'!$C:$D,2,0)</f>
        <v>129.18</v>
      </c>
      <c r="Z2118" s="3">
        <f t="shared" si="67"/>
        <v>0</v>
      </c>
    </row>
    <row r="2119" spans="1:26" x14ac:dyDescent="0.3">
      <c r="A2119" s="7" t="s">
        <v>21</v>
      </c>
      <c r="B2119" t="s">
        <v>818</v>
      </c>
      <c r="C2119" t="s">
        <v>819</v>
      </c>
      <c r="D2119" t="s">
        <v>820</v>
      </c>
      <c r="E2119" t="s">
        <v>821</v>
      </c>
      <c r="F2119" t="s">
        <v>26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 t="s">
        <v>53</v>
      </c>
      <c r="W2119" s="2">
        <v>129.18</v>
      </c>
      <c r="X2119" s="3">
        <f t="shared" si="66"/>
        <v>129.18</v>
      </c>
      <c r="Y2119">
        <f>VLOOKUP(D2119,'[1]Cost Sheet'!$C:$D,2,0)</f>
        <v>129.18</v>
      </c>
      <c r="Z2119" s="3">
        <f t="shared" si="67"/>
        <v>129.18</v>
      </c>
    </row>
    <row r="2120" spans="1:26" x14ac:dyDescent="0.3">
      <c r="A2120" s="7" t="s">
        <v>21</v>
      </c>
      <c r="B2120" t="s">
        <v>818</v>
      </c>
      <c r="C2120" t="s">
        <v>819</v>
      </c>
      <c r="D2120" t="s">
        <v>820</v>
      </c>
      <c r="E2120" t="s">
        <v>821</v>
      </c>
      <c r="F2120" t="s">
        <v>26</v>
      </c>
      <c r="G2120">
        <v>1</v>
      </c>
      <c r="H2120">
        <v>0</v>
      </c>
      <c r="I2120">
        <v>0</v>
      </c>
      <c r="J2120">
        <v>-1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32</v>
      </c>
      <c r="W2120" s="2">
        <v>129.18</v>
      </c>
      <c r="X2120" s="3">
        <f t="shared" si="66"/>
        <v>0</v>
      </c>
      <c r="Y2120">
        <f>VLOOKUP(D2120,'[1]Cost Sheet'!$C:$D,2,0)</f>
        <v>129.18</v>
      </c>
      <c r="Z2120" s="3">
        <f t="shared" si="67"/>
        <v>0</v>
      </c>
    </row>
    <row r="2121" spans="1:26" x14ac:dyDescent="0.3">
      <c r="A2121" s="7" t="s">
        <v>21</v>
      </c>
      <c r="B2121" t="s">
        <v>818</v>
      </c>
      <c r="C2121" t="s">
        <v>819</v>
      </c>
      <c r="D2121" t="s">
        <v>820</v>
      </c>
      <c r="E2121" t="s">
        <v>821</v>
      </c>
      <c r="F2121" t="s">
        <v>26</v>
      </c>
      <c r="G2121">
        <v>6</v>
      </c>
      <c r="H2121">
        <v>0</v>
      </c>
      <c r="I2121">
        <v>0</v>
      </c>
      <c r="J2121">
        <v>-4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</v>
      </c>
      <c r="T2121">
        <v>0</v>
      </c>
      <c r="U2121" t="s">
        <v>46</v>
      </c>
      <c r="W2121" s="2">
        <v>129.18</v>
      </c>
      <c r="X2121" s="3">
        <f t="shared" si="66"/>
        <v>258.36</v>
      </c>
      <c r="Y2121">
        <f>VLOOKUP(D2121,'[1]Cost Sheet'!$C:$D,2,0)</f>
        <v>129.18</v>
      </c>
      <c r="Z2121" s="3">
        <f t="shared" si="67"/>
        <v>258.36</v>
      </c>
    </row>
    <row r="2122" spans="1:26" x14ac:dyDescent="0.3">
      <c r="A2122" s="7" t="s">
        <v>21</v>
      </c>
      <c r="B2122" t="s">
        <v>818</v>
      </c>
      <c r="C2122" t="s">
        <v>819</v>
      </c>
      <c r="D2122" t="s">
        <v>820</v>
      </c>
      <c r="E2122" t="s">
        <v>821</v>
      </c>
      <c r="F2122" t="s">
        <v>26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2</v>
      </c>
      <c r="T2122">
        <v>0</v>
      </c>
      <c r="U2122" t="s">
        <v>47</v>
      </c>
      <c r="W2122" s="2">
        <v>129.18</v>
      </c>
      <c r="X2122" s="3">
        <f t="shared" si="66"/>
        <v>258.36</v>
      </c>
      <c r="Y2122">
        <f>VLOOKUP(D2122,'[1]Cost Sheet'!$C:$D,2,0)</f>
        <v>129.18</v>
      </c>
      <c r="Z2122" s="3">
        <f t="shared" si="67"/>
        <v>258.36</v>
      </c>
    </row>
    <row r="2123" spans="1:26" x14ac:dyDescent="0.3">
      <c r="A2123" s="7" t="s">
        <v>21</v>
      </c>
      <c r="B2123" t="s">
        <v>818</v>
      </c>
      <c r="C2123" t="s">
        <v>819</v>
      </c>
      <c r="D2123" t="s">
        <v>820</v>
      </c>
      <c r="E2123" t="s">
        <v>821</v>
      </c>
      <c r="F2123" t="s">
        <v>26</v>
      </c>
      <c r="G2123">
        <v>5</v>
      </c>
      <c r="H2123">
        <v>0</v>
      </c>
      <c r="I2123">
        <v>0</v>
      </c>
      <c r="J2123">
        <v>-1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4</v>
      </c>
      <c r="T2123">
        <v>0</v>
      </c>
      <c r="U2123" t="s">
        <v>113</v>
      </c>
      <c r="W2123" s="2">
        <v>129.18</v>
      </c>
      <c r="X2123" s="3">
        <f t="shared" si="66"/>
        <v>516.72</v>
      </c>
      <c r="Y2123">
        <f>VLOOKUP(D2123,'[1]Cost Sheet'!$C:$D,2,0)</f>
        <v>129.18</v>
      </c>
      <c r="Z2123" s="3">
        <f t="shared" si="67"/>
        <v>516.72</v>
      </c>
    </row>
    <row r="2124" spans="1:26" x14ac:dyDescent="0.3">
      <c r="A2124" s="7" t="s">
        <v>21</v>
      </c>
      <c r="B2124" t="s">
        <v>818</v>
      </c>
      <c r="C2124" t="s">
        <v>819</v>
      </c>
      <c r="D2124" t="s">
        <v>820</v>
      </c>
      <c r="E2124" t="s">
        <v>821</v>
      </c>
      <c r="F2124" t="s">
        <v>26</v>
      </c>
      <c r="G2124">
        <v>37</v>
      </c>
      <c r="H2124">
        <v>0</v>
      </c>
      <c r="I2124">
        <v>0</v>
      </c>
      <c r="J2124">
        <v>-1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-1</v>
      </c>
      <c r="S2124">
        <v>35</v>
      </c>
      <c r="T2124">
        <v>0</v>
      </c>
      <c r="U2124" t="s">
        <v>48</v>
      </c>
      <c r="W2124" s="2">
        <v>129.18</v>
      </c>
      <c r="X2124" s="3">
        <f t="shared" si="66"/>
        <v>4521.3</v>
      </c>
      <c r="Y2124">
        <f>VLOOKUP(D2124,'[1]Cost Sheet'!$C:$D,2,0)</f>
        <v>129.18</v>
      </c>
      <c r="Z2124" s="3">
        <f t="shared" si="67"/>
        <v>4521.3</v>
      </c>
    </row>
    <row r="2125" spans="1:26" x14ac:dyDescent="0.3">
      <c r="A2125" s="7" t="s">
        <v>21</v>
      </c>
      <c r="B2125" t="s">
        <v>818</v>
      </c>
      <c r="C2125" t="s">
        <v>819</v>
      </c>
      <c r="D2125" t="s">
        <v>820</v>
      </c>
      <c r="E2125" t="s">
        <v>821</v>
      </c>
      <c r="F2125" t="s">
        <v>26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3</v>
      </c>
      <c r="T2125">
        <v>0</v>
      </c>
      <c r="U2125" t="s">
        <v>59</v>
      </c>
      <c r="W2125" s="2">
        <v>129.18</v>
      </c>
      <c r="X2125" s="3">
        <f t="shared" si="66"/>
        <v>387.54</v>
      </c>
      <c r="Y2125">
        <f>VLOOKUP(D2125,'[1]Cost Sheet'!$C:$D,2,0)</f>
        <v>129.18</v>
      </c>
      <c r="Z2125" s="3">
        <f t="shared" si="67"/>
        <v>387.54</v>
      </c>
    </row>
    <row r="2126" spans="1:26" x14ac:dyDescent="0.3">
      <c r="A2126" s="7" t="s">
        <v>21</v>
      </c>
      <c r="B2126" t="s">
        <v>818</v>
      </c>
      <c r="C2126" t="s">
        <v>819</v>
      </c>
      <c r="D2126" t="s">
        <v>820</v>
      </c>
      <c r="E2126" t="s">
        <v>821</v>
      </c>
      <c r="F2126" t="s">
        <v>26</v>
      </c>
      <c r="G2126">
        <v>41</v>
      </c>
      <c r="H2126">
        <v>0</v>
      </c>
      <c r="I2126">
        <v>0</v>
      </c>
      <c r="J2126">
        <v>-1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40</v>
      </c>
      <c r="T2126">
        <v>0</v>
      </c>
      <c r="U2126" t="s">
        <v>27</v>
      </c>
      <c r="W2126" s="2">
        <v>129.18</v>
      </c>
      <c r="X2126" s="3">
        <f t="shared" si="66"/>
        <v>5167.2000000000007</v>
      </c>
      <c r="Y2126">
        <f>VLOOKUP(D2126,'[1]Cost Sheet'!$C:$D,2,0)</f>
        <v>129.18</v>
      </c>
      <c r="Z2126" s="3">
        <f t="shared" si="67"/>
        <v>5167.2000000000007</v>
      </c>
    </row>
    <row r="2127" spans="1:26" x14ac:dyDescent="0.3">
      <c r="A2127" s="7" t="s">
        <v>21</v>
      </c>
      <c r="B2127" t="s">
        <v>822</v>
      </c>
      <c r="C2127" t="s">
        <v>823</v>
      </c>
      <c r="D2127" t="s">
        <v>824</v>
      </c>
      <c r="E2127" t="s">
        <v>825</v>
      </c>
      <c r="F2127" t="s">
        <v>26</v>
      </c>
      <c r="G2127">
        <v>13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13</v>
      </c>
      <c r="T2127">
        <v>0</v>
      </c>
      <c r="U2127" t="s">
        <v>38</v>
      </c>
      <c r="W2127" s="2">
        <v>129.18</v>
      </c>
      <c r="X2127" s="3">
        <f t="shared" si="66"/>
        <v>1679.3400000000001</v>
      </c>
      <c r="Y2127">
        <f>VLOOKUP(D2127,'[1]Cost Sheet'!$C:$D,2,0)</f>
        <v>129.18</v>
      </c>
      <c r="Z2127" s="3">
        <f t="shared" si="67"/>
        <v>1679.3400000000001</v>
      </c>
    </row>
    <row r="2128" spans="1:26" x14ac:dyDescent="0.3">
      <c r="A2128" s="7" t="s">
        <v>21</v>
      </c>
      <c r="B2128" t="s">
        <v>826</v>
      </c>
      <c r="C2128" t="s">
        <v>827</v>
      </c>
      <c r="D2128" t="s">
        <v>828</v>
      </c>
      <c r="E2128" t="s">
        <v>829</v>
      </c>
      <c r="F2128" t="s">
        <v>26</v>
      </c>
      <c r="G2128">
        <v>22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22</v>
      </c>
      <c r="T2128">
        <v>0</v>
      </c>
      <c r="U2128" t="s">
        <v>38</v>
      </c>
      <c r="W2128" s="2">
        <v>51.74</v>
      </c>
      <c r="X2128" s="3">
        <f t="shared" si="66"/>
        <v>1138.28</v>
      </c>
      <c r="Y2128">
        <f>VLOOKUP(D2128,'[1]Cost Sheet'!$C:$D,2,0)</f>
        <v>51.74</v>
      </c>
      <c r="Z2128" s="3">
        <f t="shared" si="67"/>
        <v>1138.28</v>
      </c>
    </row>
    <row r="2129" spans="1:26" x14ac:dyDescent="0.3">
      <c r="A2129" s="7" t="s">
        <v>21</v>
      </c>
      <c r="B2129" t="s">
        <v>826</v>
      </c>
      <c r="C2129" t="s">
        <v>827</v>
      </c>
      <c r="D2129" t="s">
        <v>828</v>
      </c>
      <c r="E2129" t="s">
        <v>829</v>
      </c>
      <c r="F2129" t="s">
        <v>26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 t="s">
        <v>107</v>
      </c>
      <c r="W2129" s="2">
        <v>51.74</v>
      </c>
      <c r="X2129" s="3">
        <f t="shared" si="66"/>
        <v>51.74</v>
      </c>
      <c r="Y2129">
        <f>VLOOKUP(D2129,'[1]Cost Sheet'!$C:$D,2,0)</f>
        <v>51.74</v>
      </c>
      <c r="Z2129" s="3">
        <f t="shared" si="67"/>
        <v>51.74</v>
      </c>
    </row>
    <row r="2130" spans="1:26" x14ac:dyDescent="0.3">
      <c r="A2130" s="7" t="s">
        <v>21</v>
      </c>
      <c r="B2130" t="s">
        <v>826</v>
      </c>
      <c r="C2130" t="s">
        <v>827</v>
      </c>
      <c r="D2130" t="s">
        <v>828</v>
      </c>
      <c r="E2130" t="s">
        <v>829</v>
      </c>
      <c r="F2130" t="s">
        <v>26</v>
      </c>
      <c r="G2130">
        <v>35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35</v>
      </c>
      <c r="T2130">
        <v>0</v>
      </c>
      <c r="U2130" t="s">
        <v>45</v>
      </c>
      <c r="W2130" s="2">
        <v>51.74</v>
      </c>
      <c r="X2130" s="3">
        <f t="shared" si="66"/>
        <v>1810.9</v>
      </c>
      <c r="Y2130">
        <f>VLOOKUP(D2130,'[1]Cost Sheet'!$C:$D,2,0)</f>
        <v>51.74</v>
      </c>
      <c r="Z2130" s="3">
        <f t="shared" si="67"/>
        <v>1810.9</v>
      </c>
    </row>
    <row r="2131" spans="1:26" x14ac:dyDescent="0.3">
      <c r="A2131" s="7" t="s">
        <v>21</v>
      </c>
      <c r="B2131" t="s">
        <v>826</v>
      </c>
      <c r="C2131" t="s">
        <v>827</v>
      </c>
      <c r="D2131" t="s">
        <v>828</v>
      </c>
      <c r="E2131" t="s">
        <v>829</v>
      </c>
      <c r="F2131" t="s">
        <v>26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 t="s">
        <v>39</v>
      </c>
      <c r="W2131" s="2">
        <v>51.74</v>
      </c>
      <c r="X2131" s="3">
        <f t="shared" si="66"/>
        <v>51.74</v>
      </c>
      <c r="Y2131">
        <f>VLOOKUP(D2131,'[1]Cost Sheet'!$C:$D,2,0)</f>
        <v>51.74</v>
      </c>
      <c r="Z2131" s="3">
        <f t="shared" si="67"/>
        <v>51.74</v>
      </c>
    </row>
    <row r="2132" spans="1:26" x14ac:dyDescent="0.3">
      <c r="A2132" s="7" t="s">
        <v>21</v>
      </c>
      <c r="B2132" t="s">
        <v>826</v>
      </c>
      <c r="C2132" t="s">
        <v>827</v>
      </c>
      <c r="D2132" t="s">
        <v>828</v>
      </c>
      <c r="E2132" t="s">
        <v>829</v>
      </c>
      <c r="F2132" t="s">
        <v>26</v>
      </c>
      <c r="G2132">
        <v>3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3</v>
      </c>
      <c r="T2132">
        <v>0</v>
      </c>
      <c r="U2132" t="s">
        <v>54</v>
      </c>
      <c r="W2132" s="2">
        <v>51.74</v>
      </c>
      <c r="X2132" s="3">
        <f t="shared" si="66"/>
        <v>155.22</v>
      </c>
      <c r="Y2132">
        <f>VLOOKUP(D2132,'[1]Cost Sheet'!$C:$D,2,0)</f>
        <v>51.74</v>
      </c>
      <c r="Z2132" s="3">
        <f t="shared" si="67"/>
        <v>155.22</v>
      </c>
    </row>
    <row r="2133" spans="1:26" x14ac:dyDescent="0.3">
      <c r="A2133" s="7" t="s">
        <v>21</v>
      </c>
      <c r="B2133" t="s">
        <v>826</v>
      </c>
      <c r="C2133" t="s">
        <v>827</v>
      </c>
      <c r="D2133" t="s">
        <v>828</v>
      </c>
      <c r="E2133" t="s">
        <v>829</v>
      </c>
      <c r="F2133" t="s">
        <v>26</v>
      </c>
      <c r="G2133">
        <v>11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11</v>
      </c>
      <c r="T2133">
        <v>0</v>
      </c>
      <c r="U2133" t="s">
        <v>46</v>
      </c>
      <c r="W2133" s="2">
        <v>51.74</v>
      </c>
      <c r="X2133" s="3">
        <f t="shared" si="66"/>
        <v>569.14</v>
      </c>
      <c r="Y2133">
        <f>VLOOKUP(D2133,'[1]Cost Sheet'!$C:$D,2,0)</f>
        <v>51.74</v>
      </c>
      <c r="Z2133" s="3">
        <f t="shared" si="67"/>
        <v>569.14</v>
      </c>
    </row>
    <row r="2134" spans="1:26" x14ac:dyDescent="0.3">
      <c r="A2134" s="7" t="s">
        <v>21</v>
      </c>
      <c r="B2134" t="s">
        <v>826</v>
      </c>
      <c r="C2134" t="s">
        <v>827</v>
      </c>
      <c r="D2134" t="s">
        <v>828</v>
      </c>
      <c r="E2134" t="s">
        <v>829</v>
      </c>
      <c r="F2134" t="s">
        <v>26</v>
      </c>
      <c r="G2134">
        <v>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5</v>
      </c>
      <c r="T2134">
        <v>0</v>
      </c>
      <c r="U2134" t="s">
        <v>47</v>
      </c>
      <c r="W2134" s="2">
        <v>51.74</v>
      </c>
      <c r="X2134" s="3">
        <f t="shared" si="66"/>
        <v>258.7</v>
      </c>
      <c r="Y2134">
        <f>VLOOKUP(D2134,'[1]Cost Sheet'!$C:$D,2,0)</f>
        <v>51.74</v>
      </c>
      <c r="Z2134" s="3">
        <f t="shared" si="67"/>
        <v>258.7</v>
      </c>
    </row>
    <row r="2135" spans="1:26" x14ac:dyDescent="0.3">
      <c r="A2135" s="7" t="s">
        <v>21</v>
      </c>
      <c r="B2135" t="s">
        <v>826</v>
      </c>
      <c r="C2135" t="s">
        <v>827</v>
      </c>
      <c r="D2135" t="s">
        <v>828</v>
      </c>
      <c r="E2135" t="s">
        <v>829</v>
      </c>
      <c r="F2135" t="s">
        <v>26</v>
      </c>
      <c r="G2135">
        <v>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8</v>
      </c>
      <c r="T2135">
        <v>0</v>
      </c>
      <c r="U2135" t="s">
        <v>40</v>
      </c>
      <c r="W2135" s="2">
        <v>51.74</v>
      </c>
      <c r="X2135" s="3">
        <f t="shared" si="66"/>
        <v>413.92</v>
      </c>
      <c r="Y2135">
        <f>VLOOKUP(D2135,'[1]Cost Sheet'!$C:$D,2,0)</f>
        <v>51.74</v>
      </c>
      <c r="Z2135" s="3">
        <f t="shared" si="67"/>
        <v>413.92</v>
      </c>
    </row>
    <row r="2136" spans="1:26" x14ac:dyDescent="0.3">
      <c r="A2136" s="7" t="s">
        <v>21</v>
      </c>
      <c r="B2136" t="s">
        <v>826</v>
      </c>
      <c r="C2136" t="s">
        <v>827</v>
      </c>
      <c r="D2136" t="s">
        <v>828</v>
      </c>
      <c r="E2136" t="s">
        <v>829</v>
      </c>
      <c r="F2136" t="s">
        <v>26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 t="s">
        <v>120</v>
      </c>
      <c r="W2136" s="2">
        <v>51.74</v>
      </c>
      <c r="X2136" s="3">
        <f t="shared" si="66"/>
        <v>51.74</v>
      </c>
      <c r="Y2136">
        <f>VLOOKUP(D2136,'[1]Cost Sheet'!$C:$D,2,0)</f>
        <v>51.74</v>
      </c>
      <c r="Z2136" s="3">
        <f t="shared" si="67"/>
        <v>51.74</v>
      </c>
    </row>
    <row r="2137" spans="1:26" x14ac:dyDescent="0.3">
      <c r="A2137" s="7" t="s">
        <v>21</v>
      </c>
      <c r="B2137" t="s">
        <v>826</v>
      </c>
      <c r="C2137" t="s">
        <v>827</v>
      </c>
      <c r="D2137" t="s">
        <v>828</v>
      </c>
      <c r="E2137" t="s">
        <v>829</v>
      </c>
      <c r="F2137" t="s">
        <v>26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 t="s">
        <v>113</v>
      </c>
      <c r="W2137" s="2">
        <v>51.74</v>
      </c>
      <c r="X2137" s="3">
        <f t="shared" si="66"/>
        <v>51.74</v>
      </c>
      <c r="Y2137">
        <f>VLOOKUP(D2137,'[1]Cost Sheet'!$C:$D,2,0)</f>
        <v>51.74</v>
      </c>
      <c r="Z2137" s="3">
        <f t="shared" si="67"/>
        <v>51.74</v>
      </c>
    </row>
    <row r="2138" spans="1:26" x14ac:dyDescent="0.3">
      <c r="A2138" s="7" t="s">
        <v>21</v>
      </c>
      <c r="B2138" t="s">
        <v>826</v>
      </c>
      <c r="C2138" t="s">
        <v>827</v>
      </c>
      <c r="D2138" t="s">
        <v>828</v>
      </c>
      <c r="E2138" t="s">
        <v>829</v>
      </c>
      <c r="F2138" t="s">
        <v>26</v>
      </c>
      <c r="G2138">
        <v>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7</v>
      </c>
      <c r="T2138">
        <v>0</v>
      </c>
      <c r="U2138" t="s">
        <v>48</v>
      </c>
      <c r="W2138" s="2">
        <v>51.74</v>
      </c>
      <c r="X2138" s="3">
        <f t="shared" si="66"/>
        <v>362.18</v>
      </c>
      <c r="Y2138">
        <f>VLOOKUP(D2138,'[1]Cost Sheet'!$C:$D,2,0)</f>
        <v>51.74</v>
      </c>
      <c r="Z2138" s="3">
        <f t="shared" si="67"/>
        <v>362.18</v>
      </c>
    </row>
    <row r="2139" spans="1:26" x14ac:dyDescent="0.3">
      <c r="A2139" s="7" t="s">
        <v>21</v>
      </c>
      <c r="B2139" t="s">
        <v>826</v>
      </c>
      <c r="C2139" t="s">
        <v>827</v>
      </c>
      <c r="D2139" t="s">
        <v>828</v>
      </c>
      <c r="E2139" t="s">
        <v>829</v>
      </c>
      <c r="F2139" t="s">
        <v>26</v>
      </c>
      <c r="G2139">
        <v>32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32</v>
      </c>
      <c r="T2139">
        <v>0</v>
      </c>
      <c r="U2139" t="s">
        <v>59</v>
      </c>
      <c r="W2139" s="2">
        <v>51.74</v>
      </c>
      <c r="X2139" s="3">
        <f t="shared" si="66"/>
        <v>1655.68</v>
      </c>
      <c r="Y2139">
        <f>VLOOKUP(D2139,'[1]Cost Sheet'!$C:$D,2,0)</f>
        <v>51.74</v>
      </c>
      <c r="Z2139" s="3">
        <f t="shared" si="67"/>
        <v>1655.68</v>
      </c>
    </row>
    <row r="2140" spans="1:26" x14ac:dyDescent="0.3">
      <c r="A2140" s="7" t="s">
        <v>21</v>
      </c>
      <c r="B2140" t="s">
        <v>830</v>
      </c>
      <c r="C2140" t="s">
        <v>831</v>
      </c>
      <c r="D2140" t="s">
        <v>832</v>
      </c>
      <c r="E2140" t="s">
        <v>833</v>
      </c>
      <c r="F2140" t="s">
        <v>26</v>
      </c>
      <c r="G2140">
        <v>3</v>
      </c>
      <c r="H2140">
        <v>0</v>
      </c>
      <c r="I2140">
        <v>0</v>
      </c>
      <c r="J2140">
        <v>-1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2</v>
      </c>
      <c r="T2140">
        <v>0</v>
      </c>
      <c r="U2140" t="s">
        <v>38</v>
      </c>
      <c r="W2140" s="2">
        <v>129.18</v>
      </c>
      <c r="X2140" s="3">
        <f t="shared" si="66"/>
        <v>258.36</v>
      </c>
      <c r="Y2140">
        <f>VLOOKUP(D2140,'[1]Cost Sheet'!$C:$D,2,0)</f>
        <v>129.18</v>
      </c>
      <c r="Z2140" s="3">
        <f t="shared" si="67"/>
        <v>258.36</v>
      </c>
    </row>
    <row r="2141" spans="1:26" x14ac:dyDescent="0.3">
      <c r="A2141" s="7" t="s">
        <v>21</v>
      </c>
      <c r="B2141" t="s">
        <v>830</v>
      </c>
      <c r="C2141" t="s">
        <v>831</v>
      </c>
      <c r="D2141" t="s">
        <v>832</v>
      </c>
      <c r="E2141" t="s">
        <v>833</v>
      </c>
      <c r="F2141" t="s">
        <v>26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3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3</v>
      </c>
      <c r="T2141">
        <v>0</v>
      </c>
      <c r="U2141" t="s">
        <v>45</v>
      </c>
      <c r="W2141" s="2">
        <v>129.18</v>
      </c>
      <c r="X2141" s="3">
        <f t="shared" si="66"/>
        <v>387.54</v>
      </c>
      <c r="Y2141">
        <f>VLOOKUP(D2141,'[1]Cost Sheet'!$C:$D,2,0)</f>
        <v>129.18</v>
      </c>
      <c r="Z2141" s="3">
        <f t="shared" si="67"/>
        <v>387.54</v>
      </c>
    </row>
    <row r="2142" spans="1:26" x14ac:dyDescent="0.3">
      <c r="A2142" s="7" t="s">
        <v>21</v>
      </c>
      <c r="B2142" t="s">
        <v>830</v>
      </c>
      <c r="C2142" t="s">
        <v>831</v>
      </c>
      <c r="D2142" t="s">
        <v>832</v>
      </c>
      <c r="E2142" t="s">
        <v>833</v>
      </c>
      <c r="F2142" t="s">
        <v>26</v>
      </c>
      <c r="G2142">
        <v>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4</v>
      </c>
      <c r="T2142">
        <v>0</v>
      </c>
      <c r="U2142" t="s">
        <v>53</v>
      </c>
      <c r="W2142" s="2">
        <v>129.18</v>
      </c>
      <c r="X2142" s="3">
        <f t="shared" si="66"/>
        <v>516.72</v>
      </c>
      <c r="Y2142">
        <f>VLOOKUP(D2142,'[1]Cost Sheet'!$C:$D,2,0)</f>
        <v>129.18</v>
      </c>
      <c r="Z2142" s="3">
        <f t="shared" si="67"/>
        <v>516.72</v>
      </c>
    </row>
    <row r="2143" spans="1:26" x14ac:dyDescent="0.3">
      <c r="A2143" s="7" t="s">
        <v>21</v>
      </c>
      <c r="B2143" t="s">
        <v>830</v>
      </c>
      <c r="C2143" t="s">
        <v>831</v>
      </c>
      <c r="D2143" t="s">
        <v>832</v>
      </c>
      <c r="E2143" t="s">
        <v>833</v>
      </c>
      <c r="F2143" t="s">
        <v>26</v>
      </c>
      <c r="G2143">
        <v>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2</v>
      </c>
      <c r="T2143">
        <v>0</v>
      </c>
      <c r="U2143" t="s">
        <v>32</v>
      </c>
      <c r="W2143" s="2">
        <v>129.18</v>
      </c>
      <c r="X2143" s="3">
        <f t="shared" si="66"/>
        <v>258.36</v>
      </c>
      <c r="Y2143">
        <f>VLOOKUP(D2143,'[1]Cost Sheet'!$C:$D,2,0)</f>
        <v>129.18</v>
      </c>
      <c r="Z2143" s="3">
        <f t="shared" si="67"/>
        <v>258.36</v>
      </c>
    </row>
    <row r="2144" spans="1:26" x14ac:dyDescent="0.3">
      <c r="A2144" s="7" t="s">
        <v>21</v>
      </c>
      <c r="B2144" t="s">
        <v>830</v>
      </c>
      <c r="C2144" t="s">
        <v>831</v>
      </c>
      <c r="D2144" t="s">
        <v>832</v>
      </c>
      <c r="E2144" t="s">
        <v>833</v>
      </c>
      <c r="F2144" t="s">
        <v>26</v>
      </c>
      <c r="G2144">
        <v>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6</v>
      </c>
      <c r="T2144">
        <v>0</v>
      </c>
      <c r="U2144" t="s">
        <v>46</v>
      </c>
      <c r="W2144" s="2">
        <v>129.18</v>
      </c>
      <c r="X2144" s="3">
        <f t="shared" si="66"/>
        <v>775.08</v>
      </c>
      <c r="Y2144">
        <f>VLOOKUP(D2144,'[1]Cost Sheet'!$C:$D,2,0)</f>
        <v>129.18</v>
      </c>
      <c r="Z2144" s="3">
        <f t="shared" si="67"/>
        <v>775.08</v>
      </c>
    </row>
    <row r="2145" spans="1:26" x14ac:dyDescent="0.3">
      <c r="A2145" s="7" t="s">
        <v>21</v>
      </c>
      <c r="B2145" t="s">
        <v>830</v>
      </c>
      <c r="C2145" t="s">
        <v>831</v>
      </c>
      <c r="D2145" t="s">
        <v>832</v>
      </c>
      <c r="E2145" t="s">
        <v>833</v>
      </c>
      <c r="F2145" t="s">
        <v>26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2</v>
      </c>
      <c r="T2145">
        <v>0</v>
      </c>
      <c r="U2145" t="s">
        <v>47</v>
      </c>
      <c r="W2145" s="2">
        <v>129.18</v>
      </c>
      <c r="X2145" s="3">
        <f t="shared" si="66"/>
        <v>258.36</v>
      </c>
      <c r="Y2145">
        <f>VLOOKUP(D2145,'[1]Cost Sheet'!$C:$D,2,0)</f>
        <v>129.18</v>
      </c>
      <c r="Z2145" s="3">
        <f t="shared" si="67"/>
        <v>258.36</v>
      </c>
    </row>
    <row r="2146" spans="1:26" x14ac:dyDescent="0.3">
      <c r="A2146" s="7" t="s">
        <v>21</v>
      </c>
      <c r="B2146" t="s">
        <v>830</v>
      </c>
      <c r="C2146" t="s">
        <v>831</v>
      </c>
      <c r="D2146" t="s">
        <v>832</v>
      </c>
      <c r="E2146" t="s">
        <v>833</v>
      </c>
      <c r="F2146" t="s">
        <v>26</v>
      </c>
      <c r="G2146">
        <v>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5</v>
      </c>
      <c r="T2146">
        <v>0</v>
      </c>
      <c r="U2146" t="s">
        <v>40</v>
      </c>
      <c r="W2146" s="2">
        <v>129.18</v>
      </c>
      <c r="X2146" s="3">
        <f t="shared" si="66"/>
        <v>645.90000000000009</v>
      </c>
      <c r="Y2146">
        <f>VLOOKUP(D2146,'[1]Cost Sheet'!$C:$D,2,0)</f>
        <v>129.18</v>
      </c>
      <c r="Z2146" s="3">
        <f t="shared" si="67"/>
        <v>645.90000000000009</v>
      </c>
    </row>
    <row r="2147" spans="1:26" x14ac:dyDescent="0.3">
      <c r="A2147" s="7" t="s">
        <v>21</v>
      </c>
      <c r="B2147" t="s">
        <v>830</v>
      </c>
      <c r="C2147" t="s">
        <v>831</v>
      </c>
      <c r="D2147" t="s">
        <v>832</v>
      </c>
      <c r="E2147" t="s">
        <v>833</v>
      </c>
      <c r="F2147" t="s">
        <v>26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 t="s">
        <v>113</v>
      </c>
      <c r="W2147" s="2">
        <v>129.18</v>
      </c>
      <c r="X2147" s="3">
        <f t="shared" si="66"/>
        <v>129.18</v>
      </c>
      <c r="Y2147">
        <f>VLOOKUP(D2147,'[1]Cost Sheet'!$C:$D,2,0)</f>
        <v>129.18</v>
      </c>
      <c r="Z2147" s="3">
        <f t="shared" si="67"/>
        <v>129.18</v>
      </c>
    </row>
    <row r="2148" spans="1:26" x14ac:dyDescent="0.3">
      <c r="A2148" s="7" t="s">
        <v>21</v>
      </c>
      <c r="B2148" t="s">
        <v>830</v>
      </c>
      <c r="C2148" t="s">
        <v>831</v>
      </c>
      <c r="D2148" t="s">
        <v>832</v>
      </c>
      <c r="E2148" t="s">
        <v>833</v>
      </c>
      <c r="F2148" t="s">
        <v>26</v>
      </c>
      <c r="G2148">
        <v>4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</v>
      </c>
      <c r="T2148">
        <v>0</v>
      </c>
      <c r="U2148" t="s">
        <v>48</v>
      </c>
      <c r="W2148" s="2">
        <v>129.18</v>
      </c>
      <c r="X2148" s="3">
        <f t="shared" si="66"/>
        <v>516.72</v>
      </c>
      <c r="Y2148">
        <f>VLOOKUP(D2148,'[1]Cost Sheet'!$C:$D,2,0)</f>
        <v>129.18</v>
      </c>
      <c r="Z2148" s="3">
        <f t="shared" si="67"/>
        <v>516.72</v>
      </c>
    </row>
    <row r="2149" spans="1:26" x14ac:dyDescent="0.3">
      <c r="A2149" s="7" t="s">
        <v>21</v>
      </c>
      <c r="B2149" t="s">
        <v>830</v>
      </c>
      <c r="C2149" t="s">
        <v>831</v>
      </c>
      <c r="D2149" t="s">
        <v>832</v>
      </c>
      <c r="E2149" t="s">
        <v>833</v>
      </c>
      <c r="F2149" t="s">
        <v>26</v>
      </c>
      <c r="G2149">
        <v>8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8</v>
      </c>
      <c r="T2149">
        <v>0</v>
      </c>
      <c r="U2149" t="s">
        <v>59</v>
      </c>
      <c r="W2149" s="2">
        <v>129.18</v>
      </c>
      <c r="X2149" s="3">
        <f t="shared" si="66"/>
        <v>1033.44</v>
      </c>
      <c r="Y2149">
        <f>VLOOKUP(D2149,'[1]Cost Sheet'!$C:$D,2,0)</f>
        <v>129.18</v>
      </c>
      <c r="Z2149" s="3">
        <f t="shared" si="67"/>
        <v>1033.44</v>
      </c>
    </row>
    <row r="2150" spans="1:26" x14ac:dyDescent="0.3">
      <c r="A2150" s="7" t="s">
        <v>21</v>
      </c>
      <c r="B2150" t="s">
        <v>830</v>
      </c>
      <c r="C2150" t="s">
        <v>831</v>
      </c>
      <c r="D2150" t="s">
        <v>832</v>
      </c>
      <c r="E2150" t="s">
        <v>833</v>
      </c>
      <c r="F2150" t="s">
        <v>26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 t="s">
        <v>27</v>
      </c>
      <c r="W2150" s="2">
        <v>129.18</v>
      </c>
      <c r="X2150" s="3">
        <f t="shared" si="66"/>
        <v>129.18</v>
      </c>
      <c r="Y2150">
        <f>VLOOKUP(D2150,'[1]Cost Sheet'!$C:$D,2,0)</f>
        <v>129.18</v>
      </c>
      <c r="Z2150" s="3">
        <f t="shared" si="67"/>
        <v>129.18</v>
      </c>
    </row>
    <row r="2151" spans="1:26" x14ac:dyDescent="0.3">
      <c r="A2151" s="7" t="s">
        <v>21</v>
      </c>
      <c r="B2151" t="s">
        <v>834</v>
      </c>
      <c r="C2151" t="s">
        <v>835</v>
      </c>
      <c r="D2151" t="s">
        <v>836</v>
      </c>
      <c r="E2151" t="s">
        <v>837</v>
      </c>
      <c r="F2151" t="s">
        <v>106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 t="s">
        <v>48</v>
      </c>
      <c r="W2151" s="2">
        <v>129.18</v>
      </c>
      <c r="X2151" s="3">
        <f t="shared" si="66"/>
        <v>129.18</v>
      </c>
      <c r="Y2151">
        <f>VLOOKUP(D2151,'[1]Cost Sheet'!$C:$D,2,0)</f>
        <v>129.18</v>
      </c>
      <c r="Z2151" s="3">
        <f t="shared" si="67"/>
        <v>129.18</v>
      </c>
    </row>
    <row r="2152" spans="1:26" x14ac:dyDescent="0.3">
      <c r="A2152" s="7" t="s">
        <v>21</v>
      </c>
      <c r="B2152" t="s">
        <v>834</v>
      </c>
      <c r="C2152" t="s">
        <v>835</v>
      </c>
      <c r="D2152" t="s">
        <v>836</v>
      </c>
      <c r="E2152" t="s">
        <v>837</v>
      </c>
      <c r="F2152" t="s">
        <v>26</v>
      </c>
      <c r="G2152">
        <v>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7</v>
      </c>
      <c r="T2152">
        <v>0</v>
      </c>
      <c r="U2152" t="s">
        <v>53</v>
      </c>
      <c r="W2152" s="2">
        <v>129.18</v>
      </c>
      <c r="X2152" s="3">
        <f t="shared" si="66"/>
        <v>904.26</v>
      </c>
      <c r="Y2152">
        <f>VLOOKUP(D2152,'[1]Cost Sheet'!$C:$D,2,0)</f>
        <v>129.18</v>
      </c>
      <c r="Z2152" s="3">
        <f t="shared" si="67"/>
        <v>904.26</v>
      </c>
    </row>
    <row r="2153" spans="1:26" x14ac:dyDescent="0.3">
      <c r="A2153" s="7" t="s">
        <v>21</v>
      </c>
      <c r="B2153" t="s">
        <v>834</v>
      </c>
      <c r="C2153" t="s">
        <v>835</v>
      </c>
      <c r="D2153" t="s">
        <v>836</v>
      </c>
      <c r="E2153" t="s">
        <v>837</v>
      </c>
      <c r="F2153" t="s">
        <v>26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2</v>
      </c>
      <c r="T2153">
        <v>0</v>
      </c>
      <c r="U2153" t="s">
        <v>47</v>
      </c>
      <c r="W2153" s="2">
        <v>129.18</v>
      </c>
      <c r="X2153" s="3">
        <f t="shared" si="66"/>
        <v>258.36</v>
      </c>
      <c r="Y2153">
        <f>VLOOKUP(D2153,'[1]Cost Sheet'!$C:$D,2,0)</f>
        <v>129.18</v>
      </c>
      <c r="Z2153" s="3">
        <f t="shared" si="67"/>
        <v>258.36</v>
      </c>
    </row>
    <row r="2154" spans="1:26" x14ac:dyDescent="0.3">
      <c r="A2154" s="7" t="s">
        <v>21</v>
      </c>
      <c r="B2154" t="s">
        <v>838</v>
      </c>
      <c r="C2154" t="s">
        <v>839</v>
      </c>
      <c r="D2154" t="s">
        <v>840</v>
      </c>
      <c r="E2154" t="s">
        <v>841</v>
      </c>
      <c r="F2154" t="s">
        <v>26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 t="s">
        <v>38</v>
      </c>
      <c r="W2154" s="2">
        <v>51.74</v>
      </c>
      <c r="X2154" s="3">
        <f t="shared" si="66"/>
        <v>51.74</v>
      </c>
      <c r="Y2154">
        <f>VLOOKUP(D2154,'[1]Cost Sheet'!$C:$D,2,0)</f>
        <v>51.74</v>
      </c>
      <c r="Z2154" s="3">
        <f t="shared" si="67"/>
        <v>51.74</v>
      </c>
    </row>
    <row r="2155" spans="1:26" x14ac:dyDescent="0.3">
      <c r="A2155" s="7" t="s">
        <v>21</v>
      </c>
      <c r="B2155" t="s">
        <v>842</v>
      </c>
      <c r="C2155" t="s">
        <v>843</v>
      </c>
      <c r="D2155" t="s">
        <v>844</v>
      </c>
      <c r="E2155" t="s">
        <v>845</v>
      </c>
      <c r="F2155" t="s">
        <v>26</v>
      </c>
      <c r="G2155">
        <v>51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51</v>
      </c>
      <c r="T2155">
        <v>0</v>
      </c>
      <c r="U2155" t="s">
        <v>38</v>
      </c>
      <c r="W2155" s="2">
        <v>51.74</v>
      </c>
      <c r="X2155" s="3">
        <f t="shared" si="66"/>
        <v>2638.7400000000002</v>
      </c>
      <c r="Y2155">
        <f>VLOOKUP(D2155,'[1]Cost Sheet'!$C:$D,2,0)</f>
        <v>51.74</v>
      </c>
      <c r="Z2155" s="3">
        <f t="shared" si="67"/>
        <v>2638.7400000000002</v>
      </c>
    </row>
    <row r="2156" spans="1:26" x14ac:dyDescent="0.3">
      <c r="A2156" s="7" t="s">
        <v>21</v>
      </c>
      <c r="B2156" t="s">
        <v>842</v>
      </c>
      <c r="C2156" t="s">
        <v>843</v>
      </c>
      <c r="D2156" t="s">
        <v>844</v>
      </c>
      <c r="E2156" t="s">
        <v>845</v>
      </c>
      <c r="F2156" t="s">
        <v>26</v>
      </c>
      <c r="G2156">
        <v>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5</v>
      </c>
      <c r="T2156">
        <v>0</v>
      </c>
      <c r="U2156" t="s">
        <v>107</v>
      </c>
      <c r="W2156" s="2">
        <v>51.74</v>
      </c>
      <c r="X2156" s="3">
        <f t="shared" si="66"/>
        <v>258.7</v>
      </c>
      <c r="Y2156">
        <f>VLOOKUP(D2156,'[1]Cost Sheet'!$C:$D,2,0)</f>
        <v>51.74</v>
      </c>
      <c r="Z2156" s="3">
        <f t="shared" si="67"/>
        <v>258.7</v>
      </c>
    </row>
    <row r="2157" spans="1:26" x14ac:dyDescent="0.3">
      <c r="A2157" s="7" t="s">
        <v>21</v>
      </c>
      <c r="B2157" t="s">
        <v>842</v>
      </c>
      <c r="C2157" t="s">
        <v>843</v>
      </c>
      <c r="D2157" t="s">
        <v>844</v>
      </c>
      <c r="E2157" t="s">
        <v>845</v>
      </c>
      <c r="F2157" t="s">
        <v>26</v>
      </c>
      <c r="G2157">
        <v>10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10</v>
      </c>
      <c r="T2157">
        <v>0</v>
      </c>
      <c r="U2157" t="s">
        <v>45</v>
      </c>
      <c r="W2157" s="2">
        <v>51.74</v>
      </c>
      <c r="X2157" s="3">
        <f t="shared" si="66"/>
        <v>517.4</v>
      </c>
      <c r="Y2157">
        <f>VLOOKUP(D2157,'[1]Cost Sheet'!$C:$D,2,0)</f>
        <v>51.74</v>
      </c>
      <c r="Z2157" s="3">
        <f t="shared" si="67"/>
        <v>517.4</v>
      </c>
    </row>
    <row r="2158" spans="1:26" x14ac:dyDescent="0.3">
      <c r="A2158" s="7" t="s">
        <v>21</v>
      </c>
      <c r="B2158" t="s">
        <v>842</v>
      </c>
      <c r="C2158" t="s">
        <v>843</v>
      </c>
      <c r="D2158" t="s">
        <v>844</v>
      </c>
      <c r="E2158" t="s">
        <v>845</v>
      </c>
      <c r="F2158" t="s">
        <v>26</v>
      </c>
      <c r="G2158">
        <v>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</v>
      </c>
      <c r="T2158">
        <v>0</v>
      </c>
      <c r="U2158" t="s">
        <v>54</v>
      </c>
      <c r="W2158" s="2">
        <v>51.74</v>
      </c>
      <c r="X2158" s="3">
        <f t="shared" si="66"/>
        <v>206.96</v>
      </c>
      <c r="Y2158">
        <f>VLOOKUP(D2158,'[1]Cost Sheet'!$C:$D,2,0)</f>
        <v>51.74</v>
      </c>
      <c r="Z2158" s="3">
        <f t="shared" si="67"/>
        <v>206.96</v>
      </c>
    </row>
    <row r="2159" spans="1:26" x14ac:dyDescent="0.3">
      <c r="A2159" s="7" t="s">
        <v>21</v>
      </c>
      <c r="B2159" t="s">
        <v>842</v>
      </c>
      <c r="C2159" t="s">
        <v>843</v>
      </c>
      <c r="D2159" t="s">
        <v>844</v>
      </c>
      <c r="E2159" t="s">
        <v>845</v>
      </c>
      <c r="F2159" t="s">
        <v>26</v>
      </c>
      <c r="G2159">
        <v>9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9</v>
      </c>
      <c r="T2159">
        <v>0</v>
      </c>
      <c r="U2159" t="s">
        <v>33</v>
      </c>
      <c r="W2159" s="2">
        <v>51.74</v>
      </c>
      <c r="X2159" s="3">
        <f t="shared" si="66"/>
        <v>465.66</v>
      </c>
      <c r="Y2159">
        <f>VLOOKUP(D2159,'[1]Cost Sheet'!$C:$D,2,0)</f>
        <v>51.74</v>
      </c>
      <c r="Z2159" s="3">
        <f t="shared" si="67"/>
        <v>465.66</v>
      </c>
    </row>
    <row r="2160" spans="1:26" x14ac:dyDescent="0.3">
      <c r="A2160" s="7" t="s">
        <v>21</v>
      </c>
      <c r="B2160" t="s">
        <v>842</v>
      </c>
      <c r="C2160" t="s">
        <v>843</v>
      </c>
      <c r="D2160" t="s">
        <v>844</v>
      </c>
      <c r="E2160" t="s">
        <v>845</v>
      </c>
      <c r="F2160" t="s">
        <v>26</v>
      </c>
      <c r="G2160">
        <v>10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10</v>
      </c>
      <c r="T2160">
        <v>0</v>
      </c>
      <c r="U2160" t="s">
        <v>46</v>
      </c>
      <c r="W2160" s="2">
        <v>51.74</v>
      </c>
      <c r="X2160" s="3">
        <f t="shared" si="66"/>
        <v>517.4</v>
      </c>
      <c r="Y2160">
        <f>VLOOKUP(D2160,'[1]Cost Sheet'!$C:$D,2,0)</f>
        <v>51.74</v>
      </c>
      <c r="Z2160" s="3">
        <f t="shared" si="67"/>
        <v>517.4</v>
      </c>
    </row>
    <row r="2161" spans="1:26" x14ac:dyDescent="0.3">
      <c r="A2161" s="7" t="s">
        <v>21</v>
      </c>
      <c r="B2161" t="s">
        <v>842</v>
      </c>
      <c r="C2161" t="s">
        <v>843</v>
      </c>
      <c r="D2161" t="s">
        <v>844</v>
      </c>
      <c r="E2161" t="s">
        <v>845</v>
      </c>
      <c r="F2161" t="s">
        <v>26</v>
      </c>
      <c r="G2161">
        <v>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4</v>
      </c>
      <c r="T2161">
        <v>0</v>
      </c>
      <c r="U2161" t="s">
        <v>47</v>
      </c>
      <c r="W2161" s="2">
        <v>51.74</v>
      </c>
      <c r="X2161" s="3">
        <f t="shared" si="66"/>
        <v>206.96</v>
      </c>
      <c r="Y2161">
        <f>VLOOKUP(D2161,'[1]Cost Sheet'!$C:$D,2,0)</f>
        <v>51.74</v>
      </c>
      <c r="Z2161" s="3">
        <f t="shared" si="67"/>
        <v>206.96</v>
      </c>
    </row>
    <row r="2162" spans="1:26" x14ac:dyDescent="0.3">
      <c r="A2162" s="7" t="s">
        <v>21</v>
      </c>
      <c r="B2162" t="s">
        <v>842</v>
      </c>
      <c r="C2162" t="s">
        <v>843</v>
      </c>
      <c r="D2162" t="s">
        <v>844</v>
      </c>
      <c r="E2162" t="s">
        <v>845</v>
      </c>
      <c r="F2162" t="s">
        <v>26</v>
      </c>
      <c r="G2162">
        <v>9</v>
      </c>
      <c r="H2162">
        <v>0</v>
      </c>
      <c r="I2162">
        <v>0</v>
      </c>
      <c r="J2162">
        <v>-2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7</v>
      </c>
      <c r="T2162">
        <v>0</v>
      </c>
      <c r="U2162" t="s">
        <v>40</v>
      </c>
      <c r="W2162" s="2">
        <v>51.74</v>
      </c>
      <c r="X2162" s="3">
        <f t="shared" si="66"/>
        <v>362.18</v>
      </c>
      <c r="Y2162">
        <f>VLOOKUP(D2162,'[1]Cost Sheet'!$C:$D,2,0)</f>
        <v>51.74</v>
      </c>
      <c r="Z2162" s="3">
        <f t="shared" si="67"/>
        <v>362.18</v>
      </c>
    </row>
    <row r="2163" spans="1:26" x14ac:dyDescent="0.3">
      <c r="A2163" s="7" t="s">
        <v>21</v>
      </c>
      <c r="B2163" t="s">
        <v>842</v>
      </c>
      <c r="C2163" t="s">
        <v>843</v>
      </c>
      <c r="D2163" t="s">
        <v>844</v>
      </c>
      <c r="E2163" t="s">
        <v>845</v>
      </c>
      <c r="F2163" t="s">
        <v>26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 t="s">
        <v>120</v>
      </c>
      <c r="W2163" s="2">
        <v>51.74</v>
      </c>
      <c r="X2163" s="3">
        <f t="shared" si="66"/>
        <v>51.74</v>
      </c>
      <c r="Y2163">
        <f>VLOOKUP(D2163,'[1]Cost Sheet'!$C:$D,2,0)</f>
        <v>51.74</v>
      </c>
      <c r="Z2163" s="3">
        <f t="shared" si="67"/>
        <v>51.74</v>
      </c>
    </row>
    <row r="2164" spans="1:26" x14ac:dyDescent="0.3">
      <c r="A2164" s="7" t="s">
        <v>21</v>
      </c>
      <c r="B2164" t="s">
        <v>842</v>
      </c>
      <c r="C2164" t="s">
        <v>843</v>
      </c>
      <c r="D2164" t="s">
        <v>844</v>
      </c>
      <c r="E2164" t="s">
        <v>845</v>
      </c>
      <c r="F2164" t="s">
        <v>26</v>
      </c>
      <c r="G2164">
        <v>3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3</v>
      </c>
      <c r="T2164">
        <v>0</v>
      </c>
      <c r="U2164" t="s">
        <v>48</v>
      </c>
      <c r="W2164" s="2">
        <v>51.74</v>
      </c>
      <c r="X2164" s="3">
        <f t="shared" si="66"/>
        <v>155.22</v>
      </c>
      <c r="Y2164">
        <f>VLOOKUP(D2164,'[1]Cost Sheet'!$C:$D,2,0)</f>
        <v>51.74</v>
      </c>
      <c r="Z2164" s="3">
        <f t="shared" si="67"/>
        <v>155.22</v>
      </c>
    </row>
    <row r="2165" spans="1:26" x14ac:dyDescent="0.3">
      <c r="A2165" s="7" t="s">
        <v>21</v>
      </c>
      <c r="B2165" t="s">
        <v>846</v>
      </c>
      <c r="C2165" t="s">
        <v>847</v>
      </c>
      <c r="D2165" t="s">
        <v>848</v>
      </c>
      <c r="E2165" t="s">
        <v>849</v>
      </c>
      <c r="F2165" t="s">
        <v>26</v>
      </c>
      <c r="G2165">
        <v>30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30</v>
      </c>
      <c r="T2165">
        <v>0</v>
      </c>
      <c r="U2165" t="s">
        <v>38</v>
      </c>
      <c r="W2165" s="2">
        <v>51.74</v>
      </c>
      <c r="X2165" s="3">
        <f t="shared" si="66"/>
        <v>1552.2</v>
      </c>
      <c r="Y2165">
        <f>VLOOKUP(D2165,'[1]Cost Sheet'!$C:$D,2,0)</f>
        <v>51.74</v>
      </c>
      <c r="Z2165" s="3">
        <f t="shared" si="67"/>
        <v>1552.2</v>
      </c>
    </row>
    <row r="2166" spans="1:26" x14ac:dyDescent="0.3">
      <c r="A2166" s="7" t="s">
        <v>21</v>
      </c>
      <c r="B2166" t="s">
        <v>846</v>
      </c>
      <c r="C2166" t="s">
        <v>847</v>
      </c>
      <c r="D2166" t="s">
        <v>848</v>
      </c>
      <c r="E2166" t="s">
        <v>849</v>
      </c>
      <c r="F2166" t="s">
        <v>26</v>
      </c>
      <c r="G2166">
        <v>5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5</v>
      </c>
      <c r="T2166">
        <v>0</v>
      </c>
      <c r="U2166" t="s">
        <v>107</v>
      </c>
      <c r="W2166" s="2">
        <v>51.74</v>
      </c>
      <c r="X2166" s="3">
        <f t="shared" si="66"/>
        <v>258.7</v>
      </c>
      <c r="Y2166">
        <f>VLOOKUP(D2166,'[1]Cost Sheet'!$C:$D,2,0)</f>
        <v>51.74</v>
      </c>
      <c r="Z2166" s="3">
        <f t="shared" si="67"/>
        <v>258.7</v>
      </c>
    </row>
    <row r="2167" spans="1:26" x14ac:dyDescent="0.3">
      <c r="A2167" s="7" t="s">
        <v>21</v>
      </c>
      <c r="B2167" t="s">
        <v>846</v>
      </c>
      <c r="C2167" t="s">
        <v>847</v>
      </c>
      <c r="D2167" t="s">
        <v>848</v>
      </c>
      <c r="E2167" t="s">
        <v>849</v>
      </c>
      <c r="F2167" t="s">
        <v>26</v>
      </c>
      <c r="G2167">
        <v>9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9</v>
      </c>
      <c r="T2167">
        <v>0</v>
      </c>
      <c r="U2167" t="s">
        <v>45</v>
      </c>
      <c r="W2167" s="2">
        <v>51.74</v>
      </c>
      <c r="X2167" s="3">
        <f t="shared" si="66"/>
        <v>465.66</v>
      </c>
      <c r="Y2167">
        <f>VLOOKUP(D2167,'[1]Cost Sheet'!$C:$D,2,0)</f>
        <v>51.74</v>
      </c>
      <c r="Z2167" s="3">
        <f t="shared" si="67"/>
        <v>465.66</v>
      </c>
    </row>
    <row r="2168" spans="1:26" x14ac:dyDescent="0.3">
      <c r="A2168" s="7" t="s">
        <v>21</v>
      </c>
      <c r="B2168" t="s">
        <v>846</v>
      </c>
      <c r="C2168" t="s">
        <v>847</v>
      </c>
      <c r="D2168" t="s">
        <v>848</v>
      </c>
      <c r="E2168" t="s">
        <v>849</v>
      </c>
      <c r="F2168" t="s">
        <v>26</v>
      </c>
      <c r="G2168">
        <v>11</v>
      </c>
      <c r="H2168">
        <v>0</v>
      </c>
      <c r="I2168">
        <v>0</v>
      </c>
      <c r="J2168">
        <v>-1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10</v>
      </c>
      <c r="T2168">
        <v>0</v>
      </c>
      <c r="U2168" t="s">
        <v>39</v>
      </c>
      <c r="W2168" s="2">
        <v>51.74</v>
      </c>
      <c r="X2168" s="3">
        <f t="shared" si="66"/>
        <v>517.4</v>
      </c>
      <c r="Y2168">
        <f>VLOOKUP(D2168,'[1]Cost Sheet'!$C:$D,2,0)</f>
        <v>51.74</v>
      </c>
      <c r="Z2168" s="3">
        <f t="shared" si="67"/>
        <v>517.4</v>
      </c>
    </row>
    <row r="2169" spans="1:26" x14ac:dyDescent="0.3">
      <c r="A2169" s="7" t="s">
        <v>21</v>
      </c>
      <c r="B2169" t="s">
        <v>846</v>
      </c>
      <c r="C2169" t="s">
        <v>847</v>
      </c>
      <c r="D2169" t="s">
        <v>848</v>
      </c>
      <c r="E2169" t="s">
        <v>849</v>
      </c>
      <c r="F2169" t="s">
        <v>26</v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8</v>
      </c>
      <c r="T2169">
        <v>0</v>
      </c>
      <c r="U2169" t="s">
        <v>53</v>
      </c>
      <c r="W2169" s="2">
        <v>51.74</v>
      </c>
      <c r="X2169" s="3">
        <f t="shared" si="66"/>
        <v>413.92</v>
      </c>
      <c r="Y2169">
        <f>VLOOKUP(D2169,'[1]Cost Sheet'!$C:$D,2,0)</f>
        <v>51.74</v>
      </c>
      <c r="Z2169" s="3">
        <f t="shared" si="67"/>
        <v>413.92</v>
      </c>
    </row>
    <row r="2170" spans="1:26" x14ac:dyDescent="0.3">
      <c r="A2170" s="7" t="s">
        <v>21</v>
      </c>
      <c r="B2170" t="s">
        <v>846</v>
      </c>
      <c r="C2170" t="s">
        <v>847</v>
      </c>
      <c r="D2170" t="s">
        <v>848</v>
      </c>
      <c r="E2170" t="s">
        <v>849</v>
      </c>
      <c r="F2170" t="s">
        <v>26</v>
      </c>
      <c r="G2170">
        <v>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3</v>
      </c>
      <c r="T2170">
        <v>0</v>
      </c>
      <c r="U2170" t="s">
        <v>54</v>
      </c>
      <c r="W2170" s="2">
        <v>51.74</v>
      </c>
      <c r="X2170" s="3">
        <f t="shared" si="66"/>
        <v>155.22</v>
      </c>
      <c r="Y2170">
        <f>VLOOKUP(D2170,'[1]Cost Sheet'!$C:$D,2,0)</f>
        <v>51.74</v>
      </c>
      <c r="Z2170" s="3">
        <f t="shared" si="67"/>
        <v>155.22</v>
      </c>
    </row>
    <row r="2171" spans="1:26" x14ac:dyDescent="0.3">
      <c r="A2171" s="7" t="s">
        <v>21</v>
      </c>
      <c r="B2171" t="s">
        <v>846</v>
      </c>
      <c r="C2171" t="s">
        <v>847</v>
      </c>
      <c r="D2171" t="s">
        <v>848</v>
      </c>
      <c r="E2171" t="s">
        <v>849</v>
      </c>
      <c r="F2171" t="s">
        <v>26</v>
      </c>
      <c r="G2171">
        <v>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2</v>
      </c>
      <c r="T2171">
        <v>0</v>
      </c>
      <c r="U2171" t="s">
        <v>32</v>
      </c>
      <c r="W2171" s="2">
        <v>51.74</v>
      </c>
      <c r="X2171" s="3">
        <f t="shared" si="66"/>
        <v>103.48</v>
      </c>
      <c r="Y2171">
        <f>VLOOKUP(D2171,'[1]Cost Sheet'!$C:$D,2,0)</f>
        <v>51.74</v>
      </c>
      <c r="Z2171" s="3">
        <f t="shared" si="67"/>
        <v>103.48</v>
      </c>
    </row>
    <row r="2172" spans="1:26" x14ac:dyDescent="0.3">
      <c r="A2172" s="7" t="s">
        <v>21</v>
      </c>
      <c r="B2172" t="s">
        <v>846</v>
      </c>
      <c r="C2172" t="s">
        <v>847</v>
      </c>
      <c r="D2172" t="s">
        <v>848</v>
      </c>
      <c r="E2172" t="s">
        <v>849</v>
      </c>
      <c r="F2172" t="s">
        <v>26</v>
      </c>
      <c r="G2172">
        <v>12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12</v>
      </c>
      <c r="T2172">
        <v>0</v>
      </c>
      <c r="U2172" t="s">
        <v>46</v>
      </c>
      <c r="W2172" s="2">
        <v>51.74</v>
      </c>
      <c r="X2172" s="3">
        <f t="shared" si="66"/>
        <v>620.88</v>
      </c>
      <c r="Y2172">
        <f>VLOOKUP(D2172,'[1]Cost Sheet'!$C:$D,2,0)</f>
        <v>51.74</v>
      </c>
      <c r="Z2172" s="3">
        <f t="shared" si="67"/>
        <v>620.88</v>
      </c>
    </row>
    <row r="2173" spans="1:26" x14ac:dyDescent="0.3">
      <c r="A2173" s="7" t="s">
        <v>21</v>
      </c>
      <c r="B2173" t="s">
        <v>846</v>
      </c>
      <c r="C2173" t="s">
        <v>847</v>
      </c>
      <c r="D2173" t="s">
        <v>848</v>
      </c>
      <c r="E2173" t="s">
        <v>849</v>
      </c>
      <c r="F2173" t="s">
        <v>26</v>
      </c>
      <c r="G2173">
        <v>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4</v>
      </c>
      <c r="T2173">
        <v>0</v>
      </c>
      <c r="U2173" t="s">
        <v>47</v>
      </c>
      <c r="W2173" s="2">
        <v>51.74</v>
      </c>
      <c r="X2173" s="3">
        <f t="shared" si="66"/>
        <v>206.96</v>
      </c>
      <c r="Y2173">
        <f>VLOOKUP(D2173,'[1]Cost Sheet'!$C:$D,2,0)</f>
        <v>51.74</v>
      </c>
      <c r="Z2173" s="3">
        <f t="shared" si="67"/>
        <v>206.96</v>
      </c>
    </row>
    <row r="2174" spans="1:26" x14ac:dyDescent="0.3">
      <c r="A2174" s="7" t="s">
        <v>21</v>
      </c>
      <c r="B2174" t="s">
        <v>846</v>
      </c>
      <c r="C2174" t="s">
        <v>847</v>
      </c>
      <c r="D2174" t="s">
        <v>848</v>
      </c>
      <c r="E2174" t="s">
        <v>849</v>
      </c>
      <c r="F2174" t="s">
        <v>26</v>
      </c>
      <c r="G2174">
        <v>13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13</v>
      </c>
      <c r="T2174">
        <v>0</v>
      </c>
      <c r="U2174" t="s">
        <v>40</v>
      </c>
      <c r="W2174" s="2">
        <v>51.74</v>
      </c>
      <c r="X2174" s="3">
        <f t="shared" si="66"/>
        <v>672.62</v>
      </c>
      <c r="Y2174">
        <f>VLOOKUP(D2174,'[1]Cost Sheet'!$C:$D,2,0)</f>
        <v>51.74</v>
      </c>
      <c r="Z2174" s="3">
        <f t="shared" si="67"/>
        <v>672.62</v>
      </c>
    </row>
    <row r="2175" spans="1:26" x14ac:dyDescent="0.3">
      <c r="A2175" s="7" t="s">
        <v>21</v>
      </c>
      <c r="B2175" t="s">
        <v>846</v>
      </c>
      <c r="C2175" t="s">
        <v>847</v>
      </c>
      <c r="D2175" t="s">
        <v>848</v>
      </c>
      <c r="E2175" t="s">
        <v>849</v>
      </c>
      <c r="F2175" t="s">
        <v>26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 t="s">
        <v>113</v>
      </c>
      <c r="W2175" s="2">
        <v>51.74</v>
      </c>
      <c r="X2175" s="3">
        <f t="shared" si="66"/>
        <v>51.74</v>
      </c>
      <c r="Y2175">
        <f>VLOOKUP(D2175,'[1]Cost Sheet'!$C:$D,2,0)</f>
        <v>51.74</v>
      </c>
      <c r="Z2175" s="3">
        <f t="shared" si="67"/>
        <v>51.74</v>
      </c>
    </row>
    <row r="2176" spans="1:26" x14ac:dyDescent="0.3">
      <c r="A2176" s="7" t="s">
        <v>21</v>
      </c>
      <c r="B2176" t="s">
        <v>846</v>
      </c>
      <c r="C2176" t="s">
        <v>847</v>
      </c>
      <c r="D2176" t="s">
        <v>848</v>
      </c>
      <c r="E2176" t="s">
        <v>849</v>
      </c>
      <c r="F2176" t="s">
        <v>26</v>
      </c>
      <c r="G2176">
        <v>44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44</v>
      </c>
      <c r="T2176">
        <v>0</v>
      </c>
      <c r="U2176" t="s">
        <v>48</v>
      </c>
      <c r="W2176" s="2">
        <v>51.74</v>
      </c>
      <c r="X2176" s="3">
        <f t="shared" si="66"/>
        <v>2276.56</v>
      </c>
      <c r="Y2176">
        <f>VLOOKUP(D2176,'[1]Cost Sheet'!$C:$D,2,0)</f>
        <v>51.74</v>
      </c>
      <c r="Z2176" s="3">
        <f t="shared" si="67"/>
        <v>2276.56</v>
      </c>
    </row>
    <row r="2177" spans="1:26" x14ac:dyDescent="0.3">
      <c r="A2177" s="7" t="s">
        <v>21</v>
      </c>
      <c r="B2177" t="s">
        <v>846</v>
      </c>
      <c r="C2177" t="s">
        <v>847</v>
      </c>
      <c r="D2177" t="s">
        <v>848</v>
      </c>
      <c r="E2177" t="s">
        <v>849</v>
      </c>
      <c r="F2177" t="s">
        <v>26</v>
      </c>
      <c r="G2177">
        <v>8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8</v>
      </c>
      <c r="T2177">
        <v>0</v>
      </c>
      <c r="U2177" t="s">
        <v>59</v>
      </c>
      <c r="W2177" s="2">
        <v>51.74</v>
      </c>
      <c r="X2177" s="3">
        <f t="shared" si="66"/>
        <v>413.92</v>
      </c>
      <c r="Y2177">
        <f>VLOOKUP(D2177,'[1]Cost Sheet'!$C:$D,2,0)</f>
        <v>51.74</v>
      </c>
      <c r="Z2177" s="3">
        <f t="shared" si="67"/>
        <v>413.92</v>
      </c>
    </row>
    <row r="2178" spans="1:26" x14ac:dyDescent="0.3">
      <c r="A2178" s="7" t="s">
        <v>21</v>
      </c>
      <c r="B2178" t="s">
        <v>850</v>
      </c>
      <c r="C2178" t="s">
        <v>851</v>
      </c>
      <c r="D2178" t="s">
        <v>852</v>
      </c>
      <c r="E2178" t="s">
        <v>853</v>
      </c>
      <c r="F2178" t="s">
        <v>26</v>
      </c>
      <c r="G2178">
        <v>28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28</v>
      </c>
      <c r="T2178">
        <v>0</v>
      </c>
      <c r="U2178" t="s">
        <v>38</v>
      </c>
      <c r="W2178" s="2">
        <v>51.74</v>
      </c>
      <c r="X2178" s="3">
        <f t="shared" si="66"/>
        <v>1448.72</v>
      </c>
      <c r="Y2178">
        <f>VLOOKUP(D2178,'[1]Cost Sheet'!$C:$D,2,0)</f>
        <v>51.74</v>
      </c>
      <c r="Z2178" s="3">
        <f t="shared" si="67"/>
        <v>1448.72</v>
      </c>
    </row>
    <row r="2179" spans="1:26" x14ac:dyDescent="0.3">
      <c r="A2179" s="7" t="s">
        <v>21</v>
      </c>
      <c r="B2179" t="s">
        <v>850</v>
      </c>
      <c r="C2179" t="s">
        <v>851</v>
      </c>
      <c r="D2179" t="s">
        <v>852</v>
      </c>
      <c r="E2179" t="s">
        <v>853</v>
      </c>
      <c r="F2179" t="s">
        <v>26</v>
      </c>
      <c r="G2179">
        <v>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</v>
      </c>
      <c r="T2179">
        <v>0</v>
      </c>
      <c r="U2179" t="s">
        <v>107</v>
      </c>
      <c r="W2179" s="2">
        <v>51.74</v>
      </c>
      <c r="X2179" s="3">
        <f t="shared" ref="X2179:X2242" si="68">S2179*W2179</f>
        <v>206.96</v>
      </c>
      <c r="Y2179">
        <f>VLOOKUP(D2179,'[1]Cost Sheet'!$C:$D,2,0)</f>
        <v>51.74</v>
      </c>
      <c r="Z2179" s="3">
        <f t="shared" ref="Z2179:Z2242" si="69">Y2179*S2179</f>
        <v>206.96</v>
      </c>
    </row>
    <row r="2180" spans="1:26" x14ac:dyDescent="0.3">
      <c r="A2180" s="7" t="s">
        <v>21</v>
      </c>
      <c r="B2180" t="s">
        <v>850</v>
      </c>
      <c r="C2180" t="s">
        <v>851</v>
      </c>
      <c r="D2180" t="s">
        <v>852</v>
      </c>
      <c r="E2180" t="s">
        <v>853</v>
      </c>
      <c r="F2180" t="s">
        <v>26</v>
      </c>
      <c r="G2180">
        <v>30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30</v>
      </c>
      <c r="T2180">
        <v>0</v>
      </c>
      <c r="U2180" t="s">
        <v>45</v>
      </c>
      <c r="W2180" s="2">
        <v>51.74</v>
      </c>
      <c r="X2180" s="3">
        <f t="shared" si="68"/>
        <v>1552.2</v>
      </c>
      <c r="Y2180">
        <f>VLOOKUP(D2180,'[1]Cost Sheet'!$C:$D,2,0)</f>
        <v>51.74</v>
      </c>
      <c r="Z2180" s="3">
        <f t="shared" si="69"/>
        <v>1552.2</v>
      </c>
    </row>
    <row r="2181" spans="1:26" x14ac:dyDescent="0.3">
      <c r="A2181" s="7" t="s">
        <v>21</v>
      </c>
      <c r="B2181" t="s">
        <v>850</v>
      </c>
      <c r="C2181" t="s">
        <v>851</v>
      </c>
      <c r="D2181" t="s">
        <v>852</v>
      </c>
      <c r="E2181" t="s">
        <v>853</v>
      </c>
      <c r="F2181" t="s">
        <v>26</v>
      </c>
      <c r="G2181">
        <v>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3</v>
      </c>
      <c r="T2181">
        <v>0</v>
      </c>
      <c r="U2181" t="s">
        <v>54</v>
      </c>
      <c r="W2181" s="2">
        <v>51.74</v>
      </c>
      <c r="X2181" s="3">
        <f t="shared" si="68"/>
        <v>155.22</v>
      </c>
      <c r="Y2181">
        <f>VLOOKUP(D2181,'[1]Cost Sheet'!$C:$D,2,0)</f>
        <v>51.74</v>
      </c>
      <c r="Z2181" s="3">
        <f t="shared" si="69"/>
        <v>155.22</v>
      </c>
    </row>
    <row r="2182" spans="1:26" x14ac:dyDescent="0.3">
      <c r="A2182" s="7" t="s">
        <v>21</v>
      </c>
      <c r="B2182" t="s">
        <v>850</v>
      </c>
      <c r="C2182" t="s">
        <v>851</v>
      </c>
      <c r="D2182" t="s">
        <v>852</v>
      </c>
      <c r="E2182" t="s">
        <v>853</v>
      </c>
      <c r="F2182" t="s">
        <v>26</v>
      </c>
      <c r="G2182">
        <v>30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29</v>
      </c>
      <c r="T2182">
        <v>0</v>
      </c>
      <c r="U2182" t="s">
        <v>47</v>
      </c>
      <c r="W2182" s="2">
        <v>51.74</v>
      </c>
      <c r="X2182" s="3">
        <f t="shared" si="68"/>
        <v>1500.46</v>
      </c>
      <c r="Y2182">
        <f>VLOOKUP(D2182,'[1]Cost Sheet'!$C:$D,2,0)</f>
        <v>51.74</v>
      </c>
      <c r="Z2182" s="3">
        <f t="shared" si="69"/>
        <v>1500.46</v>
      </c>
    </row>
    <row r="2183" spans="1:26" x14ac:dyDescent="0.3">
      <c r="A2183" s="7" t="s">
        <v>21</v>
      </c>
      <c r="B2183" t="s">
        <v>850</v>
      </c>
      <c r="C2183" t="s">
        <v>851</v>
      </c>
      <c r="D2183" t="s">
        <v>852</v>
      </c>
      <c r="E2183" t="s">
        <v>853</v>
      </c>
      <c r="F2183" t="s">
        <v>26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2</v>
      </c>
      <c r="T2183">
        <v>0</v>
      </c>
      <c r="U2183" t="s">
        <v>40</v>
      </c>
      <c r="W2183" s="2">
        <v>51.74</v>
      </c>
      <c r="X2183" s="3">
        <f t="shared" si="68"/>
        <v>103.48</v>
      </c>
      <c r="Y2183">
        <f>VLOOKUP(D2183,'[1]Cost Sheet'!$C:$D,2,0)</f>
        <v>51.74</v>
      </c>
      <c r="Z2183" s="3">
        <f t="shared" si="69"/>
        <v>103.48</v>
      </c>
    </row>
    <row r="2184" spans="1:26" x14ac:dyDescent="0.3">
      <c r="A2184" s="7" t="s">
        <v>21</v>
      </c>
      <c r="B2184" t="s">
        <v>854</v>
      </c>
      <c r="C2184" t="s">
        <v>855</v>
      </c>
      <c r="D2184" t="s">
        <v>856</v>
      </c>
      <c r="E2184" t="s">
        <v>857</v>
      </c>
      <c r="F2184" t="s">
        <v>26</v>
      </c>
      <c r="G2184">
        <v>32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32</v>
      </c>
      <c r="T2184">
        <v>0</v>
      </c>
      <c r="U2184" t="s">
        <v>32</v>
      </c>
      <c r="W2184" s="2">
        <v>98.3</v>
      </c>
      <c r="X2184" s="3">
        <f t="shared" si="68"/>
        <v>3145.6</v>
      </c>
      <c r="Y2184">
        <f>VLOOKUP(D2184,'[1]Cost Sheet'!$C:$D,2,0)</f>
        <v>98.3</v>
      </c>
      <c r="Z2184" s="3">
        <f t="shared" si="69"/>
        <v>3145.6</v>
      </c>
    </row>
    <row r="2185" spans="1:26" x14ac:dyDescent="0.3">
      <c r="A2185" s="7" t="s">
        <v>21</v>
      </c>
      <c r="B2185" t="s">
        <v>858</v>
      </c>
      <c r="C2185" t="s">
        <v>859</v>
      </c>
      <c r="D2185" t="s">
        <v>860</v>
      </c>
      <c r="E2185" t="s">
        <v>861</v>
      </c>
      <c r="F2185" t="s">
        <v>130</v>
      </c>
      <c r="G2185">
        <v>25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25</v>
      </c>
      <c r="T2185">
        <v>0</v>
      </c>
      <c r="U2185" t="s">
        <v>32</v>
      </c>
      <c r="W2185" s="2">
        <v>120.43333333333332</v>
      </c>
      <c r="X2185" s="3">
        <f t="shared" si="68"/>
        <v>3010.833333333333</v>
      </c>
      <c r="Y2185">
        <f>VLOOKUP(D2185,'[1]Cost Sheet'!$C:$D,2,0)</f>
        <v>120.43333333333332</v>
      </c>
      <c r="Z2185" s="3">
        <f t="shared" si="69"/>
        <v>3010.833333333333</v>
      </c>
    </row>
    <row r="2186" spans="1:26" x14ac:dyDescent="0.3">
      <c r="A2186" s="7" t="s">
        <v>21</v>
      </c>
      <c r="B2186" t="s">
        <v>858</v>
      </c>
      <c r="C2186" t="s">
        <v>859</v>
      </c>
      <c r="D2186" t="s">
        <v>860</v>
      </c>
      <c r="E2186" t="s">
        <v>861</v>
      </c>
      <c r="F2186" t="s">
        <v>26</v>
      </c>
      <c r="G2186">
        <v>8</v>
      </c>
      <c r="H2186">
        <v>0</v>
      </c>
      <c r="I2186">
        <v>0</v>
      </c>
      <c r="J2186">
        <v>-4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4</v>
      </c>
      <c r="T2186">
        <v>0</v>
      </c>
      <c r="U2186" t="s">
        <v>38</v>
      </c>
      <c r="W2186" s="2">
        <v>120.43333333333332</v>
      </c>
      <c r="X2186" s="3">
        <f t="shared" si="68"/>
        <v>481.73333333333329</v>
      </c>
      <c r="Y2186">
        <f>VLOOKUP(D2186,'[1]Cost Sheet'!$C:$D,2,0)</f>
        <v>120.43333333333332</v>
      </c>
      <c r="Z2186" s="3">
        <f t="shared" si="69"/>
        <v>481.73333333333329</v>
      </c>
    </row>
    <row r="2187" spans="1:26" x14ac:dyDescent="0.3">
      <c r="A2187" s="7" t="s">
        <v>21</v>
      </c>
      <c r="B2187" t="s">
        <v>858</v>
      </c>
      <c r="C2187" t="s">
        <v>859</v>
      </c>
      <c r="D2187" t="s">
        <v>860</v>
      </c>
      <c r="E2187" t="s">
        <v>861</v>
      </c>
      <c r="F2187" t="s">
        <v>26</v>
      </c>
      <c r="G2187">
        <v>12</v>
      </c>
      <c r="H2187">
        <v>0</v>
      </c>
      <c r="I2187">
        <v>0</v>
      </c>
      <c r="J2187">
        <v>-6</v>
      </c>
      <c r="K2187">
        <v>0</v>
      </c>
      <c r="L2187">
        <v>0</v>
      </c>
      <c r="M2187">
        <v>-1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5</v>
      </c>
      <c r="T2187">
        <v>0</v>
      </c>
      <c r="U2187" t="s">
        <v>39</v>
      </c>
      <c r="W2187" s="2">
        <v>120.43333333333332</v>
      </c>
      <c r="X2187" s="3">
        <f t="shared" si="68"/>
        <v>602.16666666666663</v>
      </c>
      <c r="Y2187">
        <f>VLOOKUP(D2187,'[1]Cost Sheet'!$C:$D,2,0)</f>
        <v>120.43333333333332</v>
      </c>
      <c r="Z2187" s="3">
        <f t="shared" si="69"/>
        <v>602.16666666666663</v>
      </c>
    </row>
    <row r="2188" spans="1:26" x14ac:dyDescent="0.3">
      <c r="A2188" s="7" t="s">
        <v>21</v>
      </c>
      <c r="B2188" t="s">
        <v>858</v>
      </c>
      <c r="C2188" t="s">
        <v>859</v>
      </c>
      <c r="D2188" t="s">
        <v>860</v>
      </c>
      <c r="E2188" t="s">
        <v>861</v>
      </c>
      <c r="F2188" t="s">
        <v>26</v>
      </c>
      <c r="G2188">
        <v>3</v>
      </c>
      <c r="H2188">
        <v>0</v>
      </c>
      <c r="I2188">
        <v>0</v>
      </c>
      <c r="J2188">
        <v>-3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 t="s">
        <v>53</v>
      </c>
      <c r="W2188" s="2">
        <v>120.43333333333332</v>
      </c>
      <c r="X2188" s="3">
        <f t="shared" si="68"/>
        <v>120.43333333333332</v>
      </c>
      <c r="Y2188">
        <f>VLOOKUP(D2188,'[1]Cost Sheet'!$C:$D,2,0)</f>
        <v>120.43333333333332</v>
      </c>
      <c r="Z2188" s="3">
        <f t="shared" si="69"/>
        <v>120.43333333333332</v>
      </c>
    </row>
    <row r="2189" spans="1:26" x14ac:dyDescent="0.3">
      <c r="A2189" s="7" t="s">
        <v>21</v>
      </c>
      <c r="B2189" t="s">
        <v>858</v>
      </c>
      <c r="C2189" t="s">
        <v>859</v>
      </c>
      <c r="D2189" t="s">
        <v>860</v>
      </c>
      <c r="E2189" t="s">
        <v>861</v>
      </c>
      <c r="F2189" t="s">
        <v>26</v>
      </c>
      <c r="G2189">
        <v>2</v>
      </c>
      <c r="H2189">
        <v>0</v>
      </c>
      <c r="I2189">
        <v>0</v>
      </c>
      <c r="J2189">
        <v>-1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 t="s">
        <v>54</v>
      </c>
      <c r="W2189" s="2">
        <v>120.43333333333332</v>
      </c>
      <c r="X2189" s="3">
        <f t="shared" si="68"/>
        <v>120.43333333333332</v>
      </c>
      <c r="Y2189">
        <f>VLOOKUP(D2189,'[1]Cost Sheet'!$C:$D,2,0)</f>
        <v>120.43333333333332</v>
      </c>
      <c r="Z2189" s="3">
        <f t="shared" si="69"/>
        <v>120.43333333333332</v>
      </c>
    </row>
    <row r="2190" spans="1:26" x14ac:dyDescent="0.3">
      <c r="A2190" s="7" t="s">
        <v>21</v>
      </c>
      <c r="B2190" t="s">
        <v>858</v>
      </c>
      <c r="C2190" t="s">
        <v>859</v>
      </c>
      <c r="D2190" t="s">
        <v>860</v>
      </c>
      <c r="E2190" t="s">
        <v>861</v>
      </c>
      <c r="F2190" t="s">
        <v>26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21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21</v>
      </c>
      <c r="T2190">
        <v>0</v>
      </c>
      <c r="U2190" t="s">
        <v>32</v>
      </c>
      <c r="W2190" s="2">
        <v>120.43333333333332</v>
      </c>
      <c r="X2190" s="3">
        <f t="shared" si="68"/>
        <v>2529.1</v>
      </c>
      <c r="Y2190">
        <f>VLOOKUP(D2190,'[1]Cost Sheet'!$C:$D,2,0)</f>
        <v>120.43333333333332</v>
      </c>
      <c r="Z2190" s="3">
        <f t="shared" si="69"/>
        <v>2529.1</v>
      </c>
    </row>
    <row r="2191" spans="1:26" x14ac:dyDescent="0.3">
      <c r="A2191" s="7" t="s">
        <v>21</v>
      </c>
      <c r="B2191" t="s">
        <v>858</v>
      </c>
      <c r="C2191" t="s">
        <v>859</v>
      </c>
      <c r="D2191" t="s">
        <v>860</v>
      </c>
      <c r="E2191" t="s">
        <v>861</v>
      </c>
      <c r="F2191" t="s">
        <v>26</v>
      </c>
      <c r="G2191">
        <v>25</v>
      </c>
      <c r="H2191">
        <v>0</v>
      </c>
      <c r="I2191">
        <v>0</v>
      </c>
      <c r="J2191">
        <v>-5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20</v>
      </c>
      <c r="T2191">
        <v>0</v>
      </c>
      <c r="U2191" t="s">
        <v>47</v>
      </c>
      <c r="W2191" s="2">
        <v>120.43333333333332</v>
      </c>
      <c r="X2191" s="3">
        <f t="shared" si="68"/>
        <v>2408.6666666666665</v>
      </c>
      <c r="Y2191">
        <f>VLOOKUP(D2191,'[1]Cost Sheet'!$C:$D,2,0)</f>
        <v>120.43333333333332</v>
      </c>
      <c r="Z2191" s="3">
        <f t="shared" si="69"/>
        <v>2408.6666666666665</v>
      </c>
    </row>
    <row r="2192" spans="1:26" x14ac:dyDescent="0.3">
      <c r="A2192" s="7" t="s">
        <v>21</v>
      </c>
      <c r="B2192" t="s">
        <v>858</v>
      </c>
      <c r="C2192" t="s">
        <v>859</v>
      </c>
      <c r="D2192" t="s">
        <v>860</v>
      </c>
      <c r="E2192" t="s">
        <v>861</v>
      </c>
      <c r="F2192" t="s">
        <v>26</v>
      </c>
      <c r="G2192">
        <v>5</v>
      </c>
      <c r="H2192">
        <v>0</v>
      </c>
      <c r="I2192">
        <v>0</v>
      </c>
      <c r="J2192">
        <v>-2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3</v>
      </c>
      <c r="T2192">
        <v>0</v>
      </c>
      <c r="U2192" t="s">
        <v>40</v>
      </c>
      <c r="W2192" s="2">
        <v>120.43333333333332</v>
      </c>
      <c r="X2192" s="3">
        <f t="shared" si="68"/>
        <v>361.29999999999995</v>
      </c>
      <c r="Y2192">
        <f>VLOOKUP(D2192,'[1]Cost Sheet'!$C:$D,2,0)</f>
        <v>120.43333333333332</v>
      </c>
      <c r="Z2192" s="3">
        <f t="shared" si="69"/>
        <v>361.29999999999995</v>
      </c>
    </row>
    <row r="2193" spans="1:26" x14ac:dyDescent="0.3">
      <c r="A2193" s="7" t="s">
        <v>21</v>
      </c>
      <c r="B2193" t="s">
        <v>858</v>
      </c>
      <c r="C2193" t="s">
        <v>859</v>
      </c>
      <c r="D2193" t="s">
        <v>860</v>
      </c>
      <c r="E2193" t="s">
        <v>861</v>
      </c>
      <c r="F2193" t="s">
        <v>26</v>
      </c>
      <c r="G2193">
        <v>14</v>
      </c>
      <c r="H2193">
        <v>1</v>
      </c>
      <c r="I2193">
        <v>0</v>
      </c>
      <c r="J2193">
        <v>-3</v>
      </c>
      <c r="K2193">
        <v>0</v>
      </c>
      <c r="L2193">
        <v>0</v>
      </c>
      <c r="M2193">
        <v>-1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10</v>
      </c>
      <c r="T2193">
        <v>0</v>
      </c>
      <c r="U2193" t="s">
        <v>48</v>
      </c>
      <c r="W2193" s="2">
        <v>120.43333333333332</v>
      </c>
      <c r="X2193" s="3">
        <f t="shared" si="68"/>
        <v>1204.3333333333333</v>
      </c>
      <c r="Y2193">
        <f>VLOOKUP(D2193,'[1]Cost Sheet'!$C:$D,2,0)</f>
        <v>120.43333333333332</v>
      </c>
      <c r="Z2193" s="3">
        <f t="shared" si="69"/>
        <v>1204.3333333333333</v>
      </c>
    </row>
    <row r="2194" spans="1:26" x14ac:dyDescent="0.3">
      <c r="A2194" s="7" t="s">
        <v>21</v>
      </c>
      <c r="B2194" t="s">
        <v>858</v>
      </c>
      <c r="C2194" t="s">
        <v>859</v>
      </c>
      <c r="D2194" t="s">
        <v>860</v>
      </c>
      <c r="E2194" t="s">
        <v>861</v>
      </c>
      <c r="F2194" t="s">
        <v>26</v>
      </c>
      <c r="G2194">
        <v>6</v>
      </c>
      <c r="H2194">
        <v>0</v>
      </c>
      <c r="I2194">
        <v>0</v>
      </c>
      <c r="J2194">
        <v>-5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 t="s">
        <v>59</v>
      </c>
      <c r="W2194" s="2">
        <v>120.43333333333332</v>
      </c>
      <c r="X2194" s="3">
        <f t="shared" si="68"/>
        <v>120.43333333333332</v>
      </c>
      <c r="Y2194">
        <f>VLOOKUP(D2194,'[1]Cost Sheet'!$C:$D,2,0)</f>
        <v>120.43333333333332</v>
      </c>
      <c r="Z2194" s="3">
        <f t="shared" si="69"/>
        <v>120.43333333333332</v>
      </c>
    </row>
    <row r="2195" spans="1:26" x14ac:dyDescent="0.3">
      <c r="A2195" s="7" t="s">
        <v>21</v>
      </c>
      <c r="B2195" t="s">
        <v>862</v>
      </c>
      <c r="C2195" t="s">
        <v>863</v>
      </c>
      <c r="D2195" t="s">
        <v>864</v>
      </c>
      <c r="E2195" t="s">
        <v>865</v>
      </c>
      <c r="F2195" t="s">
        <v>26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2</v>
      </c>
      <c r="T2195">
        <v>0</v>
      </c>
      <c r="U2195" t="s">
        <v>38</v>
      </c>
      <c r="W2195" s="2">
        <v>168.55</v>
      </c>
      <c r="X2195" s="3">
        <f t="shared" si="68"/>
        <v>337.1</v>
      </c>
      <c r="Y2195">
        <f>VLOOKUP(D2195,'[1]Cost Sheet'!$C:$D,2,0)</f>
        <v>168.55</v>
      </c>
      <c r="Z2195" s="3">
        <f t="shared" si="69"/>
        <v>337.1</v>
      </c>
    </row>
    <row r="2196" spans="1:26" x14ac:dyDescent="0.3">
      <c r="A2196" s="7" t="s">
        <v>21</v>
      </c>
      <c r="B2196" t="s">
        <v>862</v>
      </c>
      <c r="C2196" t="s">
        <v>863</v>
      </c>
      <c r="D2196" t="s">
        <v>864</v>
      </c>
      <c r="E2196" t="s">
        <v>865</v>
      </c>
      <c r="F2196" t="s">
        <v>26</v>
      </c>
      <c r="G2196">
        <v>27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27</v>
      </c>
      <c r="T2196">
        <v>0</v>
      </c>
      <c r="U2196" t="s">
        <v>45</v>
      </c>
      <c r="W2196" s="2">
        <v>168.55</v>
      </c>
      <c r="X2196" s="3">
        <f t="shared" si="68"/>
        <v>4550.8500000000004</v>
      </c>
      <c r="Y2196">
        <f>VLOOKUP(D2196,'[1]Cost Sheet'!$C:$D,2,0)</f>
        <v>168.55</v>
      </c>
      <c r="Z2196" s="3">
        <f t="shared" si="69"/>
        <v>4550.8500000000004</v>
      </c>
    </row>
    <row r="2197" spans="1:26" x14ac:dyDescent="0.3">
      <c r="A2197" s="7" t="s">
        <v>21</v>
      </c>
      <c r="B2197" t="s">
        <v>862</v>
      </c>
      <c r="C2197" t="s">
        <v>863</v>
      </c>
      <c r="D2197" t="s">
        <v>864</v>
      </c>
      <c r="E2197" t="s">
        <v>865</v>
      </c>
      <c r="F2197" t="s">
        <v>26</v>
      </c>
      <c r="G2197">
        <v>17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17</v>
      </c>
      <c r="T2197">
        <v>0</v>
      </c>
      <c r="U2197" t="s">
        <v>39</v>
      </c>
      <c r="W2197" s="2">
        <v>168.55</v>
      </c>
      <c r="X2197" s="3">
        <f t="shared" si="68"/>
        <v>2865.3500000000004</v>
      </c>
      <c r="Y2197">
        <f>VLOOKUP(D2197,'[1]Cost Sheet'!$C:$D,2,0)</f>
        <v>168.55</v>
      </c>
      <c r="Z2197" s="3">
        <f t="shared" si="69"/>
        <v>2865.3500000000004</v>
      </c>
    </row>
    <row r="2198" spans="1:26" x14ac:dyDescent="0.3">
      <c r="A2198" s="7" t="s">
        <v>21</v>
      </c>
      <c r="B2198" t="s">
        <v>862</v>
      </c>
      <c r="C2198" t="s">
        <v>863</v>
      </c>
      <c r="D2198" t="s">
        <v>864</v>
      </c>
      <c r="E2198" t="s">
        <v>865</v>
      </c>
      <c r="F2198" t="s">
        <v>26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2</v>
      </c>
      <c r="T2198">
        <v>0</v>
      </c>
      <c r="U2198" t="s">
        <v>53</v>
      </c>
      <c r="W2198" s="2">
        <v>168.55</v>
      </c>
      <c r="X2198" s="3">
        <f t="shared" si="68"/>
        <v>337.1</v>
      </c>
      <c r="Y2198">
        <f>VLOOKUP(D2198,'[1]Cost Sheet'!$C:$D,2,0)</f>
        <v>168.55</v>
      </c>
      <c r="Z2198" s="3">
        <f t="shared" si="69"/>
        <v>337.1</v>
      </c>
    </row>
    <row r="2199" spans="1:26" x14ac:dyDescent="0.3">
      <c r="A2199" s="7" t="s">
        <v>21</v>
      </c>
      <c r="B2199" t="s">
        <v>862</v>
      </c>
      <c r="C2199" t="s">
        <v>863</v>
      </c>
      <c r="D2199" t="s">
        <v>864</v>
      </c>
      <c r="E2199" t="s">
        <v>865</v>
      </c>
      <c r="F2199" t="s">
        <v>26</v>
      </c>
      <c r="G2199">
        <v>21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21</v>
      </c>
      <c r="T2199">
        <v>0</v>
      </c>
      <c r="U2199" t="s">
        <v>54</v>
      </c>
      <c r="W2199" s="2">
        <v>168.55</v>
      </c>
      <c r="X2199" s="3">
        <f t="shared" si="68"/>
        <v>3539.55</v>
      </c>
      <c r="Y2199">
        <f>VLOOKUP(D2199,'[1]Cost Sheet'!$C:$D,2,0)</f>
        <v>168.55</v>
      </c>
      <c r="Z2199" s="3">
        <f t="shared" si="69"/>
        <v>3539.55</v>
      </c>
    </row>
    <row r="2200" spans="1:26" x14ac:dyDescent="0.3">
      <c r="A2200" s="7" t="s">
        <v>21</v>
      </c>
      <c r="B2200" t="s">
        <v>862</v>
      </c>
      <c r="C2200" t="s">
        <v>863</v>
      </c>
      <c r="D2200" t="s">
        <v>864</v>
      </c>
      <c r="E2200" t="s">
        <v>865</v>
      </c>
      <c r="F2200" t="s">
        <v>26</v>
      </c>
      <c r="G2200">
        <v>35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35</v>
      </c>
      <c r="T2200">
        <v>0</v>
      </c>
      <c r="U2200" t="s">
        <v>32</v>
      </c>
      <c r="W2200" s="2">
        <v>168.55</v>
      </c>
      <c r="X2200" s="3">
        <f t="shared" si="68"/>
        <v>5899.25</v>
      </c>
      <c r="Y2200">
        <f>VLOOKUP(D2200,'[1]Cost Sheet'!$C:$D,2,0)</f>
        <v>168.55</v>
      </c>
      <c r="Z2200" s="3">
        <f t="shared" si="69"/>
        <v>5899.25</v>
      </c>
    </row>
    <row r="2201" spans="1:26" x14ac:dyDescent="0.3">
      <c r="A2201" s="7" t="s">
        <v>21</v>
      </c>
      <c r="B2201" t="s">
        <v>862</v>
      </c>
      <c r="C2201" t="s">
        <v>863</v>
      </c>
      <c r="D2201" t="s">
        <v>864</v>
      </c>
      <c r="E2201" t="s">
        <v>865</v>
      </c>
      <c r="F2201" t="s">
        <v>26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 t="s">
        <v>46</v>
      </c>
      <c r="W2201" s="2">
        <v>168.55</v>
      </c>
      <c r="X2201" s="3">
        <f t="shared" si="68"/>
        <v>168.55</v>
      </c>
      <c r="Y2201">
        <f>VLOOKUP(D2201,'[1]Cost Sheet'!$C:$D,2,0)</f>
        <v>168.55</v>
      </c>
      <c r="Z2201" s="3">
        <f t="shared" si="69"/>
        <v>168.55</v>
      </c>
    </row>
    <row r="2202" spans="1:26" x14ac:dyDescent="0.3">
      <c r="A2202" s="7" t="s">
        <v>21</v>
      </c>
      <c r="B2202" t="s">
        <v>862</v>
      </c>
      <c r="C2202" t="s">
        <v>863</v>
      </c>
      <c r="D2202" t="s">
        <v>864</v>
      </c>
      <c r="E2202" t="s">
        <v>865</v>
      </c>
      <c r="F2202" t="s">
        <v>26</v>
      </c>
      <c r="G2202">
        <v>67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67</v>
      </c>
      <c r="T2202">
        <v>0</v>
      </c>
      <c r="U2202" t="s">
        <v>40</v>
      </c>
      <c r="W2202" s="2">
        <v>168.55</v>
      </c>
      <c r="X2202" s="3">
        <f t="shared" si="68"/>
        <v>11292.85</v>
      </c>
      <c r="Y2202">
        <f>VLOOKUP(D2202,'[1]Cost Sheet'!$C:$D,2,0)</f>
        <v>168.55</v>
      </c>
      <c r="Z2202" s="3">
        <f t="shared" si="69"/>
        <v>11292.85</v>
      </c>
    </row>
    <row r="2203" spans="1:26" x14ac:dyDescent="0.3">
      <c r="A2203" s="7" t="s">
        <v>21</v>
      </c>
      <c r="B2203" t="s">
        <v>862</v>
      </c>
      <c r="C2203" t="s">
        <v>863</v>
      </c>
      <c r="D2203" t="s">
        <v>864</v>
      </c>
      <c r="E2203" t="s">
        <v>865</v>
      </c>
      <c r="F2203" t="s">
        <v>26</v>
      </c>
      <c r="G2203">
        <v>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7</v>
      </c>
      <c r="T2203">
        <v>0</v>
      </c>
      <c r="U2203" t="s">
        <v>48</v>
      </c>
      <c r="W2203" s="2">
        <v>168.55</v>
      </c>
      <c r="X2203" s="3">
        <f t="shared" si="68"/>
        <v>1179.8500000000001</v>
      </c>
      <c r="Y2203">
        <f>VLOOKUP(D2203,'[1]Cost Sheet'!$C:$D,2,0)</f>
        <v>168.55</v>
      </c>
      <c r="Z2203" s="3">
        <f t="shared" si="69"/>
        <v>1179.8500000000001</v>
      </c>
    </row>
    <row r="2204" spans="1:26" x14ac:dyDescent="0.3">
      <c r="A2204" s="7" t="s">
        <v>21</v>
      </c>
      <c r="B2204" t="s">
        <v>862</v>
      </c>
      <c r="C2204" t="s">
        <v>863</v>
      </c>
      <c r="D2204" t="s">
        <v>864</v>
      </c>
      <c r="E2204" t="s">
        <v>865</v>
      </c>
      <c r="F2204" t="s">
        <v>26</v>
      </c>
      <c r="G2204">
        <v>21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21</v>
      </c>
      <c r="T2204">
        <v>0</v>
      </c>
      <c r="U2204" t="s">
        <v>59</v>
      </c>
      <c r="W2204" s="2">
        <v>168.55</v>
      </c>
      <c r="X2204" s="3">
        <f t="shared" si="68"/>
        <v>3539.55</v>
      </c>
      <c r="Y2204">
        <f>VLOOKUP(D2204,'[1]Cost Sheet'!$C:$D,2,0)</f>
        <v>168.55</v>
      </c>
      <c r="Z2204" s="3">
        <f t="shared" si="69"/>
        <v>3539.55</v>
      </c>
    </row>
    <row r="2205" spans="1:26" x14ac:dyDescent="0.3">
      <c r="A2205" s="7" t="s">
        <v>21</v>
      </c>
      <c r="B2205" t="s">
        <v>866</v>
      </c>
      <c r="C2205" t="s">
        <v>867</v>
      </c>
      <c r="D2205" t="s">
        <v>868</v>
      </c>
      <c r="E2205" t="s">
        <v>869</v>
      </c>
      <c r="F2205" t="s">
        <v>93</v>
      </c>
      <c r="G2205">
        <v>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5</v>
      </c>
      <c r="T2205">
        <v>0</v>
      </c>
      <c r="U2205" t="s">
        <v>39</v>
      </c>
      <c r="W2205" s="2">
        <v>168.55</v>
      </c>
      <c r="X2205" s="3">
        <f t="shared" si="68"/>
        <v>842.75</v>
      </c>
      <c r="Y2205">
        <f>VLOOKUP(D2205,'[1]Cost Sheet'!$C:$D,2,0)</f>
        <v>168.55</v>
      </c>
      <c r="Z2205" s="3">
        <f t="shared" si="69"/>
        <v>842.75</v>
      </c>
    </row>
    <row r="2206" spans="1:26" x14ac:dyDescent="0.3">
      <c r="A2206" s="7" t="s">
        <v>21</v>
      </c>
      <c r="B2206" t="s">
        <v>866</v>
      </c>
      <c r="C2206" t="s">
        <v>867</v>
      </c>
      <c r="D2206" t="s">
        <v>868</v>
      </c>
      <c r="E2206" t="s">
        <v>869</v>
      </c>
      <c r="F2206" t="s">
        <v>26</v>
      </c>
      <c r="G2206">
        <v>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6</v>
      </c>
      <c r="T2206">
        <v>0</v>
      </c>
      <c r="U2206" t="s">
        <v>38</v>
      </c>
      <c r="W2206" s="2">
        <v>168.55</v>
      </c>
      <c r="X2206" s="3">
        <f t="shared" si="68"/>
        <v>1011.3000000000001</v>
      </c>
      <c r="Y2206">
        <f>VLOOKUP(D2206,'[1]Cost Sheet'!$C:$D,2,0)</f>
        <v>168.55</v>
      </c>
      <c r="Z2206" s="3">
        <f t="shared" si="69"/>
        <v>1011.3000000000001</v>
      </c>
    </row>
    <row r="2207" spans="1:26" x14ac:dyDescent="0.3">
      <c r="A2207" s="7" t="s">
        <v>21</v>
      </c>
      <c r="B2207" t="s">
        <v>866</v>
      </c>
      <c r="C2207" t="s">
        <v>867</v>
      </c>
      <c r="D2207" t="s">
        <v>868</v>
      </c>
      <c r="E2207" t="s">
        <v>869</v>
      </c>
      <c r="F2207" t="s">
        <v>26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 t="s">
        <v>107</v>
      </c>
      <c r="W2207" s="2">
        <v>168.55</v>
      </c>
      <c r="X2207" s="3">
        <f t="shared" si="68"/>
        <v>168.55</v>
      </c>
      <c r="Y2207">
        <f>VLOOKUP(D2207,'[1]Cost Sheet'!$C:$D,2,0)</f>
        <v>168.55</v>
      </c>
      <c r="Z2207" s="3">
        <f t="shared" si="69"/>
        <v>168.55</v>
      </c>
    </row>
    <row r="2208" spans="1:26" x14ac:dyDescent="0.3">
      <c r="A2208" s="7" t="s">
        <v>21</v>
      </c>
      <c r="B2208" t="s">
        <v>866</v>
      </c>
      <c r="C2208" t="s">
        <v>867</v>
      </c>
      <c r="D2208" t="s">
        <v>868</v>
      </c>
      <c r="E2208" t="s">
        <v>869</v>
      </c>
      <c r="F2208" t="s">
        <v>26</v>
      </c>
      <c r="G2208">
        <v>41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41</v>
      </c>
      <c r="T2208">
        <v>0</v>
      </c>
      <c r="U2208" t="s">
        <v>45</v>
      </c>
      <c r="W2208" s="2">
        <v>168.55</v>
      </c>
      <c r="X2208" s="3">
        <f t="shared" si="68"/>
        <v>6910.55</v>
      </c>
      <c r="Y2208">
        <f>VLOOKUP(D2208,'[1]Cost Sheet'!$C:$D,2,0)</f>
        <v>168.55</v>
      </c>
      <c r="Z2208" s="3">
        <f t="shared" si="69"/>
        <v>6910.55</v>
      </c>
    </row>
    <row r="2209" spans="1:26" x14ac:dyDescent="0.3">
      <c r="A2209" s="7" t="s">
        <v>21</v>
      </c>
      <c r="B2209" t="s">
        <v>866</v>
      </c>
      <c r="C2209" t="s">
        <v>867</v>
      </c>
      <c r="D2209" t="s">
        <v>868</v>
      </c>
      <c r="E2209" t="s">
        <v>869</v>
      </c>
      <c r="F2209" t="s">
        <v>26</v>
      </c>
      <c r="G2209">
        <v>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5</v>
      </c>
      <c r="T2209">
        <v>0</v>
      </c>
      <c r="U2209" t="s">
        <v>39</v>
      </c>
      <c r="W2209" s="2">
        <v>168.55</v>
      </c>
      <c r="X2209" s="3">
        <f t="shared" si="68"/>
        <v>842.75</v>
      </c>
      <c r="Y2209">
        <f>VLOOKUP(D2209,'[1]Cost Sheet'!$C:$D,2,0)</f>
        <v>168.55</v>
      </c>
      <c r="Z2209" s="3">
        <f t="shared" si="69"/>
        <v>842.75</v>
      </c>
    </row>
    <row r="2210" spans="1:26" x14ac:dyDescent="0.3">
      <c r="A2210" s="7" t="s">
        <v>21</v>
      </c>
      <c r="B2210" t="s">
        <v>866</v>
      </c>
      <c r="C2210" t="s">
        <v>867</v>
      </c>
      <c r="D2210" t="s">
        <v>868</v>
      </c>
      <c r="E2210" t="s">
        <v>869</v>
      </c>
      <c r="F2210" t="s">
        <v>26</v>
      </c>
      <c r="G2210">
        <v>3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3</v>
      </c>
      <c r="T2210">
        <v>0</v>
      </c>
      <c r="U2210" t="s">
        <v>53</v>
      </c>
      <c r="W2210" s="2">
        <v>168.55</v>
      </c>
      <c r="X2210" s="3">
        <f t="shared" si="68"/>
        <v>505.65000000000003</v>
      </c>
      <c r="Y2210">
        <f>VLOOKUP(D2210,'[1]Cost Sheet'!$C:$D,2,0)</f>
        <v>168.55</v>
      </c>
      <c r="Z2210" s="3">
        <f t="shared" si="69"/>
        <v>505.65000000000003</v>
      </c>
    </row>
    <row r="2211" spans="1:26" x14ac:dyDescent="0.3">
      <c r="A2211" s="7" t="s">
        <v>21</v>
      </c>
      <c r="B2211" t="s">
        <v>866</v>
      </c>
      <c r="C2211" t="s">
        <v>867</v>
      </c>
      <c r="D2211" t="s">
        <v>868</v>
      </c>
      <c r="E2211" t="s">
        <v>869</v>
      </c>
      <c r="F2211" t="s">
        <v>26</v>
      </c>
      <c r="G2211">
        <v>25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25</v>
      </c>
      <c r="T2211">
        <v>0</v>
      </c>
      <c r="U2211" t="s">
        <v>54</v>
      </c>
      <c r="W2211" s="2">
        <v>168.55</v>
      </c>
      <c r="X2211" s="3">
        <f t="shared" si="68"/>
        <v>4213.75</v>
      </c>
      <c r="Y2211">
        <f>VLOOKUP(D2211,'[1]Cost Sheet'!$C:$D,2,0)</f>
        <v>168.55</v>
      </c>
      <c r="Z2211" s="3">
        <f t="shared" si="69"/>
        <v>4213.75</v>
      </c>
    </row>
    <row r="2212" spans="1:26" x14ac:dyDescent="0.3">
      <c r="A2212" s="7" t="s">
        <v>21</v>
      </c>
      <c r="B2212" t="s">
        <v>866</v>
      </c>
      <c r="C2212" t="s">
        <v>867</v>
      </c>
      <c r="D2212" t="s">
        <v>868</v>
      </c>
      <c r="E2212" t="s">
        <v>869</v>
      </c>
      <c r="F2212" t="s">
        <v>26</v>
      </c>
      <c r="G2212">
        <v>34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34</v>
      </c>
      <c r="T2212">
        <v>0</v>
      </c>
      <c r="U2212" t="s">
        <v>32</v>
      </c>
      <c r="W2212" s="2">
        <v>168.55</v>
      </c>
      <c r="X2212" s="3">
        <f t="shared" si="68"/>
        <v>5730.7000000000007</v>
      </c>
      <c r="Y2212">
        <f>VLOOKUP(D2212,'[1]Cost Sheet'!$C:$D,2,0)</f>
        <v>168.55</v>
      </c>
      <c r="Z2212" s="3">
        <f t="shared" si="69"/>
        <v>5730.7000000000007</v>
      </c>
    </row>
    <row r="2213" spans="1:26" x14ac:dyDescent="0.3">
      <c r="A2213" s="7" t="s">
        <v>21</v>
      </c>
      <c r="B2213" t="s">
        <v>866</v>
      </c>
      <c r="C2213" t="s">
        <v>867</v>
      </c>
      <c r="D2213" t="s">
        <v>868</v>
      </c>
      <c r="E2213" t="s">
        <v>869</v>
      </c>
      <c r="F2213" t="s">
        <v>26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 t="s">
        <v>33</v>
      </c>
      <c r="W2213" s="2">
        <v>168.55</v>
      </c>
      <c r="X2213" s="3">
        <f t="shared" si="68"/>
        <v>168.55</v>
      </c>
      <c r="Y2213">
        <f>VLOOKUP(D2213,'[1]Cost Sheet'!$C:$D,2,0)</f>
        <v>168.55</v>
      </c>
      <c r="Z2213" s="3">
        <f t="shared" si="69"/>
        <v>168.55</v>
      </c>
    </row>
    <row r="2214" spans="1:26" x14ac:dyDescent="0.3">
      <c r="A2214" s="7" t="s">
        <v>21</v>
      </c>
      <c r="B2214" t="s">
        <v>866</v>
      </c>
      <c r="C2214" t="s">
        <v>867</v>
      </c>
      <c r="D2214" t="s">
        <v>868</v>
      </c>
      <c r="E2214" t="s">
        <v>869</v>
      </c>
      <c r="F2214" t="s">
        <v>26</v>
      </c>
      <c r="G2214">
        <v>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4</v>
      </c>
      <c r="T2214">
        <v>0</v>
      </c>
      <c r="U2214" t="s">
        <v>46</v>
      </c>
      <c r="W2214" s="2">
        <v>168.55</v>
      </c>
      <c r="X2214" s="3">
        <f t="shared" si="68"/>
        <v>674.2</v>
      </c>
      <c r="Y2214">
        <f>VLOOKUP(D2214,'[1]Cost Sheet'!$C:$D,2,0)</f>
        <v>168.55</v>
      </c>
      <c r="Z2214" s="3">
        <f t="shared" si="69"/>
        <v>674.2</v>
      </c>
    </row>
    <row r="2215" spans="1:26" x14ac:dyDescent="0.3">
      <c r="A2215" s="7" t="s">
        <v>21</v>
      </c>
      <c r="B2215" t="s">
        <v>866</v>
      </c>
      <c r="C2215" t="s">
        <v>867</v>
      </c>
      <c r="D2215" t="s">
        <v>868</v>
      </c>
      <c r="E2215" t="s">
        <v>869</v>
      </c>
      <c r="F2215" t="s">
        <v>26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 t="s">
        <v>47</v>
      </c>
      <c r="W2215" s="2">
        <v>168.55</v>
      </c>
      <c r="X2215" s="3">
        <f t="shared" si="68"/>
        <v>168.55</v>
      </c>
      <c r="Y2215">
        <f>VLOOKUP(D2215,'[1]Cost Sheet'!$C:$D,2,0)</f>
        <v>168.55</v>
      </c>
      <c r="Z2215" s="3">
        <f t="shared" si="69"/>
        <v>168.55</v>
      </c>
    </row>
    <row r="2216" spans="1:26" x14ac:dyDescent="0.3">
      <c r="A2216" s="7" t="s">
        <v>21</v>
      </c>
      <c r="B2216" t="s">
        <v>866</v>
      </c>
      <c r="C2216" t="s">
        <v>867</v>
      </c>
      <c r="D2216" t="s">
        <v>868</v>
      </c>
      <c r="E2216" t="s">
        <v>869</v>
      </c>
      <c r="F2216" t="s">
        <v>26</v>
      </c>
      <c r="G2216">
        <v>51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51</v>
      </c>
      <c r="T2216">
        <v>0</v>
      </c>
      <c r="U2216" t="s">
        <v>40</v>
      </c>
      <c r="W2216" s="2">
        <v>168.55</v>
      </c>
      <c r="X2216" s="3">
        <f t="shared" si="68"/>
        <v>8596.0500000000011</v>
      </c>
      <c r="Y2216">
        <f>VLOOKUP(D2216,'[1]Cost Sheet'!$C:$D,2,0)</f>
        <v>168.55</v>
      </c>
      <c r="Z2216" s="3">
        <f t="shared" si="69"/>
        <v>8596.0500000000011</v>
      </c>
    </row>
    <row r="2217" spans="1:26" x14ac:dyDescent="0.3">
      <c r="A2217" s="7" t="s">
        <v>21</v>
      </c>
      <c r="B2217" t="s">
        <v>866</v>
      </c>
      <c r="C2217" t="s">
        <v>867</v>
      </c>
      <c r="D2217" t="s">
        <v>868</v>
      </c>
      <c r="E2217" t="s">
        <v>869</v>
      </c>
      <c r="F2217" t="s">
        <v>26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 t="s">
        <v>113</v>
      </c>
      <c r="W2217" s="2">
        <v>168.55</v>
      </c>
      <c r="X2217" s="3">
        <f t="shared" si="68"/>
        <v>168.55</v>
      </c>
      <c r="Y2217">
        <f>VLOOKUP(D2217,'[1]Cost Sheet'!$C:$D,2,0)</f>
        <v>168.55</v>
      </c>
      <c r="Z2217" s="3">
        <f t="shared" si="69"/>
        <v>168.55</v>
      </c>
    </row>
    <row r="2218" spans="1:26" x14ac:dyDescent="0.3">
      <c r="A2218" s="7" t="s">
        <v>21</v>
      </c>
      <c r="B2218" t="s">
        <v>866</v>
      </c>
      <c r="C2218" t="s">
        <v>867</v>
      </c>
      <c r="D2218" t="s">
        <v>868</v>
      </c>
      <c r="E2218" t="s">
        <v>869</v>
      </c>
      <c r="F2218" t="s">
        <v>26</v>
      </c>
      <c r="G2218">
        <v>13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13</v>
      </c>
      <c r="T2218">
        <v>0</v>
      </c>
      <c r="U2218" t="s">
        <v>48</v>
      </c>
      <c r="W2218" s="2">
        <v>168.55</v>
      </c>
      <c r="X2218" s="3">
        <f t="shared" si="68"/>
        <v>2191.15</v>
      </c>
      <c r="Y2218">
        <f>VLOOKUP(D2218,'[1]Cost Sheet'!$C:$D,2,0)</f>
        <v>168.55</v>
      </c>
      <c r="Z2218" s="3">
        <f t="shared" si="69"/>
        <v>2191.15</v>
      </c>
    </row>
    <row r="2219" spans="1:26" x14ac:dyDescent="0.3">
      <c r="A2219" s="7" t="s">
        <v>21</v>
      </c>
      <c r="B2219" t="s">
        <v>866</v>
      </c>
      <c r="C2219" t="s">
        <v>867</v>
      </c>
      <c r="D2219" t="s">
        <v>868</v>
      </c>
      <c r="E2219" t="s">
        <v>869</v>
      </c>
      <c r="F2219" t="s">
        <v>26</v>
      </c>
      <c r="G2219">
        <v>3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3</v>
      </c>
      <c r="T2219">
        <v>0</v>
      </c>
      <c r="U2219" t="s">
        <v>59</v>
      </c>
      <c r="W2219" s="2">
        <v>168.55</v>
      </c>
      <c r="X2219" s="3">
        <f t="shared" si="68"/>
        <v>505.65000000000003</v>
      </c>
      <c r="Y2219">
        <f>VLOOKUP(D2219,'[1]Cost Sheet'!$C:$D,2,0)</f>
        <v>168.55</v>
      </c>
      <c r="Z2219" s="3">
        <f t="shared" si="69"/>
        <v>505.65000000000003</v>
      </c>
    </row>
    <row r="2220" spans="1:26" x14ac:dyDescent="0.3">
      <c r="A2220" s="7" t="s">
        <v>21</v>
      </c>
      <c r="B2220" t="s">
        <v>870</v>
      </c>
      <c r="C2220" t="s">
        <v>871</v>
      </c>
      <c r="D2220" t="s">
        <v>872</v>
      </c>
      <c r="E2220" t="s">
        <v>873</v>
      </c>
      <c r="F2220" t="s">
        <v>26</v>
      </c>
      <c r="G2220">
        <v>2157</v>
      </c>
      <c r="H2220">
        <v>1</v>
      </c>
      <c r="I2220">
        <v>0</v>
      </c>
      <c r="J2220">
        <v>-5</v>
      </c>
      <c r="K2220">
        <v>0</v>
      </c>
      <c r="L2220">
        <v>0</v>
      </c>
      <c r="M2220">
        <v>-1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2151</v>
      </c>
      <c r="T2220">
        <v>0</v>
      </c>
      <c r="U2220" t="s">
        <v>38</v>
      </c>
      <c r="W2220" s="2">
        <v>87.59</v>
      </c>
      <c r="X2220" s="3">
        <f t="shared" si="68"/>
        <v>188406.09</v>
      </c>
      <c r="Y2220">
        <f>VLOOKUP(D2220,'[1]Cost Sheet'!$C:$D,2,0)</f>
        <v>87.59</v>
      </c>
      <c r="Z2220" s="3">
        <f t="shared" si="69"/>
        <v>188406.09</v>
      </c>
    </row>
    <row r="2221" spans="1:26" x14ac:dyDescent="0.3">
      <c r="A2221" s="7" t="s">
        <v>21</v>
      </c>
      <c r="B2221" t="s">
        <v>870</v>
      </c>
      <c r="C2221" t="s">
        <v>871</v>
      </c>
      <c r="D2221" t="s">
        <v>872</v>
      </c>
      <c r="E2221" t="s">
        <v>873</v>
      </c>
      <c r="F2221" t="s">
        <v>26</v>
      </c>
      <c r="G2221">
        <v>205</v>
      </c>
      <c r="H2221">
        <v>0</v>
      </c>
      <c r="I2221">
        <v>0</v>
      </c>
      <c r="J2221">
        <v>-2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203</v>
      </c>
      <c r="T2221">
        <v>0</v>
      </c>
      <c r="U2221" t="s">
        <v>107</v>
      </c>
      <c r="W2221" s="2">
        <v>87.59</v>
      </c>
      <c r="X2221" s="3">
        <f t="shared" si="68"/>
        <v>17780.77</v>
      </c>
      <c r="Y2221">
        <f>VLOOKUP(D2221,'[1]Cost Sheet'!$C:$D,2,0)</f>
        <v>87.59</v>
      </c>
      <c r="Z2221" s="3">
        <f t="shared" si="69"/>
        <v>17780.77</v>
      </c>
    </row>
    <row r="2222" spans="1:26" x14ac:dyDescent="0.3">
      <c r="A2222" s="7" t="s">
        <v>21</v>
      </c>
      <c r="B2222" t="s">
        <v>870</v>
      </c>
      <c r="C2222" t="s">
        <v>871</v>
      </c>
      <c r="D2222" t="s">
        <v>872</v>
      </c>
      <c r="E2222" t="s">
        <v>873</v>
      </c>
      <c r="F2222" t="s">
        <v>26</v>
      </c>
      <c r="G2222">
        <v>1</v>
      </c>
      <c r="H2222">
        <v>0</v>
      </c>
      <c r="I2222">
        <v>0</v>
      </c>
      <c r="J2222">
        <v>-1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 t="s">
        <v>45</v>
      </c>
      <c r="W2222" s="2">
        <v>87.59</v>
      </c>
      <c r="X2222" s="3">
        <f t="shared" si="68"/>
        <v>87.59</v>
      </c>
      <c r="Y2222">
        <f>VLOOKUP(D2222,'[1]Cost Sheet'!$C:$D,2,0)</f>
        <v>87.59</v>
      </c>
      <c r="Z2222" s="3">
        <f t="shared" si="69"/>
        <v>87.59</v>
      </c>
    </row>
    <row r="2223" spans="1:26" x14ac:dyDescent="0.3">
      <c r="A2223" s="7" t="s">
        <v>21</v>
      </c>
      <c r="B2223" t="s">
        <v>870</v>
      </c>
      <c r="C2223" t="s">
        <v>871</v>
      </c>
      <c r="D2223" t="s">
        <v>872</v>
      </c>
      <c r="E2223" t="s">
        <v>873</v>
      </c>
      <c r="F2223" t="s">
        <v>26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-1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s">
        <v>108</v>
      </c>
      <c r="W2223" s="2">
        <v>87.59</v>
      </c>
      <c r="X2223" s="3">
        <f t="shared" si="68"/>
        <v>0</v>
      </c>
      <c r="Y2223">
        <f>VLOOKUP(D2223,'[1]Cost Sheet'!$C:$D,2,0)</f>
        <v>87.59</v>
      </c>
      <c r="Z2223" s="3">
        <f t="shared" si="69"/>
        <v>0</v>
      </c>
    </row>
    <row r="2224" spans="1:26" x14ac:dyDescent="0.3">
      <c r="A2224" s="7" t="s">
        <v>21</v>
      </c>
      <c r="B2224" t="s">
        <v>870</v>
      </c>
      <c r="C2224" t="s">
        <v>871</v>
      </c>
      <c r="D2224" t="s">
        <v>872</v>
      </c>
      <c r="E2224" t="s">
        <v>873</v>
      </c>
      <c r="F2224" t="s">
        <v>26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2</v>
      </c>
      <c r="T2224">
        <v>0</v>
      </c>
      <c r="U2224" t="s">
        <v>39</v>
      </c>
      <c r="W2224" s="2">
        <v>87.59</v>
      </c>
      <c r="X2224" s="3">
        <f t="shared" si="68"/>
        <v>175.18</v>
      </c>
      <c r="Y2224">
        <f>VLOOKUP(D2224,'[1]Cost Sheet'!$C:$D,2,0)</f>
        <v>87.59</v>
      </c>
      <c r="Z2224" s="3">
        <f t="shared" si="69"/>
        <v>175.18</v>
      </c>
    </row>
    <row r="2225" spans="1:26" x14ac:dyDescent="0.3">
      <c r="A2225" s="7" t="s">
        <v>21</v>
      </c>
      <c r="B2225" t="s">
        <v>870</v>
      </c>
      <c r="C2225" t="s">
        <v>871</v>
      </c>
      <c r="D2225" t="s">
        <v>872</v>
      </c>
      <c r="E2225" t="s">
        <v>873</v>
      </c>
      <c r="F2225" t="s">
        <v>26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0</v>
      </c>
      <c r="U2225" t="s">
        <v>53</v>
      </c>
      <c r="W2225" s="2">
        <v>87.59</v>
      </c>
      <c r="X2225" s="3">
        <f t="shared" si="68"/>
        <v>87.59</v>
      </c>
      <c r="Y2225">
        <f>VLOOKUP(D2225,'[1]Cost Sheet'!$C:$D,2,0)</f>
        <v>87.59</v>
      </c>
      <c r="Z2225" s="3">
        <f t="shared" si="69"/>
        <v>87.59</v>
      </c>
    </row>
    <row r="2226" spans="1:26" x14ac:dyDescent="0.3">
      <c r="A2226" s="7" t="s">
        <v>21</v>
      </c>
      <c r="B2226" t="s">
        <v>870</v>
      </c>
      <c r="C2226" t="s">
        <v>871</v>
      </c>
      <c r="D2226" t="s">
        <v>872</v>
      </c>
      <c r="E2226" t="s">
        <v>873</v>
      </c>
      <c r="F2226" t="s">
        <v>26</v>
      </c>
      <c r="G2226">
        <v>64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64</v>
      </c>
      <c r="T2226">
        <v>0</v>
      </c>
      <c r="U2226" t="s">
        <v>54</v>
      </c>
      <c r="W2226" s="2">
        <v>87.59</v>
      </c>
      <c r="X2226" s="3">
        <f t="shared" si="68"/>
        <v>5605.76</v>
      </c>
      <c r="Y2226">
        <f>VLOOKUP(D2226,'[1]Cost Sheet'!$C:$D,2,0)</f>
        <v>87.59</v>
      </c>
      <c r="Z2226" s="3">
        <f t="shared" si="69"/>
        <v>5605.76</v>
      </c>
    </row>
    <row r="2227" spans="1:26" x14ac:dyDescent="0.3">
      <c r="A2227" s="7" t="s">
        <v>21</v>
      </c>
      <c r="B2227" t="s">
        <v>870</v>
      </c>
      <c r="C2227" t="s">
        <v>871</v>
      </c>
      <c r="D2227" t="s">
        <v>872</v>
      </c>
      <c r="E2227" t="s">
        <v>873</v>
      </c>
      <c r="F2227" t="s">
        <v>26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0</v>
      </c>
      <c r="M2227">
        <v>-1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s">
        <v>88</v>
      </c>
      <c r="W2227" s="2">
        <v>87.59</v>
      </c>
      <c r="X2227" s="3">
        <f t="shared" si="68"/>
        <v>0</v>
      </c>
      <c r="Y2227">
        <f>VLOOKUP(D2227,'[1]Cost Sheet'!$C:$D,2,0)</f>
        <v>87.59</v>
      </c>
      <c r="Z2227" s="3">
        <f t="shared" si="69"/>
        <v>0</v>
      </c>
    </row>
    <row r="2228" spans="1:26" x14ac:dyDescent="0.3">
      <c r="A2228" s="7" t="s">
        <v>21</v>
      </c>
      <c r="B2228" t="s">
        <v>870</v>
      </c>
      <c r="C2228" t="s">
        <v>871</v>
      </c>
      <c r="D2228" t="s">
        <v>872</v>
      </c>
      <c r="E2228" t="s">
        <v>873</v>
      </c>
      <c r="F2228" t="s">
        <v>26</v>
      </c>
      <c r="G2228">
        <v>3</v>
      </c>
      <c r="H2228">
        <v>0</v>
      </c>
      <c r="I2228">
        <v>0</v>
      </c>
      <c r="J2228">
        <v>-2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</v>
      </c>
      <c r="T2228">
        <v>0</v>
      </c>
      <c r="U2228" t="s">
        <v>46</v>
      </c>
      <c r="W2228" s="2">
        <v>87.59</v>
      </c>
      <c r="X2228" s="3">
        <f t="shared" si="68"/>
        <v>175.18</v>
      </c>
      <c r="Y2228">
        <f>VLOOKUP(D2228,'[1]Cost Sheet'!$C:$D,2,0)</f>
        <v>87.59</v>
      </c>
      <c r="Z2228" s="3">
        <f t="shared" si="69"/>
        <v>175.18</v>
      </c>
    </row>
    <row r="2229" spans="1:26" x14ac:dyDescent="0.3">
      <c r="A2229" s="7" t="s">
        <v>21</v>
      </c>
      <c r="B2229" t="s">
        <v>870</v>
      </c>
      <c r="C2229" t="s">
        <v>871</v>
      </c>
      <c r="D2229" t="s">
        <v>872</v>
      </c>
      <c r="E2229" t="s">
        <v>873</v>
      </c>
      <c r="F2229" t="s">
        <v>26</v>
      </c>
      <c r="G2229">
        <v>1</v>
      </c>
      <c r="H2229">
        <v>0</v>
      </c>
      <c r="I2229">
        <v>0</v>
      </c>
      <c r="J2229">
        <v>-1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s">
        <v>111</v>
      </c>
      <c r="W2229" s="2">
        <v>87.59</v>
      </c>
      <c r="X2229" s="3">
        <f t="shared" si="68"/>
        <v>0</v>
      </c>
      <c r="Y2229">
        <f>VLOOKUP(D2229,'[1]Cost Sheet'!$C:$D,2,0)</f>
        <v>87.59</v>
      </c>
      <c r="Z2229" s="3">
        <f t="shared" si="69"/>
        <v>0</v>
      </c>
    </row>
    <row r="2230" spans="1:26" x14ac:dyDescent="0.3">
      <c r="A2230" s="7" t="s">
        <v>21</v>
      </c>
      <c r="B2230" t="s">
        <v>870</v>
      </c>
      <c r="C2230" t="s">
        <v>871</v>
      </c>
      <c r="D2230" t="s">
        <v>872</v>
      </c>
      <c r="E2230" t="s">
        <v>873</v>
      </c>
      <c r="F2230" t="s">
        <v>26</v>
      </c>
      <c r="G2230">
        <v>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6</v>
      </c>
      <c r="T2230">
        <v>0</v>
      </c>
      <c r="U2230" t="s">
        <v>47</v>
      </c>
      <c r="W2230" s="2">
        <v>87.59</v>
      </c>
      <c r="X2230" s="3">
        <f t="shared" si="68"/>
        <v>525.54</v>
      </c>
      <c r="Y2230">
        <f>VLOOKUP(D2230,'[1]Cost Sheet'!$C:$D,2,0)</f>
        <v>87.59</v>
      </c>
      <c r="Z2230" s="3">
        <f t="shared" si="69"/>
        <v>525.54</v>
      </c>
    </row>
    <row r="2231" spans="1:26" x14ac:dyDescent="0.3">
      <c r="A2231" s="7" t="s">
        <v>21</v>
      </c>
      <c r="B2231" t="s">
        <v>870</v>
      </c>
      <c r="C2231" t="s">
        <v>871</v>
      </c>
      <c r="D2231" t="s">
        <v>872</v>
      </c>
      <c r="E2231" t="s">
        <v>873</v>
      </c>
      <c r="F2231" t="s">
        <v>26</v>
      </c>
      <c r="G2231">
        <v>128</v>
      </c>
      <c r="H2231">
        <v>0</v>
      </c>
      <c r="I2231">
        <v>0</v>
      </c>
      <c r="J2231">
        <v>-8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120</v>
      </c>
      <c r="T2231">
        <v>0</v>
      </c>
      <c r="U2231" t="s">
        <v>40</v>
      </c>
      <c r="W2231" s="2">
        <v>87.59</v>
      </c>
      <c r="X2231" s="3">
        <f t="shared" si="68"/>
        <v>10510.800000000001</v>
      </c>
      <c r="Y2231">
        <f>VLOOKUP(D2231,'[1]Cost Sheet'!$C:$D,2,0)</f>
        <v>87.59</v>
      </c>
      <c r="Z2231" s="3">
        <f t="shared" si="69"/>
        <v>10510.800000000001</v>
      </c>
    </row>
    <row r="2232" spans="1:26" x14ac:dyDescent="0.3">
      <c r="A2232" s="7" t="s">
        <v>21</v>
      </c>
      <c r="B2232" t="s">
        <v>870</v>
      </c>
      <c r="C2232" t="s">
        <v>871</v>
      </c>
      <c r="D2232" t="s">
        <v>872</v>
      </c>
      <c r="E2232" t="s">
        <v>873</v>
      </c>
      <c r="F2232" t="s">
        <v>26</v>
      </c>
      <c r="G2232">
        <v>9</v>
      </c>
      <c r="H2232">
        <v>0</v>
      </c>
      <c r="I2232">
        <v>0</v>
      </c>
      <c r="J2232">
        <v>-1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8</v>
      </c>
      <c r="T2232">
        <v>0</v>
      </c>
      <c r="U2232" t="s">
        <v>113</v>
      </c>
      <c r="W2232" s="2">
        <v>87.59</v>
      </c>
      <c r="X2232" s="3">
        <f t="shared" si="68"/>
        <v>700.72</v>
      </c>
      <c r="Y2232">
        <f>VLOOKUP(D2232,'[1]Cost Sheet'!$C:$D,2,0)</f>
        <v>87.59</v>
      </c>
      <c r="Z2232" s="3">
        <f t="shared" si="69"/>
        <v>700.72</v>
      </c>
    </row>
    <row r="2233" spans="1:26" x14ac:dyDescent="0.3">
      <c r="A2233" s="7" t="s">
        <v>21</v>
      </c>
      <c r="B2233" t="s">
        <v>870</v>
      </c>
      <c r="C2233" t="s">
        <v>871</v>
      </c>
      <c r="D2233" t="s">
        <v>872</v>
      </c>
      <c r="E2233" t="s">
        <v>873</v>
      </c>
      <c r="F2233" t="s">
        <v>26</v>
      </c>
      <c r="G2233">
        <v>21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21</v>
      </c>
      <c r="T2233">
        <v>0</v>
      </c>
      <c r="U2233" t="s">
        <v>48</v>
      </c>
      <c r="W2233" s="2">
        <v>87.59</v>
      </c>
      <c r="X2233" s="3">
        <f t="shared" si="68"/>
        <v>1839.39</v>
      </c>
      <c r="Y2233">
        <f>VLOOKUP(D2233,'[1]Cost Sheet'!$C:$D,2,0)</f>
        <v>87.59</v>
      </c>
      <c r="Z2233" s="3">
        <f t="shared" si="69"/>
        <v>1839.39</v>
      </c>
    </row>
    <row r="2234" spans="1:26" x14ac:dyDescent="0.3">
      <c r="A2234" s="7" t="s">
        <v>21</v>
      </c>
      <c r="B2234" t="s">
        <v>870</v>
      </c>
      <c r="C2234" t="s">
        <v>871</v>
      </c>
      <c r="D2234" t="s">
        <v>872</v>
      </c>
      <c r="E2234" t="s">
        <v>873</v>
      </c>
      <c r="F2234" t="s">
        <v>26</v>
      </c>
      <c r="G2234">
        <v>79</v>
      </c>
      <c r="H2234">
        <v>0</v>
      </c>
      <c r="I2234">
        <v>0</v>
      </c>
      <c r="J2234">
        <v>-2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77</v>
      </c>
      <c r="T2234">
        <v>0</v>
      </c>
      <c r="U2234" t="s">
        <v>59</v>
      </c>
      <c r="W2234" s="2">
        <v>87.59</v>
      </c>
      <c r="X2234" s="3">
        <f t="shared" si="68"/>
        <v>6744.43</v>
      </c>
      <c r="Y2234">
        <f>VLOOKUP(D2234,'[1]Cost Sheet'!$C:$D,2,0)</f>
        <v>87.59</v>
      </c>
      <c r="Z2234" s="3">
        <f t="shared" si="69"/>
        <v>6744.43</v>
      </c>
    </row>
    <row r="2235" spans="1:26" x14ac:dyDescent="0.3">
      <c r="A2235" s="7" t="s">
        <v>21</v>
      </c>
      <c r="B2235" t="s">
        <v>870</v>
      </c>
      <c r="C2235" t="s">
        <v>871</v>
      </c>
      <c r="D2235" t="s">
        <v>872</v>
      </c>
      <c r="E2235" t="s">
        <v>873</v>
      </c>
      <c r="F2235" t="s">
        <v>114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 t="s">
        <v>88</v>
      </c>
      <c r="W2235" s="2">
        <v>87.59</v>
      </c>
      <c r="X2235" s="3">
        <f t="shared" si="68"/>
        <v>87.59</v>
      </c>
      <c r="Y2235">
        <f>VLOOKUP(D2235,'[1]Cost Sheet'!$C:$D,2,0)</f>
        <v>87.59</v>
      </c>
      <c r="Z2235" s="3">
        <f t="shared" si="69"/>
        <v>87.59</v>
      </c>
    </row>
    <row r="2236" spans="1:26" x14ac:dyDescent="0.3">
      <c r="A2236" s="7" t="s">
        <v>21</v>
      </c>
      <c r="B2236" t="s">
        <v>874</v>
      </c>
      <c r="C2236" t="s">
        <v>875</v>
      </c>
      <c r="D2236" t="s">
        <v>876</v>
      </c>
      <c r="E2236" t="s">
        <v>877</v>
      </c>
      <c r="F2236" t="s">
        <v>125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 t="s">
        <v>151</v>
      </c>
      <c r="W2236" s="2">
        <v>85.96</v>
      </c>
      <c r="X2236" s="3">
        <f t="shared" si="68"/>
        <v>85.96</v>
      </c>
      <c r="Y2236">
        <f>VLOOKUP(D2236,'[1]Cost Sheet'!$C:$D,2,0)</f>
        <v>85.96</v>
      </c>
      <c r="Z2236" s="3">
        <f t="shared" si="69"/>
        <v>85.96</v>
      </c>
    </row>
    <row r="2237" spans="1:26" x14ac:dyDescent="0.3">
      <c r="A2237" s="7" t="s">
        <v>21</v>
      </c>
      <c r="B2237" t="s">
        <v>874</v>
      </c>
      <c r="C2237" t="s">
        <v>875</v>
      </c>
      <c r="D2237" t="s">
        <v>876</v>
      </c>
      <c r="E2237" t="s">
        <v>877</v>
      </c>
      <c r="F2237" t="s">
        <v>125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 t="s">
        <v>108</v>
      </c>
      <c r="W2237" s="2">
        <v>85.96</v>
      </c>
      <c r="X2237" s="3">
        <f t="shared" si="68"/>
        <v>85.96</v>
      </c>
      <c r="Y2237">
        <f>VLOOKUP(D2237,'[1]Cost Sheet'!$C:$D,2,0)</f>
        <v>85.96</v>
      </c>
      <c r="Z2237" s="3">
        <f t="shared" si="69"/>
        <v>85.96</v>
      </c>
    </row>
    <row r="2238" spans="1:26" x14ac:dyDescent="0.3">
      <c r="A2238" s="7" t="s">
        <v>21</v>
      </c>
      <c r="B2238" t="s">
        <v>874</v>
      </c>
      <c r="C2238" t="s">
        <v>875</v>
      </c>
      <c r="D2238" t="s">
        <v>876</v>
      </c>
      <c r="E2238" t="s">
        <v>877</v>
      </c>
      <c r="F2238" t="s">
        <v>125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 t="s">
        <v>88</v>
      </c>
      <c r="W2238" s="2">
        <v>85.96</v>
      </c>
      <c r="X2238" s="3">
        <f t="shared" si="68"/>
        <v>85.96</v>
      </c>
      <c r="Y2238">
        <f>VLOOKUP(D2238,'[1]Cost Sheet'!$C:$D,2,0)</f>
        <v>85.96</v>
      </c>
      <c r="Z2238" s="3">
        <f t="shared" si="69"/>
        <v>85.96</v>
      </c>
    </row>
    <row r="2239" spans="1:26" x14ac:dyDescent="0.3">
      <c r="A2239" s="7" t="s">
        <v>21</v>
      </c>
      <c r="B2239" t="s">
        <v>874</v>
      </c>
      <c r="C2239" t="s">
        <v>875</v>
      </c>
      <c r="D2239" t="s">
        <v>876</v>
      </c>
      <c r="E2239" t="s">
        <v>877</v>
      </c>
      <c r="F2239" t="s">
        <v>169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 t="s">
        <v>108</v>
      </c>
      <c r="W2239" s="2">
        <v>85.96</v>
      </c>
      <c r="X2239" s="3">
        <f t="shared" si="68"/>
        <v>85.96</v>
      </c>
      <c r="Y2239">
        <f>VLOOKUP(D2239,'[1]Cost Sheet'!$C:$D,2,0)</f>
        <v>85.96</v>
      </c>
      <c r="Z2239" s="3">
        <f t="shared" si="69"/>
        <v>85.96</v>
      </c>
    </row>
    <row r="2240" spans="1:26" x14ac:dyDescent="0.3">
      <c r="A2240" s="7" t="s">
        <v>21</v>
      </c>
      <c r="B2240" t="s">
        <v>874</v>
      </c>
      <c r="C2240" t="s">
        <v>875</v>
      </c>
      <c r="D2240" t="s">
        <v>876</v>
      </c>
      <c r="E2240" t="s">
        <v>877</v>
      </c>
      <c r="F2240" t="s">
        <v>106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 t="s">
        <v>38</v>
      </c>
      <c r="W2240" s="2">
        <v>85.96</v>
      </c>
      <c r="X2240" s="3">
        <f t="shared" si="68"/>
        <v>85.96</v>
      </c>
      <c r="Y2240">
        <f>VLOOKUP(D2240,'[1]Cost Sheet'!$C:$D,2,0)</f>
        <v>85.96</v>
      </c>
      <c r="Z2240" s="3">
        <f t="shared" si="69"/>
        <v>85.96</v>
      </c>
    </row>
    <row r="2241" spans="1:26" x14ac:dyDescent="0.3">
      <c r="A2241" s="7" t="s">
        <v>21</v>
      </c>
      <c r="B2241" t="s">
        <v>874</v>
      </c>
      <c r="C2241" t="s">
        <v>875</v>
      </c>
      <c r="D2241" t="s">
        <v>876</v>
      </c>
      <c r="E2241" t="s">
        <v>877</v>
      </c>
      <c r="F2241" t="s">
        <v>106</v>
      </c>
      <c r="G2241">
        <v>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3</v>
      </c>
      <c r="T2241">
        <v>0</v>
      </c>
      <c r="U2241" t="s">
        <v>107</v>
      </c>
      <c r="W2241" s="2">
        <v>85.96</v>
      </c>
      <c r="X2241" s="3">
        <f t="shared" si="68"/>
        <v>257.88</v>
      </c>
      <c r="Y2241">
        <f>VLOOKUP(D2241,'[1]Cost Sheet'!$C:$D,2,0)</f>
        <v>85.96</v>
      </c>
      <c r="Z2241" s="3">
        <f t="shared" si="69"/>
        <v>257.88</v>
      </c>
    </row>
    <row r="2242" spans="1:26" x14ac:dyDescent="0.3">
      <c r="A2242" s="7" t="s">
        <v>21</v>
      </c>
      <c r="B2242" t="s">
        <v>874</v>
      </c>
      <c r="C2242" t="s">
        <v>875</v>
      </c>
      <c r="D2242" t="s">
        <v>876</v>
      </c>
      <c r="E2242" t="s">
        <v>877</v>
      </c>
      <c r="F2242" t="s">
        <v>106</v>
      </c>
      <c r="G2242">
        <v>15</v>
      </c>
      <c r="H2242">
        <v>0</v>
      </c>
      <c r="I2242">
        <v>0</v>
      </c>
      <c r="J2242">
        <v>0</v>
      </c>
      <c r="K2242">
        <v>0</v>
      </c>
      <c r="L2242">
        <v>-1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14</v>
      </c>
      <c r="T2242">
        <v>0</v>
      </c>
      <c r="U2242" t="s">
        <v>45</v>
      </c>
      <c r="W2242" s="2">
        <v>85.96</v>
      </c>
      <c r="X2242" s="3">
        <f t="shared" si="68"/>
        <v>1203.4399999999998</v>
      </c>
      <c r="Y2242">
        <f>VLOOKUP(D2242,'[1]Cost Sheet'!$C:$D,2,0)</f>
        <v>85.96</v>
      </c>
      <c r="Z2242" s="3">
        <f t="shared" si="69"/>
        <v>1203.4399999999998</v>
      </c>
    </row>
    <row r="2243" spans="1:26" x14ac:dyDescent="0.3">
      <c r="A2243" s="7" t="s">
        <v>21</v>
      </c>
      <c r="B2243" t="s">
        <v>874</v>
      </c>
      <c r="C2243" t="s">
        <v>875</v>
      </c>
      <c r="D2243" t="s">
        <v>876</v>
      </c>
      <c r="E2243" t="s">
        <v>877</v>
      </c>
      <c r="F2243" t="s">
        <v>106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 t="s">
        <v>53</v>
      </c>
      <c r="W2243" s="2">
        <v>85.96</v>
      </c>
      <c r="X2243" s="3">
        <f t="shared" ref="X2243:X2306" si="70">S2243*W2243</f>
        <v>85.96</v>
      </c>
      <c r="Y2243">
        <f>VLOOKUP(D2243,'[1]Cost Sheet'!$C:$D,2,0)</f>
        <v>85.96</v>
      </c>
      <c r="Z2243" s="3">
        <f t="shared" ref="Z2243:Z2306" si="71">Y2243*S2243</f>
        <v>85.96</v>
      </c>
    </row>
    <row r="2244" spans="1:26" x14ac:dyDescent="0.3">
      <c r="A2244" s="7" t="s">
        <v>21</v>
      </c>
      <c r="B2244" t="s">
        <v>874</v>
      </c>
      <c r="C2244" t="s">
        <v>875</v>
      </c>
      <c r="D2244" t="s">
        <v>876</v>
      </c>
      <c r="E2244" t="s">
        <v>877</v>
      </c>
      <c r="F2244" t="s">
        <v>106</v>
      </c>
      <c r="G2244">
        <v>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6</v>
      </c>
      <c r="T2244">
        <v>0</v>
      </c>
      <c r="U2244" t="s">
        <v>88</v>
      </c>
      <c r="W2244" s="2">
        <v>85.96</v>
      </c>
      <c r="X2244" s="3">
        <f t="shared" si="70"/>
        <v>515.76</v>
      </c>
      <c r="Y2244">
        <f>VLOOKUP(D2244,'[1]Cost Sheet'!$C:$D,2,0)</f>
        <v>85.96</v>
      </c>
      <c r="Z2244" s="3">
        <f t="shared" si="71"/>
        <v>515.76</v>
      </c>
    </row>
    <row r="2245" spans="1:26" x14ac:dyDescent="0.3">
      <c r="A2245" s="7" t="s">
        <v>21</v>
      </c>
      <c r="B2245" t="s">
        <v>874</v>
      </c>
      <c r="C2245" t="s">
        <v>875</v>
      </c>
      <c r="D2245" t="s">
        <v>876</v>
      </c>
      <c r="E2245" t="s">
        <v>877</v>
      </c>
      <c r="F2245" t="s">
        <v>106</v>
      </c>
      <c r="G2245">
        <v>2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2</v>
      </c>
      <c r="T2245">
        <v>0</v>
      </c>
      <c r="U2245" t="s">
        <v>33</v>
      </c>
      <c r="W2245" s="2">
        <v>85.96</v>
      </c>
      <c r="X2245" s="3">
        <f t="shared" si="70"/>
        <v>171.92</v>
      </c>
      <c r="Y2245">
        <f>VLOOKUP(D2245,'[1]Cost Sheet'!$C:$D,2,0)</f>
        <v>85.96</v>
      </c>
      <c r="Z2245" s="3">
        <f t="shared" si="71"/>
        <v>171.92</v>
      </c>
    </row>
    <row r="2246" spans="1:26" x14ac:dyDescent="0.3">
      <c r="A2246" s="7" t="s">
        <v>21</v>
      </c>
      <c r="B2246" t="s">
        <v>874</v>
      </c>
      <c r="C2246" t="s">
        <v>875</v>
      </c>
      <c r="D2246" t="s">
        <v>876</v>
      </c>
      <c r="E2246" t="s">
        <v>877</v>
      </c>
      <c r="F2246" t="s">
        <v>106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 t="s">
        <v>46</v>
      </c>
      <c r="W2246" s="2">
        <v>85.96</v>
      </c>
      <c r="X2246" s="3">
        <f t="shared" si="70"/>
        <v>85.96</v>
      </c>
      <c r="Y2246">
        <f>VLOOKUP(D2246,'[1]Cost Sheet'!$C:$D,2,0)</f>
        <v>85.96</v>
      </c>
      <c r="Z2246" s="3">
        <f t="shared" si="71"/>
        <v>85.96</v>
      </c>
    </row>
    <row r="2247" spans="1:26" x14ac:dyDescent="0.3">
      <c r="A2247" s="7" t="s">
        <v>21</v>
      </c>
      <c r="B2247" t="s">
        <v>874</v>
      </c>
      <c r="C2247" t="s">
        <v>875</v>
      </c>
      <c r="D2247" t="s">
        <v>876</v>
      </c>
      <c r="E2247" t="s">
        <v>877</v>
      </c>
      <c r="F2247" t="s">
        <v>106</v>
      </c>
      <c r="G2247">
        <v>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4</v>
      </c>
      <c r="T2247">
        <v>0</v>
      </c>
      <c r="U2247" t="s">
        <v>47</v>
      </c>
      <c r="W2247" s="2">
        <v>85.96</v>
      </c>
      <c r="X2247" s="3">
        <f t="shared" si="70"/>
        <v>343.84</v>
      </c>
      <c r="Y2247">
        <f>VLOOKUP(D2247,'[1]Cost Sheet'!$C:$D,2,0)</f>
        <v>85.96</v>
      </c>
      <c r="Z2247" s="3">
        <f t="shared" si="71"/>
        <v>343.84</v>
      </c>
    </row>
    <row r="2248" spans="1:26" x14ac:dyDescent="0.3">
      <c r="A2248" s="7" t="s">
        <v>21</v>
      </c>
      <c r="B2248" t="s">
        <v>874</v>
      </c>
      <c r="C2248" t="s">
        <v>875</v>
      </c>
      <c r="D2248" t="s">
        <v>876</v>
      </c>
      <c r="E2248" t="s">
        <v>877</v>
      </c>
      <c r="F2248" t="s">
        <v>106</v>
      </c>
      <c r="G2248">
        <v>10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10</v>
      </c>
      <c r="T2248">
        <v>0</v>
      </c>
      <c r="U2248" t="s">
        <v>40</v>
      </c>
      <c r="W2248" s="2">
        <v>85.96</v>
      </c>
      <c r="X2248" s="3">
        <f t="shared" si="70"/>
        <v>859.59999999999991</v>
      </c>
      <c r="Y2248">
        <f>VLOOKUP(D2248,'[1]Cost Sheet'!$C:$D,2,0)</f>
        <v>85.96</v>
      </c>
      <c r="Z2248" s="3">
        <f t="shared" si="71"/>
        <v>859.59999999999991</v>
      </c>
    </row>
    <row r="2249" spans="1:26" x14ac:dyDescent="0.3">
      <c r="A2249" s="7" t="s">
        <v>21</v>
      </c>
      <c r="B2249" t="s">
        <v>874</v>
      </c>
      <c r="C2249" t="s">
        <v>875</v>
      </c>
      <c r="D2249" t="s">
        <v>876</v>
      </c>
      <c r="E2249" t="s">
        <v>877</v>
      </c>
      <c r="F2249" t="s">
        <v>106</v>
      </c>
      <c r="G2249">
        <v>10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11</v>
      </c>
      <c r="T2249">
        <v>0</v>
      </c>
      <c r="U2249" t="s">
        <v>48</v>
      </c>
      <c r="W2249" s="2">
        <v>85.96</v>
      </c>
      <c r="X2249" s="3">
        <f t="shared" si="70"/>
        <v>945.56</v>
      </c>
      <c r="Y2249">
        <f>VLOOKUP(D2249,'[1]Cost Sheet'!$C:$D,2,0)</f>
        <v>85.96</v>
      </c>
      <c r="Z2249" s="3">
        <f t="shared" si="71"/>
        <v>945.56</v>
      </c>
    </row>
    <row r="2250" spans="1:26" x14ac:dyDescent="0.3">
      <c r="A2250" s="7" t="s">
        <v>21</v>
      </c>
      <c r="B2250" t="s">
        <v>874</v>
      </c>
      <c r="C2250" t="s">
        <v>875</v>
      </c>
      <c r="D2250" t="s">
        <v>876</v>
      </c>
      <c r="E2250" t="s">
        <v>877</v>
      </c>
      <c r="F2250" t="s">
        <v>26</v>
      </c>
      <c r="G2250">
        <v>292</v>
      </c>
      <c r="H2250">
        <v>0</v>
      </c>
      <c r="I2250">
        <v>0</v>
      </c>
      <c r="J2250">
        <v>-2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290</v>
      </c>
      <c r="T2250">
        <v>0</v>
      </c>
      <c r="U2250" t="s">
        <v>38</v>
      </c>
      <c r="W2250" s="2">
        <v>85.96</v>
      </c>
      <c r="X2250" s="3">
        <f t="shared" si="70"/>
        <v>24928.399999999998</v>
      </c>
      <c r="Y2250">
        <f>VLOOKUP(D2250,'[1]Cost Sheet'!$C:$D,2,0)</f>
        <v>85.96</v>
      </c>
      <c r="Z2250" s="3">
        <f t="shared" si="71"/>
        <v>24928.399999999998</v>
      </c>
    </row>
    <row r="2251" spans="1:26" x14ac:dyDescent="0.3">
      <c r="A2251" s="7" t="s">
        <v>21</v>
      </c>
      <c r="B2251" t="s">
        <v>874</v>
      </c>
      <c r="C2251" t="s">
        <v>875</v>
      </c>
      <c r="D2251" t="s">
        <v>876</v>
      </c>
      <c r="E2251" t="s">
        <v>877</v>
      </c>
      <c r="F2251" t="s">
        <v>26</v>
      </c>
      <c r="G2251">
        <v>138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138</v>
      </c>
      <c r="T2251">
        <v>0</v>
      </c>
      <c r="U2251" t="s">
        <v>107</v>
      </c>
      <c r="W2251" s="2">
        <v>85.96</v>
      </c>
      <c r="X2251" s="3">
        <f t="shared" si="70"/>
        <v>11862.48</v>
      </c>
      <c r="Y2251">
        <f>VLOOKUP(D2251,'[1]Cost Sheet'!$C:$D,2,0)</f>
        <v>85.96</v>
      </c>
      <c r="Z2251" s="3">
        <f t="shared" si="71"/>
        <v>11862.48</v>
      </c>
    </row>
    <row r="2252" spans="1:26" x14ac:dyDescent="0.3">
      <c r="A2252" s="7" t="s">
        <v>21</v>
      </c>
      <c r="B2252" t="s">
        <v>874</v>
      </c>
      <c r="C2252" t="s">
        <v>875</v>
      </c>
      <c r="D2252" t="s">
        <v>876</v>
      </c>
      <c r="E2252" t="s">
        <v>877</v>
      </c>
      <c r="F2252" t="s">
        <v>26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 t="s">
        <v>151</v>
      </c>
      <c r="W2252" s="2">
        <v>85.96</v>
      </c>
      <c r="X2252" s="3">
        <f t="shared" si="70"/>
        <v>85.96</v>
      </c>
      <c r="Y2252">
        <f>VLOOKUP(D2252,'[1]Cost Sheet'!$C:$D,2,0)</f>
        <v>85.96</v>
      </c>
      <c r="Z2252" s="3">
        <f t="shared" si="71"/>
        <v>85.96</v>
      </c>
    </row>
    <row r="2253" spans="1:26" x14ac:dyDescent="0.3">
      <c r="A2253" s="7" t="s">
        <v>21</v>
      </c>
      <c r="B2253" t="s">
        <v>874</v>
      </c>
      <c r="C2253" t="s">
        <v>875</v>
      </c>
      <c r="D2253" t="s">
        <v>876</v>
      </c>
      <c r="E2253" t="s">
        <v>877</v>
      </c>
      <c r="F2253" t="s">
        <v>26</v>
      </c>
      <c r="G2253">
        <v>54</v>
      </c>
      <c r="H2253">
        <v>0</v>
      </c>
      <c r="I2253">
        <v>0</v>
      </c>
      <c r="J2253">
        <v>-3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51</v>
      </c>
      <c r="T2253">
        <v>0</v>
      </c>
      <c r="U2253" t="s">
        <v>45</v>
      </c>
      <c r="W2253" s="2">
        <v>85.96</v>
      </c>
      <c r="X2253" s="3">
        <f t="shared" si="70"/>
        <v>4383.96</v>
      </c>
      <c r="Y2253">
        <f>VLOOKUP(D2253,'[1]Cost Sheet'!$C:$D,2,0)</f>
        <v>85.96</v>
      </c>
      <c r="Z2253" s="3">
        <f t="shared" si="71"/>
        <v>4383.96</v>
      </c>
    </row>
    <row r="2254" spans="1:26" x14ac:dyDescent="0.3">
      <c r="A2254" s="7" t="s">
        <v>21</v>
      </c>
      <c r="B2254" t="s">
        <v>874</v>
      </c>
      <c r="C2254" t="s">
        <v>875</v>
      </c>
      <c r="D2254" t="s">
        <v>876</v>
      </c>
      <c r="E2254" t="s">
        <v>877</v>
      </c>
      <c r="F2254" t="s">
        <v>26</v>
      </c>
      <c r="G2254">
        <v>0</v>
      </c>
      <c r="H2254">
        <v>3</v>
      </c>
      <c r="I2254">
        <v>0</v>
      </c>
      <c r="J2254">
        <v>0</v>
      </c>
      <c r="K2254">
        <v>3</v>
      </c>
      <c r="L2254">
        <v>0</v>
      </c>
      <c r="M2254">
        <v>-3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 t="s">
        <v>108</v>
      </c>
      <c r="W2254" s="2">
        <v>85.96</v>
      </c>
      <c r="X2254" s="3">
        <f t="shared" si="70"/>
        <v>0</v>
      </c>
      <c r="Y2254">
        <f>VLOOKUP(D2254,'[1]Cost Sheet'!$C:$D,2,0)</f>
        <v>85.96</v>
      </c>
      <c r="Z2254" s="3">
        <f t="shared" si="71"/>
        <v>0</v>
      </c>
    </row>
    <row r="2255" spans="1:26" x14ac:dyDescent="0.3">
      <c r="A2255" s="7" t="s">
        <v>21</v>
      </c>
      <c r="B2255" t="s">
        <v>874</v>
      </c>
      <c r="C2255" t="s">
        <v>875</v>
      </c>
      <c r="D2255" t="s">
        <v>876</v>
      </c>
      <c r="E2255" t="s">
        <v>877</v>
      </c>
      <c r="F2255" t="s">
        <v>26</v>
      </c>
      <c r="G2255">
        <v>287</v>
      </c>
      <c r="H2255">
        <v>0</v>
      </c>
      <c r="I2255">
        <v>0</v>
      </c>
      <c r="J2255">
        <v>-3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285</v>
      </c>
      <c r="T2255">
        <v>0</v>
      </c>
      <c r="U2255" t="s">
        <v>39</v>
      </c>
      <c r="W2255" s="2">
        <v>85.96</v>
      </c>
      <c r="X2255" s="3">
        <f t="shared" si="70"/>
        <v>24498.6</v>
      </c>
      <c r="Y2255">
        <f>VLOOKUP(D2255,'[1]Cost Sheet'!$C:$D,2,0)</f>
        <v>85.96</v>
      </c>
      <c r="Z2255" s="3">
        <f t="shared" si="71"/>
        <v>24498.6</v>
      </c>
    </row>
    <row r="2256" spans="1:26" x14ac:dyDescent="0.3">
      <c r="A2256" s="7" t="s">
        <v>21</v>
      </c>
      <c r="B2256" t="s">
        <v>874</v>
      </c>
      <c r="C2256" t="s">
        <v>875</v>
      </c>
      <c r="D2256" t="s">
        <v>876</v>
      </c>
      <c r="E2256" t="s">
        <v>877</v>
      </c>
      <c r="F2256" t="s">
        <v>26</v>
      </c>
      <c r="G2256">
        <v>48</v>
      </c>
      <c r="H2256">
        <v>0</v>
      </c>
      <c r="I2256">
        <v>0</v>
      </c>
      <c r="J2256">
        <v>-3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45</v>
      </c>
      <c r="T2256">
        <v>0</v>
      </c>
      <c r="U2256" t="s">
        <v>53</v>
      </c>
      <c r="W2256" s="2">
        <v>85.96</v>
      </c>
      <c r="X2256" s="3">
        <f t="shared" si="70"/>
        <v>3868.2</v>
      </c>
      <c r="Y2256">
        <f>VLOOKUP(D2256,'[1]Cost Sheet'!$C:$D,2,0)</f>
        <v>85.96</v>
      </c>
      <c r="Z2256" s="3">
        <f t="shared" si="71"/>
        <v>3868.2</v>
      </c>
    </row>
    <row r="2257" spans="1:26" x14ac:dyDescent="0.3">
      <c r="A2257" s="7" t="s">
        <v>21</v>
      </c>
      <c r="B2257" t="s">
        <v>874</v>
      </c>
      <c r="C2257" t="s">
        <v>875</v>
      </c>
      <c r="D2257" t="s">
        <v>876</v>
      </c>
      <c r="E2257" t="s">
        <v>877</v>
      </c>
      <c r="F2257" t="s">
        <v>26</v>
      </c>
      <c r="G2257">
        <v>126</v>
      </c>
      <c r="H2257">
        <v>0</v>
      </c>
      <c r="I2257">
        <v>0</v>
      </c>
      <c r="J2257">
        <v>-1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125</v>
      </c>
      <c r="T2257">
        <v>0</v>
      </c>
      <c r="U2257" t="s">
        <v>54</v>
      </c>
      <c r="W2257" s="2">
        <v>85.96</v>
      </c>
      <c r="X2257" s="3">
        <f t="shared" si="70"/>
        <v>10745</v>
      </c>
      <c r="Y2257">
        <f>VLOOKUP(D2257,'[1]Cost Sheet'!$C:$D,2,0)</f>
        <v>85.96</v>
      </c>
      <c r="Z2257" s="3">
        <f t="shared" si="71"/>
        <v>10745</v>
      </c>
    </row>
    <row r="2258" spans="1:26" x14ac:dyDescent="0.3">
      <c r="A2258" s="7" t="s">
        <v>21</v>
      </c>
      <c r="B2258" t="s">
        <v>874</v>
      </c>
      <c r="C2258" t="s">
        <v>875</v>
      </c>
      <c r="D2258" t="s">
        <v>876</v>
      </c>
      <c r="E2258" t="s">
        <v>877</v>
      </c>
      <c r="F2258" t="s">
        <v>26</v>
      </c>
      <c r="G2258">
        <v>29</v>
      </c>
      <c r="H2258">
        <v>309</v>
      </c>
      <c r="I2258">
        <v>0</v>
      </c>
      <c r="J2258">
        <v>0</v>
      </c>
      <c r="K2258">
        <v>0</v>
      </c>
      <c r="L2258">
        <v>0</v>
      </c>
      <c r="M2258">
        <v>-21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8</v>
      </c>
      <c r="T2258">
        <v>0</v>
      </c>
      <c r="U2258" t="s">
        <v>152</v>
      </c>
      <c r="W2258" s="2">
        <v>85.96</v>
      </c>
      <c r="X2258" s="3">
        <f t="shared" si="70"/>
        <v>687.68</v>
      </c>
      <c r="Y2258">
        <f>VLOOKUP(D2258,'[1]Cost Sheet'!$C:$D,2,0)</f>
        <v>85.96</v>
      </c>
      <c r="Z2258" s="3">
        <f t="shared" si="71"/>
        <v>687.68</v>
      </c>
    </row>
    <row r="2259" spans="1:26" x14ac:dyDescent="0.3">
      <c r="A2259" s="7" t="s">
        <v>21</v>
      </c>
      <c r="B2259" t="s">
        <v>874</v>
      </c>
      <c r="C2259" t="s">
        <v>875</v>
      </c>
      <c r="D2259" t="s">
        <v>876</v>
      </c>
      <c r="E2259" t="s">
        <v>877</v>
      </c>
      <c r="F2259" t="s">
        <v>26</v>
      </c>
      <c r="G2259">
        <v>996</v>
      </c>
      <c r="H2259">
        <v>0</v>
      </c>
      <c r="I2259">
        <v>0</v>
      </c>
      <c r="J2259">
        <v>-5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991</v>
      </c>
      <c r="T2259">
        <v>0</v>
      </c>
      <c r="U2259" t="s">
        <v>32</v>
      </c>
      <c r="W2259" s="2">
        <v>85.96</v>
      </c>
      <c r="X2259" s="3">
        <f t="shared" si="70"/>
        <v>85186.36</v>
      </c>
      <c r="Y2259">
        <f>VLOOKUP(D2259,'[1]Cost Sheet'!$C:$D,2,0)</f>
        <v>85.96</v>
      </c>
      <c r="Z2259" s="3">
        <f t="shared" si="71"/>
        <v>85186.36</v>
      </c>
    </row>
    <row r="2260" spans="1:26" x14ac:dyDescent="0.3">
      <c r="A2260" s="7" t="s">
        <v>21</v>
      </c>
      <c r="B2260" t="s">
        <v>874</v>
      </c>
      <c r="C2260" t="s">
        <v>875</v>
      </c>
      <c r="D2260" t="s">
        <v>876</v>
      </c>
      <c r="E2260" t="s">
        <v>877</v>
      </c>
      <c r="F2260" t="s">
        <v>26</v>
      </c>
      <c r="G2260">
        <v>5</v>
      </c>
      <c r="H2260">
        <v>0</v>
      </c>
      <c r="I2260">
        <v>0</v>
      </c>
      <c r="J2260">
        <v>-1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4</v>
      </c>
      <c r="T2260">
        <v>0</v>
      </c>
      <c r="U2260" t="s">
        <v>33</v>
      </c>
      <c r="W2260" s="2">
        <v>85.96</v>
      </c>
      <c r="X2260" s="3">
        <f t="shared" si="70"/>
        <v>343.84</v>
      </c>
      <c r="Y2260">
        <f>VLOOKUP(D2260,'[1]Cost Sheet'!$C:$D,2,0)</f>
        <v>85.96</v>
      </c>
      <c r="Z2260" s="3">
        <f t="shared" si="71"/>
        <v>343.84</v>
      </c>
    </row>
    <row r="2261" spans="1:26" x14ac:dyDescent="0.3">
      <c r="A2261" s="7" t="s">
        <v>21</v>
      </c>
      <c r="B2261" t="s">
        <v>874</v>
      </c>
      <c r="C2261" t="s">
        <v>875</v>
      </c>
      <c r="D2261" t="s">
        <v>876</v>
      </c>
      <c r="E2261" t="s">
        <v>877</v>
      </c>
      <c r="F2261" t="s">
        <v>26</v>
      </c>
      <c r="G2261">
        <v>148</v>
      </c>
      <c r="H2261">
        <v>0</v>
      </c>
      <c r="I2261">
        <v>0</v>
      </c>
      <c r="J2261">
        <v>-6</v>
      </c>
      <c r="K2261">
        <v>0</v>
      </c>
      <c r="L2261">
        <v>0</v>
      </c>
      <c r="M2261">
        <v>-1</v>
      </c>
      <c r="N2261">
        <v>0</v>
      </c>
      <c r="O2261">
        <v>0</v>
      </c>
      <c r="P2261">
        <v>0</v>
      </c>
      <c r="Q2261">
        <v>0</v>
      </c>
      <c r="R2261">
        <v>-1</v>
      </c>
      <c r="S2261">
        <v>140</v>
      </c>
      <c r="T2261">
        <v>0</v>
      </c>
      <c r="U2261" t="s">
        <v>46</v>
      </c>
      <c r="W2261" s="2">
        <v>85.96</v>
      </c>
      <c r="X2261" s="3">
        <f t="shared" si="70"/>
        <v>12034.4</v>
      </c>
      <c r="Y2261">
        <f>VLOOKUP(D2261,'[1]Cost Sheet'!$C:$D,2,0)</f>
        <v>85.96</v>
      </c>
      <c r="Z2261" s="3">
        <f t="shared" si="71"/>
        <v>12034.4</v>
      </c>
    </row>
    <row r="2262" spans="1:26" x14ac:dyDescent="0.3">
      <c r="A2262" s="7" t="s">
        <v>21</v>
      </c>
      <c r="B2262" t="s">
        <v>874</v>
      </c>
      <c r="C2262" t="s">
        <v>875</v>
      </c>
      <c r="D2262" t="s">
        <v>876</v>
      </c>
      <c r="E2262" t="s">
        <v>877</v>
      </c>
      <c r="F2262" t="s">
        <v>26</v>
      </c>
      <c r="G2262">
        <v>2</v>
      </c>
      <c r="H2262">
        <v>0</v>
      </c>
      <c r="I2262">
        <v>0</v>
      </c>
      <c r="J2262">
        <v>-1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2</v>
      </c>
      <c r="T2262">
        <v>0</v>
      </c>
      <c r="U2262" t="s">
        <v>110</v>
      </c>
      <c r="W2262" s="2">
        <v>85.96</v>
      </c>
      <c r="X2262" s="3">
        <f t="shared" si="70"/>
        <v>171.92</v>
      </c>
      <c r="Y2262">
        <f>VLOOKUP(D2262,'[1]Cost Sheet'!$C:$D,2,0)</f>
        <v>85.96</v>
      </c>
      <c r="Z2262" s="3">
        <f t="shared" si="71"/>
        <v>171.92</v>
      </c>
    </row>
    <row r="2263" spans="1:26" x14ac:dyDescent="0.3">
      <c r="A2263" s="7" t="s">
        <v>21</v>
      </c>
      <c r="B2263" t="s">
        <v>874</v>
      </c>
      <c r="C2263" t="s">
        <v>875</v>
      </c>
      <c r="D2263" t="s">
        <v>876</v>
      </c>
      <c r="E2263" t="s">
        <v>877</v>
      </c>
      <c r="F2263" t="s">
        <v>26</v>
      </c>
      <c r="G2263">
        <v>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3</v>
      </c>
      <c r="T2263">
        <v>0</v>
      </c>
      <c r="U2263" t="s">
        <v>111</v>
      </c>
      <c r="W2263" s="2">
        <v>85.96</v>
      </c>
      <c r="X2263" s="3">
        <f t="shared" si="70"/>
        <v>257.88</v>
      </c>
      <c r="Y2263">
        <f>VLOOKUP(D2263,'[1]Cost Sheet'!$C:$D,2,0)</f>
        <v>85.96</v>
      </c>
      <c r="Z2263" s="3">
        <f t="shared" si="71"/>
        <v>257.88</v>
      </c>
    </row>
    <row r="2264" spans="1:26" x14ac:dyDescent="0.3">
      <c r="A2264" s="7" t="s">
        <v>21</v>
      </c>
      <c r="B2264" t="s">
        <v>874</v>
      </c>
      <c r="C2264" t="s">
        <v>875</v>
      </c>
      <c r="D2264" t="s">
        <v>876</v>
      </c>
      <c r="E2264" t="s">
        <v>877</v>
      </c>
      <c r="F2264" t="s">
        <v>26</v>
      </c>
      <c r="G2264">
        <v>19</v>
      </c>
      <c r="H2264">
        <v>0</v>
      </c>
      <c r="I2264">
        <v>0</v>
      </c>
      <c r="J2264">
        <v>-1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18</v>
      </c>
      <c r="T2264">
        <v>0</v>
      </c>
      <c r="U2264" t="s">
        <v>47</v>
      </c>
      <c r="W2264" s="2">
        <v>85.96</v>
      </c>
      <c r="X2264" s="3">
        <f t="shared" si="70"/>
        <v>1547.28</v>
      </c>
      <c r="Y2264">
        <f>VLOOKUP(D2264,'[1]Cost Sheet'!$C:$D,2,0)</f>
        <v>85.96</v>
      </c>
      <c r="Z2264" s="3">
        <f t="shared" si="71"/>
        <v>1547.28</v>
      </c>
    </row>
    <row r="2265" spans="1:26" x14ac:dyDescent="0.3">
      <c r="A2265" s="7" t="s">
        <v>21</v>
      </c>
      <c r="B2265" t="s">
        <v>874</v>
      </c>
      <c r="C2265" t="s">
        <v>875</v>
      </c>
      <c r="D2265" t="s">
        <v>876</v>
      </c>
      <c r="E2265" t="s">
        <v>877</v>
      </c>
      <c r="F2265" t="s">
        <v>26</v>
      </c>
      <c r="G2265">
        <v>4</v>
      </c>
      <c r="H2265">
        <v>0</v>
      </c>
      <c r="I2265">
        <v>0</v>
      </c>
      <c r="J2265">
        <v>-1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3</v>
      </c>
      <c r="T2265">
        <v>0</v>
      </c>
      <c r="U2265" t="s">
        <v>40</v>
      </c>
      <c r="W2265" s="2">
        <v>85.96</v>
      </c>
      <c r="X2265" s="3">
        <f t="shared" si="70"/>
        <v>257.88</v>
      </c>
      <c r="Y2265">
        <f>VLOOKUP(D2265,'[1]Cost Sheet'!$C:$D,2,0)</f>
        <v>85.96</v>
      </c>
      <c r="Z2265" s="3">
        <f t="shared" si="71"/>
        <v>257.88</v>
      </c>
    </row>
    <row r="2266" spans="1:26" x14ac:dyDescent="0.3">
      <c r="A2266" s="7" t="s">
        <v>21</v>
      </c>
      <c r="B2266" t="s">
        <v>874</v>
      </c>
      <c r="C2266" t="s">
        <v>875</v>
      </c>
      <c r="D2266" t="s">
        <v>876</v>
      </c>
      <c r="E2266" t="s">
        <v>877</v>
      </c>
      <c r="F2266" t="s">
        <v>26</v>
      </c>
      <c r="G2266">
        <v>120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120</v>
      </c>
      <c r="T2266">
        <v>0</v>
      </c>
      <c r="U2266" t="s">
        <v>120</v>
      </c>
      <c r="W2266" s="2">
        <v>85.96</v>
      </c>
      <c r="X2266" s="3">
        <f t="shared" si="70"/>
        <v>10315.199999999999</v>
      </c>
      <c r="Y2266">
        <f>VLOOKUP(D2266,'[1]Cost Sheet'!$C:$D,2,0)</f>
        <v>85.96</v>
      </c>
      <c r="Z2266" s="3">
        <f t="shared" si="71"/>
        <v>10315.199999999999</v>
      </c>
    </row>
    <row r="2267" spans="1:26" x14ac:dyDescent="0.3">
      <c r="A2267" s="7" t="s">
        <v>21</v>
      </c>
      <c r="B2267" t="s">
        <v>874</v>
      </c>
      <c r="C2267" t="s">
        <v>875</v>
      </c>
      <c r="D2267" t="s">
        <v>876</v>
      </c>
      <c r="E2267" t="s">
        <v>877</v>
      </c>
      <c r="F2267" t="s">
        <v>26</v>
      </c>
      <c r="G2267">
        <v>51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51</v>
      </c>
      <c r="T2267">
        <v>0</v>
      </c>
      <c r="U2267" t="s">
        <v>113</v>
      </c>
      <c r="W2267" s="2">
        <v>85.96</v>
      </c>
      <c r="X2267" s="3">
        <f t="shared" si="70"/>
        <v>4383.96</v>
      </c>
      <c r="Y2267">
        <f>VLOOKUP(D2267,'[1]Cost Sheet'!$C:$D,2,0)</f>
        <v>85.96</v>
      </c>
      <c r="Z2267" s="3">
        <f t="shared" si="71"/>
        <v>4383.96</v>
      </c>
    </row>
    <row r="2268" spans="1:26" x14ac:dyDescent="0.3">
      <c r="A2268" s="7" t="s">
        <v>21</v>
      </c>
      <c r="B2268" t="s">
        <v>874</v>
      </c>
      <c r="C2268" t="s">
        <v>875</v>
      </c>
      <c r="D2268" t="s">
        <v>876</v>
      </c>
      <c r="E2268" t="s">
        <v>877</v>
      </c>
      <c r="F2268" t="s">
        <v>26</v>
      </c>
      <c r="G2268">
        <v>60</v>
      </c>
      <c r="H2268">
        <v>0</v>
      </c>
      <c r="I2268">
        <v>0</v>
      </c>
      <c r="J2268">
        <v>-4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-1</v>
      </c>
      <c r="S2268">
        <v>55</v>
      </c>
      <c r="T2268">
        <v>0</v>
      </c>
      <c r="U2268" t="s">
        <v>48</v>
      </c>
      <c r="W2268" s="2">
        <v>85.96</v>
      </c>
      <c r="X2268" s="3">
        <f t="shared" si="70"/>
        <v>4727.7999999999993</v>
      </c>
      <c r="Y2268">
        <f>VLOOKUP(D2268,'[1]Cost Sheet'!$C:$D,2,0)</f>
        <v>85.96</v>
      </c>
      <c r="Z2268" s="3">
        <f t="shared" si="71"/>
        <v>4727.7999999999993</v>
      </c>
    </row>
    <row r="2269" spans="1:26" x14ac:dyDescent="0.3">
      <c r="A2269" s="7" t="s">
        <v>21</v>
      </c>
      <c r="B2269" t="s">
        <v>874</v>
      </c>
      <c r="C2269" t="s">
        <v>875</v>
      </c>
      <c r="D2269" t="s">
        <v>876</v>
      </c>
      <c r="E2269" t="s">
        <v>877</v>
      </c>
      <c r="F2269" t="s">
        <v>26</v>
      </c>
      <c r="G2269">
        <v>122</v>
      </c>
      <c r="H2269">
        <v>0</v>
      </c>
      <c r="I2269">
        <v>0</v>
      </c>
      <c r="J2269">
        <v>-4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118</v>
      </c>
      <c r="T2269">
        <v>0</v>
      </c>
      <c r="U2269" t="s">
        <v>59</v>
      </c>
      <c r="W2269" s="2">
        <v>85.96</v>
      </c>
      <c r="X2269" s="3">
        <f t="shared" si="70"/>
        <v>10143.279999999999</v>
      </c>
      <c r="Y2269">
        <f>VLOOKUP(D2269,'[1]Cost Sheet'!$C:$D,2,0)</f>
        <v>85.96</v>
      </c>
      <c r="Z2269" s="3">
        <f t="shared" si="71"/>
        <v>10143.279999999999</v>
      </c>
    </row>
    <row r="2270" spans="1:26" x14ac:dyDescent="0.3">
      <c r="A2270" s="7" t="s">
        <v>21</v>
      </c>
      <c r="B2270" t="s">
        <v>874</v>
      </c>
      <c r="C2270" t="s">
        <v>875</v>
      </c>
      <c r="D2270" t="s">
        <v>876</v>
      </c>
      <c r="E2270" t="s">
        <v>877</v>
      </c>
      <c r="F2270" t="s">
        <v>26</v>
      </c>
      <c r="G2270">
        <v>39</v>
      </c>
      <c r="H2270">
        <v>0</v>
      </c>
      <c r="I2270">
        <v>0</v>
      </c>
      <c r="J2270">
        <v>-3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36</v>
      </c>
      <c r="T2270">
        <v>0</v>
      </c>
      <c r="U2270" t="s">
        <v>27</v>
      </c>
      <c r="W2270" s="2">
        <v>85.96</v>
      </c>
      <c r="X2270" s="3">
        <f t="shared" si="70"/>
        <v>3094.56</v>
      </c>
      <c r="Y2270">
        <f>VLOOKUP(D2270,'[1]Cost Sheet'!$C:$D,2,0)</f>
        <v>85.96</v>
      </c>
      <c r="Z2270" s="3">
        <f t="shared" si="71"/>
        <v>3094.56</v>
      </c>
    </row>
    <row r="2271" spans="1:26" x14ac:dyDescent="0.3">
      <c r="A2271" s="7" t="s">
        <v>21</v>
      </c>
      <c r="B2271" t="s">
        <v>878</v>
      </c>
      <c r="C2271" t="s">
        <v>879</v>
      </c>
      <c r="D2271" t="s">
        <v>880</v>
      </c>
      <c r="E2271" t="s">
        <v>881</v>
      </c>
      <c r="F2271" t="s">
        <v>26</v>
      </c>
      <c r="G2271">
        <v>6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6</v>
      </c>
      <c r="T2271">
        <v>0</v>
      </c>
      <c r="U2271" t="s">
        <v>32</v>
      </c>
      <c r="W2271" s="2">
        <v>114.81</v>
      </c>
      <c r="X2271" s="3">
        <f t="shared" si="70"/>
        <v>688.86</v>
      </c>
      <c r="Y2271">
        <f>VLOOKUP(D2271,'[1]Cost Sheet'!$C:$D,2,0)</f>
        <v>114.81</v>
      </c>
      <c r="Z2271" s="3">
        <f t="shared" si="71"/>
        <v>688.86</v>
      </c>
    </row>
    <row r="2272" spans="1:26" x14ac:dyDescent="0.3">
      <c r="A2272" s="7" t="s">
        <v>21</v>
      </c>
      <c r="B2272" t="s">
        <v>882</v>
      </c>
      <c r="C2272" t="s">
        <v>883</v>
      </c>
      <c r="D2272" t="s">
        <v>884</v>
      </c>
      <c r="E2272" t="s">
        <v>885</v>
      </c>
      <c r="F2272" t="s">
        <v>26</v>
      </c>
      <c r="G2272">
        <v>11</v>
      </c>
      <c r="H2272">
        <v>0</v>
      </c>
      <c r="I2272">
        <v>0</v>
      </c>
      <c r="J2272">
        <v>-1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10</v>
      </c>
      <c r="T2272">
        <v>0</v>
      </c>
      <c r="U2272" t="s">
        <v>39</v>
      </c>
      <c r="W2272" s="2">
        <v>98.3</v>
      </c>
      <c r="X2272" s="3">
        <f t="shared" si="70"/>
        <v>983</v>
      </c>
      <c r="Y2272">
        <f>VLOOKUP(D2272,'[1]Cost Sheet'!$C:$D,2,0)</f>
        <v>98.3</v>
      </c>
      <c r="Z2272" s="3">
        <f t="shared" si="71"/>
        <v>983</v>
      </c>
    </row>
    <row r="2273" spans="1:26" x14ac:dyDescent="0.3">
      <c r="A2273" s="7" t="s">
        <v>21</v>
      </c>
      <c r="B2273" t="s">
        <v>886</v>
      </c>
      <c r="C2273" t="s">
        <v>887</v>
      </c>
      <c r="D2273" t="s">
        <v>888</v>
      </c>
      <c r="E2273" t="s">
        <v>889</v>
      </c>
      <c r="F2273" t="s">
        <v>106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8</v>
      </c>
      <c r="S2273">
        <v>8</v>
      </c>
      <c r="T2273">
        <v>0</v>
      </c>
      <c r="U2273" t="s">
        <v>32</v>
      </c>
      <c r="W2273" s="2">
        <v>98.3</v>
      </c>
      <c r="X2273" s="3">
        <f t="shared" si="70"/>
        <v>786.4</v>
      </c>
      <c r="Y2273">
        <f>VLOOKUP(D2273,'[1]Cost Sheet'!$C:$D,2,0)</f>
        <v>98.3</v>
      </c>
      <c r="Z2273" s="3">
        <f t="shared" si="71"/>
        <v>786.4</v>
      </c>
    </row>
    <row r="2274" spans="1:26" x14ac:dyDescent="0.3">
      <c r="A2274" s="7" t="s">
        <v>21</v>
      </c>
      <c r="B2274" t="s">
        <v>886</v>
      </c>
      <c r="C2274" t="s">
        <v>887</v>
      </c>
      <c r="D2274" t="s">
        <v>888</v>
      </c>
      <c r="E2274" t="s">
        <v>889</v>
      </c>
      <c r="F2274" t="s">
        <v>106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 t="s">
        <v>33</v>
      </c>
      <c r="W2274" s="2">
        <v>98.3</v>
      </c>
      <c r="X2274" s="3">
        <f t="shared" si="70"/>
        <v>98.3</v>
      </c>
      <c r="Y2274">
        <f>VLOOKUP(D2274,'[1]Cost Sheet'!$C:$D,2,0)</f>
        <v>98.3</v>
      </c>
      <c r="Z2274" s="3">
        <f t="shared" si="71"/>
        <v>98.3</v>
      </c>
    </row>
    <row r="2275" spans="1:26" x14ac:dyDescent="0.3">
      <c r="A2275" s="7" t="s">
        <v>21</v>
      </c>
      <c r="B2275" t="s">
        <v>886</v>
      </c>
      <c r="C2275" t="s">
        <v>887</v>
      </c>
      <c r="D2275" t="s">
        <v>888</v>
      </c>
      <c r="E2275" t="s">
        <v>889</v>
      </c>
      <c r="F2275" t="s">
        <v>26</v>
      </c>
      <c r="G2275">
        <v>27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-8</v>
      </c>
      <c r="S2275">
        <v>19</v>
      </c>
      <c r="T2275">
        <v>0</v>
      </c>
      <c r="U2275" t="s">
        <v>32</v>
      </c>
      <c r="W2275" s="2">
        <v>98.3</v>
      </c>
      <c r="X2275" s="3">
        <f t="shared" si="70"/>
        <v>1867.7</v>
      </c>
      <c r="Y2275">
        <f>VLOOKUP(D2275,'[1]Cost Sheet'!$C:$D,2,0)</f>
        <v>98.3</v>
      </c>
      <c r="Z2275" s="3">
        <f t="shared" si="71"/>
        <v>1867.7</v>
      </c>
    </row>
    <row r="2276" spans="1:26" x14ac:dyDescent="0.3">
      <c r="A2276" s="7" t="s">
        <v>21</v>
      </c>
      <c r="B2276" t="s">
        <v>890</v>
      </c>
      <c r="C2276" t="s">
        <v>891</v>
      </c>
      <c r="D2276" t="s">
        <v>892</v>
      </c>
      <c r="E2276" t="s">
        <v>893</v>
      </c>
      <c r="F2276" t="s">
        <v>26</v>
      </c>
      <c r="G2276">
        <v>17</v>
      </c>
      <c r="H2276">
        <v>0</v>
      </c>
      <c r="I2276">
        <v>0</v>
      </c>
      <c r="J2276">
        <v>-1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16</v>
      </c>
      <c r="T2276">
        <v>0</v>
      </c>
      <c r="U2276" t="s">
        <v>39</v>
      </c>
      <c r="W2276" s="2">
        <v>98.3</v>
      </c>
      <c r="X2276" s="3">
        <f t="shared" si="70"/>
        <v>1572.8</v>
      </c>
      <c r="Y2276">
        <f>VLOOKUP(D2276,'[1]Cost Sheet'!$C:$D,2,0)</f>
        <v>98.3</v>
      </c>
      <c r="Z2276" s="3">
        <f t="shared" si="71"/>
        <v>1572.8</v>
      </c>
    </row>
    <row r="2277" spans="1:26" x14ac:dyDescent="0.3">
      <c r="A2277" s="7" t="s">
        <v>21</v>
      </c>
      <c r="B2277" t="s">
        <v>890</v>
      </c>
      <c r="C2277" t="s">
        <v>891</v>
      </c>
      <c r="D2277" t="s">
        <v>892</v>
      </c>
      <c r="E2277" t="s">
        <v>893</v>
      </c>
      <c r="F2277" t="s">
        <v>26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 t="s">
        <v>47</v>
      </c>
      <c r="W2277" s="2">
        <v>98.3</v>
      </c>
      <c r="X2277" s="3">
        <f t="shared" si="70"/>
        <v>98.3</v>
      </c>
      <c r="Y2277">
        <f>VLOOKUP(D2277,'[1]Cost Sheet'!$C:$D,2,0)</f>
        <v>98.3</v>
      </c>
      <c r="Z2277" s="3">
        <f t="shared" si="71"/>
        <v>98.3</v>
      </c>
    </row>
    <row r="2278" spans="1:26" x14ac:dyDescent="0.3">
      <c r="A2278" s="7" t="s">
        <v>21</v>
      </c>
      <c r="B2278" t="s">
        <v>890</v>
      </c>
      <c r="C2278" t="s">
        <v>891</v>
      </c>
      <c r="D2278" t="s">
        <v>892</v>
      </c>
      <c r="E2278" t="s">
        <v>893</v>
      </c>
      <c r="F2278" t="s">
        <v>26</v>
      </c>
      <c r="G2278">
        <v>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-1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2</v>
      </c>
      <c r="T2278">
        <v>0</v>
      </c>
      <c r="U2278" t="s">
        <v>40</v>
      </c>
      <c r="W2278" s="2">
        <v>98.3</v>
      </c>
      <c r="X2278" s="3">
        <f t="shared" si="70"/>
        <v>196.6</v>
      </c>
      <c r="Y2278">
        <f>VLOOKUP(D2278,'[1]Cost Sheet'!$C:$D,2,0)</f>
        <v>98.3</v>
      </c>
      <c r="Z2278" s="3">
        <f t="shared" si="71"/>
        <v>196.6</v>
      </c>
    </row>
    <row r="2279" spans="1:26" x14ac:dyDescent="0.3">
      <c r="A2279" s="7" t="s">
        <v>21</v>
      </c>
      <c r="B2279" t="s">
        <v>894</v>
      </c>
      <c r="C2279" t="s">
        <v>895</v>
      </c>
      <c r="D2279" t="s">
        <v>896</v>
      </c>
      <c r="E2279" t="s">
        <v>897</v>
      </c>
      <c r="F2279" t="s">
        <v>26</v>
      </c>
      <c r="G2279">
        <v>5</v>
      </c>
      <c r="H2279">
        <v>0</v>
      </c>
      <c r="I2279">
        <v>0</v>
      </c>
      <c r="J2279">
        <v>-3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2</v>
      </c>
      <c r="T2279">
        <v>0</v>
      </c>
      <c r="U2279" t="s">
        <v>45</v>
      </c>
      <c r="W2279" s="2">
        <v>98.3</v>
      </c>
      <c r="X2279" s="3">
        <f t="shared" si="70"/>
        <v>196.6</v>
      </c>
      <c r="Y2279">
        <f>VLOOKUP(D2279,'[1]Cost Sheet'!$C:$D,2,0)</f>
        <v>98.3</v>
      </c>
      <c r="Z2279" s="3">
        <f t="shared" si="71"/>
        <v>196.6</v>
      </c>
    </row>
    <row r="2280" spans="1:26" x14ac:dyDescent="0.3">
      <c r="A2280" s="7" t="s">
        <v>21</v>
      </c>
      <c r="B2280" t="s">
        <v>894</v>
      </c>
      <c r="C2280" t="s">
        <v>895</v>
      </c>
      <c r="D2280" t="s">
        <v>896</v>
      </c>
      <c r="E2280" t="s">
        <v>897</v>
      </c>
      <c r="F2280" t="s">
        <v>26</v>
      </c>
      <c r="G2280">
        <v>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6</v>
      </c>
      <c r="T2280">
        <v>0</v>
      </c>
      <c r="U2280" t="s">
        <v>59</v>
      </c>
      <c r="W2280" s="2">
        <v>98.3</v>
      </c>
      <c r="X2280" s="3">
        <f t="shared" si="70"/>
        <v>589.79999999999995</v>
      </c>
      <c r="Y2280">
        <f>VLOOKUP(D2280,'[1]Cost Sheet'!$C:$D,2,0)</f>
        <v>98.3</v>
      </c>
      <c r="Z2280" s="3">
        <f t="shared" si="71"/>
        <v>589.79999999999995</v>
      </c>
    </row>
    <row r="2281" spans="1:26" x14ac:dyDescent="0.3">
      <c r="A2281" s="7" t="s">
        <v>21</v>
      </c>
      <c r="B2281" t="s">
        <v>898</v>
      </c>
      <c r="C2281" t="s">
        <v>899</v>
      </c>
      <c r="D2281" t="s">
        <v>900</v>
      </c>
      <c r="E2281" t="s">
        <v>901</v>
      </c>
      <c r="F2281" t="s">
        <v>26</v>
      </c>
      <c r="G2281">
        <v>0</v>
      </c>
      <c r="H2281">
        <v>0</v>
      </c>
      <c r="I2281">
        <v>0</v>
      </c>
      <c r="J2281">
        <v>-1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 t="s">
        <v>45</v>
      </c>
      <c r="W2281" s="2">
        <v>98.3</v>
      </c>
      <c r="X2281" s="3">
        <f t="shared" si="70"/>
        <v>0</v>
      </c>
      <c r="Y2281">
        <f>VLOOKUP(D2281,'[1]Cost Sheet'!$C:$D,2,0)</f>
        <v>98.3</v>
      </c>
      <c r="Z2281" s="3">
        <f t="shared" si="71"/>
        <v>0</v>
      </c>
    </row>
    <row r="2282" spans="1:26" x14ac:dyDescent="0.3">
      <c r="A2282" s="7" t="s">
        <v>21</v>
      </c>
      <c r="B2282" t="s">
        <v>898</v>
      </c>
      <c r="C2282" t="s">
        <v>899</v>
      </c>
      <c r="D2282" t="s">
        <v>900</v>
      </c>
      <c r="E2282" t="s">
        <v>901</v>
      </c>
      <c r="F2282" t="s">
        <v>26</v>
      </c>
      <c r="G2282">
        <v>1</v>
      </c>
      <c r="H2282">
        <v>0</v>
      </c>
      <c r="I2282">
        <v>-1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53</v>
      </c>
      <c r="W2282" s="2">
        <v>98.3</v>
      </c>
      <c r="X2282" s="3">
        <f t="shared" si="70"/>
        <v>0</v>
      </c>
      <c r="Y2282">
        <f>VLOOKUP(D2282,'[1]Cost Sheet'!$C:$D,2,0)</f>
        <v>98.3</v>
      </c>
      <c r="Z2282" s="3">
        <f t="shared" si="71"/>
        <v>0</v>
      </c>
    </row>
    <row r="2283" spans="1:26" x14ac:dyDescent="0.3">
      <c r="A2283" s="7" t="s">
        <v>21</v>
      </c>
      <c r="B2283" t="s">
        <v>898</v>
      </c>
      <c r="C2283" t="s">
        <v>899</v>
      </c>
      <c r="D2283" t="s">
        <v>900</v>
      </c>
      <c r="E2283" t="s">
        <v>901</v>
      </c>
      <c r="F2283" t="s">
        <v>26</v>
      </c>
      <c r="G2283">
        <v>8</v>
      </c>
      <c r="H2283">
        <v>0</v>
      </c>
      <c r="I2283">
        <v>0</v>
      </c>
      <c r="J2283">
        <v>-2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6</v>
      </c>
      <c r="T2283">
        <v>0</v>
      </c>
      <c r="U2283" t="s">
        <v>32</v>
      </c>
      <c r="W2283" s="2">
        <v>98.3</v>
      </c>
      <c r="X2283" s="3">
        <f t="shared" si="70"/>
        <v>589.79999999999995</v>
      </c>
      <c r="Y2283">
        <f>VLOOKUP(D2283,'[1]Cost Sheet'!$C:$D,2,0)</f>
        <v>98.3</v>
      </c>
      <c r="Z2283" s="3">
        <f t="shared" si="71"/>
        <v>589.79999999999995</v>
      </c>
    </row>
    <row r="2284" spans="1:26" x14ac:dyDescent="0.3">
      <c r="A2284" s="7" t="s">
        <v>21</v>
      </c>
      <c r="B2284" t="s">
        <v>898</v>
      </c>
      <c r="C2284" t="s">
        <v>899</v>
      </c>
      <c r="D2284" t="s">
        <v>900</v>
      </c>
      <c r="E2284" t="s">
        <v>901</v>
      </c>
      <c r="F2284" t="s">
        <v>26</v>
      </c>
      <c r="G2284">
        <v>16</v>
      </c>
      <c r="H2284">
        <v>0</v>
      </c>
      <c r="I2284">
        <v>0</v>
      </c>
      <c r="J2284">
        <v>-2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14</v>
      </c>
      <c r="T2284">
        <v>0</v>
      </c>
      <c r="U2284" t="s">
        <v>113</v>
      </c>
      <c r="W2284" s="2">
        <v>98.3</v>
      </c>
      <c r="X2284" s="3">
        <f t="shared" si="70"/>
        <v>1376.2</v>
      </c>
      <c r="Y2284">
        <f>VLOOKUP(D2284,'[1]Cost Sheet'!$C:$D,2,0)</f>
        <v>98.3</v>
      </c>
      <c r="Z2284" s="3">
        <f t="shared" si="71"/>
        <v>1376.2</v>
      </c>
    </row>
    <row r="2285" spans="1:26" x14ac:dyDescent="0.3">
      <c r="A2285" s="7" t="s">
        <v>21</v>
      </c>
      <c r="B2285" t="s">
        <v>898</v>
      </c>
      <c r="C2285" t="s">
        <v>899</v>
      </c>
      <c r="D2285" t="s">
        <v>900</v>
      </c>
      <c r="E2285" t="s">
        <v>901</v>
      </c>
      <c r="F2285" t="s">
        <v>26</v>
      </c>
      <c r="G2285">
        <v>11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11</v>
      </c>
      <c r="T2285">
        <v>0</v>
      </c>
      <c r="U2285" t="s">
        <v>48</v>
      </c>
      <c r="W2285" s="2">
        <v>98.3</v>
      </c>
      <c r="X2285" s="3">
        <f t="shared" si="70"/>
        <v>1081.3</v>
      </c>
      <c r="Y2285">
        <f>VLOOKUP(D2285,'[1]Cost Sheet'!$C:$D,2,0)</f>
        <v>98.3</v>
      </c>
      <c r="Z2285" s="3">
        <f t="shared" si="71"/>
        <v>1081.3</v>
      </c>
    </row>
    <row r="2286" spans="1:26" x14ac:dyDescent="0.3">
      <c r="A2286" s="7" t="s">
        <v>21</v>
      </c>
      <c r="B2286" t="s">
        <v>898</v>
      </c>
      <c r="C2286" t="s">
        <v>899</v>
      </c>
      <c r="D2286" t="s">
        <v>900</v>
      </c>
      <c r="E2286" t="s">
        <v>901</v>
      </c>
      <c r="F2286" t="s">
        <v>26</v>
      </c>
      <c r="G2286">
        <v>11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11</v>
      </c>
      <c r="T2286">
        <v>0</v>
      </c>
      <c r="U2286" t="s">
        <v>59</v>
      </c>
      <c r="W2286" s="2">
        <v>98.3</v>
      </c>
      <c r="X2286" s="3">
        <f t="shared" si="70"/>
        <v>1081.3</v>
      </c>
      <c r="Y2286">
        <f>VLOOKUP(D2286,'[1]Cost Sheet'!$C:$D,2,0)</f>
        <v>98.3</v>
      </c>
      <c r="Z2286" s="3">
        <f t="shared" si="71"/>
        <v>1081.3</v>
      </c>
    </row>
    <row r="2287" spans="1:26" x14ac:dyDescent="0.3">
      <c r="A2287" s="7" t="s">
        <v>21</v>
      </c>
      <c r="B2287" t="s">
        <v>902</v>
      </c>
      <c r="C2287" t="s">
        <v>903</v>
      </c>
      <c r="D2287" t="s">
        <v>904</v>
      </c>
      <c r="E2287" t="s">
        <v>905</v>
      </c>
      <c r="F2287" t="s">
        <v>125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 t="s">
        <v>88</v>
      </c>
      <c r="W2287" s="2">
        <v>70.5</v>
      </c>
      <c r="X2287" s="3">
        <f t="shared" si="70"/>
        <v>70.5</v>
      </c>
      <c r="Y2287">
        <f>VLOOKUP(D2287,'[1]Cost Sheet'!$C:$D,2,0)</f>
        <v>70.5</v>
      </c>
      <c r="Z2287" s="3">
        <f t="shared" si="71"/>
        <v>70.5</v>
      </c>
    </row>
    <row r="2288" spans="1:26" x14ac:dyDescent="0.3">
      <c r="A2288" s="7" t="s">
        <v>21</v>
      </c>
      <c r="B2288" t="s">
        <v>902</v>
      </c>
      <c r="C2288" t="s">
        <v>903</v>
      </c>
      <c r="D2288" t="s">
        <v>904</v>
      </c>
      <c r="E2288" t="s">
        <v>905</v>
      </c>
      <c r="F2288" t="s">
        <v>106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2</v>
      </c>
      <c r="T2288">
        <v>0</v>
      </c>
      <c r="U2288" t="s">
        <v>32</v>
      </c>
      <c r="W2288" s="2">
        <v>70.5</v>
      </c>
      <c r="X2288" s="3">
        <f t="shared" si="70"/>
        <v>141</v>
      </c>
      <c r="Y2288">
        <f>VLOOKUP(D2288,'[1]Cost Sheet'!$C:$D,2,0)</f>
        <v>70.5</v>
      </c>
      <c r="Z2288" s="3">
        <f t="shared" si="71"/>
        <v>141</v>
      </c>
    </row>
    <row r="2289" spans="1:26" x14ac:dyDescent="0.3">
      <c r="A2289" s="7" t="s">
        <v>21</v>
      </c>
      <c r="B2289" t="s">
        <v>902</v>
      </c>
      <c r="C2289" t="s">
        <v>903</v>
      </c>
      <c r="D2289" t="s">
        <v>904</v>
      </c>
      <c r="E2289" t="s">
        <v>905</v>
      </c>
      <c r="F2289" t="s">
        <v>26</v>
      </c>
      <c r="G2289">
        <v>16</v>
      </c>
      <c r="H2289">
        <v>0</v>
      </c>
      <c r="I2289">
        <v>0</v>
      </c>
      <c r="J2289">
        <v>-1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15</v>
      </c>
      <c r="T2289">
        <v>0</v>
      </c>
      <c r="U2289" t="s">
        <v>38</v>
      </c>
      <c r="W2289" s="2">
        <v>70.5</v>
      </c>
      <c r="X2289" s="3">
        <f t="shared" si="70"/>
        <v>1057.5</v>
      </c>
      <c r="Y2289">
        <f>VLOOKUP(D2289,'[1]Cost Sheet'!$C:$D,2,0)</f>
        <v>70.5</v>
      </c>
      <c r="Z2289" s="3">
        <f t="shared" si="71"/>
        <v>1057.5</v>
      </c>
    </row>
    <row r="2290" spans="1:26" x14ac:dyDescent="0.3">
      <c r="A2290" s="7" t="s">
        <v>21</v>
      </c>
      <c r="B2290" t="s">
        <v>902</v>
      </c>
      <c r="C2290" t="s">
        <v>903</v>
      </c>
      <c r="D2290" t="s">
        <v>904</v>
      </c>
      <c r="E2290" t="s">
        <v>905</v>
      </c>
      <c r="F2290" t="s">
        <v>26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3</v>
      </c>
      <c r="T2290">
        <v>0</v>
      </c>
      <c r="U2290" t="s">
        <v>40</v>
      </c>
      <c r="W2290" s="2">
        <v>70.5</v>
      </c>
      <c r="X2290" s="3">
        <f t="shared" si="70"/>
        <v>211.5</v>
      </c>
      <c r="Y2290">
        <f>VLOOKUP(D2290,'[1]Cost Sheet'!$C:$D,2,0)</f>
        <v>70.5</v>
      </c>
      <c r="Z2290" s="3">
        <f t="shared" si="71"/>
        <v>211.5</v>
      </c>
    </row>
    <row r="2291" spans="1:26" x14ac:dyDescent="0.3">
      <c r="A2291" s="7" t="s">
        <v>21</v>
      </c>
      <c r="B2291" t="s">
        <v>906</v>
      </c>
      <c r="C2291" t="s">
        <v>907</v>
      </c>
      <c r="D2291" t="s">
        <v>908</v>
      </c>
      <c r="E2291" t="s">
        <v>909</v>
      </c>
      <c r="F2291" t="s">
        <v>125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 t="s">
        <v>88</v>
      </c>
      <c r="W2291" s="2">
        <v>98.299999999999983</v>
      </c>
      <c r="X2291" s="3">
        <f t="shared" si="70"/>
        <v>98.299999999999983</v>
      </c>
      <c r="Y2291">
        <f>VLOOKUP(D2291,'[1]Cost Sheet'!$C:$D,2,0)</f>
        <v>98.299999999999983</v>
      </c>
      <c r="Z2291" s="3">
        <f t="shared" si="71"/>
        <v>98.299999999999983</v>
      </c>
    </row>
    <row r="2292" spans="1:26" x14ac:dyDescent="0.3">
      <c r="A2292" s="7" t="s">
        <v>21</v>
      </c>
      <c r="B2292" t="s">
        <v>906</v>
      </c>
      <c r="C2292" t="s">
        <v>907</v>
      </c>
      <c r="D2292" t="s">
        <v>908</v>
      </c>
      <c r="E2292" t="s">
        <v>909</v>
      </c>
      <c r="F2292" t="s">
        <v>106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2</v>
      </c>
      <c r="T2292">
        <v>0</v>
      </c>
      <c r="U2292" t="s">
        <v>38</v>
      </c>
      <c r="W2292" s="2">
        <v>98.299999999999983</v>
      </c>
      <c r="X2292" s="3">
        <f t="shared" si="70"/>
        <v>196.59999999999997</v>
      </c>
      <c r="Y2292">
        <f>VLOOKUP(D2292,'[1]Cost Sheet'!$C:$D,2,0)</f>
        <v>98.299999999999983</v>
      </c>
      <c r="Z2292" s="3">
        <f t="shared" si="71"/>
        <v>196.59999999999997</v>
      </c>
    </row>
    <row r="2293" spans="1:26" x14ac:dyDescent="0.3">
      <c r="A2293" s="7" t="s">
        <v>21</v>
      </c>
      <c r="B2293" t="s">
        <v>906</v>
      </c>
      <c r="C2293" t="s">
        <v>907</v>
      </c>
      <c r="D2293" t="s">
        <v>908</v>
      </c>
      <c r="E2293" t="s">
        <v>909</v>
      </c>
      <c r="F2293" t="s">
        <v>106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 t="s">
        <v>39</v>
      </c>
      <c r="W2293" s="2">
        <v>98.299999999999983</v>
      </c>
      <c r="X2293" s="3">
        <f t="shared" si="70"/>
        <v>98.299999999999983</v>
      </c>
      <c r="Y2293">
        <f>VLOOKUP(D2293,'[1]Cost Sheet'!$C:$D,2,0)</f>
        <v>98.299999999999983</v>
      </c>
      <c r="Z2293" s="3">
        <f t="shared" si="71"/>
        <v>98.299999999999983</v>
      </c>
    </row>
    <row r="2294" spans="1:26" x14ac:dyDescent="0.3">
      <c r="A2294" s="7" t="s">
        <v>21</v>
      </c>
      <c r="B2294" t="s">
        <v>906</v>
      </c>
      <c r="C2294" t="s">
        <v>907</v>
      </c>
      <c r="D2294" t="s">
        <v>908</v>
      </c>
      <c r="E2294" t="s">
        <v>909</v>
      </c>
      <c r="F2294" t="s">
        <v>106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 t="s">
        <v>53</v>
      </c>
      <c r="W2294" s="2">
        <v>98.299999999999983</v>
      </c>
      <c r="X2294" s="3">
        <f t="shared" si="70"/>
        <v>98.299999999999983</v>
      </c>
      <c r="Y2294">
        <f>VLOOKUP(D2294,'[1]Cost Sheet'!$C:$D,2,0)</f>
        <v>98.299999999999983</v>
      </c>
      <c r="Z2294" s="3">
        <f t="shared" si="71"/>
        <v>98.299999999999983</v>
      </c>
    </row>
    <row r="2295" spans="1:26" x14ac:dyDescent="0.3">
      <c r="A2295" s="7" t="s">
        <v>21</v>
      </c>
      <c r="B2295" t="s">
        <v>906</v>
      </c>
      <c r="C2295" t="s">
        <v>907</v>
      </c>
      <c r="D2295" t="s">
        <v>908</v>
      </c>
      <c r="E2295" t="s">
        <v>909</v>
      </c>
      <c r="F2295" t="s">
        <v>106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 t="s">
        <v>54</v>
      </c>
      <c r="W2295" s="2">
        <v>98.299999999999983</v>
      </c>
      <c r="X2295" s="3">
        <f t="shared" si="70"/>
        <v>98.299999999999983</v>
      </c>
      <c r="Y2295">
        <f>VLOOKUP(D2295,'[1]Cost Sheet'!$C:$D,2,0)</f>
        <v>98.299999999999983</v>
      </c>
      <c r="Z2295" s="3">
        <f t="shared" si="71"/>
        <v>98.299999999999983</v>
      </c>
    </row>
    <row r="2296" spans="1:26" x14ac:dyDescent="0.3">
      <c r="A2296" s="7" t="s">
        <v>21</v>
      </c>
      <c r="B2296" t="s">
        <v>906</v>
      </c>
      <c r="C2296" t="s">
        <v>907</v>
      </c>
      <c r="D2296" t="s">
        <v>908</v>
      </c>
      <c r="E2296" t="s">
        <v>909</v>
      </c>
      <c r="F2296" t="s">
        <v>106</v>
      </c>
      <c r="G2296">
        <v>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7</v>
      </c>
      <c r="T2296">
        <v>0</v>
      </c>
      <c r="U2296" t="s">
        <v>32</v>
      </c>
      <c r="W2296" s="2">
        <v>98.299999999999983</v>
      </c>
      <c r="X2296" s="3">
        <f t="shared" si="70"/>
        <v>688.09999999999991</v>
      </c>
      <c r="Y2296">
        <f>VLOOKUP(D2296,'[1]Cost Sheet'!$C:$D,2,0)</f>
        <v>98.299999999999983</v>
      </c>
      <c r="Z2296" s="3">
        <f t="shared" si="71"/>
        <v>688.09999999999991</v>
      </c>
    </row>
    <row r="2297" spans="1:26" x14ac:dyDescent="0.3">
      <c r="A2297" s="7" t="s">
        <v>21</v>
      </c>
      <c r="B2297" t="s">
        <v>906</v>
      </c>
      <c r="C2297" t="s">
        <v>907</v>
      </c>
      <c r="D2297" t="s">
        <v>908</v>
      </c>
      <c r="E2297" t="s">
        <v>909</v>
      </c>
      <c r="F2297" t="s">
        <v>106</v>
      </c>
      <c r="G2297">
        <v>0</v>
      </c>
      <c r="H2297">
        <v>5</v>
      </c>
      <c r="I2297">
        <v>5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5</v>
      </c>
      <c r="T2297">
        <v>0</v>
      </c>
      <c r="U2297" t="s">
        <v>109</v>
      </c>
      <c r="W2297" s="2">
        <v>98.299999999999983</v>
      </c>
      <c r="X2297" s="3">
        <f t="shared" si="70"/>
        <v>491.49999999999989</v>
      </c>
      <c r="Y2297">
        <f>VLOOKUP(D2297,'[1]Cost Sheet'!$C:$D,2,0)</f>
        <v>98.299999999999983</v>
      </c>
      <c r="Z2297" s="3">
        <f t="shared" si="71"/>
        <v>491.49999999999989</v>
      </c>
    </row>
    <row r="2298" spans="1:26" x14ac:dyDescent="0.3">
      <c r="A2298" s="7" t="s">
        <v>21</v>
      </c>
      <c r="B2298" t="s">
        <v>906</v>
      </c>
      <c r="C2298" t="s">
        <v>907</v>
      </c>
      <c r="D2298" t="s">
        <v>908</v>
      </c>
      <c r="E2298" t="s">
        <v>909</v>
      </c>
      <c r="F2298" t="s">
        <v>106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 t="s">
        <v>33</v>
      </c>
      <c r="W2298" s="2">
        <v>98.299999999999983</v>
      </c>
      <c r="X2298" s="3">
        <f t="shared" si="70"/>
        <v>98.299999999999983</v>
      </c>
      <c r="Y2298">
        <f>VLOOKUP(D2298,'[1]Cost Sheet'!$C:$D,2,0)</f>
        <v>98.299999999999983</v>
      </c>
      <c r="Z2298" s="3">
        <f t="shared" si="71"/>
        <v>98.299999999999983</v>
      </c>
    </row>
    <row r="2299" spans="1:26" x14ac:dyDescent="0.3">
      <c r="A2299" s="7" t="s">
        <v>21</v>
      </c>
      <c r="B2299" t="s">
        <v>906</v>
      </c>
      <c r="C2299" t="s">
        <v>907</v>
      </c>
      <c r="D2299" t="s">
        <v>908</v>
      </c>
      <c r="E2299" t="s">
        <v>909</v>
      </c>
      <c r="F2299" t="s">
        <v>106</v>
      </c>
      <c r="G2299">
        <v>11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11</v>
      </c>
      <c r="T2299">
        <v>0</v>
      </c>
      <c r="U2299" t="s">
        <v>46</v>
      </c>
      <c r="W2299" s="2">
        <v>98.299999999999983</v>
      </c>
      <c r="X2299" s="3">
        <f t="shared" si="70"/>
        <v>1081.2999999999997</v>
      </c>
      <c r="Y2299">
        <f>VLOOKUP(D2299,'[1]Cost Sheet'!$C:$D,2,0)</f>
        <v>98.299999999999983</v>
      </c>
      <c r="Z2299" s="3">
        <f t="shared" si="71"/>
        <v>1081.2999999999997</v>
      </c>
    </row>
    <row r="2300" spans="1:26" x14ac:dyDescent="0.3">
      <c r="A2300" s="7" t="s">
        <v>21</v>
      </c>
      <c r="B2300" t="s">
        <v>906</v>
      </c>
      <c r="C2300" t="s">
        <v>907</v>
      </c>
      <c r="D2300" t="s">
        <v>908</v>
      </c>
      <c r="E2300" t="s">
        <v>909</v>
      </c>
      <c r="F2300" t="s">
        <v>106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2</v>
      </c>
      <c r="T2300">
        <v>0</v>
      </c>
      <c r="U2300" t="s">
        <v>47</v>
      </c>
      <c r="W2300" s="2">
        <v>98.299999999999983</v>
      </c>
      <c r="X2300" s="3">
        <f t="shared" si="70"/>
        <v>196.59999999999997</v>
      </c>
      <c r="Y2300">
        <f>VLOOKUP(D2300,'[1]Cost Sheet'!$C:$D,2,0)</f>
        <v>98.299999999999983</v>
      </c>
      <c r="Z2300" s="3">
        <f t="shared" si="71"/>
        <v>196.59999999999997</v>
      </c>
    </row>
    <row r="2301" spans="1:26" x14ac:dyDescent="0.3">
      <c r="A2301" s="7" t="s">
        <v>21</v>
      </c>
      <c r="B2301" t="s">
        <v>906</v>
      </c>
      <c r="C2301" t="s">
        <v>907</v>
      </c>
      <c r="D2301" t="s">
        <v>908</v>
      </c>
      <c r="E2301" t="s">
        <v>909</v>
      </c>
      <c r="F2301" t="s">
        <v>106</v>
      </c>
      <c r="G2301">
        <v>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2</v>
      </c>
      <c r="T2301">
        <v>0</v>
      </c>
      <c r="U2301" t="s">
        <v>48</v>
      </c>
      <c r="W2301" s="2">
        <v>98.299999999999983</v>
      </c>
      <c r="X2301" s="3">
        <f t="shared" si="70"/>
        <v>196.59999999999997</v>
      </c>
      <c r="Y2301">
        <f>VLOOKUP(D2301,'[1]Cost Sheet'!$C:$D,2,0)</f>
        <v>98.299999999999983</v>
      </c>
      <c r="Z2301" s="3">
        <f t="shared" si="71"/>
        <v>196.59999999999997</v>
      </c>
    </row>
    <row r="2302" spans="1:26" x14ac:dyDescent="0.3">
      <c r="A2302" s="7" t="s">
        <v>21</v>
      </c>
      <c r="B2302" t="s">
        <v>906</v>
      </c>
      <c r="C2302" t="s">
        <v>907</v>
      </c>
      <c r="D2302" t="s">
        <v>908</v>
      </c>
      <c r="E2302" t="s">
        <v>909</v>
      </c>
      <c r="F2302" t="s">
        <v>26</v>
      </c>
      <c r="G2302">
        <v>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7</v>
      </c>
      <c r="T2302">
        <v>0</v>
      </c>
      <c r="U2302" t="s">
        <v>53</v>
      </c>
      <c r="W2302" s="2">
        <v>98.299999999999983</v>
      </c>
      <c r="X2302" s="3">
        <f t="shared" si="70"/>
        <v>688.09999999999991</v>
      </c>
      <c r="Y2302">
        <f>VLOOKUP(D2302,'[1]Cost Sheet'!$C:$D,2,0)</f>
        <v>98.299999999999983</v>
      </c>
      <c r="Z2302" s="3">
        <f t="shared" si="71"/>
        <v>688.09999999999991</v>
      </c>
    </row>
    <row r="2303" spans="1:26" x14ac:dyDescent="0.3">
      <c r="A2303" s="7" t="s">
        <v>21</v>
      </c>
      <c r="B2303" t="s">
        <v>906</v>
      </c>
      <c r="C2303" t="s">
        <v>907</v>
      </c>
      <c r="D2303" t="s">
        <v>908</v>
      </c>
      <c r="E2303" t="s">
        <v>909</v>
      </c>
      <c r="F2303" t="s">
        <v>26</v>
      </c>
      <c r="G2303">
        <v>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8</v>
      </c>
      <c r="T2303">
        <v>0</v>
      </c>
      <c r="U2303" t="s">
        <v>54</v>
      </c>
      <c r="W2303" s="2">
        <v>98.299999999999983</v>
      </c>
      <c r="X2303" s="3">
        <f t="shared" si="70"/>
        <v>786.39999999999986</v>
      </c>
      <c r="Y2303">
        <f>VLOOKUP(D2303,'[1]Cost Sheet'!$C:$D,2,0)</f>
        <v>98.299999999999983</v>
      </c>
      <c r="Z2303" s="3">
        <f t="shared" si="71"/>
        <v>786.39999999999986</v>
      </c>
    </row>
    <row r="2304" spans="1:26" x14ac:dyDescent="0.3">
      <c r="A2304" s="7" t="s">
        <v>21</v>
      </c>
      <c r="B2304" t="s">
        <v>906</v>
      </c>
      <c r="C2304" t="s">
        <v>907</v>
      </c>
      <c r="D2304" t="s">
        <v>908</v>
      </c>
      <c r="E2304" t="s">
        <v>909</v>
      </c>
      <c r="F2304" t="s">
        <v>26</v>
      </c>
      <c r="G2304">
        <v>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6</v>
      </c>
      <c r="T2304">
        <v>0</v>
      </c>
      <c r="U2304" t="s">
        <v>32</v>
      </c>
      <c r="W2304" s="2">
        <v>98.299999999999983</v>
      </c>
      <c r="X2304" s="3">
        <f t="shared" si="70"/>
        <v>589.79999999999995</v>
      </c>
      <c r="Y2304">
        <f>VLOOKUP(D2304,'[1]Cost Sheet'!$C:$D,2,0)</f>
        <v>98.299999999999983</v>
      </c>
      <c r="Z2304" s="3">
        <f t="shared" si="71"/>
        <v>589.79999999999995</v>
      </c>
    </row>
    <row r="2305" spans="1:26" x14ac:dyDescent="0.3">
      <c r="A2305" s="7" t="s">
        <v>21</v>
      </c>
      <c r="B2305" t="s">
        <v>906</v>
      </c>
      <c r="C2305" t="s">
        <v>907</v>
      </c>
      <c r="D2305" t="s">
        <v>908</v>
      </c>
      <c r="E2305" t="s">
        <v>909</v>
      </c>
      <c r="F2305" t="s">
        <v>26</v>
      </c>
      <c r="G2305">
        <v>14</v>
      </c>
      <c r="H2305">
        <v>103</v>
      </c>
      <c r="I2305">
        <v>0</v>
      </c>
      <c r="J2305">
        <v>0</v>
      </c>
      <c r="K2305">
        <v>0</v>
      </c>
      <c r="L2305">
        <v>0</v>
      </c>
      <c r="M2305">
        <v>-12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2</v>
      </c>
      <c r="T2305">
        <v>0</v>
      </c>
      <c r="U2305" t="s">
        <v>109</v>
      </c>
      <c r="W2305" s="2">
        <v>98.299999999999983</v>
      </c>
      <c r="X2305" s="3">
        <f t="shared" si="70"/>
        <v>196.59999999999997</v>
      </c>
      <c r="Y2305">
        <f>VLOOKUP(D2305,'[1]Cost Sheet'!$C:$D,2,0)</f>
        <v>98.299999999999983</v>
      </c>
      <c r="Z2305" s="3">
        <f t="shared" si="71"/>
        <v>196.59999999999997</v>
      </c>
    </row>
    <row r="2306" spans="1:26" x14ac:dyDescent="0.3">
      <c r="A2306" s="7" t="s">
        <v>21</v>
      </c>
      <c r="B2306" t="s">
        <v>906</v>
      </c>
      <c r="C2306" t="s">
        <v>907</v>
      </c>
      <c r="D2306" t="s">
        <v>908</v>
      </c>
      <c r="E2306" t="s">
        <v>909</v>
      </c>
      <c r="F2306" t="s">
        <v>26</v>
      </c>
      <c r="G2306">
        <v>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3</v>
      </c>
      <c r="T2306">
        <v>0</v>
      </c>
      <c r="U2306" t="s">
        <v>46</v>
      </c>
      <c r="W2306" s="2">
        <v>98.299999999999983</v>
      </c>
      <c r="X2306" s="3">
        <f t="shared" si="70"/>
        <v>294.89999999999998</v>
      </c>
      <c r="Y2306">
        <f>VLOOKUP(D2306,'[1]Cost Sheet'!$C:$D,2,0)</f>
        <v>98.299999999999983</v>
      </c>
      <c r="Z2306" s="3">
        <f t="shared" si="71"/>
        <v>294.89999999999998</v>
      </c>
    </row>
    <row r="2307" spans="1:26" x14ac:dyDescent="0.3">
      <c r="A2307" s="7" t="s">
        <v>21</v>
      </c>
      <c r="B2307" t="s">
        <v>906</v>
      </c>
      <c r="C2307" t="s">
        <v>907</v>
      </c>
      <c r="D2307" t="s">
        <v>908</v>
      </c>
      <c r="E2307" t="s">
        <v>909</v>
      </c>
      <c r="F2307" t="s">
        <v>26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-1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2</v>
      </c>
      <c r="T2307">
        <v>0</v>
      </c>
      <c r="U2307" t="s">
        <v>47</v>
      </c>
      <c r="W2307" s="2">
        <v>98.299999999999983</v>
      </c>
      <c r="X2307" s="3">
        <f t="shared" ref="X2307:X2370" si="72">S2307*W2307</f>
        <v>196.59999999999997</v>
      </c>
      <c r="Y2307">
        <f>VLOOKUP(D2307,'[1]Cost Sheet'!$C:$D,2,0)</f>
        <v>98.299999999999983</v>
      </c>
      <c r="Z2307" s="3">
        <f t="shared" ref="Z2307:Z2370" si="73">Y2307*S2307</f>
        <v>196.59999999999997</v>
      </c>
    </row>
    <row r="2308" spans="1:26" x14ac:dyDescent="0.3">
      <c r="A2308" s="7" t="s">
        <v>21</v>
      </c>
      <c r="B2308" t="s">
        <v>906</v>
      </c>
      <c r="C2308" t="s">
        <v>907</v>
      </c>
      <c r="D2308" t="s">
        <v>908</v>
      </c>
      <c r="E2308" t="s">
        <v>909</v>
      </c>
      <c r="F2308" t="s">
        <v>26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 t="s">
        <v>40</v>
      </c>
      <c r="W2308" s="2">
        <v>98.299999999999983</v>
      </c>
      <c r="X2308" s="3">
        <f t="shared" si="72"/>
        <v>98.299999999999983</v>
      </c>
      <c r="Y2308">
        <f>VLOOKUP(D2308,'[1]Cost Sheet'!$C:$D,2,0)</f>
        <v>98.299999999999983</v>
      </c>
      <c r="Z2308" s="3">
        <f t="shared" si="73"/>
        <v>98.299999999999983</v>
      </c>
    </row>
    <row r="2309" spans="1:26" x14ac:dyDescent="0.3">
      <c r="A2309" s="7" t="s">
        <v>21</v>
      </c>
      <c r="B2309" t="s">
        <v>906</v>
      </c>
      <c r="C2309" t="s">
        <v>907</v>
      </c>
      <c r="D2309" t="s">
        <v>908</v>
      </c>
      <c r="E2309" t="s">
        <v>909</v>
      </c>
      <c r="F2309" t="s">
        <v>26</v>
      </c>
      <c r="G2309">
        <v>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4</v>
      </c>
      <c r="T2309">
        <v>0</v>
      </c>
      <c r="U2309" t="s">
        <v>59</v>
      </c>
      <c r="W2309" s="2">
        <v>98.299999999999983</v>
      </c>
      <c r="X2309" s="3">
        <f t="shared" si="72"/>
        <v>393.19999999999993</v>
      </c>
      <c r="Y2309">
        <f>VLOOKUP(D2309,'[1]Cost Sheet'!$C:$D,2,0)</f>
        <v>98.299999999999983</v>
      </c>
      <c r="Z2309" s="3">
        <f t="shared" si="73"/>
        <v>393.19999999999993</v>
      </c>
    </row>
    <row r="2310" spans="1:26" x14ac:dyDescent="0.3">
      <c r="A2310" s="7" t="s">
        <v>21</v>
      </c>
      <c r="B2310" t="s">
        <v>910</v>
      </c>
      <c r="C2310" t="s">
        <v>911</v>
      </c>
      <c r="D2310" t="s">
        <v>912</v>
      </c>
      <c r="E2310" t="s">
        <v>913</v>
      </c>
      <c r="F2310" t="s">
        <v>26</v>
      </c>
      <c r="G2310">
        <v>1</v>
      </c>
      <c r="H2310">
        <v>0</v>
      </c>
      <c r="I2310">
        <v>0</v>
      </c>
      <c r="J2310">
        <v>-1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t="s">
        <v>38</v>
      </c>
      <c r="W2310" s="2">
        <v>98.3</v>
      </c>
      <c r="X2310" s="3">
        <f t="shared" si="72"/>
        <v>0</v>
      </c>
      <c r="Y2310">
        <f>VLOOKUP(D2310,'[1]Cost Sheet'!$C:$D,2,0)</f>
        <v>98.3</v>
      </c>
      <c r="Z2310" s="3">
        <f t="shared" si="73"/>
        <v>0</v>
      </c>
    </row>
    <row r="2311" spans="1:26" x14ac:dyDescent="0.3">
      <c r="A2311" s="7" t="s">
        <v>21</v>
      </c>
      <c r="B2311" t="s">
        <v>910</v>
      </c>
      <c r="C2311" t="s">
        <v>911</v>
      </c>
      <c r="D2311" t="s">
        <v>912</v>
      </c>
      <c r="E2311" t="s">
        <v>913</v>
      </c>
      <c r="F2311" t="s">
        <v>26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 t="s">
        <v>45</v>
      </c>
      <c r="W2311" s="2">
        <v>98.3</v>
      </c>
      <c r="X2311" s="3">
        <f t="shared" si="72"/>
        <v>98.3</v>
      </c>
      <c r="Y2311">
        <f>VLOOKUP(D2311,'[1]Cost Sheet'!$C:$D,2,0)</f>
        <v>98.3</v>
      </c>
      <c r="Z2311" s="3">
        <f t="shared" si="73"/>
        <v>98.3</v>
      </c>
    </row>
    <row r="2312" spans="1:26" x14ac:dyDescent="0.3">
      <c r="A2312" s="7" t="s">
        <v>21</v>
      </c>
      <c r="B2312" t="s">
        <v>910</v>
      </c>
      <c r="C2312" t="s">
        <v>911</v>
      </c>
      <c r="D2312" t="s">
        <v>912</v>
      </c>
      <c r="E2312" t="s">
        <v>913</v>
      </c>
      <c r="F2312" t="s">
        <v>26</v>
      </c>
      <c r="G2312">
        <v>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9</v>
      </c>
      <c r="T2312">
        <v>0</v>
      </c>
      <c r="U2312" t="s">
        <v>39</v>
      </c>
      <c r="W2312" s="2">
        <v>98.3</v>
      </c>
      <c r="X2312" s="3">
        <f t="shared" si="72"/>
        <v>884.69999999999993</v>
      </c>
      <c r="Y2312">
        <f>VLOOKUP(D2312,'[1]Cost Sheet'!$C:$D,2,0)</f>
        <v>98.3</v>
      </c>
      <c r="Z2312" s="3">
        <f t="shared" si="73"/>
        <v>884.69999999999993</v>
      </c>
    </row>
    <row r="2313" spans="1:26" x14ac:dyDescent="0.3">
      <c r="A2313" s="7" t="s">
        <v>21</v>
      </c>
      <c r="B2313" t="s">
        <v>910</v>
      </c>
      <c r="C2313" t="s">
        <v>911</v>
      </c>
      <c r="D2313" t="s">
        <v>912</v>
      </c>
      <c r="E2313" t="s">
        <v>913</v>
      </c>
      <c r="F2313" t="s">
        <v>26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 t="s">
        <v>54</v>
      </c>
      <c r="W2313" s="2">
        <v>98.3</v>
      </c>
      <c r="X2313" s="3">
        <f t="shared" si="72"/>
        <v>98.3</v>
      </c>
      <c r="Y2313">
        <f>VLOOKUP(D2313,'[1]Cost Sheet'!$C:$D,2,0)</f>
        <v>98.3</v>
      </c>
      <c r="Z2313" s="3">
        <f t="shared" si="73"/>
        <v>98.3</v>
      </c>
    </row>
    <row r="2314" spans="1:26" x14ac:dyDescent="0.3">
      <c r="A2314" s="7" t="s">
        <v>21</v>
      </c>
      <c r="B2314" t="s">
        <v>910</v>
      </c>
      <c r="C2314" t="s">
        <v>911</v>
      </c>
      <c r="D2314" t="s">
        <v>912</v>
      </c>
      <c r="E2314" t="s">
        <v>913</v>
      </c>
      <c r="F2314" t="s">
        <v>26</v>
      </c>
      <c r="G2314">
        <v>1</v>
      </c>
      <c r="H2314">
        <v>0</v>
      </c>
      <c r="I2314">
        <v>0</v>
      </c>
      <c r="J2314">
        <v>-1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32</v>
      </c>
      <c r="W2314" s="2">
        <v>98.3</v>
      </c>
      <c r="X2314" s="3">
        <f t="shared" si="72"/>
        <v>0</v>
      </c>
      <c r="Y2314">
        <f>VLOOKUP(D2314,'[1]Cost Sheet'!$C:$D,2,0)</f>
        <v>98.3</v>
      </c>
      <c r="Z2314" s="3">
        <f t="shared" si="73"/>
        <v>0</v>
      </c>
    </row>
    <row r="2315" spans="1:26" x14ac:dyDescent="0.3">
      <c r="A2315" s="7" t="s">
        <v>21</v>
      </c>
      <c r="B2315" t="s">
        <v>910</v>
      </c>
      <c r="C2315" t="s">
        <v>911</v>
      </c>
      <c r="D2315" t="s">
        <v>912</v>
      </c>
      <c r="E2315" t="s">
        <v>913</v>
      </c>
      <c r="F2315" t="s">
        <v>26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0</v>
      </c>
      <c r="U2315" t="s">
        <v>46</v>
      </c>
      <c r="W2315" s="2">
        <v>98.3</v>
      </c>
      <c r="X2315" s="3">
        <f t="shared" si="72"/>
        <v>98.3</v>
      </c>
      <c r="Y2315">
        <f>VLOOKUP(D2315,'[1]Cost Sheet'!$C:$D,2,0)</f>
        <v>98.3</v>
      </c>
      <c r="Z2315" s="3">
        <f t="shared" si="73"/>
        <v>98.3</v>
      </c>
    </row>
    <row r="2316" spans="1:26" x14ac:dyDescent="0.3">
      <c r="A2316" s="7" t="s">
        <v>21</v>
      </c>
      <c r="B2316" t="s">
        <v>910</v>
      </c>
      <c r="C2316" t="s">
        <v>911</v>
      </c>
      <c r="D2316" t="s">
        <v>912</v>
      </c>
      <c r="E2316" t="s">
        <v>913</v>
      </c>
      <c r="F2316" t="s">
        <v>26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 t="s">
        <v>47</v>
      </c>
      <c r="W2316" s="2">
        <v>98.3</v>
      </c>
      <c r="X2316" s="3">
        <f t="shared" si="72"/>
        <v>98.3</v>
      </c>
      <c r="Y2316">
        <f>VLOOKUP(D2316,'[1]Cost Sheet'!$C:$D,2,0)</f>
        <v>98.3</v>
      </c>
      <c r="Z2316" s="3">
        <f t="shared" si="73"/>
        <v>98.3</v>
      </c>
    </row>
    <row r="2317" spans="1:26" x14ac:dyDescent="0.3">
      <c r="A2317" s="7" t="s">
        <v>21</v>
      </c>
      <c r="B2317" t="s">
        <v>910</v>
      </c>
      <c r="C2317" t="s">
        <v>911</v>
      </c>
      <c r="D2317" t="s">
        <v>912</v>
      </c>
      <c r="E2317" t="s">
        <v>913</v>
      </c>
      <c r="F2317" t="s">
        <v>26</v>
      </c>
      <c r="G2317">
        <v>3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3</v>
      </c>
      <c r="T2317">
        <v>0</v>
      </c>
      <c r="U2317" t="s">
        <v>59</v>
      </c>
      <c r="W2317" s="2">
        <v>98.3</v>
      </c>
      <c r="X2317" s="3">
        <f t="shared" si="72"/>
        <v>294.89999999999998</v>
      </c>
      <c r="Y2317">
        <f>VLOOKUP(D2317,'[1]Cost Sheet'!$C:$D,2,0)</f>
        <v>98.3</v>
      </c>
      <c r="Z2317" s="3">
        <f t="shared" si="73"/>
        <v>294.89999999999998</v>
      </c>
    </row>
    <row r="2318" spans="1:26" x14ac:dyDescent="0.3">
      <c r="A2318" s="7" t="s">
        <v>21</v>
      </c>
      <c r="B2318" t="s">
        <v>914</v>
      </c>
      <c r="C2318" t="s">
        <v>915</v>
      </c>
      <c r="D2318" t="s">
        <v>916</v>
      </c>
      <c r="E2318" t="s">
        <v>917</v>
      </c>
      <c r="F2318" t="s">
        <v>26</v>
      </c>
      <c r="G2318">
        <v>49</v>
      </c>
      <c r="H2318">
        <v>0</v>
      </c>
      <c r="I2318">
        <v>0</v>
      </c>
      <c r="J2318">
        <v>-4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45</v>
      </c>
      <c r="T2318">
        <v>0</v>
      </c>
      <c r="U2318" t="s">
        <v>45</v>
      </c>
      <c r="W2318" s="2">
        <v>98.3</v>
      </c>
      <c r="X2318" s="3">
        <f t="shared" si="72"/>
        <v>4423.5</v>
      </c>
      <c r="Y2318">
        <f>VLOOKUP(D2318,'[1]Cost Sheet'!$C:$D,2,0)</f>
        <v>98.3</v>
      </c>
      <c r="Z2318" s="3">
        <f t="shared" si="73"/>
        <v>4423.5</v>
      </c>
    </row>
    <row r="2319" spans="1:26" x14ac:dyDescent="0.3">
      <c r="A2319" s="7" t="s">
        <v>21</v>
      </c>
      <c r="B2319" t="s">
        <v>914</v>
      </c>
      <c r="C2319" t="s">
        <v>915</v>
      </c>
      <c r="D2319" t="s">
        <v>916</v>
      </c>
      <c r="E2319" t="s">
        <v>917</v>
      </c>
      <c r="F2319" t="s">
        <v>26</v>
      </c>
      <c r="G2319">
        <v>2</v>
      </c>
      <c r="H2319">
        <v>0</v>
      </c>
      <c r="I2319">
        <v>0</v>
      </c>
      <c r="J2319">
        <v>-1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 t="s">
        <v>39</v>
      </c>
      <c r="W2319" s="2">
        <v>98.3</v>
      </c>
      <c r="X2319" s="3">
        <f t="shared" si="72"/>
        <v>98.3</v>
      </c>
      <c r="Y2319">
        <f>VLOOKUP(D2319,'[1]Cost Sheet'!$C:$D,2,0)</f>
        <v>98.3</v>
      </c>
      <c r="Z2319" s="3">
        <f t="shared" si="73"/>
        <v>98.3</v>
      </c>
    </row>
    <row r="2320" spans="1:26" x14ac:dyDescent="0.3">
      <c r="A2320" s="7" t="s">
        <v>21</v>
      </c>
      <c r="B2320" t="s">
        <v>918</v>
      </c>
      <c r="C2320" t="s">
        <v>919</v>
      </c>
      <c r="D2320" t="s">
        <v>920</v>
      </c>
      <c r="E2320" t="s">
        <v>921</v>
      </c>
      <c r="F2320" t="s">
        <v>125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-1</v>
      </c>
      <c r="R2320">
        <v>0</v>
      </c>
      <c r="S2320">
        <v>0</v>
      </c>
      <c r="T2320">
        <v>0</v>
      </c>
      <c r="U2320" t="s">
        <v>88</v>
      </c>
      <c r="W2320" s="2">
        <v>98.3</v>
      </c>
      <c r="X2320" s="3">
        <f t="shared" si="72"/>
        <v>0</v>
      </c>
      <c r="Y2320">
        <f>VLOOKUP(D2320,'[1]Cost Sheet'!$C:$D,2,0)</f>
        <v>98.3</v>
      </c>
      <c r="Z2320" s="3">
        <f t="shared" si="73"/>
        <v>0</v>
      </c>
    </row>
    <row r="2321" spans="1:26" x14ac:dyDescent="0.3">
      <c r="A2321" s="7" t="s">
        <v>21</v>
      </c>
      <c r="B2321" t="s">
        <v>918</v>
      </c>
      <c r="C2321" t="s">
        <v>919</v>
      </c>
      <c r="D2321" t="s">
        <v>920</v>
      </c>
      <c r="E2321" t="s">
        <v>921</v>
      </c>
      <c r="F2321" t="s">
        <v>106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0</v>
      </c>
      <c r="U2321" t="s">
        <v>32</v>
      </c>
      <c r="W2321" s="2">
        <v>98.3</v>
      </c>
      <c r="X2321" s="3">
        <f t="shared" si="72"/>
        <v>98.3</v>
      </c>
      <c r="Y2321">
        <f>VLOOKUP(D2321,'[1]Cost Sheet'!$C:$D,2,0)</f>
        <v>98.3</v>
      </c>
      <c r="Z2321" s="3">
        <f t="shared" si="73"/>
        <v>98.3</v>
      </c>
    </row>
    <row r="2322" spans="1:26" x14ac:dyDescent="0.3">
      <c r="A2322" s="7" t="s">
        <v>21</v>
      </c>
      <c r="B2322" t="s">
        <v>918</v>
      </c>
      <c r="C2322" t="s">
        <v>919</v>
      </c>
      <c r="D2322" t="s">
        <v>920</v>
      </c>
      <c r="E2322" t="s">
        <v>921</v>
      </c>
      <c r="F2322" t="s">
        <v>106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 t="s">
        <v>46</v>
      </c>
      <c r="W2322" s="2">
        <v>98.3</v>
      </c>
      <c r="X2322" s="3">
        <f t="shared" si="72"/>
        <v>98.3</v>
      </c>
      <c r="Y2322">
        <f>VLOOKUP(D2322,'[1]Cost Sheet'!$C:$D,2,0)</f>
        <v>98.3</v>
      </c>
      <c r="Z2322" s="3">
        <f t="shared" si="73"/>
        <v>98.3</v>
      </c>
    </row>
    <row r="2323" spans="1:26" x14ac:dyDescent="0.3">
      <c r="A2323" s="7" t="s">
        <v>21</v>
      </c>
      <c r="B2323" t="s">
        <v>922</v>
      </c>
      <c r="C2323" t="s">
        <v>923</v>
      </c>
      <c r="D2323" t="s">
        <v>924</v>
      </c>
      <c r="E2323" t="s">
        <v>925</v>
      </c>
      <c r="F2323" t="s">
        <v>106</v>
      </c>
      <c r="G2323">
        <v>3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3</v>
      </c>
      <c r="T2323">
        <v>0</v>
      </c>
      <c r="U2323" t="s">
        <v>38</v>
      </c>
      <c r="W2323" s="2">
        <v>91.39</v>
      </c>
      <c r="X2323" s="3">
        <f t="shared" si="72"/>
        <v>274.17</v>
      </c>
      <c r="Y2323">
        <f>VLOOKUP(D2323,'[1]Cost Sheet'!$C:$D,2,0)</f>
        <v>91.39</v>
      </c>
      <c r="Z2323" s="3">
        <f t="shared" si="73"/>
        <v>274.17</v>
      </c>
    </row>
    <row r="2324" spans="1:26" x14ac:dyDescent="0.3">
      <c r="A2324" s="7" t="s">
        <v>21</v>
      </c>
      <c r="B2324" t="s">
        <v>922</v>
      </c>
      <c r="C2324" t="s">
        <v>923</v>
      </c>
      <c r="D2324" t="s">
        <v>924</v>
      </c>
      <c r="E2324" t="s">
        <v>925</v>
      </c>
      <c r="F2324" t="s">
        <v>106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 t="s">
        <v>45</v>
      </c>
      <c r="W2324" s="2">
        <v>91.39</v>
      </c>
      <c r="X2324" s="3">
        <f t="shared" si="72"/>
        <v>91.39</v>
      </c>
      <c r="Y2324">
        <f>VLOOKUP(D2324,'[1]Cost Sheet'!$C:$D,2,0)</f>
        <v>91.39</v>
      </c>
      <c r="Z2324" s="3">
        <f t="shared" si="73"/>
        <v>91.39</v>
      </c>
    </row>
    <row r="2325" spans="1:26" x14ac:dyDescent="0.3">
      <c r="A2325" s="7" t="s">
        <v>21</v>
      </c>
      <c r="B2325" t="s">
        <v>922</v>
      </c>
      <c r="C2325" t="s">
        <v>923</v>
      </c>
      <c r="D2325" t="s">
        <v>924</v>
      </c>
      <c r="E2325" t="s">
        <v>925</v>
      </c>
      <c r="F2325" t="s">
        <v>106</v>
      </c>
      <c r="G2325">
        <v>3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3</v>
      </c>
      <c r="T2325">
        <v>0</v>
      </c>
      <c r="U2325" t="s">
        <v>53</v>
      </c>
      <c r="W2325" s="2">
        <v>91.39</v>
      </c>
      <c r="X2325" s="3">
        <f t="shared" si="72"/>
        <v>274.17</v>
      </c>
      <c r="Y2325">
        <f>VLOOKUP(D2325,'[1]Cost Sheet'!$C:$D,2,0)</f>
        <v>91.39</v>
      </c>
      <c r="Z2325" s="3">
        <f t="shared" si="73"/>
        <v>274.17</v>
      </c>
    </row>
    <row r="2326" spans="1:26" x14ac:dyDescent="0.3">
      <c r="A2326" s="7" t="s">
        <v>21</v>
      </c>
      <c r="B2326" t="s">
        <v>922</v>
      </c>
      <c r="C2326" t="s">
        <v>923</v>
      </c>
      <c r="D2326" t="s">
        <v>924</v>
      </c>
      <c r="E2326" t="s">
        <v>925</v>
      </c>
      <c r="F2326" t="s">
        <v>106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 t="s">
        <v>32</v>
      </c>
      <c r="W2326" s="2">
        <v>91.39</v>
      </c>
      <c r="X2326" s="3">
        <f t="shared" si="72"/>
        <v>91.39</v>
      </c>
      <c r="Y2326">
        <f>VLOOKUP(D2326,'[1]Cost Sheet'!$C:$D,2,0)</f>
        <v>91.39</v>
      </c>
      <c r="Z2326" s="3">
        <f t="shared" si="73"/>
        <v>91.39</v>
      </c>
    </row>
    <row r="2327" spans="1:26" x14ac:dyDescent="0.3">
      <c r="A2327" s="7" t="s">
        <v>21</v>
      </c>
      <c r="B2327" t="s">
        <v>922</v>
      </c>
      <c r="C2327" t="s">
        <v>923</v>
      </c>
      <c r="D2327" t="s">
        <v>924</v>
      </c>
      <c r="E2327" t="s">
        <v>925</v>
      </c>
      <c r="F2327" t="s">
        <v>106</v>
      </c>
      <c r="G2327">
        <v>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7</v>
      </c>
      <c r="T2327">
        <v>0</v>
      </c>
      <c r="U2327" t="s">
        <v>33</v>
      </c>
      <c r="W2327" s="2">
        <v>91.39</v>
      </c>
      <c r="X2327" s="3">
        <f t="shared" si="72"/>
        <v>639.73</v>
      </c>
      <c r="Y2327">
        <f>VLOOKUP(D2327,'[1]Cost Sheet'!$C:$D,2,0)</f>
        <v>91.39</v>
      </c>
      <c r="Z2327" s="3">
        <f t="shared" si="73"/>
        <v>639.73</v>
      </c>
    </row>
    <row r="2328" spans="1:26" x14ac:dyDescent="0.3">
      <c r="A2328" s="7" t="s">
        <v>21</v>
      </c>
      <c r="B2328" t="s">
        <v>922</v>
      </c>
      <c r="C2328" t="s">
        <v>923</v>
      </c>
      <c r="D2328" t="s">
        <v>924</v>
      </c>
      <c r="E2328" t="s">
        <v>925</v>
      </c>
      <c r="F2328" t="s">
        <v>106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 t="s">
        <v>46</v>
      </c>
      <c r="W2328" s="2">
        <v>91.39</v>
      </c>
      <c r="X2328" s="3">
        <f t="shared" si="72"/>
        <v>91.39</v>
      </c>
      <c r="Y2328">
        <f>VLOOKUP(D2328,'[1]Cost Sheet'!$C:$D,2,0)</f>
        <v>91.39</v>
      </c>
      <c r="Z2328" s="3">
        <f t="shared" si="73"/>
        <v>91.39</v>
      </c>
    </row>
    <row r="2329" spans="1:26" x14ac:dyDescent="0.3">
      <c r="A2329" s="7" t="s">
        <v>21</v>
      </c>
      <c r="B2329" t="s">
        <v>922</v>
      </c>
      <c r="C2329" t="s">
        <v>923</v>
      </c>
      <c r="D2329" t="s">
        <v>924</v>
      </c>
      <c r="E2329" t="s">
        <v>925</v>
      </c>
      <c r="F2329" t="s">
        <v>106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 t="s">
        <v>40</v>
      </c>
      <c r="W2329" s="2">
        <v>91.39</v>
      </c>
      <c r="X2329" s="3">
        <f t="shared" si="72"/>
        <v>91.39</v>
      </c>
      <c r="Y2329">
        <f>VLOOKUP(D2329,'[1]Cost Sheet'!$C:$D,2,0)</f>
        <v>91.39</v>
      </c>
      <c r="Z2329" s="3">
        <f t="shared" si="73"/>
        <v>91.39</v>
      </c>
    </row>
    <row r="2330" spans="1:26" x14ac:dyDescent="0.3">
      <c r="A2330" s="7" t="s">
        <v>21</v>
      </c>
      <c r="B2330" t="s">
        <v>922</v>
      </c>
      <c r="C2330" t="s">
        <v>923</v>
      </c>
      <c r="D2330" t="s">
        <v>924</v>
      </c>
      <c r="E2330" t="s">
        <v>925</v>
      </c>
      <c r="F2330" t="s">
        <v>106</v>
      </c>
      <c r="G2330">
        <v>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4</v>
      </c>
      <c r="T2330">
        <v>0</v>
      </c>
      <c r="U2330" t="s">
        <v>48</v>
      </c>
      <c r="W2330" s="2">
        <v>91.39</v>
      </c>
      <c r="X2330" s="3">
        <f t="shared" si="72"/>
        <v>365.56</v>
      </c>
      <c r="Y2330">
        <f>VLOOKUP(D2330,'[1]Cost Sheet'!$C:$D,2,0)</f>
        <v>91.39</v>
      </c>
      <c r="Z2330" s="3">
        <f t="shared" si="73"/>
        <v>365.56</v>
      </c>
    </row>
    <row r="2331" spans="1:26" x14ac:dyDescent="0.3">
      <c r="A2331" s="7" t="s">
        <v>21</v>
      </c>
      <c r="B2331" t="s">
        <v>922</v>
      </c>
      <c r="C2331" t="s">
        <v>923</v>
      </c>
      <c r="D2331" t="s">
        <v>924</v>
      </c>
      <c r="E2331" t="s">
        <v>925</v>
      </c>
      <c r="F2331" t="s">
        <v>106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 t="s">
        <v>59</v>
      </c>
      <c r="W2331" s="2">
        <v>91.39</v>
      </c>
      <c r="X2331" s="3">
        <f t="shared" si="72"/>
        <v>91.39</v>
      </c>
      <c r="Y2331">
        <f>VLOOKUP(D2331,'[1]Cost Sheet'!$C:$D,2,0)</f>
        <v>91.39</v>
      </c>
      <c r="Z2331" s="3">
        <f t="shared" si="73"/>
        <v>91.39</v>
      </c>
    </row>
    <row r="2332" spans="1:26" x14ac:dyDescent="0.3">
      <c r="A2332" s="7" t="s">
        <v>21</v>
      </c>
      <c r="B2332" t="s">
        <v>922</v>
      </c>
      <c r="C2332" t="s">
        <v>923</v>
      </c>
      <c r="D2332" t="s">
        <v>924</v>
      </c>
      <c r="E2332" t="s">
        <v>925</v>
      </c>
      <c r="F2332" t="s">
        <v>106</v>
      </c>
      <c r="G2332">
        <v>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2</v>
      </c>
      <c r="T2332">
        <v>0</v>
      </c>
      <c r="U2332" t="s">
        <v>27</v>
      </c>
      <c r="W2332" s="2">
        <v>91.39</v>
      </c>
      <c r="X2332" s="3">
        <f t="shared" si="72"/>
        <v>182.78</v>
      </c>
      <c r="Y2332">
        <f>VLOOKUP(D2332,'[1]Cost Sheet'!$C:$D,2,0)</f>
        <v>91.39</v>
      </c>
      <c r="Z2332" s="3">
        <f t="shared" si="73"/>
        <v>182.78</v>
      </c>
    </row>
    <row r="2333" spans="1:26" x14ac:dyDescent="0.3">
      <c r="A2333" s="7" t="s">
        <v>21</v>
      </c>
      <c r="B2333" t="s">
        <v>922</v>
      </c>
      <c r="C2333" t="s">
        <v>923</v>
      </c>
      <c r="D2333" t="s">
        <v>924</v>
      </c>
      <c r="E2333" t="s">
        <v>925</v>
      </c>
      <c r="F2333" t="s">
        <v>26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-1</v>
      </c>
      <c r="P2333">
        <v>0</v>
      </c>
      <c r="Q2333">
        <v>0</v>
      </c>
      <c r="R2333">
        <v>0</v>
      </c>
      <c r="S2333">
        <v>0</v>
      </c>
      <c r="T2333">
        <v>0</v>
      </c>
      <c r="U2333" t="s">
        <v>45</v>
      </c>
      <c r="W2333" s="2">
        <v>91.39</v>
      </c>
      <c r="X2333" s="3">
        <f t="shared" si="72"/>
        <v>0</v>
      </c>
      <c r="Y2333">
        <f>VLOOKUP(D2333,'[1]Cost Sheet'!$C:$D,2,0)</f>
        <v>91.39</v>
      </c>
      <c r="Z2333" s="3">
        <f t="shared" si="73"/>
        <v>0</v>
      </c>
    </row>
    <row r="2334" spans="1:26" x14ac:dyDescent="0.3">
      <c r="A2334" s="7" t="s">
        <v>21</v>
      </c>
      <c r="B2334" t="s">
        <v>926</v>
      </c>
      <c r="C2334" t="s">
        <v>927</v>
      </c>
      <c r="D2334" t="s">
        <v>928</v>
      </c>
      <c r="E2334" t="s">
        <v>929</v>
      </c>
      <c r="F2334" t="s">
        <v>26</v>
      </c>
      <c r="G2334">
        <v>8</v>
      </c>
      <c r="H2334">
        <v>0</v>
      </c>
      <c r="I2334">
        <v>0</v>
      </c>
      <c r="J2334">
        <v>-1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7</v>
      </c>
      <c r="T2334">
        <v>0</v>
      </c>
      <c r="U2334" t="s">
        <v>45</v>
      </c>
      <c r="W2334" s="2">
        <v>98.299999999999983</v>
      </c>
      <c r="X2334" s="3">
        <f t="shared" si="72"/>
        <v>688.09999999999991</v>
      </c>
      <c r="Y2334">
        <f>VLOOKUP(D2334,'[1]Cost Sheet'!$C:$D,2,0)</f>
        <v>98.299999999999983</v>
      </c>
      <c r="Z2334" s="3">
        <f t="shared" si="73"/>
        <v>688.09999999999991</v>
      </c>
    </row>
    <row r="2335" spans="1:26" x14ac:dyDescent="0.3">
      <c r="A2335" s="7" t="s">
        <v>21</v>
      </c>
      <c r="B2335" t="s">
        <v>926</v>
      </c>
      <c r="C2335" t="s">
        <v>927</v>
      </c>
      <c r="D2335" t="s">
        <v>928</v>
      </c>
      <c r="E2335" t="s">
        <v>929</v>
      </c>
      <c r="F2335" t="s">
        <v>26</v>
      </c>
      <c r="G2335">
        <v>19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19</v>
      </c>
      <c r="T2335">
        <v>0</v>
      </c>
      <c r="U2335" t="s">
        <v>40</v>
      </c>
      <c r="W2335" s="2">
        <v>98.299999999999983</v>
      </c>
      <c r="X2335" s="3">
        <f t="shared" si="72"/>
        <v>1867.6999999999996</v>
      </c>
      <c r="Y2335">
        <f>VLOOKUP(D2335,'[1]Cost Sheet'!$C:$D,2,0)</f>
        <v>98.299999999999983</v>
      </c>
      <c r="Z2335" s="3">
        <f t="shared" si="73"/>
        <v>1867.6999999999996</v>
      </c>
    </row>
    <row r="2336" spans="1:26" x14ac:dyDescent="0.3">
      <c r="A2336" s="7" t="s">
        <v>21</v>
      </c>
      <c r="B2336" t="s">
        <v>926</v>
      </c>
      <c r="C2336" t="s">
        <v>927</v>
      </c>
      <c r="D2336" t="s">
        <v>928</v>
      </c>
      <c r="E2336" t="s">
        <v>929</v>
      </c>
      <c r="F2336" t="s">
        <v>114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 t="s">
        <v>88</v>
      </c>
      <c r="W2336" s="2">
        <v>98.299999999999983</v>
      </c>
      <c r="X2336" s="3">
        <f t="shared" si="72"/>
        <v>98.299999999999983</v>
      </c>
      <c r="Y2336">
        <f>VLOOKUP(D2336,'[1]Cost Sheet'!$C:$D,2,0)</f>
        <v>98.299999999999983</v>
      </c>
      <c r="Z2336" s="3">
        <f t="shared" si="73"/>
        <v>98.299999999999983</v>
      </c>
    </row>
    <row r="2337" spans="1:26" x14ac:dyDescent="0.3">
      <c r="A2337" s="7" t="s">
        <v>21</v>
      </c>
      <c r="B2337" t="s">
        <v>930</v>
      </c>
      <c r="C2337" t="s">
        <v>931</v>
      </c>
      <c r="D2337" t="s">
        <v>932</v>
      </c>
      <c r="E2337" t="s">
        <v>933</v>
      </c>
      <c r="F2337" t="s">
        <v>26</v>
      </c>
      <c r="G2337">
        <v>30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30</v>
      </c>
      <c r="T2337">
        <v>0</v>
      </c>
      <c r="U2337" t="s">
        <v>38</v>
      </c>
      <c r="W2337" s="2">
        <v>98.299999999999983</v>
      </c>
      <c r="X2337" s="3">
        <f t="shared" si="72"/>
        <v>2948.9999999999995</v>
      </c>
      <c r="Y2337">
        <f>VLOOKUP(D2337,'[1]Cost Sheet'!$C:$D,2,0)</f>
        <v>98.299999999999983</v>
      </c>
      <c r="Z2337" s="3">
        <f t="shared" si="73"/>
        <v>2948.9999999999995</v>
      </c>
    </row>
    <row r="2338" spans="1:26" x14ac:dyDescent="0.3">
      <c r="A2338" s="7" t="s">
        <v>21</v>
      </c>
      <c r="B2338" t="s">
        <v>930</v>
      </c>
      <c r="C2338" t="s">
        <v>931</v>
      </c>
      <c r="D2338" t="s">
        <v>932</v>
      </c>
      <c r="E2338" t="s">
        <v>933</v>
      </c>
      <c r="F2338" t="s">
        <v>26</v>
      </c>
      <c r="G2338">
        <v>42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42</v>
      </c>
      <c r="T2338">
        <v>0</v>
      </c>
      <c r="U2338" t="s">
        <v>45</v>
      </c>
      <c r="W2338" s="2">
        <v>98.299999999999983</v>
      </c>
      <c r="X2338" s="3">
        <f t="shared" si="72"/>
        <v>4128.5999999999995</v>
      </c>
      <c r="Y2338">
        <f>VLOOKUP(D2338,'[1]Cost Sheet'!$C:$D,2,0)</f>
        <v>98.299999999999983</v>
      </c>
      <c r="Z2338" s="3">
        <f t="shared" si="73"/>
        <v>4128.5999999999995</v>
      </c>
    </row>
    <row r="2339" spans="1:26" x14ac:dyDescent="0.3">
      <c r="A2339" s="7" t="s">
        <v>21</v>
      </c>
      <c r="B2339" t="s">
        <v>930</v>
      </c>
      <c r="C2339" t="s">
        <v>931</v>
      </c>
      <c r="D2339" t="s">
        <v>932</v>
      </c>
      <c r="E2339" t="s">
        <v>933</v>
      </c>
      <c r="F2339" t="s">
        <v>26</v>
      </c>
      <c r="G2339">
        <v>28</v>
      </c>
      <c r="H2339">
        <v>0</v>
      </c>
      <c r="I2339">
        <v>0</v>
      </c>
      <c r="J2339">
        <v>-1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27</v>
      </c>
      <c r="T2339">
        <v>0</v>
      </c>
      <c r="U2339" t="s">
        <v>39</v>
      </c>
      <c r="W2339" s="2">
        <v>98.299999999999983</v>
      </c>
      <c r="X2339" s="3">
        <f t="shared" si="72"/>
        <v>2654.0999999999995</v>
      </c>
      <c r="Y2339">
        <f>VLOOKUP(D2339,'[1]Cost Sheet'!$C:$D,2,0)</f>
        <v>98.299999999999983</v>
      </c>
      <c r="Z2339" s="3">
        <f t="shared" si="73"/>
        <v>2654.0999999999995</v>
      </c>
    </row>
    <row r="2340" spans="1:26" x14ac:dyDescent="0.3">
      <c r="A2340" s="7" t="s">
        <v>21</v>
      </c>
      <c r="B2340" t="s">
        <v>930</v>
      </c>
      <c r="C2340" t="s">
        <v>931</v>
      </c>
      <c r="D2340" t="s">
        <v>932</v>
      </c>
      <c r="E2340" t="s">
        <v>933</v>
      </c>
      <c r="F2340" t="s">
        <v>26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 t="s">
        <v>53</v>
      </c>
      <c r="W2340" s="2">
        <v>98.299999999999983</v>
      </c>
      <c r="X2340" s="3">
        <f t="shared" si="72"/>
        <v>98.299999999999983</v>
      </c>
      <c r="Y2340">
        <f>VLOOKUP(D2340,'[1]Cost Sheet'!$C:$D,2,0)</f>
        <v>98.299999999999983</v>
      </c>
      <c r="Z2340" s="3">
        <f t="shared" si="73"/>
        <v>98.299999999999983</v>
      </c>
    </row>
    <row r="2341" spans="1:26" x14ac:dyDescent="0.3">
      <c r="A2341" s="7" t="s">
        <v>21</v>
      </c>
      <c r="B2341" t="s">
        <v>930</v>
      </c>
      <c r="C2341" t="s">
        <v>931</v>
      </c>
      <c r="D2341" t="s">
        <v>932</v>
      </c>
      <c r="E2341" t="s">
        <v>933</v>
      </c>
      <c r="F2341" t="s">
        <v>26</v>
      </c>
      <c r="G2341">
        <v>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6</v>
      </c>
      <c r="T2341">
        <v>0</v>
      </c>
      <c r="U2341" t="s">
        <v>54</v>
      </c>
      <c r="W2341" s="2">
        <v>98.299999999999983</v>
      </c>
      <c r="X2341" s="3">
        <f t="shared" si="72"/>
        <v>589.79999999999995</v>
      </c>
      <c r="Y2341">
        <f>VLOOKUP(D2341,'[1]Cost Sheet'!$C:$D,2,0)</f>
        <v>98.299999999999983</v>
      </c>
      <c r="Z2341" s="3">
        <f t="shared" si="73"/>
        <v>589.79999999999995</v>
      </c>
    </row>
    <row r="2342" spans="1:26" x14ac:dyDescent="0.3">
      <c r="A2342" s="7" t="s">
        <v>21</v>
      </c>
      <c r="B2342" t="s">
        <v>930</v>
      </c>
      <c r="C2342" t="s">
        <v>931</v>
      </c>
      <c r="D2342" t="s">
        <v>932</v>
      </c>
      <c r="E2342" t="s">
        <v>933</v>
      </c>
      <c r="F2342" t="s">
        <v>26</v>
      </c>
      <c r="G2342">
        <v>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4</v>
      </c>
      <c r="T2342">
        <v>0</v>
      </c>
      <c r="U2342" t="s">
        <v>47</v>
      </c>
      <c r="W2342" s="2">
        <v>98.299999999999983</v>
      </c>
      <c r="X2342" s="3">
        <f t="shared" si="72"/>
        <v>393.19999999999993</v>
      </c>
      <c r="Y2342">
        <f>VLOOKUP(D2342,'[1]Cost Sheet'!$C:$D,2,0)</f>
        <v>98.299999999999983</v>
      </c>
      <c r="Z2342" s="3">
        <f t="shared" si="73"/>
        <v>393.19999999999993</v>
      </c>
    </row>
    <row r="2343" spans="1:26" x14ac:dyDescent="0.3">
      <c r="A2343" s="7" t="s">
        <v>21</v>
      </c>
      <c r="B2343" t="s">
        <v>930</v>
      </c>
      <c r="C2343" t="s">
        <v>931</v>
      </c>
      <c r="D2343" t="s">
        <v>932</v>
      </c>
      <c r="E2343" t="s">
        <v>933</v>
      </c>
      <c r="F2343" t="s">
        <v>26</v>
      </c>
      <c r="G2343">
        <v>2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2</v>
      </c>
      <c r="T2343">
        <v>0</v>
      </c>
      <c r="U2343" t="s">
        <v>59</v>
      </c>
      <c r="W2343" s="2">
        <v>98.299999999999983</v>
      </c>
      <c r="X2343" s="3">
        <f t="shared" si="72"/>
        <v>196.59999999999997</v>
      </c>
      <c r="Y2343">
        <f>VLOOKUP(D2343,'[1]Cost Sheet'!$C:$D,2,0)</f>
        <v>98.299999999999983</v>
      </c>
      <c r="Z2343" s="3">
        <f t="shared" si="73"/>
        <v>196.59999999999997</v>
      </c>
    </row>
    <row r="2344" spans="1:26" x14ac:dyDescent="0.3">
      <c r="A2344" s="7" t="s">
        <v>21</v>
      </c>
      <c r="B2344" t="s">
        <v>934</v>
      </c>
      <c r="C2344" t="s">
        <v>935</v>
      </c>
      <c r="D2344" t="s">
        <v>936</v>
      </c>
      <c r="E2344" t="s">
        <v>937</v>
      </c>
      <c r="F2344" t="s">
        <v>106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-1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45</v>
      </c>
      <c r="W2344" s="2">
        <v>91.25</v>
      </c>
      <c r="X2344" s="3">
        <f t="shared" si="72"/>
        <v>0</v>
      </c>
      <c r="Y2344">
        <f>VLOOKUP(D2344,'[1]Cost Sheet'!$C:$D,2,0)</f>
        <v>91.25</v>
      </c>
      <c r="Z2344" s="3">
        <f t="shared" si="73"/>
        <v>0</v>
      </c>
    </row>
    <row r="2345" spans="1:26" x14ac:dyDescent="0.3">
      <c r="A2345" s="7" t="s">
        <v>21</v>
      </c>
      <c r="B2345" t="s">
        <v>934</v>
      </c>
      <c r="C2345" t="s">
        <v>935</v>
      </c>
      <c r="D2345" t="s">
        <v>936</v>
      </c>
      <c r="E2345" t="s">
        <v>937</v>
      </c>
      <c r="F2345" t="s">
        <v>106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-1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s">
        <v>27</v>
      </c>
      <c r="W2345" s="2">
        <v>91.25</v>
      </c>
      <c r="X2345" s="3">
        <f t="shared" si="72"/>
        <v>0</v>
      </c>
      <c r="Y2345">
        <f>VLOOKUP(D2345,'[1]Cost Sheet'!$C:$D,2,0)</f>
        <v>91.25</v>
      </c>
      <c r="Z2345" s="3">
        <f t="shared" si="73"/>
        <v>0</v>
      </c>
    </row>
    <row r="2346" spans="1:26" x14ac:dyDescent="0.3">
      <c r="A2346" s="7" t="s">
        <v>21</v>
      </c>
      <c r="B2346" t="s">
        <v>934</v>
      </c>
      <c r="C2346" t="s">
        <v>935</v>
      </c>
      <c r="D2346" t="s">
        <v>936</v>
      </c>
      <c r="E2346" t="s">
        <v>937</v>
      </c>
      <c r="F2346" t="s">
        <v>26</v>
      </c>
      <c r="G2346">
        <v>54</v>
      </c>
      <c r="H2346">
        <v>3</v>
      </c>
      <c r="I2346">
        <v>0</v>
      </c>
      <c r="J2346">
        <v>-2</v>
      </c>
      <c r="K2346">
        <v>0</v>
      </c>
      <c r="L2346">
        <v>0</v>
      </c>
      <c r="M2346">
        <v>-3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49</v>
      </c>
      <c r="T2346">
        <v>0</v>
      </c>
      <c r="U2346" t="s">
        <v>38</v>
      </c>
      <c r="W2346" s="2">
        <v>91.25</v>
      </c>
      <c r="X2346" s="3">
        <f t="shared" si="72"/>
        <v>4471.25</v>
      </c>
      <c r="Y2346">
        <f>VLOOKUP(D2346,'[1]Cost Sheet'!$C:$D,2,0)</f>
        <v>91.25</v>
      </c>
      <c r="Z2346" s="3">
        <f t="shared" si="73"/>
        <v>4471.25</v>
      </c>
    </row>
    <row r="2347" spans="1:26" x14ac:dyDescent="0.3">
      <c r="A2347" s="7" t="s">
        <v>21</v>
      </c>
      <c r="B2347" t="s">
        <v>934</v>
      </c>
      <c r="C2347" t="s">
        <v>935</v>
      </c>
      <c r="D2347" t="s">
        <v>936</v>
      </c>
      <c r="E2347" t="s">
        <v>937</v>
      </c>
      <c r="F2347" t="s">
        <v>26</v>
      </c>
      <c r="G2347">
        <v>61</v>
      </c>
      <c r="H2347">
        <v>0</v>
      </c>
      <c r="I2347">
        <v>0</v>
      </c>
      <c r="J2347">
        <v>-1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60</v>
      </c>
      <c r="T2347">
        <v>0</v>
      </c>
      <c r="U2347" t="s">
        <v>107</v>
      </c>
      <c r="W2347" s="2">
        <v>91.25</v>
      </c>
      <c r="X2347" s="3">
        <f t="shared" si="72"/>
        <v>5475</v>
      </c>
      <c r="Y2347">
        <f>VLOOKUP(D2347,'[1]Cost Sheet'!$C:$D,2,0)</f>
        <v>91.25</v>
      </c>
      <c r="Z2347" s="3">
        <f t="shared" si="73"/>
        <v>5475</v>
      </c>
    </row>
    <row r="2348" spans="1:26" x14ac:dyDescent="0.3">
      <c r="A2348" s="7" t="s">
        <v>21</v>
      </c>
      <c r="B2348" t="s">
        <v>934</v>
      </c>
      <c r="C2348" t="s">
        <v>935</v>
      </c>
      <c r="D2348" t="s">
        <v>936</v>
      </c>
      <c r="E2348" t="s">
        <v>937</v>
      </c>
      <c r="F2348" t="s">
        <v>26</v>
      </c>
      <c r="G2348">
        <v>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5</v>
      </c>
      <c r="T2348">
        <v>0</v>
      </c>
      <c r="U2348" t="s">
        <v>45</v>
      </c>
      <c r="W2348" s="2">
        <v>91.25</v>
      </c>
      <c r="X2348" s="3">
        <f t="shared" si="72"/>
        <v>456.25</v>
      </c>
      <c r="Y2348">
        <f>VLOOKUP(D2348,'[1]Cost Sheet'!$C:$D,2,0)</f>
        <v>91.25</v>
      </c>
      <c r="Z2348" s="3">
        <f t="shared" si="73"/>
        <v>456.25</v>
      </c>
    </row>
    <row r="2349" spans="1:26" x14ac:dyDescent="0.3">
      <c r="A2349" s="7" t="s">
        <v>21</v>
      </c>
      <c r="B2349" t="s">
        <v>934</v>
      </c>
      <c r="C2349" t="s">
        <v>935</v>
      </c>
      <c r="D2349" t="s">
        <v>936</v>
      </c>
      <c r="E2349" t="s">
        <v>937</v>
      </c>
      <c r="F2349" t="s">
        <v>26</v>
      </c>
      <c r="G2349">
        <v>2</v>
      </c>
      <c r="H2349">
        <v>0</v>
      </c>
      <c r="I2349">
        <v>0</v>
      </c>
      <c r="J2349">
        <v>-2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 t="s">
        <v>39</v>
      </c>
      <c r="W2349" s="2">
        <v>91.25</v>
      </c>
      <c r="X2349" s="3">
        <f t="shared" si="72"/>
        <v>0</v>
      </c>
      <c r="Y2349">
        <f>VLOOKUP(D2349,'[1]Cost Sheet'!$C:$D,2,0)</f>
        <v>91.25</v>
      </c>
      <c r="Z2349" s="3">
        <f t="shared" si="73"/>
        <v>0</v>
      </c>
    </row>
    <row r="2350" spans="1:26" x14ac:dyDescent="0.3">
      <c r="A2350" s="7" t="s">
        <v>21</v>
      </c>
      <c r="B2350" t="s">
        <v>934</v>
      </c>
      <c r="C2350" t="s">
        <v>935</v>
      </c>
      <c r="D2350" t="s">
        <v>936</v>
      </c>
      <c r="E2350" t="s">
        <v>937</v>
      </c>
      <c r="F2350" t="s">
        <v>26</v>
      </c>
      <c r="G2350">
        <v>3</v>
      </c>
      <c r="H2350">
        <v>0</v>
      </c>
      <c r="I2350">
        <v>0</v>
      </c>
      <c r="J2350">
        <v>-2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 t="s">
        <v>32</v>
      </c>
      <c r="W2350" s="2">
        <v>91.25</v>
      </c>
      <c r="X2350" s="3">
        <f t="shared" si="72"/>
        <v>91.25</v>
      </c>
      <c r="Y2350">
        <f>VLOOKUP(D2350,'[1]Cost Sheet'!$C:$D,2,0)</f>
        <v>91.25</v>
      </c>
      <c r="Z2350" s="3">
        <f t="shared" si="73"/>
        <v>91.25</v>
      </c>
    </row>
    <row r="2351" spans="1:26" x14ac:dyDescent="0.3">
      <c r="A2351" s="7" t="s">
        <v>21</v>
      </c>
      <c r="B2351" t="s">
        <v>934</v>
      </c>
      <c r="C2351" t="s">
        <v>935</v>
      </c>
      <c r="D2351" t="s">
        <v>936</v>
      </c>
      <c r="E2351" t="s">
        <v>937</v>
      </c>
      <c r="F2351" t="s">
        <v>26</v>
      </c>
      <c r="G2351">
        <v>4</v>
      </c>
      <c r="H2351">
        <v>0</v>
      </c>
      <c r="I2351">
        <v>0</v>
      </c>
      <c r="J2351">
        <v>-1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3</v>
      </c>
      <c r="T2351">
        <v>0</v>
      </c>
      <c r="U2351" t="s">
        <v>33</v>
      </c>
      <c r="W2351" s="2">
        <v>91.25</v>
      </c>
      <c r="X2351" s="3">
        <f t="shared" si="72"/>
        <v>273.75</v>
      </c>
      <c r="Y2351">
        <f>VLOOKUP(D2351,'[1]Cost Sheet'!$C:$D,2,0)</f>
        <v>91.25</v>
      </c>
      <c r="Z2351" s="3">
        <f t="shared" si="73"/>
        <v>273.75</v>
      </c>
    </row>
    <row r="2352" spans="1:26" x14ac:dyDescent="0.3">
      <c r="A2352" s="7" t="s">
        <v>21</v>
      </c>
      <c r="B2352" t="s">
        <v>934</v>
      </c>
      <c r="C2352" t="s">
        <v>935</v>
      </c>
      <c r="D2352" t="s">
        <v>936</v>
      </c>
      <c r="E2352" t="s">
        <v>937</v>
      </c>
      <c r="F2352" t="s">
        <v>26</v>
      </c>
      <c r="G2352">
        <v>15</v>
      </c>
      <c r="H2352">
        <v>0</v>
      </c>
      <c r="I2352">
        <v>0</v>
      </c>
      <c r="J2352">
        <v>-2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13</v>
      </c>
      <c r="T2352">
        <v>0</v>
      </c>
      <c r="U2352" t="s">
        <v>46</v>
      </c>
      <c r="W2352" s="2">
        <v>91.25</v>
      </c>
      <c r="X2352" s="3">
        <f t="shared" si="72"/>
        <v>1186.25</v>
      </c>
      <c r="Y2352">
        <f>VLOOKUP(D2352,'[1]Cost Sheet'!$C:$D,2,0)</f>
        <v>91.25</v>
      </c>
      <c r="Z2352" s="3">
        <f t="shared" si="73"/>
        <v>1186.25</v>
      </c>
    </row>
    <row r="2353" spans="1:26" x14ac:dyDescent="0.3">
      <c r="A2353" s="7" t="s">
        <v>21</v>
      </c>
      <c r="B2353" t="s">
        <v>934</v>
      </c>
      <c r="C2353" t="s">
        <v>935</v>
      </c>
      <c r="D2353" t="s">
        <v>936</v>
      </c>
      <c r="E2353" t="s">
        <v>937</v>
      </c>
      <c r="F2353" t="s">
        <v>26</v>
      </c>
      <c r="G2353">
        <v>1</v>
      </c>
      <c r="H2353">
        <v>0</v>
      </c>
      <c r="I2353">
        <v>0</v>
      </c>
      <c r="J2353">
        <v>-1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47</v>
      </c>
      <c r="W2353" s="2">
        <v>91.25</v>
      </c>
      <c r="X2353" s="3">
        <f t="shared" si="72"/>
        <v>0</v>
      </c>
      <c r="Y2353">
        <f>VLOOKUP(D2353,'[1]Cost Sheet'!$C:$D,2,0)</f>
        <v>91.25</v>
      </c>
      <c r="Z2353" s="3">
        <f t="shared" si="73"/>
        <v>0</v>
      </c>
    </row>
    <row r="2354" spans="1:26" x14ac:dyDescent="0.3">
      <c r="A2354" s="7" t="s">
        <v>21</v>
      </c>
      <c r="B2354" t="s">
        <v>934</v>
      </c>
      <c r="C2354" t="s">
        <v>935</v>
      </c>
      <c r="D2354" t="s">
        <v>936</v>
      </c>
      <c r="E2354" t="s">
        <v>937</v>
      </c>
      <c r="F2354" t="s">
        <v>26</v>
      </c>
      <c r="G2354">
        <v>14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14</v>
      </c>
      <c r="T2354">
        <v>0</v>
      </c>
      <c r="U2354" t="s">
        <v>40</v>
      </c>
      <c r="W2354" s="2">
        <v>91.25</v>
      </c>
      <c r="X2354" s="3">
        <f t="shared" si="72"/>
        <v>1277.5</v>
      </c>
      <c r="Y2354">
        <f>VLOOKUP(D2354,'[1]Cost Sheet'!$C:$D,2,0)</f>
        <v>91.25</v>
      </c>
      <c r="Z2354" s="3">
        <f t="shared" si="73"/>
        <v>1277.5</v>
      </c>
    </row>
    <row r="2355" spans="1:26" x14ac:dyDescent="0.3">
      <c r="A2355" s="7" t="s">
        <v>21</v>
      </c>
      <c r="B2355" t="s">
        <v>934</v>
      </c>
      <c r="C2355" t="s">
        <v>935</v>
      </c>
      <c r="D2355" t="s">
        <v>936</v>
      </c>
      <c r="E2355" t="s">
        <v>937</v>
      </c>
      <c r="F2355" t="s">
        <v>26</v>
      </c>
      <c r="G2355">
        <v>54</v>
      </c>
      <c r="H2355">
        <v>0</v>
      </c>
      <c r="I2355">
        <v>0</v>
      </c>
      <c r="J2355">
        <v>-1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53</v>
      </c>
      <c r="T2355">
        <v>0</v>
      </c>
      <c r="U2355" t="s">
        <v>113</v>
      </c>
      <c r="W2355" s="2">
        <v>91.25</v>
      </c>
      <c r="X2355" s="3">
        <f t="shared" si="72"/>
        <v>4836.25</v>
      </c>
      <c r="Y2355">
        <f>VLOOKUP(D2355,'[1]Cost Sheet'!$C:$D,2,0)</f>
        <v>91.25</v>
      </c>
      <c r="Z2355" s="3">
        <f t="shared" si="73"/>
        <v>4836.25</v>
      </c>
    </row>
    <row r="2356" spans="1:26" x14ac:dyDescent="0.3">
      <c r="A2356" s="7" t="s">
        <v>21</v>
      </c>
      <c r="B2356" t="s">
        <v>934</v>
      </c>
      <c r="C2356" t="s">
        <v>935</v>
      </c>
      <c r="D2356" t="s">
        <v>936</v>
      </c>
      <c r="E2356" t="s">
        <v>937</v>
      </c>
      <c r="F2356" t="s">
        <v>26</v>
      </c>
      <c r="G2356">
        <v>27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27</v>
      </c>
      <c r="T2356">
        <v>0</v>
      </c>
      <c r="U2356" t="s">
        <v>48</v>
      </c>
      <c r="W2356" s="2">
        <v>91.25</v>
      </c>
      <c r="X2356" s="3">
        <f t="shared" si="72"/>
        <v>2463.75</v>
      </c>
      <c r="Y2356">
        <f>VLOOKUP(D2356,'[1]Cost Sheet'!$C:$D,2,0)</f>
        <v>91.25</v>
      </c>
      <c r="Z2356" s="3">
        <f t="shared" si="73"/>
        <v>2463.75</v>
      </c>
    </row>
    <row r="2357" spans="1:26" x14ac:dyDescent="0.3">
      <c r="A2357" s="7" t="s">
        <v>21</v>
      </c>
      <c r="B2357" t="s">
        <v>934</v>
      </c>
      <c r="C2357" t="s">
        <v>935</v>
      </c>
      <c r="D2357" t="s">
        <v>936</v>
      </c>
      <c r="E2357" t="s">
        <v>937</v>
      </c>
      <c r="F2357" t="s">
        <v>26</v>
      </c>
      <c r="G2357">
        <v>8</v>
      </c>
      <c r="H2357">
        <v>0</v>
      </c>
      <c r="I2357">
        <v>0</v>
      </c>
      <c r="J2357">
        <v>-3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5</v>
      </c>
      <c r="T2357">
        <v>0</v>
      </c>
      <c r="U2357" t="s">
        <v>59</v>
      </c>
      <c r="W2357" s="2">
        <v>91.25</v>
      </c>
      <c r="X2357" s="3">
        <f t="shared" si="72"/>
        <v>456.25</v>
      </c>
      <c r="Y2357">
        <f>VLOOKUP(D2357,'[1]Cost Sheet'!$C:$D,2,0)</f>
        <v>91.25</v>
      </c>
      <c r="Z2357" s="3">
        <f t="shared" si="73"/>
        <v>456.25</v>
      </c>
    </row>
    <row r="2358" spans="1:26" x14ac:dyDescent="0.3">
      <c r="A2358" s="7" t="s">
        <v>21</v>
      </c>
      <c r="B2358" t="s">
        <v>934</v>
      </c>
      <c r="C2358" t="s">
        <v>935</v>
      </c>
      <c r="D2358" t="s">
        <v>936</v>
      </c>
      <c r="E2358" t="s">
        <v>937</v>
      </c>
      <c r="F2358" t="s">
        <v>114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 t="s">
        <v>88</v>
      </c>
      <c r="W2358" s="2">
        <v>91.25</v>
      </c>
      <c r="X2358" s="3">
        <f t="shared" si="72"/>
        <v>91.25</v>
      </c>
      <c r="Y2358">
        <f>VLOOKUP(D2358,'[1]Cost Sheet'!$C:$D,2,0)</f>
        <v>91.25</v>
      </c>
      <c r="Z2358" s="3">
        <f t="shared" si="73"/>
        <v>91.25</v>
      </c>
    </row>
    <row r="2359" spans="1:26" x14ac:dyDescent="0.3">
      <c r="A2359" s="7" t="s">
        <v>21</v>
      </c>
      <c r="B2359" t="s">
        <v>938</v>
      </c>
      <c r="C2359" t="s">
        <v>939</v>
      </c>
      <c r="D2359" t="s">
        <v>940</v>
      </c>
      <c r="E2359" t="s">
        <v>941</v>
      </c>
      <c r="F2359" t="s">
        <v>106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 t="s">
        <v>38</v>
      </c>
      <c r="W2359" s="2">
        <v>84.2</v>
      </c>
      <c r="X2359" s="3">
        <f t="shared" si="72"/>
        <v>84.2</v>
      </c>
      <c r="Y2359">
        <f>VLOOKUP(D2359,'[1]Cost Sheet'!$C:$D,2,0)</f>
        <v>84.2</v>
      </c>
      <c r="Z2359" s="3">
        <f t="shared" si="73"/>
        <v>84.2</v>
      </c>
    </row>
    <row r="2360" spans="1:26" x14ac:dyDescent="0.3">
      <c r="A2360" s="7" t="s">
        <v>21</v>
      </c>
      <c r="B2360" t="s">
        <v>938</v>
      </c>
      <c r="C2360" t="s">
        <v>939</v>
      </c>
      <c r="D2360" t="s">
        <v>940</v>
      </c>
      <c r="E2360" t="s">
        <v>941</v>
      </c>
      <c r="F2360" t="s">
        <v>106</v>
      </c>
      <c r="G2360">
        <v>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9</v>
      </c>
      <c r="T2360">
        <v>0</v>
      </c>
      <c r="U2360" t="s">
        <v>47</v>
      </c>
      <c r="W2360" s="2">
        <v>84.2</v>
      </c>
      <c r="X2360" s="3">
        <f t="shared" si="72"/>
        <v>757.80000000000007</v>
      </c>
      <c r="Y2360">
        <f>VLOOKUP(D2360,'[1]Cost Sheet'!$C:$D,2,0)</f>
        <v>84.2</v>
      </c>
      <c r="Z2360" s="3">
        <f t="shared" si="73"/>
        <v>757.80000000000007</v>
      </c>
    </row>
    <row r="2361" spans="1:26" x14ac:dyDescent="0.3">
      <c r="A2361" s="7" t="s">
        <v>21</v>
      </c>
      <c r="B2361" t="s">
        <v>938</v>
      </c>
      <c r="C2361" t="s">
        <v>939</v>
      </c>
      <c r="D2361" t="s">
        <v>940</v>
      </c>
      <c r="E2361" t="s">
        <v>941</v>
      </c>
      <c r="F2361" t="s">
        <v>26</v>
      </c>
      <c r="G2361">
        <v>28</v>
      </c>
      <c r="H2361">
        <v>1</v>
      </c>
      <c r="I2361">
        <v>0</v>
      </c>
      <c r="J2361">
        <v>-1</v>
      </c>
      <c r="K2361">
        <v>0</v>
      </c>
      <c r="L2361">
        <v>0</v>
      </c>
      <c r="M2361">
        <v>-1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26</v>
      </c>
      <c r="T2361">
        <v>0</v>
      </c>
      <c r="U2361" t="s">
        <v>38</v>
      </c>
      <c r="W2361" s="2">
        <v>84.2</v>
      </c>
      <c r="X2361" s="3">
        <f t="shared" si="72"/>
        <v>2189.2000000000003</v>
      </c>
      <c r="Y2361">
        <f>VLOOKUP(D2361,'[1]Cost Sheet'!$C:$D,2,0)</f>
        <v>84.2</v>
      </c>
      <c r="Z2361" s="3">
        <f t="shared" si="73"/>
        <v>2189.2000000000003</v>
      </c>
    </row>
    <row r="2362" spans="1:26" x14ac:dyDescent="0.3">
      <c r="A2362" s="7" t="s">
        <v>21</v>
      </c>
      <c r="B2362" t="s">
        <v>938</v>
      </c>
      <c r="C2362" t="s">
        <v>939</v>
      </c>
      <c r="D2362" t="s">
        <v>940</v>
      </c>
      <c r="E2362" t="s">
        <v>941</v>
      </c>
      <c r="F2362" t="s">
        <v>26</v>
      </c>
      <c r="G2362">
        <v>5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5</v>
      </c>
      <c r="T2362">
        <v>0</v>
      </c>
      <c r="U2362" t="s">
        <v>45</v>
      </c>
      <c r="W2362" s="2">
        <v>84.2</v>
      </c>
      <c r="X2362" s="3">
        <f t="shared" si="72"/>
        <v>421</v>
      </c>
      <c r="Y2362">
        <f>VLOOKUP(D2362,'[1]Cost Sheet'!$C:$D,2,0)</f>
        <v>84.2</v>
      </c>
      <c r="Z2362" s="3">
        <f t="shared" si="73"/>
        <v>421</v>
      </c>
    </row>
    <row r="2363" spans="1:26" x14ac:dyDescent="0.3">
      <c r="A2363" s="7" t="s">
        <v>21</v>
      </c>
      <c r="B2363" t="s">
        <v>938</v>
      </c>
      <c r="C2363" t="s">
        <v>939</v>
      </c>
      <c r="D2363" t="s">
        <v>940</v>
      </c>
      <c r="E2363" t="s">
        <v>941</v>
      </c>
      <c r="F2363" t="s">
        <v>26</v>
      </c>
      <c r="G2363">
        <v>31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31</v>
      </c>
      <c r="T2363">
        <v>0</v>
      </c>
      <c r="U2363" t="s">
        <v>54</v>
      </c>
      <c r="W2363" s="2">
        <v>84.2</v>
      </c>
      <c r="X2363" s="3">
        <f t="shared" si="72"/>
        <v>2610.2000000000003</v>
      </c>
      <c r="Y2363">
        <f>VLOOKUP(D2363,'[1]Cost Sheet'!$C:$D,2,0)</f>
        <v>84.2</v>
      </c>
      <c r="Z2363" s="3">
        <f t="shared" si="73"/>
        <v>2610.2000000000003</v>
      </c>
    </row>
    <row r="2364" spans="1:26" x14ac:dyDescent="0.3">
      <c r="A2364" s="7" t="s">
        <v>21</v>
      </c>
      <c r="B2364" t="s">
        <v>938</v>
      </c>
      <c r="C2364" t="s">
        <v>939</v>
      </c>
      <c r="D2364" t="s">
        <v>940</v>
      </c>
      <c r="E2364" t="s">
        <v>941</v>
      </c>
      <c r="F2364" t="s">
        <v>26</v>
      </c>
      <c r="G2364">
        <v>29</v>
      </c>
      <c r="H2364">
        <v>0</v>
      </c>
      <c r="I2364">
        <v>0</v>
      </c>
      <c r="J2364">
        <v>-2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27</v>
      </c>
      <c r="T2364">
        <v>0</v>
      </c>
      <c r="U2364" t="s">
        <v>32</v>
      </c>
      <c r="W2364" s="2">
        <v>84.2</v>
      </c>
      <c r="X2364" s="3">
        <f t="shared" si="72"/>
        <v>2273.4</v>
      </c>
      <c r="Y2364">
        <f>VLOOKUP(D2364,'[1]Cost Sheet'!$C:$D,2,0)</f>
        <v>84.2</v>
      </c>
      <c r="Z2364" s="3">
        <f t="shared" si="73"/>
        <v>2273.4</v>
      </c>
    </row>
    <row r="2365" spans="1:26" x14ac:dyDescent="0.3">
      <c r="A2365" s="7" t="s">
        <v>21</v>
      </c>
      <c r="B2365" t="s">
        <v>938</v>
      </c>
      <c r="C2365" t="s">
        <v>939</v>
      </c>
      <c r="D2365" t="s">
        <v>940</v>
      </c>
      <c r="E2365" t="s">
        <v>941</v>
      </c>
      <c r="F2365" t="s">
        <v>26</v>
      </c>
      <c r="G2365">
        <v>0</v>
      </c>
      <c r="H2365">
        <v>1</v>
      </c>
      <c r="I2365">
        <v>0</v>
      </c>
      <c r="J2365">
        <v>0</v>
      </c>
      <c r="K2365">
        <v>1</v>
      </c>
      <c r="L2365">
        <v>0</v>
      </c>
      <c r="M2365">
        <v>-1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88</v>
      </c>
      <c r="W2365" s="2">
        <v>84.2</v>
      </c>
      <c r="X2365" s="3">
        <f t="shared" si="72"/>
        <v>0</v>
      </c>
      <c r="Y2365">
        <f>VLOOKUP(D2365,'[1]Cost Sheet'!$C:$D,2,0)</f>
        <v>84.2</v>
      </c>
      <c r="Z2365" s="3">
        <f t="shared" si="73"/>
        <v>0</v>
      </c>
    </row>
    <row r="2366" spans="1:26" x14ac:dyDescent="0.3">
      <c r="A2366" s="7" t="s">
        <v>21</v>
      </c>
      <c r="B2366" t="s">
        <v>938</v>
      </c>
      <c r="C2366" t="s">
        <v>939</v>
      </c>
      <c r="D2366" t="s">
        <v>940</v>
      </c>
      <c r="E2366" t="s">
        <v>941</v>
      </c>
      <c r="F2366" t="s">
        <v>26</v>
      </c>
      <c r="G2366">
        <v>0</v>
      </c>
      <c r="H2366">
        <v>0</v>
      </c>
      <c r="I2366">
        <v>0</v>
      </c>
      <c r="J2366">
        <v>-1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 t="s">
        <v>47</v>
      </c>
      <c r="W2366" s="2">
        <v>84.2</v>
      </c>
      <c r="X2366" s="3">
        <f t="shared" si="72"/>
        <v>0</v>
      </c>
      <c r="Y2366">
        <f>VLOOKUP(D2366,'[1]Cost Sheet'!$C:$D,2,0)</f>
        <v>84.2</v>
      </c>
      <c r="Z2366" s="3">
        <f t="shared" si="73"/>
        <v>0</v>
      </c>
    </row>
    <row r="2367" spans="1:26" x14ac:dyDescent="0.3">
      <c r="A2367" s="7" t="s">
        <v>21</v>
      </c>
      <c r="B2367" t="s">
        <v>938</v>
      </c>
      <c r="C2367" t="s">
        <v>939</v>
      </c>
      <c r="D2367" t="s">
        <v>940</v>
      </c>
      <c r="E2367" t="s">
        <v>941</v>
      </c>
      <c r="F2367" t="s">
        <v>26</v>
      </c>
      <c r="G2367">
        <v>52</v>
      </c>
      <c r="H2367">
        <v>0</v>
      </c>
      <c r="I2367">
        <v>0</v>
      </c>
      <c r="J2367">
        <v>-2</v>
      </c>
      <c r="K2367">
        <v>0</v>
      </c>
      <c r="L2367">
        <v>0</v>
      </c>
      <c r="M2367">
        <v>-1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49</v>
      </c>
      <c r="T2367">
        <v>0</v>
      </c>
      <c r="U2367" t="s">
        <v>40</v>
      </c>
      <c r="W2367" s="2">
        <v>84.2</v>
      </c>
      <c r="X2367" s="3">
        <f t="shared" si="72"/>
        <v>4125.8</v>
      </c>
      <c r="Y2367">
        <f>VLOOKUP(D2367,'[1]Cost Sheet'!$C:$D,2,0)</f>
        <v>84.2</v>
      </c>
      <c r="Z2367" s="3">
        <f t="shared" si="73"/>
        <v>4125.8</v>
      </c>
    </row>
    <row r="2368" spans="1:26" x14ac:dyDescent="0.3">
      <c r="A2368" s="7" t="s">
        <v>21</v>
      </c>
      <c r="B2368" t="s">
        <v>942</v>
      </c>
      <c r="C2368" t="s">
        <v>943</v>
      </c>
      <c r="D2368" t="s">
        <v>944</v>
      </c>
      <c r="E2368" t="s">
        <v>945</v>
      </c>
      <c r="F2368" t="s">
        <v>26</v>
      </c>
      <c r="G2368">
        <v>1</v>
      </c>
      <c r="H2368">
        <v>0</v>
      </c>
      <c r="I2368">
        <v>0</v>
      </c>
      <c r="J2368">
        <v>-1</v>
      </c>
      <c r="K2368">
        <v>0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 t="s">
        <v>45</v>
      </c>
      <c r="W2368" s="2">
        <v>167.58900000000006</v>
      </c>
      <c r="X2368" s="3">
        <f t="shared" si="72"/>
        <v>167.58900000000006</v>
      </c>
      <c r="Y2368">
        <f>VLOOKUP(D2368,'[1]Cost Sheet'!$C:$D,2,0)</f>
        <v>167.3</v>
      </c>
      <c r="Z2368" s="3">
        <f t="shared" si="73"/>
        <v>167.3</v>
      </c>
    </row>
    <row r="2369" spans="1:26" x14ac:dyDescent="0.3">
      <c r="A2369" s="7" t="s">
        <v>21</v>
      </c>
      <c r="B2369" t="s">
        <v>942</v>
      </c>
      <c r="C2369" t="s">
        <v>943</v>
      </c>
      <c r="D2369" t="s">
        <v>944</v>
      </c>
      <c r="E2369" t="s">
        <v>945</v>
      </c>
      <c r="F2369" t="s">
        <v>26</v>
      </c>
      <c r="G2369">
        <v>5</v>
      </c>
      <c r="H2369">
        <v>0</v>
      </c>
      <c r="I2369">
        <v>0</v>
      </c>
      <c r="J2369">
        <v>-3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2</v>
      </c>
      <c r="T2369">
        <v>0</v>
      </c>
      <c r="U2369" t="s">
        <v>54</v>
      </c>
      <c r="W2369" s="2">
        <v>167.58900000000006</v>
      </c>
      <c r="X2369" s="3">
        <f t="shared" si="72"/>
        <v>335.17800000000011</v>
      </c>
      <c r="Y2369">
        <f>VLOOKUP(D2369,'[1]Cost Sheet'!$C:$D,2,0)</f>
        <v>167.3</v>
      </c>
      <c r="Z2369" s="3">
        <f t="shared" si="73"/>
        <v>334.6</v>
      </c>
    </row>
    <row r="2370" spans="1:26" x14ac:dyDescent="0.3">
      <c r="A2370" s="7" t="s">
        <v>21</v>
      </c>
      <c r="B2370" t="s">
        <v>942</v>
      </c>
      <c r="C2370" t="s">
        <v>943</v>
      </c>
      <c r="D2370" t="s">
        <v>944</v>
      </c>
      <c r="E2370" t="s">
        <v>945</v>
      </c>
      <c r="F2370" t="s">
        <v>26</v>
      </c>
      <c r="G2370">
        <v>14</v>
      </c>
      <c r="H2370">
        <v>0</v>
      </c>
      <c r="I2370">
        <v>0</v>
      </c>
      <c r="J2370">
        <v>-3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11</v>
      </c>
      <c r="T2370">
        <v>0</v>
      </c>
      <c r="U2370" t="s">
        <v>32</v>
      </c>
      <c r="W2370" s="2">
        <v>167.58900000000006</v>
      </c>
      <c r="X2370" s="3">
        <f t="shared" si="72"/>
        <v>1843.4790000000007</v>
      </c>
      <c r="Y2370">
        <f>VLOOKUP(D2370,'[1]Cost Sheet'!$C:$D,2,0)</f>
        <v>167.3</v>
      </c>
      <c r="Z2370" s="3">
        <f t="shared" si="73"/>
        <v>1840.3000000000002</v>
      </c>
    </row>
    <row r="2371" spans="1:26" x14ac:dyDescent="0.3">
      <c r="A2371" s="7" t="s">
        <v>21</v>
      </c>
      <c r="B2371" t="s">
        <v>942</v>
      </c>
      <c r="C2371" t="s">
        <v>943</v>
      </c>
      <c r="D2371" t="s">
        <v>944</v>
      </c>
      <c r="E2371" t="s">
        <v>945</v>
      </c>
      <c r="F2371" t="s">
        <v>26</v>
      </c>
      <c r="G2371">
        <v>5</v>
      </c>
      <c r="H2371">
        <v>0</v>
      </c>
      <c r="I2371">
        <v>0</v>
      </c>
      <c r="J2371">
        <v>-1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4</v>
      </c>
      <c r="T2371">
        <v>0</v>
      </c>
      <c r="U2371" t="s">
        <v>48</v>
      </c>
      <c r="W2371" s="2">
        <v>167.58900000000006</v>
      </c>
      <c r="X2371" s="3">
        <f t="shared" ref="X2371:X2434" si="74">S2371*W2371</f>
        <v>670.35600000000022</v>
      </c>
      <c r="Y2371">
        <f>VLOOKUP(D2371,'[1]Cost Sheet'!$C:$D,2,0)</f>
        <v>167.3</v>
      </c>
      <c r="Z2371" s="3">
        <f t="shared" ref="Z2371:Z2434" si="75">Y2371*S2371</f>
        <v>669.2</v>
      </c>
    </row>
    <row r="2372" spans="1:26" x14ac:dyDescent="0.3">
      <c r="A2372" s="7" t="s">
        <v>21</v>
      </c>
      <c r="B2372" t="s">
        <v>942</v>
      </c>
      <c r="C2372" t="s">
        <v>943</v>
      </c>
      <c r="D2372" t="s">
        <v>944</v>
      </c>
      <c r="E2372" t="s">
        <v>945</v>
      </c>
      <c r="F2372" t="s">
        <v>26</v>
      </c>
      <c r="G2372">
        <v>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9</v>
      </c>
      <c r="T2372">
        <v>0</v>
      </c>
      <c r="U2372" t="s">
        <v>59</v>
      </c>
      <c r="W2372" s="2">
        <v>167.58900000000006</v>
      </c>
      <c r="X2372" s="3">
        <f t="shared" si="74"/>
        <v>1508.3010000000004</v>
      </c>
      <c r="Y2372">
        <f>VLOOKUP(D2372,'[1]Cost Sheet'!$C:$D,2,0)</f>
        <v>167.3</v>
      </c>
      <c r="Z2372" s="3">
        <f t="shared" si="75"/>
        <v>1505.7</v>
      </c>
    </row>
    <row r="2373" spans="1:26" x14ac:dyDescent="0.3">
      <c r="A2373" s="7" t="s">
        <v>21</v>
      </c>
      <c r="B2373" t="s">
        <v>946</v>
      </c>
      <c r="C2373" t="s">
        <v>947</v>
      </c>
      <c r="D2373" t="s">
        <v>948</v>
      </c>
      <c r="E2373" t="s">
        <v>949</v>
      </c>
      <c r="F2373" t="s">
        <v>130</v>
      </c>
      <c r="G2373">
        <v>15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15</v>
      </c>
      <c r="T2373">
        <v>0</v>
      </c>
      <c r="U2373" t="s">
        <v>33</v>
      </c>
      <c r="W2373" s="2">
        <v>184.88</v>
      </c>
      <c r="X2373" s="3">
        <f t="shared" si="74"/>
        <v>2773.2</v>
      </c>
      <c r="Y2373">
        <f>VLOOKUP(D2373,'[1]Cost Sheet'!$C:$D,2,0)</f>
        <v>184.88</v>
      </c>
      <c r="Z2373" s="3">
        <f t="shared" si="75"/>
        <v>2773.2</v>
      </c>
    </row>
    <row r="2374" spans="1:26" x14ac:dyDescent="0.3">
      <c r="A2374" s="7" t="s">
        <v>21</v>
      </c>
      <c r="B2374" t="s">
        <v>946</v>
      </c>
      <c r="C2374" t="s">
        <v>947</v>
      </c>
      <c r="D2374" t="s">
        <v>948</v>
      </c>
      <c r="E2374" t="s">
        <v>949</v>
      </c>
      <c r="F2374" t="s">
        <v>26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 t="s">
        <v>38</v>
      </c>
      <c r="W2374" s="2">
        <v>184.88</v>
      </c>
      <c r="X2374" s="3">
        <f t="shared" si="74"/>
        <v>184.88</v>
      </c>
      <c r="Y2374">
        <f>VLOOKUP(D2374,'[1]Cost Sheet'!$C:$D,2,0)</f>
        <v>184.88</v>
      </c>
      <c r="Z2374" s="3">
        <f t="shared" si="75"/>
        <v>184.88</v>
      </c>
    </row>
    <row r="2375" spans="1:26" x14ac:dyDescent="0.3">
      <c r="A2375" s="7" t="s">
        <v>21</v>
      </c>
      <c r="B2375" t="s">
        <v>946</v>
      </c>
      <c r="C2375" t="s">
        <v>947</v>
      </c>
      <c r="D2375" t="s">
        <v>948</v>
      </c>
      <c r="E2375" t="s">
        <v>949</v>
      </c>
      <c r="F2375" t="s">
        <v>26</v>
      </c>
      <c r="G2375">
        <v>20</v>
      </c>
      <c r="H2375">
        <v>0</v>
      </c>
      <c r="I2375">
        <v>0</v>
      </c>
      <c r="J2375">
        <v>-2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18</v>
      </c>
      <c r="T2375">
        <v>0</v>
      </c>
      <c r="U2375" t="s">
        <v>45</v>
      </c>
      <c r="W2375" s="2">
        <v>184.88</v>
      </c>
      <c r="X2375" s="3">
        <f t="shared" si="74"/>
        <v>3327.84</v>
      </c>
      <c r="Y2375">
        <f>VLOOKUP(D2375,'[1]Cost Sheet'!$C:$D,2,0)</f>
        <v>184.88</v>
      </c>
      <c r="Z2375" s="3">
        <f t="shared" si="75"/>
        <v>3327.84</v>
      </c>
    </row>
    <row r="2376" spans="1:26" x14ac:dyDescent="0.3">
      <c r="A2376" s="7" t="s">
        <v>21</v>
      </c>
      <c r="B2376" t="s">
        <v>946</v>
      </c>
      <c r="C2376" t="s">
        <v>947</v>
      </c>
      <c r="D2376" t="s">
        <v>948</v>
      </c>
      <c r="E2376" t="s">
        <v>949</v>
      </c>
      <c r="F2376" t="s">
        <v>26</v>
      </c>
      <c r="G2376">
        <v>3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3</v>
      </c>
      <c r="T2376">
        <v>0</v>
      </c>
      <c r="U2376" t="s">
        <v>54</v>
      </c>
      <c r="W2376" s="2">
        <v>184.88</v>
      </c>
      <c r="X2376" s="3">
        <f t="shared" si="74"/>
        <v>554.64</v>
      </c>
      <c r="Y2376">
        <f>VLOOKUP(D2376,'[1]Cost Sheet'!$C:$D,2,0)</f>
        <v>184.88</v>
      </c>
      <c r="Z2376" s="3">
        <f t="shared" si="75"/>
        <v>554.64</v>
      </c>
    </row>
    <row r="2377" spans="1:26" x14ac:dyDescent="0.3">
      <c r="A2377" s="7" t="s">
        <v>21</v>
      </c>
      <c r="B2377" t="s">
        <v>946</v>
      </c>
      <c r="C2377" t="s">
        <v>947</v>
      </c>
      <c r="D2377" t="s">
        <v>948</v>
      </c>
      <c r="E2377" t="s">
        <v>949</v>
      </c>
      <c r="F2377" t="s">
        <v>26</v>
      </c>
      <c r="G2377">
        <v>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4</v>
      </c>
      <c r="T2377">
        <v>0</v>
      </c>
      <c r="U2377" t="s">
        <v>32</v>
      </c>
      <c r="W2377" s="2">
        <v>184.88</v>
      </c>
      <c r="X2377" s="3">
        <f t="shared" si="74"/>
        <v>739.52</v>
      </c>
      <c r="Y2377">
        <f>VLOOKUP(D2377,'[1]Cost Sheet'!$C:$D,2,0)</f>
        <v>184.88</v>
      </c>
      <c r="Z2377" s="3">
        <f t="shared" si="75"/>
        <v>739.52</v>
      </c>
    </row>
    <row r="2378" spans="1:26" x14ac:dyDescent="0.3">
      <c r="A2378" s="7" t="s">
        <v>21</v>
      </c>
      <c r="B2378" t="s">
        <v>946</v>
      </c>
      <c r="C2378" t="s">
        <v>947</v>
      </c>
      <c r="D2378" t="s">
        <v>948</v>
      </c>
      <c r="E2378" t="s">
        <v>949</v>
      </c>
      <c r="F2378" t="s">
        <v>26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 t="s">
        <v>33</v>
      </c>
      <c r="W2378" s="2">
        <v>184.88</v>
      </c>
      <c r="X2378" s="3">
        <f t="shared" si="74"/>
        <v>184.88</v>
      </c>
      <c r="Y2378">
        <f>VLOOKUP(D2378,'[1]Cost Sheet'!$C:$D,2,0)</f>
        <v>184.88</v>
      </c>
      <c r="Z2378" s="3">
        <f t="shared" si="75"/>
        <v>184.88</v>
      </c>
    </row>
    <row r="2379" spans="1:26" x14ac:dyDescent="0.3">
      <c r="A2379" s="7" t="s">
        <v>21</v>
      </c>
      <c r="B2379" t="s">
        <v>946</v>
      </c>
      <c r="C2379" t="s">
        <v>947</v>
      </c>
      <c r="D2379" t="s">
        <v>948</v>
      </c>
      <c r="E2379" t="s">
        <v>949</v>
      </c>
      <c r="F2379" t="s">
        <v>26</v>
      </c>
      <c r="G2379">
        <v>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6</v>
      </c>
      <c r="T2379">
        <v>0</v>
      </c>
      <c r="U2379" t="s">
        <v>46</v>
      </c>
      <c r="W2379" s="2">
        <v>184.88</v>
      </c>
      <c r="X2379" s="3">
        <f t="shared" si="74"/>
        <v>1109.28</v>
      </c>
      <c r="Y2379">
        <f>VLOOKUP(D2379,'[1]Cost Sheet'!$C:$D,2,0)</f>
        <v>184.88</v>
      </c>
      <c r="Z2379" s="3">
        <f t="shared" si="75"/>
        <v>1109.28</v>
      </c>
    </row>
    <row r="2380" spans="1:26" x14ac:dyDescent="0.3">
      <c r="A2380" s="7" t="s">
        <v>21</v>
      </c>
      <c r="B2380" t="s">
        <v>946</v>
      </c>
      <c r="C2380" t="s">
        <v>947</v>
      </c>
      <c r="D2380" t="s">
        <v>948</v>
      </c>
      <c r="E2380" t="s">
        <v>949</v>
      </c>
      <c r="F2380" t="s">
        <v>26</v>
      </c>
      <c r="G2380">
        <v>5</v>
      </c>
      <c r="H2380">
        <v>0</v>
      </c>
      <c r="I2380">
        <v>0</v>
      </c>
      <c r="J2380">
        <v>-3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2</v>
      </c>
      <c r="T2380">
        <v>0</v>
      </c>
      <c r="U2380" t="s">
        <v>47</v>
      </c>
      <c r="W2380" s="2">
        <v>184.88</v>
      </c>
      <c r="X2380" s="3">
        <f t="shared" si="74"/>
        <v>369.76</v>
      </c>
      <c r="Y2380">
        <f>VLOOKUP(D2380,'[1]Cost Sheet'!$C:$D,2,0)</f>
        <v>184.88</v>
      </c>
      <c r="Z2380" s="3">
        <f t="shared" si="75"/>
        <v>369.76</v>
      </c>
    </row>
    <row r="2381" spans="1:26" x14ac:dyDescent="0.3">
      <c r="A2381" s="7" t="s">
        <v>21</v>
      </c>
      <c r="B2381" t="s">
        <v>946</v>
      </c>
      <c r="C2381" t="s">
        <v>947</v>
      </c>
      <c r="D2381" t="s">
        <v>948</v>
      </c>
      <c r="E2381" t="s">
        <v>949</v>
      </c>
      <c r="F2381" t="s">
        <v>26</v>
      </c>
      <c r="G2381">
        <v>0</v>
      </c>
      <c r="H2381">
        <v>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112</v>
      </c>
      <c r="W2381" s="2">
        <v>184.88</v>
      </c>
      <c r="X2381" s="3">
        <f t="shared" si="74"/>
        <v>0</v>
      </c>
      <c r="Y2381">
        <f>VLOOKUP(D2381,'[1]Cost Sheet'!$C:$D,2,0)</f>
        <v>184.88</v>
      </c>
      <c r="Z2381" s="3">
        <f t="shared" si="75"/>
        <v>0</v>
      </c>
    </row>
    <row r="2382" spans="1:26" x14ac:dyDescent="0.3">
      <c r="A2382" s="7" t="s">
        <v>21</v>
      </c>
      <c r="B2382" t="s">
        <v>946</v>
      </c>
      <c r="C2382" t="s">
        <v>947</v>
      </c>
      <c r="D2382" t="s">
        <v>948</v>
      </c>
      <c r="E2382" t="s">
        <v>949</v>
      </c>
      <c r="F2382" t="s">
        <v>26</v>
      </c>
      <c r="G2382">
        <v>5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5</v>
      </c>
      <c r="T2382">
        <v>0</v>
      </c>
      <c r="U2382" t="s">
        <v>59</v>
      </c>
      <c r="W2382" s="2">
        <v>184.88</v>
      </c>
      <c r="X2382" s="3">
        <f t="shared" si="74"/>
        <v>924.4</v>
      </c>
      <c r="Y2382">
        <f>VLOOKUP(D2382,'[1]Cost Sheet'!$C:$D,2,0)</f>
        <v>184.88</v>
      </c>
      <c r="Z2382" s="3">
        <f t="shared" si="75"/>
        <v>924.4</v>
      </c>
    </row>
    <row r="2383" spans="1:26" x14ac:dyDescent="0.3">
      <c r="A2383" s="7" t="s">
        <v>21</v>
      </c>
      <c r="B2383" t="s">
        <v>950</v>
      </c>
      <c r="C2383" t="s">
        <v>951</v>
      </c>
      <c r="D2383" t="s">
        <v>952</v>
      </c>
      <c r="E2383" t="s">
        <v>953</v>
      </c>
      <c r="F2383" t="s">
        <v>26</v>
      </c>
      <c r="G2383">
        <v>24</v>
      </c>
      <c r="H2383">
        <v>0</v>
      </c>
      <c r="I2383">
        <v>0</v>
      </c>
      <c r="J2383">
        <v>-2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22</v>
      </c>
      <c r="T2383">
        <v>0</v>
      </c>
      <c r="U2383" t="s">
        <v>38</v>
      </c>
      <c r="W2383" s="2">
        <v>68.910588235294114</v>
      </c>
      <c r="X2383" s="3">
        <f t="shared" si="74"/>
        <v>1516.0329411764706</v>
      </c>
      <c r="Y2383">
        <f>VLOOKUP(D2383,'[1]Cost Sheet'!$C:$D,2,0)</f>
        <v>68.739999999999995</v>
      </c>
      <c r="Z2383" s="3">
        <f t="shared" si="75"/>
        <v>1512.28</v>
      </c>
    </row>
    <row r="2384" spans="1:26" x14ac:dyDescent="0.3">
      <c r="A2384" s="7" t="s">
        <v>21</v>
      </c>
      <c r="B2384" t="s">
        <v>950</v>
      </c>
      <c r="C2384" t="s">
        <v>951</v>
      </c>
      <c r="D2384" t="s">
        <v>952</v>
      </c>
      <c r="E2384" t="s">
        <v>953</v>
      </c>
      <c r="F2384" t="s">
        <v>26</v>
      </c>
      <c r="G2384">
        <v>41</v>
      </c>
      <c r="H2384">
        <v>0</v>
      </c>
      <c r="I2384">
        <v>0</v>
      </c>
      <c r="J2384">
        <v>-7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34</v>
      </c>
      <c r="T2384">
        <v>0</v>
      </c>
      <c r="U2384" t="s">
        <v>45</v>
      </c>
      <c r="W2384" s="2">
        <v>68.910588235294114</v>
      </c>
      <c r="X2384" s="3">
        <f t="shared" si="74"/>
        <v>2342.96</v>
      </c>
      <c r="Y2384">
        <f>VLOOKUP(D2384,'[1]Cost Sheet'!$C:$D,2,0)</f>
        <v>68.739999999999995</v>
      </c>
      <c r="Z2384" s="3">
        <f t="shared" si="75"/>
        <v>2337.16</v>
      </c>
    </row>
    <row r="2385" spans="1:26" x14ac:dyDescent="0.3">
      <c r="A2385" s="7" t="s">
        <v>21</v>
      </c>
      <c r="B2385" t="s">
        <v>950</v>
      </c>
      <c r="C2385" t="s">
        <v>951</v>
      </c>
      <c r="D2385" t="s">
        <v>952</v>
      </c>
      <c r="E2385" t="s">
        <v>953</v>
      </c>
      <c r="F2385" t="s">
        <v>26</v>
      </c>
      <c r="G2385">
        <v>1</v>
      </c>
      <c r="H2385">
        <v>2</v>
      </c>
      <c r="I2385">
        <v>0</v>
      </c>
      <c r="J2385">
        <v>0</v>
      </c>
      <c r="K2385">
        <v>2</v>
      </c>
      <c r="L2385">
        <v>0</v>
      </c>
      <c r="M2385">
        <v>-3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s">
        <v>108</v>
      </c>
      <c r="W2385" s="2">
        <v>68.910588235294114</v>
      </c>
      <c r="X2385" s="3">
        <f t="shared" si="74"/>
        <v>0</v>
      </c>
      <c r="Y2385">
        <f>VLOOKUP(D2385,'[1]Cost Sheet'!$C:$D,2,0)</f>
        <v>68.739999999999995</v>
      </c>
      <c r="Z2385" s="3">
        <f t="shared" si="75"/>
        <v>0</v>
      </c>
    </row>
    <row r="2386" spans="1:26" x14ac:dyDescent="0.3">
      <c r="A2386" s="7" t="s">
        <v>21</v>
      </c>
      <c r="B2386" t="s">
        <v>950</v>
      </c>
      <c r="C2386" t="s">
        <v>951</v>
      </c>
      <c r="D2386" t="s">
        <v>952</v>
      </c>
      <c r="E2386" t="s">
        <v>953</v>
      </c>
      <c r="F2386" t="s">
        <v>26</v>
      </c>
      <c r="G2386">
        <v>47</v>
      </c>
      <c r="H2386">
        <v>0</v>
      </c>
      <c r="I2386">
        <v>0</v>
      </c>
      <c r="J2386">
        <v>-2</v>
      </c>
      <c r="K2386">
        <v>0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46</v>
      </c>
      <c r="T2386">
        <v>0</v>
      </c>
      <c r="U2386" t="s">
        <v>39</v>
      </c>
      <c r="W2386" s="2">
        <v>68.910588235294114</v>
      </c>
      <c r="X2386" s="3">
        <f t="shared" si="74"/>
        <v>3169.8870588235291</v>
      </c>
      <c r="Y2386">
        <f>VLOOKUP(D2386,'[1]Cost Sheet'!$C:$D,2,0)</f>
        <v>68.739999999999995</v>
      </c>
      <c r="Z2386" s="3">
        <f t="shared" si="75"/>
        <v>3162.04</v>
      </c>
    </row>
    <row r="2387" spans="1:26" x14ac:dyDescent="0.3">
      <c r="A2387" s="7" t="s">
        <v>21</v>
      </c>
      <c r="B2387" t="s">
        <v>950</v>
      </c>
      <c r="C2387" t="s">
        <v>951</v>
      </c>
      <c r="D2387" t="s">
        <v>952</v>
      </c>
      <c r="E2387" t="s">
        <v>953</v>
      </c>
      <c r="F2387" t="s">
        <v>26</v>
      </c>
      <c r="G2387">
        <v>37</v>
      </c>
      <c r="H2387">
        <v>0</v>
      </c>
      <c r="I2387">
        <v>0</v>
      </c>
      <c r="J2387">
        <v>-5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32</v>
      </c>
      <c r="T2387">
        <v>0</v>
      </c>
      <c r="U2387" t="s">
        <v>53</v>
      </c>
      <c r="W2387" s="2">
        <v>68.910588235294114</v>
      </c>
      <c r="X2387" s="3">
        <f t="shared" si="74"/>
        <v>2205.1388235294116</v>
      </c>
      <c r="Y2387">
        <f>VLOOKUP(D2387,'[1]Cost Sheet'!$C:$D,2,0)</f>
        <v>68.739999999999995</v>
      </c>
      <c r="Z2387" s="3">
        <f t="shared" si="75"/>
        <v>2199.6799999999998</v>
      </c>
    </row>
    <row r="2388" spans="1:26" x14ac:dyDescent="0.3">
      <c r="A2388" s="7" t="s">
        <v>21</v>
      </c>
      <c r="B2388" t="s">
        <v>950</v>
      </c>
      <c r="C2388" t="s">
        <v>951</v>
      </c>
      <c r="D2388" t="s">
        <v>952</v>
      </c>
      <c r="E2388" t="s">
        <v>953</v>
      </c>
      <c r="F2388" t="s">
        <v>26</v>
      </c>
      <c r="G2388">
        <v>4</v>
      </c>
      <c r="H2388">
        <v>0</v>
      </c>
      <c r="I2388">
        <v>0</v>
      </c>
      <c r="J2388">
        <v>-1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3</v>
      </c>
      <c r="T2388">
        <v>0</v>
      </c>
      <c r="U2388" t="s">
        <v>54</v>
      </c>
      <c r="W2388" s="2">
        <v>68.910588235294114</v>
      </c>
      <c r="X2388" s="3">
        <f t="shared" si="74"/>
        <v>206.73176470588234</v>
      </c>
      <c r="Y2388">
        <f>VLOOKUP(D2388,'[1]Cost Sheet'!$C:$D,2,0)</f>
        <v>68.739999999999995</v>
      </c>
      <c r="Z2388" s="3">
        <f t="shared" si="75"/>
        <v>206.21999999999997</v>
      </c>
    </row>
    <row r="2389" spans="1:26" x14ac:dyDescent="0.3">
      <c r="A2389" s="7" t="s">
        <v>21</v>
      </c>
      <c r="B2389" t="s">
        <v>950</v>
      </c>
      <c r="C2389" t="s">
        <v>951</v>
      </c>
      <c r="D2389" t="s">
        <v>952</v>
      </c>
      <c r="E2389" t="s">
        <v>953</v>
      </c>
      <c r="F2389" t="s">
        <v>26</v>
      </c>
      <c r="G2389">
        <v>58</v>
      </c>
      <c r="H2389">
        <v>0</v>
      </c>
      <c r="I2389">
        <v>0</v>
      </c>
      <c r="J2389">
        <v>-10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49</v>
      </c>
      <c r="T2389">
        <v>0</v>
      </c>
      <c r="U2389" t="s">
        <v>32</v>
      </c>
      <c r="W2389" s="2">
        <v>68.910588235294114</v>
      </c>
      <c r="X2389" s="3">
        <f t="shared" si="74"/>
        <v>3376.6188235294117</v>
      </c>
      <c r="Y2389">
        <f>VLOOKUP(D2389,'[1]Cost Sheet'!$C:$D,2,0)</f>
        <v>68.739999999999995</v>
      </c>
      <c r="Z2389" s="3">
        <f t="shared" si="75"/>
        <v>3368.2599999999998</v>
      </c>
    </row>
    <row r="2390" spans="1:26" x14ac:dyDescent="0.3">
      <c r="A2390" s="7" t="s">
        <v>21</v>
      </c>
      <c r="B2390" t="s">
        <v>950</v>
      </c>
      <c r="C2390" t="s">
        <v>951</v>
      </c>
      <c r="D2390" t="s">
        <v>952</v>
      </c>
      <c r="E2390" t="s">
        <v>953</v>
      </c>
      <c r="F2390" t="s">
        <v>26</v>
      </c>
      <c r="G2390">
        <v>1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-2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 t="s">
        <v>88</v>
      </c>
      <c r="W2390" s="2">
        <v>68.910588235294114</v>
      </c>
      <c r="X2390" s="3">
        <f t="shared" si="74"/>
        <v>0</v>
      </c>
      <c r="Y2390">
        <f>VLOOKUP(D2390,'[1]Cost Sheet'!$C:$D,2,0)</f>
        <v>68.739999999999995</v>
      </c>
      <c r="Z2390" s="3">
        <f t="shared" si="75"/>
        <v>0</v>
      </c>
    </row>
    <row r="2391" spans="1:26" x14ac:dyDescent="0.3">
      <c r="A2391" s="7" t="s">
        <v>21</v>
      </c>
      <c r="B2391" t="s">
        <v>950</v>
      </c>
      <c r="C2391" t="s">
        <v>951</v>
      </c>
      <c r="D2391" t="s">
        <v>952</v>
      </c>
      <c r="E2391" t="s">
        <v>953</v>
      </c>
      <c r="F2391" t="s">
        <v>26</v>
      </c>
      <c r="G2391">
        <v>50</v>
      </c>
      <c r="H2391">
        <v>0</v>
      </c>
      <c r="I2391">
        <v>0</v>
      </c>
      <c r="J2391">
        <v>-1</v>
      </c>
      <c r="K2391">
        <v>1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51</v>
      </c>
      <c r="T2391">
        <v>0</v>
      </c>
      <c r="U2391" t="s">
        <v>46</v>
      </c>
      <c r="W2391" s="2">
        <v>68.910588235294114</v>
      </c>
      <c r="X2391" s="3">
        <f t="shared" si="74"/>
        <v>3514.4399999999996</v>
      </c>
      <c r="Y2391">
        <f>VLOOKUP(D2391,'[1]Cost Sheet'!$C:$D,2,0)</f>
        <v>68.739999999999995</v>
      </c>
      <c r="Z2391" s="3">
        <f t="shared" si="75"/>
        <v>3505.74</v>
      </c>
    </row>
    <row r="2392" spans="1:26" x14ac:dyDescent="0.3">
      <c r="A2392" s="7" t="s">
        <v>21</v>
      </c>
      <c r="B2392" t="s">
        <v>950</v>
      </c>
      <c r="C2392" t="s">
        <v>951</v>
      </c>
      <c r="D2392" t="s">
        <v>952</v>
      </c>
      <c r="E2392" t="s">
        <v>953</v>
      </c>
      <c r="F2392" t="s">
        <v>26</v>
      </c>
      <c r="G2392">
        <v>16</v>
      </c>
      <c r="H2392">
        <v>0</v>
      </c>
      <c r="I2392">
        <v>0</v>
      </c>
      <c r="J2392">
        <v>-5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11</v>
      </c>
      <c r="T2392">
        <v>0</v>
      </c>
      <c r="U2392" t="s">
        <v>47</v>
      </c>
      <c r="W2392" s="2">
        <v>68.910588235294114</v>
      </c>
      <c r="X2392" s="3">
        <f t="shared" si="74"/>
        <v>758.01647058823528</v>
      </c>
      <c r="Y2392">
        <f>VLOOKUP(D2392,'[1]Cost Sheet'!$C:$D,2,0)</f>
        <v>68.739999999999995</v>
      </c>
      <c r="Z2392" s="3">
        <f t="shared" si="75"/>
        <v>756.14</v>
      </c>
    </row>
    <row r="2393" spans="1:26" x14ac:dyDescent="0.3">
      <c r="A2393" s="7" t="s">
        <v>21</v>
      </c>
      <c r="B2393" t="s">
        <v>950</v>
      </c>
      <c r="C2393" t="s">
        <v>951</v>
      </c>
      <c r="D2393" t="s">
        <v>952</v>
      </c>
      <c r="E2393" t="s">
        <v>953</v>
      </c>
      <c r="F2393" t="s">
        <v>26</v>
      </c>
      <c r="G2393">
        <v>15</v>
      </c>
      <c r="H2393">
        <v>0</v>
      </c>
      <c r="I2393">
        <v>0</v>
      </c>
      <c r="J2393">
        <v>-4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12</v>
      </c>
      <c r="T2393">
        <v>0</v>
      </c>
      <c r="U2393" t="s">
        <v>40</v>
      </c>
      <c r="W2393" s="2">
        <v>68.910588235294114</v>
      </c>
      <c r="X2393" s="3">
        <f t="shared" si="74"/>
        <v>826.92705882352936</v>
      </c>
      <c r="Y2393">
        <f>VLOOKUP(D2393,'[1]Cost Sheet'!$C:$D,2,0)</f>
        <v>68.739999999999995</v>
      </c>
      <c r="Z2393" s="3">
        <f t="shared" si="75"/>
        <v>824.87999999999988</v>
      </c>
    </row>
    <row r="2394" spans="1:26" x14ac:dyDescent="0.3">
      <c r="A2394" s="7" t="s">
        <v>21</v>
      </c>
      <c r="B2394" t="s">
        <v>950</v>
      </c>
      <c r="C2394" t="s">
        <v>951</v>
      </c>
      <c r="D2394" t="s">
        <v>952</v>
      </c>
      <c r="E2394" t="s">
        <v>953</v>
      </c>
      <c r="F2394" t="s">
        <v>26</v>
      </c>
      <c r="G2394">
        <v>3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3</v>
      </c>
      <c r="T2394">
        <v>0</v>
      </c>
      <c r="U2394" t="s">
        <v>120</v>
      </c>
      <c r="W2394" s="2">
        <v>68.910588235294114</v>
      </c>
      <c r="X2394" s="3">
        <f t="shared" si="74"/>
        <v>206.73176470588234</v>
      </c>
      <c r="Y2394">
        <f>VLOOKUP(D2394,'[1]Cost Sheet'!$C:$D,2,0)</f>
        <v>68.739999999999995</v>
      </c>
      <c r="Z2394" s="3">
        <f t="shared" si="75"/>
        <v>206.21999999999997</v>
      </c>
    </row>
    <row r="2395" spans="1:26" x14ac:dyDescent="0.3">
      <c r="A2395" s="7" t="s">
        <v>21</v>
      </c>
      <c r="B2395" t="s">
        <v>950</v>
      </c>
      <c r="C2395" t="s">
        <v>951</v>
      </c>
      <c r="D2395" t="s">
        <v>952</v>
      </c>
      <c r="E2395" t="s">
        <v>953</v>
      </c>
      <c r="F2395" t="s">
        <v>26</v>
      </c>
      <c r="G2395">
        <v>20</v>
      </c>
      <c r="H2395">
        <v>0</v>
      </c>
      <c r="I2395">
        <v>0</v>
      </c>
      <c r="J2395">
        <v>-8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12</v>
      </c>
      <c r="T2395">
        <v>0</v>
      </c>
      <c r="U2395" t="s">
        <v>48</v>
      </c>
      <c r="W2395" s="2">
        <v>68.910588235294114</v>
      </c>
      <c r="X2395" s="3">
        <f t="shared" si="74"/>
        <v>826.92705882352936</v>
      </c>
      <c r="Y2395">
        <f>VLOOKUP(D2395,'[1]Cost Sheet'!$C:$D,2,0)</f>
        <v>68.739999999999995</v>
      </c>
      <c r="Z2395" s="3">
        <f t="shared" si="75"/>
        <v>824.87999999999988</v>
      </c>
    </row>
    <row r="2396" spans="1:26" x14ac:dyDescent="0.3">
      <c r="A2396" s="7" t="s">
        <v>21</v>
      </c>
      <c r="B2396" t="s">
        <v>950</v>
      </c>
      <c r="C2396" t="s">
        <v>951</v>
      </c>
      <c r="D2396" t="s">
        <v>952</v>
      </c>
      <c r="E2396" t="s">
        <v>953</v>
      </c>
      <c r="F2396" t="s">
        <v>26</v>
      </c>
      <c r="G2396">
        <v>34</v>
      </c>
      <c r="H2396">
        <v>0</v>
      </c>
      <c r="I2396">
        <v>0</v>
      </c>
      <c r="J2396">
        <v>-4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31</v>
      </c>
      <c r="T2396">
        <v>0</v>
      </c>
      <c r="U2396" t="s">
        <v>59</v>
      </c>
      <c r="W2396" s="2">
        <v>68.910588235294114</v>
      </c>
      <c r="X2396" s="3">
        <f t="shared" si="74"/>
        <v>2136.2282352941174</v>
      </c>
      <c r="Y2396">
        <f>VLOOKUP(D2396,'[1]Cost Sheet'!$C:$D,2,0)</f>
        <v>68.739999999999995</v>
      </c>
      <c r="Z2396" s="3">
        <f t="shared" si="75"/>
        <v>2130.94</v>
      </c>
    </row>
    <row r="2397" spans="1:26" x14ac:dyDescent="0.3">
      <c r="A2397" s="7" t="s">
        <v>21</v>
      </c>
      <c r="B2397" t="s">
        <v>950</v>
      </c>
      <c r="C2397" t="s">
        <v>951</v>
      </c>
      <c r="D2397" t="s">
        <v>952</v>
      </c>
      <c r="E2397" t="s">
        <v>953</v>
      </c>
      <c r="F2397" t="s">
        <v>26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 t="s">
        <v>27</v>
      </c>
      <c r="W2397" s="2">
        <v>68.910588235294114</v>
      </c>
      <c r="X2397" s="3">
        <f t="shared" si="74"/>
        <v>68.910588235294114</v>
      </c>
      <c r="Y2397">
        <f>VLOOKUP(D2397,'[1]Cost Sheet'!$C:$D,2,0)</f>
        <v>68.739999999999995</v>
      </c>
      <c r="Z2397" s="3">
        <f t="shared" si="75"/>
        <v>68.739999999999995</v>
      </c>
    </row>
    <row r="2398" spans="1:26" x14ac:dyDescent="0.3">
      <c r="A2398" s="7" t="s">
        <v>21</v>
      </c>
      <c r="B2398" t="s">
        <v>950</v>
      </c>
      <c r="C2398" t="s">
        <v>951</v>
      </c>
      <c r="D2398" t="s">
        <v>952</v>
      </c>
      <c r="E2398" t="s">
        <v>953</v>
      </c>
      <c r="F2398" t="s">
        <v>114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 t="s">
        <v>54</v>
      </c>
      <c r="W2398" s="2">
        <v>68.910588235294114</v>
      </c>
      <c r="X2398" s="3">
        <f t="shared" si="74"/>
        <v>68.910588235294114</v>
      </c>
      <c r="Y2398">
        <f>VLOOKUP(D2398,'[1]Cost Sheet'!$C:$D,2,0)</f>
        <v>68.739999999999995</v>
      </c>
      <c r="Z2398" s="3">
        <f t="shared" si="75"/>
        <v>68.739999999999995</v>
      </c>
    </row>
    <row r="2399" spans="1:26" x14ac:dyDescent="0.3">
      <c r="A2399" s="7" t="s">
        <v>21</v>
      </c>
      <c r="B2399" t="s">
        <v>954</v>
      </c>
      <c r="C2399" t="s">
        <v>955</v>
      </c>
      <c r="D2399" t="s">
        <v>956</v>
      </c>
      <c r="E2399" t="s">
        <v>957</v>
      </c>
      <c r="F2399" t="s">
        <v>125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 t="s">
        <v>88</v>
      </c>
      <c r="W2399" s="2">
        <v>67.865000000000009</v>
      </c>
      <c r="X2399" s="3">
        <f t="shared" si="74"/>
        <v>67.865000000000009</v>
      </c>
      <c r="Y2399">
        <f>VLOOKUP(D2399,'[1]Cost Sheet'!$C:$D,2,0)</f>
        <v>66.400000000000006</v>
      </c>
      <c r="Z2399" s="3">
        <f t="shared" si="75"/>
        <v>66.400000000000006</v>
      </c>
    </row>
    <row r="2400" spans="1:26" x14ac:dyDescent="0.3">
      <c r="A2400" s="7" t="s">
        <v>21</v>
      </c>
      <c r="B2400" t="s">
        <v>954</v>
      </c>
      <c r="C2400" t="s">
        <v>955</v>
      </c>
      <c r="D2400" t="s">
        <v>956</v>
      </c>
      <c r="E2400" t="s">
        <v>957</v>
      </c>
      <c r="F2400" t="s">
        <v>106</v>
      </c>
      <c r="G2400">
        <v>226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226</v>
      </c>
      <c r="T2400">
        <v>0</v>
      </c>
      <c r="U2400" t="s">
        <v>32</v>
      </c>
      <c r="W2400" s="2">
        <v>67.865000000000009</v>
      </c>
      <c r="X2400" s="3">
        <f t="shared" si="74"/>
        <v>15337.490000000002</v>
      </c>
      <c r="Y2400">
        <f>VLOOKUP(D2400,'[1]Cost Sheet'!$C:$D,2,0)</f>
        <v>66.400000000000006</v>
      </c>
      <c r="Z2400" s="3">
        <f t="shared" si="75"/>
        <v>15006.400000000001</v>
      </c>
    </row>
    <row r="2401" spans="1:26" x14ac:dyDescent="0.3">
      <c r="A2401" s="7" t="s">
        <v>21</v>
      </c>
      <c r="B2401" t="s">
        <v>954</v>
      </c>
      <c r="C2401" t="s">
        <v>955</v>
      </c>
      <c r="D2401" t="s">
        <v>956</v>
      </c>
      <c r="E2401" t="s">
        <v>957</v>
      </c>
      <c r="F2401" t="s">
        <v>106</v>
      </c>
      <c r="G2401">
        <v>20</v>
      </c>
      <c r="H2401">
        <v>20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20</v>
      </c>
      <c r="T2401">
        <v>0</v>
      </c>
      <c r="U2401" t="s">
        <v>109</v>
      </c>
      <c r="W2401" s="2">
        <v>67.865000000000009</v>
      </c>
      <c r="X2401" s="3">
        <f t="shared" si="74"/>
        <v>1357.3000000000002</v>
      </c>
      <c r="Y2401">
        <f>VLOOKUP(D2401,'[1]Cost Sheet'!$C:$D,2,0)</f>
        <v>66.400000000000006</v>
      </c>
      <c r="Z2401" s="3">
        <f t="shared" si="75"/>
        <v>1328</v>
      </c>
    </row>
    <row r="2402" spans="1:26" x14ac:dyDescent="0.3">
      <c r="A2402" s="7" t="s">
        <v>21</v>
      </c>
      <c r="B2402" t="s">
        <v>954</v>
      </c>
      <c r="C2402" t="s">
        <v>955</v>
      </c>
      <c r="D2402" t="s">
        <v>956</v>
      </c>
      <c r="E2402" t="s">
        <v>957</v>
      </c>
      <c r="F2402" t="s">
        <v>106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2</v>
      </c>
      <c r="T2402">
        <v>0</v>
      </c>
      <c r="U2402" t="s">
        <v>46</v>
      </c>
      <c r="W2402" s="2">
        <v>67.865000000000009</v>
      </c>
      <c r="X2402" s="3">
        <f t="shared" si="74"/>
        <v>135.73000000000002</v>
      </c>
      <c r="Y2402">
        <f>VLOOKUP(D2402,'[1]Cost Sheet'!$C:$D,2,0)</f>
        <v>66.400000000000006</v>
      </c>
      <c r="Z2402" s="3">
        <f t="shared" si="75"/>
        <v>132.80000000000001</v>
      </c>
    </row>
    <row r="2403" spans="1:26" x14ac:dyDescent="0.3">
      <c r="A2403" s="7" t="s">
        <v>21</v>
      </c>
      <c r="B2403" t="s">
        <v>954</v>
      </c>
      <c r="C2403" t="s">
        <v>955</v>
      </c>
      <c r="D2403" t="s">
        <v>956</v>
      </c>
      <c r="E2403" t="s">
        <v>957</v>
      </c>
      <c r="F2403" t="s">
        <v>93</v>
      </c>
      <c r="G2403">
        <v>135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135</v>
      </c>
      <c r="T2403">
        <v>0</v>
      </c>
      <c r="U2403" t="s">
        <v>32</v>
      </c>
      <c r="W2403" s="2">
        <v>67.865000000000009</v>
      </c>
      <c r="X2403" s="3">
        <f t="shared" si="74"/>
        <v>9161.7750000000015</v>
      </c>
      <c r="Y2403">
        <f>VLOOKUP(D2403,'[1]Cost Sheet'!$C:$D,2,0)</f>
        <v>66.400000000000006</v>
      </c>
      <c r="Z2403" s="3">
        <f t="shared" si="75"/>
        <v>8964</v>
      </c>
    </row>
    <row r="2404" spans="1:26" x14ac:dyDescent="0.3">
      <c r="A2404" s="7" t="s">
        <v>21</v>
      </c>
      <c r="B2404" t="s">
        <v>954</v>
      </c>
      <c r="C2404" t="s">
        <v>955</v>
      </c>
      <c r="D2404" t="s">
        <v>956</v>
      </c>
      <c r="E2404" t="s">
        <v>957</v>
      </c>
      <c r="F2404" t="s">
        <v>26</v>
      </c>
      <c r="G2404">
        <v>3</v>
      </c>
      <c r="H2404">
        <v>0</v>
      </c>
      <c r="I2404">
        <v>0</v>
      </c>
      <c r="J2404">
        <v>-3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s">
        <v>38</v>
      </c>
      <c r="W2404" s="2">
        <v>67.865000000000009</v>
      </c>
      <c r="X2404" s="3">
        <f t="shared" si="74"/>
        <v>0</v>
      </c>
      <c r="Y2404">
        <f>VLOOKUP(D2404,'[1]Cost Sheet'!$C:$D,2,0)</f>
        <v>66.400000000000006</v>
      </c>
      <c r="Z2404" s="3">
        <f t="shared" si="75"/>
        <v>0</v>
      </c>
    </row>
    <row r="2405" spans="1:26" x14ac:dyDescent="0.3">
      <c r="A2405" s="7" t="s">
        <v>21</v>
      </c>
      <c r="B2405" t="s">
        <v>954</v>
      </c>
      <c r="C2405" t="s">
        <v>955</v>
      </c>
      <c r="D2405" t="s">
        <v>956</v>
      </c>
      <c r="E2405" t="s">
        <v>957</v>
      </c>
      <c r="F2405" t="s">
        <v>26</v>
      </c>
      <c r="G2405">
        <v>0</v>
      </c>
      <c r="H2405">
        <v>1</v>
      </c>
      <c r="I2405">
        <v>0</v>
      </c>
      <c r="J2405">
        <v>-1</v>
      </c>
      <c r="K2405">
        <v>0</v>
      </c>
      <c r="L2405">
        <v>0</v>
      </c>
      <c r="M2405">
        <v>39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38</v>
      </c>
      <c r="T2405">
        <v>0</v>
      </c>
      <c r="U2405" t="s">
        <v>45</v>
      </c>
      <c r="W2405" s="2">
        <v>67.865000000000009</v>
      </c>
      <c r="X2405" s="3">
        <f t="shared" si="74"/>
        <v>2578.8700000000003</v>
      </c>
      <c r="Y2405">
        <f>VLOOKUP(D2405,'[1]Cost Sheet'!$C:$D,2,0)</f>
        <v>66.400000000000006</v>
      </c>
      <c r="Z2405" s="3">
        <f t="shared" si="75"/>
        <v>2523.2000000000003</v>
      </c>
    </row>
    <row r="2406" spans="1:26" x14ac:dyDescent="0.3">
      <c r="A2406" s="7" t="s">
        <v>21</v>
      </c>
      <c r="B2406" t="s">
        <v>954</v>
      </c>
      <c r="C2406" t="s">
        <v>955</v>
      </c>
      <c r="D2406" t="s">
        <v>956</v>
      </c>
      <c r="E2406" t="s">
        <v>957</v>
      </c>
      <c r="F2406" t="s">
        <v>26</v>
      </c>
      <c r="G2406">
        <v>0</v>
      </c>
      <c r="H2406">
        <v>0</v>
      </c>
      <c r="I2406">
        <v>0</v>
      </c>
      <c r="J2406">
        <v>-3</v>
      </c>
      <c r="K2406">
        <v>0</v>
      </c>
      <c r="L2406">
        <v>0</v>
      </c>
      <c r="M2406">
        <v>33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30</v>
      </c>
      <c r="T2406">
        <v>0</v>
      </c>
      <c r="U2406" t="s">
        <v>39</v>
      </c>
      <c r="W2406" s="2">
        <v>67.865000000000009</v>
      </c>
      <c r="X2406" s="3">
        <f t="shared" si="74"/>
        <v>2035.9500000000003</v>
      </c>
      <c r="Y2406">
        <f>VLOOKUP(D2406,'[1]Cost Sheet'!$C:$D,2,0)</f>
        <v>66.400000000000006</v>
      </c>
      <c r="Z2406" s="3">
        <f t="shared" si="75"/>
        <v>1992.0000000000002</v>
      </c>
    </row>
    <row r="2407" spans="1:26" x14ac:dyDescent="0.3">
      <c r="A2407" s="7" t="s">
        <v>21</v>
      </c>
      <c r="B2407" t="s">
        <v>954</v>
      </c>
      <c r="C2407" t="s">
        <v>955</v>
      </c>
      <c r="D2407" t="s">
        <v>956</v>
      </c>
      <c r="E2407" t="s">
        <v>957</v>
      </c>
      <c r="F2407" t="s">
        <v>26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7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7</v>
      </c>
      <c r="T2407">
        <v>0</v>
      </c>
      <c r="U2407" t="s">
        <v>53</v>
      </c>
      <c r="W2407" s="2">
        <v>67.865000000000009</v>
      </c>
      <c r="X2407" s="3">
        <f t="shared" si="74"/>
        <v>475.05500000000006</v>
      </c>
      <c r="Y2407">
        <f>VLOOKUP(D2407,'[1]Cost Sheet'!$C:$D,2,0)</f>
        <v>66.400000000000006</v>
      </c>
      <c r="Z2407" s="3">
        <f t="shared" si="75"/>
        <v>464.80000000000007</v>
      </c>
    </row>
    <row r="2408" spans="1:26" x14ac:dyDescent="0.3">
      <c r="A2408" s="7" t="s">
        <v>21</v>
      </c>
      <c r="B2408" t="s">
        <v>954</v>
      </c>
      <c r="C2408" t="s">
        <v>955</v>
      </c>
      <c r="D2408" t="s">
        <v>956</v>
      </c>
      <c r="E2408" t="s">
        <v>957</v>
      </c>
      <c r="F2408" t="s">
        <v>26</v>
      </c>
      <c r="G2408">
        <v>85</v>
      </c>
      <c r="H2408">
        <v>0</v>
      </c>
      <c r="I2408">
        <v>0</v>
      </c>
      <c r="J2408">
        <v>-18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67</v>
      </c>
      <c r="T2408">
        <v>0</v>
      </c>
      <c r="U2408" t="s">
        <v>32</v>
      </c>
      <c r="W2408" s="2">
        <v>67.865000000000009</v>
      </c>
      <c r="X2408" s="3">
        <f t="shared" si="74"/>
        <v>4546.9550000000008</v>
      </c>
      <c r="Y2408">
        <f>VLOOKUP(D2408,'[1]Cost Sheet'!$C:$D,2,0)</f>
        <v>66.400000000000006</v>
      </c>
      <c r="Z2408" s="3">
        <f t="shared" si="75"/>
        <v>4448.8</v>
      </c>
    </row>
    <row r="2409" spans="1:26" x14ac:dyDescent="0.3">
      <c r="A2409" s="7" t="s">
        <v>21</v>
      </c>
      <c r="B2409" t="s">
        <v>954</v>
      </c>
      <c r="C2409" t="s">
        <v>955</v>
      </c>
      <c r="D2409" t="s">
        <v>956</v>
      </c>
      <c r="E2409" t="s">
        <v>957</v>
      </c>
      <c r="F2409" t="s">
        <v>26</v>
      </c>
      <c r="G2409">
        <v>0</v>
      </c>
      <c r="H2409">
        <v>14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109</v>
      </c>
      <c r="W2409" s="2">
        <v>67.865000000000009</v>
      </c>
      <c r="X2409" s="3">
        <f t="shared" si="74"/>
        <v>0</v>
      </c>
      <c r="Y2409">
        <f>VLOOKUP(D2409,'[1]Cost Sheet'!$C:$D,2,0)</f>
        <v>66.400000000000006</v>
      </c>
      <c r="Z2409" s="3">
        <f t="shared" si="75"/>
        <v>0</v>
      </c>
    </row>
    <row r="2410" spans="1:26" x14ac:dyDescent="0.3">
      <c r="A2410" s="7" t="s">
        <v>21</v>
      </c>
      <c r="B2410" t="s">
        <v>954</v>
      </c>
      <c r="C2410" t="s">
        <v>955</v>
      </c>
      <c r="D2410" t="s">
        <v>956</v>
      </c>
      <c r="E2410" t="s">
        <v>957</v>
      </c>
      <c r="F2410" t="s">
        <v>26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 t="s">
        <v>33</v>
      </c>
      <c r="W2410" s="2">
        <v>67.865000000000009</v>
      </c>
      <c r="X2410" s="3">
        <f t="shared" si="74"/>
        <v>67.865000000000009</v>
      </c>
      <c r="Y2410">
        <f>VLOOKUP(D2410,'[1]Cost Sheet'!$C:$D,2,0)</f>
        <v>66.400000000000006</v>
      </c>
      <c r="Z2410" s="3">
        <f t="shared" si="75"/>
        <v>66.400000000000006</v>
      </c>
    </row>
    <row r="2411" spans="1:26" x14ac:dyDescent="0.3">
      <c r="A2411" s="7" t="s">
        <v>21</v>
      </c>
      <c r="B2411" t="s">
        <v>954</v>
      </c>
      <c r="C2411" t="s">
        <v>955</v>
      </c>
      <c r="D2411" t="s">
        <v>956</v>
      </c>
      <c r="E2411" t="s">
        <v>957</v>
      </c>
      <c r="F2411" t="s">
        <v>26</v>
      </c>
      <c r="G2411">
        <v>123</v>
      </c>
      <c r="H2411">
        <v>0</v>
      </c>
      <c r="I2411">
        <v>0</v>
      </c>
      <c r="J2411">
        <v>-10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113</v>
      </c>
      <c r="T2411">
        <v>0</v>
      </c>
      <c r="U2411" t="s">
        <v>46</v>
      </c>
      <c r="W2411" s="2">
        <v>67.865000000000009</v>
      </c>
      <c r="X2411" s="3">
        <f t="shared" si="74"/>
        <v>7668.7450000000008</v>
      </c>
      <c r="Y2411">
        <f>VLOOKUP(D2411,'[1]Cost Sheet'!$C:$D,2,0)</f>
        <v>66.400000000000006</v>
      </c>
      <c r="Z2411" s="3">
        <f t="shared" si="75"/>
        <v>7503.2000000000007</v>
      </c>
    </row>
    <row r="2412" spans="1:26" x14ac:dyDescent="0.3">
      <c r="A2412" s="7" t="s">
        <v>21</v>
      </c>
      <c r="B2412" t="s">
        <v>954</v>
      </c>
      <c r="C2412" t="s">
        <v>955</v>
      </c>
      <c r="D2412" t="s">
        <v>956</v>
      </c>
      <c r="E2412" t="s">
        <v>957</v>
      </c>
      <c r="F2412" t="s">
        <v>26</v>
      </c>
      <c r="G2412">
        <v>43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43</v>
      </c>
      <c r="T2412">
        <v>0</v>
      </c>
      <c r="U2412" t="s">
        <v>47</v>
      </c>
      <c r="W2412" s="2">
        <v>67.865000000000009</v>
      </c>
      <c r="X2412" s="3">
        <f t="shared" si="74"/>
        <v>2918.1950000000006</v>
      </c>
      <c r="Y2412">
        <f>VLOOKUP(D2412,'[1]Cost Sheet'!$C:$D,2,0)</f>
        <v>66.400000000000006</v>
      </c>
      <c r="Z2412" s="3">
        <f t="shared" si="75"/>
        <v>2855.2000000000003</v>
      </c>
    </row>
    <row r="2413" spans="1:26" x14ac:dyDescent="0.3">
      <c r="A2413" s="7" t="s">
        <v>21</v>
      </c>
      <c r="B2413" t="s">
        <v>954</v>
      </c>
      <c r="C2413" t="s">
        <v>955</v>
      </c>
      <c r="D2413" t="s">
        <v>956</v>
      </c>
      <c r="E2413" t="s">
        <v>957</v>
      </c>
      <c r="F2413" t="s">
        <v>26</v>
      </c>
      <c r="G2413">
        <v>40</v>
      </c>
      <c r="H2413">
        <v>0</v>
      </c>
      <c r="I2413">
        <v>0</v>
      </c>
      <c r="J2413">
        <v>-8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32</v>
      </c>
      <c r="T2413">
        <v>0</v>
      </c>
      <c r="U2413" t="s">
        <v>40</v>
      </c>
      <c r="W2413" s="2">
        <v>67.865000000000009</v>
      </c>
      <c r="X2413" s="3">
        <f t="shared" si="74"/>
        <v>2171.6800000000003</v>
      </c>
      <c r="Y2413">
        <f>VLOOKUP(D2413,'[1]Cost Sheet'!$C:$D,2,0)</f>
        <v>66.400000000000006</v>
      </c>
      <c r="Z2413" s="3">
        <f t="shared" si="75"/>
        <v>2124.8000000000002</v>
      </c>
    </row>
    <row r="2414" spans="1:26" x14ac:dyDescent="0.3">
      <c r="A2414" s="7" t="s">
        <v>21</v>
      </c>
      <c r="B2414" t="s">
        <v>954</v>
      </c>
      <c r="C2414" t="s">
        <v>955</v>
      </c>
      <c r="D2414" t="s">
        <v>956</v>
      </c>
      <c r="E2414" t="s">
        <v>957</v>
      </c>
      <c r="F2414" t="s">
        <v>26</v>
      </c>
      <c r="G2414">
        <v>17</v>
      </c>
      <c r="H2414">
        <v>0</v>
      </c>
      <c r="I2414">
        <v>0</v>
      </c>
      <c r="J2414">
        <v>-4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13</v>
      </c>
      <c r="T2414">
        <v>0</v>
      </c>
      <c r="U2414" t="s">
        <v>113</v>
      </c>
      <c r="W2414" s="2">
        <v>67.865000000000009</v>
      </c>
      <c r="X2414" s="3">
        <f t="shared" si="74"/>
        <v>882.24500000000012</v>
      </c>
      <c r="Y2414">
        <f>VLOOKUP(D2414,'[1]Cost Sheet'!$C:$D,2,0)</f>
        <v>66.400000000000006</v>
      </c>
      <c r="Z2414" s="3">
        <f t="shared" si="75"/>
        <v>863.2</v>
      </c>
    </row>
    <row r="2415" spans="1:26" x14ac:dyDescent="0.3">
      <c r="A2415" s="7" t="s">
        <v>21</v>
      </c>
      <c r="B2415" t="s">
        <v>954</v>
      </c>
      <c r="C2415" t="s">
        <v>955</v>
      </c>
      <c r="D2415" t="s">
        <v>956</v>
      </c>
      <c r="E2415" t="s">
        <v>957</v>
      </c>
      <c r="F2415" t="s">
        <v>26</v>
      </c>
      <c r="G2415">
        <v>40</v>
      </c>
      <c r="H2415">
        <v>0</v>
      </c>
      <c r="I2415">
        <v>0</v>
      </c>
      <c r="J2415">
        <v>-8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32</v>
      </c>
      <c r="T2415">
        <v>0</v>
      </c>
      <c r="U2415" t="s">
        <v>48</v>
      </c>
      <c r="W2415" s="2">
        <v>67.865000000000009</v>
      </c>
      <c r="X2415" s="3">
        <f t="shared" si="74"/>
        <v>2171.6800000000003</v>
      </c>
      <c r="Y2415">
        <f>VLOOKUP(D2415,'[1]Cost Sheet'!$C:$D,2,0)</f>
        <v>66.400000000000006</v>
      </c>
      <c r="Z2415" s="3">
        <f t="shared" si="75"/>
        <v>2124.8000000000002</v>
      </c>
    </row>
    <row r="2416" spans="1:26" x14ac:dyDescent="0.3">
      <c r="A2416" s="7" t="s">
        <v>21</v>
      </c>
      <c r="B2416" t="s">
        <v>954</v>
      </c>
      <c r="C2416" t="s">
        <v>955</v>
      </c>
      <c r="D2416" t="s">
        <v>956</v>
      </c>
      <c r="E2416" t="s">
        <v>957</v>
      </c>
      <c r="F2416" t="s">
        <v>26</v>
      </c>
      <c r="G2416">
        <v>6</v>
      </c>
      <c r="H2416">
        <v>0</v>
      </c>
      <c r="I2416">
        <v>0</v>
      </c>
      <c r="J2416">
        <v>-5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 t="s">
        <v>59</v>
      </c>
      <c r="W2416" s="2">
        <v>67.865000000000009</v>
      </c>
      <c r="X2416" s="3">
        <f t="shared" si="74"/>
        <v>67.865000000000009</v>
      </c>
      <c r="Y2416">
        <f>VLOOKUP(D2416,'[1]Cost Sheet'!$C:$D,2,0)</f>
        <v>66.400000000000006</v>
      </c>
      <c r="Z2416" s="3">
        <f t="shared" si="75"/>
        <v>66.400000000000006</v>
      </c>
    </row>
    <row r="2417" spans="1:26" x14ac:dyDescent="0.3">
      <c r="A2417" s="7" t="s">
        <v>21</v>
      </c>
      <c r="B2417" t="s">
        <v>954</v>
      </c>
      <c r="C2417" t="s">
        <v>955</v>
      </c>
      <c r="D2417" t="s">
        <v>956</v>
      </c>
      <c r="E2417" t="s">
        <v>957</v>
      </c>
      <c r="F2417" t="s">
        <v>114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 t="s">
        <v>32</v>
      </c>
      <c r="W2417" s="2">
        <v>67.865000000000009</v>
      </c>
      <c r="X2417" s="3">
        <f t="shared" si="74"/>
        <v>67.865000000000009</v>
      </c>
      <c r="Y2417">
        <f>VLOOKUP(D2417,'[1]Cost Sheet'!$C:$D,2,0)</f>
        <v>66.400000000000006</v>
      </c>
      <c r="Z2417" s="3">
        <f t="shared" si="75"/>
        <v>66.400000000000006</v>
      </c>
    </row>
    <row r="2418" spans="1:26" x14ac:dyDescent="0.3">
      <c r="A2418" s="7" t="s">
        <v>21</v>
      </c>
      <c r="B2418" t="s">
        <v>958</v>
      </c>
      <c r="C2418" t="s">
        <v>959</v>
      </c>
      <c r="D2418" t="s">
        <v>960</v>
      </c>
      <c r="E2418" t="s">
        <v>961</v>
      </c>
      <c r="F2418" t="s">
        <v>106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 t="s">
        <v>33</v>
      </c>
      <c r="W2418" s="2">
        <v>62.03</v>
      </c>
      <c r="X2418" s="3">
        <f t="shared" si="74"/>
        <v>62.03</v>
      </c>
      <c r="Y2418">
        <f>VLOOKUP(D2418,'[1]Cost Sheet'!$C:$D,2,0)</f>
        <v>62.03</v>
      </c>
      <c r="Z2418" s="3">
        <f t="shared" si="75"/>
        <v>62.03</v>
      </c>
    </row>
    <row r="2419" spans="1:26" x14ac:dyDescent="0.3">
      <c r="A2419" s="7" t="s">
        <v>21</v>
      </c>
      <c r="B2419" t="s">
        <v>958</v>
      </c>
      <c r="C2419" t="s">
        <v>959</v>
      </c>
      <c r="D2419" t="s">
        <v>960</v>
      </c>
      <c r="E2419" t="s">
        <v>961</v>
      </c>
      <c r="F2419" t="s">
        <v>106</v>
      </c>
      <c r="G2419">
        <v>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2</v>
      </c>
      <c r="T2419">
        <v>0</v>
      </c>
      <c r="U2419" t="s">
        <v>46</v>
      </c>
      <c r="W2419" s="2">
        <v>62.03</v>
      </c>
      <c r="X2419" s="3">
        <f t="shared" si="74"/>
        <v>124.06</v>
      </c>
      <c r="Y2419">
        <f>VLOOKUP(D2419,'[1]Cost Sheet'!$C:$D,2,0)</f>
        <v>62.03</v>
      </c>
      <c r="Z2419" s="3">
        <f t="shared" si="75"/>
        <v>124.06</v>
      </c>
    </row>
    <row r="2420" spans="1:26" x14ac:dyDescent="0.3">
      <c r="A2420" s="7" t="s">
        <v>21</v>
      </c>
      <c r="B2420" t="s">
        <v>958</v>
      </c>
      <c r="C2420" t="s">
        <v>959</v>
      </c>
      <c r="D2420" t="s">
        <v>960</v>
      </c>
      <c r="E2420" t="s">
        <v>961</v>
      </c>
      <c r="F2420" t="s">
        <v>26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 t="s">
        <v>107</v>
      </c>
      <c r="W2420" s="2">
        <v>62.03</v>
      </c>
      <c r="X2420" s="3">
        <f t="shared" si="74"/>
        <v>62.03</v>
      </c>
      <c r="Y2420">
        <f>VLOOKUP(D2420,'[1]Cost Sheet'!$C:$D,2,0)</f>
        <v>62.03</v>
      </c>
      <c r="Z2420" s="3">
        <f t="shared" si="75"/>
        <v>62.03</v>
      </c>
    </row>
    <row r="2421" spans="1:26" x14ac:dyDescent="0.3">
      <c r="A2421" s="7" t="s">
        <v>21</v>
      </c>
      <c r="B2421" t="s">
        <v>958</v>
      </c>
      <c r="C2421" t="s">
        <v>959</v>
      </c>
      <c r="D2421" t="s">
        <v>960</v>
      </c>
      <c r="E2421" t="s">
        <v>961</v>
      </c>
      <c r="F2421" t="s">
        <v>26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 t="s">
        <v>962</v>
      </c>
      <c r="W2421" s="2">
        <v>62.03</v>
      </c>
      <c r="X2421" s="3">
        <f t="shared" si="74"/>
        <v>62.03</v>
      </c>
      <c r="Y2421">
        <f>VLOOKUP(D2421,'[1]Cost Sheet'!$C:$D,2,0)</f>
        <v>62.03</v>
      </c>
      <c r="Z2421" s="3">
        <f t="shared" si="75"/>
        <v>62.03</v>
      </c>
    </row>
    <row r="2422" spans="1:26" x14ac:dyDescent="0.3">
      <c r="A2422" s="7" t="s">
        <v>21</v>
      </c>
      <c r="B2422" t="s">
        <v>958</v>
      </c>
      <c r="C2422" t="s">
        <v>959</v>
      </c>
      <c r="D2422" t="s">
        <v>960</v>
      </c>
      <c r="E2422" t="s">
        <v>961</v>
      </c>
      <c r="F2422" t="s">
        <v>26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s">
        <v>151</v>
      </c>
      <c r="W2422" s="2">
        <v>62.03</v>
      </c>
      <c r="X2422" s="3">
        <f t="shared" si="74"/>
        <v>0</v>
      </c>
      <c r="Y2422">
        <f>VLOOKUP(D2422,'[1]Cost Sheet'!$C:$D,2,0)</f>
        <v>62.03</v>
      </c>
      <c r="Z2422" s="3">
        <f t="shared" si="75"/>
        <v>0</v>
      </c>
    </row>
    <row r="2423" spans="1:26" x14ac:dyDescent="0.3">
      <c r="A2423" s="7" t="s">
        <v>21</v>
      </c>
      <c r="B2423" t="s">
        <v>958</v>
      </c>
      <c r="C2423" t="s">
        <v>959</v>
      </c>
      <c r="D2423" t="s">
        <v>960</v>
      </c>
      <c r="E2423" t="s">
        <v>961</v>
      </c>
      <c r="F2423" t="s">
        <v>26</v>
      </c>
      <c r="G2423">
        <v>492</v>
      </c>
      <c r="H2423">
        <v>0</v>
      </c>
      <c r="I2423">
        <v>0</v>
      </c>
      <c r="J2423">
        <v>-13</v>
      </c>
      <c r="K2423">
        <v>0</v>
      </c>
      <c r="L2423">
        <v>0</v>
      </c>
      <c r="M2423">
        <v>8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487</v>
      </c>
      <c r="T2423">
        <v>0</v>
      </c>
      <c r="U2423" t="s">
        <v>45</v>
      </c>
      <c r="W2423" s="2">
        <v>62.03</v>
      </c>
      <c r="X2423" s="3">
        <f t="shared" si="74"/>
        <v>30208.61</v>
      </c>
      <c r="Y2423">
        <f>VLOOKUP(D2423,'[1]Cost Sheet'!$C:$D,2,0)</f>
        <v>62.03</v>
      </c>
      <c r="Z2423" s="3">
        <f t="shared" si="75"/>
        <v>30208.61</v>
      </c>
    </row>
    <row r="2424" spans="1:26" x14ac:dyDescent="0.3">
      <c r="A2424" s="7" t="s">
        <v>21</v>
      </c>
      <c r="B2424" t="s">
        <v>958</v>
      </c>
      <c r="C2424" t="s">
        <v>959</v>
      </c>
      <c r="D2424" t="s">
        <v>960</v>
      </c>
      <c r="E2424" t="s">
        <v>961</v>
      </c>
      <c r="F2424" t="s">
        <v>26</v>
      </c>
      <c r="G2424">
        <v>1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-1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s">
        <v>108</v>
      </c>
      <c r="W2424" s="2">
        <v>62.03</v>
      </c>
      <c r="X2424" s="3">
        <f t="shared" si="74"/>
        <v>0</v>
      </c>
      <c r="Y2424">
        <f>VLOOKUP(D2424,'[1]Cost Sheet'!$C:$D,2,0)</f>
        <v>62.03</v>
      </c>
      <c r="Z2424" s="3">
        <f t="shared" si="75"/>
        <v>0</v>
      </c>
    </row>
    <row r="2425" spans="1:26" x14ac:dyDescent="0.3">
      <c r="A2425" s="7" t="s">
        <v>21</v>
      </c>
      <c r="B2425" t="s">
        <v>958</v>
      </c>
      <c r="C2425" t="s">
        <v>959</v>
      </c>
      <c r="D2425" t="s">
        <v>960</v>
      </c>
      <c r="E2425" t="s">
        <v>961</v>
      </c>
      <c r="F2425" t="s">
        <v>26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</v>
      </c>
      <c r="T2425">
        <v>0</v>
      </c>
      <c r="U2425" t="s">
        <v>39</v>
      </c>
      <c r="W2425" s="2">
        <v>62.03</v>
      </c>
      <c r="X2425" s="3">
        <f t="shared" si="74"/>
        <v>186.09</v>
      </c>
      <c r="Y2425">
        <f>VLOOKUP(D2425,'[1]Cost Sheet'!$C:$D,2,0)</f>
        <v>62.03</v>
      </c>
      <c r="Z2425" s="3">
        <f t="shared" si="75"/>
        <v>186.09</v>
      </c>
    </row>
    <row r="2426" spans="1:26" x14ac:dyDescent="0.3">
      <c r="A2426" s="7" t="s">
        <v>21</v>
      </c>
      <c r="B2426" t="s">
        <v>958</v>
      </c>
      <c r="C2426" t="s">
        <v>959</v>
      </c>
      <c r="D2426" t="s">
        <v>960</v>
      </c>
      <c r="E2426" t="s">
        <v>961</v>
      </c>
      <c r="F2426" t="s">
        <v>26</v>
      </c>
      <c r="G2426">
        <v>17</v>
      </c>
      <c r="H2426">
        <v>0</v>
      </c>
      <c r="I2426">
        <v>0</v>
      </c>
      <c r="J2426">
        <v>-16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2</v>
      </c>
      <c r="T2426">
        <v>0</v>
      </c>
      <c r="U2426" t="s">
        <v>53</v>
      </c>
      <c r="W2426" s="2">
        <v>62.03</v>
      </c>
      <c r="X2426" s="3">
        <f t="shared" si="74"/>
        <v>124.06</v>
      </c>
      <c r="Y2426">
        <f>VLOOKUP(D2426,'[1]Cost Sheet'!$C:$D,2,0)</f>
        <v>62.03</v>
      </c>
      <c r="Z2426" s="3">
        <f t="shared" si="75"/>
        <v>124.06</v>
      </c>
    </row>
    <row r="2427" spans="1:26" x14ac:dyDescent="0.3">
      <c r="A2427" s="7" t="s">
        <v>21</v>
      </c>
      <c r="B2427" t="s">
        <v>958</v>
      </c>
      <c r="C2427" t="s">
        <v>959</v>
      </c>
      <c r="D2427" t="s">
        <v>960</v>
      </c>
      <c r="E2427" t="s">
        <v>961</v>
      </c>
      <c r="F2427" t="s">
        <v>26</v>
      </c>
      <c r="G2427">
        <v>616</v>
      </c>
      <c r="H2427">
        <v>2</v>
      </c>
      <c r="I2427">
        <v>0</v>
      </c>
      <c r="J2427">
        <v>-57</v>
      </c>
      <c r="K2427">
        <v>0</v>
      </c>
      <c r="L2427">
        <v>0</v>
      </c>
      <c r="M2427">
        <v>-2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557</v>
      </c>
      <c r="T2427">
        <v>0</v>
      </c>
      <c r="U2427" t="s">
        <v>54</v>
      </c>
      <c r="W2427" s="2">
        <v>62.03</v>
      </c>
      <c r="X2427" s="3">
        <f t="shared" si="74"/>
        <v>34550.71</v>
      </c>
      <c r="Y2427">
        <f>VLOOKUP(D2427,'[1]Cost Sheet'!$C:$D,2,0)</f>
        <v>62.03</v>
      </c>
      <c r="Z2427" s="3">
        <f t="shared" si="75"/>
        <v>34550.71</v>
      </c>
    </row>
    <row r="2428" spans="1:26" x14ac:dyDescent="0.3">
      <c r="A2428" s="7" t="s">
        <v>21</v>
      </c>
      <c r="B2428" t="s">
        <v>958</v>
      </c>
      <c r="C2428" t="s">
        <v>959</v>
      </c>
      <c r="D2428" t="s">
        <v>960</v>
      </c>
      <c r="E2428" t="s">
        <v>961</v>
      </c>
      <c r="F2428" t="s">
        <v>26</v>
      </c>
      <c r="G2428">
        <v>53</v>
      </c>
      <c r="H2428">
        <v>0</v>
      </c>
      <c r="I2428">
        <v>0</v>
      </c>
      <c r="J2428">
        <v>-27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26</v>
      </c>
      <c r="T2428">
        <v>0</v>
      </c>
      <c r="U2428" t="s">
        <v>32</v>
      </c>
      <c r="W2428" s="2">
        <v>62.03</v>
      </c>
      <c r="X2428" s="3">
        <f t="shared" si="74"/>
        <v>1612.78</v>
      </c>
      <c r="Y2428">
        <f>VLOOKUP(D2428,'[1]Cost Sheet'!$C:$D,2,0)</f>
        <v>62.03</v>
      </c>
      <c r="Z2428" s="3">
        <f t="shared" si="75"/>
        <v>1612.78</v>
      </c>
    </row>
    <row r="2429" spans="1:26" x14ac:dyDescent="0.3">
      <c r="A2429" s="7" t="s">
        <v>21</v>
      </c>
      <c r="B2429" t="s">
        <v>958</v>
      </c>
      <c r="C2429" t="s">
        <v>959</v>
      </c>
      <c r="D2429" t="s">
        <v>960</v>
      </c>
      <c r="E2429" t="s">
        <v>961</v>
      </c>
      <c r="F2429" t="s">
        <v>26</v>
      </c>
      <c r="G2429">
        <v>0</v>
      </c>
      <c r="H2429">
        <v>1</v>
      </c>
      <c r="I2429">
        <v>0</v>
      </c>
      <c r="J2429">
        <v>0</v>
      </c>
      <c r="K2429">
        <v>1</v>
      </c>
      <c r="L2429">
        <v>0</v>
      </c>
      <c r="M2429">
        <v>-1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88</v>
      </c>
      <c r="W2429" s="2">
        <v>62.03</v>
      </c>
      <c r="X2429" s="3">
        <f t="shared" si="74"/>
        <v>0</v>
      </c>
      <c r="Y2429">
        <f>VLOOKUP(D2429,'[1]Cost Sheet'!$C:$D,2,0)</f>
        <v>62.03</v>
      </c>
      <c r="Z2429" s="3">
        <f t="shared" si="75"/>
        <v>0</v>
      </c>
    </row>
    <row r="2430" spans="1:26" x14ac:dyDescent="0.3">
      <c r="A2430" s="7" t="s">
        <v>21</v>
      </c>
      <c r="B2430" t="s">
        <v>958</v>
      </c>
      <c r="C2430" t="s">
        <v>959</v>
      </c>
      <c r="D2430" t="s">
        <v>960</v>
      </c>
      <c r="E2430" t="s">
        <v>961</v>
      </c>
      <c r="F2430" t="s">
        <v>26</v>
      </c>
      <c r="G2430">
        <v>2</v>
      </c>
      <c r="H2430">
        <v>0</v>
      </c>
      <c r="I2430">
        <v>0</v>
      </c>
      <c r="J2430">
        <v>-1</v>
      </c>
      <c r="K2430">
        <v>0</v>
      </c>
      <c r="L2430">
        <v>0</v>
      </c>
      <c r="M2430">
        <v>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3</v>
      </c>
      <c r="T2430">
        <v>0</v>
      </c>
      <c r="U2430" t="s">
        <v>33</v>
      </c>
      <c r="W2430" s="2">
        <v>62.03</v>
      </c>
      <c r="X2430" s="3">
        <f t="shared" si="74"/>
        <v>186.09</v>
      </c>
      <c r="Y2430">
        <f>VLOOKUP(D2430,'[1]Cost Sheet'!$C:$D,2,0)</f>
        <v>62.03</v>
      </c>
      <c r="Z2430" s="3">
        <f t="shared" si="75"/>
        <v>186.09</v>
      </c>
    </row>
    <row r="2431" spans="1:26" x14ac:dyDescent="0.3">
      <c r="A2431" s="7" t="s">
        <v>21</v>
      </c>
      <c r="B2431" t="s">
        <v>958</v>
      </c>
      <c r="C2431" t="s">
        <v>959</v>
      </c>
      <c r="D2431" t="s">
        <v>960</v>
      </c>
      <c r="E2431" t="s">
        <v>961</v>
      </c>
      <c r="F2431" t="s">
        <v>26</v>
      </c>
      <c r="G2431">
        <v>0</v>
      </c>
      <c r="H2431">
        <v>0</v>
      </c>
      <c r="I2431">
        <v>0</v>
      </c>
      <c r="J2431">
        <v>-1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 t="s">
        <v>46</v>
      </c>
      <c r="W2431" s="2">
        <v>62.03</v>
      </c>
      <c r="X2431" s="3">
        <f t="shared" si="74"/>
        <v>0</v>
      </c>
      <c r="Y2431">
        <f>VLOOKUP(D2431,'[1]Cost Sheet'!$C:$D,2,0)</f>
        <v>62.03</v>
      </c>
      <c r="Z2431" s="3">
        <f t="shared" si="75"/>
        <v>0</v>
      </c>
    </row>
    <row r="2432" spans="1:26" x14ac:dyDescent="0.3">
      <c r="A2432" s="7" t="s">
        <v>21</v>
      </c>
      <c r="B2432" t="s">
        <v>958</v>
      </c>
      <c r="C2432" t="s">
        <v>959</v>
      </c>
      <c r="D2432" t="s">
        <v>960</v>
      </c>
      <c r="E2432" t="s">
        <v>961</v>
      </c>
      <c r="F2432" t="s">
        <v>26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2</v>
      </c>
      <c r="T2432">
        <v>0</v>
      </c>
      <c r="U2432" t="s">
        <v>40</v>
      </c>
      <c r="W2432" s="2">
        <v>62.03</v>
      </c>
      <c r="X2432" s="3">
        <f t="shared" si="74"/>
        <v>124.06</v>
      </c>
      <c r="Y2432">
        <f>VLOOKUP(D2432,'[1]Cost Sheet'!$C:$D,2,0)</f>
        <v>62.03</v>
      </c>
      <c r="Z2432" s="3">
        <f t="shared" si="75"/>
        <v>124.06</v>
      </c>
    </row>
    <row r="2433" spans="1:26" x14ac:dyDescent="0.3">
      <c r="A2433" s="7" t="s">
        <v>21</v>
      </c>
      <c r="B2433" t="s">
        <v>958</v>
      </c>
      <c r="C2433" t="s">
        <v>959</v>
      </c>
      <c r="D2433" t="s">
        <v>960</v>
      </c>
      <c r="E2433" t="s">
        <v>961</v>
      </c>
      <c r="F2433" t="s">
        <v>26</v>
      </c>
      <c r="G2433">
        <v>1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2</v>
      </c>
      <c r="T2433">
        <v>0</v>
      </c>
      <c r="U2433" t="s">
        <v>113</v>
      </c>
      <c r="W2433" s="2">
        <v>62.03</v>
      </c>
      <c r="X2433" s="3">
        <f t="shared" si="74"/>
        <v>124.06</v>
      </c>
      <c r="Y2433">
        <f>VLOOKUP(D2433,'[1]Cost Sheet'!$C:$D,2,0)</f>
        <v>62.03</v>
      </c>
      <c r="Z2433" s="3">
        <f t="shared" si="75"/>
        <v>124.06</v>
      </c>
    </row>
    <row r="2434" spans="1:26" x14ac:dyDescent="0.3">
      <c r="A2434" s="7" t="s">
        <v>21</v>
      </c>
      <c r="B2434" t="s">
        <v>958</v>
      </c>
      <c r="C2434" t="s">
        <v>959</v>
      </c>
      <c r="D2434" t="s">
        <v>960</v>
      </c>
      <c r="E2434" t="s">
        <v>961</v>
      </c>
      <c r="F2434" t="s">
        <v>26</v>
      </c>
      <c r="G2434">
        <v>2</v>
      </c>
      <c r="H2434">
        <v>0</v>
      </c>
      <c r="I2434">
        <v>0</v>
      </c>
      <c r="J2434">
        <v>-2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48</v>
      </c>
      <c r="W2434" s="2">
        <v>62.03</v>
      </c>
      <c r="X2434" s="3">
        <f t="shared" si="74"/>
        <v>0</v>
      </c>
      <c r="Y2434">
        <f>VLOOKUP(D2434,'[1]Cost Sheet'!$C:$D,2,0)</f>
        <v>62.03</v>
      </c>
      <c r="Z2434" s="3">
        <f t="shared" si="75"/>
        <v>0</v>
      </c>
    </row>
    <row r="2435" spans="1:26" x14ac:dyDescent="0.3">
      <c r="A2435" s="7" t="s">
        <v>21</v>
      </c>
      <c r="B2435" t="s">
        <v>958</v>
      </c>
      <c r="C2435" t="s">
        <v>959</v>
      </c>
      <c r="D2435" t="s">
        <v>960</v>
      </c>
      <c r="E2435" t="s">
        <v>961</v>
      </c>
      <c r="F2435" t="s">
        <v>26</v>
      </c>
      <c r="G2435">
        <v>4</v>
      </c>
      <c r="H2435">
        <v>0</v>
      </c>
      <c r="I2435">
        <v>0</v>
      </c>
      <c r="J2435">
        <v>-4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 t="s">
        <v>59</v>
      </c>
      <c r="W2435" s="2">
        <v>62.03</v>
      </c>
      <c r="X2435" s="3">
        <f t="shared" ref="X2435:X2498" si="76">S2435*W2435</f>
        <v>0</v>
      </c>
      <c r="Y2435">
        <f>VLOOKUP(D2435,'[1]Cost Sheet'!$C:$D,2,0)</f>
        <v>62.03</v>
      </c>
      <c r="Z2435" s="3">
        <f t="shared" ref="Z2435:Z2498" si="77">Y2435*S2435</f>
        <v>0</v>
      </c>
    </row>
    <row r="2436" spans="1:26" x14ac:dyDescent="0.3">
      <c r="A2436" s="7" t="s">
        <v>21</v>
      </c>
      <c r="B2436" t="s">
        <v>958</v>
      </c>
      <c r="C2436" t="s">
        <v>959</v>
      </c>
      <c r="D2436" t="s">
        <v>960</v>
      </c>
      <c r="E2436" t="s">
        <v>961</v>
      </c>
      <c r="F2436" t="s">
        <v>26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 t="s">
        <v>27</v>
      </c>
      <c r="W2436" s="2">
        <v>62.03</v>
      </c>
      <c r="X2436" s="3">
        <f t="shared" si="76"/>
        <v>62.03</v>
      </c>
      <c r="Y2436">
        <f>VLOOKUP(D2436,'[1]Cost Sheet'!$C:$D,2,0)</f>
        <v>62.03</v>
      </c>
      <c r="Z2436" s="3">
        <f t="shared" si="77"/>
        <v>62.03</v>
      </c>
    </row>
    <row r="2437" spans="1:26" x14ac:dyDescent="0.3">
      <c r="A2437" s="7" t="s">
        <v>21</v>
      </c>
      <c r="B2437" t="s">
        <v>963</v>
      </c>
      <c r="C2437" t="s">
        <v>964</v>
      </c>
      <c r="D2437" t="s">
        <v>965</v>
      </c>
      <c r="E2437" t="s">
        <v>966</v>
      </c>
      <c r="F2437" t="s">
        <v>106</v>
      </c>
      <c r="G2437">
        <v>255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-1</v>
      </c>
      <c r="S2437">
        <v>254</v>
      </c>
      <c r="T2437">
        <v>0</v>
      </c>
      <c r="U2437" t="s">
        <v>32</v>
      </c>
      <c r="W2437" s="2">
        <v>65.53</v>
      </c>
      <c r="X2437" s="3">
        <f t="shared" si="76"/>
        <v>16644.62</v>
      </c>
      <c r="Y2437">
        <f>VLOOKUP(D2437,'[1]Cost Sheet'!$C:$D,2,0)</f>
        <v>65.53</v>
      </c>
      <c r="Z2437" s="3">
        <f t="shared" si="77"/>
        <v>16644.62</v>
      </c>
    </row>
    <row r="2438" spans="1:26" x14ac:dyDescent="0.3">
      <c r="A2438" s="7" t="s">
        <v>21</v>
      </c>
      <c r="B2438" t="s">
        <v>963</v>
      </c>
      <c r="C2438" t="s">
        <v>964</v>
      </c>
      <c r="D2438" t="s">
        <v>965</v>
      </c>
      <c r="E2438" t="s">
        <v>966</v>
      </c>
      <c r="F2438" t="s">
        <v>26</v>
      </c>
      <c r="G2438">
        <v>1</v>
      </c>
      <c r="H2438">
        <v>0</v>
      </c>
      <c r="I2438">
        <v>0</v>
      </c>
      <c r="J2438">
        <v>-1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t="s">
        <v>38</v>
      </c>
      <c r="W2438" s="2">
        <v>65.53</v>
      </c>
      <c r="X2438" s="3">
        <f t="shared" si="76"/>
        <v>0</v>
      </c>
      <c r="Y2438">
        <f>VLOOKUP(D2438,'[1]Cost Sheet'!$C:$D,2,0)</f>
        <v>65.53</v>
      </c>
      <c r="Z2438" s="3">
        <f t="shared" si="77"/>
        <v>0</v>
      </c>
    </row>
    <row r="2439" spans="1:26" x14ac:dyDescent="0.3">
      <c r="A2439" s="7" t="s">
        <v>21</v>
      </c>
      <c r="B2439" t="s">
        <v>963</v>
      </c>
      <c r="C2439" t="s">
        <v>964</v>
      </c>
      <c r="D2439" t="s">
        <v>965</v>
      </c>
      <c r="E2439" t="s">
        <v>966</v>
      </c>
      <c r="F2439" t="s">
        <v>26</v>
      </c>
      <c r="G2439">
        <v>24</v>
      </c>
      <c r="H2439">
        <v>0</v>
      </c>
      <c r="I2439">
        <v>0</v>
      </c>
      <c r="J2439">
        <v>-3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21</v>
      </c>
      <c r="T2439">
        <v>0</v>
      </c>
      <c r="U2439" t="s">
        <v>107</v>
      </c>
      <c r="W2439" s="2">
        <v>65.53</v>
      </c>
      <c r="X2439" s="3">
        <f t="shared" si="76"/>
        <v>1376.13</v>
      </c>
      <c r="Y2439">
        <f>VLOOKUP(D2439,'[1]Cost Sheet'!$C:$D,2,0)</f>
        <v>65.53</v>
      </c>
      <c r="Z2439" s="3">
        <f t="shared" si="77"/>
        <v>1376.13</v>
      </c>
    </row>
    <row r="2440" spans="1:26" x14ac:dyDescent="0.3">
      <c r="A2440" s="7" t="s">
        <v>21</v>
      </c>
      <c r="B2440" t="s">
        <v>963</v>
      </c>
      <c r="C2440" t="s">
        <v>964</v>
      </c>
      <c r="D2440" t="s">
        <v>965</v>
      </c>
      <c r="E2440" t="s">
        <v>966</v>
      </c>
      <c r="F2440" t="s">
        <v>26</v>
      </c>
      <c r="G2440">
        <v>3</v>
      </c>
      <c r="H2440">
        <v>0</v>
      </c>
      <c r="I2440">
        <v>0</v>
      </c>
      <c r="J2440">
        <v>-2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2</v>
      </c>
      <c r="T2440">
        <v>0</v>
      </c>
      <c r="U2440" t="s">
        <v>45</v>
      </c>
      <c r="W2440" s="2">
        <v>65.53</v>
      </c>
      <c r="X2440" s="3">
        <f t="shared" si="76"/>
        <v>131.06</v>
      </c>
      <c r="Y2440">
        <f>VLOOKUP(D2440,'[1]Cost Sheet'!$C:$D,2,0)</f>
        <v>65.53</v>
      </c>
      <c r="Z2440" s="3">
        <f t="shared" si="77"/>
        <v>131.06</v>
      </c>
    </row>
    <row r="2441" spans="1:26" x14ac:dyDescent="0.3">
      <c r="A2441" s="7" t="s">
        <v>21</v>
      </c>
      <c r="B2441" t="s">
        <v>963</v>
      </c>
      <c r="C2441" t="s">
        <v>964</v>
      </c>
      <c r="D2441" t="s">
        <v>965</v>
      </c>
      <c r="E2441" t="s">
        <v>966</v>
      </c>
      <c r="F2441" t="s">
        <v>26</v>
      </c>
      <c r="G2441">
        <v>0</v>
      </c>
      <c r="H2441">
        <v>1</v>
      </c>
      <c r="I2441">
        <v>0</v>
      </c>
      <c r="J2441">
        <v>0</v>
      </c>
      <c r="K2441">
        <v>1</v>
      </c>
      <c r="L2441">
        <v>0</v>
      </c>
      <c r="M2441">
        <v>-1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108</v>
      </c>
      <c r="W2441" s="2">
        <v>65.53</v>
      </c>
      <c r="X2441" s="3">
        <f t="shared" si="76"/>
        <v>0</v>
      </c>
      <c r="Y2441">
        <f>VLOOKUP(D2441,'[1]Cost Sheet'!$C:$D,2,0)</f>
        <v>65.53</v>
      </c>
      <c r="Z2441" s="3">
        <f t="shared" si="77"/>
        <v>0</v>
      </c>
    </row>
    <row r="2442" spans="1:26" x14ac:dyDescent="0.3">
      <c r="A2442" s="7" t="s">
        <v>21</v>
      </c>
      <c r="B2442" t="s">
        <v>963</v>
      </c>
      <c r="C2442" t="s">
        <v>964</v>
      </c>
      <c r="D2442" t="s">
        <v>965</v>
      </c>
      <c r="E2442" t="s">
        <v>966</v>
      </c>
      <c r="F2442" t="s">
        <v>26</v>
      </c>
      <c r="G2442">
        <v>3</v>
      </c>
      <c r="H2442">
        <v>0</v>
      </c>
      <c r="I2442">
        <v>0</v>
      </c>
      <c r="J2442">
        <v>-2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 t="s">
        <v>39</v>
      </c>
      <c r="W2442" s="2">
        <v>65.53</v>
      </c>
      <c r="X2442" s="3">
        <f t="shared" si="76"/>
        <v>65.53</v>
      </c>
      <c r="Y2442">
        <f>VLOOKUP(D2442,'[1]Cost Sheet'!$C:$D,2,0)</f>
        <v>65.53</v>
      </c>
      <c r="Z2442" s="3">
        <f t="shared" si="77"/>
        <v>65.53</v>
      </c>
    </row>
    <row r="2443" spans="1:26" x14ac:dyDescent="0.3">
      <c r="A2443" s="7" t="s">
        <v>21</v>
      </c>
      <c r="B2443" t="s">
        <v>963</v>
      </c>
      <c r="C2443" t="s">
        <v>964</v>
      </c>
      <c r="D2443" t="s">
        <v>965</v>
      </c>
      <c r="E2443" t="s">
        <v>966</v>
      </c>
      <c r="F2443" t="s">
        <v>26</v>
      </c>
      <c r="G2443">
        <v>1</v>
      </c>
      <c r="H2443">
        <v>0</v>
      </c>
      <c r="I2443">
        <v>0</v>
      </c>
      <c r="J2443">
        <v>-1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 t="s">
        <v>53</v>
      </c>
      <c r="W2443" s="2">
        <v>65.53</v>
      </c>
      <c r="X2443" s="3">
        <f t="shared" si="76"/>
        <v>65.53</v>
      </c>
      <c r="Y2443">
        <f>VLOOKUP(D2443,'[1]Cost Sheet'!$C:$D,2,0)</f>
        <v>65.53</v>
      </c>
      <c r="Z2443" s="3">
        <f t="shared" si="77"/>
        <v>65.53</v>
      </c>
    </row>
    <row r="2444" spans="1:26" x14ac:dyDescent="0.3">
      <c r="A2444" s="7" t="s">
        <v>21</v>
      </c>
      <c r="B2444" t="s">
        <v>963</v>
      </c>
      <c r="C2444" t="s">
        <v>964</v>
      </c>
      <c r="D2444" t="s">
        <v>965</v>
      </c>
      <c r="E2444" t="s">
        <v>966</v>
      </c>
      <c r="F2444" t="s">
        <v>26</v>
      </c>
      <c r="G2444">
        <v>8</v>
      </c>
      <c r="H2444">
        <v>0</v>
      </c>
      <c r="I2444">
        <v>0</v>
      </c>
      <c r="J2444">
        <v>-7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 t="s">
        <v>54</v>
      </c>
      <c r="W2444" s="2">
        <v>65.53</v>
      </c>
      <c r="X2444" s="3">
        <f t="shared" si="76"/>
        <v>65.53</v>
      </c>
      <c r="Y2444">
        <f>VLOOKUP(D2444,'[1]Cost Sheet'!$C:$D,2,0)</f>
        <v>65.53</v>
      </c>
      <c r="Z2444" s="3">
        <f t="shared" si="77"/>
        <v>65.53</v>
      </c>
    </row>
    <row r="2445" spans="1:26" x14ac:dyDescent="0.3">
      <c r="A2445" s="7" t="s">
        <v>21</v>
      </c>
      <c r="B2445" t="s">
        <v>963</v>
      </c>
      <c r="C2445" t="s">
        <v>964</v>
      </c>
      <c r="D2445" t="s">
        <v>965</v>
      </c>
      <c r="E2445" t="s">
        <v>966</v>
      </c>
      <c r="F2445" t="s">
        <v>26</v>
      </c>
      <c r="G2445">
        <v>18</v>
      </c>
      <c r="H2445">
        <v>0</v>
      </c>
      <c r="I2445">
        <v>0</v>
      </c>
      <c r="J2445">
        <v>-15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3</v>
      </c>
      <c r="T2445">
        <v>0</v>
      </c>
      <c r="U2445" t="s">
        <v>32</v>
      </c>
      <c r="W2445" s="2">
        <v>65.53</v>
      </c>
      <c r="X2445" s="3">
        <f t="shared" si="76"/>
        <v>196.59</v>
      </c>
      <c r="Y2445">
        <f>VLOOKUP(D2445,'[1]Cost Sheet'!$C:$D,2,0)</f>
        <v>65.53</v>
      </c>
      <c r="Z2445" s="3">
        <f t="shared" si="77"/>
        <v>196.59</v>
      </c>
    </row>
    <row r="2446" spans="1:26" x14ac:dyDescent="0.3">
      <c r="A2446" s="7" t="s">
        <v>21</v>
      </c>
      <c r="B2446" t="s">
        <v>963</v>
      </c>
      <c r="C2446" t="s">
        <v>964</v>
      </c>
      <c r="D2446" t="s">
        <v>965</v>
      </c>
      <c r="E2446" t="s">
        <v>966</v>
      </c>
      <c r="F2446" t="s">
        <v>26</v>
      </c>
      <c r="G2446">
        <v>1</v>
      </c>
      <c r="H2446">
        <v>0</v>
      </c>
      <c r="I2446">
        <v>0</v>
      </c>
      <c r="J2446">
        <v>0</v>
      </c>
      <c r="K2446">
        <v>2</v>
      </c>
      <c r="L2446">
        <v>0</v>
      </c>
      <c r="M2446">
        <v>-1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2</v>
      </c>
      <c r="T2446">
        <v>0</v>
      </c>
      <c r="U2446" t="s">
        <v>88</v>
      </c>
      <c r="W2446" s="2">
        <v>65.53</v>
      </c>
      <c r="X2446" s="3">
        <f t="shared" si="76"/>
        <v>131.06</v>
      </c>
      <c r="Y2446">
        <f>VLOOKUP(D2446,'[1]Cost Sheet'!$C:$D,2,0)</f>
        <v>65.53</v>
      </c>
      <c r="Z2446" s="3">
        <f t="shared" si="77"/>
        <v>131.06</v>
      </c>
    </row>
    <row r="2447" spans="1:26" x14ac:dyDescent="0.3">
      <c r="A2447" s="7" t="s">
        <v>21</v>
      </c>
      <c r="B2447" t="s">
        <v>963</v>
      </c>
      <c r="C2447" t="s">
        <v>964</v>
      </c>
      <c r="D2447" t="s">
        <v>965</v>
      </c>
      <c r="E2447" t="s">
        <v>966</v>
      </c>
      <c r="F2447" t="s">
        <v>26</v>
      </c>
      <c r="G2447">
        <v>22</v>
      </c>
      <c r="H2447">
        <v>0</v>
      </c>
      <c r="I2447">
        <v>0</v>
      </c>
      <c r="J2447">
        <v>-8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15</v>
      </c>
      <c r="T2447">
        <v>0</v>
      </c>
      <c r="U2447" t="s">
        <v>33</v>
      </c>
      <c r="W2447" s="2">
        <v>65.53</v>
      </c>
      <c r="X2447" s="3">
        <f t="shared" si="76"/>
        <v>982.95</v>
      </c>
      <c r="Y2447">
        <f>VLOOKUP(D2447,'[1]Cost Sheet'!$C:$D,2,0)</f>
        <v>65.53</v>
      </c>
      <c r="Z2447" s="3">
        <f t="shared" si="77"/>
        <v>982.95</v>
      </c>
    </row>
    <row r="2448" spans="1:26" x14ac:dyDescent="0.3">
      <c r="A2448" s="7" t="s">
        <v>21</v>
      </c>
      <c r="B2448" t="s">
        <v>963</v>
      </c>
      <c r="C2448" t="s">
        <v>964</v>
      </c>
      <c r="D2448" t="s">
        <v>965</v>
      </c>
      <c r="E2448" t="s">
        <v>966</v>
      </c>
      <c r="F2448" t="s">
        <v>26</v>
      </c>
      <c r="G2448">
        <v>17</v>
      </c>
      <c r="H2448">
        <v>0</v>
      </c>
      <c r="I2448">
        <v>0</v>
      </c>
      <c r="J2448">
        <v>-5</v>
      </c>
      <c r="K2448">
        <v>0</v>
      </c>
      <c r="L2448">
        <v>0</v>
      </c>
      <c r="M2448">
        <v>6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18</v>
      </c>
      <c r="T2448">
        <v>0</v>
      </c>
      <c r="U2448" t="s">
        <v>46</v>
      </c>
      <c r="W2448" s="2">
        <v>65.53</v>
      </c>
      <c r="X2448" s="3">
        <f t="shared" si="76"/>
        <v>1179.54</v>
      </c>
      <c r="Y2448">
        <f>VLOOKUP(D2448,'[1]Cost Sheet'!$C:$D,2,0)</f>
        <v>65.53</v>
      </c>
      <c r="Z2448" s="3">
        <f t="shared" si="77"/>
        <v>1179.54</v>
      </c>
    </row>
    <row r="2449" spans="1:26" x14ac:dyDescent="0.3">
      <c r="A2449" s="7" t="s">
        <v>21</v>
      </c>
      <c r="B2449" t="s">
        <v>963</v>
      </c>
      <c r="C2449" t="s">
        <v>964</v>
      </c>
      <c r="D2449" t="s">
        <v>965</v>
      </c>
      <c r="E2449" t="s">
        <v>966</v>
      </c>
      <c r="F2449" t="s">
        <v>26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2</v>
      </c>
      <c r="T2449">
        <v>0</v>
      </c>
      <c r="U2449" t="s">
        <v>111</v>
      </c>
      <c r="W2449" s="2">
        <v>65.53</v>
      </c>
      <c r="X2449" s="3">
        <f t="shared" si="76"/>
        <v>131.06</v>
      </c>
      <c r="Y2449">
        <f>VLOOKUP(D2449,'[1]Cost Sheet'!$C:$D,2,0)</f>
        <v>65.53</v>
      </c>
      <c r="Z2449" s="3">
        <f t="shared" si="77"/>
        <v>131.06</v>
      </c>
    </row>
    <row r="2450" spans="1:26" x14ac:dyDescent="0.3">
      <c r="A2450" s="7" t="s">
        <v>21</v>
      </c>
      <c r="B2450" t="s">
        <v>963</v>
      </c>
      <c r="C2450" t="s">
        <v>964</v>
      </c>
      <c r="D2450" t="s">
        <v>965</v>
      </c>
      <c r="E2450" t="s">
        <v>966</v>
      </c>
      <c r="F2450" t="s">
        <v>26</v>
      </c>
      <c r="G2450">
        <v>1</v>
      </c>
      <c r="H2450">
        <v>0</v>
      </c>
      <c r="I2450">
        <v>0</v>
      </c>
      <c r="J2450">
        <v>-1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 t="s">
        <v>47</v>
      </c>
      <c r="W2450" s="2">
        <v>65.53</v>
      </c>
      <c r="X2450" s="3">
        <f t="shared" si="76"/>
        <v>0</v>
      </c>
      <c r="Y2450">
        <f>VLOOKUP(D2450,'[1]Cost Sheet'!$C:$D,2,0)</f>
        <v>65.53</v>
      </c>
      <c r="Z2450" s="3">
        <f t="shared" si="77"/>
        <v>0</v>
      </c>
    </row>
    <row r="2451" spans="1:26" x14ac:dyDescent="0.3">
      <c r="A2451" s="7" t="s">
        <v>21</v>
      </c>
      <c r="B2451" t="s">
        <v>963</v>
      </c>
      <c r="C2451" t="s">
        <v>964</v>
      </c>
      <c r="D2451" t="s">
        <v>965</v>
      </c>
      <c r="E2451" t="s">
        <v>966</v>
      </c>
      <c r="F2451" t="s">
        <v>26</v>
      </c>
      <c r="G2451">
        <v>13</v>
      </c>
      <c r="H2451">
        <v>0</v>
      </c>
      <c r="I2451">
        <v>0</v>
      </c>
      <c r="J2451">
        <v>-3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10</v>
      </c>
      <c r="T2451">
        <v>0</v>
      </c>
      <c r="U2451" t="s">
        <v>120</v>
      </c>
      <c r="W2451" s="2">
        <v>65.53</v>
      </c>
      <c r="X2451" s="3">
        <f t="shared" si="76"/>
        <v>655.29999999999995</v>
      </c>
      <c r="Y2451">
        <f>VLOOKUP(D2451,'[1]Cost Sheet'!$C:$D,2,0)</f>
        <v>65.53</v>
      </c>
      <c r="Z2451" s="3">
        <f t="shared" si="77"/>
        <v>655.29999999999995</v>
      </c>
    </row>
    <row r="2452" spans="1:26" x14ac:dyDescent="0.3">
      <c r="A2452" s="7" t="s">
        <v>21</v>
      </c>
      <c r="B2452" t="s">
        <v>963</v>
      </c>
      <c r="C2452" t="s">
        <v>964</v>
      </c>
      <c r="D2452" t="s">
        <v>965</v>
      </c>
      <c r="E2452" t="s">
        <v>966</v>
      </c>
      <c r="F2452" t="s">
        <v>26</v>
      </c>
      <c r="G2452">
        <v>1</v>
      </c>
      <c r="H2452">
        <v>0</v>
      </c>
      <c r="I2452">
        <v>0</v>
      </c>
      <c r="J2452">
        <v>-1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s">
        <v>48</v>
      </c>
      <c r="W2452" s="2">
        <v>65.53</v>
      </c>
      <c r="X2452" s="3">
        <f t="shared" si="76"/>
        <v>0</v>
      </c>
      <c r="Y2452">
        <f>VLOOKUP(D2452,'[1]Cost Sheet'!$C:$D,2,0)</f>
        <v>65.53</v>
      </c>
      <c r="Z2452" s="3">
        <f t="shared" si="77"/>
        <v>0</v>
      </c>
    </row>
    <row r="2453" spans="1:26" x14ac:dyDescent="0.3">
      <c r="A2453" s="7" t="s">
        <v>21</v>
      </c>
      <c r="B2453" t="s">
        <v>963</v>
      </c>
      <c r="C2453" t="s">
        <v>964</v>
      </c>
      <c r="D2453" t="s">
        <v>965</v>
      </c>
      <c r="E2453" t="s">
        <v>966</v>
      </c>
      <c r="F2453" t="s">
        <v>26</v>
      </c>
      <c r="G2453">
        <v>52</v>
      </c>
      <c r="H2453">
        <v>2</v>
      </c>
      <c r="I2453">
        <v>0</v>
      </c>
      <c r="J2453">
        <v>-13</v>
      </c>
      <c r="K2453">
        <v>0</v>
      </c>
      <c r="L2453">
        <v>0</v>
      </c>
      <c r="M2453">
        <v>-2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37</v>
      </c>
      <c r="T2453">
        <v>0</v>
      </c>
      <c r="U2453" t="s">
        <v>59</v>
      </c>
      <c r="W2453" s="2">
        <v>65.53</v>
      </c>
      <c r="X2453" s="3">
        <f t="shared" si="76"/>
        <v>2424.61</v>
      </c>
      <c r="Y2453">
        <f>VLOOKUP(D2453,'[1]Cost Sheet'!$C:$D,2,0)</f>
        <v>65.53</v>
      </c>
      <c r="Z2453" s="3">
        <f t="shared" si="77"/>
        <v>2424.61</v>
      </c>
    </row>
    <row r="2454" spans="1:26" x14ac:dyDescent="0.3">
      <c r="A2454" s="7" t="s">
        <v>21</v>
      </c>
      <c r="B2454" t="s">
        <v>963</v>
      </c>
      <c r="C2454" t="s">
        <v>964</v>
      </c>
      <c r="D2454" t="s">
        <v>965</v>
      </c>
      <c r="E2454" t="s">
        <v>966</v>
      </c>
      <c r="F2454" t="s">
        <v>114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1</v>
      </c>
      <c r="T2454">
        <v>0</v>
      </c>
      <c r="U2454" t="s">
        <v>32</v>
      </c>
      <c r="W2454" s="2">
        <v>65.53</v>
      </c>
      <c r="X2454" s="3">
        <f t="shared" si="76"/>
        <v>65.53</v>
      </c>
      <c r="Y2454">
        <f>VLOOKUP(D2454,'[1]Cost Sheet'!$C:$D,2,0)</f>
        <v>65.53</v>
      </c>
      <c r="Z2454" s="3">
        <f t="shared" si="77"/>
        <v>65.53</v>
      </c>
    </row>
    <row r="2455" spans="1:26" x14ac:dyDescent="0.3">
      <c r="A2455" s="7" t="s">
        <v>21</v>
      </c>
      <c r="B2455" t="s">
        <v>963</v>
      </c>
      <c r="C2455" t="s">
        <v>964</v>
      </c>
      <c r="D2455" t="s">
        <v>965</v>
      </c>
      <c r="E2455" t="s">
        <v>966</v>
      </c>
      <c r="F2455" t="s">
        <v>114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 t="s">
        <v>40</v>
      </c>
      <c r="W2455" s="2">
        <v>65.53</v>
      </c>
      <c r="X2455" s="3">
        <f t="shared" si="76"/>
        <v>65.53</v>
      </c>
      <c r="Y2455">
        <f>VLOOKUP(D2455,'[1]Cost Sheet'!$C:$D,2,0)</f>
        <v>65.53</v>
      </c>
      <c r="Z2455" s="3">
        <f t="shared" si="77"/>
        <v>65.53</v>
      </c>
    </row>
    <row r="2456" spans="1:26" x14ac:dyDescent="0.3">
      <c r="A2456" s="7" t="s">
        <v>21</v>
      </c>
      <c r="B2456" t="s">
        <v>967</v>
      </c>
      <c r="C2456" t="s">
        <v>968</v>
      </c>
      <c r="D2456" t="s">
        <v>969</v>
      </c>
      <c r="E2456" t="s">
        <v>970</v>
      </c>
      <c r="F2456" t="s">
        <v>130</v>
      </c>
      <c r="G2456">
        <v>15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15</v>
      </c>
      <c r="T2456">
        <v>0</v>
      </c>
      <c r="U2456" t="s">
        <v>32</v>
      </c>
      <c r="W2456" s="2">
        <v>101.70842105263155</v>
      </c>
      <c r="X2456" s="3">
        <f t="shared" si="76"/>
        <v>1525.6263157894732</v>
      </c>
      <c r="Y2456">
        <f>VLOOKUP(D2456,'[1]Cost Sheet'!$C:$D,2,0)</f>
        <v>101.6</v>
      </c>
      <c r="Z2456" s="3">
        <f t="shared" si="77"/>
        <v>1524</v>
      </c>
    </row>
    <row r="2457" spans="1:26" x14ac:dyDescent="0.3">
      <c r="A2457" s="7" t="s">
        <v>21</v>
      </c>
      <c r="B2457" t="s">
        <v>967</v>
      </c>
      <c r="C2457" t="s">
        <v>968</v>
      </c>
      <c r="D2457" t="s">
        <v>969</v>
      </c>
      <c r="E2457" t="s">
        <v>970</v>
      </c>
      <c r="F2457" t="s">
        <v>26</v>
      </c>
      <c r="G2457">
        <v>12</v>
      </c>
      <c r="H2457">
        <v>0</v>
      </c>
      <c r="I2457">
        <v>0</v>
      </c>
      <c r="J2457">
        <v>-1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11</v>
      </c>
      <c r="T2457">
        <v>0</v>
      </c>
      <c r="U2457" t="s">
        <v>45</v>
      </c>
      <c r="W2457" s="2">
        <v>101.70842105263155</v>
      </c>
      <c r="X2457" s="3">
        <f t="shared" si="76"/>
        <v>1118.7926315789471</v>
      </c>
      <c r="Y2457">
        <f>VLOOKUP(D2457,'[1]Cost Sheet'!$C:$D,2,0)</f>
        <v>101.6</v>
      </c>
      <c r="Z2457" s="3">
        <f t="shared" si="77"/>
        <v>1117.5999999999999</v>
      </c>
    </row>
    <row r="2458" spans="1:26" x14ac:dyDescent="0.3">
      <c r="A2458" s="7" t="s">
        <v>21</v>
      </c>
      <c r="B2458" t="s">
        <v>967</v>
      </c>
      <c r="C2458" t="s">
        <v>968</v>
      </c>
      <c r="D2458" t="s">
        <v>969</v>
      </c>
      <c r="E2458" t="s">
        <v>970</v>
      </c>
      <c r="F2458" t="s">
        <v>26</v>
      </c>
      <c r="G2458">
        <v>18</v>
      </c>
      <c r="H2458">
        <v>0</v>
      </c>
      <c r="I2458">
        <v>0</v>
      </c>
      <c r="J2458">
        <v>-2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16</v>
      </c>
      <c r="T2458">
        <v>0</v>
      </c>
      <c r="U2458" t="s">
        <v>53</v>
      </c>
      <c r="W2458" s="2">
        <v>101.70842105263155</v>
      </c>
      <c r="X2458" s="3">
        <f t="shared" si="76"/>
        <v>1627.3347368421048</v>
      </c>
      <c r="Y2458">
        <f>VLOOKUP(D2458,'[1]Cost Sheet'!$C:$D,2,0)</f>
        <v>101.6</v>
      </c>
      <c r="Z2458" s="3">
        <f t="shared" si="77"/>
        <v>1625.6</v>
      </c>
    </row>
    <row r="2459" spans="1:26" x14ac:dyDescent="0.3">
      <c r="A2459" s="7" t="s">
        <v>21</v>
      </c>
      <c r="B2459" t="s">
        <v>967</v>
      </c>
      <c r="C2459" t="s">
        <v>968</v>
      </c>
      <c r="D2459" t="s">
        <v>969</v>
      </c>
      <c r="E2459" t="s">
        <v>970</v>
      </c>
      <c r="F2459" t="s">
        <v>26</v>
      </c>
      <c r="G2459">
        <v>9</v>
      </c>
      <c r="H2459">
        <v>0</v>
      </c>
      <c r="I2459">
        <v>0</v>
      </c>
      <c r="J2459">
        <v>-4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5</v>
      </c>
      <c r="T2459">
        <v>0</v>
      </c>
      <c r="U2459" t="s">
        <v>32</v>
      </c>
      <c r="W2459" s="2">
        <v>101.70842105263155</v>
      </c>
      <c r="X2459" s="3">
        <f t="shared" si="76"/>
        <v>508.54210526315774</v>
      </c>
      <c r="Y2459">
        <f>VLOOKUP(D2459,'[1]Cost Sheet'!$C:$D,2,0)</f>
        <v>101.6</v>
      </c>
      <c r="Z2459" s="3">
        <f t="shared" si="77"/>
        <v>508</v>
      </c>
    </row>
    <row r="2460" spans="1:26" x14ac:dyDescent="0.3">
      <c r="A2460" s="7" t="s">
        <v>21</v>
      </c>
      <c r="B2460" t="s">
        <v>967</v>
      </c>
      <c r="C2460" t="s">
        <v>968</v>
      </c>
      <c r="D2460" t="s">
        <v>969</v>
      </c>
      <c r="E2460" t="s">
        <v>970</v>
      </c>
      <c r="F2460" t="s">
        <v>26</v>
      </c>
      <c r="G2460">
        <v>1</v>
      </c>
      <c r="H2460">
        <v>0</v>
      </c>
      <c r="I2460">
        <v>0</v>
      </c>
      <c r="J2460">
        <v>-1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s">
        <v>46</v>
      </c>
      <c r="W2460" s="2">
        <v>101.70842105263155</v>
      </c>
      <c r="X2460" s="3">
        <f t="shared" si="76"/>
        <v>0</v>
      </c>
      <c r="Y2460">
        <f>VLOOKUP(D2460,'[1]Cost Sheet'!$C:$D,2,0)</f>
        <v>101.6</v>
      </c>
      <c r="Z2460" s="3">
        <f t="shared" si="77"/>
        <v>0</v>
      </c>
    </row>
    <row r="2461" spans="1:26" x14ac:dyDescent="0.3">
      <c r="A2461" s="7" t="s">
        <v>21</v>
      </c>
      <c r="B2461" t="s">
        <v>967</v>
      </c>
      <c r="C2461" t="s">
        <v>968</v>
      </c>
      <c r="D2461" t="s">
        <v>969</v>
      </c>
      <c r="E2461" t="s">
        <v>970</v>
      </c>
      <c r="F2461" t="s">
        <v>26</v>
      </c>
      <c r="G2461">
        <v>1</v>
      </c>
      <c r="H2461">
        <v>0</v>
      </c>
      <c r="I2461">
        <v>0</v>
      </c>
      <c r="J2461">
        <v>-1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t="s">
        <v>59</v>
      </c>
      <c r="W2461" s="2">
        <v>101.70842105263155</v>
      </c>
      <c r="X2461" s="3">
        <f t="shared" si="76"/>
        <v>0</v>
      </c>
      <c r="Y2461">
        <f>VLOOKUP(D2461,'[1]Cost Sheet'!$C:$D,2,0)</f>
        <v>101.6</v>
      </c>
      <c r="Z2461" s="3">
        <f t="shared" si="77"/>
        <v>0</v>
      </c>
    </row>
    <row r="2462" spans="1:26" x14ac:dyDescent="0.3">
      <c r="A2462" s="7" t="s">
        <v>21</v>
      </c>
      <c r="B2462" t="s">
        <v>971</v>
      </c>
      <c r="C2462" t="s">
        <v>972</v>
      </c>
      <c r="D2462" t="s">
        <v>973</v>
      </c>
      <c r="E2462" t="s">
        <v>974</v>
      </c>
      <c r="F2462" t="s">
        <v>106</v>
      </c>
      <c r="G2462">
        <v>15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15</v>
      </c>
      <c r="T2462">
        <v>0</v>
      </c>
      <c r="U2462" t="s">
        <v>32</v>
      </c>
      <c r="W2462" s="2">
        <v>106.28</v>
      </c>
      <c r="X2462" s="3">
        <f t="shared" si="76"/>
        <v>1594.2</v>
      </c>
      <c r="Y2462">
        <f>VLOOKUP(D2462,'[1]Cost Sheet'!$C:$D,2,0)</f>
        <v>106.16</v>
      </c>
      <c r="Z2462" s="3">
        <f t="shared" si="77"/>
        <v>1592.3999999999999</v>
      </c>
    </row>
    <row r="2463" spans="1:26" x14ac:dyDescent="0.3">
      <c r="A2463" s="7" t="s">
        <v>21</v>
      </c>
      <c r="B2463" t="s">
        <v>971</v>
      </c>
      <c r="C2463" t="s">
        <v>972</v>
      </c>
      <c r="D2463" t="s">
        <v>973</v>
      </c>
      <c r="E2463" t="s">
        <v>974</v>
      </c>
      <c r="F2463" t="s">
        <v>26</v>
      </c>
      <c r="G2463">
        <v>16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16</v>
      </c>
      <c r="T2463">
        <v>0</v>
      </c>
      <c r="U2463" t="s">
        <v>45</v>
      </c>
      <c r="W2463" s="2">
        <v>106.28</v>
      </c>
      <c r="X2463" s="3">
        <f t="shared" si="76"/>
        <v>1700.48</v>
      </c>
      <c r="Y2463">
        <f>VLOOKUP(D2463,'[1]Cost Sheet'!$C:$D,2,0)</f>
        <v>106.16</v>
      </c>
      <c r="Z2463" s="3">
        <f t="shared" si="77"/>
        <v>1698.56</v>
      </c>
    </row>
    <row r="2464" spans="1:26" x14ac:dyDescent="0.3">
      <c r="A2464" s="7" t="s">
        <v>21</v>
      </c>
      <c r="B2464" t="s">
        <v>971</v>
      </c>
      <c r="C2464" t="s">
        <v>972</v>
      </c>
      <c r="D2464" t="s">
        <v>973</v>
      </c>
      <c r="E2464" t="s">
        <v>974</v>
      </c>
      <c r="F2464" t="s">
        <v>26</v>
      </c>
      <c r="G2464">
        <v>51</v>
      </c>
      <c r="H2464">
        <v>0</v>
      </c>
      <c r="I2464">
        <v>0</v>
      </c>
      <c r="J2464">
        <v>-4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47</v>
      </c>
      <c r="T2464">
        <v>0</v>
      </c>
      <c r="U2464" t="s">
        <v>46</v>
      </c>
      <c r="W2464" s="2">
        <v>106.28</v>
      </c>
      <c r="X2464" s="3">
        <f t="shared" si="76"/>
        <v>4995.16</v>
      </c>
      <c r="Y2464">
        <f>VLOOKUP(D2464,'[1]Cost Sheet'!$C:$D,2,0)</f>
        <v>106.16</v>
      </c>
      <c r="Z2464" s="3">
        <f t="shared" si="77"/>
        <v>4989.5199999999995</v>
      </c>
    </row>
    <row r="2465" spans="1:26" x14ac:dyDescent="0.3">
      <c r="A2465" s="7" t="s">
        <v>21</v>
      </c>
      <c r="B2465" t="s">
        <v>971</v>
      </c>
      <c r="C2465" t="s">
        <v>972</v>
      </c>
      <c r="D2465" t="s">
        <v>973</v>
      </c>
      <c r="E2465" t="s">
        <v>974</v>
      </c>
      <c r="F2465" t="s">
        <v>26</v>
      </c>
      <c r="G2465">
        <v>1</v>
      </c>
      <c r="H2465">
        <v>0</v>
      </c>
      <c r="I2465">
        <v>0</v>
      </c>
      <c r="J2465">
        <v>-1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 t="s">
        <v>47</v>
      </c>
      <c r="W2465" s="2">
        <v>106.28</v>
      </c>
      <c r="X2465" s="3">
        <f t="shared" si="76"/>
        <v>0</v>
      </c>
      <c r="Y2465">
        <f>VLOOKUP(D2465,'[1]Cost Sheet'!$C:$D,2,0)</f>
        <v>106.16</v>
      </c>
      <c r="Z2465" s="3">
        <f t="shared" si="77"/>
        <v>0</v>
      </c>
    </row>
    <row r="2466" spans="1:26" x14ac:dyDescent="0.3">
      <c r="A2466" s="7" t="s">
        <v>21</v>
      </c>
      <c r="B2466" t="s">
        <v>975</v>
      </c>
      <c r="C2466" t="s">
        <v>976</v>
      </c>
      <c r="D2466" t="s">
        <v>977</v>
      </c>
      <c r="E2466" t="s">
        <v>978</v>
      </c>
      <c r="F2466" t="s">
        <v>26</v>
      </c>
      <c r="G2466">
        <v>71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-1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70</v>
      </c>
      <c r="T2466">
        <v>0</v>
      </c>
      <c r="U2466" t="s">
        <v>38</v>
      </c>
      <c r="W2466" s="2">
        <v>89.7</v>
      </c>
      <c r="X2466" s="3">
        <f t="shared" si="76"/>
        <v>6279</v>
      </c>
      <c r="Y2466">
        <f>VLOOKUP(D2466,'[1]Cost Sheet'!$C:$D,2,0)</f>
        <v>89.7</v>
      </c>
      <c r="Z2466" s="3">
        <f t="shared" si="77"/>
        <v>6279</v>
      </c>
    </row>
    <row r="2467" spans="1:26" x14ac:dyDescent="0.3">
      <c r="A2467" s="7" t="s">
        <v>21</v>
      </c>
      <c r="B2467" t="s">
        <v>975</v>
      </c>
      <c r="C2467" t="s">
        <v>976</v>
      </c>
      <c r="D2467" t="s">
        <v>977</v>
      </c>
      <c r="E2467" t="s">
        <v>978</v>
      </c>
      <c r="F2467" t="s">
        <v>26</v>
      </c>
      <c r="G2467">
        <v>10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10</v>
      </c>
      <c r="T2467">
        <v>0</v>
      </c>
      <c r="U2467" t="s">
        <v>39</v>
      </c>
      <c r="W2467" s="2">
        <v>89.7</v>
      </c>
      <c r="X2467" s="3">
        <f t="shared" si="76"/>
        <v>897</v>
      </c>
      <c r="Y2467">
        <f>VLOOKUP(D2467,'[1]Cost Sheet'!$C:$D,2,0)</f>
        <v>89.7</v>
      </c>
      <c r="Z2467" s="3">
        <f t="shared" si="77"/>
        <v>897</v>
      </c>
    </row>
    <row r="2468" spans="1:26" x14ac:dyDescent="0.3">
      <c r="A2468" s="7" t="s">
        <v>21</v>
      </c>
      <c r="B2468" t="s">
        <v>975</v>
      </c>
      <c r="C2468" t="s">
        <v>976</v>
      </c>
      <c r="D2468" t="s">
        <v>977</v>
      </c>
      <c r="E2468" t="s">
        <v>978</v>
      </c>
      <c r="F2468" t="s">
        <v>26</v>
      </c>
      <c r="G2468">
        <v>17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17</v>
      </c>
      <c r="T2468">
        <v>0</v>
      </c>
      <c r="U2468" t="s">
        <v>53</v>
      </c>
      <c r="W2468" s="2">
        <v>89.7</v>
      </c>
      <c r="X2468" s="3">
        <f t="shared" si="76"/>
        <v>1524.9</v>
      </c>
      <c r="Y2468">
        <f>VLOOKUP(D2468,'[1]Cost Sheet'!$C:$D,2,0)</f>
        <v>89.7</v>
      </c>
      <c r="Z2468" s="3">
        <f t="shared" si="77"/>
        <v>1524.9</v>
      </c>
    </row>
    <row r="2469" spans="1:26" x14ac:dyDescent="0.3">
      <c r="A2469" s="7" t="s">
        <v>21</v>
      </c>
      <c r="B2469" t="s">
        <v>975</v>
      </c>
      <c r="C2469" t="s">
        <v>976</v>
      </c>
      <c r="D2469" t="s">
        <v>977</v>
      </c>
      <c r="E2469" t="s">
        <v>978</v>
      </c>
      <c r="F2469" t="s">
        <v>26</v>
      </c>
      <c r="G2469">
        <v>14</v>
      </c>
      <c r="H2469">
        <v>0</v>
      </c>
      <c r="I2469">
        <v>0</v>
      </c>
      <c r="J2469">
        <v>-3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11</v>
      </c>
      <c r="T2469">
        <v>0</v>
      </c>
      <c r="U2469" t="s">
        <v>54</v>
      </c>
      <c r="W2469" s="2">
        <v>89.7</v>
      </c>
      <c r="X2469" s="3">
        <f t="shared" si="76"/>
        <v>986.7</v>
      </c>
      <c r="Y2469">
        <f>VLOOKUP(D2469,'[1]Cost Sheet'!$C:$D,2,0)</f>
        <v>89.7</v>
      </c>
      <c r="Z2469" s="3">
        <f t="shared" si="77"/>
        <v>986.7</v>
      </c>
    </row>
    <row r="2470" spans="1:26" x14ac:dyDescent="0.3">
      <c r="A2470" s="7" t="s">
        <v>21</v>
      </c>
      <c r="B2470" t="s">
        <v>975</v>
      </c>
      <c r="C2470" t="s">
        <v>976</v>
      </c>
      <c r="D2470" t="s">
        <v>977</v>
      </c>
      <c r="E2470" t="s">
        <v>978</v>
      </c>
      <c r="F2470" t="s">
        <v>26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 t="s">
        <v>32</v>
      </c>
      <c r="W2470" s="2">
        <v>89.7</v>
      </c>
      <c r="X2470" s="3">
        <f t="shared" si="76"/>
        <v>89.7</v>
      </c>
      <c r="Y2470">
        <f>VLOOKUP(D2470,'[1]Cost Sheet'!$C:$D,2,0)</f>
        <v>89.7</v>
      </c>
      <c r="Z2470" s="3">
        <f t="shared" si="77"/>
        <v>89.7</v>
      </c>
    </row>
    <row r="2471" spans="1:26" x14ac:dyDescent="0.3">
      <c r="A2471" s="7" t="s">
        <v>21</v>
      </c>
      <c r="B2471" t="s">
        <v>975</v>
      </c>
      <c r="C2471" t="s">
        <v>976</v>
      </c>
      <c r="D2471" t="s">
        <v>977</v>
      </c>
      <c r="E2471" t="s">
        <v>978</v>
      </c>
      <c r="F2471" t="s">
        <v>26</v>
      </c>
      <c r="G2471">
        <v>1</v>
      </c>
      <c r="H2471">
        <v>1</v>
      </c>
      <c r="I2471">
        <v>0</v>
      </c>
      <c r="J2471">
        <v>0</v>
      </c>
      <c r="K2471">
        <v>1</v>
      </c>
      <c r="L2471">
        <v>0</v>
      </c>
      <c r="M2471">
        <v>-2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s">
        <v>88</v>
      </c>
      <c r="W2471" s="2">
        <v>89.7</v>
      </c>
      <c r="X2471" s="3">
        <f t="shared" si="76"/>
        <v>0</v>
      </c>
      <c r="Y2471">
        <f>VLOOKUP(D2471,'[1]Cost Sheet'!$C:$D,2,0)</f>
        <v>89.7</v>
      </c>
      <c r="Z2471" s="3">
        <f t="shared" si="77"/>
        <v>0</v>
      </c>
    </row>
    <row r="2472" spans="1:26" x14ac:dyDescent="0.3">
      <c r="A2472" s="7" t="s">
        <v>21</v>
      </c>
      <c r="B2472" t="s">
        <v>975</v>
      </c>
      <c r="C2472" t="s">
        <v>976</v>
      </c>
      <c r="D2472" t="s">
        <v>977</v>
      </c>
      <c r="E2472" t="s">
        <v>978</v>
      </c>
      <c r="F2472" t="s">
        <v>26</v>
      </c>
      <c r="G2472">
        <v>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2</v>
      </c>
      <c r="T2472">
        <v>0</v>
      </c>
      <c r="U2472" t="s">
        <v>33</v>
      </c>
      <c r="W2472" s="2">
        <v>89.7</v>
      </c>
      <c r="X2472" s="3">
        <f t="shared" si="76"/>
        <v>179.4</v>
      </c>
      <c r="Y2472">
        <f>VLOOKUP(D2472,'[1]Cost Sheet'!$C:$D,2,0)</f>
        <v>89.7</v>
      </c>
      <c r="Z2472" s="3">
        <f t="shared" si="77"/>
        <v>179.4</v>
      </c>
    </row>
    <row r="2473" spans="1:26" x14ac:dyDescent="0.3">
      <c r="A2473" s="7" t="s">
        <v>21</v>
      </c>
      <c r="B2473" t="s">
        <v>975</v>
      </c>
      <c r="C2473" t="s">
        <v>976</v>
      </c>
      <c r="D2473" t="s">
        <v>977</v>
      </c>
      <c r="E2473" t="s">
        <v>978</v>
      </c>
      <c r="F2473" t="s">
        <v>26</v>
      </c>
      <c r="G2473">
        <v>42</v>
      </c>
      <c r="H2473">
        <v>0</v>
      </c>
      <c r="I2473">
        <v>0</v>
      </c>
      <c r="J2473">
        <v>-3</v>
      </c>
      <c r="K2473">
        <v>0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40</v>
      </c>
      <c r="T2473">
        <v>0</v>
      </c>
      <c r="U2473" t="s">
        <v>46</v>
      </c>
      <c r="W2473" s="2">
        <v>89.7</v>
      </c>
      <c r="X2473" s="3">
        <f t="shared" si="76"/>
        <v>3588</v>
      </c>
      <c r="Y2473">
        <f>VLOOKUP(D2473,'[1]Cost Sheet'!$C:$D,2,0)</f>
        <v>89.7</v>
      </c>
      <c r="Z2473" s="3">
        <f t="shared" si="77"/>
        <v>3588</v>
      </c>
    </row>
    <row r="2474" spans="1:26" x14ac:dyDescent="0.3">
      <c r="A2474" s="7" t="s">
        <v>21</v>
      </c>
      <c r="B2474" t="s">
        <v>975</v>
      </c>
      <c r="C2474" t="s">
        <v>976</v>
      </c>
      <c r="D2474" t="s">
        <v>977</v>
      </c>
      <c r="E2474" t="s">
        <v>978</v>
      </c>
      <c r="F2474" t="s">
        <v>26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 t="s">
        <v>47</v>
      </c>
      <c r="W2474" s="2">
        <v>89.7</v>
      </c>
      <c r="X2474" s="3">
        <f t="shared" si="76"/>
        <v>89.7</v>
      </c>
      <c r="Y2474">
        <f>VLOOKUP(D2474,'[1]Cost Sheet'!$C:$D,2,0)</f>
        <v>89.7</v>
      </c>
      <c r="Z2474" s="3">
        <f t="shared" si="77"/>
        <v>89.7</v>
      </c>
    </row>
    <row r="2475" spans="1:26" x14ac:dyDescent="0.3">
      <c r="A2475" s="7" t="s">
        <v>21</v>
      </c>
      <c r="B2475" t="s">
        <v>975</v>
      </c>
      <c r="C2475" t="s">
        <v>976</v>
      </c>
      <c r="D2475" t="s">
        <v>977</v>
      </c>
      <c r="E2475" t="s">
        <v>978</v>
      </c>
      <c r="F2475" t="s">
        <v>26</v>
      </c>
      <c r="G2475">
        <v>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8</v>
      </c>
      <c r="T2475">
        <v>0</v>
      </c>
      <c r="U2475" t="s">
        <v>40</v>
      </c>
      <c r="W2475" s="2">
        <v>89.7</v>
      </c>
      <c r="X2475" s="3">
        <f t="shared" si="76"/>
        <v>717.6</v>
      </c>
      <c r="Y2475">
        <f>VLOOKUP(D2475,'[1]Cost Sheet'!$C:$D,2,0)</f>
        <v>89.7</v>
      </c>
      <c r="Z2475" s="3">
        <f t="shared" si="77"/>
        <v>717.6</v>
      </c>
    </row>
    <row r="2476" spans="1:26" x14ac:dyDescent="0.3">
      <c r="A2476" s="7" t="s">
        <v>21</v>
      </c>
      <c r="B2476" t="s">
        <v>975</v>
      </c>
      <c r="C2476" t="s">
        <v>976</v>
      </c>
      <c r="D2476" t="s">
        <v>977</v>
      </c>
      <c r="E2476" t="s">
        <v>978</v>
      </c>
      <c r="F2476" t="s">
        <v>26</v>
      </c>
      <c r="G2476">
        <v>58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58</v>
      </c>
      <c r="T2476">
        <v>0</v>
      </c>
      <c r="U2476" t="s">
        <v>120</v>
      </c>
      <c r="W2476" s="2">
        <v>89.7</v>
      </c>
      <c r="X2476" s="3">
        <f t="shared" si="76"/>
        <v>5202.6000000000004</v>
      </c>
      <c r="Y2476">
        <f>VLOOKUP(D2476,'[1]Cost Sheet'!$C:$D,2,0)</f>
        <v>89.7</v>
      </c>
      <c r="Z2476" s="3">
        <f t="shared" si="77"/>
        <v>5202.6000000000004</v>
      </c>
    </row>
    <row r="2477" spans="1:26" x14ac:dyDescent="0.3">
      <c r="A2477" s="7" t="s">
        <v>21</v>
      </c>
      <c r="B2477" t="s">
        <v>975</v>
      </c>
      <c r="C2477" t="s">
        <v>976</v>
      </c>
      <c r="D2477" t="s">
        <v>977</v>
      </c>
      <c r="E2477" t="s">
        <v>978</v>
      </c>
      <c r="F2477" t="s">
        <v>26</v>
      </c>
      <c r="G2477">
        <v>31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31</v>
      </c>
      <c r="T2477">
        <v>0</v>
      </c>
      <c r="U2477" t="s">
        <v>48</v>
      </c>
      <c r="W2477" s="2">
        <v>89.7</v>
      </c>
      <c r="X2477" s="3">
        <f t="shared" si="76"/>
        <v>2780.7000000000003</v>
      </c>
      <c r="Y2477">
        <f>VLOOKUP(D2477,'[1]Cost Sheet'!$C:$D,2,0)</f>
        <v>89.7</v>
      </c>
      <c r="Z2477" s="3">
        <f t="shared" si="77"/>
        <v>2780.7000000000003</v>
      </c>
    </row>
    <row r="2478" spans="1:26" x14ac:dyDescent="0.3">
      <c r="A2478" s="7" t="s">
        <v>21</v>
      </c>
      <c r="B2478" t="s">
        <v>975</v>
      </c>
      <c r="C2478" t="s">
        <v>976</v>
      </c>
      <c r="D2478" t="s">
        <v>977</v>
      </c>
      <c r="E2478" t="s">
        <v>978</v>
      </c>
      <c r="F2478" t="s">
        <v>26</v>
      </c>
      <c r="G2478">
        <v>20</v>
      </c>
      <c r="H2478">
        <v>0</v>
      </c>
      <c r="I2478">
        <v>0</v>
      </c>
      <c r="J2478">
        <v>-2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18</v>
      </c>
      <c r="T2478">
        <v>0</v>
      </c>
      <c r="U2478" t="s">
        <v>59</v>
      </c>
      <c r="W2478" s="2">
        <v>89.7</v>
      </c>
      <c r="X2478" s="3">
        <f t="shared" si="76"/>
        <v>1614.6000000000001</v>
      </c>
      <c r="Y2478">
        <f>VLOOKUP(D2478,'[1]Cost Sheet'!$C:$D,2,0)</f>
        <v>89.7</v>
      </c>
      <c r="Z2478" s="3">
        <f t="shared" si="77"/>
        <v>1614.6000000000001</v>
      </c>
    </row>
    <row r="2479" spans="1:26" x14ac:dyDescent="0.3">
      <c r="A2479" s="7" t="s">
        <v>21</v>
      </c>
      <c r="B2479" t="s">
        <v>979</v>
      </c>
      <c r="C2479" t="s">
        <v>980</v>
      </c>
      <c r="D2479" t="s">
        <v>981</v>
      </c>
      <c r="E2479" t="s">
        <v>982</v>
      </c>
      <c r="F2479" t="s">
        <v>26</v>
      </c>
      <c r="G2479">
        <v>73</v>
      </c>
      <c r="H2479">
        <v>0</v>
      </c>
      <c r="I2479">
        <v>0</v>
      </c>
      <c r="J2479">
        <v>-2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71</v>
      </c>
      <c r="T2479">
        <v>0</v>
      </c>
      <c r="U2479" t="s">
        <v>38</v>
      </c>
      <c r="W2479" s="2">
        <v>99.01</v>
      </c>
      <c r="X2479" s="3">
        <f t="shared" si="76"/>
        <v>7029.71</v>
      </c>
      <c r="Y2479">
        <f>VLOOKUP(D2479,'[1]Cost Sheet'!$C:$D,2,0)</f>
        <v>99.01</v>
      </c>
      <c r="Z2479" s="3">
        <f t="shared" si="77"/>
        <v>7029.71</v>
      </c>
    </row>
    <row r="2480" spans="1:26" x14ac:dyDescent="0.3">
      <c r="A2480" s="7" t="s">
        <v>21</v>
      </c>
      <c r="B2480" t="s">
        <v>979</v>
      </c>
      <c r="C2480" t="s">
        <v>980</v>
      </c>
      <c r="D2480" t="s">
        <v>981</v>
      </c>
      <c r="E2480" t="s">
        <v>982</v>
      </c>
      <c r="F2480" t="s">
        <v>26</v>
      </c>
      <c r="G2480">
        <v>27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27</v>
      </c>
      <c r="T2480">
        <v>0</v>
      </c>
      <c r="U2480" t="s">
        <v>107</v>
      </c>
      <c r="W2480" s="2">
        <v>99.01</v>
      </c>
      <c r="X2480" s="3">
        <f t="shared" si="76"/>
        <v>2673.27</v>
      </c>
      <c r="Y2480">
        <f>VLOOKUP(D2480,'[1]Cost Sheet'!$C:$D,2,0)</f>
        <v>99.01</v>
      </c>
      <c r="Z2480" s="3">
        <f t="shared" si="77"/>
        <v>2673.27</v>
      </c>
    </row>
    <row r="2481" spans="1:26" x14ac:dyDescent="0.3">
      <c r="A2481" s="7" t="s">
        <v>21</v>
      </c>
      <c r="B2481" t="s">
        <v>979</v>
      </c>
      <c r="C2481" t="s">
        <v>980</v>
      </c>
      <c r="D2481" t="s">
        <v>981</v>
      </c>
      <c r="E2481" t="s">
        <v>982</v>
      </c>
      <c r="F2481" t="s">
        <v>26</v>
      </c>
      <c r="G2481">
        <v>1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-1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 t="s">
        <v>151</v>
      </c>
      <c r="W2481" s="2">
        <v>99.01</v>
      </c>
      <c r="X2481" s="3">
        <f t="shared" si="76"/>
        <v>0</v>
      </c>
      <c r="Y2481">
        <f>VLOOKUP(D2481,'[1]Cost Sheet'!$C:$D,2,0)</f>
        <v>99.01</v>
      </c>
      <c r="Z2481" s="3">
        <f t="shared" si="77"/>
        <v>0</v>
      </c>
    </row>
    <row r="2482" spans="1:26" x14ac:dyDescent="0.3">
      <c r="A2482" s="7" t="s">
        <v>21</v>
      </c>
      <c r="B2482" t="s">
        <v>979</v>
      </c>
      <c r="C2482" t="s">
        <v>980</v>
      </c>
      <c r="D2482" t="s">
        <v>981</v>
      </c>
      <c r="E2482" t="s">
        <v>982</v>
      </c>
      <c r="F2482" t="s">
        <v>26</v>
      </c>
      <c r="G2482">
        <v>22</v>
      </c>
      <c r="H2482">
        <v>0</v>
      </c>
      <c r="I2482">
        <v>0</v>
      </c>
      <c r="J2482">
        <v>-1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21</v>
      </c>
      <c r="T2482">
        <v>0</v>
      </c>
      <c r="U2482" t="s">
        <v>45</v>
      </c>
      <c r="W2482" s="2">
        <v>99.01</v>
      </c>
      <c r="X2482" s="3">
        <f t="shared" si="76"/>
        <v>2079.21</v>
      </c>
      <c r="Y2482">
        <f>VLOOKUP(D2482,'[1]Cost Sheet'!$C:$D,2,0)</f>
        <v>99.01</v>
      </c>
      <c r="Z2482" s="3">
        <f t="shared" si="77"/>
        <v>2079.21</v>
      </c>
    </row>
    <row r="2483" spans="1:26" x14ac:dyDescent="0.3">
      <c r="A2483" s="7" t="s">
        <v>21</v>
      </c>
      <c r="B2483" t="s">
        <v>979</v>
      </c>
      <c r="C2483" t="s">
        <v>980</v>
      </c>
      <c r="D2483" t="s">
        <v>981</v>
      </c>
      <c r="E2483" t="s">
        <v>982</v>
      </c>
      <c r="F2483" t="s">
        <v>26</v>
      </c>
      <c r="G2483">
        <v>19</v>
      </c>
      <c r="H2483">
        <v>0</v>
      </c>
      <c r="I2483">
        <v>0</v>
      </c>
      <c r="J2483">
        <v>-1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18</v>
      </c>
      <c r="T2483">
        <v>0</v>
      </c>
      <c r="U2483" t="s">
        <v>39</v>
      </c>
      <c r="W2483" s="2">
        <v>99.01</v>
      </c>
      <c r="X2483" s="3">
        <f t="shared" si="76"/>
        <v>1782.18</v>
      </c>
      <c r="Y2483">
        <f>VLOOKUP(D2483,'[1]Cost Sheet'!$C:$D,2,0)</f>
        <v>99.01</v>
      </c>
      <c r="Z2483" s="3">
        <f t="shared" si="77"/>
        <v>1782.18</v>
      </c>
    </row>
    <row r="2484" spans="1:26" x14ac:dyDescent="0.3">
      <c r="A2484" s="7" t="s">
        <v>21</v>
      </c>
      <c r="B2484" t="s">
        <v>979</v>
      </c>
      <c r="C2484" t="s">
        <v>980</v>
      </c>
      <c r="D2484" t="s">
        <v>981</v>
      </c>
      <c r="E2484" t="s">
        <v>982</v>
      </c>
      <c r="F2484" t="s">
        <v>26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 t="s">
        <v>53</v>
      </c>
      <c r="W2484" s="2">
        <v>99.01</v>
      </c>
      <c r="X2484" s="3">
        <f t="shared" si="76"/>
        <v>99.01</v>
      </c>
      <c r="Y2484">
        <f>VLOOKUP(D2484,'[1]Cost Sheet'!$C:$D,2,0)</f>
        <v>99.01</v>
      </c>
      <c r="Z2484" s="3">
        <f t="shared" si="77"/>
        <v>99.01</v>
      </c>
    </row>
    <row r="2485" spans="1:26" x14ac:dyDescent="0.3">
      <c r="A2485" s="7" t="s">
        <v>21</v>
      </c>
      <c r="B2485" t="s">
        <v>979</v>
      </c>
      <c r="C2485" t="s">
        <v>980</v>
      </c>
      <c r="D2485" t="s">
        <v>981</v>
      </c>
      <c r="E2485" t="s">
        <v>982</v>
      </c>
      <c r="F2485" t="s">
        <v>26</v>
      </c>
      <c r="G2485">
        <v>49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49</v>
      </c>
      <c r="T2485">
        <v>0</v>
      </c>
      <c r="U2485" t="s">
        <v>54</v>
      </c>
      <c r="W2485" s="2">
        <v>99.01</v>
      </c>
      <c r="X2485" s="3">
        <f t="shared" si="76"/>
        <v>4851.4900000000007</v>
      </c>
      <c r="Y2485">
        <f>VLOOKUP(D2485,'[1]Cost Sheet'!$C:$D,2,0)</f>
        <v>99.01</v>
      </c>
      <c r="Z2485" s="3">
        <f t="shared" si="77"/>
        <v>4851.4900000000007</v>
      </c>
    </row>
    <row r="2486" spans="1:26" x14ac:dyDescent="0.3">
      <c r="A2486" s="7" t="s">
        <v>21</v>
      </c>
      <c r="B2486" t="s">
        <v>979</v>
      </c>
      <c r="C2486" t="s">
        <v>980</v>
      </c>
      <c r="D2486" t="s">
        <v>981</v>
      </c>
      <c r="E2486" t="s">
        <v>982</v>
      </c>
      <c r="F2486" t="s">
        <v>26</v>
      </c>
      <c r="G2486">
        <v>300</v>
      </c>
      <c r="H2486">
        <v>0</v>
      </c>
      <c r="I2486">
        <v>0</v>
      </c>
      <c r="J2486">
        <v>-3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297</v>
      </c>
      <c r="T2486">
        <v>0</v>
      </c>
      <c r="U2486" t="s">
        <v>32</v>
      </c>
      <c r="W2486" s="2">
        <v>99.01</v>
      </c>
      <c r="X2486" s="3">
        <f t="shared" si="76"/>
        <v>29405.97</v>
      </c>
      <c r="Y2486">
        <f>VLOOKUP(D2486,'[1]Cost Sheet'!$C:$D,2,0)</f>
        <v>99.01</v>
      </c>
      <c r="Z2486" s="3">
        <f t="shared" si="77"/>
        <v>29405.97</v>
      </c>
    </row>
    <row r="2487" spans="1:26" x14ac:dyDescent="0.3">
      <c r="A2487" s="7" t="s">
        <v>21</v>
      </c>
      <c r="B2487" t="s">
        <v>979</v>
      </c>
      <c r="C2487" t="s">
        <v>980</v>
      </c>
      <c r="D2487" t="s">
        <v>981</v>
      </c>
      <c r="E2487" t="s">
        <v>982</v>
      </c>
      <c r="F2487" t="s">
        <v>26</v>
      </c>
      <c r="G2487">
        <v>1</v>
      </c>
      <c r="H2487">
        <v>3</v>
      </c>
      <c r="I2487">
        <v>0</v>
      </c>
      <c r="J2487">
        <v>0</v>
      </c>
      <c r="K2487">
        <v>4</v>
      </c>
      <c r="L2487">
        <v>0</v>
      </c>
      <c r="M2487">
        <v>-4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 t="s">
        <v>88</v>
      </c>
      <c r="W2487" s="2">
        <v>99.01</v>
      </c>
      <c r="X2487" s="3">
        <f t="shared" si="76"/>
        <v>99.01</v>
      </c>
      <c r="Y2487">
        <f>VLOOKUP(D2487,'[1]Cost Sheet'!$C:$D,2,0)</f>
        <v>99.01</v>
      </c>
      <c r="Z2487" s="3">
        <f t="shared" si="77"/>
        <v>99.01</v>
      </c>
    </row>
    <row r="2488" spans="1:26" x14ac:dyDescent="0.3">
      <c r="A2488" s="7" t="s">
        <v>21</v>
      </c>
      <c r="B2488" t="s">
        <v>979</v>
      </c>
      <c r="C2488" t="s">
        <v>980</v>
      </c>
      <c r="D2488" t="s">
        <v>981</v>
      </c>
      <c r="E2488" t="s">
        <v>982</v>
      </c>
      <c r="F2488" t="s">
        <v>26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 t="s">
        <v>33</v>
      </c>
      <c r="W2488" s="2">
        <v>99.01</v>
      </c>
      <c r="X2488" s="3">
        <f t="shared" si="76"/>
        <v>99.01</v>
      </c>
      <c r="Y2488">
        <f>VLOOKUP(D2488,'[1]Cost Sheet'!$C:$D,2,0)</f>
        <v>99.01</v>
      </c>
      <c r="Z2488" s="3">
        <f t="shared" si="77"/>
        <v>99.01</v>
      </c>
    </row>
    <row r="2489" spans="1:26" x14ac:dyDescent="0.3">
      <c r="A2489" s="7" t="s">
        <v>21</v>
      </c>
      <c r="B2489" t="s">
        <v>979</v>
      </c>
      <c r="C2489" t="s">
        <v>980</v>
      </c>
      <c r="D2489" t="s">
        <v>981</v>
      </c>
      <c r="E2489" t="s">
        <v>982</v>
      </c>
      <c r="F2489" t="s">
        <v>26</v>
      </c>
      <c r="G2489">
        <v>34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35</v>
      </c>
      <c r="T2489">
        <v>0</v>
      </c>
      <c r="U2489" t="s">
        <v>46</v>
      </c>
      <c r="W2489" s="2">
        <v>99.01</v>
      </c>
      <c r="X2489" s="3">
        <f t="shared" si="76"/>
        <v>3465.3500000000004</v>
      </c>
      <c r="Y2489">
        <f>VLOOKUP(D2489,'[1]Cost Sheet'!$C:$D,2,0)</f>
        <v>99.01</v>
      </c>
      <c r="Z2489" s="3">
        <f t="shared" si="77"/>
        <v>3465.3500000000004</v>
      </c>
    </row>
    <row r="2490" spans="1:26" x14ac:dyDescent="0.3">
      <c r="A2490" s="7" t="s">
        <v>21</v>
      </c>
      <c r="B2490" t="s">
        <v>979</v>
      </c>
      <c r="C2490" t="s">
        <v>980</v>
      </c>
      <c r="D2490" t="s">
        <v>981</v>
      </c>
      <c r="E2490" t="s">
        <v>982</v>
      </c>
      <c r="F2490" t="s">
        <v>26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 t="s">
        <v>111</v>
      </c>
      <c r="W2490" s="2">
        <v>99.01</v>
      </c>
      <c r="X2490" s="3">
        <f t="shared" si="76"/>
        <v>99.01</v>
      </c>
      <c r="Y2490">
        <f>VLOOKUP(D2490,'[1]Cost Sheet'!$C:$D,2,0)</f>
        <v>99.01</v>
      </c>
      <c r="Z2490" s="3">
        <f t="shared" si="77"/>
        <v>99.01</v>
      </c>
    </row>
    <row r="2491" spans="1:26" x14ac:dyDescent="0.3">
      <c r="A2491" s="7" t="s">
        <v>21</v>
      </c>
      <c r="B2491" t="s">
        <v>979</v>
      </c>
      <c r="C2491" t="s">
        <v>980</v>
      </c>
      <c r="D2491" t="s">
        <v>981</v>
      </c>
      <c r="E2491" t="s">
        <v>982</v>
      </c>
      <c r="F2491" t="s">
        <v>26</v>
      </c>
      <c r="G2491">
        <v>94</v>
      </c>
      <c r="H2491">
        <v>0</v>
      </c>
      <c r="I2491">
        <v>0</v>
      </c>
      <c r="J2491">
        <v>-1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93</v>
      </c>
      <c r="T2491">
        <v>0</v>
      </c>
      <c r="U2491" t="s">
        <v>120</v>
      </c>
      <c r="W2491" s="2">
        <v>99.01</v>
      </c>
      <c r="X2491" s="3">
        <f t="shared" si="76"/>
        <v>9207.93</v>
      </c>
      <c r="Y2491">
        <f>VLOOKUP(D2491,'[1]Cost Sheet'!$C:$D,2,0)</f>
        <v>99.01</v>
      </c>
      <c r="Z2491" s="3">
        <f t="shared" si="77"/>
        <v>9207.93</v>
      </c>
    </row>
    <row r="2492" spans="1:26" x14ac:dyDescent="0.3">
      <c r="A2492" s="7" t="s">
        <v>21</v>
      </c>
      <c r="B2492" t="s">
        <v>979</v>
      </c>
      <c r="C2492" t="s">
        <v>980</v>
      </c>
      <c r="D2492" t="s">
        <v>981</v>
      </c>
      <c r="E2492" t="s">
        <v>982</v>
      </c>
      <c r="F2492" t="s">
        <v>26</v>
      </c>
      <c r="G2492">
        <v>36</v>
      </c>
      <c r="H2492">
        <v>0</v>
      </c>
      <c r="I2492">
        <v>0</v>
      </c>
      <c r="J2492">
        <v>-1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35</v>
      </c>
      <c r="T2492">
        <v>0</v>
      </c>
      <c r="U2492" t="s">
        <v>113</v>
      </c>
      <c r="W2492" s="2">
        <v>99.01</v>
      </c>
      <c r="X2492" s="3">
        <f t="shared" si="76"/>
        <v>3465.3500000000004</v>
      </c>
      <c r="Y2492">
        <f>VLOOKUP(D2492,'[1]Cost Sheet'!$C:$D,2,0)</f>
        <v>99.01</v>
      </c>
      <c r="Z2492" s="3">
        <f t="shared" si="77"/>
        <v>3465.3500000000004</v>
      </c>
    </row>
    <row r="2493" spans="1:26" x14ac:dyDescent="0.3">
      <c r="A2493" s="7" t="s">
        <v>21</v>
      </c>
      <c r="B2493" t="s">
        <v>979</v>
      </c>
      <c r="C2493" t="s">
        <v>980</v>
      </c>
      <c r="D2493" t="s">
        <v>981</v>
      </c>
      <c r="E2493" t="s">
        <v>982</v>
      </c>
      <c r="F2493" t="s">
        <v>26</v>
      </c>
      <c r="G2493">
        <v>5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5</v>
      </c>
      <c r="T2493">
        <v>0</v>
      </c>
      <c r="U2493" t="s">
        <v>48</v>
      </c>
      <c r="W2493" s="2">
        <v>99.01</v>
      </c>
      <c r="X2493" s="3">
        <f t="shared" si="76"/>
        <v>495.05</v>
      </c>
      <c r="Y2493">
        <f>VLOOKUP(D2493,'[1]Cost Sheet'!$C:$D,2,0)</f>
        <v>99.01</v>
      </c>
      <c r="Z2493" s="3">
        <f t="shared" si="77"/>
        <v>495.05</v>
      </c>
    </row>
    <row r="2494" spans="1:26" x14ac:dyDescent="0.3">
      <c r="A2494" s="7" t="s">
        <v>21</v>
      </c>
      <c r="B2494" t="s">
        <v>979</v>
      </c>
      <c r="C2494" t="s">
        <v>980</v>
      </c>
      <c r="D2494" t="s">
        <v>981</v>
      </c>
      <c r="E2494" t="s">
        <v>982</v>
      </c>
      <c r="F2494" t="s">
        <v>26</v>
      </c>
      <c r="G2494">
        <v>63</v>
      </c>
      <c r="H2494">
        <v>0</v>
      </c>
      <c r="I2494">
        <v>0</v>
      </c>
      <c r="J2494">
        <v>-2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61</v>
      </c>
      <c r="T2494">
        <v>0</v>
      </c>
      <c r="U2494" t="s">
        <v>59</v>
      </c>
      <c r="W2494" s="2">
        <v>99.01</v>
      </c>
      <c r="X2494" s="3">
        <f t="shared" si="76"/>
        <v>6039.6100000000006</v>
      </c>
      <c r="Y2494">
        <f>VLOOKUP(D2494,'[1]Cost Sheet'!$C:$D,2,0)</f>
        <v>99.01</v>
      </c>
      <c r="Z2494" s="3">
        <f t="shared" si="77"/>
        <v>6039.6100000000006</v>
      </c>
    </row>
    <row r="2495" spans="1:26" x14ac:dyDescent="0.3">
      <c r="A2495" s="7" t="s">
        <v>21</v>
      </c>
      <c r="B2495" t="s">
        <v>979</v>
      </c>
      <c r="C2495" t="s">
        <v>980</v>
      </c>
      <c r="D2495" t="s">
        <v>981</v>
      </c>
      <c r="E2495" t="s">
        <v>982</v>
      </c>
      <c r="F2495" t="s">
        <v>26</v>
      </c>
      <c r="G2495">
        <v>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8</v>
      </c>
      <c r="T2495">
        <v>0</v>
      </c>
      <c r="U2495" t="s">
        <v>27</v>
      </c>
      <c r="W2495" s="2">
        <v>99.01</v>
      </c>
      <c r="X2495" s="3">
        <f t="shared" si="76"/>
        <v>792.08</v>
      </c>
      <c r="Y2495">
        <f>VLOOKUP(D2495,'[1]Cost Sheet'!$C:$D,2,0)</f>
        <v>99.01</v>
      </c>
      <c r="Z2495" s="3">
        <f t="shared" si="77"/>
        <v>792.08</v>
      </c>
    </row>
    <row r="2496" spans="1:26" x14ac:dyDescent="0.3">
      <c r="A2496" s="7" t="s">
        <v>21</v>
      </c>
      <c r="B2496" t="s">
        <v>983</v>
      </c>
      <c r="C2496" t="s">
        <v>984</v>
      </c>
      <c r="D2496" t="s">
        <v>985</v>
      </c>
      <c r="E2496" t="s">
        <v>986</v>
      </c>
      <c r="F2496" t="s">
        <v>26</v>
      </c>
      <c r="G2496">
        <v>52</v>
      </c>
      <c r="H2496">
        <v>1</v>
      </c>
      <c r="I2496">
        <v>0</v>
      </c>
      <c r="J2496">
        <v>-1</v>
      </c>
      <c r="K2496">
        <v>0</v>
      </c>
      <c r="L2496">
        <v>0</v>
      </c>
      <c r="M2496">
        <v>-1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50</v>
      </c>
      <c r="T2496">
        <v>0</v>
      </c>
      <c r="U2496" t="s">
        <v>38</v>
      </c>
      <c r="W2496" s="2">
        <v>95.29</v>
      </c>
      <c r="X2496" s="3">
        <f t="shared" si="76"/>
        <v>4764.5</v>
      </c>
      <c r="Y2496">
        <f>VLOOKUP(D2496,'[1]Cost Sheet'!$C:$D,2,0)</f>
        <v>95.29</v>
      </c>
      <c r="Z2496" s="3">
        <f t="shared" si="77"/>
        <v>4764.5</v>
      </c>
    </row>
    <row r="2497" spans="1:26" x14ac:dyDescent="0.3">
      <c r="A2497" s="7" t="s">
        <v>21</v>
      </c>
      <c r="B2497" t="s">
        <v>983</v>
      </c>
      <c r="C2497" t="s">
        <v>984</v>
      </c>
      <c r="D2497" t="s">
        <v>985</v>
      </c>
      <c r="E2497" t="s">
        <v>986</v>
      </c>
      <c r="F2497" t="s">
        <v>26</v>
      </c>
      <c r="G2497">
        <v>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3</v>
      </c>
      <c r="T2497">
        <v>0</v>
      </c>
      <c r="U2497" t="s">
        <v>45</v>
      </c>
      <c r="W2497" s="2">
        <v>95.29</v>
      </c>
      <c r="X2497" s="3">
        <f t="shared" si="76"/>
        <v>285.87</v>
      </c>
      <c r="Y2497">
        <f>VLOOKUP(D2497,'[1]Cost Sheet'!$C:$D,2,0)</f>
        <v>95.29</v>
      </c>
      <c r="Z2497" s="3">
        <f t="shared" si="77"/>
        <v>285.87</v>
      </c>
    </row>
    <row r="2498" spans="1:26" x14ac:dyDescent="0.3">
      <c r="A2498" s="7" t="s">
        <v>21</v>
      </c>
      <c r="B2498" t="s">
        <v>983</v>
      </c>
      <c r="C2498" t="s">
        <v>984</v>
      </c>
      <c r="D2498" t="s">
        <v>985</v>
      </c>
      <c r="E2498" t="s">
        <v>986</v>
      </c>
      <c r="F2498" t="s">
        <v>26</v>
      </c>
      <c r="G2498">
        <v>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3</v>
      </c>
      <c r="T2498">
        <v>0</v>
      </c>
      <c r="U2498" t="s">
        <v>39</v>
      </c>
      <c r="W2498" s="2">
        <v>95.29</v>
      </c>
      <c r="X2498" s="3">
        <f t="shared" si="76"/>
        <v>285.87</v>
      </c>
      <c r="Y2498">
        <f>VLOOKUP(D2498,'[1]Cost Sheet'!$C:$D,2,0)</f>
        <v>95.29</v>
      </c>
      <c r="Z2498" s="3">
        <f t="shared" si="77"/>
        <v>285.87</v>
      </c>
    </row>
    <row r="2499" spans="1:26" x14ac:dyDescent="0.3">
      <c r="A2499" s="7" t="s">
        <v>21</v>
      </c>
      <c r="B2499" t="s">
        <v>983</v>
      </c>
      <c r="C2499" t="s">
        <v>984</v>
      </c>
      <c r="D2499" t="s">
        <v>985</v>
      </c>
      <c r="E2499" t="s">
        <v>986</v>
      </c>
      <c r="F2499" t="s">
        <v>26</v>
      </c>
      <c r="G2499">
        <v>39</v>
      </c>
      <c r="H2499">
        <v>0</v>
      </c>
      <c r="I2499">
        <v>0</v>
      </c>
      <c r="J2499">
        <v>-1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38</v>
      </c>
      <c r="T2499">
        <v>0</v>
      </c>
      <c r="U2499" t="s">
        <v>53</v>
      </c>
      <c r="W2499" s="2">
        <v>95.29</v>
      </c>
      <c r="X2499" s="3">
        <f t="shared" ref="X2499:X2562" si="78">S2499*W2499</f>
        <v>3621.0200000000004</v>
      </c>
      <c r="Y2499">
        <f>VLOOKUP(D2499,'[1]Cost Sheet'!$C:$D,2,0)</f>
        <v>95.29</v>
      </c>
      <c r="Z2499" s="3">
        <f t="shared" ref="Z2499:Z2562" si="79">Y2499*S2499</f>
        <v>3621.0200000000004</v>
      </c>
    </row>
    <row r="2500" spans="1:26" x14ac:dyDescent="0.3">
      <c r="A2500" s="7" t="s">
        <v>21</v>
      </c>
      <c r="B2500" t="s">
        <v>983</v>
      </c>
      <c r="C2500" t="s">
        <v>984</v>
      </c>
      <c r="D2500" t="s">
        <v>985</v>
      </c>
      <c r="E2500" t="s">
        <v>986</v>
      </c>
      <c r="F2500" t="s">
        <v>26</v>
      </c>
      <c r="G2500">
        <v>32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32</v>
      </c>
      <c r="T2500">
        <v>0</v>
      </c>
      <c r="U2500" t="s">
        <v>54</v>
      </c>
      <c r="W2500" s="2">
        <v>95.29</v>
      </c>
      <c r="X2500" s="3">
        <f t="shared" si="78"/>
        <v>3049.28</v>
      </c>
      <c r="Y2500">
        <f>VLOOKUP(D2500,'[1]Cost Sheet'!$C:$D,2,0)</f>
        <v>95.29</v>
      </c>
      <c r="Z2500" s="3">
        <f t="shared" si="79"/>
        <v>3049.28</v>
      </c>
    </row>
    <row r="2501" spans="1:26" x14ac:dyDescent="0.3">
      <c r="A2501" s="7" t="s">
        <v>21</v>
      </c>
      <c r="B2501" t="s">
        <v>983</v>
      </c>
      <c r="C2501" t="s">
        <v>984</v>
      </c>
      <c r="D2501" t="s">
        <v>985</v>
      </c>
      <c r="E2501" t="s">
        <v>986</v>
      </c>
      <c r="F2501" t="s">
        <v>26</v>
      </c>
      <c r="G2501">
        <v>41</v>
      </c>
      <c r="H2501">
        <v>0</v>
      </c>
      <c r="I2501">
        <v>0</v>
      </c>
      <c r="J2501">
        <v>-1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40</v>
      </c>
      <c r="T2501">
        <v>0</v>
      </c>
      <c r="U2501" t="s">
        <v>32</v>
      </c>
      <c r="W2501" s="2">
        <v>95.29</v>
      </c>
      <c r="X2501" s="3">
        <f t="shared" si="78"/>
        <v>3811.6000000000004</v>
      </c>
      <c r="Y2501">
        <f>VLOOKUP(D2501,'[1]Cost Sheet'!$C:$D,2,0)</f>
        <v>95.29</v>
      </c>
      <c r="Z2501" s="3">
        <f t="shared" si="79"/>
        <v>3811.6000000000004</v>
      </c>
    </row>
    <row r="2502" spans="1:26" x14ac:dyDescent="0.3">
      <c r="A2502" s="7" t="s">
        <v>21</v>
      </c>
      <c r="B2502" t="s">
        <v>983</v>
      </c>
      <c r="C2502" t="s">
        <v>984</v>
      </c>
      <c r="D2502" t="s">
        <v>985</v>
      </c>
      <c r="E2502" t="s">
        <v>986</v>
      </c>
      <c r="F2502" t="s">
        <v>26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 t="s">
        <v>33</v>
      </c>
      <c r="W2502" s="2">
        <v>95.29</v>
      </c>
      <c r="X2502" s="3">
        <f t="shared" si="78"/>
        <v>95.29</v>
      </c>
      <c r="Y2502">
        <f>VLOOKUP(D2502,'[1]Cost Sheet'!$C:$D,2,0)</f>
        <v>95.29</v>
      </c>
      <c r="Z2502" s="3">
        <f t="shared" si="79"/>
        <v>95.29</v>
      </c>
    </row>
    <row r="2503" spans="1:26" x14ac:dyDescent="0.3">
      <c r="A2503" s="7" t="s">
        <v>21</v>
      </c>
      <c r="B2503" t="s">
        <v>983</v>
      </c>
      <c r="C2503" t="s">
        <v>984</v>
      </c>
      <c r="D2503" t="s">
        <v>985</v>
      </c>
      <c r="E2503" t="s">
        <v>986</v>
      </c>
      <c r="F2503" t="s">
        <v>26</v>
      </c>
      <c r="G2503">
        <v>65</v>
      </c>
      <c r="H2503">
        <v>0</v>
      </c>
      <c r="I2503">
        <v>0</v>
      </c>
      <c r="J2503">
        <v>-1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64</v>
      </c>
      <c r="T2503">
        <v>0</v>
      </c>
      <c r="U2503" t="s">
        <v>46</v>
      </c>
      <c r="W2503" s="2">
        <v>95.29</v>
      </c>
      <c r="X2503" s="3">
        <f t="shared" si="78"/>
        <v>6098.56</v>
      </c>
      <c r="Y2503">
        <f>VLOOKUP(D2503,'[1]Cost Sheet'!$C:$D,2,0)</f>
        <v>95.29</v>
      </c>
      <c r="Z2503" s="3">
        <f t="shared" si="79"/>
        <v>6098.56</v>
      </c>
    </row>
    <row r="2504" spans="1:26" x14ac:dyDescent="0.3">
      <c r="A2504" s="7" t="s">
        <v>21</v>
      </c>
      <c r="B2504" t="s">
        <v>983</v>
      </c>
      <c r="C2504" t="s">
        <v>984</v>
      </c>
      <c r="D2504" t="s">
        <v>985</v>
      </c>
      <c r="E2504" t="s">
        <v>986</v>
      </c>
      <c r="F2504" t="s">
        <v>26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 t="s">
        <v>47</v>
      </c>
      <c r="W2504" s="2">
        <v>95.29</v>
      </c>
      <c r="X2504" s="3">
        <f t="shared" si="78"/>
        <v>95.29</v>
      </c>
      <c r="Y2504">
        <f>VLOOKUP(D2504,'[1]Cost Sheet'!$C:$D,2,0)</f>
        <v>95.29</v>
      </c>
      <c r="Z2504" s="3">
        <f t="shared" si="79"/>
        <v>95.29</v>
      </c>
    </row>
    <row r="2505" spans="1:26" x14ac:dyDescent="0.3">
      <c r="A2505" s="7" t="s">
        <v>21</v>
      </c>
      <c r="B2505" t="s">
        <v>983</v>
      </c>
      <c r="C2505" t="s">
        <v>984</v>
      </c>
      <c r="D2505" t="s">
        <v>985</v>
      </c>
      <c r="E2505" t="s">
        <v>986</v>
      </c>
      <c r="F2505" t="s">
        <v>26</v>
      </c>
      <c r="G2505">
        <v>39</v>
      </c>
      <c r="H2505">
        <v>0</v>
      </c>
      <c r="I2505">
        <v>0</v>
      </c>
      <c r="J2505">
        <v>-1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38</v>
      </c>
      <c r="T2505">
        <v>0</v>
      </c>
      <c r="U2505" t="s">
        <v>40</v>
      </c>
      <c r="W2505" s="2">
        <v>95.29</v>
      </c>
      <c r="X2505" s="3">
        <f t="shared" si="78"/>
        <v>3621.0200000000004</v>
      </c>
      <c r="Y2505">
        <f>VLOOKUP(D2505,'[1]Cost Sheet'!$C:$D,2,0)</f>
        <v>95.29</v>
      </c>
      <c r="Z2505" s="3">
        <f t="shared" si="79"/>
        <v>3621.0200000000004</v>
      </c>
    </row>
    <row r="2506" spans="1:26" x14ac:dyDescent="0.3">
      <c r="A2506" s="7" t="s">
        <v>21</v>
      </c>
      <c r="B2506" t="s">
        <v>983</v>
      </c>
      <c r="C2506" t="s">
        <v>984</v>
      </c>
      <c r="D2506" t="s">
        <v>985</v>
      </c>
      <c r="E2506" t="s">
        <v>986</v>
      </c>
      <c r="F2506" t="s">
        <v>26</v>
      </c>
      <c r="G2506">
        <v>39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39</v>
      </c>
      <c r="T2506">
        <v>0</v>
      </c>
      <c r="U2506" t="s">
        <v>48</v>
      </c>
      <c r="W2506" s="2">
        <v>95.29</v>
      </c>
      <c r="X2506" s="3">
        <f t="shared" si="78"/>
        <v>3716.3100000000004</v>
      </c>
      <c r="Y2506">
        <f>VLOOKUP(D2506,'[1]Cost Sheet'!$C:$D,2,0)</f>
        <v>95.29</v>
      </c>
      <c r="Z2506" s="3">
        <f t="shared" si="79"/>
        <v>3716.3100000000004</v>
      </c>
    </row>
    <row r="2507" spans="1:26" x14ac:dyDescent="0.3">
      <c r="A2507" s="7" t="s">
        <v>21</v>
      </c>
      <c r="B2507" t="s">
        <v>983</v>
      </c>
      <c r="C2507" t="s">
        <v>984</v>
      </c>
      <c r="D2507" t="s">
        <v>985</v>
      </c>
      <c r="E2507" t="s">
        <v>986</v>
      </c>
      <c r="F2507" t="s">
        <v>26</v>
      </c>
      <c r="G2507">
        <v>41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41</v>
      </c>
      <c r="T2507">
        <v>0</v>
      </c>
      <c r="U2507" t="s">
        <v>59</v>
      </c>
      <c r="W2507" s="2">
        <v>95.29</v>
      </c>
      <c r="X2507" s="3">
        <f t="shared" si="78"/>
        <v>3906.8900000000003</v>
      </c>
      <c r="Y2507">
        <f>VLOOKUP(D2507,'[1]Cost Sheet'!$C:$D,2,0)</f>
        <v>95.29</v>
      </c>
      <c r="Z2507" s="3">
        <f t="shared" si="79"/>
        <v>3906.8900000000003</v>
      </c>
    </row>
    <row r="2508" spans="1:26" x14ac:dyDescent="0.3">
      <c r="A2508" s="7" t="s">
        <v>21</v>
      </c>
      <c r="B2508" t="s">
        <v>987</v>
      </c>
      <c r="C2508" t="s">
        <v>988</v>
      </c>
      <c r="D2508" t="s">
        <v>989</v>
      </c>
      <c r="E2508" t="s">
        <v>990</v>
      </c>
      <c r="F2508" t="s">
        <v>125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 t="s">
        <v>88</v>
      </c>
      <c r="W2508" s="2">
        <v>87.7</v>
      </c>
      <c r="X2508" s="3">
        <f t="shared" si="78"/>
        <v>87.7</v>
      </c>
      <c r="Y2508">
        <f>VLOOKUP(D2508,'[1]Cost Sheet'!$C:$D,2,0)</f>
        <v>87.7</v>
      </c>
      <c r="Z2508" s="3">
        <f t="shared" si="79"/>
        <v>87.7</v>
      </c>
    </row>
    <row r="2509" spans="1:26" x14ac:dyDescent="0.3">
      <c r="A2509" s="7" t="s">
        <v>21</v>
      </c>
      <c r="B2509" t="s">
        <v>987</v>
      </c>
      <c r="C2509" t="s">
        <v>988</v>
      </c>
      <c r="D2509" t="s">
        <v>989</v>
      </c>
      <c r="E2509" t="s">
        <v>990</v>
      </c>
      <c r="F2509" t="s">
        <v>26</v>
      </c>
      <c r="G2509">
        <v>6</v>
      </c>
      <c r="H2509">
        <v>0</v>
      </c>
      <c r="I2509">
        <v>0</v>
      </c>
      <c r="J2509">
        <v>-5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 t="s">
        <v>38</v>
      </c>
      <c r="W2509" s="2">
        <v>87.7</v>
      </c>
      <c r="X2509" s="3">
        <f t="shared" si="78"/>
        <v>87.7</v>
      </c>
      <c r="Y2509">
        <f>VLOOKUP(D2509,'[1]Cost Sheet'!$C:$D,2,0)</f>
        <v>87.7</v>
      </c>
      <c r="Z2509" s="3">
        <f t="shared" si="79"/>
        <v>87.7</v>
      </c>
    </row>
    <row r="2510" spans="1:26" x14ac:dyDescent="0.3">
      <c r="A2510" s="7" t="s">
        <v>21</v>
      </c>
      <c r="B2510" t="s">
        <v>987</v>
      </c>
      <c r="C2510" t="s">
        <v>988</v>
      </c>
      <c r="D2510" t="s">
        <v>989</v>
      </c>
      <c r="E2510" t="s">
        <v>990</v>
      </c>
      <c r="F2510" t="s">
        <v>26</v>
      </c>
      <c r="G2510">
        <v>3</v>
      </c>
      <c r="H2510">
        <v>0</v>
      </c>
      <c r="I2510">
        <v>0</v>
      </c>
      <c r="J2510">
        <v>-1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2</v>
      </c>
      <c r="T2510">
        <v>0</v>
      </c>
      <c r="U2510" t="s">
        <v>107</v>
      </c>
      <c r="W2510" s="2">
        <v>87.7</v>
      </c>
      <c r="X2510" s="3">
        <f t="shared" si="78"/>
        <v>175.4</v>
      </c>
      <c r="Y2510">
        <f>VLOOKUP(D2510,'[1]Cost Sheet'!$C:$D,2,0)</f>
        <v>87.7</v>
      </c>
      <c r="Z2510" s="3">
        <f t="shared" si="79"/>
        <v>175.4</v>
      </c>
    </row>
    <row r="2511" spans="1:26" x14ac:dyDescent="0.3">
      <c r="A2511" s="7" t="s">
        <v>21</v>
      </c>
      <c r="B2511" t="s">
        <v>987</v>
      </c>
      <c r="C2511" t="s">
        <v>988</v>
      </c>
      <c r="D2511" t="s">
        <v>989</v>
      </c>
      <c r="E2511" t="s">
        <v>990</v>
      </c>
      <c r="F2511" t="s">
        <v>26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</v>
      </c>
      <c r="U2511" t="s">
        <v>151</v>
      </c>
      <c r="W2511" s="2">
        <v>87.7</v>
      </c>
      <c r="X2511" s="3">
        <f t="shared" si="78"/>
        <v>87.7</v>
      </c>
      <c r="Y2511">
        <f>VLOOKUP(D2511,'[1]Cost Sheet'!$C:$D,2,0)</f>
        <v>87.7</v>
      </c>
      <c r="Z2511" s="3">
        <f t="shared" si="79"/>
        <v>87.7</v>
      </c>
    </row>
    <row r="2512" spans="1:26" x14ac:dyDescent="0.3">
      <c r="A2512" s="7" t="s">
        <v>21</v>
      </c>
      <c r="B2512" t="s">
        <v>987</v>
      </c>
      <c r="C2512" t="s">
        <v>988</v>
      </c>
      <c r="D2512" t="s">
        <v>989</v>
      </c>
      <c r="E2512" t="s">
        <v>990</v>
      </c>
      <c r="F2512" t="s">
        <v>26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 t="s">
        <v>45</v>
      </c>
      <c r="W2512" s="2">
        <v>87.7</v>
      </c>
      <c r="X2512" s="3">
        <f t="shared" si="78"/>
        <v>87.7</v>
      </c>
      <c r="Y2512">
        <f>VLOOKUP(D2512,'[1]Cost Sheet'!$C:$D,2,0)</f>
        <v>87.7</v>
      </c>
      <c r="Z2512" s="3">
        <f t="shared" si="79"/>
        <v>87.7</v>
      </c>
    </row>
    <row r="2513" spans="1:26" x14ac:dyDescent="0.3">
      <c r="A2513" s="7" t="s">
        <v>21</v>
      </c>
      <c r="B2513" t="s">
        <v>987</v>
      </c>
      <c r="C2513" t="s">
        <v>988</v>
      </c>
      <c r="D2513" t="s">
        <v>989</v>
      </c>
      <c r="E2513" t="s">
        <v>990</v>
      </c>
      <c r="F2513" t="s">
        <v>26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 t="s">
        <v>53</v>
      </c>
      <c r="W2513" s="2">
        <v>87.7</v>
      </c>
      <c r="X2513" s="3">
        <f t="shared" si="78"/>
        <v>87.7</v>
      </c>
      <c r="Y2513">
        <f>VLOOKUP(D2513,'[1]Cost Sheet'!$C:$D,2,0)</f>
        <v>87.7</v>
      </c>
      <c r="Z2513" s="3">
        <f t="shared" si="79"/>
        <v>87.7</v>
      </c>
    </row>
    <row r="2514" spans="1:26" x14ac:dyDescent="0.3">
      <c r="A2514" s="7" t="s">
        <v>21</v>
      </c>
      <c r="B2514" t="s">
        <v>987</v>
      </c>
      <c r="C2514" t="s">
        <v>988</v>
      </c>
      <c r="D2514" t="s">
        <v>989</v>
      </c>
      <c r="E2514" t="s">
        <v>990</v>
      </c>
      <c r="F2514" t="s">
        <v>26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 t="s">
        <v>54</v>
      </c>
      <c r="W2514" s="2">
        <v>87.7</v>
      </c>
      <c r="X2514" s="3">
        <f t="shared" si="78"/>
        <v>87.7</v>
      </c>
      <c r="Y2514">
        <f>VLOOKUP(D2514,'[1]Cost Sheet'!$C:$D,2,0)</f>
        <v>87.7</v>
      </c>
      <c r="Z2514" s="3">
        <f t="shared" si="79"/>
        <v>87.7</v>
      </c>
    </row>
    <row r="2515" spans="1:26" x14ac:dyDescent="0.3">
      <c r="A2515" s="7" t="s">
        <v>21</v>
      </c>
      <c r="B2515" t="s">
        <v>987</v>
      </c>
      <c r="C2515" t="s">
        <v>988</v>
      </c>
      <c r="D2515" t="s">
        <v>989</v>
      </c>
      <c r="E2515" t="s">
        <v>990</v>
      </c>
      <c r="F2515" t="s">
        <v>26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 t="s">
        <v>32</v>
      </c>
      <c r="W2515" s="2">
        <v>87.7</v>
      </c>
      <c r="X2515" s="3">
        <f t="shared" si="78"/>
        <v>87.7</v>
      </c>
      <c r="Y2515">
        <f>VLOOKUP(D2515,'[1]Cost Sheet'!$C:$D,2,0)</f>
        <v>87.7</v>
      </c>
      <c r="Z2515" s="3">
        <f t="shared" si="79"/>
        <v>87.7</v>
      </c>
    </row>
    <row r="2516" spans="1:26" x14ac:dyDescent="0.3">
      <c r="A2516" s="7" t="s">
        <v>21</v>
      </c>
      <c r="B2516" t="s">
        <v>987</v>
      </c>
      <c r="C2516" t="s">
        <v>988</v>
      </c>
      <c r="D2516" t="s">
        <v>989</v>
      </c>
      <c r="E2516" t="s">
        <v>990</v>
      </c>
      <c r="F2516" t="s">
        <v>26</v>
      </c>
      <c r="G2516">
        <v>3</v>
      </c>
      <c r="H2516">
        <v>2</v>
      </c>
      <c r="I2516">
        <v>0</v>
      </c>
      <c r="J2516">
        <v>0</v>
      </c>
      <c r="K2516">
        <v>1</v>
      </c>
      <c r="L2516">
        <v>0</v>
      </c>
      <c r="M2516">
        <v>-2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2</v>
      </c>
      <c r="T2516">
        <v>0</v>
      </c>
      <c r="U2516" t="s">
        <v>88</v>
      </c>
      <c r="W2516" s="2">
        <v>87.7</v>
      </c>
      <c r="X2516" s="3">
        <f t="shared" si="78"/>
        <v>175.4</v>
      </c>
      <c r="Y2516">
        <f>VLOOKUP(D2516,'[1]Cost Sheet'!$C:$D,2,0)</f>
        <v>87.7</v>
      </c>
      <c r="Z2516" s="3">
        <f t="shared" si="79"/>
        <v>175.4</v>
      </c>
    </row>
    <row r="2517" spans="1:26" x14ac:dyDescent="0.3">
      <c r="A2517" s="7" t="s">
        <v>21</v>
      </c>
      <c r="B2517" t="s">
        <v>987</v>
      </c>
      <c r="C2517" t="s">
        <v>988</v>
      </c>
      <c r="D2517" t="s">
        <v>989</v>
      </c>
      <c r="E2517" t="s">
        <v>990</v>
      </c>
      <c r="F2517" t="s">
        <v>26</v>
      </c>
      <c r="G2517">
        <v>2</v>
      </c>
      <c r="H2517">
        <v>0</v>
      </c>
      <c r="I2517">
        <v>0</v>
      </c>
      <c r="J2517">
        <v>-2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 t="s">
        <v>33</v>
      </c>
      <c r="W2517" s="2">
        <v>87.7</v>
      </c>
      <c r="X2517" s="3">
        <f t="shared" si="78"/>
        <v>87.7</v>
      </c>
      <c r="Y2517">
        <f>VLOOKUP(D2517,'[1]Cost Sheet'!$C:$D,2,0)</f>
        <v>87.7</v>
      </c>
      <c r="Z2517" s="3">
        <f t="shared" si="79"/>
        <v>87.7</v>
      </c>
    </row>
    <row r="2518" spans="1:26" x14ac:dyDescent="0.3">
      <c r="A2518" s="7" t="s">
        <v>21</v>
      </c>
      <c r="B2518" t="s">
        <v>987</v>
      </c>
      <c r="C2518" t="s">
        <v>988</v>
      </c>
      <c r="D2518" t="s">
        <v>989</v>
      </c>
      <c r="E2518" t="s">
        <v>990</v>
      </c>
      <c r="F2518" t="s">
        <v>26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 t="s">
        <v>46</v>
      </c>
      <c r="W2518" s="2">
        <v>87.7</v>
      </c>
      <c r="X2518" s="3">
        <f t="shared" si="78"/>
        <v>87.7</v>
      </c>
      <c r="Y2518">
        <f>VLOOKUP(D2518,'[1]Cost Sheet'!$C:$D,2,0)</f>
        <v>87.7</v>
      </c>
      <c r="Z2518" s="3">
        <f t="shared" si="79"/>
        <v>87.7</v>
      </c>
    </row>
    <row r="2519" spans="1:26" x14ac:dyDescent="0.3">
      <c r="A2519" s="7" t="s">
        <v>21</v>
      </c>
      <c r="B2519" t="s">
        <v>987</v>
      </c>
      <c r="C2519" t="s">
        <v>988</v>
      </c>
      <c r="D2519" t="s">
        <v>989</v>
      </c>
      <c r="E2519" t="s">
        <v>990</v>
      </c>
      <c r="F2519" t="s">
        <v>26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 t="s">
        <v>40</v>
      </c>
      <c r="W2519" s="2">
        <v>87.7</v>
      </c>
      <c r="X2519" s="3">
        <f t="shared" si="78"/>
        <v>87.7</v>
      </c>
      <c r="Y2519">
        <f>VLOOKUP(D2519,'[1]Cost Sheet'!$C:$D,2,0)</f>
        <v>87.7</v>
      </c>
      <c r="Z2519" s="3">
        <f t="shared" si="79"/>
        <v>87.7</v>
      </c>
    </row>
    <row r="2520" spans="1:26" x14ac:dyDescent="0.3">
      <c r="A2520" s="7" t="s">
        <v>21</v>
      </c>
      <c r="B2520" t="s">
        <v>987</v>
      </c>
      <c r="C2520" t="s">
        <v>988</v>
      </c>
      <c r="D2520" t="s">
        <v>989</v>
      </c>
      <c r="E2520" t="s">
        <v>990</v>
      </c>
      <c r="F2520" t="s">
        <v>26</v>
      </c>
      <c r="G2520">
        <v>20</v>
      </c>
      <c r="H2520">
        <v>0</v>
      </c>
      <c r="I2520">
        <v>0</v>
      </c>
      <c r="J2520">
        <v>-16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4</v>
      </c>
      <c r="T2520">
        <v>0</v>
      </c>
      <c r="U2520" t="s">
        <v>113</v>
      </c>
      <c r="W2520" s="2">
        <v>87.7</v>
      </c>
      <c r="X2520" s="3">
        <f t="shared" si="78"/>
        <v>350.8</v>
      </c>
      <c r="Y2520">
        <f>VLOOKUP(D2520,'[1]Cost Sheet'!$C:$D,2,0)</f>
        <v>87.7</v>
      </c>
      <c r="Z2520" s="3">
        <f t="shared" si="79"/>
        <v>350.8</v>
      </c>
    </row>
    <row r="2521" spans="1:26" x14ac:dyDescent="0.3">
      <c r="A2521" s="7" t="s">
        <v>21</v>
      </c>
      <c r="B2521" t="s">
        <v>987</v>
      </c>
      <c r="C2521" t="s">
        <v>988</v>
      </c>
      <c r="D2521" t="s">
        <v>989</v>
      </c>
      <c r="E2521" t="s">
        <v>990</v>
      </c>
      <c r="F2521" t="s">
        <v>26</v>
      </c>
      <c r="G2521">
        <v>1</v>
      </c>
      <c r="H2521">
        <v>0</v>
      </c>
      <c r="I2521">
        <v>0</v>
      </c>
      <c r="J2521">
        <v>-1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s">
        <v>48</v>
      </c>
      <c r="W2521" s="2">
        <v>87.7</v>
      </c>
      <c r="X2521" s="3">
        <f t="shared" si="78"/>
        <v>0</v>
      </c>
      <c r="Y2521">
        <f>VLOOKUP(D2521,'[1]Cost Sheet'!$C:$D,2,0)</f>
        <v>87.7</v>
      </c>
      <c r="Z2521" s="3">
        <f t="shared" si="79"/>
        <v>0</v>
      </c>
    </row>
    <row r="2522" spans="1:26" x14ac:dyDescent="0.3">
      <c r="A2522" s="7" t="s">
        <v>21</v>
      </c>
      <c r="B2522" t="s">
        <v>987</v>
      </c>
      <c r="C2522" t="s">
        <v>988</v>
      </c>
      <c r="D2522" t="s">
        <v>989</v>
      </c>
      <c r="E2522" t="s">
        <v>990</v>
      </c>
      <c r="F2522" t="s">
        <v>26</v>
      </c>
      <c r="G2522">
        <v>2</v>
      </c>
      <c r="H2522">
        <v>0</v>
      </c>
      <c r="I2522">
        <v>0</v>
      </c>
      <c r="J2522">
        <v>-1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 t="s">
        <v>27</v>
      </c>
      <c r="W2522" s="2">
        <v>87.7</v>
      </c>
      <c r="X2522" s="3">
        <f t="shared" si="78"/>
        <v>87.7</v>
      </c>
      <c r="Y2522">
        <f>VLOOKUP(D2522,'[1]Cost Sheet'!$C:$D,2,0)</f>
        <v>87.7</v>
      </c>
      <c r="Z2522" s="3">
        <f t="shared" si="79"/>
        <v>87.7</v>
      </c>
    </row>
    <row r="2523" spans="1:26" x14ac:dyDescent="0.3">
      <c r="A2523" s="7" t="s">
        <v>21</v>
      </c>
      <c r="B2523" t="s">
        <v>987</v>
      </c>
      <c r="C2523" t="s">
        <v>988</v>
      </c>
      <c r="D2523" t="s">
        <v>989</v>
      </c>
      <c r="E2523" t="s">
        <v>990</v>
      </c>
      <c r="F2523" t="s">
        <v>114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 t="s">
        <v>32</v>
      </c>
      <c r="W2523" s="2">
        <v>87.7</v>
      </c>
      <c r="X2523" s="3">
        <f t="shared" si="78"/>
        <v>87.7</v>
      </c>
      <c r="Y2523">
        <f>VLOOKUP(D2523,'[1]Cost Sheet'!$C:$D,2,0)</f>
        <v>87.7</v>
      </c>
      <c r="Z2523" s="3">
        <f t="shared" si="79"/>
        <v>87.7</v>
      </c>
    </row>
    <row r="2524" spans="1:26" x14ac:dyDescent="0.3">
      <c r="A2524" s="7" t="s">
        <v>21</v>
      </c>
      <c r="B2524" t="s">
        <v>991</v>
      </c>
      <c r="C2524" t="s">
        <v>992</v>
      </c>
      <c r="D2524" t="s">
        <v>993</v>
      </c>
      <c r="E2524" t="s">
        <v>994</v>
      </c>
      <c r="F2524" t="s">
        <v>26</v>
      </c>
      <c r="G2524">
        <v>48</v>
      </c>
      <c r="H2524">
        <v>0</v>
      </c>
      <c r="I2524">
        <v>0</v>
      </c>
      <c r="J2524">
        <v>-1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47</v>
      </c>
      <c r="T2524">
        <v>0</v>
      </c>
      <c r="U2524" t="s">
        <v>38</v>
      </c>
      <c r="W2524" s="2">
        <v>117.33</v>
      </c>
      <c r="X2524" s="3">
        <f t="shared" si="78"/>
        <v>5514.51</v>
      </c>
      <c r="Y2524">
        <f>VLOOKUP(D2524,'[1]Cost Sheet'!$C:$D,2,0)</f>
        <v>117.33</v>
      </c>
      <c r="Z2524" s="3">
        <f t="shared" si="79"/>
        <v>5514.51</v>
      </c>
    </row>
    <row r="2525" spans="1:26" x14ac:dyDescent="0.3">
      <c r="A2525" s="7" t="s">
        <v>21</v>
      </c>
      <c r="B2525" t="s">
        <v>991</v>
      </c>
      <c r="C2525" t="s">
        <v>992</v>
      </c>
      <c r="D2525" t="s">
        <v>993</v>
      </c>
      <c r="E2525" t="s">
        <v>994</v>
      </c>
      <c r="F2525" t="s">
        <v>26</v>
      </c>
      <c r="G2525">
        <v>106</v>
      </c>
      <c r="H2525">
        <v>0</v>
      </c>
      <c r="I2525">
        <v>0</v>
      </c>
      <c r="J2525">
        <v>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104</v>
      </c>
      <c r="T2525">
        <v>0</v>
      </c>
      <c r="U2525" t="s">
        <v>107</v>
      </c>
      <c r="W2525" s="2">
        <v>117.33</v>
      </c>
      <c r="X2525" s="3">
        <f t="shared" si="78"/>
        <v>12202.32</v>
      </c>
      <c r="Y2525">
        <f>VLOOKUP(D2525,'[1]Cost Sheet'!$C:$D,2,0)</f>
        <v>117.33</v>
      </c>
      <c r="Z2525" s="3">
        <f t="shared" si="79"/>
        <v>12202.32</v>
      </c>
    </row>
    <row r="2526" spans="1:26" x14ac:dyDescent="0.3">
      <c r="A2526" s="7" t="s">
        <v>21</v>
      </c>
      <c r="B2526" t="s">
        <v>991</v>
      </c>
      <c r="C2526" t="s">
        <v>992</v>
      </c>
      <c r="D2526" t="s">
        <v>993</v>
      </c>
      <c r="E2526" t="s">
        <v>994</v>
      </c>
      <c r="F2526" t="s">
        <v>26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t="s">
        <v>151</v>
      </c>
      <c r="W2526" s="2">
        <v>117.33</v>
      </c>
      <c r="X2526" s="3">
        <f t="shared" si="78"/>
        <v>0</v>
      </c>
      <c r="Y2526">
        <f>VLOOKUP(D2526,'[1]Cost Sheet'!$C:$D,2,0)</f>
        <v>117.33</v>
      </c>
      <c r="Z2526" s="3">
        <f t="shared" si="79"/>
        <v>0</v>
      </c>
    </row>
    <row r="2527" spans="1:26" x14ac:dyDescent="0.3">
      <c r="A2527" s="7" t="s">
        <v>21</v>
      </c>
      <c r="B2527" t="s">
        <v>991</v>
      </c>
      <c r="C2527" t="s">
        <v>992</v>
      </c>
      <c r="D2527" t="s">
        <v>993</v>
      </c>
      <c r="E2527" t="s">
        <v>994</v>
      </c>
      <c r="F2527" t="s">
        <v>26</v>
      </c>
      <c r="G2527">
        <v>21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21</v>
      </c>
      <c r="T2527">
        <v>0</v>
      </c>
      <c r="U2527" t="s">
        <v>39</v>
      </c>
      <c r="W2527" s="2">
        <v>117.33</v>
      </c>
      <c r="X2527" s="3">
        <f t="shared" si="78"/>
        <v>2463.9299999999998</v>
      </c>
      <c r="Y2527">
        <f>VLOOKUP(D2527,'[1]Cost Sheet'!$C:$D,2,0)</f>
        <v>117.33</v>
      </c>
      <c r="Z2527" s="3">
        <f t="shared" si="79"/>
        <v>2463.9299999999998</v>
      </c>
    </row>
    <row r="2528" spans="1:26" x14ac:dyDescent="0.3">
      <c r="A2528" s="7" t="s">
        <v>21</v>
      </c>
      <c r="B2528" t="s">
        <v>991</v>
      </c>
      <c r="C2528" t="s">
        <v>992</v>
      </c>
      <c r="D2528" t="s">
        <v>993</v>
      </c>
      <c r="E2528" t="s">
        <v>994</v>
      </c>
      <c r="F2528" t="s">
        <v>26</v>
      </c>
      <c r="G2528">
        <v>33</v>
      </c>
      <c r="H2528">
        <v>0</v>
      </c>
      <c r="I2528">
        <v>0</v>
      </c>
      <c r="J2528">
        <v>-2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31</v>
      </c>
      <c r="T2528">
        <v>0</v>
      </c>
      <c r="U2528" t="s">
        <v>53</v>
      </c>
      <c r="W2528" s="2">
        <v>117.33</v>
      </c>
      <c r="X2528" s="3">
        <f t="shared" si="78"/>
        <v>3637.23</v>
      </c>
      <c r="Y2528">
        <f>VLOOKUP(D2528,'[1]Cost Sheet'!$C:$D,2,0)</f>
        <v>117.33</v>
      </c>
      <c r="Z2528" s="3">
        <f t="shared" si="79"/>
        <v>3637.23</v>
      </c>
    </row>
    <row r="2529" spans="1:26" x14ac:dyDescent="0.3">
      <c r="A2529" s="7" t="s">
        <v>21</v>
      </c>
      <c r="B2529" t="s">
        <v>991</v>
      </c>
      <c r="C2529" t="s">
        <v>992</v>
      </c>
      <c r="D2529" t="s">
        <v>993</v>
      </c>
      <c r="E2529" t="s">
        <v>994</v>
      </c>
      <c r="F2529" t="s">
        <v>26</v>
      </c>
      <c r="G2529">
        <v>80</v>
      </c>
      <c r="H2529">
        <v>0</v>
      </c>
      <c r="I2529">
        <v>0</v>
      </c>
      <c r="J2529">
        <v>-4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76</v>
      </c>
      <c r="T2529">
        <v>0</v>
      </c>
      <c r="U2529" t="s">
        <v>54</v>
      </c>
      <c r="W2529" s="2">
        <v>117.33</v>
      </c>
      <c r="X2529" s="3">
        <f t="shared" si="78"/>
        <v>8917.08</v>
      </c>
      <c r="Y2529">
        <f>VLOOKUP(D2529,'[1]Cost Sheet'!$C:$D,2,0)</f>
        <v>117.33</v>
      </c>
      <c r="Z2529" s="3">
        <f t="shared" si="79"/>
        <v>8917.08</v>
      </c>
    </row>
    <row r="2530" spans="1:26" x14ac:dyDescent="0.3">
      <c r="A2530" s="7" t="s">
        <v>21</v>
      </c>
      <c r="B2530" t="s">
        <v>991</v>
      </c>
      <c r="C2530" t="s">
        <v>992</v>
      </c>
      <c r="D2530" t="s">
        <v>993</v>
      </c>
      <c r="E2530" t="s">
        <v>994</v>
      </c>
      <c r="F2530" t="s">
        <v>26</v>
      </c>
      <c r="G2530">
        <v>515</v>
      </c>
      <c r="H2530">
        <v>0</v>
      </c>
      <c r="I2530">
        <v>0</v>
      </c>
      <c r="J2530">
        <v>-5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510</v>
      </c>
      <c r="T2530">
        <v>0</v>
      </c>
      <c r="U2530" t="s">
        <v>32</v>
      </c>
      <c r="W2530" s="2">
        <v>117.33</v>
      </c>
      <c r="X2530" s="3">
        <f t="shared" si="78"/>
        <v>59838.299999999996</v>
      </c>
      <c r="Y2530">
        <f>VLOOKUP(D2530,'[1]Cost Sheet'!$C:$D,2,0)</f>
        <v>117.33</v>
      </c>
      <c r="Z2530" s="3">
        <f t="shared" si="79"/>
        <v>59838.299999999996</v>
      </c>
    </row>
    <row r="2531" spans="1:26" x14ac:dyDescent="0.3">
      <c r="A2531" s="7" t="s">
        <v>21</v>
      </c>
      <c r="B2531" t="s">
        <v>991</v>
      </c>
      <c r="C2531" t="s">
        <v>992</v>
      </c>
      <c r="D2531" t="s">
        <v>993</v>
      </c>
      <c r="E2531" t="s">
        <v>994</v>
      </c>
      <c r="F2531" t="s">
        <v>26</v>
      </c>
      <c r="G2531">
        <v>1</v>
      </c>
      <c r="H2531">
        <v>3</v>
      </c>
      <c r="I2531">
        <v>0</v>
      </c>
      <c r="J2531">
        <v>0</v>
      </c>
      <c r="K2531">
        <v>2</v>
      </c>
      <c r="L2531">
        <v>0</v>
      </c>
      <c r="M2531">
        <v>-3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88</v>
      </c>
      <c r="W2531" s="2">
        <v>117.33</v>
      </c>
      <c r="X2531" s="3">
        <f t="shared" si="78"/>
        <v>0</v>
      </c>
      <c r="Y2531">
        <f>VLOOKUP(D2531,'[1]Cost Sheet'!$C:$D,2,0)</f>
        <v>117.33</v>
      </c>
      <c r="Z2531" s="3">
        <f t="shared" si="79"/>
        <v>0</v>
      </c>
    </row>
    <row r="2532" spans="1:26" x14ac:dyDescent="0.3">
      <c r="A2532" s="7" t="s">
        <v>21</v>
      </c>
      <c r="B2532" t="s">
        <v>991</v>
      </c>
      <c r="C2532" t="s">
        <v>992</v>
      </c>
      <c r="D2532" t="s">
        <v>993</v>
      </c>
      <c r="E2532" t="s">
        <v>994</v>
      </c>
      <c r="F2532" t="s">
        <v>26</v>
      </c>
      <c r="G2532">
        <v>5</v>
      </c>
      <c r="H2532">
        <v>0</v>
      </c>
      <c r="I2532">
        <v>0</v>
      </c>
      <c r="J2532">
        <v>-1</v>
      </c>
      <c r="K2532">
        <v>0</v>
      </c>
      <c r="L2532">
        <v>0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5</v>
      </c>
      <c r="T2532">
        <v>0</v>
      </c>
      <c r="U2532" t="s">
        <v>33</v>
      </c>
      <c r="W2532" s="2">
        <v>117.33</v>
      </c>
      <c r="X2532" s="3">
        <f t="shared" si="78"/>
        <v>586.65</v>
      </c>
      <c r="Y2532">
        <f>VLOOKUP(D2532,'[1]Cost Sheet'!$C:$D,2,0)</f>
        <v>117.33</v>
      </c>
      <c r="Z2532" s="3">
        <f t="shared" si="79"/>
        <v>586.65</v>
      </c>
    </row>
    <row r="2533" spans="1:26" x14ac:dyDescent="0.3">
      <c r="A2533" s="7" t="s">
        <v>21</v>
      </c>
      <c r="B2533" t="s">
        <v>991</v>
      </c>
      <c r="C2533" t="s">
        <v>992</v>
      </c>
      <c r="D2533" t="s">
        <v>993</v>
      </c>
      <c r="E2533" t="s">
        <v>994</v>
      </c>
      <c r="F2533" t="s">
        <v>26</v>
      </c>
      <c r="G2533">
        <v>18</v>
      </c>
      <c r="H2533">
        <v>0</v>
      </c>
      <c r="I2533">
        <v>0</v>
      </c>
      <c r="J2533">
        <v>-1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17</v>
      </c>
      <c r="T2533">
        <v>0</v>
      </c>
      <c r="U2533" t="s">
        <v>46</v>
      </c>
      <c r="W2533" s="2">
        <v>117.33</v>
      </c>
      <c r="X2533" s="3">
        <f t="shared" si="78"/>
        <v>1994.61</v>
      </c>
      <c r="Y2533">
        <f>VLOOKUP(D2533,'[1]Cost Sheet'!$C:$D,2,0)</f>
        <v>117.33</v>
      </c>
      <c r="Z2533" s="3">
        <f t="shared" si="79"/>
        <v>1994.61</v>
      </c>
    </row>
    <row r="2534" spans="1:26" x14ac:dyDescent="0.3">
      <c r="A2534" s="7" t="s">
        <v>21</v>
      </c>
      <c r="B2534" t="s">
        <v>991</v>
      </c>
      <c r="C2534" t="s">
        <v>992</v>
      </c>
      <c r="D2534" t="s">
        <v>993</v>
      </c>
      <c r="E2534" t="s">
        <v>994</v>
      </c>
      <c r="F2534" t="s">
        <v>26</v>
      </c>
      <c r="G2534">
        <v>39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39</v>
      </c>
      <c r="T2534">
        <v>0</v>
      </c>
      <c r="U2534" t="s">
        <v>47</v>
      </c>
      <c r="W2534" s="2">
        <v>117.33</v>
      </c>
      <c r="X2534" s="3">
        <f t="shared" si="78"/>
        <v>4575.87</v>
      </c>
      <c r="Y2534">
        <f>VLOOKUP(D2534,'[1]Cost Sheet'!$C:$D,2,0)</f>
        <v>117.33</v>
      </c>
      <c r="Z2534" s="3">
        <f t="shared" si="79"/>
        <v>4575.87</v>
      </c>
    </row>
    <row r="2535" spans="1:26" x14ac:dyDescent="0.3">
      <c r="A2535" s="7" t="s">
        <v>21</v>
      </c>
      <c r="B2535" t="s">
        <v>991</v>
      </c>
      <c r="C2535" t="s">
        <v>992</v>
      </c>
      <c r="D2535" t="s">
        <v>993</v>
      </c>
      <c r="E2535" t="s">
        <v>994</v>
      </c>
      <c r="F2535" t="s">
        <v>26</v>
      </c>
      <c r="G2535">
        <v>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5</v>
      </c>
      <c r="T2535">
        <v>0</v>
      </c>
      <c r="U2535" t="s">
        <v>40</v>
      </c>
      <c r="W2535" s="2">
        <v>117.33</v>
      </c>
      <c r="X2535" s="3">
        <f t="shared" si="78"/>
        <v>586.65</v>
      </c>
      <c r="Y2535">
        <f>VLOOKUP(D2535,'[1]Cost Sheet'!$C:$D,2,0)</f>
        <v>117.33</v>
      </c>
      <c r="Z2535" s="3">
        <f t="shared" si="79"/>
        <v>586.65</v>
      </c>
    </row>
    <row r="2536" spans="1:26" x14ac:dyDescent="0.3">
      <c r="A2536" s="7" t="s">
        <v>21</v>
      </c>
      <c r="B2536" t="s">
        <v>991</v>
      </c>
      <c r="C2536" t="s">
        <v>992</v>
      </c>
      <c r="D2536" t="s">
        <v>993</v>
      </c>
      <c r="E2536" t="s">
        <v>994</v>
      </c>
      <c r="F2536" t="s">
        <v>26</v>
      </c>
      <c r="G2536">
        <v>27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27</v>
      </c>
      <c r="T2536">
        <v>0</v>
      </c>
      <c r="U2536" t="s">
        <v>120</v>
      </c>
      <c r="W2536" s="2">
        <v>117.33</v>
      </c>
      <c r="X2536" s="3">
        <f t="shared" si="78"/>
        <v>3167.91</v>
      </c>
      <c r="Y2536">
        <f>VLOOKUP(D2536,'[1]Cost Sheet'!$C:$D,2,0)</f>
        <v>117.33</v>
      </c>
      <c r="Z2536" s="3">
        <f t="shared" si="79"/>
        <v>3167.91</v>
      </c>
    </row>
    <row r="2537" spans="1:26" x14ac:dyDescent="0.3">
      <c r="A2537" s="7" t="s">
        <v>21</v>
      </c>
      <c r="B2537" t="s">
        <v>991</v>
      </c>
      <c r="C2537" t="s">
        <v>992</v>
      </c>
      <c r="D2537" t="s">
        <v>993</v>
      </c>
      <c r="E2537" t="s">
        <v>994</v>
      </c>
      <c r="F2537" t="s">
        <v>26</v>
      </c>
      <c r="G2537">
        <v>93</v>
      </c>
      <c r="H2537">
        <v>0</v>
      </c>
      <c r="I2537">
        <v>0</v>
      </c>
      <c r="J2537">
        <v>-1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93</v>
      </c>
      <c r="T2537">
        <v>0</v>
      </c>
      <c r="U2537" t="s">
        <v>113</v>
      </c>
      <c r="W2537" s="2">
        <v>117.33</v>
      </c>
      <c r="X2537" s="3">
        <f t="shared" si="78"/>
        <v>10911.69</v>
      </c>
      <c r="Y2537">
        <f>VLOOKUP(D2537,'[1]Cost Sheet'!$C:$D,2,0)</f>
        <v>117.33</v>
      </c>
      <c r="Z2537" s="3">
        <f t="shared" si="79"/>
        <v>10911.69</v>
      </c>
    </row>
    <row r="2538" spans="1:26" x14ac:dyDescent="0.3">
      <c r="A2538" s="7" t="s">
        <v>21</v>
      </c>
      <c r="B2538" t="s">
        <v>991</v>
      </c>
      <c r="C2538" t="s">
        <v>992</v>
      </c>
      <c r="D2538" t="s">
        <v>993</v>
      </c>
      <c r="E2538" t="s">
        <v>994</v>
      </c>
      <c r="F2538" t="s">
        <v>26</v>
      </c>
      <c r="G2538">
        <v>13</v>
      </c>
      <c r="H2538">
        <v>0</v>
      </c>
      <c r="I2538">
        <v>0</v>
      </c>
      <c r="J2538">
        <v>-2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11</v>
      </c>
      <c r="T2538">
        <v>0</v>
      </c>
      <c r="U2538" t="s">
        <v>48</v>
      </c>
      <c r="W2538" s="2">
        <v>117.33</v>
      </c>
      <c r="X2538" s="3">
        <f t="shared" si="78"/>
        <v>1290.6299999999999</v>
      </c>
      <c r="Y2538">
        <f>VLOOKUP(D2538,'[1]Cost Sheet'!$C:$D,2,0)</f>
        <v>117.33</v>
      </c>
      <c r="Z2538" s="3">
        <f t="shared" si="79"/>
        <v>1290.6299999999999</v>
      </c>
    </row>
    <row r="2539" spans="1:26" x14ac:dyDescent="0.3">
      <c r="A2539" s="7" t="s">
        <v>21</v>
      </c>
      <c r="B2539" t="s">
        <v>991</v>
      </c>
      <c r="C2539" t="s">
        <v>992</v>
      </c>
      <c r="D2539" t="s">
        <v>993</v>
      </c>
      <c r="E2539" t="s">
        <v>994</v>
      </c>
      <c r="F2539" t="s">
        <v>26</v>
      </c>
      <c r="G2539">
        <v>36</v>
      </c>
      <c r="H2539">
        <v>0</v>
      </c>
      <c r="I2539">
        <v>0</v>
      </c>
      <c r="J2539">
        <v>-3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33</v>
      </c>
      <c r="T2539">
        <v>0</v>
      </c>
      <c r="U2539" t="s">
        <v>59</v>
      </c>
      <c r="W2539" s="2">
        <v>117.33</v>
      </c>
      <c r="X2539" s="3">
        <f t="shared" si="78"/>
        <v>3871.89</v>
      </c>
      <c r="Y2539">
        <f>VLOOKUP(D2539,'[1]Cost Sheet'!$C:$D,2,0)</f>
        <v>117.33</v>
      </c>
      <c r="Z2539" s="3">
        <f t="shared" si="79"/>
        <v>3871.89</v>
      </c>
    </row>
    <row r="2540" spans="1:26" x14ac:dyDescent="0.3">
      <c r="A2540" s="7" t="s">
        <v>21</v>
      </c>
      <c r="B2540" t="s">
        <v>991</v>
      </c>
      <c r="C2540" t="s">
        <v>992</v>
      </c>
      <c r="D2540" t="s">
        <v>993</v>
      </c>
      <c r="E2540" t="s">
        <v>994</v>
      </c>
      <c r="F2540" t="s">
        <v>26</v>
      </c>
      <c r="G2540">
        <v>57</v>
      </c>
      <c r="H2540">
        <v>0</v>
      </c>
      <c r="I2540">
        <v>0</v>
      </c>
      <c r="J2540">
        <v>-3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54</v>
      </c>
      <c r="T2540">
        <v>0</v>
      </c>
      <c r="U2540" t="s">
        <v>27</v>
      </c>
      <c r="W2540" s="2">
        <v>117.33</v>
      </c>
      <c r="X2540" s="3">
        <f t="shared" si="78"/>
        <v>6335.82</v>
      </c>
      <c r="Y2540">
        <f>VLOOKUP(D2540,'[1]Cost Sheet'!$C:$D,2,0)</f>
        <v>117.33</v>
      </c>
      <c r="Z2540" s="3">
        <f t="shared" si="79"/>
        <v>6335.82</v>
      </c>
    </row>
    <row r="2541" spans="1:26" x14ac:dyDescent="0.3">
      <c r="A2541" s="7" t="s">
        <v>21</v>
      </c>
      <c r="B2541" t="s">
        <v>995</v>
      </c>
      <c r="C2541" t="s">
        <v>996</v>
      </c>
      <c r="D2541" t="s">
        <v>997</v>
      </c>
      <c r="E2541" t="s">
        <v>998</v>
      </c>
      <c r="F2541" t="s">
        <v>125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 t="s">
        <v>33</v>
      </c>
      <c r="W2541" s="2">
        <v>91.53</v>
      </c>
      <c r="X2541" s="3">
        <f t="shared" si="78"/>
        <v>91.53</v>
      </c>
      <c r="Y2541">
        <f>VLOOKUP(D2541,'[1]Cost Sheet'!$C:$D,2,0)</f>
        <v>91.53</v>
      </c>
      <c r="Z2541" s="3">
        <f t="shared" si="79"/>
        <v>91.53</v>
      </c>
    </row>
    <row r="2542" spans="1:26" x14ac:dyDescent="0.3">
      <c r="A2542" s="7" t="s">
        <v>21</v>
      </c>
      <c r="B2542" t="s">
        <v>995</v>
      </c>
      <c r="C2542" t="s">
        <v>996</v>
      </c>
      <c r="D2542" t="s">
        <v>997</v>
      </c>
      <c r="E2542" t="s">
        <v>998</v>
      </c>
      <c r="F2542" t="s">
        <v>26</v>
      </c>
      <c r="G2542">
        <v>54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54</v>
      </c>
      <c r="T2542">
        <v>0</v>
      </c>
      <c r="U2542" t="s">
        <v>38</v>
      </c>
      <c r="W2542" s="2">
        <v>91.53</v>
      </c>
      <c r="X2542" s="3">
        <f t="shared" si="78"/>
        <v>4942.62</v>
      </c>
      <c r="Y2542">
        <f>VLOOKUP(D2542,'[1]Cost Sheet'!$C:$D,2,0)</f>
        <v>91.53</v>
      </c>
      <c r="Z2542" s="3">
        <f t="shared" si="79"/>
        <v>4942.62</v>
      </c>
    </row>
    <row r="2543" spans="1:26" x14ac:dyDescent="0.3">
      <c r="A2543" s="7" t="s">
        <v>21</v>
      </c>
      <c r="B2543" t="s">
        <v>995</v>
      </c>
      <c r="C2543" t="s">
        <v>996</v>
      </c>
      <c r="D2543" t="s">
        <v>997</v>
      </c>
      <c r="E2543" t="s">
        <v>998</v>
      </c>
      <c r="F2543" t="s">
        <v>26</v>
      </c>
      <c r="G2543">
        <v>182</v>
      </c>
      <c r="H2543">
        <v>0</v>
      </c>
      <c r="I2543">
        <v>0</v>
      </c>
      <c r="J2543">
        <v>-4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178</v>
      </c>
      <c r="T2543">
        <v>0</v>
      </c>
      <c r="U2543" t="s">
        <v>107</v>
      </c>
      <c r="W2543" s="2">
        <v>91.53</v>
      </c>
      <c r="X2543" s="3">
        <f t="shared" si="78"/>
        <v>16292.34</v>
      </c>
      <c r="Y2543">
        <f>VLOOKUP(D2543,'[1]Cost Sheet'!$C:$D,2,0)</f>
        <v>91.53</v>
      </c>
      <c r="Z2543" s="3">
        <f t="shared" si="79"/>
        <v>16292.34</v>
      </c>
    </row>
    <row r="2544" spans="1:26" x14ac:dyDescent="0.3">
      <c r="A2544" s="7" t="s">
        <v>21</v>
      </c>
      <c r="B2544" t="s">
        <v>995</v>
      </c>
      <c r="C2544" t="s">
        <v>996</v>
      </c>
      <c r="D2544" t="s">
        <v>997</v>
      </c>
      <c r="E2544" t="s">
        <v>998</v>
      </c>
      <c r="F2544" t="s">
        <v>26</v>
      </c>
      <c r="G2544">
        <v>12</v>
      </c>
      <c r="H2544">
        <v>0</v>
      </c>
      <c r="I2544">
        <v>0</v>
      </c>
      <c r="J2544">
        <v>-3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9</v>
      </c>
      <c r="T2544">
        <v>0</v>
      </c>
      <c r="U2544" t="s">
        <v>45</v>
      </c>
      <c r="W2544" s="2">
        <v>91.53</v>
      </c>
      <c r="X2544" s="3">
        <f t="shared" si="78"/>
        <v>823.77</v>
      </c>
      <c r="Y2544">
        <f>VLOOKUP(D2544,'[1]Cost Sheet'!$C:$D,2,0)</f>
        <v>91.53</v>
      </c>
      <c r="Z2544" s="3">
        <f t="shared" si="79"/>
        <v>823.77</v>
      </c>
    </row>
    <row r="2545" spans="1:26" x14ac:dyDescent="0.3">
      <c r="A2545" s="7" t="s">
        <v>21</v>
      </c>
      <c r="B2545" t="s">
        <v>995</v>
      </c>
      <c r="C2545" t="s">
        <v>996</v>
      </c>
      <c r="D2545" t="s">
        <v>997</v>
      </c>
      <c r="E2545" t="s">
        <v>998</v>
      </c>
      <c r="F2545" t="s">
        <v>26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3</v>
      </c>
      <c r="T2545">
        <v>0</v>
      </c>
      <c r="U2545" t="s">
        <v>39</v>
      </c>
      <c r="W2545" s="2">
        <v>91.53</v>
      </c>
      <c r="X2545" s="3">
        <f t="shared" si="78"/>
        <v>274.59000000000003</v>
      </c>
      <c r="Y2545">
        <f>VLOOKUP(D2545,'[1]Cost Sheet'!$C:$D,2,0)</f>
        <v>91.53</v>
      </c>
      <c r="Z2545" s="3">
        <f t="shared" si="79"/>
        <v>274.59000000000003</v>
      </c>
    </row>
    <row r="2546" spans="1:26" x14ac:dyDescent="0.3">
      <c r="A2546" s="7" t="s">
        <v>21</v>
      </c>
      <c r="B2546" t="s">
        <v>995</v>
      </c>
      <c r="C2546" t="s">
        <v>996</v>
      </c>
      <c r="D2546" t="s">
        <v>997</v>
      </c>
      <c r="E2546" t="s">
        <v>998</v>
      </c>
      <c r="F2546" t="s">
        <v>26</v>
      </c>
      <c r="G2546">
        <v>11</v>
      </c>
      <c r="H2546">
        <v>0</v>
      </c>
      <c r="I2546">
        <v>0</v>
      </c>
      <c r="J2546">
        <v>-3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8</v>
      </c>
      <c r="T2546">
        <v>0</v>
      </c>
      <c r="U2546" t="s">
        <v>53</v>
      </c>
      <c r="W2546" s="2">
        <v>91.53</v>
      </c>
      <c r="X2546" s="3">
        <f t="shared" si="78"/>
        <v>732.24</v>
      </c>
      <c r="Y2546">
        <f>VLOOKUP(D2546,'[1]Cost Sheet'!$C:$D,2,0)</f>
        <v>91.53</v>
      </c>
      <c r="Z2546" s="3">
        <f t="shared" si="79"/>
        <v>732.24</v>
      </c>
    </row>
    <row r="2547" spans="1:26" x14ac:dyDescent="0.3">
      <c r="A2547" s="7" t="s">
        <v>21</v>
      </c>
      <c r="B2547" t="s">
        <v>995</v>
      </c>
      <c r="C2547" t="s">
        <v>996</v>
      </c>
      <c r="D2547" t="s">
        <v>997</v>
      </c>
      <c r="E2547" t="s">
        <v>998</v>
      </c>
      <c r="F2547" t="s">
        <v>26</v>
      </c>
      <c r="G2547">
        <v>128</v>
      </c>
      <c r="H2547">
        <v>0</v>
      </c>
      <c r="I2547">
        <v>0</v>
      </c>
      <c r="J2547">
        <v>-7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122</v>
      </c>
      <c r="T2547">
        <v>0</v>
      </c>
      <c r="U2547" t="s">
        <v>54</v>
      </c>
      <c r="W2547" s="2">
        <v>91.53</v>
      </c>
      <c r="X2547" s="3">
        <f t="shared" si="78"/>
        <v>11166.66</v>
      </c>
      <c r="Y2547">
        <f>VLOOKUP(D2547,'[1]Cost Sheet'!$C:$D,2,0)</f>
        <v>91.53</v>
      </c>
      <c r="Z2547" s="3">
        <f t="shared" si="79"/>
        <v>11166.66</v>
      </c>
    </row>
    <row r="2548" spans="1:26" x14ac:dyDescent="0.3">
      <c r="A2548" s="7" t="s">
        <v>21</v>
      </c>
      <c r="B2548" t="s">
        <v>995</v>
      </c>
      <c r="C2548" t="s">
        <v>996</v>
      </c>
      <c r="D2548" t="s">
        <v>997</v>
      </c>
      <c r="E2548" t="s">
        <v>998</v>
      </c>
      <c r="F2548" t="s">
        <v>26</v>
      </c>
      <c r="G2548">
        <v>216</v>
      </c>
      <c r="H2548">
        <v>0</v>
      </c>
      <c r="I2548">
        <v>0</v>
      </c>
      <c r="J2548">
        <v>-13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203</v>
      </c>
      <c r="T2548">
        <v>0</v>
      </c>
      <c r="U2548" t="s">
        <v>32</v>
      </c>
      <c r="W2548" s="2">
        <v>91.53</v>
      </c>
      <c r="X2548" s="3">
        <f t="shared" si="78"/>
        <v>18580.59</v>
      </c>
      <c r="Y2548">
        <f>VLOOKUP(D2548,'[1]Cost Sheet'!$C:$D,2,0)</f>
        <v>91.53</v>
      </c>
      <c r="Z2548" s="3">
        <f t="shared" si="79"/>
        <v>18580.59</v>
      </c>
    </row>
    <row r="2549" spans="1:26" x14ac:dyDescent="0.3">
      <c r="A2549" s="7" t="s">
        <v>21</v>
      </c>
      <c r="B2549" t="s">
        <v>995</v>
      </c>
      <c r="C2549" t="s">
        <v>996</v>
      </c>
      <c r="D2549" t="s">
        <v>997</v>
      </c>
      <c r="E2549" t="s">
        <v>998</v>
      </c>
      <c r="F2549" t="s">
        <v>26</v>
      </c>
      <c r="G2549">
        <v>5</v>
      </c>
      <c r="H2549">
        <v>0</v>
      </c>
      <c r="I2549">
        <v>0</v>
      </c>
      <c r="J2549">
        <v>0</v>
      </c>
      <c r="K2549">
        <v>2</v>
      </c>
      <c r="L2549">
        <v>0</v>
      </c>
      <c r="M2549">
        <v>-1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6</v>
      </c>
      <c r="T2549">
        <v>0</v>
      </c>
      <c r="U2549" t="s">
        <v>88</v>
      </c>
      <c r="W2549" s="2">
        <v>91.53</v>
      </c>
      <c r="X2549" s="3">
        <f t="shared" si="78"/>
        <v>549.18000000000006</v>
      </c>
      <c r="Y2549">
        <f>VLOOKUP(D2549,'[1]Cost Sheet'!$C:$D,2,0)</f>
        <v>91.53</v>
      </c>
      <c r="Z2549" s="3">
        <f t="shared" si="79"/>
        <v>549.18000000000006</v>
      </c>
    </row>
    <row r="2550" spans="1:26" x14ac:dyDescent="0.3">
      <c r="A2550" s="7" t="s">
        <v>21</v>
      </c>
      <c r="B2550" t="s">
        <v>995</v>
      </c>
      <c r="C2550" t="s">
        <v>996</v>
      </c>
      <c r="D2550" t="s">
        <v>997</v>
      </c>
      <c r="E2550" t="s">
        <v>998</v>
      </c>
      <c r="F2550" t="s">
        <v>26</v>
      </c>
      <c r="G2550">
        <v>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5</v>
      </c>
      <c r="T2550">
        <v>0</v>
      </c>
      <c r="U2550" t="s">
        <v>33</v>
      </c>
      <c r="W2550" s="2">
        <v>91.53</v>
      </c>
      <c r="X2550" s="3">
        <f t="shared" si="78"/>
        <v>457.65</v>
      </c>
      <c r="Y2550">
        <f>VLOOKUP(D2550,'[1]Cost Sheet'!$C:$D,2,0)</f>
        <v>91.53</v>
      </c>
      <c r="Z2550" s="3">
        <f t="shared" si="79"/>
        <v>457.65</v>
      </c>
    </row>
    <row r="2551" spans="1:26" x14ac:dyDescent="0.3">
      <c r="A2551" s="7" t="s">
        <v>21</v>
      </c>
      <c r="B2551" t="s">
        <v>995</v>
      </c>
      <c r="C2551" t="s">
        <v>996</v>
      </c>
      <c r="D2551" t="s">
        <v>997</v>
      </c>
      <c r="E2551" t="s">
        <v>998</v>
      </c>
      <c r="F2551" t="s">
        <v>26</v>
      </c>
      <c r="G2551">
        <v>4</v>
      </c>
      <c r="H2551">
        <v>0</v>
      </c>
      <c r="I2551">
        <v>0</v>
      </c>
      <c r="J2551">
        <v>-1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3</v>
      </c>
      <c r="T2551">
        <v>0</v>
      </c>
      <c r="U2551" t="s">
        <v>46</v>
      </c>
      <c r="W2551" s="2">
        <v>91.53</v>
      </c>
      <c r="X2551" s="3">
        <f t="shared" si="78"/>
        <v>274.59000000000003</v>
      </c>
      <c r="Y2551">
        <f>VLOOKUP(D2551,'[1]Cost Sheet'!$C:$D,2,0)</f>
        <v>91.53</v>
      </c>
      <c r="Z2551" s="3">
        <f t="shared" si="79"/>
        <v>274.59000000000003</v>
      </c>
    </row>
    <row r="2552" spans="1:26" x14ac:dyDescent="0.3">
      <c r="A2552" s="7" t="s">
        <v>21</v>
      </c>
      <c r="B2552" t="s">
        <v>995</v>
      </c>
      <c r="C2552" t="s">
        <v>996</v>
      </c>
      <c r="D2552" t="s">
        <v>997</v>
      </c>
      <c r="E2552" t="s">
        <v>998</v>
      </c>
      <c r="F2552" t="s">
        <v>26</v>
      </c>
      <c r="G2552">
        <v>2</v>
      </c>
      <c r="H2552">
        <v>0</v>
      </c>
      <c r="I2552">
        <v>0</v>
      </c>
      <c r="J2552">
        <v>-1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 t="s">
        <v>111</v>
      </c>
      <c r="W2552" s="2">
        <v>91.53</v>
      </c>
      <c r="X2552" s="3">
        <f t="shared" si="78"/>
        <v>91.53</v>
      </c>
      <c r="Y2552">
        <f>VLOOKUP(D2552,'[1]Cost Sheet'!$C:$D,2,0)</f>
        <v>91.53</v>
      </c>
      <c r="Z2552" s="3">
        <f t="shared" si="79"/>
        <v>91.53</v>
      </c>
    </row>
    <row r="2553" spans="1:26" x14ac:dyDescent="0.3">
      <c r="A2553" s="7" t="s">
        <v>21</v>
      </c>
      <c r="B2553" t="s">
        <v>995</v>
      </c>
      <c r="C2553" t="s">
        <v>996</v>
      </c>
      <c r="D2553" t="s">
        <v>997</v>
      </c>
      <c r="E2553" t="s">
        <v>998</v>
      </c>
      <c r="F2553" t="s">
        <v>26</v>
      </c>
      <c r="G2553">
        <v>8</v>
      </c>
      <c r="H2553">
        <v>0</v>
      </c>
      <c r="I2553">
        <v>0</v>
      </c>
      <c r="J2553">
        <v>-2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6</v>
      </c>
      <c r="T2553">
        <v>0</v>
      </c>
      <c r="U2553" t="s">
        <v>47</v>
      </c>
      <c r="W2553" s="2">
        <v>91.53</v>
      </c>
      <c r="X2553" s="3">
        <f t="shared" si="78"/>
        <v>549.18000000000006</v>
      </c>
      <c r="Y2553">
        <f>VLOOKUP(D2553,'[1]Cost Sheet'!$C:$D,2,0)</f>
        <v>91.53</v>
      </c>
      <c r="Z2553" s="3">
        <f t="shared" si="79"/>
        <v>549.18000000000006</v>
      </c>
    </row>
    <row r="2554" spans="1:26" x14ac:dyDescent="0.3">
      <c r="A2554" s="7" t="s">
        <v>21</v>
      </c>
      <c r="B2554" t="s">
        <v>995</v>
      </c>
      <c r="C2554" t="s">
        <v>996</v>
      </c>
      <c r="D2554" t="s">
        <v>997</v>
      </c>
      <c r="E2554" t="s">
        <v>998</v>
      </c>
      <c r="F2554" t="s">
        <v>26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2</v>
      </c>
      <c r="T2554">
        <v>0</v>
      </c>
      <c r="U2554" t="s">
        <v>40</v>
      </c>
      <c r="W2554" s="2">
        <v>91.53</v>
      </c>
      <c r="X2554" s="3">
        <f t="shared" si="78"/>
        <v>183.06</v>
      </c>
      <c r="Y2554">
        <f>VLOOKUP(D2554,'[1]Cost Sheet'!$C:$D,2,0)</f>
        <v>91.53</v>
      </c>
      <c r="Z2554" s="3">
        <f t="shared" si="79"/>
        <v>183.06</v>
      </c>
    </row>
    <row r="2555" spans="1:26" x14ac:dyDescent="0.3">
      <c r="A2555" s="7" t="s">
        <v>21</v>
      </c>
      <c r="B2555" t="s">
        <v>995</v>
      </c>
      <c r="C2555" t="s">
        <v>996</v>
      </c>
      <c r="D2555" t="s">
        <v>997</v>
      </c>
      <c r="E2555" t="s">
        <v>998</v>
      </c>
      <c r="F2555" t="s">
        <v>26</v>
      </c>
      <c r="G2555">
        <v>23</v>
      </c>
      <c r="H2555">
        <v>0</v>
      </c>
      <c r="I2555">
        <v>0</v>
      </c>
      <c r="J2555">
        <v>-2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22</v>
      </c>
      <c r="T2555">
        <v>0</v>
      </c>
      <c r="U2555" t="s">
        <v>120</v>
      </c>
      <c r="W2555" s="2">
        <v>91.53</v>
      </c>
      <c r="X2555" s="3">
        <f t="shared" si="78"/>
        <v>2013.66</v>
      </c>
      <c r="Y2555">
        <f>VLOOKUP(D2555,'[1]Cost Sheet'!$C:$D,2,0)</f>
        <v>91.53</v>
      </c>
      <c r="Z2555" s="3">
        <f t="shared" si="79"/>
        <v>2013.66</v>
      </c>
    </row>
    <row r="2556" spans="1:26" x14ac:dyDescent="0.3">
      <c r="A2556" s="7" t="s">
        <v>21</v>
      </c>
      <c r="B2556" t="s">
        <v>995</v>
      </c>
      <c r="C2556" t="s">
        <v>996</v>
      </c>
      <c r="D2556" t="s">
        <v>997</v>
      </c>
      <c r="E2556" t="s">
        <v>998</v>
      </c>
      <c r="F2556" t="s">
        <v>26</v>
      </c>
      <c r="G2556">
        <v>103</v>
      </c>
      <c r="H2556">
        <v>0</v>
      </c>
      <c r="I2556">
        <v>0</v>
      </c>
      <c r="J2556">
        <v>-7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96</v>
      </c>
      <c r="T2556">
        <v>0</v>
      </c>
      <c r="U2556" t="s">
        <v>113</v>
      </c>
      <c r="W2556" s="2">
        <v>91.53</v>
      </c>
      <c r="X2556" s="3">
        <f t="shared" si="78"/>
        <v>8786.880000000001</v>
      </c>
      <c r="Y2556">
        <f>VLOOKUP(D2556,'[1]Cost Sheet'!$C:$D,2,0)</f>
        <v>91.53</v>
      </c>
      <c r="Z2556" s="3">
        <f t="shared" si="79"/>
        <v>8786.880000000001</v>
      </c>
    </row>
    <row r="2557" spans="1:26" x14ac:dyDescent="0.3">
      <c r="A2557" s="7" t="s">
        <v>21</v>
      </c>
      <c r="B2557" t="s">
        <v>995</v>
      </c>
      <c r="C2557" t="s">
        <v>996</v>
      </c>
      <c r="D2557" t="s">
        <v>997</v>
      </c>
      <c r="E2557" t="s">
        <v>998</v>
      </c>
      <c r="F2557" t="s">
        <v>26</v>
      </c>
      <c r="G2557">
        <v>47</v>
      </c>
      <c r="H2557">
        <v>0</v>
      </c>
      <c r="I2557">
        <v>0</v>
      </c>
      <c r="J2557">
        <v>-3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44</v>
      </c>
      <c r="T2557">
        <v>0</v>
      </c>
      <c r="U2557" t="s">
        <v>48</v>
      </c>
      <c r="W2557" s="2">
        <v>91.53</v>
      </c>
      <c r="X2557" s="3">
        <f t="shared" si="78"/>
        <v>4027.32</v>
      </c>
      <c r="Y2557">
        <f>VLOOKUP(D2557,'[1]Cost Sheet'!$C:$D,2,0)</f>
        <v>91.53</v>
      </c>
      <c r="Z2557" s="3">
        <f t="shared" si="79"/>
        <v>4027.32</v>
      </c>
    </row>
    <row r="2558" spans="1:26" x14ac:dyDescent="0.3">
      <c r="A2558" s="7" t="s">
        <v>21</v>
      </c>
      <c r="B2558" t="s">
        <v>995</v>
      </c>
      <c r="C2558" t="s">
        <v>996</v>
      </c>
      <c r="D2558" t="s">
        <v>997</v>
      </c>
      <c r="E2558" t="s">
        <v>998</v>
      </c>
      <c r="F2558" t="s">
        <v>26</v>
      </c>
      <c r="G2558">
        <v>3</v>
      </c>
      <c r="H2558">
        <v>0</v>
      </c>
      <c r="I2558">
        <v>0</v>
      </c>
      <c r="J2558">
        <v>-2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 t="s">
        <v>59</v>
      </c>
      <c r="W2558" s="2">
        <v>91.53</v>
      </c>
      <c r="X2558" s="3">
        <f t="shared" si="78"/>
        <v>91.53</v>
      </c>
      <c r="Y2558">
        <f>VLOOKUP(D2558,'[1]Cost Sheet'!$C:$D,2,0)</f>
        <v>91.53</v>
      </c>
      <c r="Z2558" s="3">
        <f t="shared" si="79"/>
        <v>91.53</v>
      </c>
    </row>
    <row r="2559" spans="1:26" x14ac:dyDescent="0.3">
      <c r="A2559" s="7" t="s">
        <v>21</v>
      </c>
      <c r="B2559" t="s">
        <v>995</v>
      </c>
      <c r="C2559" t="s">
        <v>996</v>
      </c>
      <c r="D2559" t="s">
        <v>997</v>
      </c>
      <c r="E2559" t="s">
        <v>998</v>
      </c>
      <c r="F2559" t="s">
        <v>26</v>
      </c>
      <c r="G2559">
        <v>122</v>
      </c>
      <c r="H2559">
        <v>0</v>
      </c>
      <c r="I2559">
        <v>0</v>
      </c>
      <c r="J2559">
        <v>-9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114</v>
      </c>
      <c r="T2559">
        <v>0</v>
      </c>
      <c r="U2559" t="s">
        <v>27</v>
      </c>
      <c r="W2559" s="2">
        <v>91.53</v>
      </c>
      <c r="X2559" s="3">
        <f t="shared" si="78"/>
        <v>10434.42</v>
      </c>
      <c r="Y2559">
        <f>VLOOKUP(D2559,'[1]Cost Sheet'!$C:$D,2,0)</f>
        <v>91.53</v>
      </c>
      <c r="Z2559" s="3">
        <f t="shared" si="79"/>
        <v>10434.42</v>
      </c>
    </row>
    <row r="2560" spans="1:26" x14ac:dyDescent="0.3">
      <c r="A2560" s="7" t="s">
        <v>21</v>
      </c>
      <c r="B2560" t="s">
        <v>999</v>
      </c>
      <c r="C2560" t="s">
        <v>1000</v>
      </c>
      <c r="D2560" t="s">
        <v>1001</v>
      </c>
      <c r="E2560" t="s">
        <v>1002</v>
      </c>
      <c r="F2560" t="s">
        <v>26</v>
      </c>
      <c r="G2560">
        <v>147</v>
      </c>
      <c r="H2560">
        <v>0</v>
      </c>
      <c r="I2560">
        <v>0</v>
      </c>
      <c r="J2560">
        <v>-1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146</v>
      </c>
      <c r="T2560">
        <v>0</v>
      </c>
      <c r="U2560" t="s">
        <v>38</v>
      </c>
      <c r="W2560" s="2">
        <v>86.13</v>
      </c>
      <c r="X2560" s="3">
        <f t="shared" si="78"/>
        <v>12574.98</v>
      </c>
      <c r="Y2560">
        <f>VLOOKUP(D2560,'[1]Cost Sheet'!$C:$D,2,0)</f>
        <v>86.13</v>
      </c>
      <c r="Z2560" s="3">
        <f t="shared" si="79"/>
        <v>12574.98</v>
      </c>
    </row>
    <row r="2561" spans="1:26" x14ac:dyDescent="0.3">
      <c r="A2561" s="7" t="s">
        <v>21</v>
      </c>
      <c r="B2561" t="s">
        <v>999</v>
      </c>
      <c r="C2561" t="s">
        <v>1000</v>
      </c>
      <c r="D2561" t="s">
        <v>1001</v>
      </c>
      <c r="E2561" t="s">
        <v>1002</v>
      </c>
      <c r="F2561" t="s">
        <v>26</v>
      </c>
      <c r="G2561">
        <v>57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57</v>
      </c>
      <c r="T2561">
        <v>0</v>
      </c>
      <c r="U2561" t="s">
        <v>107</v>
      </c>
      <c r="W2561" s="2">
        <v>86.13</v>
      </c>
      <c r="X2561" s="3">
        <f t="shared" si="78"/>
        <v>4909.41</v>
      </c>
      <c r="Y2561">
        <f>VLOOKUP(D2561,'[1]Cost Sheet'!$C:$D,2,0)</f>
        <v>86.13</v>
      </c>
      <c r="Z2561" s="3">
        <f t="shared" si="79"/>
        <v>4909.41</v>
      </c>
    </row>
    <row r="2562" spans="1:26" x14ac:dyDescent="0.3">
      <c r="A2562" s="7" t="s">
        <v>21</v>
      </c>
      <c r="B2562" t="s">
        <v>999</v>
      </c>
      <c r="C2562" t="s">
        <v>1000</v>
      </c>
      <c r="D2562" t="s">
        <v>1001</v>
      </c>
      <c r="E2562" t="s">
        <v>1002</v>
      </c>
      <c r="F2562" t="s">
        <v>26</v>
      </c>
      <c r="G2562">
        <v>0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-1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s">
        <v>151</v>
      </c>
      <c r="W2562" s="2">
        <v>86.13</v>
      </c>
      <c r="X2562" s="3">
        <f t="shared" si="78"/>
        <v>0</v>
      </c>
      <c r="Y2562">
        <f>VLOOKUP(D2562,'[1]Cost Sheet'!$C:$D,2,0)</f>
        <v>86.13</v>
      </c>
      <c r="Z2562" s="3">
        <f t="shared" si="79"/>
        <v>0</v>
      </c>
    </row>
    <row r="2563" spans="1:26" x14ac:dyDescent="0.3">
      <c r="A2563" s="7" t="s">
        <v>21</v>
      </c>
      <c r="B2563" t="s">
        <v>999</v>
      </c>
      <c r="C2563" t="s">
        <v>1000</v>
      </c>
      <c r="D2563" t="s">
        <v>1001</v>
      </c>
      <c r="E2563" t="s">
        <v>1002</v>
      </c>
      <c r="F2563" t="s">
        <v>26</v>
      </c>
      <c r="G2563">
        <v>14</v>
      </c>
      <c r="H2563">
        <v>0</v>
      </c>
      <c r="I2563">
        <v>0</v>
      </c>
      <c r="J2563">
        <v>-1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13</v>
      </c>
      <c r="T2563">
        <v>0</v>
      </c>
      <c r="U2563" t="s">
        <v>39</v>
      </c>
      <c r="W2563" s="2">
        <v>86.13</v>
      </c>
      <c r="X2563" s="3">
        <f t="shared" ref="X2563:X2626" si="80">S2563*W2563</f>
        <v>1119.69</v>
      </c>
      <c r="Y2563">
        <f>VLOOKUP(D2563,'[1]Cost Sheet'!$C:$D,2,0)</f>
        <v>86.13</v>
      </c>
      <c r="Z2563" s="3">
        <f t="shared" ref="Z2563:Z2626" si="81">Y2563*S2563</f>
        <v>1119.69</v>
      </c>
    </row>
    <row r="2564" spans="1:26" x14ac:dyDescent="0.3">
      <c r="A2564" s="7" t="s">
        <v>21</v>
      </c>
      <c r="B2564" t="s">
        <v>999</v>
      </c>
      <c r="C2564" t="s">
        <v>1000</v>
      </c>
      <c r="D2564" t="s">
        <v>1001</v>
      </c>
      <c r="E2564" t="s">
        <v>1002</v>
      </c>
      <c r="F2564" t="s">
        <v>26</v>
      </c>
      <c r="G2564">
        <v>32</v>
      </c>
      <c r="H2564">
        <v>0</v>
      </c>
      <c r="I2564">
        <v>0</v>
      </c>
      <c r="J2564">
        <v>-2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31</v>
      </c>
      <c r="T2564">
        <v>0</v>
      </c>
      <c r="U2564" t="s">
        <v>53</v>
      </c>
      <c r="W2564" s="2">
        <v>86.13</v>
      </c>
      <c r="X2564" s="3">
        <f t="shared" si="80"/>
        <v>2670.0299999999997</v>
      </c>
      <c r="Y2564">
        <f>VLOOKUP(D2564,'[1]Cost Sheet'!$C:$D,2,0)</f>
        <v>86.13</v>
      </c>
      <c r="Z2564" s="3">
        <f t="shared" si="81"/>
        <v>2670.0299999999997</v>
      </c>
    </row>
    <row r="2565" spans="1:26" x14ac:dyDescent="0.3">
      <c r="A2565" s="7" t="s">
        <v>21</v>
      </c>
      <c r="B2565" t="s">
        <v>999</v>
      </c>
      <c r="C2565" t="s">
        <v>1000</v>
      </c>
      <c r="D2565" t="s">
        <v>1001</v>
      </c>
      <c r="E2565" t="s">
        <v>1002</v>
      </c>
      <c r="F2565" t="s">
        <v>26</v>
      </c>
      <c r="G2565">
        <v>23</v>
      </c>
      <c r="H2565">
        <v>0</v>
      </c>
      <c r="I2565">
        <v>0</v>
      </c>
      <c r="J2565">
        <v>-6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17</v>
      </c>
      <c r="T2565">
        <v>0</v>
      </c>
      <c r="U2565" t="s">
        <v>54</v>
      </c>
      <c r="W2565" s="2">
        <v>86.13</v>
      </c>
      <c r="X2565" s="3">
        <f t="shared" si="80"/>
        <v>1464.21</v>
      </c>
      <c r="Y2565">
        <f>VLOOKUP(D2565,'[1]Cost Sheet'!$C:$D,2,0)</f>
        <v>86.13</v>
      </c>
      <c r="Z2565" s="3">
        <f t="shared" si="81"/>
        <v>1464.21</v>
      </c>
    </row>
    <row r="2566" spans="1:26" x14ac:dyDescent="0.3">
      <c r="A2566" s="7" t="s">
        <v>21</v>
      </c>
      <c r="B2566" t="s">
        <v>999</v>
      </c>
      <c r="C2566" t="s">
        <v>1000</v>
      </c>
      <c r="D2566" t="s">
        <v>1001</v>
      </c>
      <c r="E2566" t="s">
        <v>1002</v>
      </c>
      <c r="F2566" t="s">
        <v>26</v>
      </c>
      <c r="G2566">
        <v>464</v>
      </c>
      <c r="H2566">
        <v>0</v>
      </c>
      <c r="I2566">
        <v>0</v>
      </c>
      <c r="J2566">
        <v>-6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458</v>
      </c>
      <c r="T2566">
        <v>0</v>
      </c>
      <c r="U2566" t="s">
        <v>32</v>
      </c>
      <c r="W2566" s="2">
        <v>86.13</v>
      </c>
      <c r="X2566" s="3">
        <f t="shared" si="80"/>
        <v>39447.54</v>
      </c>
      <c r="Y2566">
        <f>VLOOKUP(D2566,'[1]Cost Sheet'!$C:$D,2,0)</f>
        <v>86.13</v>
      </c>
      <c r="Z2566" s="3">
        <f t="shared" si="81"/>
        <v>39447.54</v>
      </c>
    </row>
    <row r="2567" spans="1:26" x14ac:dyDescent="0.3">
      <c r="A2567" s="7" t="s">
        <v>21</v>
      </c>
      <c r="B2567" t="s">
        <v>999</v>
      </c>
      <c r="C2567" t="s">
        <v>1000</v>
      </c>
      <c r="D2567" t="s">
        <v>1001</v>
      </c>
      <c r="E2567" t="s">
        <v>1002</v>
      </c>
      <c r="F2567" t="s">
        <v>26</v>
      </c>
      <c r="G2567">
        <v>1</v>
      </c>
      <c r="H2567">
        <v>2</v>
      </c>
      <c r="I2567">
        <v>0</v>
      </c>
      <c r="J2567">
        <v>0</v>
      </c>
      <c r="K2567">
        <v>1</v>
      </c>
      <c r="L2567">
        <v>0</v>
      </c>
      <c r="M2567">
        <v>-2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88</v>
      </c>
      <c r="W2567" s="2">
        <v>86.13</v>
      </c>
      <c r="X2567" s="3">
        <f t="shared" si="80"/>
        <v>0</v>
      </c>
      <c r="Y2567">
        <f>VLOOKUP(D2567,'[1]Cost Sheet'!$C:$D,2,0)</f>
        <v>86.13</v>
      </c>
      <c r="Z2567" s="3">
        <f t="shared" si="81"/>
        <v>0</v>
      </c>
    </row>
    <row r="2568" spans="1:26" x14ac:dyDescent="0.3">
      <c r="A2568" s="7" t="s">
        <v>21</v>
      </c>
      <c r="B2568" t="s">
        <v>999</v>
      </c>
      <c r="C2568" t="s">
        <v>1000</v>
      </c>
      <c r="D2568" t="s">
        <v>1001</v>
      </c>
      <c r="E2568" t="s">
        <v>1002</v>
      </c>
      <c r="F2568" t="s">
        <v>26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3</v>
      </c>
      <c r="T2568">
        <v>0</v>
      </c>
      <c r="U2568" t="s">
        <v>33</v>
      </c>
      <c r="W2568" s="2">
        <v>86.13</v>
      </c>
      <c r="X2568" s="3">
        <f t="shared" si="80"/>
        <v>258.39</v>
      </c>
      <c r="Y2568">
        <f>VLOOKUP(D2568,'[1]Cost Sheet'!$C:$D,2,0)</f>
        <v>86.13</v>
      </c>
      <c r="Z2568" s="3">
        <f t="shared" si="81"/>
        <v>258.39</v>
      </c>
    </row>
    <row r="2569" spans="1:26" x14ac:dyDescent="0.3">
      <c r="A2569" s="7" t="s">
        <v>21</v>
      </c>
      <c r="B2569" t="s">
        <v>999</v>
      </c>
      <c r="C2569" t="s">
        <v>1000</v>
      </c>
      <c r="D2569" t="s">
        <v>1001</v>
      </c>
      <c r="E2569" t="s">
        <v>1002</v>
      </c>
      <c r="F2569" t="s">
        <v>26</v>
      </c>
      <c r="G2569">
        <v>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5</v>
      </c>
      <c r="T2569">
        <v>0</v>
      </c>
      <c r="U2569" t="s">
        <v>46</v>
      </c>
      <c r="W2569" s="2">
        <v>86.13</v>
      </c>
      <c r="X2569" s="3">
        <f t="shared" si="80"/>
        <v>430.65</v>
      </c>
      <c r="Y2569">
        <f>VLOOKUP(D2569,'[1]Cost Sheet'!$C:$D,2,0)</f>
        <v>86.13</v>
      </c>
      <c r="Z2569" s="3">
        <f t="shared" si="81"/>
        <v>430.65</v>
      </c>
    </row>
    <row r="2570" spans="1:26" x14ac:dyDescent="0.3">
      <c r="A2570" s="7" t="s">
        <v>21</v>
      </c>
      <c r="B2570" t="s">
        <v>999</v>
      </c>
      <c r="C2570" t="s">
        <v>1000</v>
      </c>
      <c r="D2570" t="s">
        <v>1001</v>
      </c>
      <c r="E2570" t="s">
        <v>1002</v>
      </c>
      <c r="F2570" t="s">
        <v>26</v>
      </c>
      <c r="G2570">
        <v>47</v>
      </c>
      <c r="H2570">
        <v>0</v>
      </c>
      <c r="I2570">
        <v>0</v>
      </c>
      <c r="J2570">
        <v>-6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41</v>
      </c>
      <c r="T2570">
        <v>0</v>
      </c>
      <c r="U2570" t="s">
        <v>47</v>
      </c>
      <c r="W2570" s="2">
        <v>86.13</v>
      </c>
      <c r="X2570" s="3">
        <f t="shared" si="80"/>
        <v>3531.33</v>
      </c>
      <c r="Y2570">
        <f>VLOOKUP(D2570,'[1]Cost Sheet'!$C:$D,2,0)</f>
        <v>86.13</v>
      </c>
      <c r="Z2570" s="3">
        <f t="shared" si="81"/>
        <v>3531.33</v>
      </c>
    </row>
    <row r="2571" spans="1:26" x14ac:dyDescent="0.3">
      <c r="A2571" s="7" t="s">
        <v>21</v>
      </c>
      <c r="B2571" t="s">
        <v>999</v>
      </c>
      <c r="C2571" t="s">
        <v>1000</v>
      </c>
      <c r="D2571" t="s">
        <v>1001</v>
      </c>
      <c r="E2571" t="s">
        <v>1002</v>
      </c>
      <c r="F2571" t="s">
        <v>26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 t="s">
        <v>40</v>
      </c>
      <c r="W2571" s="2">
        <v>86.13</v>
      </c>
      <c r="X2571" s="3">
        <f t="shared" si="80"/>
        <v>86.13</v>
      </c>
      <c r="Y2571">
        <f>VLOOKUP(D2571,'[1]Cost Sheet'!$C:$D,2,0)</f>
        <v>86.13</v>
      </c>
      <c r="Z2571" s="3">
        <f t="shared" si="81"/>
        <v>86.13</v>
      </c>
    </row>
    <row r="2572" spans="1:26" x14ac:dyDescent="0.3">
      <c r="A2572" s="7" t="s">
        <v>21</v>
      </c>
      <c r="B2572" t="s">
        <v>999</v>
      </c>
      <c r="C2572" t="s">
        <v>1000</v>
      </c>
      <c r="D2572" t="s">
        <v>1001</v>
      </c>
      <c r="E2572" t="s">
        <v>1002</v>
      </c>
      <c r="F2572" t="s">
        <v>26</v>
      </c>
      <c r="G2572">
        <v>24</v>
      </c>
      <c r="H2572">
        <v>0</v>
      </c>
      <c r="I2572">
        <v>0</v>
      </c>
      <c r="J2572">
        <v>-1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23</v>
      </c>
      <c r="T2572">
        <v>0</v>
      </c>
      <c r="U2572" t="s">
        <v>113</v>
      </c>
      <c r="W2572" s="2">
        <v>86.13</v>
      </c>
      <c r="X2572" s="3">
        <f t="shared" si="80"/>
        <v>1980.9899999999998</v>
      </c>
      <c r="Y2572">
        <f>VLOOKUP(D2572,'[1]Cost Sheet'!$C:$D,2,0)</f>
        <v>86.13</v>
      </c>
      <c r="Z2572" s="3">
        <f t="shared" si="81"/>
        <v>1980.9899999999998</v>
      </c>
    </row>
    <row r="2573" spans="1:26" x14ac:dyDescent="0.3">
      <c r="A2573" s="7" t="s">
        <v>21</v>
      </c>
      <c r="B2573" t="s">
        <v>999</v>
      </c>
      <c r="C2573" t="s">
        <v>1000</v>
      </c>
      <c r="D2573" t="s">
        <v>1001</v>
      </c>
      <c r="E2573" t="s">
        <v>1002</v>
      </c>
      <c r="F2573" t="s">
        <v>26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 t="s">
        <v>48</v>
      </c>
      <c r="W2573" s="2">
        <v>86.13</v>
      </c>
      <c r="X2573" s="3">
        <f t="shared" si="80"/>
        <v>86.13</v>
      </c>
      <c r="Y2573">
        <f>VLOOKUP(D2573,'[1]Cost Sheet'!$C:$D,2,0)</f>
        <v>86.13</v>
      </c>
      <c r="Z2573" s="3">
        <f t="shared" si="81"/>
        <v>86.13</v>
      </c>
    </row>
    <row r="2574" spans="1:26" x14ac:dyDescent="0.3">
      <c r="A2574" s="7" t="s">
        <v>21</v>
      </c>
      <c r="B2574" t="s">
        <v>999</v>
      </c>
      <c r="C2574" t="s">
        <v>1000</v>
      </c>
      <c r="D2574" t="s">
        <v>1001</v>
      </c>
      <c r="E2574" t="s">
        <v>1002</v>
      </c>
      <c r="F2574" t="s">
        <v>26</v>
      </c>
      <c r="G2574">
        <v>34</v>
      </c>
      <c r="H2574">
        <v>0</v>
      </c>
      <c r="I2574">
        <v>0</v>
      </c>
      <c r="J2574">
        <v>-1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33</v>
      </c>
      <c r="T2574">
        <v>0</v>
      </c>
      <c r="U2574" t="s">
        <v>59</v>
      </c>
      <c r="W2574" s="2">
        <v>86.13</v>
      </c>
      <c r="X2574" s="3">
        <f t="shared" si="80"/>
        <v>2842.29</v>
      </c>
      <c r="Y2574">
        <f>VLOOKUP(D2574,'[1]Cost Sheet'!$C:$D,2,0)</f>
        <v>86.13</v>
      </c>
      <c r="Z2574" s="3">
        <f t="shared" si="81"/>
        <v>2842.29</v>
      </c>
    </row>
    <row r="2575" spans="1:26" x14ac:dyDescent="0.3">
      <c r="A2575" s="7" t="s">
        <v>21</v>
      </c>
      <c r="B2575" t="s">
        <v>999</v>
      </c>
      <c r="C2575" t="s">
        <v>1000</v>
      </c>
      <c r="D2575" t="s">
        <v>1001</v>
      </c>
      <c r="E2575" t="s">
        <v>1002</v>
      </c>
      <c r="F2575" t="s">
        <v>26</v>
      </c>
      <c r="G2575">
        <v>25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25</v>
      </c>
      <c r="T2575">
        <v>0</v>
      </c>
      <c r="U2575" t="s">
        <v>27</v>
      </c>
      <c r="W2575" s="2">
        <v>86.13</v>
      </c>
      <c r="X2575" s="3">
        <f t="shared" si="80"/>
        <v>2153.25</v>
      </c>
      <c r="Y2575">
        <f>VLOOKUP(D2575,'[1]Cost Sheet'!$C:$D,2,0)</f>
        <v>86.13</v>
      </c>
      <c r="Z2575" s="3">
        <f t="shared" si="81"/>
        <v>2153.25</v>
      </c>
    </row>
    <row r="2576" spans="1:26" x14ac:dyDescent="0.3">
      <c r="A2576" s="7" t="s">
        <v>21</v>
      </c>
      <c r="B2576" t="s">
        <v>1003</v>
      </c>
      <c r="C2576" t="s">
        <v>1004</v>
      </c>
      <c r="D2576" t="s">
        <v>1005</v>
      </c>
      <c r="E2576" t="s">
        <v>1006</v>
      </c>
      <c r="F2576" t="s">
        <v>26</v>
      </c>
      <c r="G2576">
        <v>11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-1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10</v>
      </c>
      <c r="T2576">
        <v>0</v>
      </c>
      <c r="U2576" t="s">
        <v>38</v>
      </c>
      <c r="W2576" s="2">
        <v>103.38</v>
      </c>
      <c r="X2576" s="3">
        <f t="shared" si="80"/>
        <v>1033.8</v>
      </c>
      <c r="Y2576">
        <f>VLOOKUP(D2576,'[1]Cost Sheet'!$C:$D,2,0)</f>
        <v>103.38</v>
      </c>
      <c r="Z2576" s="3">
        <f t="shared" si="81"/>
        <v>1033.8</v>
      </c>
    </row>
    <row r="2577" spans="1:26" x14ac:dyDescent="0.3">
      <c r="A2577" s="7" t="s">
        <v>21</v>
      </c>
      <c r="B2577" t="s">
        <v>1003</v>
      </c>
      <c r="C2577" t="s">
        <v>1004</v>
      </c>
      <c r="D2577" t="s">
        <v>1005</v>
      </c>
      <c r="E2577" t="s">
        <v>1006</v>
      </c>
      <c r="F2577" t="s">
        <v>26</v>
      </c>
      <c r="G2577">
        <v>12</v>
      </c>
      <c r="H2577">
        <v>0</v>
      </c>
      <c r="I2577">
        <v>0</v>
      </c>
      <c r="J2577">
        <v>-1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11</v>
      </c>
      <c r="T2577">
        <v>0</v>
      </c>
      <c r="U2577" t="s">
        <v>39</v>
      </c>
      <c r="W2577" s="2">
        <v>103.38</v>
      </c>
      <c r="X2577" s="3">
        <f t="shared" si="80"/>
        <v>1137.1799999999998</v>
      </c>
      <c r="Y2577">
        <f>VLOOKUP(D2577,'[1]Cost Sheet'!$C:$D,2,0)</f>
        <v>103.38</v>
      </c>
      <c r="Z2577" s="3">
        <f t="shared" si="81"/>
        <v>1137.1799999999998</v>
      </c>
    </row>
    <row r="2578" spans="1:26" x14ac:dyDescent="0.3">
      <c r="A2578" s="7" t="s">
        <v>21</v>
      </c>
      <c r="B2578" t="s">
        <v>1003</v>
      </c>
      <c r="C2578" t="s">
        <v>1004</v>
      </c>
      <c r="D2578" t="s">
        <v>1005</v>
      </c>
      <c r="E2578" t="s">
        <v>1006</v>
      </c>
      <c r="F2578" t="s">
        <v>26</v>
      </c>
      <c r="G2578">
        <v>15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15</v>
      </c>
      <c r="T2578">
        <v>0</v>
      </c>
      <c r="U2578" t="s">
        <v>54</v>
      </c>
      <c r="W2578" s="2">
        <v>103.38</v>
      </c>
      <c r="X2578" s="3">
        <f t="shared" si="80"/>
        <v>1550.6999999999998</v>
      </c>
      <c r="Y2578">
        <f>VLOOKUP(D2578,'[1]Cost Sheet'!$C:$D,2,0)</f>
        <v>103.38</v>
      </c>
      <c r="Z2578" s="3">
        <f t="shared" si="81"/>
        <v>1550.6999999999998</v>
      </c>
    </row>
    <row r="2579" spans="1:26" x14ac:dyDescent="0.3">
      <c r="A2579" s="7" t="s">
        <v>21</v>
      </c>
      <c r="B2579" t="s">
        <v>1003</v>
      </c>
      <c r="C2579" t="s">
        <v>1004</v>
      </c>
      <c r="D2579" t="s">
        <v>1005</v>
      </c>
      <c r="E2579" t="s">
        <v>1006</v>
      </c>
      <c r="F2579" t="s">
        <v>26</v>
      </c>
      <c r="G2579">
        <v>31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31</v>
      </c>
      <c r="T2579">
        <v>0</v>
      </c>
      <c r="U2579" t="s">
        <v>32</v>
      </c>
      <c r="W2579" s="2">
        <v>103.38</v>
      </c>
      <c r="X2579" s="3">
        <f t="shared" si="80"/>
        <v>3204.7799999999997</v>
      </c>
      <c r="Y2579">
        <f>VLOOKUP(D2579,'[1]Cost Sheet'!$C:$D,2,0)</f>
        <v>103.38</v>
      </c>
      <c r="Z2579" s="3">
        <f t="shared" si="81"/>
        <v>3204.7799999999997</v>
      </c>
    </row>
    <row r="2580" spans="1:26" x14ac:dyDescent="0.3">
      <c r="A2580" s="7" t="s">
        <v>21</v>
      </c>
      <c r="B2580" t="s">
        <v>1003</v>
      </c>
      <c r="C2580" t="s">
        <v>1004</v>
      </c>
      <c r="D2580" t="s">
        <v>1005</v>
      </c>
      <c r="E2580" t="s">
        <v>1006</v>
      </c>
      <c r="F2580" t="s">
        <v>26</v>
      </c>
      <c r="G2580">
        <v>2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-1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2</v>
      </c>
      <c r="T2580">
        <v>0</v>
      </c>
      <c r="U2580" t="s">
        <v>88</v>
      </c>
      <c r="W2580" s="2">
        <v>103.38</v>
      </c>
      <c r="X2580" s="3">
        <f t="shared" si="80"/>
        <v>206.76</v>
      </c>
      <c r="Y2580">
        <f>VLOOKUP(D2580,'[1]Cost Sheet'!$C:$D,2,0)</f>
        <v>103.38</v>
      </c>
      <c r="Z2580" s="3">
        <f t="shared" si="81"/>
        <v>206.76</v>
      </c>
    </row>
    <row r="2581" spans="1:26" x14ac:dyDescent="0.3">
      <c r="A2581" s="7" t="s">
        <v>21</v>
      </c>
      <c r="B2581" t="s">
        <v>1003</v>
      </c>
      <c r="C2581" t="s">
        <v>1004</v>
      </c>
      <c r="D2581" t="s">
        <v>1005</v>
      </c>
      <c r="E2581" t="s">
        <v>1006</v>
      </c>
      <c r="F2581" t="s">
        <v>26</v>
      </c>
      <c r="G2581">
        <v>11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13</v>
      </c>
      <c r="T2581">
        <v>0</v>
      </c>
      <c r="U2581" t="s">
        <v>46</v>
      </c>
      <c r="W2581" s="2">
        <v>103.38</v>
      </c>
      <c r="X2581" s="3">
        <f t="shared" si="80"/>
        <v>1343.94</v>
      </c>
      <c r="Y2581">
        <f>VLOOKUP(D2581,'[1]Cost Sheet'!$C:$D,2,0)</f>
        <v>103.38</v>
      </c>
      <c r="Z2581" s="3">
        <f t="shared" si="81"/>
        <v>1343.94</v>
      </c>
    </row>
    <row r="2582" spans="1:26" x14ac:dyDescent="0.3">
      <c r="A2582" s="7" t="s">
        <v>21</v>
      </c>
      <c r="B2582" t="s">
        <v>1003</v>
      </c>
      <c r="C2582" t="s">
        <v>1004</v>
      </c>
      <c r="D2582" t="s">
        <v>1005</v>
      </c>
      <c r="E2582" t="s">
        <v>1006</v>
      </c>
      <c r="F2582" t="s">
        <v>26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 t="s">
        <v>47</v>
      </c>
      <c r="W2582" s="2">
        <v>103.38</v>
      </c>
      <c r="X2582" s="3">
        <f t="shared" si="80"/>
        <v>103.38</v>
      </c>
      <c r="Y2582">
        <f>VLOOKUP(D2582,'[1]Cost Sheet'!$C:$D,2,0)</f>
        <v>103.38</v>
      </c>
      <c r="Z2582" s="3">
        <f t="shared" si="81"/>
        <v>103.38</v>
      </c>
    </row>
    <row r="2583" spans="1:26" x14ac:dyDescent="0.3">
      <c r="A2583" s="7" t="s">
        <v>21</v>
      </c>
      <c r="B2583" t="s">
        <v>1003</v>
      </c>
      <c r="C2583" t="s">
        <v>1004</v>
      </c>
      <c r="D2583" t="s">
        <v>1005</v>
      </c>
      <c r="E2583" t="s">
        <v>1006</v>
      </c>
      <c r="F2583" t="s">
        <v>26</v>
      </c>
      <c r="G2583">
        <v>34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34</v>
      </c>
      <c r="T2583">
        <v>0</v>
      </c>
      <c r="U2583" t="s">
        <v>40</v>
      </c>
      <c r="W2583" s="2">
        <v>103.38</v>
      </c>
      <c r="X2583" s="3">
        <f t="shared" si="80"/>
        <v>3514.92</v>
      </c>
      <c r="Y2583">
        <f>VLOOKUP(D2583,'[1]Cost Sheet'!$C:$D,2,0)</f>
        <v>103.38</v>
      </c>
      <c r="Z2583" s="3">
        <f t="shared" si="81"/>
        <v>3514.92</v>
      </c>
    </row>
    <row r="2584" spans="1:26" x14ac:dyDescent="0.3">
      <c r="A2584" s="7" t="s">
        <v>21</v>
      </c>
      <c r="B2584" t="s">
        <v>1003</v>
      </c>
      <c r="C2584" t="s">
        <v>1004</v>
      </c>
      <c r="D2584" t="s">
        <v>1005</v>
      </c>
      <c r="E2584" t="s">
        <v>1006</v>
      </c>
      <c r="F2584" t="s">
        <v>26</v>
      </c>
      <c r="G2584">
        <v>46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46</v>
      </c>
      <c r="T2584">
        <v>0</v>
      </c>
      <c r="U2584" t="s">
        <v>120</v>
      </c>
      <c r="W2584" s="2">
        <v>103.38</v>
      </c>
      <c r="X2584" s="3">
        <f t="shared" si="80"/>
        <v>4755.4799999999996</v>
      </c>
      <c r="Y2584">
        <f>VLOOKUP(D2584,'[1]Cost Sheet'!$C:$D,2,0)</f>
        <v>103.38</v>
      </c>
      <c r="Z2584" s="3">
        <f t="shared" si="81"/>
        <v>4755.4799999999996</v>
      </c>
    </row>
    <row r="2585" spans="1:26" x14ac:dyDescent="0.3">
      <c r="A2585" s="7" t="s">
        <v>21</v>
      </c>
      <c r="B2585" t="s">
        <v>1003</v>
      </c>
      <c r="C2585" t="s">
        <v>1004</v>
      </c>
      <c r="D2585" t="s">
        <v>1005</v>
      </c>
      <c r="E2585" t="s">
        <v>1006</v>
      </c>
      <c r="F2585" t="s">
        <v>26</v>
      </c>
      <c r="G2585">
        <v>27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27</v>
      </c>
      <c r="T2585">
        <v>0</v>
      </c>
      <c r="U2585" t="s">
        <v>48</v>
      </c>
      <c r="W2585" s="2">
        <v>103.38</v>
      </c>
      <c r="X2585" s="3">
        <f t="shared" si="80"/>
        <v>2791.2599999999998</v>
      </c>
      <c r="Y2585">
        <f>VLOOKUP(D2585,'[1]Cost Sheet'!$C:$D,2,0)</f>
        <v>103.38</v>
      </c>
      <c r="Z2585" s="3">
        <f t="shared" si="81"/>
        <v>2791.2599999999998</v>
      </c>
    </row>
    <row r="2586" spans="1:26" x14ac:dyDescent="0.3">
      <c r="A2586" s="7" t="s">
        <v>21</v>
      </c>
      <c r="B2586" t="s">
        <v>1003</v>
      </c>
      <c r="C2586" t="s">
        <v>1004</v>
      </c>
      <c r="D2586" t="s">
        <v>1005</v>
      </c>
      <c r="E2586" t="s">
        <v>1006</v>
      </c>
      <c r="F2586" t="s">
        <v>26</v>
      </c>
      <c r="G2586">
        <v>12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12</v>
      </c>
      <c r="T2586">
        <v>0</v>
      </c>
      <c r="U2586" t="s">
        <v>59</v>
      </c>
      <c r="W2586" s="2">
        <v>103.38</v>
      </c>
      <c r="X2586" s="3">
        <f t="shared" si="80"/>
        <v>1240.56</v>
      </c>
      <c r="Y2586">
        <f>VLOOKUP(D2586,'[1]Cost Sheet'!$C:$D,2,0)</f>
        <v>103.38</v>
      </c>
      <c r="Z2586" s="3">
        <f t="shared" si="81"/>
        <v>1240.56</v>
      </c>
    </row>
    <row r="2587" spans="1:26" x14ac:dyDescent="0.3">
      <c r="A2587" s="7" t="s">
        <v>21</v>
      </c>
      <c r="B2587" t="s">
        <v>1007</v>
      </c>
      <c r="C2587" t="s">
        <v>1008</v>
      </c>
      <c r="D2587" t="s">
        <v>1009</v>
      </c>
      <c r="E2587" t="s">
        <v>1010</v>
      </c>
      <c r="F2587" t="s">
        <v>106</v>
      </c>
      <c r="G2587">
        <v>1</v>
      </c>
      <c r="H2587">
        <v>0</v>
      </c>
      <c r="I2587">
        <v>-1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 t="s">
        <v>32</v>
      </c>
      <c r="W2587" s="2">
        <v>64.38</v>
      </c>
      <c r="X2587" s="3">
        <f t="shared" si="80"/>
        <v>64.38</v>
      </c>
      <c r="Y2587">
        <f>VLOOKUP(D2587,'[1]Cost Sheet'!$C:$D,2,0)</f>
        <v>64.38</v>
      </c>
      <c r="Z2587" s="3">
        <f t="shared" si="81"/>
        <v>64.38</v>
      </c>
    </row>
    <row r="2588" spans="1:26" x14ac:dyDescent="0.3">
      <c r="A2588" s="7" t="s">
        <v>21</v>
      </c>
      <c r="B2588" t="s">
        <v>1007</v>
      </c>
      <c r="C2588" t="s">
        <v>1008</v>
      </c>
      <c r="D2588" t="s">
        <v>1009</v>
      </c>
      <c r="E2588" t="s">
        <v>1010</v>
      </c>
      <c r="F2588" t="s">
        <v>106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-1</v>
      </c>
      <c r="P2588">
        <v>0</v>
      </c>
      <c r="Q2588">
        <v>0</v>
      </c>
      <c r="R2588">
        <v>0</v>
      </c>
      <c r="S2588">
        <v>0</v>
      </c>
      <c r="T2588">
        <v>0</v>
      </c>
      <c r="U2588" t="s">
        <v>109</v>
      </c>
      <c r="W2588" s="2">
        <v>64.38</v>
      </c>
      <c r="X2588" s="3">
        <f t="shared" si="80"/>
        <v>0</v>
      </c>
      <c r="Y2588">
        <f>VLOOKUP(D2588,'[1]Cost Sheet'!$C:$D,2,0)</f>
        <v>64.38</v>
      </c>
      <c r="Z2588" s="3">
        <f t="shared" si="81"/>
        <v>0</v>
      </c>
    </row>
    <row r="2589" spans="1:26" x14ac:dyDescent="0.3">
      <c r="A2589" s="7" t="s">
        <v>21</v>
      </c>
      <c r="B2589" t="s">
        <v>1007</v>
      </c>
      <c r="C2589" t="s">
        <v>1008</v>
      </c>
      <c r="D2589" t="s">
        <v>1009</v>
      </c>
      <c r="E2589" t="s">
        <v>1010</v>
      </c>
      <c r="F2589" t="s">
        <v>106</v>
      </c>
      <c r="G2589">
        <v>25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25</v>
      </c>
      <c r="T2589">
        <v>0</v>
      </c>
      <c r="U2589" t="s">
        <v>33</v>
      </c>
      <c r="W2589" s="2">
        <v>64.38</v>
      </c>
      <c r="X2589" s="3">
        <f t="shared" si="80"/>
        <v>1609.5</v>
      </c>
      <c r="Y2589">
        <f>VLOOKUP(D2589,'[1]Cost Sheet'!$C:$D,2,0)</f>
        <v>64.38</v>
      </c>
      <c r="Z2589" s="3">
        <f t="shared" si="81"/>
        <v>1609.5</v>
      </c>
    </row>
    <row r="2590" spans="1:26" x14ac:dyDescent="0.3">
      <c r="A2590" s="7" t="s">
        <v>21</v>
      </c>
      <c r="B2590" t="s">
        <v>1007</v>
      </c>
      <c r="C2590" t="s">
        <v>1008</v>
      </c>
      <c r="D2590" t="s">
        <v>1009</v>
      </c>
      <c r="E2590" t="s">
        <v>1010</v>
      </c>
      <c r="F2590" t="s">
        <v>106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 t="s">
        <v>47</v>
      </c>
      <c r="W2590" s="2">
        <v>64.38</v>
      </c>
      <c r="X2590" s="3">
        <f t="shared" si="80"/>
        <v>64.38</v>
      </c>
      <c r="Y2590">
        <f>VLOOKUP(D2590,'[1]Cost Sheet'!$C:$D,2,0)</f>
        <v>64.38</v>
      </c>
      <c r="Z2590" s="3">
        <f t="shared" si="81"/>
        <v>64.38</v>
      </c>
    </row>
    <row r="2591" spans="1:26" x14ac:dyDescent="0.3">
      <c r="A2591" s="7" t="s">
        <v>21</v>
      </c>
      <c r="B2591" t="s">
        <v>1007</v>
      </c>
      <c r="C2591" t="s">
        <v>1008</v>
      </c>
      <c r="D2591" t="s">
        <v>1009</v>
      </c>
      <c r="E2591" t="s">
        <v>1010</v>
      </c>
      <c r="F2591" t="s">
        <v>26</v>
      </c>
      <c r="G2591">
        <v>31</v>
      </c>
      <c r="H2591">
        <v>0</v>
      </c>
      <c r="I2591">
        <v>0</v>
      </c>
      <c r="J2591">
        <v>-15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16</v>
      </c>
      <c r="T2591">
        <v>0</v>
      </c>
      <c r="U2591" t="s">
        <v>38</v>
      </c>
      <c r="W2591" s="2">
        <v>64.38</v>
      </c>
      <c r="X2591" s="3">
        <f t="shared" si="80"/>
        <v>1030.08</v>
      </c>
      <c r="Y2591">
        <f>VLOOKUP(D2591,'[1]Cost Sheet'!$C:$D,2,0)</f>
        <v>64.38</v>
      </c>
      <c r="Z2591" s="3">
        <f t="shared" si="81"/>
        <v>1030.08</v>
      </c>
    </row>
    <row r="2592" spans="1:26" x14ac:dyDescent="0.3">
      <c r="A2592" s="7" t="s">
        <v>21</v>
      </c>
      <c r="B2592" t="s">
        <v>1007</v>
      </c>
      <c r="C2592" t="s">
        <v>1008</v>
      </c>
      <c r="D2592" t="s">
        <v>1009</v>
      </c>
      <c r="E2592" t="s">
        <v>1010</v>
      </c>
      <c r="F2592" t="s">
        <v>26</v>
      </c>
      <c r="G2592">
        <v>18</v>
      </c>
      <c r="H2592">
        <v>0</v>
      </c>
      <c r="I2592">
        <v>0</v>
      </c>
      <c r="J2592">
        <v>-6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12</v>
      </c>
      <c r="T2592">
        <v>0</v>
      </c>
      <c r="U2592" t="s">
        <v>107</v>
      </c>
      <c r="W2592" s="2">
        <v>64.38</v>
      </c>
      <c r="X2592" s="3">
        <f t="shared" si="80"/>
        <v>772.56</v>
      </c>
      <c r="Y2592">
        <f>VLOOKUP(D2592,'[1]Cost Sheet'!$C:$D,2,0)</f>
        <v>64.38</v>
      </c>
      <c r="Z2592" s="3">
        <f t="shared" si="81"/>
        <v>772.56</v>
      </c>
    </row>
    <row r="2593" spans="1:26" x14ac:dyDescent="0.3">
      <c r="A2593" s="7" t="s">
        <v>21</v>
      </c>
      <c r="B2593" t="s">
        <v>1007</v>
      </c>
      <c r="C2593" t="s">
        <v>1008</v>
      </c>
      <c r="D2593" t="s">
        <v>1009</v>
      </c>
      <c r="E2593" t="s">
        <v>1010</v>
      </c>
      <c r="F2593" t="s">
        <v>26</v>
      </c>
      <c r="G2593">
        <v>3</v>
      </c>
      <c r="H2593">
        <v>1</v>
      </c>
      <c r="I2593">
        <v>0</v>
      </c>
      <c r="J2593">
        <v>-14</v>
      </c>
      <c r="K2593">
        <v>3</v>
      </c>
      <c r="L2593">
        <v>0</v>
      </c>
      <c r="M2593">
        <v>67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59</v>
      </c>
      <c r="T2593">
        <v>0</v>
      </c>
      <c r="U2593" t="s">
        <v>45</v>
      </c>
      <c r="W2593" s="2">
        <v>64.38</v>
      </c>
      <c r="X2593" s="3">
        <f t="shared" si="80"/>
        <v>3798.4199999999996</v>
      </c>
      <c r="Y2593">
        <f>VLOOKUP(D2593,'[1]Cost Sheet'!$C:$D,2,0)</f>
        <v>64.38</v>
      </c>
      <c r="Z2593" s="3">
        <f t="shared" si="81"/>
        <v>3798.4199999999996</v>
      </c>
    </row>
    <row r="2594" spans="1:26" x14ac:dyDescent="0.3">
      <c r="A2594" s="7" t="s">
        <v>21</v>
      </c>
      <c r="B2594" t="s">
        <v>1007</v>
      </c>
      <c r="C2594" t="s">
        <v>1008</v>
      </c>
      <c r="D2594" t="s">
        <v>1009</v>
      </c>
      <c r="E2594" t="s">
        <v>1010</v>
      </c>
      <c r="F2594" t="s">
        <v>26</v>
      </c>
      <c r="G2594">
        <v>2</v>
      </c>
      <c r="H2594">
        <v>6</v>
      </c>
      <c r="I2594">
        <v>0</v>
      </c>
      <c r="J2594">
        <v>0</v>
      </c>
      <c r="K2594">
        <v>7</v>
      </c>
      <c r="L2594">
        <v>0</v>
      </c>
      <c r="M2594">
        <v>-7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2</v>
      </c>
      <c r="T2594">
        <v>0</v>
      </c>
      <c r="U2594" t="s">
        <v>108</v>
      </c>
      <c r="W2594" s="2">
        <v>64.38</v>
      </c>
      <c r="X2594" s="3">
        <f t="shared" si="80"/>
        <v>128.76</v>
      </c>
      <c r="Y2594">
        <f>VLOOKUP(D2594,'[1]Cost Sheet'!$C:$D,2,0)</f>
        <v>64.38</v>
      </c>
      <c r="Z2594" s="3">
        <f t="shared" si="81"/>
        <v>128.76</v>
      </c>
    </row>
    <row r="2595" spans="1:26" x14ac:dyDescent="0.3">
      <c r="A2595" s="7" t="s">
        <v>21</v>
      </c>
      <c r="B2595" t="s">
        <v>1007</v>
      </c>
      <c r="C2595" t="s">
        <v>1008</v>
      </c>
      <c r="D2595" t="s">
        <v>1009</v>
      </c>
      <c r="E2595" t="s">
        <v>1010</v>
      </c>
      <c r="F2595" t="s">
        <v>26</v>
      </c>
      <c r="G2595">
        <v>275</v>
      </c>
      <c r="H2595">
        <v>0</v>
      </c>
      <c r="I2595">
        <v>0</v>
      </c>
      <c r="J2595">
        <v>-23</v>
      </c>
      <c r="K2595">
        <v>0</v>
      </c>
      <c r="L2595">
        <v>0</v>
      </c>
      <c r="M2595">
        <v>12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264</v>
      </c>
      <c r="T2595">
        <v>0</v>
      </c>
      <c r="U2595" t="s">
        <v>39</v>
      </c>
      <c r="W2595" s="2">
        <v>64.38</v>
      </c>
      <c r="X2595" s="3">
        <f t="shared" si="80"/>
        <v>16996.32</v>
      </c>
      <c r="Y2595">
        <f>VLOOKUP(D2595,'[1]Cost Sheet'!$C:$D,2,0)</f>
        <v>64.38</v>
      </c>
      <c r="Z2595" s="3">
        <f t="shared" si="81"/>
        <v>16996.32</v>
      </c>
    </row>
    <row r="2596" spans="1:26" x14ac:dyDescent="0.3">
      <c r="A2596" s="7" t="s">
        <v>21</v>
      </c>
      <c r="B2596" t="s">
        <v>1007</v>
      </c>
      <c r="C2596" t="s">
        <v>1008</v>
      </c>
      <c r="D2596" t="s">
        <v>1009</v>
      </c>
      <c r="E2596" t="s">
        <v>1010</v>
      </c>
      <c r="F2596" t="s">
        <v>26</v>
      </c>
      <c r="G2596">
        <v>7</v>
      </c>
      <c r="H2596">
        <v>0</v>
      </c>
      <c r="I2596">
        <v>0</v>
      </c>
      <c r="J2596">
        <v>-6</v>
      </c>
      <c r="K2596">
        <v>0</v>
      </c>
      <c r="L2596">
        <v>0</v>
      </c>
      <c r="M2596">
        <v>61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62</v>
      </c>
      <c r="T2596">
        <v>0</v>
      </c>
      <c r="U2596" t="s">
        <v>53</v>
      </c>
      <c r="W2596" s="2">
        <v>64.38</v>
      </c>
      <c r="X2596" s="3">
        <f t="shared" si="80"/>
        <v>3991.5599999999995</v>
      </c>
      <c r="Y2596">
        <f>VLOOKUP(D2596,'[1]Cost Sheet'!$C:$D,2,0)</f>
        <v>64.38</v>
      </c>
      <c r="Z2596" s="3">
        <f t="shared" si="81"/>
        <v>3991.5599999999995</v>
      </c>
    </row>
    <row r="2597" spans="1:26" x14ac:dyDescent="0.3">
      <c r="A2597" s="7" t="s">
        <v>21</v>
      </c>
      <c r="B2597" t="s">
        <v>1007</v>
      </c>
      <c r="C2597" t="s">
        <v>1008</v>
      </c>
      <c r="D2597" t="s">
        <v>1009</v>
      </c>
      <c r="E2597" t="s">
        <v>1010</v>
      </c>
      <c r="F2597" t="s">
        <v>26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 t="s">
        <v>54</v>
      </c>
      <c r="W2597" s="2">
        <v>64.38</v>
      </c>
      <c r="X2597" s="3">
        <f t="shared" si="80"/>
        <v>64.38</v>
      </c>
      <c r="Y2597">
        <f>VLOOKUP(D2597,'[1]Cost Sheet'!$C:$D,2,0)</f>
        <v>64.38</v>
      </c>
      <c r="Z2597" s="3">
        <f t="shared" si="81"/>
        <v>64.38</v>
      </c>
    </row>
    <row r="2598" spans="1:26" x14ac:dyDescent="0.3">
      <c r="A2598" s="7" t="s">
        <v>21</v>
      </c>
      <c r="B2598" t="s">
        <v>1007</v>
      </c>
      <c r="C2598" t="s">
        <v>1008</v>
      </c>
      <c r="D2598" t="s">
        <v>1009</v>
      </c>
      <c r="E2598" t="s">
        <v>1010</v>
      </c>
      <c r="F2598" t="s">
        <v>26</v>
      </c>
      <c r="G2598">
        <v>105</v>
      </c>
      <c r="H2598">
        <v>776</v>
      </c>
      <c r="I2598">
        <v>0</v>
      </c>
      <c r="J2598">
        <v>0</v>
      </c>
      <c r="K2598">
        <v>0</v>
      </c>
      <c r="L2598">
        <v>0</v>
      </c>
      <c r="M2598">
        <v>-95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10</v>
      </c>
      <c r="T2598">
        <v>0</v>
      </c>
      <c r="U2598" t="s">
        <v>152</v>
      </c>
      <c r="W2598" s="2">
        <v>64.38</v>
      </c>
      <c r="X2598" s="3">
        <f t="shared" si="80"/>
        <v>643.79999999999995</v>
      </c>
      <c r="Y2598">
        <f>VLOOKUP(D2598,'[1]Cost Sheet'!$C:$D,2,0)</f>
        <v>64.38</v>
      </c>
      <c r="Z2598" s="3">
        <f t="shared" si="81"/>
        <v>643.79999999999995</v>
      </c>
    </row>
    <row r="2599" spans="1:26" x14ac:dyDescent="0.3">
      <c r="A2599" s="7" t="s">
        <v>21</v>
      </c>
      <c r="B2599" t="s">
        <v>1007</v>
      </c>
      <c r="C2599" t="s">
        <v>1008</v>
      </c>
      <c r="D2599" t="s">
        <v>1009</v>
      </c>
      <c r="E2599" t="s">
        <v>1010</v>
      </c>
      <c r="F2599" t="s">
        <v>26</v>
      </c>
      <c r="G2599">
        <v>1096</v>
      </c>
      <c r="H2599">
        <v>0</v>
      </c>
      <c r="I2599">
        <v>0</v>
      </c>
      <c r="J2599">
        <v>-27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1070</v>
      </c>
      <c r="T2599">
        <v>0</v>
      </c>
      <c r="U2599" t="s">
        <v>32</v>
      </c>
      <c r="W2599" s="2">
        <v>64.38</v>
      </c>
      <c r="X2599" s="3">
        <f t="shared" si="80"/>
        <v>68886.599999999991</v>
      </c>
      <c r="Y2599">
        <f>VLOOKUP(D2599,'[1]Cost Sheet'!$C:$D,2,0)</f>
        <v>64.38</v>
      </c>
      <c r="Z2599" s="3">
        <f t="shared" si="81"/>
        <v>68886.599999999991</v>
      </c>
    </row>
    <row r="2600" spans="1:26" x14ac:dyDescent="0.3">
      <c r="A2600" s="7" t="s">
        <v>21</v>
      </c>
      <c r="B2600" t="s">
        <v>1007</v>
      </c>
      <c r="C2600" t="s">
        <v>1008</v>
      </c>
      <c r="D2600" t="s">
        <v>1009</v>
      </c>
      <c r="E2600" t="s">
        <v>1010</v>
      </c>
      <c r="F2600" t="s">
        <v>26</v>
      </c>
      <c r="G2600">
        <v>5</v>
      </c>
      <c r="H2600">
        <v>7</v>
      </c>
      <c r="I2600">
        <v>0</v>
      </c>
      <c r="J2600">
        <v>0</v>
      </c>
      <c r="K2600">
        <v>4</v>
      </c>
      <c r="L2600">
        <v>0</v>
      </c>
      <c r="M2600">
        <v>-7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2</v>
      </c>
      <c r="T2600">
        <v>0</v>
      </c>
      <c r="U2600" t="s">
        <v>88</v>
      </c>
      <c r="W2600" s="2">
        <v>64.38</v>
      </c>
      <c r="X2600" s="3">
        <f t="shared" si="80"/>
        <v>128.76</v>
      </c>
      <c r="Y2600">
        <f>VLOOKUP(D2600,'[1]Cost Sheet'!$C:$D,2,0)</f>
        <v>64.38</v>
      </c>
      <c r="Z2600" s="3">
        <f t="shared" si="81"/>
        <v>128.76</v>
      </c>
    </row>
    <row r="2601" spans="1:26" x14ac:dyDescent="0.3">
      <c r="A2601" s="7" t="s">
        <v>21</v>
      </c>
      <c r="B2601" t="s">
        <v>1007</v>
      </c>
      <c r="C2601" t="s">
        <v>1008</v>
      </c>
      <c r="D2601" t="s">
        <v>1009</v>
      </c>
      <c r="E2601" t="s">
        <v>1010</v>
      </c>
      <c r="F2601" t="s">
        <v>26</v>
      </c>
      <c r="G2601">
        <v>31</v>
      </c>
      <c r="H2601">
        <v>0</v>
      </c>
      <c r="I2601">
        <v>0</v>
      </c>
      <c r="J2601">
        <v>-13</v>
      </c>
      <c r="K2601">
        <v>0</v>
      </c>
      <c r="L2601">
        <v>0</v>
      </c>
      <c r="M2601">
        <v>14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32</v>
      </c>
      <c r="T2601">
        <v>0</v>
      </c>
      <c r="U2601" t="s">
        <v>33</v>
      </c>
      <c r="W2601" s="2">
        <v>64.38</v>
      </c>
      <c r="X2601" s="3">
        <f t="shared" si="80"/>
        <v>2060.16</v>
      </c>
      <c r="Y2601">
        <f>VLOOKUP(D2601,'[1]Cost Sheet'!$C:$D,2,0)</f>
        <v>64.38</v>
      </c>
      <c r="Z2601" s="3">
        <f t="shared" si="81"/>
        <v>2060.16</v>
      </c>
    </row>
    <row r="2602" spans="1:26" x14ac:dyDescent="0.3">
      <c r="A2602" s="7" t="s">
        <v>21</v>
      </c>
      <c r="B2602" t="s">
        <v>1007</v>
      </c>
      <c r="C2602" t="s">
        <v>1008</v>
      </c>
      <c r="D2602" t="s">
        <v>1009</v>
      </c>
      <c r="E2602" t="s">
        <v>1010</v>
      </c>
      <c r="F2602" t="s">
        <v>26</v>
      </c>
      <c r="G2602">
        <v>13</v>
      </c>
      <c r="H2602">
        <v>0</v>
      </c>
      <c r="I2602">
        <v>0</v>
      </c>
      <c r="J2602">
        <v>-5</v>
      </c>
      <c r="K2602">
        <v>0</v>
      </c>
      <c r="L2602">
        <v>0</v>
      </c>
      <c r="M2602">
        <v>56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64</v>
      </c>
      <c r="T2602">
        <v>0</v>
      </c>
      <c r="U2602" t="s">
        <v>46</v>
      </c>
      <c r="W2602" s="2">
        <v>64.38</v>
      </c>
      <c r="X2602" s="3">
        <f t="shared" si="80"/>
        <v>4120.32</v>
      </c>
      <c r="Y2602">
        <f>VLOOKUP(D2602,'[1]Cost Sheet'!$C:$D,2,0)</f>
        <v>64.38</v>
      </c>
      <c r="Z2602" s="3">
        <f t="shared" si="81"/>
        <v>4120.32</v>
      </c>
    </row>
    <row r="2603" spans="1:26" x14ac:dyDescent="0.3">
      <c r="A2603" s="7" t="s">
        <v>21</v>
      </c>
      <c r="B2603" t="s">
        <v>1007</v>
      </c>
      <c r="C2603" t="s">
        <v>1008</v>
      </c>
      <c r="D2603" t="s">
        <v>1009</v>
      </c>
      <c r="E2603" t="s">
        <v>1010</v>
      </c>
      <c r="F2603" t="s">
        <v>26</v>
      </c>
      <c r="G2603">
        <v>1</v>
      </c>
      <c r="H2603">
        <v>0</v>
      </c>
      <c r="I2603">
        <v>0</v>
      </c>
      <c r="J2603">
        <v>-1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s">
        <v>111</v>
      </c>
      <c r="W2603" s="2">
        <v>64.38</v>
      </c>
      <c r="X2603" s="3">
        <f t="shared" si="80"/>
        <v>0</v>
      </c>
      <c r="Y2603">
        <f>VLOOKUP(D2603,'[1]Cost Sheet'!$C:$D,2,0)</f>
        <v>64.38</v>
      </c>
      <c r="Z2603" s="3">
        <f t="shared" si="81"/>
        <v>0</v>
      </c>
    </row>
    <row r="2604" spans="1:26" x14ac:dyDescent="0.3">
      <c r="A2604" s="7" t="s">
        <v>21</v>
      </c>
      <c r="B2604" t="s">
        <v>1007</v>
      </c>
      <c r="C2604" t="s">
        <v>1008</v>
      </c>
      <c r="D2604" t="s">
        <v>1009</v>
      </c>
      <c r="E2604" t="s">
        <v>1010</v>
      </c>
      <c r="F2604" t="s">
        <v>26</v>
      </c>
      <c r="G2604">
        <v>48</v>
      </c>
      <c r="H2604">
        <v>0</v>
      </c>
      <c r="I2604">
        <v>0</v>
      </c>
      <c r="J2604">
        <v>-22</v>
      </c>
      <c r="K2604">
        <v>0</v>
      </c>
      <c r="L2604">
        <v>0</v>
      </c>
      <c r="M2604">
        <v>-3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23</v>
      </c>
      <c r="T2604">
        <v>0</v>
      </c>
      <c r="U2604" t="s">
        <v>47</v>
      </c>
      <c r="W2604" s="2">
        <v>64.38</v>
      </c>
      <c r="X2604" s="3">
        <f t="shared" si="80"/>
        <v>1480.7399999999998</v>
      </c>
      <c r="Y2604">
        <f>VLOOKUP(D2604,'[1]Cost Sheet'!$C:$D,2,0)</f>
        <v>64.38</v>
      </c>
      <c r="Z2604" s="3">
        <f t="shared" si="81"/>
        <v>1480.7399999999998</v>
      </c>
    </row>
    <row r="2605" spans="1:26" x14ac:dyDescent="0.3">
      <c r="A2605" s="7" t="s">
        <v>21</v>
      </c>
      <c r="B2605" t="s">
        <v>1007</v>
      </c>
      <c r="C2605" t="s">
        <v>1008</v>
      </c>
      <c r="D2605" t="s">
        <v>1009</v>
      </c>
      <c r="E2605" t="s">
        <v>1010</v>
      </c>
      <c r="F2605" t="s">
        <v>26</v>
      </c>
      <c r="G2605">
        <v>8</v>
      </c>
      <c r="H2605">
        <v>0</v>
      </c>
      <c r="I2605">
        <v>0</v>
      </c>
      <c r="J2605">
        <v>-7</v>
      </c>
      <c r="K2605">
        <v>0</v>
      </c>
      <c r="L2605">
        <v>0</v>
      </c>
      <c r="M2605">
        <v>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4</v>
      </c>
      <c r="T2605">
        <v>0</v>
      </c>
      <c r="U2605" t="s">
        <v>40</v>
      </c>
      <c r="W2605" s="2">
        <v>64.38</v>
      </c>
      <c r="X2605" s="3">
        <f t="shared" si="80"/>
        <v>257.52</v>
      </c>
      <c r="Y2605">
        <f>VLOOKUP(D2605,'[1]Cost Sheet'!$C:$D,2,0)</f>
        <v>64.38</v>
      </c>
      <c r="Z2605" s="3">
        <f t="shared" si="81"/>
        <v>257.52</v>
      </c>
    </row>
    <row r="2606" spans="1:26" x14ac:dyDescent="0.3">
      <c r="A2606" s="7" t="s">
        <v>21</v>
      </c>
      <c r="B2606" t="s">
        <v>1007</v>
      </c>
      <c r="C2606" t="s">
        <v>1008</v>
      </c>
      <c r="D2606" t="s">
        <v>1009</v>
      </c>
      <c r="E2606" t="s">
        <v>1010</v>
      </c>
      <c r="F2606" t="s">
        <v>26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 t="s">
        <v>112</v>
      </c>
      <c r="W2606" s="2">
        <v>64.38</v>
      </c>
      <c r="X2606" s="3">
        <f t="shared" si="80"/>
        <v>64.38</v>
      </c>
      <c r="Y2606">
        <f>VLOOKUP(D2606,'[1]Cost Sheet'!$C:$D,2,0)</f>
        <v>64.38</v>
      </c>
      <c r="Z2606" s="3">
        <f t="shared" si="81"/>
        <v>64.38</v>
      </c>
    </row>
    <row r="2607" spans="1:26" x14ac:dyDescent="0.3">
      <c r="A2607" s="7" t="s">
        <v>21</v>
      </c>
      <c r="B2607" t="s">
        <v>1007</v>
      </c>
      <c r="C2607" t="s">
        <v>1008</v>
      </c>
      <c r="D2607" t="s">
        <v>1009</v>
      </c>
      <c r="E2607" t="s">
        <v>1010</v>
      </c>
      <c r="F2607" t="s">
        <v>26</v>
      </c>
      <c r="G2607">
        <v>114</v>
      </c>
      <c r="H2607">
        <v>0</v>
      </c>
      <c r="I2607">
        <v>0</v>
      </c>
      <c r="J2607">
        <v>-14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101</v>
      </c>
      <c r="T2607">
        <v>0</v>
      </c>
      <c r="U2607" t="s">
        <v>113</v>
      </c>
      <c r="W2607" s="2">
        <v>64.38</v>
      </c>
      <c r="X2607" s="3">
        <f t="shared" si="80"/>
        <v>6502.3799999999992</v>
      </c>
      <c r="Y2607">
        <f>VLOOKUP(D2607,'[1]Cost Sheet'!$C:$D,2,0)</f>
        <v>64.38</v>
      </c>
      <c r="Z2607" s="3">
        <f t="shared" si="81"/>
        <v>6502.3799999999992</v>
      </c>
    </row>
    <row r="2608" spans="1:26" x14ac:dyDescent="0.3">
      <c r="A2608" s="7" t="s">
        <v>21</v>
      </c>
      <c r="B2608" t="s">
        <v>1007</v>
      </c>
      <c r="C2608" t="s">
        <v>1008</v>
      </c>
      <c r="D2608" t="s">
        <v>1009</v>
      </c>
      <c r="E2608" t="s">
        <v>1010</v>
      </c>
      <c r="F2608" t="s">
        <v>26</v>
      </c>
      <c r="G2608">
        <v>82</v>
      </c>
      <c r="H2608">
        <v>0</v>
      </c>
      <c r="I2608">
        <v>0</v>
      </c>
      <c r="J2608">
        <v>-21</v>
      </c>
      <c r="K2608">
        <v>0</v>
      </c>
      <c r="L2608">
        <v>0</v>
      </c>
      <c r="M2608">
        <v>122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183</v>
      </c>
      <c r="T2608">
        <v>0</v>
      </c>
      <c r="U2608" t="s">
        <v>48</v>
      </c>
      <c r="W2608" s="2">
        <v>64.38</v>
      </c>
      <c r="X2608" s="3">
        <f t="shared" si="80"/>
        <v>11781.539999999999</v>
      </c>
      <c r="Y2608">
        <f>VLOOKUP(D2608,'[1]Cost Sheet'!$C:$D,2,0)</f>
        <v>64.38</v>
      </c>
      <c r="Z2608" s="3">
        <f t="shared" si="81"/>
        <v>11781.539999999999</v>
      </c>
    </row>
    <row r="2609" spans="1:26" x14ac:dyDescent="0.3">
      <c r="A2609" s="7" t="s">
        <v>21</v>
      </c>
      <c r="B2609" t="s">
        <v>1007</v>
      </c>
      <c r="C2609" t="s">
        <v>1008</v>
      </c>
      <c r="D2609" t="s">
        <v>1009</v>
      </c>
      <c r="E2609" t="s">
        <v>1010</v>
      </c>
      <c r="F2609" t="s">
        <v>26</v>
      </c>
      <c r="G2609">
        <v>2</v>
      </c>
      <c r="H2609">
        <v>0</v>
      </c>
      <c r="I2609">
        <v>0</v>
      </c>
      <c r="J2609">
        <v>-1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 t="s">
        <v>59</v>
      </c>
      <c r="W2609" s="2">
        <v>64.38</v>
      </c>
      <c r="X2609" s="3">
        <f t="shared" si="80"/>
        <v>64.38</v>
      </c>
      <c r="Y2609">
        <f>VLOOKUP(D2609,'[1]Cost Sheet'!$C:$D,2,0)</f>
        <v>64.38</v>
      </c>
      <c r="Z2609" s="3">
        <f t="shared" si="81"/>
        <v>64.38</v>
      </c>
    </row>
    <row r="2610" spans="1:26" x14ac:dyDescent="0.3">
      <c r="A2610" s="7" t="s">
        <v>21</v>
      </c>
      <c r="B2610" t="s">
        <v>1007</v>
      </c>
      <c r="C2610" t="s">
        <v>1008</v>
      </c>
      <c r="D2610" t="s">
        <v>1009</v>
      </c>
      <c r="E2610" t="s">
        <v>1010</v>
      </c>
      <c r="F2610" t="s">
        <v>26</v>
      </c>
      <c r="G2610">
        <v>55</v>
      </c>
      <c r="H2610">
        <v>0</v>
      </c>
      <c r="I2610">
        <v>0</v>
      </c>
      <c r="J2610">
        <v>-23</v>
      </c>
      <c r="K2610">
        <v>0</v>
      </c>
      <c r="L2610">
        <v>0</v>
      </c>
      <c r="M2610">
        <v>-4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29</v>
      </c>
      <c r="T2610">
        <v>1</v>
      </c>
      <c r="U2610" t="s">
        <v>27</v>
      </c>
      <c r="W2610" s="2">
        <v>64.38</v>
      </c>
      <c r="X2610" s="3">
        <f t="shared" si="80"/>
        <v>1867.02</v>
      </c>
      <c r="Y2610">
        <f>VLOOKUP(D2610,'[1]Cost Sheet'!$C:$D,2,0)</f>
        <v>64.38</v>
      </c>
      <c r="Z2610" s="3">
        <f t="shared" si="81"/>
        <v>1867.02</v>
      </c>
    </row>
    <row r="2611" spans="1:26" x14ac:dyDescent="0.3">
      <c r="A2611" s="7" t="s">
        <v>21</v>
      </c>
      <c r="B2611" t="s">
        <v>1007</v>
      </c>
      <c r="C2611" t="s">
        <v>1008</v>
      </c>
      <c r="D2611" t="s">
        <v>1009</v>
      </c>
      <c r="E2611" t="s">
        <v>1010</v>
      </c>
      <c r="F2611" t="s">
        <v>114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 t="s">
        <v>32</v>
      </c>
      <c r="W2611" s="2">
        <v>64.38</v>
      </c>
      <c r="X2611" s="3">
        <f t="shared" si="80"/>
        <v>64.38</v>
      </c>
      <c r="Y2611">
        <f>VLOOKUP(D2611,'[1]Cost Sheet'!$C:$D,2,0)</f>
        <v>64.38</v>
      </c>
      <c r="Z2611" s="3">
        <f t="shared" si="81"/>
        <v>64.38</v>
      </c>
    </row>
    <row r="2612" spans="1:26" x14ac:dyDescent="0.3">
      <c r="A2612" s="7" t="s">
        <v>21</v>
      </c>
      <c r="B2612" t="s">
        <v>1007</v>
      </c>
      <c r="C2612" t="s">
        <v>1008</v>
      </c>
      <c r="D2612" t="s">
        <v>1009</v>
      </c>
      <c r="E2612" t="s">
        <v>1010</v>
      </c>
      <c r="F2612" t="s">
        <v>114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 t="s">
        <v>88</v>
      </c>
      <c r="W2612" s="2">
        <v>64.38</v>
      </c>
      <c r="X2612" s="3">
        <f t="shared" si="80"/>
        <v>64.38</v>
      </c>
      <c r="Y2612">
        <f>VLOOKUP(D2612,'[1]Cost Sheet'!$C:$D,2,0)</f>
        <v>64.38</v>
      </c>
      <c r="Z2612" s="3">
        <f t="shared" si="81"/>
        <v>64.38</v>
      </c>
    </row>
    <row r="2613" spans="1:26" x14ac:dyDescent="0.3">
      <c r="A2613" s="7" t="s">
        <v>21</v>
      </c>
      <c r="B2613" t="s">
        <v>1007</v>
      </c>
      <c r="C2613" t="s">
        <v>1008</v>
      </c>
      <c r="D2613" t="s">
        <v>1009</v>
      </c>
      <c r="E2613" t="s">
        <v>1010</v>
      </c>
      <c r="F2613" t="s">
        <v>114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 t="s">
        <v>27</v>
      </c>
      <c r="W2613" s="2">
        <v>64.38</v>
      </c>
      <c r="X2613" s="3">
        <f t="shared" si="80"/>
        <v>64.38</v>
      </c>
      <c r="Y2613">
        <f>VLOOKUP(D2613,'[1]Cost Sheet'!$C:$D,2,0)</f>
        <v>64.38</v>
      </c>
      <c r="Z2613" s="3">
        <f t="shared" si="81"/>
        <v>64.38</v>
      </c>
    </row>
    <row r="2614" spans="1:26" x14ac:dyDescent="0.3">
      <c r="A2614" s="7" t="s">
        <v>21</v>
      </c>
      <c r="B2614" t="s">
        <v>1011</v>
      </c>
      <c r="C2614" t="s">
        <v>1012</v>
      </c>
      <c r="D2614" t="s">
        <v>1013</v>
      </c>
      <c r="E2614" t="s">
        <v>1014</v>
      </c>
      <c r="F2614" t="s">
        <v>106</v>
      </c>
      <c r="G2614">
        <v>63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63</v>
      </c>
      <c r="T2614">
        <v>0</v>
      </c>
      <c r="U2614" t="s">
        <v>46</v>
      </c>
      <c r="W2614" s="2">
        <v>40.33</v>
      </c>
      <c r="X2614" s="3">
        <f t="shared" si="80"/>
        <v>2540.79</v>
      </c>
      <c r="Y2614">
        <f>VLOOKUP(D2614,'[1]Cost Sheet'!$C:$D,2,0)</f>
        <v>40.33</v>
      </c>
      <c r="Z2614" s="3">
        <f t="shared" si="81"/>
        <v>2540.79</v>
      </c>
    </row>
    <row r="2615" spans="1:26" x14ac:dyDescent="0.3">
      <c r="A2615" s="7" t="s">
        <v>21</v>
      </c>
      <c r="B2615" t="s">
        <v>1011</v>
      </c>
      <c r="C2615" t="s">
        <v>1012</v>
      </c>
      <c r="D2615" t="s">
        <v>1013</v>
      </c>
      <c r="E2615" t="s">
        <v>1014</v>
      </c>
      <c r="F2615" t="s">
        <v>26</v>
      </c>
      <c r="G2615">
        <v>36</v>
      </c>
      <c r="H2615">
        <v>0</v>
      </c>
      <c r="I2615">
        <v>0</v>
      </c>
      <c r="J2615">
        <v>-2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34</v>
      </c>
      <c r="T2615">
        <v>0</v>
      </c>
      <c r="U2615" t="s">
        <v>38</v>
      </c>
      <c r="W2615" s="2">
        <v>40.33</v>
      </c>
      <c r="X2615" s="3">
        <f t="shared" si="80"/>
        <v>1371.22</v>
      </c>
      <c r="Y2615">
        <f>VLOOKUP(D2615,'[1]Cost Sheet'!$C:$D,2,0)</f>
        <v>40.33</v>
      </c>
      <c r="Z2615" s="3">
        <f t="shared" si="81"/>
        <v>1371.22</v>
      </c>
    </row>
    <row r="2616" spans="1:26" x14ac:dyDescent="0.3">
      <c r="A2616" s="7" t="s">
        <v>21</v>
      </c>
      <c r="B2616" t="s">
        <v>1011</v>
      </c>
      <c r="C2616" t="s">
        <v>1012</v>
      </c>
      <c r="D2616" t="s">
        <v>1013</v>
      </c>
      <c r="E2616" t="s">
        <v>1014</v>
      </c>
      <c r="F2616" t="s">
        <v>26</v>
      </c>
      <c r="G2616">
        <v>36</v>
      </c>
      <c r="H2616">
        <v>0</v>
      </c>
      <c r="I2616">
        <v>0</v>
      </c>
      <c r="J2616">
        <v>-1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35</v>
      </c>
      <c r="T2616">
        <v>0</v>
      </c>
      <c r="U2616" t="s">
        <v>107</v>
      </c>
      <c r="W2616" s="2">
        <v>40.33</v>
      </c>
      <c r="X2616" s="3">
        <f t="shared" si="80"/>
        <v>1411.55</v>
      </c>
      <c r="Y2616">
        <f>VLOOKUP(D2616,'[1]Cost Sheet'!$C:$D,2,0)</f>
        <v>40.33</v>
      </c>
      <c r="Z2616" s="3">
        <f t="shared" si="81"/>
        <v>1411.55</v>
      </c>
    </row>
    <row r="2617" spans="1:26" x14ac:dyDescent="0.3">
      <c r="A2617" s="7" t="s">
        <v>21</v>
      </c>
      <c r="B2617" t="s">
        <v>1011</v>
      </c>
      <c r="C2617" t="s">
        <v>1012</v>
      </c>
      <c r="D2617" t="s">
        <v>1013</v>
      </c>
      <c r="E2617" t="s">
        <v>1014</v>
      </c>
      <c r="F2617" t="s">
        <v>26</v>
      </c>
      <c r="G2617">
        <v>1</v>
      </c>
      <c r="H2617">
        <v>1</v>
      </c>
      <c r="I2617">
        <v>0</v>
      </c>
      <c r="J2617">
        <v>0</v>
      </c>
      <c r="K2617">
        <v>1</v>
      </c>
      <c r="L2617">
        <v>0</v>
      </c>
      <c r="M2617">
        <v>-1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 t="s">
        <v>151</v>
      </c>
      <c r="W2617" s="2">
        <v>40.33</v>
      </c>
      <c r="X2617" s="3">
        <f t="shared" si="80"/>
        <v>40.33</v>
      </c>
      <c r="Y2617">
        <f>VLOOKUP(D2617,'[1]Cost Sheet'!$C:$D,2,0)</f>
        <v>40.33</v>
      </c>
      <c r="Z2617" s="3">
        <f t="shared" si="81"/>
        <v>40.33</v>
      </c>
    </row>
    <row r="2618" spans="1:26" x14ac:dyDescent="0.3">
      <c r="A2618" s="7" t="s">
        <v>21</v>
      </c>
      <c r="B2618" t="s">
        <v>1011</v>
      </c>
      <c r="C2618" t="s">
        <v>1012</v>
      </c>
      <c r="D2618" t="s">
        <v>1013</v>
      </c>
      <c r="E2618" t="s">
        <v>1014</v>
      </c>
      <c r="F2618" t="s">
        <v>26</v>
      </c>
      <c r="G2618">
        <v>67</v>
      </c>
      <c r="H2618">
        <v>0</v>
      </c>
      <c r="I2618">
        <v>0</v>
      </c>
      <c r="J2618">
        <v>-2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65</v>
      </c>
      <c r="T2618">
        <v>0</v>
      </c>
      <c r="U2618" t="s">
        <v>45</v>
      </c>
      <c r="W2618" s="2">
        <v>40.33</v>
      </c>
      <c r="X2618" s="3">
        <f t="shared" si="80"/>
        <v>2621.45</v>
      </c>
      <c r="Y2618">
        <f>VLOOKUP(D2618,'[1]Cost Sheet'!$C:$D,2,0)</f>
        <v>40.33</v>
      </c>
      <c r="Z2618" s="3">
        <f t="shared" si="81"/>
        <v>2621.45</v>
      </c>
    </row>
    <row r="2619" spans="1:26" x14ac:dyDescent="0.3">
      <c r="A2619" s="7" t="s">
        <v>21</v>
      </c>
      <c r="B2619" t="s">
        <v>1011</v>
      </c>
      <c r="C2619" t="s">
        <v>1012</v>
      </c>
      <c r="D2619" t="s">
        <v>1013</v>
      </c>
      <c r="E2619" t="s">
        <v>1014</v>
      </c>
      <c r="F2619" t="s">
        <v>26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 t="s">
        <v>108</v>
      </c>
      <c r="W2619" s="2">
        <v>40.33</v>
      </c>
      <c r="X2619" s="3">
        <f t="shared" si="80"/>
        <v>0</v>
      </c>
      <c r="Y2619">
        <f>VLOOKUP(D2619,'[1]Cost Sheet'!$C:$D,2,0)</f>
        <v>40.33</v>
      </c>
      <c r="Z2619" s="3">
        <f t="shared" si="81"/>
        <v>0</v>
      </c>
    </row>
    <row r="2620" spans="1:26" x14ac:dyDescent="0.3">
      <c r="A2620" s="7" t="s">
        <v>21</v>
      </c>
      <c r="B2620" t="s">
        <v>1011</v>
      </c>
      <c r="C2620" t="s">
        <v>1012</v>
      </c>
      <c r="D2620" t="s">
        <v>1013</v>
      </c>
      <c r="E2620" t="s">
        <v>1014</v>
      </c>
      <c r="F2620" t="s">
        <v>26</v>
      </c>
      <c r="G2620">
        <v>63</v>
      </c>
      <c r="H2620">
        <v>0</v>
      </c>
      <c r="I2620">
        <v>0</v>
      </c>
      <c r="J2620">
        <v>-1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62</v>
      </c>
      <c r="T2620">
        <v>0</v>
      </c>
      <c r="U2620" t="s">
        <v>39</v>
      </c>
      <c r="W2620" s="2">
        <v>40.33</v>
      </c>
      <c r="X2620" s="3">
        <f t="shared" si="80"/>
        <v>2500.46</v>
      </c>
      <c r="Y2620">
        <f>VLOOKUP(D2620,'[1]Cost Sheet'!$C:$D,2,0)</f>
        <v>40.33</v>
      </c>
      <c r="Z2620" s="3">
        <f t="shared" si="81"/>
        <v>2500.46</v>
      </c>
    </row>
    <row r="2621" spans="1:26" x14ac:dyDescent="0.3">
      <c r="A2621" s="7" t="s">
        <v>21</v>
      </c>
      <c r="B2621" t="s">
        <v>1011</v>
      </c>
      <c r="C2621" t="s">
        <v>1012</v>
      </c>
      <c r="D2621" t="s">
        <v>1013</v>
      </c>
      <c r="E2621" t="s">
        <v>1014</v>
      </c>
      <c r="F2621" t="s">
        <v>26</v>
      </c>
      <c r="G2621">
        <v>9</v>
      </c>
      <c r="H2621">
        <v>0</v>
      </c>
      <c r="I2621">
        <v>0</v>
      </c>
      <c r="J2621">
        <v>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7</v>
      </c>
      <c r="T2621">
        <v>0</v>
      </c>
      <c r="U2621" t="s">
        <v>53</v>
      </c>
      <c r="W2621" s="2">
        <v>40.33</v>
      </c>
      <c r="X2621" s="3">
        <f t="shared" si="80"/>
        <v>282.31</v>
      </c>
      <c r="Y2621">
        <f>VLOOKUP(D2621,'[1]Cost Sheet'!$C:$D,2,0)</f>
        <v>40.33</v>
      </c>
      <c r="Z2621" s="3">
        <f t="shared" si="81"/>
        <v>282.31</v>
      </c>
    </row>
    <row r="2622" spans="1:26" x14ac:dyDescent="0.3">
      <c r="A2622" s="7" t="s">
        <v>21</v>
      </c>
      <c r="B2622" t="s">
        <v>1011</v>
      </c>
      <c r="C2622" t="s">
        <v>1012</v>
      </c>
      <c r="D2622" t="s">
        <v>1013</v>
      </c>
      <c r="E2622" t="s">
        <v>1014</v>
      </c>
      <c r="F2622" t="s">
        <v>26</v>
      </c>
      <c r="G2622">
        <v>26</v>
      </c>
      <c r="H2622">
        <v>0</v>
      </c>
      <c r="I2622">
        <v>0</v>
      </c>
      <c r="J2622">
        <v>-3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23</v>
      </c>
      <c r="T2622">
        <v>0</v>
      </c>
      <c r="U2622" t="s">
        <v>54</v>
      </c>
      <c r="W2622" s="2">
        <v>40.33</v>
      </c>
      <c r="X2622" s="3">
        <f t="shared" si="80"/>
        <v>927.58999999999992</v>
      </c>
      <c r="Y2622">
        <f>VLOOKUP(D2622,'[1]Cost Sheet'!$C:$D,2,0)</f>
        <v>40.33</v>
      </c>
      <c r="Z2622" s="3">
        <f t="shared" si="81"/>
        <v>927.58999999999992</v>
      </c>
    </row>
    <row r="2623" spans="1:26" x14ac:dyDescent="0.3">
      <c r="A2623" s="7" t="s">
        <v>21</v>
      </c>
      <c r="B2623" t="s">
        <v>1011</v>
      </c>
      <c r="C2623" t="s">
        <v>1012</v>
      </c>
      <c r="D2623" t="s">
        <v>1013</v>
      </c>
      <c r="E2623" t="s">
        <v>1014</v>
      </c>
      <c r="F2623" t="s">
        <v>26</v>
      </c>
      <c r="G2623">
        <v>57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57</v>
      </c>
      <c r="T2623">
        <v>0</v>
      </c>
      <c r="U2623" t="s">
        <v>32</v>
      </c>
      <c r="W2623" s="2">
        <v>40.33</v>
      </c>
      <c r="X2623" s="3">
        <f t="shared" si="80"/>
        <v>2298.81</v>
      </c>
      <c r="Y2623">
        <f>VLOOKUP(D2623,'[1]Cost Sheet'!$C:$D,2,0)</f>
        <v>40.33</v>
      </c>
      <c r="Z2623" s="3">
        <f t="shared" si="81"/>
        <v>2298.81</v>
      </c>
    </row>
    <row r="2624" spans="1:26" x14ac:dyDescent="0.3">
      <c r="A2624" s="7" t="s">
        <v>21</v>
      </c>
      <c r="B2624" t="s">
        <v>1011</v>
      </c>
      <c r="C2624" t="s">
        <v>1012</v>
      </c>
      <c r="D2624" t="s">
        <v>1013</v>
      </c>
      <c r="E2624" t="s">
        <v>1014</v>
      </c>
      <c r="F2624" t="s">
        <v>26</v>
      </c>
      <c r="G2624">
        <v>3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-3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88</v>
      </c>
      <c r="W2624" s="2">
        <v>40.33</v>
      </c>
      <c r="X2624" s="3">
        <f t="shared" si="80"/>
        <v>0</v>
      </c>
      <c r="Y2624">
        <f>VLOOKUP(D2624,'[1]Cost Sheet'!$C:$D,2,0)</f>
        <v>40.33</v>
      </c>
      <c r="Z2624" s="3">
        <f t="shared" si="81"/>
        <v>0</v>
      </c>
    </row>
    <row r="2625" spans="1:26" x14ac:dyDescent="0.3">
      <c r="A2625" s="7" t="s">
        <v>21</v>
      </c>
      <c r="B2625" t="s">
        <v>1011</v>
      </c>
      <c r="C2625" t="s">
        <v>1012</v>
      </c>
      <c r="D2625" t="s">
        <v>1013</v>
      </c>
      <c r="E2625" t="s">
        <v>1014</v>
      </c>
      <c r="F2625" t="s">
        <v>26</v>
      </c>
      <c r="G2625">
        <v>10</v>
      </c>
      <c r="H2625">
        <v>0</v>
      </c>
      <c r="I2625">
        <v>0</v>
      </c>
      <c r="J2625">
        <v>-1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9</v>
      </c>
      <c r="T2625">
        <v>0</v>
      </c>
      <c r="U2625" t="s">
        <v>33</v>
      </c>
      <c r="W2625" s="2">
        <v>40.33</v>
      </c>
      <c r="X2625" s="3">
        <f t="shared" si="80"/>
        <v>362.96999999999997</v>
      </c>
      <c r="Y2625">
        <f>VLOOKUP(D2625,'[1]Cost Sheet'!$C:$D,2,0)</f>
        <v>40.33</v>
      </c>
      <c r="Z2625" s="3">
        <f t="shared" si="81"/>
        <v>362.96999999999997</v>
      </c>
    </row>
    <row r="2626" spans="1:26" x14ac:dyDescent="0.3">
      <c r="A2626" s="7" t="s">
        <v>21</v>
      </c>
      <c r="B2626" t="s">
        <v>1011</v>
      </c>
      <c r="C2626" t="s">
        <v>1012</v>
      </c>
      <c r="D2626" t="s">
        <v>1013</v>
      </c>
      <c r="E2626" t="s">
        <v>1014</v>
      </c>
      <c r="F2626" t="s">
        <v>26</v>
      </c>
      <c r="G2626">
        <v>84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85</v>
      </c>
      <c r="T2626">
        <v>0</v>
      </c>
      <c r="U2626" t="s">
        <v>46</v>
      </c>
      <c r="W2626" s="2">
        <v>40.33</v>
      </c>
      <c r="X2626" s="3">
        <f t="shared" si="80"/>
        <v>3428.0499999999997</v>
      </c>
      <c r="Y2626">
        <f>VLOOKUP(D2626,'[1]Cost Sheet'!$C:$D,2,0)</f>
        <v>40.33</v>
      </c>
      <c r="Z2626" s="3">
        <f t="shared" si="81"/>
        <v>3428.0499999999997</v>
      </c>
    </row>
    <row r="2627" spans="1:26" x14ac:dyDescent="0.3">
      <c r="A2627" s="7" t="s">
        <v>21</v>
      </c>
      <c r="B2627" t="s">
        <v>1011</v>
      </c>
      <c r="C2627" t="s">
        <v>1012</v>
      </c>
      <c r="D2627" t="s">
        <v>1013</v>
      </c>
      <c r="E2627" t="s">
        <v>1014</v>
      </c>
      <c r="F2627" t="s">
        <v>26</v>
      </c>
      <c r="G2627">
        <v>4</v>
      </c>
      <c r="H2627">
        <v>0</v>
      </c>
      <c r="I2627">
        <v>0</v>
      </c>
      <c r="J2627">
        <v>-1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3</v>
      </c>
      <c r="T2627">
        <v>0</v>
      </c>
      <c r="U2627" t="s">
        <v>47</v>
      </c>
      <c r="W2627" s="2">
        <v>40.33</v>
      </c>
      <c r="X2627" s="3">
        <f t="shared" ref="X2627:X2659" si="82">S2627*W2627</f>
        <v>120.99</v>
      </c>
      <c r="Y2627">
        <f>VLOOKUP(D2627,'[1]Cost Sheet'!$C:$D,2,0)</f>
        <v>40.33</v>
      </c>
      <c r="Z2627" s="3">
        <f t="shared" ref="Z2627:Z2659" si="83">Y2627*S2627</f>
        <v>120.99</v>
      </c>
    </row>
    <row r="2628" spans="1:26" x14ac:dyDescent="0.3">
      <c r="A2628" s="7" t="s">
        <v>21</v>
      </c>
      <c r="B2628" t="s">
        <v>1011</v>
      </c>
      <c r="C2628" t="s">
        <v>1012</v>
      </c>
      <c r="D2628" t="s">
        <v>1013</v>
      </c>
      <c r="E2628" t="s">
        <v>1014</v>
      </c>
      <c r="F2628" t="s">
        <v>26</v>
      </c>
      <c r="G2628">
        <v>42</v>
      </c>
      <c r="H2628">
        <v>0</v>
      </c>
      <c r="I2628">
        <v>0</v>
      </c>
      <c r="J2628">
        <v>-1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42</v>
      </c>
      <c r="T2628">
        <v>0</v>
      </c>
      <c r="U2628" t="s">
        <v>40</v>
      </c>
      <c r="W2628" s="2">
        <v>40.33</v>
      </c>
      <c r="X2628" s="3">
        <f t="shared" si="82"/>
        <v>1693.86</v>
      </c>
      <c r="Y2628">
        <f>VLOOKUP(D2628,'[1]Cost Sheet'!$C:$D,2,0)</f>
        <v>40.33</v>
      </c>
      <c r="Z2628" s="3">
        <f t="shared" si="83"/>
        <v>1693.86</v>
      </c>
    </row>
    <row r="2629" spans="1:26" x14ac:dyDescent="0.3">
      <c r="A2629" s="7" t="s">
        <v>21</v>
      </c>
      <c r="B2629" t="s">
        <v>1011</v>
      </c>
      <c r="C2629" t="s">
        <v>1012</v>
      </c>
      <c r="D2629" t="s">
        <v>1013</v>
      </c>
      <c r="E2629" t="s">
        <v>1014</v>
      </c>
      <c r="F2629" t="s">
        <v>26</v>
      </c>
      <c r="G2629">
        <v>71</v>
      </c>
      <c r="H2629">
        <v>0</v>
      </c>
      <c r="I2629">
        <v>0</v>
      </c>
      <c r="J2629">
        <v>-1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70</v>
      </c>
      <c r="T2629">
        <v>0</v>
      </c>
      <c r="U2629" t="s">
        <v>113</v>
      </c>
      <c r="W2629" s="2">
        <v>40.33</v>
      </c>
      <c r="X2629" s="3">
        <f t="shared" si="82"/>
        <v>2823.1</v>
      </c>
      <c r="Y2629">
        <f>VLOOKUP(D2629,'[1]Cost Sheet'!$C:$D,2,0)</f>
        <v>40.33</v>
      </c>
      <c r="Z2629" s="3">
        <f t="shared" si="83"/>
        <v>2823.1</v>
      </c>
    </row>
    <row r="2630" spans="1:26" x14ac:dyDescent="0.3">
      <c r="A2630" s="7" t="s">
        <v>21</v>
      </c>
      <c r="B2630" t="s">
        <v>1011</v>
      </c>
      <c r="C2630" t="s">
        <v>1012</v>
      </c>
      <c r="D2630" t="s">
        <v>1013</v>
      </c>
      <c r="E2630" t="s">
        <v>1014</v>
      </c>
      <c r="F2630" t="s">
        <v>26</v>
      </c>
      <c r="G2630">
        <v>73</v>
      </c>
      <c r="H2630">
        <v>0</v>
      </c>
      <c r="I2630">
        <v>0</v>
      </c>
      <c r="J2630">
        <v>-1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72</v>
      </c>
      <c r="T2630">
        <v>0</v>
      </c>
      <c r="U2630" t="s">
        <v>48</v>
      </c>
      <c r="W2630" s="2">
        <v>40.33</v>
      </c>
      <c r="X2630" s="3">
        <f t="shared" si="82"/>
        <v>2903.7599999999998</v>
      </c>
      <c r="Y2630">
        <f>VLOOKUP(D2630,'[1]Cost Sheet'!$C:$D,2,0)</f>
        <v>40.33</v>
      </c>
      <c r="Z2630" s="3">
        <f t="shared" si="83"/>
        <v>2903.7599999999998</v>
      </c>
    </row>
    <row r="2631" spans="1:26" x14ac:dyDescent="0.3">
      <c r="A2631" s="7" t="s">
        <v>21</v>
      </c>
      <c r="B2631" t="s">
        <v>1011</v>
      </c>
      <c r="C2631" t="s">
        <v>1012</v>
      </c>
      <c r="D2631" t="s">
        <v>1013</v>
      </c>
      <c r="E2631" t="s">
        <v>1014</v>
      </c>
      <c r="F2631" t="s">
        <v>26</v>
      </c>
      <c r="G2631">
        <v>9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9</v>
      </c>
      <c r="T2631">
        <v>0</v>
      </c>
      <c r="U2631" t="s">
        <v>59</v>
      </c>
      <c r="W2631" s="2">
        <v>40.33</v>
      </c>
      <c r="X2631" s="3">
        <f t="shared" si="82"/>
        <v>362.96999999999997</v>
      </c>
      <c r="Y2631">
        <f>VLOOKUP(D2631,'[1]Cost Sheet'!$C:$D,2,0)</f>
        <v>40.33</v>
      </c>
      <c r="Z2631" s="3">
        <f t="shared" si="83"/>
        <v>362.96999999999997</v>
      </c>
    </row>
    <row r="2632" spans="1:26" x14ac:dyDescent="0.3">
      <c r="A2632" s="7" t="s">
        <v>21</v>
      </c>
      <c r="B2632" t="s">
        <v>1011</v>
      </c>
      <c r="C2632" t="s">
        <v>1012</v>
      </c>
      <c r="D2632" t="s">
        <v>1013</v>
      </c>
      <c r="E2632" t="s">
        <v>1014</v>
      </c>
      <c r="F2632" t="s">
        <v>26</v>
      </c>
      <c r="G2632">
        <v>28</v>
      </c>
      <c r="H2632">
        <v>0</v>
      </c>
      <c r="I2632">
        <v>0</v>
      </c>
      <c r="J2632">
        <v>-2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26</v>
      </c>
      <c r="T2632">
        <v>0</v>
      </c>
      <c r="U2632" t="s">
        <v>27</v>
      </c>
      <c r="W2632" s="2">
        <v>40.33</v>
      </c>
      <c r="X2632" s="3">
        <f t="shared" si="82"/>
        <v>1048.58</v>
      </c>
      <c r="Y2632">
        <f>VLOOKUP(D2632,'[1]Cost Sheet'!$C:$D,2,0)</f>
        <v>40.33</v>
      </c>
      <c r="Z2632" s="3">
        <f t="shared" si="83"/>
        <v>1048.58</v>
      </c>
    </row>
    <row r="2633" spans="1:26" x14ac:dyDescent="0.3">
      <c r="A2633" s="7" t="s">
        <v>21</v>
      </c>
      <c r="B2633" t="s">
        <v>1015</v>
      </c>
      <c r="C2633" t="s">
        <v>1016</v>
      </c>
      <c r="D2633" t="s">
        <v>1017</v>
      </c>
      <c r="E2633" t="s">
        <v>1018</v>
      </c>
      <c r="F2633" t="s">
        <v>125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 t="s">
        <v>151</v>
      </c>
      <c r="W2633" s="2">
        <v>40.409999999999997</v>
      </c>
      <c r="X2633" s="3">
        <f t="shared" si="82"/>
        <v>40.409999999999997</v>
      </c>
      <c r="Y2633">
        <f>VLOOKUP(D2633,'[1]Cost Sheet'!$C:$D,2,0)</f>
        <v>40.409999999999997</v>
      </c>
      <c r="Z2633" s="3">
        <f t="shared" si="83"/>
        <v>40.409999999999997</v>
      </c>
    </row>
    <row r="2634" spans="1:26" x14ac:dyDescent="0.3">
      <c r="A2634" s="7" t="s">
        <v>21</v>
      </c>
      <c r="B2634" t="s">
        <v>1015</v>
      </c>
      <c r="C2634" t="s">
        <v>1016</v>
      </c>
      <c r="D2634" t="s">
        <v>1017</v>
      </c>
      <c r="E2634" t="s">
        <v>1018</v>
      </c>
      <c r="F2634" t="s">
        <v>125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 t="s">
        <v>108</v>
      </c>
      <c r="W2634" s="2">
        <v>40.409999999999997</v>
      </c>
      <c r="X2634" s="3">
        <f t="shared" si="82"/>
        <v>40.409999999999997</v>
      </c>
      <c r="Y2634">
        <f>VLOOKUP(D2634,'[1]Cost Sheet'!$C:$D,2,0)</f>
        <v>40.409999999999997</v>
      </c>
      <c r="Z2634" s="3">
        <f t="shared" si="83"/>
        <v>40.409999999999997</v>
      </c>
    </row>
    <row r="2635" spans="1:26" x14ac:dyDescent="0.3">
      <c r="A2635" s="7" t="s">
        <v>21</v>
      </c>
      <c r="B2635" t="s">
        <v>1015</v>
      </c>
      <c r="C2635" t="s">
        <v>1016</v>
      </c>
      <c r="D2635" t="s">
        <v>1017</v>
      </c>
      <c r="E2635" t="s">
        <v>1018</v>
      </c>
      <c r="F2635" t="s">
        <v>106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 t="s">
        <v>32</v>
      </c>
      <c r="W2635" s="2">
        <v>40.409999999999997</v>
      </c>
      <c r="X2635" s="3">
        <f t="shared" si="82"/>
        <v>40.409999999999997</v>
      </c>
      <c r="Y2635">
        <f>VLOOKUP(D2635,'[1]Cost Sheet'!$C:$D,2,0)</f>
        <v>40.409999999999997</v>
      </c>
      <c r="Z2635" s="3">
        <f t="shared" si="83"/>
        <v>40.409999999999997</v>
      </c>
    </row>
    <row r="2636" spans="1:26" x14ac:dyDescent="0.3">
      <c r="A2636" s="7" t="s">
        <v>21</v>
      </c>
      <c r="B2636" t="s">
        <v>1015</v>
      </c>
      <c r="C2636" t="s">
        <v>1016</v>
      </c>
      <c r="D2636" t="s">
        <v>1017</v>
      </c>
      <c r="E2636" t="s">
        <v>1018</v>
      </c>
      <c r="F2636" t="s">
        <v>106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 t="s">
        <v>33</v>
      </c>
      <c r="W2636" s="2">
        <v>40.409999999999997</v>
      </c>
      <c r="X2636" s="3">
        <f t="shared" si="82"/>
        <v>40.409999999999997</v>
      </c>
      <c r="Y2636">
        <f>VLOOKUP(D2636,'[1]Cost Sheet'!$C:$D,2,0)</f>
        <v>40.409999999999997</v>
      </c>
      <c r="Z2636" s="3">
        <f t="shared" si="83"/>
        <v>40.409999999999997</v>
      </c>
    </row>
    <row r="2637" spans="1:26" x14ac:dyDescent="0.3">
      <c r="A2637" s="7" t="s">
        <v>21</v>
      </c>
      <c r="B2637" t="s">
        <v>1015</v>
      </c>
      <c r="C2637" t="s">
        <v>1016</v>
      </c>
      <c r="D2637" t="s">
        <v>1017</v>
      </c>
      <c r="E2637" t="s">
        <v>1018</v>
      </c>
      <c r="F2637" t="s">
        <v>106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 t="s">
        <v>46</v>
      </c>
      <c r="W2637" s="2">
        <v>40.409999999999997</v>
      </c>
      <c r="X2637" s="3">
        <f t="shared" si="82"/>
        <v>40.409999999999997</v>
      </c>
      <c r="Y2637">
        <f>VLOOKUP(D2637,'[1]Cost Sheet'!$C:$D,2,0)</f>
        <v>40.409999999999997</v>
      </c>
      <c r="Z2637" s="3">
        <f t="shared" si="83"/>
        <v>40.409999999999997</v>
      </c>
    </row>
    <row r="2638" spans="1:26" x14ac:dyDescent="0.3">
      <c r="A2638" s="7" t="s">
        <v>21</v>
      </c>
      <c r="B2638" t="s">
        <v>1015</v>
      </c>
      <c r="C2638" t="s">
        <v>1016</v>
      </c>
      <c r="D2638" t="s">
        <v>1017</v>
      </c>
      <c r="E2638" t="s">
        <v>1018</v>
      </c>
      <c r="F2638" t="s">
        <v>93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3</v>
      </c>
      <c r="T2638">
        <v>0</v>
      </c>
      <c r="U2638" t="s">
        <v>32</v>
      </c>
      <c r="W2638" s="2">
        <v>40.409999999999997</v>
      </c>
      <c r="X2638" s="3">
        <f t="shared" si="82"/>
        <v>121.22999999999999</v>
      </c>
      <c r="Y2638">
        <f>VLOOKUP(D2638,'[1]Cost Sheet'!$C:$D,2,0)</f>
        <v>40.409999999999997</v>
      </c>
      <c r="Z2638" s="3">
        <f t="shared" si="83"/>
        <v>121.22999999999999</v>
      </c>
    </row>
    <row r="2639" spans="1:26" x14ac:dyDescent="0.3">
      <c r="A2639" s="7" t="s">
        <v>21</v>
      </c>
      <c r="B2639" t="s">
        <v>1015</v>
      </c>
      <c r="C2639" t="s">
        <v>1016</v>
      </c>
      <c r="D2639" t="s">
        <v>1017</v>
      </c>
      <c r="E2639" t="s">
        <v>1018</v>
      </c>
      <c r="F2639" t="s">
        <v>26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 t="s">
        <v>38</v>
      </c>
      <c r="W2639" s="2">
        <v>40.409999999999997</v>
      </c>
      <c r="X2639" s="3">
        <f t="shared" si="82"/>
        <v>40.409999999999997</v>
      </c>
      <c r="Y2639">
        <f>VLOOKUP(D2639,'[1]Cost Sheet'!$C:$D,2,0)</f>
        <v>40.409999999999997</v>
      </c>
      <c r="Z2639" s="3">
        <f t="shared" si="83"/>
        <v>40.409999999999997</v>
      </c>
    </row>
    <row r="2640" spans="1:26" x14ac:dyDescent="0.3">
      <c r="A2640" s="7" t="s">
        <v>21</v>
      </c>
      <c r="B2640" t="s">
        <v>1015</v>
      </c>
      <c r="C2640" t="s">
        <v>1016</v>
      </c>
      <c r="D2640" t="s">
        <v>1017</v>
      </c>
      <c r="E2640" t="s">
        <v>1018</v>
      </c>
      <c r="F2640" t="s">
        <v>26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 t="s">
        <v>39</v>
      </c>
      <c r="W2640" s="2">
        <v>40.409999999999997</v>
      </c>
      <c r="X2640" s="3">
        <f t="shared" si="82"/>
        <v>40.409999999999997</v>
      </c>
      <c r="Y2640">
        <f>VLOOKUP(D2640,'[1]Cost Sheet'!$C:$D,2,0)</f>
        <v>40.409999999999997</v>
      </c>
      <c r="Z2640" s="3">
        <f t="shared" si="83"/>
        <v>40.409999999999997</v>
      </c>
    </row>
    <row r="2641" spans="1:26" x14ac:dyDescent="0.3">
      <c r="A2641" s="7" t="s">
        <v>21</v>
      </c>
      <c r="B2641" t="s">
        <v>1015</v>
      </c>
      <c r="C2641" t="s">
        <v>1016</v>
      </c>
      <c r="D2641" t="s">
        <v>1017</v>
      </c>
      <c r="E2641" t="s">
        <v>1018</v>
      </c>
      <c r="F2641" t="s">
        <v>26</v>
      </c>
      <c r="G2641">
        <v>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3</v>
      </c>
      <c r="T2641">
        <v>0</v>
      </c>
      <c r="U2641" t="s">
        <v>54</v>
      </c>
      <c r="W2641" s="2">
        <v>40.409999999999997</v>
      </c>
      <c r="X2641" s="3">
        <f t="shared" si="82"/>
        <v>121.22999999999999</v>
      </c>
      <c r="Y2641">
        <f>VLOOKUP(D2641,'[1]Cost Sheet'!$C:$D,2,0)</f>
        <v>40.409999999999997</v>
      </c>
      <c r="Z2641" s="3">
        <f t="shared" si="83"/>
        <v>121.22999999999999</v>
      </c>
    </row>
    <row r="2642" spans="1:26" x14ac:dyDescent="0.3">
      <c r="A2642" s="7" t="s">
        <v>21</v>
      </c>
      <c r="B2642" t="s">
        <v>1015</v>
      </c>
      <c r="C2642" t="s">
        <v>1016</v>
      </c>
      <c r="D2642" t="s">
        <v>1017</v>
      </c>
      <c r="E2642" t="s">
        <v>1018</v>
      </c>
      <c r="F2642" t="s">
        <v>26</v>
      </c>
      <c r="G2642">
        <v>923</v>
      </c>
      <c r="H2642">
        <v>0</v>
      </c>
      <c r="I2642">
        <v>-2</v>
      </c>
      <c r="J2642">
        <v>-67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854</v>
      </c>
      <c r="T2642">
        <v>0</v>
      </c>
      <c r="U2642" t="s">
        <v>32</v>
      </c>
      <c r="W2642" s="2">
        <v>40.409999999999997</v>
      </c>
      <c r="X2642" s="3">
        <f t="shared" si="82"/>
        <v>34510.14</v>
      </c>
      <c r="Y2642">
        <f>VLOOKUP(D2642,'[1]Cost Sheet'!$C:$D,2,0)</f>
        <v>40.409999999999997</v>
      </c>
      <c r="Z2642" s="3">
        <f t="shared" si="83"/>
        <v>34510.14</v>
      </c>
    </row>
    <row r="2643" spans="1:26" x14ac:dyDescent="0.3">
      <c r="A2643" s="7" t="s">
        <v>21</v>
      </c>
      <c r="B2643" t="s">
        <v>1015</v>
      </c>
      <c r="C2643" t="s">
        <v>1016</v>
      </c>
      <c r="D2643" t="s">
        <v>1017</v>
      </c>
      <c r="E2643" t="s">
        <v>1018</v>
      </c>
      <c r="F2643" t="s">
        <v>26</v>
      </c>
      <c r="G2643">
        <v>1</v>
      </c>
      <c r="H2643">
        <v>2</v>
      </c>
      <c r="I2643">
        <v>0</v>
      </c>
      <c r="J2643">
        <v>0</v>
      </c>
      <c r="K2643">
        <v>1</v>
      </c>
      <c r="L2643">
        <v>0</v>
      </c>
      <c r="M2643">
        <v>-2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s">
        <v>88</v>
      </c>
      <c r="W2643" s="2">
        <v>40.409999999999997</v>
      </c>
      <c r="X2643" s="3">
        <f t="shared" si="82"/>
        <v>0</v>
      </c>
      <c r="Y2643">
        <f>VLOOKUP(D2643,'[1]Cost Sheet'!$C:$D,2,0)</f>
        <v>40.409999999999997</v>
      </c>
      <c r="Z2643" s="3">
        <f t="shared" si="83"/>
        <v>0</v>
      </c>
    </row>
    <row r="2644" spans="1:26" x14ac:dyDescent="0.3">
      <c r="A2644" s="7" t="s">
        <v>21</v>
      </c>
      <c r="B2644" t="s">
        <v>1015</v>
      </c>
      <c r="C2644" t="s">
        <v>1016</v>
      </c>
      <c r="D2644" t="s">
        <v>1017</v>
      </c>
      <c r="E2644" t="s">
        <v>1018</v>
      </c>
      <c r="F2644" t="s">
        <v>26</v>
      </c>
      <c r="G2644">
        <v>3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3</v>
      </c>
      <c r="T2644">
        <v>0</v>
      </c>
      <c r="U2644" t="s">
        <v>33</v>
      </c>
      <c r="W2644" s="2">
        <v>40.409999999999997</v>
      </c>
      <c r="X2644" s="3">
        <f t="shared" si="82"/>
        <v>121.22999999999999</v>
      </c>
      <c r="Y2644">
        <f>VLOOKUP(D2644,'[1]Cost Sheet'!$C:$D,2,0)</f>
        <v>40.409999999999997</v>
      </c>
      <c r="Z2644" s="3">
        <f t="shared" si="83"/>
        <v>121.22999999999999</v>
      </c>
    </row>
    <row r="2645" spans="1:26" x14ac:dyDescent="0.3">
      <c r="A2645" s="7" t="s">
        <v>21</v>
      </c>
      <c r="B2645" t="s">
        <v>1015</v>
      </c>
      <c r="C2645" t="s">
        <v>1016</v>
      </c>
      <c r="D2645" t="s">
        <v>1017</v>
      </c>
      <c r="E2645" t="s">
        <v>1018</v>
      </c>
      <c r="F2645" t="s">
        <v>26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 t="s">
        <v>46</v>
      </c>
      <c r="W2645" s="2">
        <v>40.409999999999997</v>
      </c>
      <c r="X2645" s="3">
        <f t="shared" si="82"/>
        <v>40.409999999999997</v>
      </c>
      <c r="Y2645">
        <f>VLOOKUP(D2645,'[1]Cost Sheet'!$C:$D,2,0)</f>
        <v>40.409999999999997</v>
      </c>
      <c r="Z2645" s="3">
        <f t="shared" si="83"/>
        <v>40.409999999999997</v>
      </c>
    </row>
    <row r="2646" spans="1:26" x14ac:dyDescent="0.3">
      <c r="A2646" s="7" t="s">
        <v>21</v>
      </c>
      <c r="B2646" t="s">
        <v>1015</v>
      </c>
      <c r="C2646" t="s">
        <v>1016</v>
      </c>
      <c r="D2646" t="s">
        <v>1017</v>
      </c>
      <c r="E2646" t="s">
        <v>1018</v>
      </c>
      <c r="F2646" t="s">
        <v>26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 t="s">
        <v>40</v>
      </c>
      <c r="W2646" s="2">
        <v>40.409999999999997</v>
      </c>
      <c r="X2646" s="3">
        <f t="shared" si="82"/>
        <v>40.409999999999997</v>
      </c>
      <c r="Y2646">
        <f>VLOOKUP(D2646,'[1]Cost Sheet'!$C:$D,2,0)</f>
        <v>40.409999999999997</v>
      </c>
      <c r="Z2646" s="3">
        <f t="shared" si="83"/>
        <v>40.409999999999997</v>
      </c>
    </row>
    <row r="2647" spans="1:26" x14ac:dyDescent="0.3">
      <c r="A2647" s="7" t="s">
        <v>21</v>
      </c>
      <c r="B2647" t="s">
        <v>1015</v>
      </c>
      <c r="C2647" t="s">
        <v>1016</v>
      </c>
      <c r="D2647" t="s">
        <v>1017</v>
      </c>
      <c r="E2647" t="s">
        <v>1018</v>
      </c>
      <c r="F2647" t="s">
        <v>26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 t="s">
        <v>59</v>
      </c>
      <c r="W2647" s="2">
        <v>40.409999999999997</v>
      </c>
      <c r="X2647" s="3">
        <f t="shared" si="82"/>
        <v>40.409999999999997</v>
      </c>
      <c r="Y2647">
        <f>VLOOKUP(D2647,'[1]Cost Sheet'!$C:$D,2,0)</f>
        <v>40.409999999999997</v>
      </c>
      <c r="Z2647" s="3">
        <f t="shared" si="83"/>
        <v>40.409999999999997</v>
      </c>
    </row>
    <row r="2648" spans="1:26" x14ac:dyDescent="0.3">
      <c r="A2648" s="7" t="s">
        <v>21</v>
      </c>
      <c r="B2648" t="s">
        <v>1015</v>
      </c>
      <c r="C2648" t="s">
        <v>1016</v>
      </c>
      <c r="D2648" t="s">
        <v>1017</v>
      </c>
      <c r="E2648" t="s">
        <v>1018</v>
      </c>
      <c r="F2648" t="s">
        <v>26</v>
      </c>
      <c r="G2648">
        <v>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2</v>
      </c>
      <c r="T2648">
        <v>0</v>
      </c>
      <c r="U2648" t="s">
        <v>27</v>
      </c>
      <c r="W2648" s="2">
        <v>40.409999999999997</v>
      </c>
      <c r="X2648" s="3">
        <f t="shared" si="82"/>
        <v>80.819999999999993</v>
      </c>
      <c r="Y2648">
        <f>VLOOKUP(D2648,'[1]Cost Sheet'!$C:$D,2,0)</f>
        <v>40.409999999999997</v>
      </c>
      <c r="Z2648" s="3">
        <f t="shared" si="83"/>
        <v>80.819999999999993</v>
      </c>
    </row>
    <row r="2649" spans="1:26" x14ac:dyDescent="0.3">
      <c r="A2649" s="7" t="s">
        <v>21</v>
      </c>
      <c r="B2649" t="s">
        <v>1015</v>
      </c>
      <c r="C2649" t="s">
        <v>1016</v>
      </c>
      <c r="D2649" t="s">
        <v>1017</v>
      </c>
      <c r="E2649" t="s">
        <v>1018</v>
      </c>
      <c r="F2649" t="s">
        <v>114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 t="s">
        <v>108</v>
      </c>
      <c r="W2649" s="2">
        <v>40.409999999999997</v>
      </c>
      <c r="X2649" s="3">
        <f t="shared" si="82"/>
        <v>40.409999999999997</v>
      </c>
      <c r="Y2649">
        <f>VLOOKUP(D2649,'[1]Cost Sheet'!$C:$D,2,0)</f>
        <v>40.409999999999997</v>
      </c>
      <c r="Z2649" s="3">
        <f t="shared" si="83"/>
        <v>40.409999999999997</v>
      </c>
    </row>
    <row r="2650" spans="1:26" x14ac:dyDescent="0.3">
      <c r="A2650" s="7" t="s">
        <v>21</v>
      </c>
      <c r="B2650" t="s">
        <v>1015</v>
      </c>
      <c r="C2650" t="s">
        <v>1016</v>
      </c>
      <c r="D2650" t="s">
        <v>1017</v>
      </c>
      <c r="E2650" t="s">
        <v>1018</v>
      </c>
      <c r="F2650" t="s">
        <v>114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 t="s">
        <v>32</v>
      </c>
      <c r="W2650" s="2">
        <v>40.409999999999997</v>
      </c>
      <c r="X2650" s="3">
        <f t="shared" si="82"/>
        <v>40.409999999999997</v>
      </c>
      <c r="Y2650">
        <f>VLOOKUP(D2650,'[1]Cost Sheet'!$C:$D,2,0)</f>
        <v>40.409999999999997</v>
      </c>
      <c r="Z2650" s="3">
        <f t="shared" si="83"/>
        <v>40.409999999999997</v>
      </c>
    </row>
    <row r="2651" spans="1:26" x14ac:dyDescent="0.3">
      <c r="A2651" s="7" t="s">
        <v>21</v>
      </c>
      <c r="B2651" t="s">
        <v>22</v>
      </c>
      <c r="C2651" t="s">
        <v>23</v>
      </c>
      <c r="D2651" t="s">
        <v>24</v>
      </c>
      <c r="E2651" t="s">
        <v>25</v>
      </c>
      <c r="F2651" t="s">
        <v>26</v>
      </c>
      <c r="G2651">
        <v>1</v>
      </c>
      <c r="H2651">
        <v>0</v>
      </c>
      <c r="I2651">
        <v>0</v>
      </c>
      <c r="J2651">
        <v>-2</v>
      </c>
      <c r="K2651">
        <v>1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 t="s">
        <v>39</v>
      </c>
      <c r="W2651" s="2">
        <v>86.75</v>
      </c>
      <c r="X2651" s="3">
        <f t="shared" si="82"/>
        <v>86.75</v>
      </c>
      <c r="Y2651">
        <f>VLOOKUP(D2651,'[1]Cost Sheet'!$C:$D,2,0)</f>
        <v>86.75</v>
      </c>
      <c r="Z2651" s="3">
        <f t="shared" si="83"/>
        <v>86.75</v>
      </c>
    </row>
    <row r="2652" spans="1:26" x14ac:dyDescent="0.3">
      <c r="A2652" s="7" t="s">
        <v>21</v>
      </c>
      <c r="B2652" t="s">
        <v>22</v>
      </c>
      <c r="C2652" t="s">
        <v>23</v>
      </c>
      <c r="D2652" t="s">
        <v>24</v>
      </c>
      <c r="E2652" t="s">
        <v>25</v>
      </c>
      <c r="F2652" t="s">
        <v>26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  <c r="U2652" t="s">
        <v>32</v>
      </c>
      <c r="W2652" s="2">
        <v>86.75</v>
      </c>
      <c r="X2652" s="3">
        <f t="shared" si="82"/>
        <v>86.75</v>
      </c>
      <c r="Y2652">
        <f>VLOOKUP(D2652,'[1]Cost Sheet'!$C:$D,2,0)</f>
        <v>86.75</v>
      </c>
      <c r="Z2652" s="3">
        <f t="shared" si="83"/>
        <v>86.75</v>
      </c>
    </row>
    <row r="2653" spans="1:26" x14ac:dyDescent="0.3">
      <c r="A2653" s="7" t="s">
        <v>21</v>
      </c>
      <c r="B2653" t="s">
        <v>22</v>
      </c>
      <c r="C2653" t="s">
        <v>23</v>
      </c>
      <c r="D2653" t="s">
        <v>24</v>
      </c>
      <c r="E2653" t="s">
        <v>25</v>
      </c>
      <c r="F2653" t="s">
        <v>26</v>
      </c>
      <c r="G2653">
        <v>2</v>
      </c>
      <c r="H2653">
        <v>3</v>
      </c>
      <c r="I2653">
        <v>0</v>
      </c>
      <c r="J2653">
        <v>0</v>
      </c>
      <c r="K2653">
        <v>2</v>
      </c>
      <c r="L2653">
        <v>0</v>
      </c>
      <c r="M2653">
        <v>-3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 t="s">
        <v>88</v>
      </c>
      <c r="W2653" s="2">
        <v>86.75</v>
      </c>
      <c r="X2653" s="3">
        <f t="shared" si="82"/>
        <v>86.75</v>
      </c>
      <c r="Y2653">
        <f>VLOOKUP(D2653,'[1]Cost Sheet'!$C:$D,2,0)</f>
        <v>86.75</v>
      </c>
      <c r="Z2653" s="3">
        <f t="shared" si="83"/>
        <v>86.75</v>
      </c>
    </row>
    <row r="2654" spans="1:26" x14ac:dyDescent="0.3">
      <c r="A2654" s="7" t="s">
        <v>21</v>
      </c>
      <c r="B2654" t="s">
        <v>22</v>
      </c>
      <c r="C2654" t="s">
        <v>23</v>
      </c>
      <c r="D2654" t="s">
        <v>24</v>
      </c>
      <c r="E2654" t="s">
        <v>25</v>
      </c>
      <c r="F2654" t="s">
        <v>26</v>
      </c>
      <c r="G2654">
        <v>2</v>
      </c>
      <c r="H2654">
        <v>0</v>
      </c>
      <c r="I2654">
        <v>0</v>
      </c>
      <c r="J2654">
        <v>-1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2</v>
      </c>
      <c r="T2654">
        <v>0</v>
      </c>
      <c r="U2654" t="s">
        <v>33</v>
      </c>
      <c r="W2654" s="2">
        <v>86.75</v>
      </c>
      <c r="X2654" s="3">
        <f t="shared" si="82"/>
        <v>173.5</v>
      </c>
      <c r="Y2654">
        <f>VLOOKUP(D2654,'[1]Cost Sheet'!$C:$D,2,0)</f>
        <v>86.75</v>
      </c>
      <c r="Z2654" s="3">
        <f t="shared" si="83"/>
        <v>173.5</v>
      </c>
    </row>
    <row r="2655" spans="1:26" x14ac:dyDescent="0.3">
      <c r="A2655" s="7" t="s">
        <v>21</v>
      </c>
      <c r="B2655" t="s">
        <v>22</v>
      </c>
      <c r="C2655" t="s">
        <v>23</v>
      </c>
      <c r="D2655" t="s">
        <v>24</v>
      </c>
      <c r="E2655" t="s">
        <v>25</v>
      </c>
      <c r="F2655" t="s">
        <v>26</v>
      </c>
      <c r="G2655">
        <v>23</v>
      </c>
      <c r="H2655">
        <v>0</v>
      </c>
      <c r="I2655">
        <v>0</v>
      </c>
      <c r="J2655">
        <v>-12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11</v>
      </c>
      <c r="T2655">
        <v>0</v>
      </c>
      <c r="U2655" t="s">
        <v>46</v>
      </c>
      <c r="W2655" s="2">
        <v>86.75</v>
      </c>
      <c r="X2655" s="3">
        <f t="shared" si="82"/>
        <v>954.25</v>
      </c>
      <c r="Y2655">
        <f>VLOOKUP(D2655,'[1]Cost Sheet'!$C:$D,2,0)</f>
        <v>86.75</v>
      </c>
      <c r="Z2655" s="3">
        <f t="shared" si="83"/>
        <v>954.25</v>
      </c>
    </row>
    <row r="2656" spans="1:26" x14ac:dyDescent="0.3">
      <c r="A2656" s="7" t="s">
        <v>21</v>
      </c>
      <c r="B2656" t="s">
        <v>22</v>
      </c>
      <c r="C2656" t="s">
        <v>23</v>
      </c>
      <c r="D2656" t="s">
        <v>24</v>
      </c>
      <c r="E2656" t="s">
        <v>25</v>
      </c>
      <c r="F2656" t="s">
        <v>26</v>
      </c>
      <c r="G2656">
        <v>5</v>
      </c>
      <c r="H2656">
        <v>0</v>
      </c>
      <c r="I2656">
        <v>0</v>
      </c>
      <c r="J2656">
        <v>-2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3</v>
      </c>
      <c r="T2656">
        <v>0</v>
      </c>
      <c r="U2656" t="s">
        <v>111</v>
      </c>
      <c r="W2656" s="2">
        <v>86.75</v>
      </c>
      <c r="X2656" s="3">
        <f t="shared" si="82"/>
        <v>260.25</v>
      </c>
      <c r="Y2656">
        <f>VLOOKUP(D2656,'[1]Cost Sheet'!$C:$D,2,0)</f>
        <v>86.75</v>
      </c>
      <c r="Z2656" s="3">
        <f t="shared" si="83"/>
        <v>260.25</v>
      </c>
    </row>
    <row r="2657" spans="1:26" x14ac:dyDescent="0.3">
      <c r="A2657" s="7" t="s">
        <v>21</v>
      </c>
      <c r="B2657" t="s">
        <v>22</v>
      </c>
      <c r="C2657" t="s">
        <v>23</v>
      </c>
      <c r="D2657" t="s">
        <v>24</v>
      </c>
      <c r="E2657" t="s">
        <v>25</v>
      </c>
      <c r="F2657" t="s">
        <v>26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 t="s">
        <v>47</v>
      </c>
      <c r="W2657" s="2">
        <v>86.75</v>
      </c>
      <c r="X2657" s="3">
        <f t="shared" si="82"/>
        <v>86.75</v>
      </c>
      <c r="Y2657">
        <f>VLOOKUP(D2657,'[1]Cost Sheet'!$C:$D,2,0)</f>
        <v>86.75</v>
      </c>
      <c r="Z2657" s="3">
        <f t="shared" si="83"/>
        <v>86.75</v>
      </c>
    </row>
    <row r="2658" spans="1:26" x14ac:dyDescent="0.3">
      <c r="A2658" s="7" t="s">
        <v>21</v>
      </c>
      <c r="B2658" t="s">
        <v>22</v>
      </c>
      <c r="C2658" t="s">
        <v>23</v>
      </c>
      <c r="D2658" t="s">
        <v>24</v>
      </c>
      <c r="E2658" t="s">
        <v>25</v>
      </c>
      <c r="F2658" t="s">
        <v>26</v>
      </c>
      <c r="G2658">
        <v>2</v>
      </c>
      <c r="H2658">
        <v>0</v>
      </c>
      <c r="I2658">
        <v>0</v>
      </c>
      <c r="J2658">
        <v>-1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 t="s">
        <v>40</v>
      </c>
      <c r="W2658" s="2">
        <v>86.75</v>
      </c>
      <c r="X2658" s="3">
        <f t="shared" si="82"/>
        <v>86.75</v>
      </c>
      <c r="Y2658">
        <f>VLOOKUP(D2658,'[1]Cost Sheet'!$C:$D,2,0)</f>
        <v>86.75</v>
      </c>
      <c r="Z2658" s="3">
        <f t="shared" si="83"/>
        <v>86.75</v>
      </c>
    </row>
    <row r="2659" spans="1:26" x14ac:dyDescent="0.3">
      <c r="A2659" s="7" t="s">
        <v>21</v>
      </c>
      <c r="B2659" t="s">
        <v>22</v>
      </c>
      <c r="C2659" t="s">
        <v>23</v>
      </c>
      <c r="D2659" t="s">
        <v>24</v>
      </c>
      <c r="E2659" t="s">
        <v>25</v>
      </c>
      <c r="F2659" t="s">
        <v>26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 t="s">
        <v>48</v>
      </c>
      <c r="W2659" s="2">
        <v>86.75</v>
      </c>
      <c r="X2659" s="3">
        <f t="shared" si="82"/>
        <v>86.75</v>
      </c>
      <c r="Y2659">
        <f>VLOOKUP(D2659,'[1]Cost Sheet'!$C:$D,2,0)</f>
        <v>86.75</v>
      </c>
      <c r="Z2659" s="3">
        <f t="shared" si="83"/>
        <v>86.75</v>
      </c>
    </row>
    <row r="2660" spans="1:26" x14ac:dyDescent="0.3">
      <c r="S2660">
        <f>SUM(S2:S2659)</f>
        <v>121477</v>
      </c>
    </row>
    <row r="2662" spans="1:26" x14ac:dyDescent="0.3">
      <c r="X2662" s="6">
        <f>SUBTOTAL(9,X2:X2661)</f>
        <v>8774878.2279062122</v>
      </c>
      <c r="Z2662" s="5">
        <f>SUBTOTAL(9,Z2:Z2661)</f>
        <v>8852647.3166666906</v>
      </c>
    </row>
  </sheetData>
  <autoFilter ref="A1:Y2660" xr:uid="{B482B35F-AB91-405B-9B01-2AE4098615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1448884020367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PILGRIM</dc:creator>
  <cp:lastModifiedBy>Vadia Pooja</cp:lastModifiedBy>
  <dcterms:created xsi:type="dcterms:W3CDTF">2025-10-08T05:38:35Z</dcterms:created>
  <dcterms:modified xsi:type="dcterms:W3CDTF">2025-11-10T07:00:51Z</dcterms:modified>
</cp:coreProperties>
</file>