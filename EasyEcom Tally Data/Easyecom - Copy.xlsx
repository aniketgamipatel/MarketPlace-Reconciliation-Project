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6fe518618cf127/Documents/Desktop/amazon/EasyEcom Tally Data/"/>
    </mc:Choice>
  </mc:AlternateContent>
  <xr:revisionPtr revIDLastSave="5" documentId="13_ncr:1_{D4B50E7F-6C72-41A2-BC93-EBF39C7DCA8A}" xr6:coauthVersionLast="47" xr6:coauthVersionMax="47" xr10:uidLastSave="{BBBC9893-C8B3-469C-BFFB-036AD177D3A6}"/>
  <bookViews>
    <workbookView xWindow="-108" yWindow="-108" windowWidth="23256" windowHeight="12456" xr2:uid="{DB367190-F2F1-4002-8490-DE5DF1A1AE8B}"/>
  </bookViews>
  <sheets>
    <sheet name="InventorySnapshotHistory_11537_" sheetId="1" r:id="rId1"/>
  </sheets>
  <externalReferences>
    <externalReference r:id="rId2"/>
    <externalReference r:id="rId3"/>
  </externalReferences>
  <definedNames>
    <definedName name="_xlnm._FilterDatabase" localSheetId="0" hidden="1">InventorySnapshotHistory_11537_!$A$1:$AS$1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" i="1" l="1"/>
  <c r="AR2752" i="1"/>
  <c r="AR2467" i="1"/>
  <c r="AR2346" i="1"/>
  <c r="AR2345" i="1"/>
  <c r="AR2344" i="1"/>
  <c r="AR2336" i="1"/>
  <c r="AR2331" i="1"/>
  <c r="AR2330" i="1"/>
  <c r="AR2329" i="1"/>
  <c r="AR2322" i="1"/>
  <c r="AR2321" i="1"/>
  <c r="AR2320" i="1"/>
  <c r="AR2319" i="1"/>
  <c r="AR2318" i="1"/>
  <c r="AR2317" i="1"/>
  <c r="AR2290" i="1"/>
  <c r="AR2289" i="1"/>
  <c r="AR2288" i="1"/>
  <c r="AR2287" i="1"/>
  <c r="AR2286" i="1"/>
  <c r="AR2285" i="1"/>
  <c r="AR2284" i="1"/>
  <c r="AR2283" i="1"/>
  <c r="AR2282" i="1"/>
  <c r="AR2281" i="1"/>
  <c r="AR2280" i="1"/>
  <c r="AR2271" i="1"/>
  <c r="AR2229" i="1"/>
  <c r="AR2228" i="1"/>
  <c r="AR2227" i="1"/>
  <c r="AR2222" i="1"/>
  <c r="AR2221" i="1"/>
  <c r="AR2220" i="1"/>
  <c r="AR2219" i="1"/>
  <c r="AR2218" i="1"/>
  <c r="AR2217" i="1"/>
  <c r="AR2216" i="1"/>
  <c r="AR2215" i="1"/>
  <c r="AR2214" i="1"/>
  <c r="AR2213" i="1"/>
  <c r="AR2212" i="1"/>
  <c r="AR2211" i="1"/>
  <c r="AR2210" i="1"/>
  <c r="AR2209" i="1"/>
  <c r="AR2208" i="1"/>
  <c r="AR2207" i="1"/>
  <c r="AR2206" i="1"/>
  <c r="AR2205" i="1"/>
  <c r="AR2204" i="1"/>
  <c r="AR2203" i="1"/>
  <c r="AR2202" i="1"/>
  <c r="AR2201" i="1"/>
  <c r="AR2200" i="1"/>
  <c r="AR2199" i="1"/>
  <c r="AR2198" i="1"/>
  <c r="AR2197" i="1"/>
  <c r="AR2196" i="1"/>
  <c r="AR2189" i="1"/>
  <c r="AR2188" i="1"/>
  <c r="AR2187" i="1"/>
  <c r="AR2186" i="1"/>
  <c r="AR2185" i="1"/>
  <c r="AR2184" i="1"/>
  <c r="AR2183" i="1"/>
  <c r="AR2182" i="1"/>
  <c r="AR2181" i="1"/>
  <c r="AR2180" i="1"/>
  <c r="AR2179" i="1"/>
  <c r="AR2178" i="1"/>
  <c r="AR2177" i="1"/>
  <c r="AR2176" i="1"/>
  <c r="AR2175" i="1"/>
  <c r="AR2174" i="1"/>
  <c r="AR2173" i="1"/>
  <c r="AR2172" i="1"/>
  <c r="AR2171" i="1"/>
  <c r="AR2170" i="1"/>
  <c r="AR2169" i="1"/>
  <c r="AR2168" i="1"/>
  <c r="AR2167" i="1"/>
  <c r="AR2166" i="1"/>
  <c r="AR2165" i="1"/>
  <c r="AR2164" i="1"/>
  <c r="AR2163" i="1"/>
  <c r="AR2162" i="1"/>
  <c r="AR2161" i="1"/>
  <c r="AR2160" i="1"/>
  <c r="AR2159" i="1"/>
  <c r="AR2158" i="1"/>
  <c r="AR2157" i="1"/>
  <c r="AR2156" i="1"/>
  <c r="AR2155" i="1"/>
  <c r="AR2154" i="1"/>
  <c r="AR2153" i="1"/>
  <c r="AR2152" i="1"/>
  <c r="AR2151" i="1"/>
  <c r="AR2150" i="1"/>
  <c r="AR2149" i="1"/>
  <c r="AR2148" i="1"/>
  <c r="AR2147" i="1"/>
  <c r="AR2146" i="1"/>
  <c r="AR2145" i="1"/>
  <c r="AR2144" i="1"/>
  <c r="AR2143" i="1"/>
  <c r="AR2142" i="1"/>
  <c r="AR2141" i="1"/>
  <c r="AR2140" i="1"/>
  <c r="AR2139" i="1"/>
  <c r="AR2138" i="1"/>
  <c r="AR2137" i="1"/>
  <c r="AR2136" i="1"/>
  <c r="AR2135" i="1"/>
  <c r="AR2134" i="1"/>
  <c r="AR2133" i="1"/>
  <c r="AR2132" i="1"/>
  <c r="AR2131" i="1"/>
  <c r="AR2130" i="1"/>
  <c r="AR2129" i="1"/>
  <c r="AR2128" i="1"/>
  <c r="AR2127" i="1"/>
  <c r="AR2126" i="1"/>
  <c r="AR2125" i="1"/>
  <c r="AR2124" i="1"/>
  <c r="AR2123" i="1"/>
  <c r="AR2122" i="1"/>
  <c r="AR2121" i="1"/>
  <c r="AR2120" i="1"/>
  <c r="AR2119" i="1"/>
  <c r="AR2118" i="1"/>
  <c r="AR2117" i="1"/>
  <c r="AR2116" i="1"/>
  <c r="AR2115" i="1"/>
  <c r="AR2114" i="1"/>
  <c r="AR2113" i="1"/>
  <c r="AR2112" i="1"/>
  <c r="AR2111" i="1"/>
  <c r="AR2110" i="1"/>
  <c r="AR2109" i="1"/>
  <c r="AR2108" i="1"/>
  <c r="AR2107" i="1"/>
  <c r="AR2106" i="1"/>
  <c r="AR2105" i="1"/>
  <c r="AR2104" i="1"/>
  <c r="AR2103" i="1"/>
  <c r="AR2102" i="1"/>
  <c r="AR2101" i="1"/>
  <c r="AR2100" i="1"/>
  <c r="AR2099" i="1"/>
  <c r="AR2098" i="1"/>
  <c r="AR2097" i="1"/>
  <c r="AR2096" i="1"/>
  <c r="AR2095" i="1"/>
  <c r="AR2094" i="1"/>
  <c r="AR2093" i="1"/>
  <c r="AR2092" i="1"/>
  <c r="AR2091" i="1"/>
  <c r="AR2090" i="1"/>
  <c r="AR2089" i="1"/>
  <c r="AR2088" i="1"/>
  <c r="AR2087" i="1"/>
  <c r="AR2086" i="1"/>
  <c r="AR2085" i="1"/>
  <c r="AR2084" i="1"/>
  <c r="AR2083" i="1"/>
  <c r="AR2082" i="1"/>
  <c r="AR2081" i="1"/>
  <c r="AR2080" i="1"/>
  <c r="AR2079" i="1"/>
  <c r="AR2078" i="1"/>
  <c r="AR2077" i="1"/>
  <c r="AR2076" i="1"/>
  <c r="AR2075" i="1"/>
  <c r="AR2074" i="1"/>
  <c r="AR2073" i="1"/>
  <c r="AR2072" i="1"/>
  <c r="AR2071" i="1"/>
  <c r="AR2070" i="1"/>
  <c r="AR2069" i="1"/>
  <c r="AR2057" i="1"/>
  <c r="AR1921" i="1"/>
  <c r="AR1920" i="1"/>
  <c r="AR1897" i="1"/>
  <c r="AR1891" i="1"/>
  <c r="AR1890" i="1"/>
  <c r="AR1889" i="1"/>
  <c r="AR1888" i="1"/>
  <c r="AR1877" i="1"/>
  <c r="AR1849" i="1"/>
  <c r="AR1848" i="1"/>
  <c r="AR1847" i="1"/>
  <c r="AR1846" i="1"/>
  <c r="AR1845" i="1"/>
  <c r="AR1844" i="1"/>
  <c r="AR1842" i="1"/>
  <c r="AR1841" i="1"/>
  <c r="AR1840" i="1"/>
  <c r="AR1839" i="1"/>
  <c r="AR1838" i="1"/>
  <c r="AR1837" i="1"/>
  <c r="AR1836" i="1"/>
  <c r="AR1835" i="1"/>
  <c r="AR1834" i="1"/>
  <c r="AR1833" i="1"/>
  <c r="AR1832" i="1"/>
  <c r="AR1831" i="1"/>
  <c r="AR1830" i="1"/>
  <c r="AR1829" i="1"/>
  <c r="AR1828" i="1"/>
  <c r="AR1827" i="1"/>
  <c r="AR1826" i="1"/>
  <c r="AR1825" i="1"/>
  <c r="AR1824" i="1"/>
  <c r="AR1823" i="1"/>
  <c r="AR1822" i="1"/>
  <c r="AR1821" i="1"/>
  <c r="AR1820" i="1"/>
  <c r="AR1819" i="1"/>
  <c r="AR1818" i="1"/>
  <c r="AR1817" i="1"/>
  <c r="AR1816" i="1"/>
  <c r="AR1815" i="1"/>
  <c r="AR1814" i="1"/>
  <c r="AR1813" i="1"/>
  <c r="AR1812" i="1"/>
  <c r="AR1811" i="1"/>
  <c r="AR1807" i="1"/>
  <c r="AR1805" i="1"/>
  <c r="AR1739" i="1"/>
  <c r="AR1708" i="1"/>
  <c r="AR1707" i="1"/>
  <c r="AR1706" i="1"/>
  <c r="AR1705" i="1"/>
  <c r="AR1704" i="1"/>
  <c r="AR1703" i="1"/>
  <c r="AR1702" i="1"/>
  <c r="AR1701" i="1"/>
  <c r="AR1697" i="1"/>
  <c r="AR1694" i="1"/>
  <c r="AR1693" i="1"/>
  <c r="AR1692" i="1"/>
  <c r="AR1691" i="1"/>
  <c r="AR1690" i="1"/>
  <c r="AR1689" i="1"/>
  <c r="AR1688" i="1"/>
  <c r="AR1687" i="1"/>
  <c r="AR1686" i="1"/>
  <c r="AR1685" i="1"/>
  <c r="AR1684" i="1"/>
  <c r="AR1683" i="1"/>
  <c r="AR1682" i="1"/>
  <c r="AR1681" i="1"/>
  <c r="AR1680" i="1"/>
  <c r="AR1679" i="1"/>
  <c r="AR1678" i="1"/>
  <c r="AR1677" i="1"/>
  <c r="AR1676" i="1"/>
  <c r="AR1675" i="1"/>
  <c r="AR1674" i="1"/>
  <c r="AR1673" i="1"/>
  <c r="AR1666" i="1"/>
  <c r="AR1665" i="1"/>
  <c r="AR1664" i="1"/>
  <c r="AR1663" i="1"/>
  <c r="AR1662" i="1"/>
  <c r="AR1661" i="1"/>
  <c r="AR1660" i="1"/>
  <c r="AR1659" i="1"/>
  <c r="AR1658" i="1"/>
  <c r="AR1657" i="1"/>
  <c r="AR1656" i="1"/>
  <c r="AR1655" i="1"/>
  <c r="AR1654" i="1"/>
  <c r="AR1653" i="1"/>
  <c r="AR1652" i="1"/>
  <c r="AR1651" i="1"/>
  <c r="AR1650" i="1"/>
  <c r="AR1649" i="1"/>
  <c r="AR1648" i="1"/>
  <c r="AR1647" i="1"/>
  <c r="AR1646" i="1"/>
  <c r="AR1645" i="1"/>
  <c r="AR1644" i="1"/>
  <c r="AR1643" i="1"/>
  <c r="AR1642" i="1"/>
  <c r="AR1641" i="1"/>
  <c r="AR1640" i="1"/>
  <c r="AR1639" i="1"/>
  <c r="AR1638" i="1"/>
  <c r="AR1637" i="1"/>
  <c r="AR1636" i="1"/>
  <c r="AR1635" i="1"/>
  <c r="AR1634" i="1"/>
  <c r="AR1633" i="1"/>
  <c r="AR1632" i="1"/>
  <c r="AR1631" i="1"/>
  <c r="AR1630" i="1"/>
  <c r="AR1629" i="1"/>
  <c r="AR1628" i="1"/>
  <c r="AR1627" i="1"/>
  <c r="AR1626" i="1"/>
  <c r="AR1625" i="1"/>
  <c r="AR1624" i="1"/>
  <c r="AR1623" i="1"/>
  <c r="AR1622" i="1"/>
  <c r="AR1621" i="1"/>
  <c r="AR1620" i="1"/>
  <c r="AR1616" i="1"/>
  <c r="AR1615" i="1"/>
  <c r="AR1614" i="1"/>
  <c r="AR1611" i="1"/>
  <c r="AR1610" i="1"/>
  <c r="AR1609" i="1"/>
  <c r="AR1608" i="1"/>
  <c r="AR1607" i="1"/>
  <c r="AR1606" i="1"/>
  <c r="AR1605" i="1"/>
  <c r="AR1604" i="1"/>
  <c r="AR1603" i="1"/>
  <c r="AR1602" i="1"/>
  <c r="AR1601" i="1"/>
  <c r="AR1600" i="1"/>
  <c r="AR1599" i="1"/>
  <c r="AR1598" i="1"/>
  <c r="AR1597" i="1"/>
  <c r="AR1596" i="1"/>
  <c r="AR1595" i="1"/>
  <c r="AR1594" i="1"/>
  <c r="AR1593" i="1"/>
  <c r="AR1592" i="1"/>
  <c r="AR1591" i="1"/>
  <c r="AR1590" i="1"/>
  <c r="AR1589" i="1"/>
  <c r="AR1588" i="1"/>
  <c r="AR1587" i="1"/>
  <c r="AR1586" i="1"/>
  <c r="AR1585" i="1"/>
  <c r="AR1584" i="1"/>
  <c r="AR1583" i="1"/>
  <c r="AR1582" i="1"/>
  <c r="AR1581" i="1"/>
  <c r="AR1580" i="1"/>
  <c r="AR1579" i="1"/>
  <c r="AR1578" i="1"/>
  <c r="AR1577" i="1"/>
  <c r="AR1576" i="1"/>
  <c r="AR1575" i="1"/>
  <c r="AR1574" i="1"/>
  <c r="AR1573" i="1"/>
  <c r="AR1572" i="1"/>
  <c r="AR1571" i="1"/>
  <c r="AR1570" i="1"/>
  <c r="AR1569" i="1"/>
  <c r="AR1568" i="1"/>
  <c r="AR1567" i="1"/>
  <c r="AR1566" i="1"/>
  <c r="AR1565" i="1"/>
  <c r="AR1564" i="1"/>
  <c r="AR1563" i="1"/>
  <c r="AR1562" i="1"/>
  <c r="AR1561" i="1"/>
  <c r="AR1560" i="1"/>
  <c r="AR1559" i="1"/>
  <c r="AR1558" i="1"/>
  <c r="AR1557" i="1"/>
  <c r="AR1556" i="1"/>
  <c r="AR1555" i="1"/>
  <c r="AR1554" i="1"/>
  <c r="AR1553" i="1"/>
  <c r="AR1552" i="1"/>
  <c r="AR1551" i="1"/>
  <c r="AR1550" i="1"/>
  <c r="AR1549" i="1"/>
  <c r="AR1548" i="1"/>
  <c r="AR1547" i="1"/>
  <c r="AR1546" i="1"/>
  <c r="AR1545" i="1"/>
  <c r="AR1544" i="1"/>
  <c r="AR1543" i="1"/>
  <c r="AR1542" i="1"/>
  <c r="AR1541" i="1"/>
  <c r="AR1540" i="1"/>
  <c r="AR1539" i="1"/>
  <c r="AR1538" i="1"/>
  <c r="AR1537" i="1"/>
  <c r="AR1536" i="1"/>
  <c r="AR1535" i="1"/>
  <c r="AR1534" i="1"/>
  <c r="AR1533" i="1"/>
  <c r="AR1532" i="1"/>
  <c r="AR1525" i="1"/>
  <c r="AR1498" i="1"/>
  <c r="AR1319" i="1"/>
  <c r="AR1318" i="1"/>
  <c r="AR1317" i="1"/>
  <c r="AR1316" i="1"/>
  <c r="AR1312" i="1"/>
  <c r="AR1311" i="1"/>
  <c r="AR1310" i="1"/>
  <c r="AR1309" i="1"/>
  <c r="AR1308" i="1"/>
  <c r="AR1307" i="1"/>
  <c r="AR1306" i="1"/>
  <c r="AR1305" i="1"/>
  <c r="AR1304" i="1"/>
  <c r="AR1303" i="1"/>
  <c r="AR1302" i="1"/>
  <c r="AR1301" i="1"/>
  <c r="AR1300" i="1"/>
  <c r="AR1299" i="1"/>
  <c r="AR1298" i="1"/>
  <c r="AR1297" i="1"/>
  <c r="AR1296" i="1"/>
  <c r="AR1295" i="1"/>
  <c r="AR1294" i="1"/>
  <c r="AR1292" i="1"/>
  <c r="AR1291" i="1"/>
  <c r="AR1290" i="1"/>
  <c r="AR1289" i="1"/>
  <c r="AR1288" i="1"/>
  <c r="AR1287" i="1"/>
  <c r="AR1284" i="1"/>
  <c r="AR1283" i="1"/>
  <c r="AR1282" i="1"/>
  <c r="AR1281" i="1"/>
  <c r="AR1280" i="1"/>
  <c r="AR1279" i="1"/>
  <c r="AR1278" i="1"/>
  <c r="AR1277" i="1"/>
  <c r="AR1276" i="1"/>
  <c r="AR1275" i="1"/>
  <c r="AR1274" i="1"/>
  <c r="AR1273" i="1"/>
  <c r="AR1272" i="1"/>
  <c r="AR1271" i="1"/>
  <c r="AR1270" i="1"/>
  <c r="AR1269" i="1"/>
  <c r="AR1268" i="1"/>
  <c r="AR1267" i="1"/>
  <c r="AR1266" i="1"/>
  <c r="AR1265" i="1"/>
  <c r="AR1264" i="1"/>
  <c r="AR1263" i="1"/>
  <c r="AR1262" i="1"/>
  <c r="AR1261" i="1"/>
  <c r="AR1260" i="1"/>
  <c r="AR1259" i="1"/>
  <c r="AR1258" i="1"/>
  <c r="AR1257" i="1"/>
  <c r="AR1256" i="1"/>
  <c r="AR1255" i="1"/>
  <c r="AR1254" i="1"/>
  <c r="AR1253" i="1"/>
  <c r="AR1252" i="1"/>
  <c r="AR1251" i="1"/>
  <c r="AR1250" i="1"/>
  <c r="AR1244" i="1"/>
  <c r="AR1243" i="1"/>
  <c r="AR1242" i="1"/>
  <c r="AR1241" i="1"/>
  <c r="AR1240" i="1"/>
  <c r="AR1239" i="1"/>
  <c r="AR1238" i="1"/>
  <c r="AR1237" i="1"/>
  <c r="AR1234" i="1"/>
  <c r="AR1233" i="1"/>
  <c r="AR1232" i="1"/>
  <c r="AR1231" i="1"/>
  <c r="AR1230" i="1"/>
  <c r="AR1229" i="1"/>
  <c r="AR1228" i="1"/>
  <c r="AR1227" i="1"/>
  <c r="AR1226" i="1"/>
  <c r="AR1225" i="1"/>
  <c r="AR1224" i="1"/>
  <c r="AR1223" i="1"/>
  <c r="AR1222" i="1"/>
  <c r="AR1221" i="1"/>
  <c r="AR1220" i="1"/>
  <c r="AR1219" i="1"/>
  <c r="AR1218" i="1"/>
  <c r="AR1217" i="1"/>
  <c r="AR1216" i="1"/>
  <c r="AR1215" i="1"/>
  <c r="AR1214" i="1"/>
  <c r="AR1213" i="1"/>
  <c r="AR1212" i="1"/>
  <c r="AR1211" i="1"/>
  <c r="AR1210" i="1"/>
  <c r="AR1209" i="1"/>
  <c r="AR1208" i="1"/>
  <c r="AR1207" i="1"/>
  <c r="AR1206" i="1"/>
  <c r="AR1205" i="1"/>
  <c r="AR1204" i="1"/>
  <c r="AR1203" i="1"/>
  <c r="AR1202" i="1"/>
  <c r="AR1201" i="1"/>
  <c r="AR1200" i="1"/>
  <c r="AR1199" i="1"/>
  <c r="AR1198" i="1"/>
  <c r="AR1197" i="1"/>
  <c r="AR1196" i="1"/>
  <c r="AR1195" i="1"/>
  <c r="AR1194" i="1"/>
  <c r="AR1193" i="1"/>
  <c r="AR1192" i="1"/>
  <c r="AR1191" i="1"/>
  <c r="AR1190" i="1"/>
  <c r="AR1189" i="1"/>
  <c r="AR1188" i="1"/>
  <c r="AR1187" i="1"/>
  <c r="AR1186" i="1"/>
  <c r="AR1185" i="1"/>
  <c r="AR1184" i="1"/>
  <c r="AR1183" i="1"/>
  <c r="AR1182" i="1"/>
  <c r="AR1181" i="1"/>
  <c r="AR1180" i="1"/>
  <c r="AR1179" i="1"/>
  <c r="AR1178" i="1"/>
  <c r="AR1177" i="1"/>
  <c r="AR1176" i="1"/>
  <c r="AR1175" i="1"/>
  <c r="AR1174" i="1"/>
  <c r="AR1173" i="1"/>
  <c r="AR1172" i="1"/>
  <c r="AR1171" i="1"/>
  <c r="AR1170" i="1"/>
  <c r="AR1169" i="1"/>
  <c r="AR1168" i="1"/>
  <c r="AR1167" i="1"/>
  <c r="AR1166" i="1"/>
  <c r="AR1165" i="1"/>
  <c r="AR1164" i="1"/>
  <c r="AR1163" i="1"/>
  <c r="AR1162" i="1"/>
  <c r="AR1161" i="1"/>
  <c r="AR1160" i="1"/>
  <c r="AR1159" i="1"/>
  <c r="AR1158" i="1"/>
  <c r="AR1157" i="1"/>
  <c r="AR1156" i="1"/>
  <c r="AR1155" i="1"/>
  <c r="AR1154" i="1"/>
  <c r="AR1153" i="1"/>
  <c r="AR1152" i="1"/>
  <c r="AR1151" i="1"/>
  <c r="AR1150" i="1"/>
  <c r="AR1149" i="1"/>
  <c r="AR1148" i="1"/>
  <c r="AR1147" i="1"/>
  <c r="AR1146" i="1"/>
  <c r="AR1145" i="1"/>
  <c r="AR1144" i="1"/>
  <c r="AR1143" i="1"/>
  <c r="AR1142" i="1"/>
  <c r="AR1141" i="1"/>
  <c r="AR1140" i="1"/>
  <c r="AR1139" i="1"/>
  <c r="AR1132" i="1"/>
  <c r="AR1131" i="1"/>
  <c r="AR1128" i="1"/>
  <c r="AR1103" i="1"/>
  <c r="AR1068" i="1"/>
  <c r="AR1067" i="1"/>
  <c r="AR1059" i="1"/>
  <c r="AR1054" i="1"/>
  <c r="AR1020" i="1"/>
  <c r="AR1018" i="1"/>
  <c r="AR1017" i="1"/>
  <c r="AR1016" i="1"/>
  <c r="AR1015" i="1"/>
  <c r="AR1014" i="1"/>
  <c r="AR1013" i="1"/>
  <c r="AR1012" i="1"/>
  <c r="AR1011" i="1"/>
  <c r="AR962" i="1"/>
  <c r="AR883" i="1"/>
  <c r="AR878" i="1"/>
  <c r="AR876" i="1"/>
  <c r="AR874" i="1"/>
  <c r="AR827" i="1"/>
  <c r="AR826" i="1"/>
  <c r="AR825" i="1"/>
  <c r="AR813" i="1"/>
  <c r="AR812" i="1"/>
  <c r="AR808" i="1"/>
  <c r="AR807" i="1"/>
  <c r="AR785" i="1"/>
  <c r="AR719" i="1"/>
  <c r="AR689" i="1"/>
  <c r="AR684" i="1"/>
  <c r="AR683" i="1"/>
  <c r="AR682" i="1"/>
  <c r="AR672" i="1"/>
  <c r="AR565" i="1"/>
  <c r="AR555" i="1"/>
  <c r="AR460" i="1"/>
  <c r="AR459" i="1"/>
  <c r="AR454" i="1"/>
  <c r="AR453" i="1"/>
  <c r="AR450" i="1"/>
  <c r="AR447" i="1"/>
  <c r="AR444" i="1"/>
  <c r="AR443" i="1"/>
  <c r="AR442" i="1"/>
  <c r="AR441" i="1"/>
  <c r="AR440" i="1"/>
  <c r="AR439" i="1"/>
  <c r="AR438" i="1"/>
  <c r="AR437" i="1"/>
  <c r="AR436" i="1"/>
  <c r="AR435" i="1"/>
  <c r="AR434" i="1"/>
  <c r="AR433" i="1"/>
  <c r="AR432" i="1"/>
  <c r="AR431" i="1"/>
  <c r="AR430" i="1"/>
  <c r="AR429" i="1"/>
  <c r="AR428" i="1"/>
  <c r="AR427" i="1"/>
  <c r="AR426" i="1"/>
  <c r="AR425" i="1"/>
  <c r="AR424" i="1"/>
  <c r="AR423" i="1"/>
  <c r="AR422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50" i="1"/>
  <c r="AR241" i="1"/>
  <c r="AR240" i="1"/>
  <c r="AR236" i="1"/>
  <c r="AR170" i="1"/>
  <c r="AR169" i="1"/>
  <c r="AR159" i="1"/>
  <c r="AR148" i="1"/>
  <c r="AR131" i="1"/>
  <c r="AR130" i="1"/>
  <c r="AR128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5" i="1"/>
  <c r="AR94" i="1"/>
  <c r="AR93" i="1"/>
  <c r="AR92" i="1"/>
  <c r="AR91" i="1"/>
  <c r="AR90" i="1"/>
  <c r="AR89" i="1"/>
  <c r="AR88" i="1"/>
  <c r="AR87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3" i="1"/>
  <c r="AR42" i="1"/>
  <c r="AR41" i="1"/>
  <c r="AR2780" i="1" l="1"/>
  <c r="AR2779" i="1"/>
  <c r="AR2778" i="1"/>
  <c r="AR2777" i="1"/>
  <c r="AR2776" i="1"/>
  <c r="AR2775" i="1"/>
  <c r="AR2774" i="1"/>
  <c r="AR2773" i="1"/>
  <c r="AR2772" i="1"/>
  <c r="AR2771" i="1"/>
  <c r="AR2770" i="1"/>
  <c r="AR2769" i="1"/>
  <c r="AR2768" i="1"/>
  <c r="AR2767" i="1"/>
  <c r="AR2766" i="1"/>
  <c r="AR2765" i="1"/>
  <c r="AR2764" i="1"/>
  <c r="AR2763" i="1"/>
  <c r="AR2762" i="1"/>
  <c r="AR2761" i="1"/>
  <c r="AR2760" i="1"/>
  <c r="AR2759" i="1"/>
  <c r="AR2758" i="1"/>
  <c r="AR2757" i="1"/>
  <c r="AR2756" i="1"/>
  <c r="AR2755" i="1"/>
  <c r="AR2754" i="1"/>
  <c r="AR2753" i="1"/>
  <c r="AR2751" i="1"/>
  <c r="AR2750" i="1"/>
  <c r="AR2749" i="1"/>
  <c r="AR2748" i="1"/>
  <c r="AR2747" i="1"/>
  <c r="AR2746" i="1"/>
  <c r="AR2745" i="1"/>
  <c r="AR2744" i="1"/>
  <c r="AR2743" i="1"/>
  <c r="AR2742" i="1"/>
  <c r="AR2741" i="1"/>
  <c r="AR2740" i="1"/>
  <c r="AR2739" i="1"/>
  <c r="AR2738" i="1"/>
  <c r="AR2737" i="1"/>
  <c r="AR2736" i="1"/>
  <c r="AR2735" i="1"/>
  <c r="AR2734" i="1"/>
  <c r="AR2733" i="1"/>
  <c r="AR2732" i="1"/>
  <c r="AR2731" i="1"/>
  <c r="AR2730" i="1"/>
  <c r="AR2729" i="1"/>
  <c r="AR2728" i="1"/>
  <c r="AR2727" i="1"/>
  <c r="AR2726" i="1"/>
  <c r="AR2725" i="1"/>
  <c r="AR2724" i="1"/>
  <c r="AR2723" i="1"/>
  <c r="AR2722" i="1"/>
  <c r="AR2721" i="1"/>
  <c r="AR2720" i="1"/>
  <c r="AR2719" i="1"/>
  <c r="AR2718" i="1"/>
  <c r="AR2717" i="1"/>
  <c r="AR2716" i="1"/>
  <c r="AR2715" i="1"/>
  <c r="AR2714" i="1"/>
  <c r="AR2713" i="1"/>
  <c r="AR2712" i="1"/>
  <c r="AR2711" i="1"/>
  <c r="AR2710" i="1"/>
  <c r="AR2709" i="1"/>
  <c r="AR2708" i="1"/>
  <c r="AR2707" i="1"/>
  <c r="AR2706" i="1"/>
  <c r="AR2705" i="1"/>
  <c r="AR2704" i="1"/>
  <c r="AR2703" i="1"/>
  <c r="AR2702" i="1"/>
  <c r="AR2701" i="1"/>
  <c r="AR2700" i="1"/>
  <c r="AR2699" i="1"/>
  <c r="AR2698" i="1"/>
  <c r="AR2697" i="1"/>
  <c r="AR2696" i="1"/>
  <c r="AR2695" i="1"/>
  <c r="AR2694" i="1"/>
  <c r="AR2693" i="1"/>
  <c r="AR2692" i="1"/>
  <c r="AR2691" i="1"/>
  <c r="AR2690" i="1"/>
  <c r="AR2689" i="1"/>
  <c r="AR2688" i="1"/>
  <c r="AR2687" i="1"/>
  <c r="AR2686" i="1"/>
  <c r="AR2685" i="1"/>
  <c r="AR2684" i="1"/>
  <c r="AR2683" i="1"/>
  <c r="AR2682" i="1"/>
  <c r="AR2681" i="1"/>
  <c r="AR2680" i="1"/>
  <c r="AR2679" i="1"/>
  <c r="AR2678" i="1"/>
  <c r="AR2677" i="1"/>
  <c r="AR2676" i="1"/>
  <c r="AR2675" i="1"/>
  <c r="AR2674" i="1"/>
  <c r="AR2673" i="1"/>
  <c r="AR2672" i="1"/>
  <c r="AR2671" i="1"/>
  <c r="AR2670" i="1"/>
  <c r="AR2669" i="1"/>
  <c r="AR2668" i="1"/>
  <c r="AR2667" i="1"/>
  <c r="AR2666" i="1"/>
  <c r="AR2665" i="1"/>
  <c r="AR2664" i="1"/>
  <c r="AR2663" i="1"/>
  <c r="AR2662" i="1"/>
  <c r="AR2661" i="1"/>
  <c r="AR2660" i="1"/>
  <c r="AR2659" i="1"/>
  <c r="AR2658" i="1"/>
  <c r="AR2657" i="1"/>
  <c r="AR2656" i="1"/>
  <c r="AR2655" i="1"/>
  <c r="AR2654" i="1"/>
  <c r="AR2653" i="1"/>
  <c r="AR2652" i="1"/>
  <c r="AR2651" i="1"/>
  <c r="AR2650" i="1"/>
  <c r="AR2649" i="1"/>
  <c r="AR2648" i="1"/>
  <c r="AR2647" i="1"/>
  <c r="AR2646" i="1"/>
  <c r="AR2645" i="1"/>
  <c r="AR2644" i="1"/>
  <c r="AR2643" i="1"/>
  <c r="AR2642" i="1"/>
  <c r="AR2641" i="1"/>
  <c r="AR2640" i="1"/>
  <c r="AR2639" i="1"/>
  <c r="AR2638" i="1"/>
  <c r="AR2637" i="1"/>
  <c r="AR2636" i="1"/>
  <c r="AR2635" i="1"/>
  <c r="AR2634" i="1"/>
  <c r="AR2633" i="1"/>
  <c r="AR2632" i="1"/>
  <c r="AR2631" i="1"/>
  <c r="AR2630" i="1"/>
  <c r="AR2629" i="1"/>
  <c r="AR2628" i="1"/>
  <c r="AR2627" i="1"/>
  <c r="AR2626" i="1"/>
  <c r="AR2625" i="1"/>
  <c r="AR2624" i="1"/>
  <c r="AR2623" i="1"/>
  <c r="AR2622" i="1"/>
  <c r="AR2621" i="1"/>
  <c r="AR2620" i="1"/>
  <c r="AR2619" i="1"/>
  <c r="AR2618" i="1"/>
  <c r="AR2617" i="1"/>
  <c r="AR2616" i="1"/>
  <c r="AR2615" i="1"/>
  <c r="AR2614" i="1"/>
  <c r="AR2613" i="1"/>
  <c r="AR2612" i="1"/>
  <c r="AR2611" i="1"/>
  <c r="AR2610" i="1"/>
  <c r="AR2609" i="1"/>
  <c r="AR2608" i="1"/>
  <c r="AR2607" i="1"/>
  <c r="AR2606" i="1"/>
  <c r="AR2605" i="1"/>
  <c r="AR2604" i="1"/>
  <c r="AR2603" i="1"/>
  <c r="AR2602" i="1"/>
  <c r="AR2601" i="1"/>
  <c r="AR2600" i="1"/>
  <c r="AR2599" i="1"/>
  <c r="AR2598" i="1"/>
  <c r="AR2597" i="1"/>
  <c r="AR2596" i="1"/>
  <c r="AR2595" i="1"/>
  <c r="AR2594" i="1"/>
  <c r="AR2593" i="1"/>
  <c r="AR2592" i="1"/>
  <c r="AR2591" i="1"/>
  <c r="AR2590" i="1"/>
  <c r="AR2589" i="1"/>
  <c r="AR2588" i="1"/>
  <c r="AR2587" i="1"/>
  <c r="AR2586" i="1"/>
  <c r="AR2585" i="1"/>
  <c r="AR2584" i="1"/>
  <c r="AR2583" i="1"/>
  <c r="AR2582" i="1"/>
  <c r="AR2581" i="1"/>
  <c r="AR2580" i="1"/>
  <c r="AR2579" i="1"/>
  <c r="AR2578" i="1"/>
  <c r="AR2577" i="1"/>
  <c r="AR2576" i="1"/>
  <c r="AR2575" i="1"/>
  <c r="AR2574" i="1"/>
  <c r="AR2573" i="1"/>
  <c r="AR2572" i="1"/>
  <c r="AR2571" i="1"/>
  <c r="AR2570" i="1"/>
  <c r="AR2569" i="1"/>
  <c r="AR2568" i="1"/>
  <c r="AR2567" i="1"/>
  <c r="AR2566" i="1"/>
  <c r="AR2565" i="1"/>
  <c r="AR2564" i="1"/>
  <c r="AR2563" i="1"/>
  <c r="AR2562" i="1"/>
  <c r="AR2561" i="1"/>
  <c r="AR2560" i="1"/>
  <c r="AR2559" i="1"/>
  <c r="AR2558" i="1"/>
  <c r="AR2557" i="1"/>
  <c r="AR2556" i="1"/>
  <c r="AR2555" i="1"/>
  <c r="AR2554" i="1"/>
  <c r="AR2553" i="1"/>
  <c r="AR2552" i="1"/>
  <c r="AR2551" i="1"/>
  <c r="AR2550" i="1"/>
  <c r="AR2549" i="1"/>
  <c r="AR2548" i="1"/>
  <c r="AR2547" i="1"/>
  <c r="AR2546" i="1"/>
  <c r="AR2545" i="1"/>
  <c r="AR2544" i="1"/>
  <c r="AR2543" i="1"/>
  <c r="AR2542" i="1"/>
  <c r="AR2541" i="1"/>
  <c r="AR2540" i="1"/>
  <c r="AR2539" i="1"/>
  <c r="AR2538" i="1"/>
  <c r="AR2537" i="1"/>
  <c r="AR2536" i="1"/>
  <c r="AR2535" i="1"/>
  <c r="AR2534" i="1"/>
  <c r="AR2533" i="1"/>
  <c r="AR2532" i="1"/>
  <c r="AR2531" i="1"/>
  <c r="AR2530" i="1"/>
  <c r="AR2529" i="1"/>
  <c r="AR2528" i="1"/>
  <c r="AR2527" i="1"/>
  <c r="AR2526" i="1"/>
  <c r="AR2525" i="1"/>
  <c r="AR2524" i="1"/>
  <c r="AR2523" i="1"/>
  <c r="AR2522" i="1"/>
  <c r="AR2521" i="1"/>
  <c r="AR2520" i="1"/>
  <c r="AR2519" i="1"/>
  <c r="AR2518" i="1"/>
  <c r="AR2517" i="1"/>
  <c r="AR2516" i="1"/>
  <c r="AR2515" i="1"/>
  <c r="AR2514" i="1"/>
  <c r="AR2513" i="1"/>
  <c r="AR2512" i="1"/>
  <c r="AR2511" i="1"/>
  <c r="AR2510" i="1"/>
  <c r="AR2509" i="1"/>
  <c r="AR2508" i="1"/>
  <c r="AR2507" i="1"/>
  <c r="AR2506" i="1"/>
  <c r="AR2505" i="1"/>
  <c r="AR2504" i="1"/>
  <c r="AR2503" i="1"/>
  <c r="AR2502" i="1"/>
  <c r="AR2501" i="1"/>
  <c r="AR2500" i="1"/>
  <c r="AR2499" i="1"/>
  <c r="AR2498" i="1"/>
  <c r="AR2497" i="1"/>
  <c r="AR2496" i="1"/>
  <c r="AR2495" i="1"/>
  <c r="AR2494" i="1"/>
  <c r="AR2493" i="1"/>
  <c r="AR2492" i="1"/>
  <c r="AR2491" i="1"/>
  <c r="AR2490" i="1"/>
  <c r="AR2489" i="1"/>
  <c r="AR2488" i="1"/>
  <c r="AR2487" i="1"/>
  <c r="AR2486" i="1"/>
  <c r="AR2485" i="1"/>
  <c r="AR2484" i="1"/>
  <c r="AR2483" i="1"/>
  <c r="AR2482" i="1"/>
  <c r="AR2481" i="1"/>
  <c r="AR2480" i="1"/>
  <c r="AR2479" i="1"/>
  <c r="AR2478" i="1"/>
  <c r="AR2477" i="1"/>
  <c r="AR2476" i="1"/>
  <c r="AR2475" i="1"/>
  <c r="AR2474" i="1"/>
  <c r="AR2473" i="1"/>
  <c r="AR2472" i="1"/>
  <c r="AR2471" i="1"/>
  <c r="AR2470" i="1"/>
  <c r="AR2469" i="1"/>
  <c r="AR2468" i="1"/>
  <c r="AR2466" i="1"/>
  <c r="AR2465" i="1"/>
  <c r="AR2464" i="1"/>
  <c r="AR2463" i="1"/>
  <c r="AR2462" i="1"/>
  <c r="AR2461" i="1"/>
  <c r="AR2460" i="1"/>
  <c r="AR2459" i="1"/>
  <c r="AR2458" i="1"/>
  <c r="AR2457" i="1"/>
  <c r="AR2456" i="1"/>
  <c r="AR2455" i="1"/>
  <c r="AR2454" i="1"/>
  <c r="AR2453" i="1"/>
  <c r="AR2452" i="1"/>
  <c r="AR2451" i="1"/>
  <c r="AR2450" i="1"/>
  <c r="AR2449" i="1"/>
  <c r="AR2448" i="1"/>
  <c r="AR2447" i="1"/>
  <c r="AR2446" i="1"/>
  <c r="AR2445" i="1"/>
  <c r="AR2444" i="1"/>
  <c r="AR2443" i="1"/>
  <c r="AR2442" i="1"/>
  <c r="AR2441" i="1"/>
  <c r="AR2440" i="1"/>
  <c r="AR2439" i="1"/>
  <c r="AR2438" i="1"/>
  <c r="AR2437" i="1"/>
  <c r="AR2436" i="1"/>
  <c r="AR2435" i="1"/>
  <c r="AR2434" i="1"/>
  <c r="AR2433" i="1"/>
  <c r="AR2432" i="1"/>
  <c r="AR2431" i="1"/>
  <c r="AR2430" i="1"/>
  <c r="AR2429" i="1"/>
  <c r="AR2428" i="1"/>
  <c r="AR2427" i="1"/>
  <c r="AR2426" i="1"/>
  <c r="AR2425" i="1"/>
  <c r="AR2424" i="1"/>
  <c r="AR2423" i="1"/>
  <c r="AR2422" i="1"/>
  <c r="AR2421" i="1"/>
  <c r="AR2420" i="1"/>
  <c r="AR2419" i="1"/>
  <c r="AR2418" i="1"/>
  <c r="AR2417" i="1"/>
  <c r="AR2416" i="1"/>
  <c r="AR2415" i="1"/>
  <c r="AR2414" i="1"/>
  <c r="AR2413" i="1"/>
  <c r="AR2412" i="1"/>
  <c r="AR2411" i="1"/>
  <c r="AR2410" i="1"/>
  <c r="AR2409" i="1"/>
  <c r="AR2408" i="1"/>
  <c r="AR2407" i="1"/>
  <c r="AR2406" i="1"/>
  <c r="AR2405" i="1"/>
  <c r="AR2404" i="1"/>
  <c r="AR2403" i="1"/>
  <c r="AR2402" i="1"/>
  <c r="AR2401" i="1"/>
  <c r="AR2400" i="1"/>
  <c r="AR2399" i="1"/>
  <c r="AR2398" i="1"/>
  <c r="AR2397" i="1"/>
  <c r="AR2396" i="1"/>
  <c r="AR2395" i="1"/>
  <c r="AR2394" i="1"/>
  <c r="AR2393" i="1"/>
  <c r="AR2392" i="1"/>
  <c r="AR2391" i="1"/>
  <c r="AR2390" i="1"/>
  <c r="AR2389" i="1"/>
  <c r="AR2388" i="1"/>
  <c r="AR2387" i="1"/>
  <c r="AR2386" i="1"/>
  <c r="AR2385" i="1"/>
  <c r="AR2384" i="1"/>
  <c r="AR2383" i="1"/>
  <c r="AR2382" i="1"/>
  <c r="AR2381" i="1"/>
  <c r="AR2380" i="1"/>
  <c r="AR2379" i="1"/>
  <c r="AR2378" i="1"/>
  <c r="AR2377" i="1"/>
  <c r="AR2376" i="1"/>
  <c r="AR2375" i="1"/>
  <c r="AR2374" i="1"/>
  <c r="AR2373" i="1"/>
  <c r="AR2372" i="1"/>
  <c r="AR2371" i="1"/>
  <c r="AR2370" i="1"/>
  <c r="AR2369" i="1"/>
  <c r="AR2368" i="1"/>
  <c r="AR2367" i="1"/>
  <c r="AR2366" i="1"/>
  <c r="AR2365" i="1"/>
  <c r="AR2364" i="1"/>
  <c r="AR2363" i="1"/>
  <c r="AR2362" i="1"/>
  <c r="AR2361" i="1"/>
  <c r="AR2360" i="1"/>
  <c r="AR2359" i="1"/>
  <c r="AR2358" i="1"/>
  <c r="AR2357" i="1"/>
  <c r="AR2356" i="1"/>
  <c r="AR2355" i="1"/>
  <c r="AR2354" i="1"/>
  <c r="AR2353" i="1"/>
  <c r="AR2352" i="1"/>
  <c r="AR2351" i="1"/>
  <c r="AR2350" i="1"/>
  <c r="AR2349" i="1"/>
  <c r="AR2347" i="1"/>
  <c r="AR2343" i="1"/>
  <c r="AR2342" i="1"/>
  <c r="AR2341" i="1"/>
  <c r="AR2340" i="1"/>
  <c r="AR2339" i="1"/>
  <c r="AR2338" i="1"/>
  <c r="AR2337" i="1"/>
  <c r="AR2335" i="1"/>
  <c r="AR2334" i="1"/>
  <c r="AR2333" i="1"/>
  <c r="AR2332" i="1"/>
  <c r="AR2328" i="1"/>
  <c r="AR2327" i="1"/>
  <c r="AR2326" i="1"/>
  <c r="AR2325" i="1"/>
  <c r="AR2324" i="1"/>
  <c r="AR2323" i="1"/>
  <c r="AR2316" i="1"/>
  <c r="AR2315" i="1"/>
  <c r="AR2314" i="1"/>
  <c r="AR2313" i="1"/>
  <c r="AR2312" i="1"/>
  <c r="AR2311" i="1"/>
  <c r="AR2310" i="1"/>
  <c r="AR2309" i="1"/>
  <c r="AR2308" i="1"/>
  <c r="AR2307" i="1"/>
  <c r="AR2306" i="1"/>
  <c r="AR2305" i="1"/>
  <c r="AR2304" i="1"/>
  <c r="AR2303" i="1"/>
  <c r="AR2302" i="1"/>
  <c r="AR2301" i="1"/>
  <c r="AR2300" i="1"/>
  <c r="AR2299" i="1"/>
  <c r="AR2298" i="1"/>
  <c r="AR2297" i="1"/>
  <c r="AR2296" i="1"/>
  <c r="AR2295" i="1"/>
  <c r="AR2294" i="1"/>
  <c r="AR2293" i="1"/>
  <c r="AR2292" i="1"/>
  <c r="AR2291" i="1"/>
  <c r="AR2279" i="1"/>
  <c r="AR2278" i="1"/>
  <c r="AR2277" i="1"/>
  <c r="AR2276" i="1"/>
  <c r="AR2275" i="1"/>
  <c r="AR2274" i="1"/>
  <c r="AR2273" i="1"/>
  <c r="AR2272" i="1"/>
  <c r="AR2270" i="1"/>
  <c r="AR2269" i="1"/>
  <c r="AR2268" i="1"/>
  <c r="AR2267" i="1"/>
  <c r="AR2266" i="1"/>
  <c r="AR2265" i="1"/>
  <c r="AR2264" i="1"/>
  <c r="AR2263" i="1"/>
  <c r="AR2262" i="1"/>
  <c r="AR2261" i="1"/>
  <c r="AR2260" i="1"/>
  <c r="AR2259" i="1"/>
  <c r="AR2258" i="1"/>
  <c r="AR2257" i="1"/>
  <c r="AR2256" i="1"/>
  <c r="AR2255" i="1"/>
  <c r="AR2254" i="1"/>
  <c r="AR2253" i="1"/>
  <c r="AR2252" i="1"/>
  <c r="AR2251" i="1"/>
  <c r="AR2250" i="1"/>
  <c r="AR2249" i="1"/>
  <c r="AR2248" i="1"/>
  <c r="AR2247" i="1"/>
  <c r="AR2246" i="1"/>
  <c r="AR2245" i="1"/>
  <c r="AR2244" i="1"/>
  <c r="AR2243" i="1"/>
  <c r="AR2242" i="1"/>
  <c r="AR2241" i="1"/>
  <c r="AR2240" i="1"/>
  <c r="AR2239" i="1"/>
  <c r="AR2238" i="1"/>
  <c r="AR2237" i="1"/>
  <c r="AR2236" i="1"/>
  <c r="AR2235" i="1"/>
  <c r="AR2234" i="1"/>
  <c r="AR2233" i="1"/>
  <c r="AR2232" i="1"/>
  <c r="AR2231" i="1"/>
  <c r="AR2230" i="1"/>
  <c r="AR2226" i="1"/>
  <c r="AR2225" i="1"/>
  <c r="AR2224" i="1"/>
  <c r="AR2223" i="1"/>
  <c r="AR2195" i="1"/>
  <c r="AR2194" i="1"/>
  <c r="AR2193" i="1"/>
  <c r="AR2192" i="1"/>
  <c r="AR2191" i="1"/>
  <c r="AR2190" i="1"/>
  <c r="AR2068" i="1"/>
  <c r="AR2067" i="1"/>
  <c r="AR2066" i="1"/>
  <c r="AR2065" i="1"/>
  <c r="AR2064" i="1"/>
  <c r="AR2063" i="1"/>
  <c r="AR2062" i="1"/>
  <c r="AR2061" i="1"/>
  <c r="AR2060" i="1"/>
  <c r="AR2059" i="1"/>
  <c r="AR2058" i="1"/>
  <c r="AR2056" i="1"/>
  <c r="AR2055" i="1"/>
  <c r="AR2054" i="1"/>
  <c r="AR2053" i="1"/>
  <c r="AR2052" i="1"/>
  <c r="AR2051" i="1"/>
  <c r="AR2050" i="1"/>
  <c r="AR2049" i="1"/>
  <c r="AR2048" i="1"/>
  <c r="AR2047" i="1"/>
  <c r="AR2046" i="1"/>
  <c r="AR2045" i="1"/>
  <c r="AR2044" i="1"/>
  <c r="AR2043" i="1"/>
  <c r="AR2042" i="1"/>
  <c r="AR2041" i="1"/>
  <c r="AR2040" i="1"/>
  <c r="AR2039" i="1"/>
  <c r="AR2038" i="1"/>
  <c r="AR2037" i="1"/>
  <c r="AR2036" i="1"/>
  <c r="AR2035" i="1"/>
  <c r="AR2034" i="1"/>
  <c r="AR2033" i="1"/>
  <c r="AR2032" i="1"/>
  <c r="AR2031" i="1"/>
  <c r="AR2030" i="1"/>
  <c r="AR2029" i="1"/>
  <c r="AR2028" i="1"/>
  <c r="AR2027" i="1"/>
  <c r="AR2026" i="1"/>
  <c r="AR2025" i="1"/>
  <c r="AR2024" i="1"/>
  <c r="AR2023" i="1"/>
  <c r="AR2022" i="1"/>
  <c r="AR2021" i="1"/>
  <c r="AR2020" i="1"/>
  <c r="AR2019" i="1"/>
  <c r="AR2018" i="1"/>
  <c r="AR2017" i="1"/>
  <c r="AR2016" i="1"/>
  <c r="AR2015" i="1"/>
  <c r="AR2014" i="1"/>
  <c r="AR2013" i="1"/>
  <c r="AR2012" i="1"/>
  <c r="AR2011" i="1"/>
  <c r="AR2010" i="1"/>
  <c r="AR2009" i="1"/>
  <c r="AR2008" i="1"/>
  <c r="AR2007" i="1"/>
  <c r="AR2006" i="1"/>
  <c r="AR2005" i="1"/>
  <c r="AR2004" i="1"/>
  <c r="AR2003" i="1"/>
  <c r="AR2002" i="1"/>
  <c r="AR2001" i="1"/>
  <c r="AR2000" i="1"/>
  <c r="AR1999" i="1"/>
  <c r="AR1998" i="1"/>
  <c r="AR1997" i="1"/>
  <c r="AR1996" i="1"/>
  <c r="AR1995" i="1"/>
  <c r="AR1994" i="1"/>
  <c r="AR1993" i="1"/>
  <c r="AR1992" i="1"/>
  <c r="AR1991" i="1"/>
  <c r="AR1990" i="1"/>
  <c r="AR1989" i="1"/>
  <c r="AR1988" i="1"/>
  <c r="AR1987" i="1"/>
  <c r="AR1986" i="1"/>
  <c r="AR1985" i="1"/>
  <c r="AR1984" i="1"/>
  <c r="AR1983" i="1"/>
  <c r="AR1982" i="1"/>
  <c r="AR1981" i="1"/>
  <c r="AR1980" i="1"/>
  <c r="AR1979" i="1"/>
  <c r="AR1978" i="1"/>
  <c r="AR1977" i="1"/>
  <c r="AR1976" i="1"/>
  <c r="AR1975" i="1"/>
  <c r="AR1974" i="1"/>
  <c r="AR1973" i="1"/>
  <c r="AR1972" i="1"/>
  <c r="AR1971" i="1"/>
  <c r="AR1970" i="1"/>
  <c r="AR1969" i="1"/>
  <c r="AR1968" i="1"/>
  <c r="AR1967" i="1"/>
  <c r="AR1966" i="1"/>
  <c r="AR1965" i="1"/>
  <c r="AR1964" i="1"/>
  <c r="AR1963" i="1"/>
  <c r="AR1962" i="1"/>
  <c r="AR1961" i="1"/>
  <c r="AR1960" i="1"/>
  <c r="AR1959" i="1"/>
  <c r="AR1958" i="1"/>
  <c r="AR1957" i="1"/>
  <c r="AR1956" i="1"/>
  <c r="AR1955" i="1"/>
  <c r="AR1954" i="1"/>
  <c r="AR1953" i="1"/>
  <c r="AR1952" i="1"/>
  <c r="AR1951" i="1"/>
  <c r="AR1950" i="1"/>
  <c r="AR1949" i="1"/>
  <c r="AR1948" i="1"/>
  <c r="AR1947" i="1"/>
  <c r="AR1946" i="1"/>
  <c r="AR1945" i="1"/>
  <c r="AR1944" i="1"/>
  <c r="AR1943" i="1"/>
  <c r="AR1942" i="1"/>
  <c r="AR1941" i="1"/>
  <c r="AR1940" i="1"/>
  <c r="AR1939" i="1"/>
  <c r="AR1938" i="1"/>
  <c r="AR1937" i="1"/>
  <c r="AR1936" i="1"/>
  <c r="AR1935" i="1"/>
  <c r="AR1934" i="1"/>
  <c r="AR1933" i="1"/>
  <c r="AR1932" i="1"/>
  <c r="AR1931" i="1"/>
  <c r="AR1930" i="1"/>
  <c r="AR1929" i="1"/>
  <c r="AR1928" i="1"/>
  <c r="AR1927" i="1"/>
  <c r="AR1926" i="1"/>
  <c r="AR1925" i="1"/>
  <c r="AR1924" i="1"/>
  <c r="AR1923" i="1"/>
  <c r="AR1922" i="1"/>
  <c r="AR1919" i="1"/>
  <c r="AR1918" i="1"/>
  <c r="AR1917" i="1"/>
  <c r="AR1916" i="1"/>
  <c r="AR1915" i="1"/>
  <c r="AR1914" i="1"/>
  <c r="AR1913" i="1"/>
  <c r="AR1912" i="1"/>
  <c r="AR1911" i="1"/>
  <c r="AR1910" i="1"/>
  <c r="AR1909" i="1"/>
  <c r="AR1908" i="1"/>
  <c r="AR1907" i="1"/>
  <c r="AR1906" i="1"/>
  <c r="AR1905" i="1"/>
  <c r="AR1904" i="1"/>
  <c r="AR1903" i="1"/>
  <c r="AR1902" i="1"/>
  <c r="AR1901" i="1"/>
  <c r="AR1900" i="1"/>
  <c r="AR1899" i="1"/>
  <c r="AR1898" i="1"/>
  <c r="AR1896" i="1"/>
  <c r="AR1895" i="1"/>
  <c r="AR1894" i="1"/>
  <c r="AR1893" i="1"/>
  <c r="AR1892" i="1"/>
  <c r="AR1887" i="1"/>
  <c r="AR1886" i="1"/>
  <c r="AR1885" i="1"/>
  <c r="AR1884" i="1"/>
  <c r="AR1883" i="1"/>
  <c r="AR1882" i="1"/>
  <c r="AR1881" i="1"/>
  <c r="AR1880" i="1"/>
  <c r="AR1879" i="1"/>
  <c r="AR1878" i="1"/>
  <c r="AR1876" i="1"/>
  <c r="AR1875" i="1"/>
  <c r="AR1874" i="1"/>
  <c r="AR1873" i="1"/>
  <c r="AR1872" i="1"/>
  <c r="AR1871" i="1"/>
  <c r="AR1870" i="1"/>
  <c r="AR1869" i="1"/>
  <c r="AR1868" i="1"/>
  <c r="AR1867" i="1"/>
  <c r="AR1866" i="1"/>
  <c r="AR1865" i="1"/>
  <c r="AR1864" i="1"/>
  <c r="AR1863" i="1"/>
  <c r="AR1862" i="1"/>
  <c r="AR1861" i="1"/>
  <c r="AR1860" i="1"/>
  <c r="AR1859" i="1"/>
  <c r="AR1858" i="1"/>
  <c r="AR1857" i="1"/>
  <c r="AR1856" i="1"/>
  <c r="AR1855" i="1"/>
  <c r="AR1854" i="1"/>
  <c r="AR1853" i="1"/>
  <c r="AR1852" i="1"/>
  <c r="AR1851" i="1"/>
  <c r="AR1850" i="1"/>
  <c r="AR1843" i="1"/>
  <c r="AR1810" i="1"/>
  <c r="AR1809" i="1"/>
  <c r="AR1808" i="1"/>
  <c r="AR1806" i="1"/>
  <c r="AR1804" i="1"/>
  <c r="AR1803" i="1"/>
  <c r="AR1802" i="1"/>
  <c r="AR1801" i="1"/>
  <c r="AR1800" i="1"/>
  <c r="AR1799" i="1"/>
  <c r="AR1798" i="1"/>
  <c r="AR1797" i="1"/>
  <c r="AR1796" i="1"/>
  <c r="AR1795" i="1"/>
  <c r="AR1794" i="1"/>
  <c r="AR1793" i="1"/>
  <c r="AR1792" i="1"/>
  <c r="AR1791" i="1"/>
  <c r="AR1790" i="1"/>
  <c r="AR1789" i="1"/>
  <c r="AR1788" i="1"/>
  <c r="AR1787" i="1"/>
  <c r="AR1786" i="1"/>
  <c r="AR1785" i="1"/>
  <c r="AR1784" i="1"/>
  <c r="AR1783" i="1"/>
  <c r="AR1782" i="1"/>
  <c r="AR1781" i="1"/>
  <c r="AR1780" i="1"/>
  <c r="AR1779" i="1"/>
  <c r="AR1778" i="1"/>
  <c r="AR1777" i="1"/>
  <c r="AR1776" i="1"/>
  <c r="AR1775" i="1"/>
  <c r="AR1774" i="1"/>
  <c r="AR1773" i="1"/>
  <c r="AR1772" i="1"/>
  <c r="AR1771" i="1"/>
  <c r="AR1770" i="1"/>
  <c r="AR1769" i="1"/>
  <c r="AR1768" i="1"/>
  <c r="AR1767" i="1"/>
  <c r="AR1766" i="1"/>
  <c r="AR1765" i="1"/>
  <c r="AR1764" i="1"/>
  <c r="AR1763" i="1"/>
  <c r="AR1762" i="1"/>
  <c r="AR1761" i="1"/>
  <c r="AR1760" i="1"/>
  <c r="AR1759" i="1"/>
  <c r="AR1758" i="1"/>
  <c r="AR1757" i="1"/>
  <c r="AR1756" i="1"/>
  <c r="AR1755" i="1"/>
  <c r="AR1754" i="1"/>
  <c r="AR1753" i="1"/>
  <c r="AR1752" i="1"/>
  <c r="AR1751" i="1"/>
  <c r="AR1750" i="1"/>
  <c r="AR1749" i="1"/>
  <c r="AR1748" i="1"/>
  <c r="AR1747" i="1"/>
  <c r="AR1746" i="1"/>
  <c r="AR1745" i="1"/>
  <c r="AR1744" i="1"/>
  <c r="AR1743" i="1"/>
  <c r="AR1742" i="1"/>
  <c r="AR1741" i="1"/>
  <c r="AR1740" i="1"/>
  <c r="AR1738" i="1"/>
  <c r="AR1737" i="1"/>
  <c r="AR1736" i="1"/>
  <c r="AR1735" i="1"/>
  <c r="AR1734" i="1"/>
  <c r="AR1733" i="1"/>
  <c r="AR1732" i="1"/>
  <c r="AR1731" i="1"/>
  <c r="AR1730" i="1"/>
  <c r="AR1729" i="1"/>
  <c r="AR1728" i="1"/>
  <c r="AR1727" i="1"/>
  <c r="AR1726" i="1"/>
  <c r="AR1725" i="1"/>
  <c r="AR1724" i="1"/>
  <c r="AR1723" i="1"/>
  <c r="AR1722" i="1"/>
  <c r="AR1721" i="1"/>
  <c r="AR1720" i="1"/>
  <c r="AR1719" i="1"/>
  <c r="AR1718" i="1"/>
  <c r="AR1717" i="1"/>
  <c r="AR1716" i="1"/>
  <c r="AR1700" i="1"/>
  <c r="AR1699" i="1"/>
  <c r="AR1698" i="1"/>
  <c r="AR1696" i="1"/>
  <c r="AR1695" i="1"/>
  <c r="AR1672" i="1"/>
  <c r="AR1671" i="1"/>
  <c r="AR1670" i="1"/>
  <c r="AR1669" i="1"/>
  <c r="AR1668" i="1"/>
  <c r="AR1667" i="1"/>
  <c r="AR1619" i="1"/>
  <c r="AR1618" i="1"/>
  <c r="AR1617" i="1"/>
  <c r="AR1613" i="1"/>
  <c r="AR1612" i="1"/>
  <c r="AR1531" i="1"/>
  <c r="AR1530" i="1"/>
  <c r="AR1529" i="1"/>
  <c r="AR1528" i="1"/>
  <c r="AR1527" i="1"/>
  <c r="AR1526" i="1"/>
  <c r="AR1524" i="1"/>
  <c r="AR1523" i="1"/>
  <c r="AR1522" i="1"/>
  <c r="AR1521" i="1"/>
  <c r="AR1520" i="1"/>
  <c r="AR1519" i="1"/>
  <c r="AR1518" i="1"/>
  <c r="AR1517" i="1"/>
  <c r="AR1516" i="1"/>
  <c r="AR1515" i="1"/>
  <c r="AR1514" i="1"/>
  <c r="AR1513" i="1"/>
  <c r="AR1512" i="1"/>
  <c r="AR1511" i="1"/>
  <c r="AR1510" i="1"/>
  <c r="AR1509" i="1"/>
  <c r="AR1508" i="1"/>
  <c r="AR1507" i="1"/>
  <c r="AR1506" i="1"/>
  <c r="AR1505" i="1"/>
  <c r="AR1504" i="1"/>
  <c r="AR1503" i="1"/>
  <c r="AR1502" i="1"/>
  <c r="AR1501" i="1"/>
  <c r="AR1500" i="1"/>
  <c r="AR1499" i="1"/>
  <c r="AR1497" i="1"/>
  <c r="AR1496" i="1"/>
  <c r="AR1495" i="1"/>
  <c r="AR1494" i="1"/>
  <c r="AR1493" i="1"/>
  <c r="AR1492" i="1"/>
  <c r="AR1491" i="1"/>
  <c r="AR1490" i="1"/>
  <c r="AR1489" i="1"/>
  <c r="AR1488" i="1"/>
  <c r="AR1487" i="1"/>
  <c r="AR1486" i="1"/>
  <c r="AR1485" i="1"/>
  <c r="AR1484" i="1"/>
  <c r="AR1483" i="1"/>
  <c r="AR1482" i="1"/>
  <c r="AR1481" i="1"/>
  <c r="AR1480" i="1"/>
  <c r="AR1479" i="1"/>
  <c r="AR1478" i="1"/>
  <c r="AR1477" i="1"/>
  <c r="AR1476" i="1"/>
  <c r="AR1475" i="1"/>
  <c r="AR1474" i="1"/>
  <c r="AR1473" i="1"/>
  <c r="AR1472" i="1"/>
  <c r="AR1471" i="1"/>
  <c r="AR1470" i="1"/>
  <c r="AR1469" i="1"/>
  <c r="AR1468" i="1"/>
  <c r="AR1467" i="1"/>
  <c r="AR1466" i="1"/>
  <c r="AR1465" i="1"/>
  <c r="AR1464" i="1"/>
  <c r="AR1463" i="1"/>
  <c r="AR1462" i="1"/>
  <c r="AR1461" i="1"/>
  <c r="AR1460" i="1"/>
  <c r="AR1459" i="1"/>
  <c r="AR1458" i="1"/>
  <c r="AR1457" i="1"/>
  <c r="AR1456" i="1"/>
  <c r="AR1455" i="1"/>
  <c r="AR1454" i="1"/>
  <c r="AR1453" i="1"/>
  <c r="AR1452" i="1"/>
  <c r="AR1451" i="1"/>
  <c r="AR1450" i="1"/>
  <c r="AR1449" i="1"/>
  <c r="AR1448" i="1"/>
  <c r="AR1447" i="1"/>
  <c r="AR1446" i="1"/>
  <c r="AR1445" i="1"/>
  <c r="AR1444" i="1"/>
  <c r="AR1443" i="1"/>
  <c r="AR1442" i="1"/>
  <c r="AR1441" i="1"/>
  <c r="AR1440" i="1"/>
  <c r="AR1439" i="1"/>
  <c r="AR1438" i="1"/>
  <c r="AR1437" i="1"/>
  <c r="AR1436" i="1"/>
  <c r="AR1435" i="1"/>
  <c r="AR1434" i="1"/>
  <c r="AR1433" i="1"/>
  <c r="AR1432" i="1"/>
  <c r="AR1431" i="1"/>
  <c r="AR1430" i="1"/>
  <c r="AR1429" i="1"/>
  <c r="AR1428" i="1"/>
  <c r="AR1427" i="1"/>
  <c r="AR1426" i="1"/>
  <c r="AR1425" i="1"/>
  <c r="AR1424" i="1"/>
  <c r="AR1423" i="1"/>
  <c r="AR1422" i="1"/>
  <c r="AR1421" i="1"/>
  <c r="AR1420" i="1"/>
  <c r="AR1419" i="1"/>
  <c r="AR1418" i="1"/>
  <c r="AR1417" i="1"/>
  <c r="AR1416" i="1"/>
  <c r="AR1415" i="1"/>
  <c r="AR1414" i="1"/>
  <c r="AR1413" i="1"/>
  <c r="AR1412" i="1"/>
  <c r="AR1411" i="1"/>
  <c r="AR1410" i="1"/>
  <c r="AR1409" i="1"/>
  <c r="AR1408" i="1"/>
  <c r="AR1407" i="1"/>
  <c r="AR1406" i="1"/>
  <c r="AR1405" i="1"/>
  <c r="AR1404" i="1"/>
  <c r="AR1403" i="1"/>
  <c r="AR1402" i="1"/>
  <c r="AR1401" i="1"/>
  <c r="AR1400" i="1"/>
  <c r="AR1399" i="1"/>
  <c r="AR1398" i="1"/>
  <c r="AR1397" i="1"/>
  <c r="AR1396" i="1"/>
  <c r="AR1395" i="1"/>
  <c r="AR1394" i="1"/>
  <c r="AR1393" i="1"/>
  <c r="AR1392" i="1"/>
  <c r="AR1391" i="1"/>
  <c r="AR1390" i="1"/>
  <c r="AR1389" i="1"/>
  <c r="AR1388" i="1"/>
  <c r="AR1387" i="1"/>
  <c r="AR1386" i="1"/>
  <c r="AR1385" i="1"/>
  <c r="AR1384" i="1"/>
  <c r="AR1383" i="1"/>
  <c r="AR1382" i="1"/>
  <c r="AR1381" i="1"/>
  <c r="AR1380" i="1"/>
  <c r="AR1379" i="1"/>
  <c r="AR1378" i="1"/>
  <c r="AR1377" i="1"/>
  <c r="AR1376" i="1"/>
  <c r="AR1375" i="1"/>
  <c r="AR1374" i="1"/>
  <c r="AR1373" i="1"/>
  <c r="AR1372" i="1"/>
  <c r="AR1371" i="1"/>
  <c r="AR1370" i="1"/>
  <c r="AR1369" i="1"/>
  <c r="AR1368" i="1"/>
  <c r="AR1367" i="1"/>
  <c r="AR1366" i="1"/>
  <c r="AR1365" i="1"/>
  <c r="AR1364" i="1"/>
  <c r="AR1363" i="1"/>
  <c r="AR1362" i="1"/>
  <c r="AR1361" i="1"/>
  <c r="AR1360" i="1"/>
  <c r="AR1359" i="1"/>
  <c r="AR1358" i="1"/>
  <c r="AR1357" i="1"/>
  <c r="AR1356" i="1"/>
  <c r="AR1355" i="1"/>
  <c r="AR1354" i="1"/>
  <c r="AR1353" i="1"/>
  <c r="AR1352" i="1"/>
  <c r="AR1351" i="1"/>
  <c r="AR1350" i="1"/>
  <c r="AR1349" i="1"/>
  <c r="AR1348" i="1"/>
  <c r="AR1347" i="1"/>
  <c r="AR1346" i="1"/>
  <c r="AR1345" i="1"/>
  <c r="AR1344" i="1"/>
  <c r="AR1343" i="1"/>
  <c r="AR1342" i="1"/>
  <c r="AR1341" i="1"/>
  <c r="AR1340" i="1"/>
  <c r="AR1339" i="1"/>
  <c r="AR1338" i="1"/>
  <c r="AR1337" i="1"/>
  <c r="AR1336" i="1"/>
  <c r="AR1335" i="1"/>
  <c r="AR1334" i="1"/>
  <c r="AR1333" i="1"/>
  <c r="AR1332" i="1"/>
  <c r="AR1331" i="1"/>
  <c r="AR1330" i="1"/>
  <c r="AR1329" i="1"/>
  <c r="AR1328" i="1"/>
  <c r="AR1327" i="1"/>
  <c r="AR1326" i="1"/>
  <c r="AR1325" i="1"/>
  <c r="AR1324" i="1"/>
  <c r="AR1323" i="1"/>
  <c r="AR1322" i="1"/>
  <c r="AR1321" i="1"/>
  <c r="AR1320" i="1"/>
  <c r="AR1315" i="1"/>
  <c r="AR1314" i="1"/>
  <c r="AR1313" i="1"/>
  <c r="AR1293" i="1"/>
  <c r="AR1286" i="1"/>
  <c r="AR1285" i="1"/>
  <c r="AR1249" i="1"/>
  <c r="AR1248" i="1"/>
  <c r="AR1247" i="1"/>
  <c r="AR1246" i="1"/>
  <c r="AR1245" i="1"/>
  <c r="AR1236" i="1"/>
  <c r="AR1235" i="1"/>
  <c r="AR1138" i="1"/>
  <c r="AR1137" i="1"/>
  <c r="AR1136" i="1"/>
  <c r="AR1135" i="1"/>
  <c r="AR1134" i="1"/>
  <c r="AR1133" i="1"/>
  <c r="AR1130" i="1"/>
  <c r="AR1129" i="1"/>
  <c r="AR1127" i="1"/>
  <c r="AR1126" i="1"/>
  <c r="AR1125" i="1"/>
  <c r="AR1124" i="1"/>
  <c r="AR1123" i="1"/>
  <c r="AR1122" i="1"/>
  <c r="AR1121" i="1"/>
  <c r="AR1120" i="1"/>
  <c r="AR1119" i="1"/>
  <c r="AR1118" i="1"/>
  <c r="AR1117" i="1"/>
  <c r="AR1116" i="1"/>
  <c r="AR1115" i="1"/>
  <c r="AR1114" i="1"/>
  <c r="AR1113" i="1"/>
  <c r="AR1112" i="1"/>
  <c r="AR1111" i="1"/>
  <c r="AR1110" i="1"/>
  <c r="AR1109" i="1"/>
  <c r="AR1108" i="1"/>
  <c r="AR1107" i="1"/>
  <c r="AR1106" i="1"/>
  <c r="AR1105" i="1"/>
  <c r="AR1104" i="1"/>
  <c r="AR1102" i="1"/>
  <c r="AR1101" i="1"/>
  <c r="AR1100" i="1"/>
  <c r="AR1099" i="1"/>
  <c r="AR1098" i="1"/>
  <c r="AR1097" i="1"/>
  <c r="AR1096" i="1"/>
  <c r="AR1095" i="1"/>
  <c r="AR1094" i="1"/>
  <c r="AR1093" i="1"/>
  <c r="AR1092" i="1"/>
  <c r="AR1091" i="1"/>
  <c r="AR1090" i="1"/>
  <c r="AR1089" i="1"/>
  <c r="AR1088" i="1"/>
  <c r="AR1087" i="1"/>
  <c r="AR1086" i="1"/>
  <c r="AR1085" i="1"/>
  <c r="AR1084" i="1"/>
  <c r="AR1083" i="1"/>
  <c r="AR1082" i="1"/>
  <c r="AR1081" i="1"/>
  <c r="AR1080" i="1"/>
  <c r="AR1079" i="1"/>
  <c r="AR1078" i="1"/>
  <c r="AR1077" i="1"/>
  <c r="AR1076" i="1"/>
  <c r="AR1075" i="1"/>
  <c r="AR1074" i="1"/>
  <c r="AR1073" i="1"/>
  <c r="AR1072" i="1"/>
  <c r="AR1071" i="1"/>
  <c r="AR1070" i="1"/>
  <c r="AR1069" i="1"/>
  <c r="AR1066" i="1"/>
  <c r="AR1065" i="1"/>
  <c r="AR1064" i="1"/>
  <c r="AR1063" i="1"/>
  <c r="AR1062" i="1"/>
  <c r="AR1061" i="1"/>
  <c r="AR1060" i="1"/>
  <c r="AR1058" i="1"/>
  <c r="AR1057" i="1"/>
  <c r="AR1056" i="1"/>
  <c r="AR1055" i="1"/>
  <c r="AR1053" i="1"/>
  <c r="AR1052" i="1"/>
  <c r="AR1051" i="1"/>
  <c r="AR1050" i="1"/>
  <c r="AR1049" i="1"/>
  <c r="AR1048" i="1"/>
  <c r="AR1047" i="1"/>
  <c r="AR1046" i="1"/>
  <c r="AR1045" i="1"/>
  <c r="AR1044" i="1"/>
  <c r="AR1043" i="1"/>
  <c r="AR1042" i="1"/>
  <c r="AR1041" i="1"/>
  <c r="AR1040" i="1"/>
  <c r="AR1039" i="1"/>
  <c r="AR1038" i="1"/>
  <c r="AR1037" i="1"/>
  <c r="AR1036" i="1"/>
  <c r="AR1035" i="1"/>
  <c r="AR1034" i="1"/>
  <c r="AR1033" i="1"/>
  <c r="AR1032" i="1"/>
  <c r="AR1031" i="1"/>
  <c r="AR1030" i="1"/>
  <c r="AR1029" i="1"/>
  <c r="AR1028" i="1"/>
  <c r="AR1027" i="1"/>
  <c r="AR1026" i="1"/>
  <c r="AR1025" i="1"/>
  <c r="AR1024" i="1"/>
  <c r="AR1023" i="1"/>
  <c r="AR1022" i="1"/>
  <c r="AR1021" i="1"/>
  <c r="AR1019" i="1"/>
  <c r="AR1010" i="1"/>
  <c r="AR1009" i="1"/>
  <c r="AR1008" i="1"/>
  <c r="AR1007" i="1"/>
  <c r="AR1006" i="1"/>
  <c r="AR1005" i="1"/>
  <c r="AR1004" i="1"/>
  <c r="AR1003" i="1"/>
  <c r="AR1002" i="1"/>
  <c r="AR1001" i="1"/>
  <c r="AR1000" i="1"/>
  <c r="AR999" i="1"/>
  <c r="AR998" i="1"/>
  <c r="AR997" i="1"/>
  <c r="AR996" i="1"/>
  <c r="AR995" i="1"/>
  <c r="AR994" i="1"/>
  <c r="AR993" i="1"/>
  <c r="AR992" i="1"/>
  <c r="AR991" i="1"/>
  <c r="AR990" i="1"/>
  <c r="AR989" i="1"/>
  <c r="AR988" i="1"/>
  <c r="AR987" i="1"/>
  <c r="AR986" i="1"/>
  <c r="AR985" i="1"/>
  <c r="AR984" i="1"/>
  <c r="AR983" i="1"/>
  <c r="AR982" i="1"/>
  <c r="AR981" i="1"/>
  <c r="AR980" i="1"/>
  <c r="AR979" i="1"/>
  <c r="AR978" i="1"/>
  <c r="AR977" i="1"/>
  <c r="AR976" i="1"/>
  <c r="AR975" i="1"/>
  <c r="AR974" i="1"/>
  <c r="AR973" i="1"/>
  <c r="AR972" i="1"/>
  <c r="AR971" i="1"/>
  <c r="AR970" i="1"/>
  <c r="AR969" i="1"/>
  <c r="AR968" i="1"/>
  <c r="AR967" i="1"/>
  <c r="AR966" i="1"/>
  <c r="AR965" i="1"/>
  <c r="AR964" i="1"/>
  <c r="AR963" i="1"/>
  <c r="AR961" i="1"/>
  <c r="AR960" i="1"/>
  <c r="AR959" i="1"/>
  <c r="AR958" i="1"/>
  <c r="AR957" i="1"/>
  <c r="AR956" i="1"/>
  <c r="AR955" i="1"/>
  <c r="AR954" i="1"/>
  <c r="AR953" i="1"/>
  <c r="AR952" i="1"/>
  <c r="AR951" i="1"/>
  <c r="AR950" i="1"/>
  <c r="AR949" i="1"/>
  <c r="AR948" i="1"/>
  <c r="AR947" i="1"/>
  <c r="AR946" i="1"/>
  <c r="AR945" i="1"/>
  <c r="AR944" i="1"/>
  <c r="AR943" i="1"/>
  <c r="AR942" i="1"/>
  <c r="AR941" i="1"/>
  <c r="AR940" i="1"/>
  <c r="AR939" i="1"/>
  <c r="AR938" i="1"/>
  <c r="AR937" i="1"/>
  <c r="AR936" i="1"/>
  <c r="AR935" i="1"/>
  <c r="AR934" i="1"/>
  <c r="AR933" i="1"/>
  <c r="AR932" i="1"/>
  <c r="AR931" i="1"/>
  <c r="AR930" i="1"/>
  <c r="AR929" i="1"/>
  <c r="AR928" i="1"/>
  <c r="AR927" i="1"/>
  <c r="AR926" i="1"/>
  <c r="AR925" i="1"/>
  <c r="AR924" i="1"/>
  <c r="AR923" i="1"/>
  <c r="AR922" i="1"/>
  <c r="AR921" i="1"/>
  <c r="AR920" i="1"/>
  <c r="AR919" i="1"/>
  <c r="AR918" i="1"/>
  <c r="AR917" i="1"/>
  <c r="AR916" i="1"/>
  <c r="AR915" i="1"/>
  <c r="AR914" i="1"/>
  <c r="AR913" i="1"/>
  <c r="AR912" i="1"/>
  <c r="AR911" i="1"/>
  <c r="AR910" i="1"/>
  <c r="AR909" i="1"/>
  <c r="AR908" i="1"/>
  <c r="AR907" i="1"/>
  <c r="AR906" i="1"/>
  <c r="AR905" i="1"/>
  <c r="AR904" i="1"/>
  <c r="AR903" i="1"/>
  <c r="AR902" i="1"/>
  <c r="AR901" i="1"/>
  <c r="AR900" i="1"/>
  <c r="AR899" i="1"/>
  <c r="AR898" i="1"/>
  <c r="AR897" i="1"/>
  <c r="AR896" i="1"/>
  <c r="AR895" i="1"/>
  <c r="AR894" i="1"/>
  <c r="AR893" i="1"/>
  <c r="AR892" i="1"/>
  <c r="AR891" i="1"/>
  <c r="AR890" i="1"/>
  <c r="AR889" i="1"/>
  <c r="AR888" i="1"/>
  <c r="AR887" i="1"/>
  <c r="AR886" i="1"/>
  <c r="AR885" i="1"/>
  <c r="AR884" i="1"/>
  <c r="AR882" i="1"/>
  <c r="AR881" i="1"/>
  <c r="AR880" i="1"/>
  <c r="AR879" i="1"/>
  <c r="AR877" i="1"/>
  <c r="AR875" i="1"/>
  <c r="AR873" i="1"/>
  <c r="AR872" i="1"/>
  <c r="AR871" i="1"/>
  <c r="AR870" i="1"/>
  <c r="AR869" i="1"/>
  <c r="AR868" i="1"/>
  <c r="AR867" i="1"/>
  <c r="AR866" i="1"/>
  <c r="AR865" i="1"/>
  <c r="AR864" i="1"/>
  <c r="AR863" i="1"/>
  <c r="AR862" i="1"/>
  <c r="AR861" i="1"/>
  <c r="AR860" i="1"/>
  <c r="AR859" i="1"/>
  <c r="AR858" i="1"/>
  <c r="AR857" i="1"/>
  <c r="AR856" i="1"/>
  <c r="AR855" i="1"/>
  <c r="AR854" i="1"/>
  <c r="AR853" i="1"/>
  <c r="AR852" i="1"/>
  <c r="AR851" i="1"/>
  <c r="AR850" i="1"/>
  <c r="AR849" i="1"/>
  <c r="AR848" i="1"/>
  <c r="AR847" i="1"/>
  <c r="AR846" i="1"/>
  <c r="AR845" i="1"/>
  <c r="AR844" i="1"/>
  <c r="AR843" i="1"/>
  <c r="AR842" i="1"/>
  <c r="AR841" i="1"/>
  <c r="AR840" i="1"/>
  <c r="AR839" i="1"/>
  <c r="AR838" i="1"/>
  <c r="AR837" i="1"/>
  <c r="AR836" i="1"/>
  <c r="AR835" i="1"/>
  <c r="AR834" i="1"/>
  <c r="AR833" i="1"/>
  <c r="AR832" i="1"/>
  <c r="AR831" i="1"/>
  <c r="AR830" i="1"/>
  <c r="AR829" i="1"/>
  <c r="AR828" i="1"/>
  <c r="AR824" i="1"/>
  <c r="AR823" i="1"/>
  <c r="AR822" i="1"/>
  <c r="AR821" i="1"/>
  <c r="AR820" i="1"/>
  <c r="AR819" i="1"/>
  <c r="AR818" i="1"/>
  <c r="AR817" i="1"/>
  <c r="AR816" i="1"/>
  <c r="AR815" i="1"/>
  <c r="AR814" i="1"/>
  <c r="AR811" i="1"/>
  <c r="AR810" i="1"/>
  <c r="AR809" i="1"/>
  <c r="AR806" i="1"/>
  <c r="AR805" i="1"/>
  <c r="AR804" i="1"/>
  <c r="AR803" i="1"/>
  <c r="AR802" i="1"/>
  <c r="AR801" i="1"/>
  <c r="AR800" i="1"/>
  <c r="AR799" i="1"/>
  <c r="AR798" i="1"/>
  <c r="AR797" i="1"/>
  <c r="AR796" i="1"/>
  <c r="AR795" i="1"/>
  <c r="AR794" i="1"/>
  <c r="AR793" i="1"/>
  <c r="AR792" i="1"/>
  <c r="AR791" i="1"/>
  <c r="AR790" i="1"/>
  <c r="AR789" i="1"/>
  <c r="AR788" i="1"/>
  <c r="AR787" i="1"/>
  <c r="AR786" i="1"/>
  <c r="AR784" i="1"/>
  <c r="AR783" i="1"/>
  <c r="AR782" i="1"/>
  <c r="AR781" i="1"/>
  <c r="AR780" i="1"/>
  <c r="AR779" i="1"/>
  <c r="AR778" i="1"/>
  <c r="AR777" i="1"/>
  <c r="AR776" i="1"/>
  <c r="AR775" i="1"/>
  <c r="AR774" i="1"/>
  <c r="AR773" i="1"/>
  <c r="AR772" i="1"/>
  <c r="AR771" i="1"/>
  <c r="AR770" i="1"/>
  <c r="AR769" i="1"/>
  <c r="AR768" i="1"/>
  <c r="AR767" i="1"/>
  <c r="AR766" i="1"/>
  <c r="AR765" i="1"/>
  <c r="AR764" i="1"/>
  <c r="AR763" i="1"/>
  <c r="AR762" i="1"/>
  <c r="AR761" i="1"/>
  <c r="AR760" i="1"/>
  <c r="AR759" i="1"/>
  <c r="AR758" i="1"/>
  <c r="AR757" i="1"/>
  <c r="AR756" i="1"/>
  <c r="AR755" i="1"/>
  <c r="AR754" i="1"/>
  <c r="AR753" i="1"/>
  <c r="AR752" i="1"/>
  <c r="AR751" i="1"/>
  <c r="AR750" i="1"/>
  <c r="AR749" i="1"/>
  <c r="AR748" i="1"/>
  <c r="AR747" i="1"/>
  <c r="AR746" i="1"/>
  <c r="AR745" i="1"/>
  <c r="AR744" i="1"/>
  <c r="AR743" i="1"/>
  <c r="AR742" i="1"/>
  <c r="AR741" i="1"/>
  <c r="AR740" i="1"/>
  <c r="AR739" i="1"/>
  <c r="AR738" i="1"/>
  <c r="AR737" i="1"/>
  <c r="AR736" i="1"/>
  <c r="AR735" i="1"/>
  <c r="AR734" i="1"/>
  <c r="AR733" i="1"/>
  <c r="AR732" i="1"/>
  <c r="AR731" i="1"/>
  <c r="AR730" i="1"/>
  <c r="AR729" i="1"/>
  <c r="AR728" i="1"/>
  <c r="AR727" i="1"/>
  <c r="AR726" i="1"/>
  <c r="AR725" i="1"/>
  <c r="AR724" i="1"/>
  <c r="AR723" i="1"/>
  <c r="AR722" i="1"/>
  <c r="AR721" i="1"/>
  <c r="AR720" i="1"/>
  <c r="AR718" i="1"/>
  <c r="AR717" i="1"/>
  <c r="AR716" i="1"/>
  <c r="AR715" i="1"/>
  <c r="AR714" i="1"/>
  <c r="AR713" i="1"/>
  <c r="AR712" i="1"/>
  <c r="AR711" i="1"/>
  <c r="AR710" i="1"/>
  <c r="AR709" i="1"/>
  <c r="AR708" i="1"/>
  <c r="AR707" i="1"/>
  <c r="AR706" i="1"/>
  <c r="AR705" i="1"/>
  <c r="AR704" i="1"/>
  <c r="AR703" i="1"/>
  <c r="AR702" i="1"/>
  <c r="AR701" i="1"/>
  <c r="AR700" i="1"/>
  <c r="AR699" i="1"/>
  <c r="AR698" i="1"/>
  <c r="AR697" i="1"/>
  <c r="AR696" i="1"/>
  <c r="AR695" i="1"/>
  <c r="AR694" i="1"/>
  <c r="AR693" i="1"/>
  <c r="AR692" i="1"/>
  <c r="AR691" i="1"/>
  <c r="AR690" i="1"/>
  <c r="AR688" i="1"/>
  <c r="AR687" i="1"/>
  <c r="AR686" i="1"/>
  <c r="AR685" i="1"/>
  <c r="AR681" i="1"/>
  <c r="AR680" i="1"/>
  <c r="AR679" i="1"/>
  <c r="AR678" i="1"/>
  <c r="AR677" i="1"/>
  <c r="AR676" i="1"/>
  <c r="AR675" i="1"/>
  <c r="AR674" i="1"/>
  <c r="AR673" i="1"/>
  <c r="AR671" i="1"/>
  <c r="AR670" i="1"/>
  <c r="AR669" i="1"/>
  <c r="AR668" i="1"/>
  <c r="AR667" i="1"/>
  <c r="AR666" i="1"/>
  <c r="AR665" i="1"/>
  <c r="AR664" i="1"/>
  <c r="AR663" i="1"/>
  <c r="AR662" i="1"/>
  <c r="AR661" i="1"/>
  <c r="AR660" i="1"/>
  <c r="AR659" i="1"/>
  <c r="AR658" i="1"/>
  <c r="AR657" i="1"/>
  <c r="AR656" i="1"/>
  <c r="AR655" i="1"/>
  <c r="AR654" i="1"/>
  <c r="AR653" i="1"/>
  <c r="AR652" i="1"/>
  <c r="AR651" i="1"/>
  <c r="AR650" i="1"/>
  <c r="AR649" i="1"/>
  <c r="AR648" i="1"/>
  <c r="AR647" i="1"/>
  <c r="AR646" i="1"/>
  <c r="AR645" i="1"/>
  <c r="AR644" i="1"/>
  <c r="AR643" i="1"/>
  <c r="AR642" i="1"/>
  <c r="AR641" i="1"/>
  <c r="AR640" i="1"/>
  <c r="AR639" i="1"/>
  <c r="AR638" i="1"/>
  <c r="AR637" i="1"/>
  <c r="AR636" i="1"/>
  <c r="AR635" i="1"/>
  <c r="AR634" i="1"/>
  <c r="AR633" i="1"/>
  <c r="AR632" i="1"/>
  <c r="AR631" i="1"/>
  <c r="AR630" i="1"/>
  <c r="AR629" i="1"/>
  <c r="AR628" i="1"/>
  <c r="AR627" i="1"/>
  <c r="AR626" i="1"/>
  <c r="AR625" i="1"/>
  <c r="AR624" i="1"/>
  <c r="AR623" i="1"/>
  <c r="AR622" i="1"/>
  <c r="AR621" i="1"/>
  <c r="AR620" i="1"/>
  <c r="AR619" i="1"/>
  <c r="AR618" i="1"/>
  <c r="AR617" i="1"/>
  <c r="AR616" i="1"/>
  <c r="AR615" i="1"/>
  <c r="AR614" i="1"/>
  <c r="AR613" i="1"/>
  <c r="AR612" i="1"/>
  <c r="AR611" i="1"/>
  <c r="AR610" i="1"/>
  <c r="AR609" i="1"/>
  <c r="AR608" i="1"/>
  <c r="AR607" i="1"/>
  <c r="AR606" i="1"/>
  <c r="AR605" i="1"/>
  <c r="AR604" i="1"/>
  <c r="AR603" i="1"/>
  <c r="AR602" i="1"/>
  <c r="AR601" i="1"/>
  <c r="AR600" i="1"/>
  <c r="AR599" i="1"/>
  <c r="AR598" i="1"/>
  <c r="AR597" i="1"/>
  <c r="AR596" i="1"/>
  <c r="AR595" i="1"/>
  <c r="AR594" i="1"/>
  <c r="AR593" i="1"/>
  <c r="AR592" i="1"/>
  <c r="AR591" i="1"/>
  <c r="AR590" i="1"/>
  <c r="AR589" i="1"/>
  <c r="AR588" i="1"/>
  <c r="AR587" i="1"/>
  <c r="AR586" i="1"/>
  <c r="AR585" i="1"/>
  <c r="AR584" i="1"/>
  <c r="AR583" i="1"/>
  <c r="AR582" i="1"/>
  <c r="AR581" i="1"/>
  <c r="AR580" i="1"/>
  <c r="AR579" i="1"/>
  <c r="AR578" i="1"/>
  <c r="AR577" i="1"/>
  <c r="AR576" i="1"/>
  <c r="AR575" i="1"/>
  <c r="AR574" i="1"/>
  <c r="AR573" i="1"/>
  <c r="AR572" i="1"/>
  <c r="AR571" i="1"/>
  <c r="AR570" i="1"/>
  <c r="AR569" i="1"/>
  <c r="AR568" i="1"/>
  <c r="AR567" i="1"/>
  <c r="AR566" i="1"/>
  <c r="AR564" i="1"/>
  <c r="AR563" i="1"/>
  <c r="AR562" i="1"/>
  <c r="AR561" i="1"/>
  <c r="AR560" i="1"/>
  <c r="AR559" i="1"/>
  <c r="AR558" i="1"/>
  <c r="AR557" i="1"/>
  <c r="AR556" i="1"/>
  <c r="AR554" i="1"/>
  <c r="AR553" i="1"/>
  <c r="AR552" i="1"/>
  <c r="AR551" i="1"/>
  <c r="AR550" i="1"/>
  <c r="AR549" i="1"/>
  <c r="AR548" i="1"/>
  <c r="AR547" i="1"/>
  <c r="AR546" i="1"/>
  <c r="AR545" i="1"/>
  <c r="AR544" i="1"/>
  <c r="AR543" i="1"/>
  <c r="AR542" i="1"/>
  <c r="AR541" i="1"/>
  <c r="AR540" i="1"/>
  <c r="AR539" i="1"/>
  <c r="AR538" i="1"/>
  <c r="AR537" i="1"/>
  <c r="AR536" i="1"/>
  <c r="AR535" i="1"/>
  <c r="AR534" i="1"/>
  <c r="AR533" i="1"/>
  <c r="AR532" i="1"/>
  <c r="AR531" i="1"/>
  <c r="AR530" i="1"/>
  <c r="AR529" i="1"/>
  <c r="AR528" i="1"/>
  <c r="AR527" i="1"/>
  <c r="AR526" i="1"/>
  <c r="AR525" i="1"/>
  <c r="AR524" i="1"/>
  <c r="AR523" i="1"/>
  <c r="AR522" i="1"/>
  <c r="AR521" i="1"/>
  <c r="AR520" i="1"/>
  <c r="AR519" i="1"/>
  <c r="AR518" i="1"/>
  <c r="AR517" i="1"/>
  <c r="AR516" i="1"/>
  <c r="AR515" i="1"/>
  <c r="AR514" i="1"/>
  <c r="AR513" i="1"/>
  <c r="AR512" i="1"/>
  <c r="AR511" i="1"/>
  <c r="AR510" i="1"/>
  <c r="AR509" i="1"/>
  <c r="AR508" i="1"/>
  <c r="AR507" i="1"/>
  <c r="AR506" i="1"/>
  <c r="AR505" i="1"/>
  <c r="AR504" i="1"/>
  <c r="AR503" i="1"/>
  <c r="AR502" i="1"/>
  <c r="AR501" i="1"/>
  <c r="AR500" i="1"/>
  <c r="AR499" i="1"/>
  <c r="AR498" i="1"/>
  <c r="AR497" i="1"/>
  <c r="AR496" i="1"/>
  <c r="AR495" i="1"/>
  <c r="AR494" i="1"/>
  <c r="AR493" i="1"/>
  <c r="AR492" i="1"/>
  <c r="AR491" i="1"/>
  <c r="AR490" i="1"/>
  <c r="AR489" i="1"/>
  <c r="AR488" i="1"/>
  <c r="AR487" i="1"/>
  <c r="AR486" i="1"/>
  <c r="AR485" i="1"/>
  <c r="AR484" i="1"/>
  <c r="AR483" i="1"/>
  <c r="AR482" i="1"/>
  <c r="AR481" i="1"/>
  <c r="AR480" i="1"/>
  <c r="AR479" i="1"/>
  <c r="AR478" i="1"/>
  <c r="AR477" i="1"/>
  <c r="AR476" i="1"/>
  <c r="AR475" i="1"/>
  <c r="AR474" i="1"/>
  <c r="AR473" i="1"/>
  <c r="AR472" i="1"/>
  <c r="AR471" i="1"/>
  <c r="AR470" i="1"/>
  <c r="AR469" i="1"/>
  <c r="AR468" i="1"/>
  <c r="AR467" i="1"/>
  <c r="AR466" i="1"/>
  <c r="AR465" i="1"/>
  <c r="AR464" i="1"/>
  <c r="AR463" i="1"/>
  <c r="AR462" i="1"/>
  <c r="AR461" i="1"/>
  <c r="AR458" i="1"/>
  <c r="AR457" i="1"/>
  <c r="AR456" i="1"/>
  <c r="AR452" i="1"/>
  <c r="AR451" i="1"/>
  <c r="AR449" i="1"/>
  <c r="AR448" i="1"/>
  <c r="AR446" i="1"/>
  <c r="AR445" i="1"/>
  <c r="AR421" i="1"/>
  <c r="AR420" i="1"/>
  <c r="AR419" i="1"/>
  <c r="AR418" i="1"/>
  <c r="AR417" i="1"/>
  <c r="AR416" i="1"/>
  <c r="AR415" i="1"/>
  <c r="AR375" i="1"/>
  <c r="AR374" i="1"/>
  <c r="AR373" i="1"/>
  <c r="AR372" i="1"/>
  <c r="AR371" i="1"/>
  <c r="AR370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49" i="1"/>
  <c r="AR248" i="1"/>
  <c r="AR247" i="1"/>
  <c r="AR246" i="1"/>
  <c r="AR245" i="1"/>
  <c r="AR244" i="1"/>
  <c r="AR243" i="1"/>
  <c r="AR242" i="1"/>
  <c r="AR239" i="1"/>
  <c r="AR238" i="1"/>
  <c r="AR237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68" i="1"/>
  <c r="AR167" i="1"/>
  <c r="AR166" i="1"/>
  <c r="AR165" i="1"/>
  <c r="AR164" i="1"/>
  <c r="AR163" i="1"/>
  <c r="AR162" i="1"/>
  <c r="AR161" i="1"/>
  <c r="AR160" i="1"/>
  <c r="AR158" i="1"/>
  <c r="AR157" i="1"/>
  <c r="AR156" i="1"/>
  <c r="AR155" i="1"/>
  <c r="AR154" i="1"/>
  <c r="AR153" i="1"/>
  <c r="AR152" i="1"/>
  <c r="AR151" i="1"/>
  <c r="AR150" i="1"/>
  <c r="AR149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29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99" i="1"/>
  <c r="AR98" i="1"/>
  <c r="AR97" i="1"/>
  <c r="AR96" i="1"/>
  <c r="AR86" i="1"/>
  <c r="AR85" i="1"/>
  <c r="AR84" i="1"/>
  <c r="AR83" i="1"/>
  <c r="AR82" i="1"/>
  <c r="AR81" i="1"/>
  <c r="AR80" i="1"/>
  <c r="AR79" i="1"/>
  <c r="AR78" i="1"/>
  <c r="AR44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AQ2780" i="1" l="1"/>
  <c r="AS2780" i="1" s="1"/>
  <c r="AQ2779" i="1"/>
  <c r="AS2779" i="1" s="1"/>
  <c r="AQ2778" i="1"/>
  <c r="AS2778" i="1" s="1"/>
  <c r="AQ2777" i="1"/>
  <c r="AS2777" i="1" s="1"/>
  <c r="AQ2776" i="1"/>
  <c r="AS2776" i="1" s="1"/>
  <c r="AQ2775" i="1"/>
  <c r="AS2775" i="1" s="1"/>
  <c r="AQ2774" i="1"/>
  <c r="AS2774" i="1" s="1"/>
  <c r="AQ2773" i="1"/>
  <c r="AS2773" i="1" s="1"/>
  <c r="AQ2772" i="1"/>
  <c r="AS2772" i="1" s="1"/>
  <c r="AQ2771" i="1"/>
  <c r="AS2771" i="1" s="1"/>
  <c r="AQ2770" i="1"/>
  <c r="AS2770" i="1" s="1"/>
  <c r="AQ2769" i="1"/>
  <c r="AS2769" i="1" s="1"/>
  <c r="AQ2768" i="1"/>
  <c r="AS2768" i="1" s="1"/>
  <c r="AQ2767" i="1"/>
  <c r="AS2767" i="1" s="1"/>
  <c r="AQ2766" i="1"/>
  <c r="AS2766" i="1" s="1"/>
  <c r="AQ2765" i="1"/>
  <c r="AS2765" i="1" s="1"/>
  <c r="AQ2764" i="1"/>
  <c r="AS2764" i="1" s="1"/>
  <c r="AQ2763" i="1"/>
  <c r="AS2763" i="1" s="1"/>
  <c r="AQ2762" i="1"/>
  <c r="AS2762" i="1" s="1"/>
  <c r="AQ2761" i="1"/>
  <c r="AS2761" i="1" s="1"/>
  <c r="AQ2760" i="1"/>
  <c r="AS2760" i="1" s="1"/>
  <c r="AQ2759" i="1"/>
  <c r="AS2759" i="1" s="1"/>
  <c r="AQ2758" i="1"/>
  <c r="AS2758" i="1" s="1"/>
  <c r="AQ2757" i="1"/>
  <c r="AS2757" i="1" s="1"/>
  <c r="AQ2756" i="1"/>
  <c r="AS2756" i="1" s="1"/>
  <c r="AQ2755" i="1"/>
  <c r="AS2755" i="1" s="1"/>
  <c r="AQ2754" i="1"/>
  <c r="AS2754" i="1" s="1"/>
  <c r="AQ2753" i="1"/>
  <c r="AS2753" i="1" s="1"/>
  <c r="AQ2752" i="1"/>
  <c r="AS2752" i="1" s="1"/>
  <c r="AQ2751" i="1"/>
  <c r="AS2751" i="1" s="1"/>
  <c r="AQ2750" i="1"/>
  <c r="AS2750" i="1" s="1"/>
  <c r="AQ2749" i="1"/>
  <c r="AS2749" i="1" s="1"/>
  <c r="AQ2748" i="1"/>
  <c r="AS2748" i="1" s="1"/>
  <c r="AQ2747" i="1"/>
  <c r="AS2747" i="1" s="1"/>
  <c r="AQ2746" i="1"/>
  <c r="AS2746" i="1" s="1"/>
  <c r="AQ2745" i="1"/>
  <c r="AS2745" i="1" s="1"/>
  <c r="AQ2744" i="1"/>
  <c r="AS2744" i="1" s="1"/>
  <c r="AQ2743" i="1"/>
  <c r="AS2743" i="1" s="1"/>
  <c r="AQ2742" i="1"/>
  <c r="AS2742" i="1" s="1"/>
  <c r="AQ2741" i="1"/>
  <c r="AS2741" i="1" s="1"/>
  <c r="AQ2740" i="1"/>
  <c r="AS2740" i="1" s="1"/>
  <c r="AQ2739" i="1"/>
  <c r="AS2739" i="1" s="1"/>
  <c r="AQ2738" i="1"/>
  <c r="AS2738" i="1" s="1"/>
  <c r="AQ2737" i="1"/>
  <c r="AS2737" i="1" s="1"/>
  <c r="AQ2736" i="1"/>
  <c r="AS2736" i="1" s="1"/>
  <c r="AQ2735" i="1"/>
  <c r="AS2735" i="1" s="1"/>
  <c r="AQ2734" i="1"/>
  <c r="AS2734" i="1" s="1"/>
  <c r="AQ2733" i="1"/>
  <c r="AS2733" i="1" s="1"/>
  <c r="AQ2732" i="1"/>
  <c r="AS2732" i="1" s="1"/>
  <c r="AQ2731" i="1"/>
  <c r="AS2731" i="1" s="1"/>
  <c r="AQ2730" i="1"/>
  <c r="AS2730" i="1" s="1"/>
  <c r="AQ2729" i="1"/>
  <c r="AS2729" i="1" s="1"/>
  <c r="AQ2728" i="1"/>
  <c r="AS2728" i="1" s="1"/>
  <c r="AQ2727" i="1"/>
  <c r="AS2727" i="1" s="1"/>
  <c r="AQ2726" i="1"/>
  <c r="AS2726" i="1" s="1"/>
  <c r="AQ2725" i="1"/>
  <c r="AS2725" i="1" s="1"/>
  <c r="AQ2724" i="1"/>
  <c r="AS2724" i="1" s="1"/>
  <c r="AQ2723" i="1"/>
  <c r="AS2723" i="1" s="1"/>
  <c r="AQ2722" i="1"/>
  <c r="AS2722" i="1" s="1"/>
  <c r="AQ2721" i="1"/>
  <c r="AS2721" i="1" s="1"/>
  <c r="AQ2720" i="1"/>
  <c r="AS2720" i="1" s="1"/>
  <c r="AQ2719" i="1"/>
  <c r="AS2719" i="1" s="1"/>
  <c r="AQ2718" i="1"/>
  <c r="AS2718" i="1" s="1"/>
  <c r="AQ2717" i="1"/>
  <c r="AS2717" i="1" s="1"/>
  <c r="AQ2716" i="1"/>
  <c r="AS2716" i="1" s="1"/>
  <c r="AQ2715" i="1"/>
  <c r="AS2715" i="1" s="1"/>
  <c r="AQ2714" i="1"/>
  <c r="AS2714" i="1" s="1"/>
  <c r="AQ2713" i="1"/>
  <c r="AS2713" i="1" s="1"/>
  <c r="AQ2712" i="1"/>
  <c r="AS2712" i="1" s="1"/>
  <c r="AQ2711" i="1"/>
  <c r="AS2711" i="1" s="1"/>
  <c r="AQ2710" i="1"/>
  <c r="AS2710" i="1" s="1"/>
  <c r="AQ2709" i="1"/>
  <c r="AS2709" i="1" s="1"/>
  <c r="AQ2708" i="1"/>
  <c r="AS2708" i="1" s="1"/>
  <c r="AQ2707" i="1"/>
  <c r="AS2707" i="1" s="1"/>
  <c r="AQ2706" i="1"/>
  <c r="AS2706" i="1" s="1"/>
  <c r="AQ2705" i="1"/>
  <c r="AS2705" i="1" s="1"/>
  <c r="AQ2704" i="1"/>
  <c r="AS2704" i="1" s="1"/>
  <c r="AQ2703" i="1"/>
  <c r="AS2703" i="1" s="1"/>
  <c r="AQ2702" i="1"/>
  <c r="AS2702" i="1" s="1"/>
  <c r="AQ2701" i="1"/>
  <c r="AS2701" i="1" s="1"/>
  <c r="AQ2700" i="1"/>
  <c r="AS2700" i="1" s="1"/>
  <c r="AQ2699" i="1"/>
  <c r="AS2699" i="1" s="1"/>
  <c r="AQ2698" i="1"/>
  <c r="AS2698" i="1" s="1"/>
  <c r="AQ2697" i="1"/>
  <c r="AS2697" i="1" s="1"/>
  <c r="AQ2696" i="1"/>
  <c r="AS2696" i="1" s="1"/>
  <c r="AQ2695" i="1"/>
  <c r="AS2695" i="1" s="1"/>
  <c r="AQ2694" i="1"/>
  <c r="AS2694" i="1" s="1"/>
  <c r="AQ2693" i="1"/>
  <c r="AS2693" i="1" s="1"/>
  <c r="AQ2692" i="1"/>
  <c r="AS2692" i="1" s="1"/>
  <c r="AQ2691" i="1"/>
  <c r="AS2691" i="1" s="1"/>
  <c r="AQ2690" i="1"/>
  <c r="AS2690" i="1" s="1"/>
  <c r="AQ2689" i="1"/>
  <c r="AS2689" i="1" s="1"/>
  <c r="AQ2688" i="1"/>
  <c r="AS2688" i="1" s="1"/>
  <c r="AQ2687" i="1"/>
  <c r="AS2687" i="1" s="1"/>
  <c r="AQ2686" i="1"/>
  <c r="AS2686" i="1" s="1"/>
  <c r="AQ2685" i="1"/>
  <c r="AS2685" i="1" s="1"/>
  <c r="AQ2684" i="1"/>
  <c r="AS2684" i="1" s="1"/>
  <c r="AQ2683" i="1"/>
  <c r="AS2683" i="1" s="1"/>
  <c r="AQ2682" i="1"/>
  <c r="AS2682" i="1" s="1"/>
  <c r="AQ2681" i="1"/>
  <c r="AS2681" i="1" s="1"/>
  <c r="AQ2680" i="1"/>
  <c r="AS2680" i="1" s="1"/>
  <c r="AQ2679" i="1"/>
  <c r="AS2679" i="1" s="1"/>
  <c r="AQ2678" i="1"/>
  <c r="AS2678" i="1" s="1"/>
  <c r="AQ2677" i="1"/>
  <c r="AS2677" i="1" s="1"/>
  <c r="AQ2676" i="1"/>
  <c r="AS2676" i="1" s="1"/>
  <c r="AQ2675" i="1"/>
  <c r="AS2675" i="1" s="1"/>
  <c r="AQ2674" i="1"/>
  <c r="AS2674" i="1" s="1"/>
  <c r="AQ2673" i="1"/>
  <c r="AS2673" i="1" s="1"/>
  <c r="AQ2672" i="1"/>
  <c r="AS2672" i="1" s="1"/>
  <c r="AQ2671" i="1"/>
  <c r="AS2671" i="1" s="1"/>
  <c r="AQ2670" i="1"/>
  <c r="AS2670" i="1" s="1"/>
  <c r="AQ2669" i="1"/>
  <c r="AS2669" i="1" s="1"/>
  <c r="AQ2668" i="1"/>
  <c r="AS2668" i="1" s="1"/>
  <c r="AQ2667" i="1"/>
  <c r="AS2667" i="1" s="1"/>
  <c r="AQ2666" i="1"/>
  <c r="AS2666" i="1" s="1"/>
  <c r="AQ2665" i="1"/>
  <c r="AS2665" i="1" s="1"/>
  <c r="AQ2664" i="1"/>
  <c r="AS2664" i="1" s="1"/>
  <c r="AQ2663" i="1"/>
  <c r="AS2663" i="1" s="1"/>
  <c r="AQ2662" i="1"/>
  <c r="AS2662" i="1" s="1"/>
  <c r="AQ2661" i="1"/>
  <c r="AS2661" i="1" s="1"/>
  <c r="AQ2660" i="1"/>
  <c r="AS2660" i="1" s="1"/>
  <c r="AQ2659" i="1"/>
  <c r="AS2659" i="1" s="1"/>
  <c r="AQ2658" i="1"/>
  <c r="AS2658" i="1" s="1"/>
  <c r="AQ2657" i="1"/>
  <c r="AS2657" i="1" s="1"/>
  <c r="AQ2656" i="1"/>
  <c r="AS2656" i="1" s="1"/>
  <c r="AQ2655" i="1"/>
  <c r="AS2655" i="1" s="1"/>
  <c r="AQ2654" i="1"/>
  <c r="AS2654" i="1" s="1"/>
  <c r="AQ2653" i="1"/>
  <c r="AS2653" i="1" s="1"/>
  <c r="AQ2652" i="1"/>
  <c r="AS2652" i="1" s="1"/>
  <c r="AQ2651" i="1"/>
  <c r="AS2651" i="1" s="1"/>
  <c r="AQ2650" i="1"/>
  <c r="AS2650" i="1" s="1"/>
  <c r="AQ2649" i="1"/>
  <c r="AS2649" i="1" s="1"/>
  <c r="AQ2648" i="1"/>
  <c r="AS2648" i="1" s="1"/>
  <c r="AQ2647" i="1"/>
  <c r="AS2647" i="1" s="1"/>
  <c r="AQ2646" i="1"/>
  <c r="AS2646" i="1" s="1"/>
  <c r="AQ2645" i="1"/>
  <c r="AS2645" i="1" s="1"/>
  <c r="AQ2644" i="1"/>
  <c r="AS2644" i="1" s="1"/>
  <c r="AQ2643" i="1"/>
  <c r="AS2643" i="1" s="1"/>
  <c r="AQ2642" i="1"/>
  <c r="AS2642" i="1" s="1"/>
  <c r="AQ2641" i="1"/>
  <c r="AS2641" i="1" s="1"/>
  <c r="AQ2640" i="1"/>
  <c r="AS2640" i="1" s="1"/>
  <c r="AQ2639" i="1"/>
  <c r="AS2639" i="1" s="1"/>
  <c r="AQ2638" i="1"/>
  <c r="AS2638" i="1" s="1"/>
  <c r="AQ2637" i="1"/>
  <c r="AS2637" i="1" s="1"/>
  <c r="AQ2636" i="1"/>
  <c r="AS2636" i="1" s="1"/>
  <c r="AQ2635" i="1"/>
  <c r="AS2635" i="1" s="1"/>
  <c r="AQ2634" i="1"/>
  <c r="AS2634" i="1" s="1"/>
  <c r="AQ2633" i="1"/>
  <c r="AS2633" i="1" s="1"/>
  <c r="AQ2632" i="1"/>
  <c r="AS2632" i="1" s="1"/>
  <c r="AQ2631" i="1"/>
  <c r="AS2631" i="1" s="1"/>
  <c r="AQ2630" i="1"/>
  <c r="AS2630" i="1" s="1"/>
  <c r="AQ2629" i="1"/>
  <c r="AS2629" i="1" s="1"/>
  <c r="AQ2628" i="1"/>
  <c r="AS2628" i="1" s="1"/>
  <c r="AQ2627" i="1"/>
  <c r="AS2627" i="1" s="1"/>
  <c r="AQ2626" i="1"/>
  <c r="AS2626" i="1" s="1"/>
  <c r="AQ2625" i="1"/>
  <c r="AS2625" i="1" s="1"/>
  <c r="AQ2624" i="1"/>
  <c r="AS2624" i="1" s="1"/>
  <c r="AQ2623" i="1"/>
  <c r="AS2623" i="1" s="1"/>
  <c r="AQ2622" i="1"/>
  <c r="AS2622" i="1" s="1"/>
  <c r="AQ2621" i="1"/>
  <c r="AS2621" i="1" s="1"/>
  <c r="AQ2620" i="1"/>
  <c r="AS2620" i="1" s="1"/>
  <c r="AQ2619" i="1"/>
  <c r="AS2619" i="1" s="1"/>
  <c r="AQ2618" i="1"/>
  <c r="AS2618" i="1" s="1"/>
  <c r="AQ2617" i="1"/>
  <c r="AS2617" i="1" s="1"/>
  <c r="AQ2616" i="1"/>
  <c r="AS2616" i="1" s="1"/>
  <c r="AQ2615" i="1"/>
  <c r="AS2615" i="1" s="1"/>
  <c r="AQ2614" i="1"/>
  <c r="AS2614" i="1" s="1"/>
  <c r="AQ2613" i="1"/>
  <c r="AS2613" i="1" s="1"/>
  <c r="AQ2612" i="1"/>
  <c r="AS2612" i="1" s="1"/>
  <c r="AQ2611" i="1"/>
  <c r="AS2611" i="1" s="1"/>
  <c r="AQ2610" i="1"/>
  <c r="AS2610" i="1" s="1"/>
  <c r="AQ2609" i="1"/>
  <c r="AS2609" i="1" s="1"/>
  <c r="AQ2608" i="1"/>
  <c r="AS2608" i="1" s="1"/>
  <c r="AQ2607" i="1"/>
  <c r="AS2607" i="1" s="1"/>
  <c r="AQ2606" i="1"/>
  <c r="AS2606" i="1" s="1"/>
  <c r="AQ2605" i="1"/>
  <c r="AS2605" i="1" s="1"/>
  <c r="AQ2604" i="1"/>
  <c r="AS2604" i="1" s="1"/>
  <c r="AQ2603" i="1"/>
  <c r="AS2603" i="1" s="1"/>
  <c r="AQ2602" i="1"/>
  <c r="AS2602" i="1" s="1"/>
  <c r="AQ2601" i="1"/>
  <c r="AS2601" i="1" s="1"/>
  <c r="AQ2600" i="1"/>
  <c r="AS2600" i="1" s="1"/>
  <c r="AQ2599" i="1"/>
  <c r="AS2599" i="1" s="1"/>
  <c r="AQ2598" i="1"/>
  <c r="AS2598" i="1" s="1"/>
  <c r="AQ2597" i="1"/>
  <c r="AS2597" i="1" s="1"/>
  <c r="AQ2596" i="1"/>
  <c r="AS2596" i="1" s="1"/>
  <c r="AQ2595" i="1"/>
  <c r="AS2595" i="1" s="1"/>
  <c r="AQ2594" i="1"/>
  <c r="AS2594" i="1" s="1"/>
  <c r="AQ2593" i="1"/>
  <c r="AS2593" i="1" s="1"/>
  <c r="AQ2592" i="1"/>
  <c r="AS2592" i="1" s="1"/>
  <c r="AQ2591" i="1"/>
  <c r="AS2591" i="1" s="1"/>
  <c r="AQ2590" i="1"/>
  <c r="AS2590" i="1" s="1"/>
  <c r="AQ2589" i="1"/>
  <c r="AS2589" i="1" s="1"/>
  <c r="AQ2588" i="1"/>
  <c r="AS2588" i="1" s="1"/>
  <c r="AQ2587" i="1"/>
  <c r="AS2587" i="1" s="1"/>
  <c r="AQ2586" i="1"/>
  <c r="AS2586" i="1" s="1"/>
  <c r="AQ2585" i="1"/>
  <c r="AS2585" i="1" s="1"/>
  <c r="AQ2584" i="1"/>
  <c r="AS2584" i="1" s="1"/>
  <c r="AQ2583" i="1"/>
  <c r="AS2583" i="1" s="1"/>
  <c r="AQ2582" i="1"/>
  <c r="AS2582" i="1" s="1"/>
  <c r="AQ2581" i="1"/>
  <c r="AS2581" i="1" s="1"/>
  <c r="AQ2580" i="1"/>
  <c r="AS2580" i="1" s="1"/>
  <c r="AQ2579" i="1"/>
  <c r="AS2579" i="1" s="1"/>
  <c r="AQ2578" i="1"/>
  <c r="AS2578" i="1" s="1"/>
  <c r="AQ2577" i="1"/>
  <c r="AS2577" i="1" s="1"/>
  <c r="AQ2576" i="1"/>
  <c r="AS2576" i="1" s="1"/>
  <c r="AQ2575" i="1"/>
  <c r="AS2575" i="1" s="1"/>
  <c r="AQ2574" i="1"/>
  <c r="AS2574" i="1" s="1"/>
  <c r="AQ2573" i="1"/>
  <c r="AS2573" i="1" s="1"/>
  <c r="AQ2572" i="1"/>
  <c r="AS2572" i="1" s="1"/>
  <c r="AQ2571" i="1"/>
  <c r="AS2571" i="1" s="1"/>
  <c r="AQ2570" i="1"/>
  <c r="AS2570" i="1" s="1"/>
  <c r="AQ2569" i="1"/>
  <c r="AS2569" i="1" s="1"/>
  <c r="AQ2568" i="1"/>
  <c r="AS2568" i="1" s="1"/>
  <c r="AQ2567" i="1"/>
  <c r="AS2567" i="1" s="1"/>
  <c r="AQ2566" i="1"/>
  <c r="AS2566" i="1" s="1"/>
  <c r="AQ2565" i="1"/>
  <c r="AS2565" i="1" s="1"/>
  <c r="AQ2564" i="1"/>
  <c r="AS2564" i="1" s="1"/>
  <c r="AQ2563" i="1"/>
  <c r="AS2563" i="1" s="1"/>
  <c r="AQ2562" i="1"/>
  <c r="AS2562" i="1" s="1"/>
  <c r="AQ2561" i="1"/>
  <c r="AS2561" i="1" s="1"/>
  <c r="AQ2560" i="1"/>
  <c r="AS2560" i="1" s="1"/>
  <c r="AQ2559" i="1"/>
  <c r="AS2559" i="1" s="1"/>
  <c r="AQ2558" i="1"/>
  <c r="AS2558" i="1" s="1"/>
  <c r="AQ2557" i="1"/>
  <c r="AS2557" i="1" s="1"/>
  <c r="AQ2556" i="1"/>
  <c r="AS2556" i="1" s="1"/>
  <c r="AQ2555" i="1"/>
  <c r="AS2555" i="1" s="1"/>
  <c r="AQ2554" i="1"/>
  <c r="AS2554" i="1" s="1"/>
  <c r="AQ2553" i="1"/>
  <c r="AS2553" i="1" s="1"/>
  <c r="AQ2552" i="1"/>
  <c r="AS2552" i="1" s="1"/>
  <c r="AQ2551" i="1"/>
  <c r="AS2551" i="1" s="1"/>
  <c r="AQ2550" i="1"/>
  <c r="AS2550" i="1" s="1"/>
  <c r="AQ2549" i="1"/>
  <c r="AS2549" i="1" s="1"/>
  <c r="AQ2548" i="1"/>
  <c r="AS2548" i="1" s="1"/>
  <c r="AQ2547" i="1"/>
  <c r="AS2547" i="1" s="1"/>
  <c r="AQ2546" i="1"/>
  <c r="AS2546" i="1" s="1"/>
  <c r="AQ2545" i="1"/>
  <c r="AS2545" i="1" s="1"/>
  <c r="AQ2544" i="1"/>
  <c r="AS2544" i="1" s="1"/>
  <c r="AQ2543" i="1"/>
  <c r="AS2543" i="1" s="1"/>
  <c r="AQ2542" i="1"/>
  <c r="AS2542" i="1" s="1"/>
  <c r="AQ2541" i="1"/>
  <c r="AS2541" i="1" s="1"/>
  <c r="AQ2540" i="1"/>
  <c r="AS2540" i="1" s="1"/>
  <c r="AQ2539" i="1"/>
  <c r="AS2539" i="1" s="1"/>
  <c r="AQ2538" i="1"/>
  <c r="AS2538" i="1" s="1"/>
  <c r="AQ2537" i="1"/>
  <c r="AS2537" i="1" s="1"/>
  <c r="AQ2536" i="1"/>
  <c r="AS2536" i="1" s="1"/>
  <c r="AQ2535" i="1"/>
  <c r="AS2535" i="1" s="1"/>
  <c r="AQ2534" i="1"/>
  <c r="AS2534" i="1" s="1"/>
  <c r="AQ2533" i="1"/>
  <c r="AS2533" i="1" s="1"/>
  <c r="AQ2532" i="1"/>
  <c r="AS2532" i="1" s="1"/>
  <c r="AQ2531" i="1"/>
  <c r="AS2531" i="1" s="1"/>
  <c r="AQ2530" i="1"/>
  <c r="AS2530" i="1" s="1"/>
  <c r="AQ2529" i="1"/>
  <c r="AS2529" i="1" s="1"/>
  <c r="AQ2528" i="1"/>
  <c r="AS2528" i="1" s="1"/>
  <c r="AQ2527" i="1"/>
  <c r="AS2527" i="1" s="1"/>
  <c r="AQ2526" i="1"/>
  <c r="AS2526" i="1" s="1"/>
  <c r="AQ2525" i="1"/>
  <c r="AS2525" i="1" s="1"/>
  <c r="AQ2524" i="1"/>
  <c r="AS2524" i="1" s="1"/>
  <c r="AQ2523" i="1"/>
  <c r="AS2523" i="1" s="1"/>
  <c r="AQ2522" i="1"/>
  <c r="AS2522" i="1" s="1"/>
  <c r="AQ2521" i="1"/>
  <c r="AS2521" i="1" s="1"/>
  <c r="AQ2520" i="1"/>
  <c r="AS2520" i="1" s="1"/>
  <c r="AQ2519" i="1"/>
  <c r="AS2519" i="1" s="1"/>
  <c r="AQ2518" i="1"/>
  <c r="AS2518" i="1" s="1"/>
  <c r="AQ2517" i="1"/>
  <c r="AS2517" i="1" s="1"/>
  <c r="AQ2516" i="1"/>
  <c r="AS2516" i="1" s="1"/>
  <c r="AQ2515" i="1"/>
  <c r="AS2515" i="1" s="1"/>
  <c r="AQ2514" i="1"/>
  <c r="AS2514" i="1" s="1"/>
  <c r="AQ2513" i="1"/>
  <c r="AS2513" i="1" s="1"/>
  <c r="AQ2512" i="1"/>
  <c r="AS2512" i="1" s="1"/>
  <c r="AQ2511" i="1"/>
  <c r="AS2511" i="1" s="1"/>
  <c r="AQ2510" i="1"/>
  <c r="AS2510" i="1" s="1"/>
  <c r="AQ2509" i="1"/>
  <c r="AS2509" i="1" s="1"/>
  <c r="AQ2508" i="1"/>
  <c r="AS2508" i="1" s="1"/>
  <c r="AQ2507" i="1"/>
  <c r="AS2507" i="1" s="1"/>
  <c r="AQ2506" i="1"/>
  <c r="AS2506" i="1" s="1"/>
  <c r="AQ2505" i="1"/>
  <c r="AS2505" i="1" s="1"/>
  <c r="AQ2504" i="1"/>
  <c r="AS2504" i="1" s="1"/>
  <c r="AQ2503" i="1"/>
  <c r="AS2503" i="1" s="1"/>
  <c r="AQ2502" i="1"/>
  <c r="AS2502" i="1" s="1"/>
  <c r="AQ2501" i="1"/>
  <c r="AS2501" i="1" s="1"/>
  <c r="AQ2500" i="1"/>
  <c r="AS2500" i="1" s="1"/>
  <c r="AQ2499" i="1"/>
  <c r="AS2499" i="1" s="1"/>
  <c r="AQ2498" i="1"/>
  <c r="AS2498" i="1" s="1"/>
  <c r="AQ2497" i="1"/>
  <c r="AS2497" i="1" s="1"/>
  <c r="AQ2496" i="1"/>
  <c r="AS2496" i="1" s="1"/>
  <c r="AQ2495" i="1"/>
  <c r="AS2495" i="1" s="1"/>
  <c r="AQ2494" i="1"/>
  <c r="AS2494" i="1" s="1"/>
  <c r="AQ2493" i="1"/>
  <c r="AS2493" i="1" s="1"/>
  <c r="AQ2492" i="1"/>
  <c r="AS2492" i="1" s="1"/>
  <c r="AQ2491" i="1"/>
  <c r="AS2491" i="1" s="1"/>
  <c r="AQ2490" i="1"/>
  <c r="AS2490" i="1" s="1"/>
  <c r="AQ2489" i="1"/>
  <c r="AS2489" i="1" s="1"/>
  <c r="AQ2488" i="1"/>
  <c r="AS2488" i="1" s="1"/>
  <c r="AQ2487" i="1"/>
  <c r="AS2487" i="1" s="1"/>
  <c r="AQ2486" i="1"/>
  <c r="AS2486" i="1" s="1"/>
  <c r="AQ2485" i="1"/>
  <c r="AS2485" i="1" s="1"/>
  <c r="AQ2484" i="1"/>
  <c r="AS2484" i="1" s="1"/>
  <c r="AQ2483" i="1"/>
  <c r="AS2483" i="1" s="1"/>
  <c r="AQ2482" i="1"/>
  <c r="AS2482" i="1" s="1"/>
  <c r="AQ2481" i="1"/>
  <c r="AS2481" i="1" s="1"/>
  <c r="AQ2480" i="1"/>
  <c r="AS2480" i="1" s="1"/>
  <c r="AQ2479" i="1"/>
  <c r="AS2479" i="1" s="1"/>
  <c r="AQ2478" i="1"/>
  <c r="AS2478" i="1" s="1"/>
  <c r="AQ2477" i="1"/>
  <c r="AS2477" i="1" s="1"/>
  <c r="AQ2476" i="1"/>
  <c r="AS2476" i="1" s="1"/>
  <c r="AQ2475" i="1"/>
  <c r="AS2475" i="1" s="1"/>
  <c r="AQ2474" i="1"/>
  <c r="AS2474" i="1" s="1"/>
  <c r="AQ2473" i="1"/>
  <c r="AS2473" i="1" s="1"/>
  <c r="AQ2472" i="1"/>
  <c r="AS2472" i="1" s="1"/>
  <c r="AQ2471" i="1"/>
  <c r="AS2471" i="1" s="1"/>
  <c r="AQ2470" i="1"/>
  <c r="AS2470" i="1" s="1"/>
  <c r="AQ2469" i="1"/>
  <c r="AS2469" i="1" s="1"/>
  <c r="AQ2468" i="1"/>
  <c r="AS2468" i="1" s="1"/>
  <c r="AQ2467" i="1"/>
  <c r="AS2467" i="1" s="1"/>
  <c r="AQ2466" i="1"/>
  <c r="AS2466" i="1" s="1"/>
  <c r="AQ2465" i="1"/>
  <c r="AS2465" i="1" s="1"/>
  <c r="AQ2464" i="1"/>
  <c r="AS2464" i="1" s="1"/>
  <c r="AQ2463" i="1"/>
  <c r="AS2463" i="1" s="1"/>
  <c r="AQ2462" i="1"/>
  <c r="AS2462" i="1" s="1"/>
  <c r="AQ2461" i="1"/>
  <c r="AS2461" i="1" s="1"/>
  <c r="AQ2460" i="1"/>
  <c r="AS2460" i="1" s="1"/>
  <c r="AQ2459" i="1"/>
  <c r="AS2459" i="1" s="1"/>
  <c r="AQ2458" i="1"/>
  <c r="AS2458" i="1" s="1"/>
  <c r="AQ2457" i="1"/>
  <c r="AS2457" i="1" s="1"/>
  <c r="AQ2456" i="1"/>
  <c r="AS2456" i="1" s="1"/>
  <c r="AQ2455" i="1"/>
  <c r="AS2455" i="1" s="1"/>
  <c r="AQ2454" i="1"/>
  <c r="AS2454" i="1" s="1"/>
  <c r="AQ2453" i="1"/>
  <c r="AS2453" i="1" s="1"/>
  <c r="AQ2452" i="1"/>
  <c r="AS2452" i="1" s="1"/>
  <c r="AQ2451" i="1"/>
  <c r="AS2451" i="1" s="1"/>
  <c r="AQ2450" i="1"/>
  <c r="AS2450" i="1" s="1"/>
  <c r="AQ2449" i="1"/>
  <c r="AS2449" i="1" s="1"/>
  <c r="AQ2448" i="1"/>
  <c r="AS2448" i="1" s="1"/>
  <c r="AQ2447" i="1"/>
  <c r="AS2447" i="1" s="1"/>
  <c r="AQ2446" i="1"/>
  <c r="AS2446" i="1" s="1"/>
  <c r="AQ2445" i="1"/>
  <c r="AS2445" i="1" s="1"/>
  <c r="AQ2444" i="1"/>
  <c r="AS2444" i="1" s="1"/>
  <c r="AQ2443" i="1"/>
  <c r="AS2443" i="1" s="1"/>
  <c r="AQ2442" i="1"/>
  <c r="AS2442" i="1" s="1"/>
  <c r="AQ2441" i="1"/>
  <c r="AS2441" i="1" s="1"/>
  <c r="AQ2440" i="1"/>
  <c r="AS2440" i="1" s="1"/>
  <c r="AQ2439" i="1"/>
  <c r="AS2439" i="1" s="1"/>
  <c r="AQ2438" i="1"/>
  <c r="AS2438" i="1" s="1"/>
  <c r="AQ2437" i="1"/>
  <c r="AS2437" i="1" s="1"/>
  <c r="AQ2436" i="1"/>
  <c r="AS2436" i="1" s="1"/>
  <c r="AQ2435" i="1"/>
  <c r="AS2435" i="1" s="1"/>
  <c r="AQ2434" i="1"/>
  <c r="AS2434" i="1" s="1"/>
  <c r="AQ2433" i="1"/>
  <c r="AS2433" i="1" s="1"/>
  <c r="AQ2432" i="1"/>
  <c r="AS2432" i="1" s="1"/>
  <c r="AQ2431" i="1"/>
  <c r="AS2431" i="1" s="1"/>
  <c r="AQ2430" i="1"/>
  <c r="AS2430" i="1" s="1"/>
  <c r="AQ2429" i="1"/>
  <c r="AS2429" i="1" s="1"/>
  <c r="AQ2428" i="1"/>
  <c r="AS2428" i="1" s="1"/>
  <c r="AQ2427" i="1"/>
  <c r="AS2427" i="1" s="1"/>
  <c r="AQ2426" i="1"/>
  <c r="AS2426" i="1" s="1"/>
  <c r="AQ2425" i="1"/>
  <c r="AS2425" i="1" s="1"/>
  <c r="AQ2424" i="1"/>
  <c r="AS2424" i="1" s="1"/>
  <c r="AQ2423" i="1"/>
  <c r="AS2423" i="1" s="1"/>
  <c r="AQ2422" i="1"/>
  <c r="AS2422" i="1" s="1"/>
  <c r="AQ2421" i="1"/>
  <c r="AS2421" i="1" s="1"/>
  <c r="AQ2420" i="1"/>
  <c r="AS2420" i="1" s="1"/>
  <c r="AQ2419" i="1"/>
  <c r="AS2419" i="1" s="1"/>
  <c r="AQ2418" i="1"/>
  <c r="AS2418" i="1" s="1"/>
  <c r="AQ2417" i="1"/>
  <c r="AS2417" i="1" s="1"/>
  <c r="AQ2416" i="1"/>
  <c r="AS2416" i="1" s="1"/>
  <c r="AQ2415" i="1"/>
  <c r="AS2415" i="1" s="1"/>
  <c r="AQ2414" i="1"/>
  <c r="AS2414" i="1" s="1"/>
  <c r="AQ2413" i="1"/>
  <c r="AS2413" i="1" s="1"/>
  <c r="AQ2412" i="1"/>
  <c r="AS2412" i="1" s="1"/>
  <c r="AQ2411" i="1"/>
  <c r="AS2411" i="1" s="1"/>
  <c r="AQ2410" i="1"/>
  <c r="AS2410" i="1" s="1"/>
  <c r="AQ2409" i="1"/>
  <c r="AS2409" i="1" s="1"/>
  <c r="AQ2408" i="1"/>
  <c r="AS2408" i="1" s="1"/>
  <c r="AQ2407" i="1"/>
  <c r="AS2407" i="1" s="1"/>
  <c r="AQ2406" i="1"/>
  <c r="AS2406" i="1" s="1"/>
  <c r="AQ2405" i="1"/>
  <c r="AS2405" i="1" s="1"/>
  <c r="AQ2404" i="1"/>
  <c r="AS2404" i="1" s="1"/>
  <c r="AQ2403" i="1"/>
  <c r="AS2403" i="1" s="1"/>
  <c r="AQ2402" i="1"/>
  <c r="AS2402" i="1" s="1"/>
  <c r="AQ2401" i="1"/>
  <c r="AS2401" i="1" s="1"/>
  <c r="AQ2400" i="1"/>
  <c r="AS2400" i="1" s="1"/>
  <c r="AQ2399" i="1"/>
  <c r="AS2399" i="1" s="1"/>
  <c r="AQ2398" i="1"/>
  <c r="AS2398" i="1" s="1"/>
  <c r="AQ2397" i="1"/>
  <c r="AS2397" i="1" s="1"/>
  <c r="AQ2396" i="1"/>
  <c r="AS2396" i="1" s="1"/>
  <c r="AQ2395" i="1"/>
  <c r="AS2395" i="1" s="1"/>
  <c r="AQ2394" i="1"/>
  <c r="AS2394" i="1" s="1"/>
  <c r="AQ2393" i="1"/>
  <c r="AS2393" i="1" s="1"/>
  <c r="AQ2392" i="1"/>
  <c r="AS2392" i="1" s="1"/>
  <c r="AQ2391" i="1"/>
  <c r="AS2391" i="1" s="1"/>
  <c r="AQ2390" i="1"/>
  <c r="AS2390" i="1" s="1"/>
  <c r="AQ2389" i="1"/>
  <c r="AS2389" i="1" s="1"/>
  <c r="AQ2388" i="1"/>
  <c r="AS2388" i="1" s="1"/>
  <c r="AQ2387" i="1"/>
  <c r="AS2387" i="1" s="1"/>
  <c r="AQ2386" i="1"/>
  <c r="AS2386" i="1" s="1"/>
  <c r="AQ2385" i="1"/>
  <c r="AS2385" i="1" s="1"/>
  <c r="AQ2384" i="1"/>
  <c r="AS2384" i="1" s="1"/>
  <c r="AQ2383" i="1"/>
  <c r="AS2383" i="1" s="1"/>
  <c r="AQ2382" i="1"/>
  <c r="AS2382" i="1" s="1"/>
  <c r="AQ2381" i="1"/>
  <c r="AS2381" i="1" s="1"/>
  <c r="AQ2380" i="1"/>
  <c r="AS2380" i="1" s="1"/>
  <c r="AQ2379" i="1"/>
  <c r="AS2379" i="1" s="1"/>
  <c r="AQ2378" i="1"/>
  <c r="AS2378" i="1" s="1"/>
  <c r="AQ2377" i="1"/>
  <c r="AS2377" i="1" s="1"/>
  <c r="AQ2376" i="1"/>
  <c r="AS2376" i="1" s="1"/>
  <c r="AQ2375" i="1"/>
  <c r="AS2375" i="1" s="1"/>
  <c r="AQ2374" i="1"/>
  <c r="AS2374" i="1" s="1"/>
  <c r="AQ2373" i="1"/>
  <c r="AS2373" i="1" s="1"/>
  <c r="AQ2372" i="1"/>
  <c r="AS2372" i="1" s="1"/>
  <c r="AQ2371" i="1"/>
  <c r="AS2371" i="1" s="1"/>
  <c r="AQ2370" i="1"/>
  <c r="AS2370" i="1" s="1"/>
  <c r="AQ2369" i="1"/>
  <c r="AS2369" i="1" s="1"/>
  <c r="AQ2368" i="1"/>
  <c r="AS2368" i="1" s="1"/>
  <c r="AQ2367" i="1"/>
  <c r="AS2367" i="1" s="1"/>
  <c r="AQ2366" i="1"/>
  <c r="AS2366" i="1" s="1"/>
  <c r="AQ2365" i="1"/>
  <c r="AS2365" i="1" s="1"/>
  <c r="AQ2364" i="1"/>
  <c r="AS2364" i="1" s="1"/>
  <c r="AQ2363" i="1"/>
  <c r="AS2363" i="1" s="1"/>
  <c r="AQ2362" i="1"/>
  <c r="AS2362" i="1" s="1"/>
  <c r="AQ2361" i="1"/>
  <c r="AS2361" i="1" s="1"/>
  <c r="AQ2360" i="1"/>
  <c r="AS2360" i="1" s="1"/>
  <c r="AQ2359" i="1"/>
  <c r="AS2359" i="1" s="1"/>
  <c r="AQ2358" i="1"/>
  <c r="AS2358" i="1" s="1"/>
  <c r="AQ2357" i="1"/>
  <c r="AS2357" i="1" s="1"/>
  <c r="AQ2356" i="1"/>
  <c r="AS2356" i="1" s="1"/>
  <c r="AQ2355" i="1"/>
  <c r="AS2355" i="1" s="1"/>
  <c r="AQ2354" i="1"/>
  <c r="AS2354" i="1" s="1"/>
  <c r="AQ2353" i="1"/>
  <c r="AS2353" i="1" s="1"/>
  <c r="AQ2352" i="1"/>
  <c r="AS2352" i="1" s="1"/>
  <c r="AQ2351" i="1"/>
  <c r="AS2351" i="1" s="1"/>
  <c r="AQ2350" i="1"/>
  <c r="AS2350" i="1" s="1"/>
  <c r="AQ2349" i="1"/>
  <c r="AS2349" i="1" s="1"/>
  <c r="AQ2348" i="1"/>
  <c r="AS2348" i="1" s="1"/>
  <c r="AQ2347" i="1"/>
  <c r="AS2347" i="1" s="1"/>
  <c r="AQ2346" i="1"/>
  <c r="AS2346" i="1" s="1"/>
  <c r="AQ2345" i="1"/>
  <c r="AS2345" i="1" s="1"/>
  <c r="AQ2344" i="1"/>
  <c r="AS2344" i="1" s="1"/>
  <c r="AQ2343" i="1"/>
  <c r="AS2343" i="1" s="1"/>
  <c r="AQ2342" i="1"/>
  <c r="AS2342" i="1" s="1"/>
  <c r="AQ2341" i="1"/>
  <c r="AS2341" i="1" s="1"/>
  <c r="AQ2340" i="1"/>
  <c r="AS2340" i="1" s="1"/>
  <c r="AQ2339" i="1"/>
  <c r="AS2339" i="1" s="1"/>
  <c r="AQ2338" i="1"/>
  <c r="AS2338" i="1" s="1"/>
  <c r="AQ2337" i="1"/>
  <c r="AS2337" i="1" s="1"/>
  <c r="AQ2336" i="1"/>
  <c r="AS2336" i="1" s="1"/>
  <c r="AQ2335" i="1"/>
  <c r="AS2335" i="1" s="1"/>
  <c r="AQ2334" i="1"/>
  <c r="AS2334" i="1" s="1"/>
  <c r="AQ2333" i="1"/>
  <c r="AS2333" i="1" s="1"/>
  <c r="AQ2332" i="1"/>
  <c r="AS2332" i="1" s="1"/>
  <c r="AQ2331" i="1"/>
  <c r="AS2331" i="1" s="1"/>
  <c r="AQ2330" i="1"/>
  <c r="AS2330" i="1" s="1"/>
  <c r="AQ2329" i="1"/>
  <c r="AS2329" i="1" s="1"/>
  <c r="AQ2328" i="1"/>
  <c r="AS2328" i="1" s="1"/>
  <c r="AQ2327" i="1"/>
  <c r="AS2327" i="1" s="1"/>
  <c r="AQ2326" i="1"/>
  <c r="AS2326" i="1" s="1"/>
  <c r="AQ2325" i="1"/>
  <c r="AS2325" i="1" s="1"/>
  <c r="AQ2324" i="1"/>
  <c r="AS2324" i="1" s="1"/>
  <c r="AQ2323" i="1"/>
  <c r="AS2323" i="1" s="1"/>
  <c r="AQ2322" i="1"/>
  <c r="AS2322" i="1" s="1"/>
  <c r="AQ2321" i="1"/>
  <c r="AS2321" i="1" s="1"/>
  <c r="AQ2320" i="1"/>
  <c r="AS2320" i="1" s="1"/>
  <c r="AQ2319" i="1"/>
  <c r="AS2319" i="1" s="1"/>
  <c r="AQ2318" i="1"/>
  <c r="AS2318" i="1" s="1"/>
  <c r="AQ2317" i="1"/>
  <c r="AS2317" i="1" s="1"/>
  <c r="AQ2316" i="1"/>
  <c r="AS2316" i="1" s="1"/>
  <c r="AQ2315" i="1"/>
  <c r="AS2315" i="1" s="1"/>
  <c r="AQ2314" i="1"/>
  <c r="AS2314" i="1" s="1"/>
  <c r="AQ2313" i="1"/>
  <c r="AS2313" i="1" s="1"/>
  <c r="AQ2312" i="1"/>
  <c r="AS2312" i="1" s="1"/>
  <c r="AQ2311" i="1"/>
  <c r="AS2311" i="1" s="1"/>
  <c r="AQ2310" i="1"/>
  <c r="AS2310" i="1" s="1"/>
  <c r="AQ2309" i="1"/>
  <c r="AS2309" i="1" s="1"/>
  <c r="AQ2308" i="1"/>
  <c r="AS2308" i="1" s="1"/>
  <c r="AQ2307" i="1"/>
  <c r="AS2307" i="1" s="1"/>
  <c r="AQ2306" i="1"/>
  <c r="AS2306" i="1" s="1"/>
  <c r="AQ2305" i="1"/>
  <c r="AS2305" i="1" s="1"/>
  <c r="AQ2304" i="1"/>
  <c r="AS2304" i="1" s="1"/>
  <c r="AQ2303" i="1"/>
  <c r="AS2303" i="1" s="1"/>
  <c r="AQ2302" i="1"/>
  <c r="AS2302" i="1" s="1"/>
  <c r="AQ2301" i="1"/>
  <c r="AS2301" i="1" s="1"/>
  <c r="AQ2300" i="1"/>
  <c r="AS2300" i="1" s="1"/>
  <c r="AQ2299" i="1"/>
  <c r="AS2299" i="1" s="1"/>
  <c r="AQ2298" i="1"/>
  <c r="AS2298" i="1" s="1"/>
  <c r="AQ2297" i="1"/>
  <c r="AS2297" i="1" s="1"/>
  <c r="AQ2296" i="1"/>
  <c r="AS2296" i="1" s="1"/>
  <c r="AQ2295" i="1"/>
  <c r="AS2295" i="1" s="1"/>
  <c r="AQ2294" i="1"/>
  <c r="AS2294" i="1" s="1"/>
  <c r="AQ2293" i="1"/>
  <c r="AS2293" i="1" s="1"/>
  <c r="AQ2292" i="1"/>
  <c r="AS2292" i="1" s="1"/>
  <c r="AQ2291" i="1"/>
  <c r="AS2291" i="1" s="1"/>
  <c r="AQ2290" i="1"/>
  <c r="AS2290" i="1" s="1"/>
  <c r="AQ2289" i="1"/>
  <c r="AS2289" i="1" s="1"/>
  <c r="AQ2288" i="1"/>
  <c r="AS2288" i="1" s="1"/>
  <c r="AQ2287" i="1"/>
  <c r="AS2287" i="1" s="1"/>
  <c r="AQ2286" i="1"/>
  <c r="AS2286" i="1" s="1"/>
  <c r="AQ2285" i="1"/>
  <c r="AS2285" i="1" s="1"/>
  <c r="AQ2284" i="1"/>
  <c r="AS2284" i="1" s="1"/>
  <c r="AQ2283" i="1"/>
  <c r="AS2283" i="1" s="1"/>
  <c r="AQ2282" i="1"/>
  <c r="AS2282" i="1" s="1"/>
  <c r="AQ2281" i="1"/>
  <c r="AS2281" i="1" s="1"/>
  <c r="AQ2280" i="1"/>
  <c r="AS2280" i="1" s="1"/>
  <c r="AQ2279" i="1"/>
  <c r="AS2279" i="1" s="1"/>
  <c r="AQ2278" i="1"/>
  <c r="AS2278" i="1" s="1"/>
  <c r="AQ2277" i="1"/>
  <c r="AS2277" i="1" s="1"/>
  <c r="AQ2276" i="1"/>
  <c r="AS2276" i="1" s="1"/>
  <c r="AQ2275" i="1"/>
  <c r="AS2275" i="1" s="1"/>
  <c r="AQ2274" i="1"/>
  <c r="AS2274" i="1" s="1"/>
  <c r="AQ2273" i="1"/>
  <c r="AS2273" i="1" s="1"/>
  <c r="AQ2272" i="1"/>
  <c r="AS2272" i="1" s="1"/>
  <c r="AQ2271" i="1"/>
  <c r="AS2271" i="1" s="1"/>
  <c r="AQ2270" i="1"/>
  <c r="AS2270" i="1" s="1"/>
  <c r="AQ2269" i="1"/>
  <c r="AS2269" i="1" s="1"/>
  <c r="AQ2268" i="1"/>
  <c r="AS2268" i="1" s="1"/>
  <c r="AQ2267" i="1"/>
  <c r="AS2267" i="1" s="1"/>
  <c r="AQ2266" i="1"/>
  <c r="AS2266" i="1" s="1"/>
  <c r="AQ2265" i="1"/>
  <c r="AS2265" i="1" s="1"/>
  <c r="AQ2264" i="1"/>
  <c r="AS2264" i="1" s="1"/>
  <c r="AQ2263" i="1"/>
  <c r="AS2263" i="1" s="1"/>
  <c r="AQ2262" i="1"/>
  <c r="AS2262" i="1" s="1"/>
  <c r="AQ2261" i="1"/>
  <c r="AS2261" i="1" s="1"/>
  <c r="AQ2260" i="1"/>
  <c r="AS2260" i="1" s="1"/>
  <c r="AQ2259" i="1"/>
  <c r="AS2259" i="1" s="1"/>
  <c r="AQ2258" i="1"/>
  <c r="AS2258" i="1" s="1"/>
  <c r="AQ2257" i="1"/>
  <c r="AS2257" i="1" s="1"/>
  <c r="AQ2256" i="1"/>
  <c r="AS2256" i="1" s="1"/>
  <c r="AQ2255" i="1"/>
  <c r="AS2255" i="1" s="1"/>
  <c r="AQ2254" i="1"/>
  <c r="AS2254" i="1" s="1"/>
  <c r="AQ2253" i="1"/>
  <c r="AS2253" i="1" s="1"/>
  <c r="AQ2252" i="1"/>
  <c r="AS2252" i="1" s="1"/>
  <c r="AQ2251" i="1"/>
  <c r="AS2251" i="1" s="1"/>
  <c r="AQ2250" i="1"/>
  <c r="AS2250" i="1" s="1"/>
  <c r="AQ2249" i="1"/>
  <c r="AS2249" i="1" s="1"/>
  <c r="AQ2248" i="1"/>
  <c r="AS2248" i="1" s="1"/>
  <c r="AQ2247" i="1"/>
  <c r="AS2247" i="1" s="1"/>
  <c r="AQ2246" i="1"/>
  <c r="AS2246" i="1" s="1"/>
  <c r="AQ2245" i="1"/>
  <c r="AS2245" i="1" s="1"/>
  <c r="AQ2244" i="1"/>
  <c r="AS2244" i="1" s="1"/>
  <c r="AQ2243" i="1"/>
  <c r="AS2243" i="1" s="1"/>
  <c r="AQ2242" i="1"/>
  <c r="AS2242" i="1" s="1"/>
  <c r="AQ2241" i="1"/>
  <c r="AS2241" i="1" s="1"/>
  <c r="AQ2240" i="1"/>
  <c r="AS2240" i="1" s="1"/>
  <c r="AQ2239" i="1"/>
  <c r="AS2239" i="1" s="1"/>
  <c r="AQ2238" i="1"/>
  <c r="AS2238" i="1" s="1"/>
  <c r="AQ2237" i="1"/>
  <c r="AS2237" i="1" s="1"/>
  <c r="AQ2236" i="1"/>
  <c r="AS2236" i="1" s="1"/>
  <c r="AQ2235" i="1"/>
  <c r="AS2235" i="1" s="1"/>
  <c r="AQ2234" i="1"/>
  <c r="AS2234" i="1" s="1"/>
  <c r="AQ2233" i="1"/>
  <c r="AS2233" i="1" s="1"/>
  <c r="AQ2232" i="1"/>
  <c r="AS2232" i="1" s="1"/>
  <c r="AQ2231" i="1"/>
  <c r="AS2231" i="1" s="1"/>
  <c r="AQ2230" i="1"/>
  <c r="AS2230" i="1" s="1"/>
  <c r="AQ2229" i="1"/>
  <c r="AS2229" i="1" s="1"/>
  <c r="AQ2228" i="1"/>
  <c r="AS2228" i="1" s="1"/>
  <c r="AQ2227" i="1"/>
  <c r="AS2227" i="1" s="1"/>
  <c r="AQ2226" i="1"/>
  <c r="AS2226" i="1" s="1"/>
  <c r="AQ2225" i="1"/>
  <c r="AS2225" i="1" s="1"/>
  <c r="AQ2224" i="1"/>
  <c r="AS2224" i="1" s="1"/>
  <c r="AQ2223" i="1"/>
  <c r="AS2223" i="1" s="1"/>
  <c r="AQ2222" i="1"/>
  <c r="AS2222" i="1" s="1"/>
  <c r="AQ2221" i="1"/>
  <c r="AS2221" i="1" s="1"/>
  <c r="AQ2220" i="1"/>
  <c r="AS2220" i="1" s="1"/>
  <c r="AQ2219" i="1"/>
  <c r="AS2219" i="1" s="1"/>
  <c r="AQ2218" i="1"/>
  <c r="AS2218" i="1" s="1"/>
  <c r="AQ2217" i="1"/>
  <c r="AS2217" i="1" s="1"/>
  <c r="AQ2216" i="1"/>
  <c r="AS2216" i="1" s="1"/>
  <c r="AQ2215" i="1"/>
  <c r="AS2215" i="1" s="1"/>
  <c r="AQ2214" i="1"/>
  <c r="AS2214" i="1" s="1"/>
  <c r="AQ2213" i="1"/>
  <c r="AS2213" i="1" s="1"/>
  <c r="AQ2212" i="1"/>
  <c r="AS2212" i="1" s="1"/>
  <c r="AQ2211" i="1"/>
  <c r="AS2211" i="1" s="1"/>
  <c r="AQ2210" i="1"/>
  <c r="AS2210" i="1" s="1"/>
  <c r="AQ2209" i="1"/>
  <c r="AS2209" i="1" s="1"/>
  <c r="AQ2208" i="1"/>
  <c r="AS2208" i="1" s="1"/>
  <c r="AQ2207" i="1"/>
  <c r="AS2207" i="1" s="1"/>
  <c r="AQ2206" i="1"/>
  <c r="AS2206" i="1" s="1"/>
  <c r="AQ2205" i="1"/>
  <c r="AS2205" i="1" s="1"/>
  <c r="AQ2204" i="1"/>
  <c r="AS2204" i="1" s="1"/>
  <c r="AQ2203" i="1"/>
  <c r="AS2203" i="1" s="1"/>
  <c r="AQ2202" i="1"/>
  <c r="AS2202" i="1" s="1"/>
  <c r="AQ2201" i="1"/>
  <c r="AS2201" i="1" s="1"/>
  <c r="AQ2200" i="1"/>
  <c r="AS2200" i="1" s="1"/>
  <c r="AQ2199" i="1"/>
  <c r="AS2199" i="1" s="1"/>
  <c r="AQ2198" i="1"/>
  <c r="AS2198" i="1" s="1"/>
  <c r="AQ2197" i="1"/>
  <c r="AS2197" i="1" s="1"/>
  <c r="AQ2196" i="1"/>
  <c r="AS2196" i="1" s="1"/>
  <c r="AQ2195" i="1"/>
  <c r="AS2195" i="1" s="1"/>
  <c r="AQ2194" i="1"/>
  <c r="AS2194" i="1" s="1"/>
  <c r="AQ2193" i="1"/>
  <c r="AS2193" i="1" s="1"/>
  <c r="AQ2192" i="1"/>
  <c r="AS2192" i="1" s="1"/>
  <c r="AQ2191" i="1"/>
  <c r="AS2191" i="1" s="1"/>
  <c r="AQ2190" i="1"/>
  <c r="AS2190" i="1" s="1"/>
  <c r="AQ2189" i="1"/>
  <c r="AS2189" i="1" s="1"/>
  <c r="AQ2188" i="1"/>
  <c r="AS2188" i="1" s="1"/>
  <c r="AQ2187" i="1"/>
  <c r="AS2187" i="1" s="1"/>
  <c r="AQ2186" i="1"/>
  <c r="AS2186" i="1" s="1"/>
  <c r="AQ2185" i="1"/>
  <c r="AS2185" i="1" s="1"/>
  <c r="AQ2184" i="1"/>
  <c r="AS2184" i="1" s="1"/>
  <c r="AQ2183" i="1"/>
  <c r="AS2183" i="1" s="1"/>
  <c r="AQ2182" i="1"/>
  <c r="AS2182" i="1" s="1"/>
  <c r="AQ2181" i="1"/>
  <c r="AS2181" i="1" s="1"/>
  <c r="AQ2180" i="1"/>
  <c r="AS2180" i="1" s="1"/>
  <c r="AQ2179" i="1"/>
  <c r="AS2179" i="1" s="1"/>
  <c r="AQ2178" i="1"/>
  <c r="AS2178" i="1" s="1"/>
  <c r="AQ2177" i="1"/>
  <c r="AS2177" i="1" s="1"/>
  <c r="AQ2176" i="1"/>
  <c r="AS2176" i="1" s="1"/>
  <c r="AQ2175" i="1"/>
  <c r="AS2175" i="1" s="1"/>
  <c r="AQ2174" i="1"/>
  <c r="AS2174" i="1" s="1"/>
  <c r="AQ2173" i="1"/>
  <c r="AS2173" i="1" s="1"/>
  <c r="AQ2172" i="1"/>
  <c r="AS2172" i="1" s="1"/>
  <c r="AQ2171" i="1"/>
  <c r="AS2171" i="1" s="1"/>
  <c r="AQ2170" i="1"/>
  <c r="AS2170" i="1" s="1"/>
  <c r="AQ2169" i="1"/>
  <c r="AS2169" i="1" s="1"/>
  <c r="AQ2168" i="1"/>
  <c r="AS2168" i="1" s="1"/>
  <c r="AQ2167" i="1"/>
  <c r="AS2167" i="1" s="1"/>
  <c r="AQ2166" i="1"/>
  <c r="AS2166" i="1" s="1"/>
  <c r="AQ2165" i="1"/>
  <c r="AS2165" i="1" s="1"/>
  <c r="AQ2164" i="1"/>
  <c r="AS2164" i="1" s="1"/>
  <c r="AQ2163" i="1"/>
  <c r="AS2163" i="1" s="1"/>
  <c r="AQ2162" i="1"/>
  <c r="AS2162" i="1" s="1"/>
  <c r="AQ2161" i="1"/>
  <c r="AS2161" i="1" s="1"/>
  <c r="AQ2160" i="1"/>
  <c r="AS2160" i="1" s="1"/>
  <c r="AQ2159" i="1"/>
  <c r="AS2159" i="1" s="1"/>
  <c r="AQ2158" i="1"/>
  <c r="AS2158" i="1" s="1"/>
  <c r="AQ2157" i="1"/>
  <c r="AS2157" i="1" s="1"/>
  <c r="AQ2156" i="1"/>
  <c r="AS2156" i="1" s="1"/>
  <c r="AQ2155" i="1"/>
  <c r="AS2155" i="1" s="1"/>
  <c r="AQ2154" i="1"/>
  <c r="AS2154" i="1" s="1"/>
  <c r="AQ2153" i="1"/>
  <c r="AS2153" i="1" s="1"/>
  <c r="AQ2152" i="1"/>
  <c r="AS2152" i="1" s="1"/>
  <c r="AQ2151" i="1"/>
  <c r="AS2151" i="1" s="1"/>
  <c r="AQ2150" i="1"/>
  <c r="AS2150" i="1" s="1"/>
  <c r="AQ2149" i="1"/>
  <c r="AS2149" i="1" s="1"/>
  <c r="AQ2148" i="1"/>
  <c r="AS2148" i="1" s="1"/>
  <c r="AQ2147" i="1"/>
  <c r="AS2147" i="1" s="1"/>
  <c r="AQ2146" i="1"/>
  <c r="AS2146" i="1" s="1"/>
  <c r="AQ2145" i="1"/>
  <c r="AS2145" i="1" s="1"/>
  <c r="AQ2144" i="1"/>
  <c r="AS2144" i="1" s="1"/>
  <c r="AQ2143" i="1"/>
  <c r="AS2143" i="1" s="1"/>
  <c r="AQ2142" i="1"/>
  <c r="AS2142" i="1" s="1"/>
  <c r="AQ2141" i="1"/>
  <c r="AS2141" i="1" s="1"/>
  <c r="AQ2140" i="1"/>
  <c r="AS2140" i="1" s="1"/>
  <c r="AQ2139" i="1"/>
  <c r="AS2139" i="1" s="1"/>
  <c r="AQ2138" i="1"/>
  <c r="AS2138" i="1" s="1"/>
  <c r="AQ2137" i="1"/>
  <c r="AS2137" i="1" s="1"/>
  <c r="AQ2136" i="1"/>
  <c r="AS2136" i="1" s="1"/>
  <c r="AQ2135" i="1"/>
  <c r="AS2135" i="1" s="1"/>
  <c r="AQ2134" i="1"/>
  <c r="AS2134" i="1" s="1"/>
  <c r="AQ2133" i="1"/>
  <c r="AS2133" i="1" s="1"/>
  <c r="AQ2132" i="1"/>
  <c r="AS2132" i="1" s="1"/>
  <c r="AQ2131" i="1"/>
  <c r="AS2131" i="1" s="1"/>
  <c r="AQ2130" i="1"/>
  <c r="AS2130" i="1" s="1"/>
  <c r="AQ2129" i="1"/>
  <c r="AS2129" i="1" s="1"/>
  <c r="AQ2128" i="1"/>
  <c r="AS2128" i="1" s="1"/>
  <c r="AQ2127" i="1"/>
  <c r="AS2127" i="1" s="1"/>
  <c r="AQ2126" i="1"/>
  <c r="AS2126" i="1" s="1"/>
  <c r="AQ2125" i="1"/>
  <c r="AS2125" i="1" s="1"/>
  <c r="AQ2124" i="1"/>
  <c r="AS2124" i="1" s="1"/>
  <c r="AQ2123" i="1"/>
  <c r="AS2123" i="1" s="1"/>
  <c r="AQ2122" i="1"/>
  <c r="AS2122" i="1" s="1"/>
  <c r="AQ2121" i="1"/>
  <c r="AS2121" i="1" s="1"/>
  <c r="AQ2120" i="1"/>
  <c r="AS2120" i="1" s="1"/>
  <c r="AQ2119" i="1"/>
  <c r="AS2119" i="1" s="1"/>
  <c r="AQ2118" i="1"/>
  <c r="AS2118" i="1" s="1"/>
  <c r="AQ2117" i="1"/>
  <c r="AS2117" i="1" s="1"/>
  <c r="AQ2116" i="1"/>
  <c r="AS2116" i="1" s="1"/>
  <c r="AQ2115" i="1"/>
  <c r="AS2115" i="1" s="1"/>
  <c r="AQ2114" i="1"/>
  <c r="AS2114" i="1" s="1"/>
  <c r="AQ2113" i="1"/>
  <c r="AS2113" i="1" s="1"/>
  <c r="AQ2112" i="1"/>
  <c r="AS2112" i="1" s="1"/>
  <c r="AQ2111" i="1"/>
  <c r="AS2111" i="1" s="1"/>
  <c r="AQ2110" i="1"/>
  <c r="AS2110" i="1" s="1"/>
  <c r="AQ2109" i="1"/>
  <c r="AS2109" i="1" s="1"/>
  <c r="AQ2108" i="1"/>
  <c r="AS2108" i="1" s="1"/>
  <c r="AQ2107" i="1"/>
  <c r="AS2107" i="1" s="1"/>
  <c r="AQ2106" i="1"/>
  <c r="AS2106" i="1" s="1"/>
  <c r="AQ2105" i="1"/>
  <c r="AS2105" i="1" s="1"/>
  <c r="AQ2104" i="1"/>
  <c r="AS2104" i="1" s="1"/>
  <c r="AQ2103" i="1"/>
  <c r="AS2103" i="1" s="1"/>
  <c r="AQ2102" i="1"/>
  <c r="AS2102" i="1" s="1"/>
  <c r="AQ2101" i="1"/>
  <c r="AS2101" i="1" s="1"/>
  <c r="AQ2100" i="1"/>
  <c r="AS2100" i="1" s="1"/>
  <c r="AQ2099" i="1"/>
  <c r="AS2099" i="1" s="1"/>
  <c r="AQ2098" i="1"/>
  <c r="AS2098" i="1" s="1"/>
  <c r="AQ2097" i="1"/>
  <c r="AS2097" i="1" s="1"/>
  <c r="AQ2096" i="1"/>
  <c r="AS2096" i="1" s="1"/>
  <c r="AQ2095" i="1"/>
  <c r="AS2095" i="1" s="1"/>
  <c r="AQ2094" i="1"/>
  <c r="AS2094" i="1" s="1"/>
  <c r="AQ2093" i="1"/>
  <c r="AS2093" i="1" s="1"/>
  <c r="AQ2092" i="1"/>
  <c r="AS2092" i="1" s="1"/>
  <c r="AQ2091" i="1"/>
  <c r="AS2091" i="1" s="1"/>
  <c r="AQ2090" i="1"/>
  <c r="AS2090" i="1" s="1"/>
  <c r="AQ2089" i="1"/>
  <c r="AS2089" i="1" s="1"/>
  <c r="AQ2088" i="1"/>
  <c r="AS2088" i="1" s="1"/>
  <c r="AQ2087" i="1"/>
  <c r="AS2087" i="1" s="1"/>
  <c r="AQ2086" i="1"/>
  <c r="AS2086" i="1" s="1"/>
  <c r="AQ2085" i="1"/>
  <c r="AS2085" i="1" s="1"/>
  <c r="AQ2084" i="1"/>
  <c r="AS2084" i="1" s="1"/>
  <c r="AQ2083" i="1"/>
  <c r="AS2083" i="1" s="1"/>
  <c r="AQ2082" i="1"/>
  <c r="AS2082" i="1" s="1"/>
  <c r="AQ2081" i="1"/>
  <c r="AS2081" i="1" s="1"/>
  <c r="AQ2080" i="1"/>
  <c r="AS2080" i="1" s="1"/>
  <c r="AQ2079" i="1"/>
  <c r="AS2079" i="1" s="1"/>
  <c r="AQ2078" i="1"/>
  <c r="AS2078" i="1" s="1"/>
  <c r="AQ2077" i="1"/>
  <c r="AS2077" i="1" s="1"/>
  <c r="AQ2076" i="1"/>
  <c r="AS2076" i="1" s="1"/>
  <c r="AQ2075" i="1"/>
  <c r="AS2075" i="1" s="1"/>
  <c r="AQ2074" i="1"/>
  <c r="AS2074" i="1" s="1"/>
  <c r="AQ2073" i="1"/>
  <c r="AS2073" i="1" s="1"/>
  <c r="AQ2072" i="1"/>
  <c r="AS2072" i="1" s="1"/>
  <c r="AQ2071" i="1"/>
  <c r="AS2071" i="1" s="1"/>
  <c r="AQ2070" i="1"/>
  <c r="AS2070" i="1" s="1"/>
  <c r="AQ2069" i="1"/>
  <c r="AS2069" i="1" s="1"/>
  <c r="AQ2068" i="1"/>
  <c r="AS2068" i="1" s="1"/>
  <c r="AQ2067" i="1"/>
  <c r="AS2067" i="1" s="1"/>
  <c r="AQ2066" i="1"/>
  <c r="AS2066" i="1" s="1"/>
  <c r="AQ2065" i="1"/>
  <c r="AS2065" i="1" s="1"/>
  <c r="AQ2064" i="1"/>
  <c r="AS2064" i="1" s="1"/>
  <c r="AQ2063" i="1"/>
  <c r="AS2063" i="1" s="1"/>
  <c r="AQ2062" i="1"/>
  <c r="AS2062" i="1" s="1"/>
  <c r="AQ2061" i="1"/>
  <c r="AS2061" i="1" s="1"/>
  <c r="AQ2060" i="1"/>
  <c r="AS2060" i="1" s="1"/>
  <c r="AQ2059" i="1"/>
  <c r="AS2059" i="1" s="1"/>
  <c r="AQ2058" i="1"/>
  <c r="AS2058" i="1" s="1"/>
  <c r="AQ2057" i="1"/>
  <c r="AS2057" i="1" s="1"/>
  <c r="AQ2056" i="1"/>
  <c r="AS2056" i="1" s="1"/>
  <c r="AQ2055" i="1"/>
  <c r="AS2055" i="1" s="1"/>
  <c r="AQ2054" i="1"/>
  <c r="AS2054" i="1" s="1"/>
  <c r="AQ2053" i="1"/>
  <c r="AS2053" i="1" s="1"/>
  <c r="AQ2052" i="1"/>
  <c r="AS2052" i="1" s="1"/>
  <c r="AQ2051" i="1"/>
  <c r="AS2051" i="1" s="1"/>
  <c r="AQ2050" i="1"/>
  <c r="AS2050" i="1" s="1"/>
  <c r="AQ2049" i="1"/>
  <c r="AS2049" i="1" s="1"/>
  <c r="AQ2048" i="1"/>
  <c r="AS2048" i="1" s="1"/>
  <c r="AQ2047" i="1"/>
  <c r="AS2047" i="1" s="1"/>
  <c r="AQ2046" i="1"/>
  <c r="AS2046" i="1" s="1"/>
  <c r="AQ2045" i="1"/>
  <c r="AS2045" i="1" s="1"/>
  <c r="AQ2044" i="1"/>
  <c r="AS2044" i="1" s="1"/>
  <c r="AQ2043" i="1"/>
  <c r="AS2043" i="1" s="1"/>
  <c r="AQ2042" i="1"/>
  <c r="AS2042" i="1" s="1"/>
  <c r="AQ2041" i="1"/>
  <c r="AS2041" i="1" s="1"/>
  <c r="AQ2040" i="1"/>
  <c r="AS2040" i="1" s="1"/>
  <c r="AQ2039" i="1"/>
  <c r="AS2039" i="1" s="1"/>
  <c r="AQ2038" i="1"/>
  <c r="AS2038" i="1" s="1"/>
  <c r="AQ2037" i="1"/>
  <c r="AS2037" i="1" s="1"/>
  <c r="AQ2036" i="1"/>
  <c r="AS2036" i="1" s="1"/>
  <c r="AQ2035" i="1"/>
  <c r="AS2035" i="1" s="1"/>
  <c r="AQ2034" i="1"/>
  <c r="AS2034" i="1" s="1"/>
  <c r="AQ2033" i="1"/>
  <c r="AS2033" i="1" s="1"/>
  <c r="AQ2032" i="1"/>
  <c r="AS2032" i="1" s="1"/>
  <c r="AQ2031" i="1"/>
  <c r="AS2031" i="1" s="1"/>
  <c r="AQ2030" i="1"/>
  <c r="AS2030" i="1" s="1"/>
  <c r="AQ2029" i="1"/>
  <c r="AS2029" i="1" s="1"/>
  <c r="AQ2028" i="1"/>
  <c r="AS2028" i="1" s="1"/>
  <c r="AQ2027" i="1"/>
  <c r="AS2027" i="1" s="1"/>
  <c r="AQ2026" i="1"/>
  <c r="AS2026" i="1" s="1"/>
  <c r="AQ2025" i="1"/>
  <c r="AS2025" i="1" s="1"/>
  <c r="AQ2024" i="1"/>
  <c r="AS2024" i="1" s="1"/>
  <c r="AQ2023" i="1"/>
  <c r="AS2023" i="1" s="1"/>
  <c r="AQ2022" i="1"/>
  <c r="AS2022" i="1" s="1"/>
  <c r="AQ2021" i="1"/>
  <c r="AS2021" i="1" s="1"/>
  <c r="AQ2020" i="1"/>
  <c r="AS2020" i="1" s="1"/>
  <c r="AQ2019" i="1"/>
  <c r="AS2019" i="1" s="1"/>
  <c r="AQ2018" i="1"/>
  <c r="AS2018" i="1" s="1"/>
  <c r="AQ2017" i="1"/>
  <c r="AS2017" i="1" s="1"/>
  <c r="AQ2016" i="1"/>
  <c r="AS2016" i="1" s="1"/>
  <c r="AQ2015" i="1"/>
  <c r="AS2015" i="1" s="1"/>
  <c r="AQ2014" i="1"/>
  <c r="AS2014" i="1" s="1"/>
  <c r="AQ2013" i="1"/>
  <c r="AS2013" i="1" s="1"/>
  <c r="AQ2012" i="1"/>
  <c r="AS2012" i="1" s="1"/>
  <c r="AQ2011" i="1"/>
  <c r="AS2011" i="1" s="1"/>
  <c r="AQ2010" i="1"/>
  <c r="AS2010" i="1" s="1"/>
  <c r="AQ2009" i="1"/>
  <c r="AS2009" i="1" s="1"/>
  <c r="AQ2008" i="1"/>
  <c r="AS2008" i="1" s="1"/>
  <c r="AQ2007" i="1"/>
  <c r="AS2007" i="1" s="1"/>
  <c r="AQ2006" i="1"/>
  <c r="AS2006" i="1" s="1"/>
  <c r="AQ2005" i="1"/>
  <c r="AS2005" i="1" s="1"/>
  <c r="AQ2004" i="1"/>
  <c r="AS2004" i="1" s="1"/>
  <c r="AQ2003" i="1"/>
  <c r="AS2003" i="1" s="1"/>
  <c r="AQ2002" i="1"/>
  <c r="AS2002" i="1" s="1"/>
  <c r="AQ2001" i="1"/>
  <c r="AS2001" i="1" s="1"/>
  <c r="AQ2000" i="1"/>
  <c r="AS2000" i="1" s="1"/>
  <c r="AQ1999" i="1"/>
  <c r="AS1999" i="1" s="1"/>
  <c r="AQ1998" i="1"/>
  <c r="AS1998" i="1" s="1"/>
  <c r="AQ1997" i="1"/>
  <c r="AS1997" i="1" s="1"/>
  <c r="AQ1996" i="1"/>
  <c r="AS1996" i="1" s="1"/>
  <c r="AQ1995" i="1"/>
  <c r="AS1995" i="1" s="1"/>
  <c r="AQ1994" i="1"/>
  <c r="AS1994" i="1" s="1"/>
  <c r="AQ1993" i="1"/>
  <c r="AS1993" i="1" s="1"/>
  <c r="AQ1992" i="1"/>
  <c r="AS1992" i="1" s="1"/>
  <c r="AQ1991" i="1"/>
  <c r="AS1991" i="1" s="1"/>
  <c r="AQ1990" i="1"/>
  <c r="AS1990" i="1" s="1"/>
  <c r="AQ1989" i="1"/>
  <c r="AS1989" i="1" s="1"/>
  <c r="AQ1988" i="1"/>
  <c r="AS1988" i="1" s="1"/>
  <c r="AQ1987" i="1"/>
  <c r="AS1987" i="1" s="1"/>
  <c r="AQ1986" i="1"/>
  <c r="AS1986" i="1" s="1"/>
  <c r="AQ1985" i="1"/>
  <c r="AS1985" i="1" s="1"/>
  <c r="AQ1984" i="1"/>
  <c r="AS1984" i="1" s="1"/>
  <c r="AQ1983" i="1"/>
  <c r="AS1983" i="1" s="1"/>
  <c r="AQ1982" i="1"/>
  <c r="AS1982" i="1" s="1"/>
  <c r="AQ1981" i="1"/>
  <c r="AS1981" i="1" s="1"/>
  <c r="AQ1980" i="1"/>
  <c r="AS1980" i="1" s="1"/>
  <c r="AQ1979" i="1"/>
  <c r="AS1979" i="1" s="1"/>
  <c r="AQ1978" i="1"/>
  <c r="AS1978" i="1" s="1"/>
  <c r="AQ1977" i="1"/>
  <c r="AS1977" i="1" s="1"/>
  <c r="AQ1976" i="1"/>
  <c r="AS1976" i="1" s="1"/>
  <c r="AQ1975" i="1"/>
  <c r="AS1975" i="1" s="1"/>
  <c r="AQ1974" i="1"/>
  <c r="AS1974" i="1" s="1"/>
  <c r="AQ1973" i="1"/>
  <c r="AS1973" i="1" s="1"/>
  <c r="AQ1972" i="1"/>
  <c r="AS1972" i="1" s="1"/>
  <c r="AQ1971" i="1"/>
  <c r="AS1971" i="1" s="1"/>
  <c r="AQ1970" i="1"/>
  <c r="AS1970" i="1" s="1"/>
  <c r="AQ1969" i="1"/>
  <c r="AS1969" i="1" s="1"/>
  <c r="AQ1968" i="1"/>
  <c r="AS1968" i="1" s="1"/>
  <c r="AQ1967" i="1"/>
  <c r="AS1967" i="1" s="1"/>
  <c r="AQ1966" i="1"/>
  <c r="AS1966" i="1" s="1"/>
  <c r="AQ1965" i="1"/>
  <c r="AS1965" i="1" s="1"/>
  <c r="AQ1964" i="1"/>
  <c r="AS1964" i="1" s="1"/>
  <c r="AQ1963" i="1"/>
  <c r="AS1963" i="1" s="1"/>
  <c r="AQ1962" i="1"/>
  <c r="AS1962" i="1" s="1"/>
  <c r="AQ1961" i="1"/>
  <c r="AS1961" i="1" s="1"/>
  <c r="AQ1960" i="1"/>
  <c r="AS1960" i="1" s="1"/>
  <c r="AQ1959" i="1"/>
  <c r="AS1959" i="1" s="1"/>
  <c r="AQ1958" i="1"/>
  <c r="AS1958" i="1" s="1"/>
  <c r="AQ1957" i="1"/>
  <c r="AS1957" i="1" s="1"/>
  <c r="AQ1956" i="1"/>
  <c r="AS1956" i="1" s="1"/>
  <c r="AQ1955" i="1"/>
  <c r="AS1955" i="1" s="1"/>
  <c r="AQ1954" i="1"/>
  <c r="AS1954" i="1" s="1"/>
  <c r="AQ1953" i="1"/>
  <c r="AS1953" i="1" s="1"/>
  <c r="AQ1952" i="1"/>
  <c r="AS1952" i="1" s="1"/>
  <c r="AQ1951" i="1"/>
  <c r="AS1951" i="1" s="1"/>
  <c r="AQ1950" i="1"/>
  <c r="AS1950" i="1" s="1"/>
  <c r="AQ1949" i="1"/>
  <c r="AS1949" i="1" s="1"/>
  <c r="AQ1948" i="1"/>
  <c r="AS1948" i="1" s="1"/>
  <c r="AQ1947" i="1"/>
  <c r="AS1947" i="1" s="1"/>
  <c r="AQ1946" i="1"/>
  <c r="AS1946" i="1" s="1"/>
  <c r="AQ1945" i="1"/>
  <c r="AS1945" i="1" s="1"/>
  <c r="AQ1944" i="1"/>
  <c r="AS1944" i="1" s="1"/>
  <c r="AQ1943" i="1"/>
  <c r="AS1943" i="1" s="1"/>
  <c r="AQ1942" i="1"/>
  <c r="AS1942" i="1" s="1"/>
  <c r="AQ1941" i="1"/>
  <c r="AS1941" i="1" s="1"/>
  <c r="AQ1940" i="1"/>
  <c r="AS1940" i="1" s="1"/>
  <c r="AQ1939" i="1"/>
  <c r="AS1939" i="1" s="1"/>
  <c r="AQ1938" i="1"/>
  <c r="AS1938" i="1" s="1"/>
  <c r="AQ1937" i="1"/>
  <c r="AS1937" i="1" s="1"/>
  <c r="AQ1936" i="1"/>
  <c r="AS1936" i="1" s="1"/>
  <c r="AQ1935" i="1"/>
  <c r="AS1935" i="1" s="1"/>
  <c r="AQ1934" i="1"/>
  <c r="AS1934" i="1" s="1"/>
  <c r="AQ1933" i="1"/>
  <c r="AS1933" i="1" s="1"/>
  <c r="AQ1932" i="1"/>
  <c r="AS1932" i="1" s="1"/>
  <c r="AQ1931" i="1"/>
  <c r="AS1931" i="1" s="1"/>
  <c r="AQ1930" i="1"/>
  <c r="AS1930" i="1" s="1"/>
  <c r="AQ1929" i="1"/>
  <c r="AS1929" i="1" s="1"/>
  <c r="AQ1928" i="1"/>
  <c r="AS1928" i="1" s="1"/>
  <c r="AQ1927" i="1"/>
  <c r="AS1927" i="1" s="1"/>
  <c r="AQ1926" i="1"/>
  <c r="AS1926" i="1" s="1"/>
  <c r="AQ1925" i="1"/>
  <c r="AS1925" i="1" s="1"/>
  <c r="AQ1924" i="1"/>
  <c r="AS1924" i="1" s="1"/>
  <c r="AQ1923" i="1"/>
  <c r="AS1923" i="1" s="1"/>
  <c r="AQ1922" i="1"/>
  <c r="AS1922" i="1" s="1"/>
  <c r="AQ1921" i="1"/>
  <c r="AS1921" i="1" s="1"/>
  <c r="AQ1920" i="1"/>
  <c r="AS1920" i="1" s="1"/>
  <c r="AQ1919" i="1"/>
  <c r="AS1919" i="1" s="1"/>
  <c r="AQ1918" i="1"/>
  <c r="AS1918" i="1" s="1"/>
  <c r="AQ1917" i="1"/>
  <c r="AS1917" i="1" s="1"/>
  <c r="AQ1916" i="1"/>
  <c r="AS1916" i="1" s="1"/>
  <c r="AQ1915" i="1"/>
  <c r="AS1915" i="1" s="1"/>
  <c r="AQ1914" i="1"/>
  <c r="AS1914" i="1" s="1"/>
  <c r="AQ1913" i="1"/>
  <c r="AS1913" i="1" s="1"/>
  <c r="AQ1912" i="1"/>
  <c r="AS1912" i="1" s="1"/>
  <c r="AQ1911" i="1"/>
  <c r="AS1911" i="1" s="1"/>
  <c r="AQ1910" i="1"/>
  <c r="AS1910" i="1" s="1"/>
  <c r="AQ1909" i="1"/>
  <c r="AS1909" i="1" s="1"/>
  <c r="AQ1908" i="1"/>
  <c r="AS1908" i="1" s="1"/>
  <c r="AQ1907" i="1"/>
  <c r="AS1907" i="1" s="1"/>
  <c r="AQ1906" i="1"/>
  <c r="AS1906" i="1" s="1"/>
  <c r="AQ1905" i="1"/>
  <c r="AS1905" i="1" s="1"/>
  <c r="AQ1904" i="1"/>
  <c r="AS1904" i="1" s="1"/>
  <c r="AQ1903" i="1"/>
  <c r="AS1903" i="1" s="1"/>
  <c r="AQ1902" i="1"/>
  <c r="AS1902" i="1" s="1"/>
  <c r="AQ1901" i="1"/>
  <c r="AS1901" i="1" s="1"/>
  <c r="AQ1900" i="1"/>
  <c r="AS1900" i="1" s="1"/>
  <c r="AQ1899" i="1"/>
  <c r="AS1899" i="1" s="1"/>
  <c r="AQ1898" i="1"/>
  <c r="AS1898" i="1" s="1"/>
  <c r="AQ1897" i="1"/>
  <c r="AS1897" i="1" s="1"/>
  <c r="AQ1896" i="1"/>
  <c r="AS1896" i="1" s="1"/>
  <c r="AQ1895" i="1"/>
  <c r="AS1895" i="1" s="1"/>
  <c r="AQ1894" i="1"/>
  <c r="AS1894" i="1" s="1"/>
  <c r="AQ1893" i="1"/>
  <c r="AS1893" i="1" s="1"/>
  <c r="AQ1892" i="1"/>
  <c r="AS1892" i="1" s="1"/>
  <c r="AQ1891" i="1"/>
  <c r="AS1891" i="1" s="1"/>
  <c r="AQ1890" i="1"/>
  <c r="AS1890" i="1" s="1"/>
  <c r="AQ1889" i="1"/>
  <c r="AS1889" i="1" s="1"/>
  <c r="AQ1888" i="1"/>
  <c r="AS1888" i="1" s="1"/>
  <c r="AQ1887" i="1"/>
  <c r="AS1887" i="1" s="1"/>
  <c r="AQ1886" i="1"/>
  <c r="AS1886" i="1" s="1"/>
  <c r="AQ1885" i="1"/>
  <c r="AS1885" i="1" s="1"/>
  <c r="AQ1884" i="1"/>
  <c r="AS1884" i="1" s="1"/>
  <c r="AQ1883" i="1"/>
  <c r="AS1883" i="1" s="1"/>
  <c r="AQ1882" i="1"/>
  <c r="AS1882" i="1" s="1"/>
  <c r="AQ1881" i="1"/>
  <c r="AS1881" i="1" s="1"/>
  <c r="AQ1880" i="1"/>
  <c r="AS1880" i="1" s="1"/>
  <c r="AQ1879" i="1"/>
  <c r="AS1879" i="1" s="1"/>
  <c r="AQ1878" i="1"/>
  <c r="AS1878" i="1" s="1"/>
  <c r="AQ1877" i="1"/>
  <c r="AS1877" i="1" s="1"/>
  <c r="AQ1876" i="1"/>
  <c r="AS1876" i="1" s="1"/>
  <c r="AQ1875" i="1"/>
  <c r="AS1875" i="1" s="1"/>
  <c r="AQ1874" i="1"/>
  <c r="AS1874" i="1" s="1"/>
  <c r="AQ1873" i="1"/>
  <c r="AS1873" i="1" s="1"/>
  <c r="AQ1872" i="1"/>
  <c r="AS1872" i="1" s="1"/>
  <c r="AQ1871" i="1"/>
  <c r="AS1871" i="1" s="1"/>
  <c r="AQ1870" i="1"/>
  <c r="AS1870" i="1" s="1"/>
  <c r="AQ1869" i="1"/>
  <c r="AS1869" i="1" s="1"/>
  <c r="AQ1868" i="1"/>
  <c r="AS1868" i="1" s="1"/>
  <c r="AQ1867" i="1"/>
  <c r="AS1867" i="1" s="1"/>
  <c r="AQ1866" i="1"/>
  <c r="AS1866" i="1" s="1"/>
  <c r="AQ1865" i="1"/>
  <c r="AS1865" i="1" s="1"/>
  <c r="AQ1864" i="1"/>
  <c r="AS1864" i="1" s="1"/>
  <c r="AQ1863" i="1"/>
  <c r="AS1863" i="1" s="1"/>
  <c r="AQ1862" i="1"/>
  <c r="AS1862" i="1" s="1"/>
  <c r="AQ1861" i="1"/>
  <c r="AS1861" i="1" s="1"/>
  <c r="AQ1860" i="1"/>
  <c r="AS1860" i="1" s="1"/>
  <c r="AQ1859" i="1"/>
  <c r="AS1859" i="1" s="1"/>
  <c r="AQ1858" i="1"/>
  <c r="AS1858" i="1" s="1"/>
  <c r="AQ1857" i="1"/>
  <c r="AS1857" i="1" s="1"/>
  <c r="AQ1856" i="1"/>
  <c r="AS1856" i="1" s="1"/>
  <c r="AQ1855" i="1"/>
  <c r="AS1855" i="1" s="1"/>
  <c r="AQ1854" i="1"/>
  <c r="AS1854" i="1" s="1"/>
  <c r="AQ1853" i="1"/>
  <c r="AS1853" i="1" s="1"/>
  <c r="AQ1852" i="1"/>
  <c r="AS1852" i="1" s="1"/>
  <c r="AQ1851" i="1"/>
  <c r="AS1851" i="1" s="1"/>
  <c r="AQ1850" i="1"/>
  <c r="AS1850" i="1" s="1"/>
  <c r="AQ1849" i="1"/>
  <c r="AS1849" i="1" s="1"/>
  <c r="AQ1848" i="1"/>
  <c r="AS1848" i="1" s="1"/>
  <c r="AQ1847" i="1"/>
  <c r="AS1847" i="1" s="1"/>
  <c r="AQ1846" i="1"/>
  <c r="AS1846" i="1" s="1"/>
  <c r="AQ1845" i="1"/>
  <c r="AS1845" i="1" s="1"/>
  <c r="AQ1844" i="1"/>
  <c r="AS1844" i="1" s="1"/>
  <c r="AQ1843" i="1"/>
  <c r="AS1843" i="1" s="1"/>
  <c r="AQ1842" i="1"/>
  <c r="AS1842" i="1" s="1"/>
  <c r="AQ1841" i="1"/>
  <c r="AS1841" i="1" s="1"/>
  <c r="AQ1840" i="1"/>
  <c r="AS1840" i="1" s="1"/>
  <c r="AQ1839" i="1"/>
  <c r="AS1839" i="1" s="1"/>
  <c r="AQ1838" i="1"/>
  <c r="AS1838" i="1" s="1"/>
  <c r="AQ1837" i="1"/>
  <c r="AS1837" i="1" s="1"/>
  <c r="AQ1836" i="1"/>
  <c r="AS1836" i="1" s="1"/>
  <c r="AQ1835" i="1"/>
  <c r="AS1835" i="1" s="1"/>
  <c r="AQ1834" i="1"/>
  <c r="AS1834" i="1" s="1"/>
  <c r="AQ1833" i="1"/>
  <c r="AS1833" i="1" s="1"/>
  <c r="AQ1832" i="1"/>
  <c r="AS1832" i="1" s="1"/>
  <c r="AQ1831" i="1"/>
  <c r="AS1831" i="1" s="1"/>
  <c r="AQ1830" i="1"/>
  <c r="AS1830" i="1" s="1"/>
  <c r="AQ1829" i="1"/>
  <c r="AS1829" i="1" s="1"/>
  <c r="AQ1828" i="1"/>
  <c r="AS1828" i="1" s="1"/>
  <c r="AQ1827" i="1"/>
  <c r="AS1827" i="1" s="1"/>
  <c r="AQ1826" i="1"/>
  <c r="AS1826" i="1" s="1"/>
  <c r="AQ1825" i="1"/>
  <c r="AS1825" i="1" s="1"/>
  <c r="AQ1824" i="1"/>
  <c r="AS1824" i="1" s="1"/>
  <c r="AQ1823" i="1"/>
  <c r="AS1823" i="1" s="1"/>
  <c r="AQ1822" i="1"/>
  <c r="AS1822" i="1" s="1"/>
  <c r="AQ1821" i="1"/>
  <c r="AS1821" i="1" s="1"/>
  <c r="AQ1820" i="1"/>
  <c r="AS1820" i="1" s="1"/>
  <c r="AQ1819" i="1"/>
  <c r="AS1819" i="1" s="1"/>
  <c r="AQ1818" i="1"/>
  <c r="AS1818" i="1" s="1"/>
  <c r="AQ1817" i="1"/>
  <c r="AS1817" i="1" s="1"/>
  <c r="AQ1816" i="1"/>
  <c r="AS1816" i="1" s="1"/>
  <c r="AQ1815" i="1"/>
  <c r="AS1815" i="1" s="1"/>
  <c r="AQ1814" i="1"/>
  <c r="AS1814" i="1" s="1"/>
  <c r="AQ1813" i="1"/>
  <c r="AS1813" i="1" s="1"/>
  <c r="AQ1812" i="1"/>
  <c r="AS1812" i="1" s="1"/>
  <c r="AQ1811" i="1"/>
  <c r="AS1811" i="1" s="1"/>
  <c r="AQ1810" i="1"/>
  <c r="AS1810" i="1" s="1"/>
  <c r="AQ1809" i="1"/>
  <c r="AS1809" i="1" s="1"/>
  <c r="AQ1808" i="1"/>
  <c r="AS1808" i="1" s="1"/>
  <c r="AQ1807" i="1"/>
  <c r="AS1807" i="1" s="1"/>
  <c r="AQ1806" i="1"/>
  <c r="AS1806" i="1" s="1"/>
  <c r="AQ1805" i="1"/>
  <c r="AS1805" i="1" s="1"/>
  <c r="AQ1804" i="1"/>
  <c r="AS1804" i="1" s="1"/>
  <c r="AQ1803" i="1"/>
  <c r="AS1803" i="1" s="1"/>
  <c r="AQ1802" i="1"/>
  <c r="AS1802" i="1" s="1"/>
  <c r="AQ1801" i="1"/>
  <c r="AS1801" i="1" s="1"/>
  <c r="AQ1800" i="1"/>
  <c r="AS1800" i="1" s="1"/>
  <c r="AQ1799" i="1"/>
  <c r="AS1799" i="1" s="1"/>
  <c r="AQ1798" i="1"/>
  <c r="AS1798" i="1" s="1"/>
  <c r="AQ1797" i="1"/>
  <c r="AS1797" i="1" s="1"/>
  <c r="AQ1796" i="1"/>
  <c r="AS1796" i="1" s="1"/>
  <c r="AQ1795" i="1"/>
  <c r="AS1795" i="1" s="1"/>
  <c r="AQ1794" i="1"/>
  <c r="AS1794" i="1" s="1"/>
  <c r="AQ1793" i="1"/>
  <c r="AS1793" i="1" s="1"/>
  <c r="AQ1792" i="1"/>
  <c r="AS1792" i="1" s="1"/>
  <c r="AQ1791" i="1"/>
  <c r="AS1791" i="1" s="1"/>
  <c r="AQ1790" i="1"/>
  <c r="AS1790" i="1" s="1"/>
  <c r="AQ1789" i="1"/>
  <c r="AS1789" i="1" s="1"/>
  <c r="AQ1788" i="1"/>
  <c r="AS1788" i="1" s="1"/>
  <c r="AQ1787" i="1"/>
  <c r="AS1787" i="1" s="1"/>
  <c r="AQ1786" i="1"/>
  <c r="AS1786" i="1" s="1"/>
  <c r="AQ1785" i="1"/>
  <c r="AS1785" i="1" s="1"/>
  <c r="AQ1784" i="1"/>
  <c r="AS1784" i="1" s="1"/>
  <c r="AQ1783" i="1"/>
  <c r="AS1783" i="1" s="1"/>
  <c r="AQ1782" i="1"/>
  <c r="AS1782" i="1" s="1"/>
  <c r="AQ1781" i="1"/>
  <c r="AS1781" i="1" s="1"/>
  <c r="AQ1780" i="1"/>
  <c r="AS1780" i="1" s="1"/>
  <c r="AQ1779" i="1"/>
  <c r="AS1779" i="1" s="1"/>
  <c r="AQ1778" i="1"/>
  <c r="AS1778" i="1" s="1"/>
  <c r="AQ1777" i="1"/>
  <c r="AS1777" i="1" s="1"/>
  <c r="AQ1776" i="1"/>
  <c r="AS1776" i="1" s="1"/>
  <c r="AQ1775" i="1"/>
  <c r="AS1775" i="1" s="1"/>
  <c r="AQ1774" i="1"/>
  <c r="AS1774" i="1" s="1"/>
  <c r="AQ1773" i="1"/>
  <c r="AS1773" i="1" s="1"/>
  <c r="AQ1772" i="1"/>
  <c r="AS1772" i="1" s="1"/>
  <c r="AQ1771" i="1"/>
  <c r="AS1771" i="1" s="1"/>
  <c r="AQ1770" i="1"/>
  <c r="AS1770" i="1" s="1"/>
  <c r="AQ1769" i="1"/>
  <c r="AS1769" i="1" s="1"/>
  <c r="AQ1768" i="1"/>
  <c r="AS1768" i="1" s="1"/>
  <c r="AQ1767" i="1"/>
  <c r="AS1767" i="1" s="1"/>
  <c r="AQ1766" i="1"/>
  <c r="AS1766" i="1" s="1"/>
  <c r="AQ1765" i="1"/>
  <c r="AS1765" i="1" s="1"/>
  <c r="AQ1764" i="1"/>
  <c r="AS1764" i="1" s="1"/>
  <c r="AQ1763" i="1"/>
  <c r="AS1763" i="1" s="1"/>
  <c r="AQ1762" i="1"/>
  <c r="AS1762" i="1" s="1"/>
  <c r="AQ1761" i="1"/>
  <c r="AS1761" i="1" s="1"/>
  <c r="AQ1760" i="1"/>
  <c r="AS1760" i="1" s="1"/>
  <c r="AQ1759" i="1"/>
  <c r="AS1759" i="1" s="1"/>
  <c r="AQ1758" i="1"/>
  <c r="AS1758" i="1" s="1"/>
  <c r="AQ1757" i="1"/>
  <c r="AS1757" i="1" s="1"/>
  <c r="AQ1756" i="1"/>
  <c r="AS1756" i="1" s="1"/>
  <c r="AQ1755" i="1"/>
  <c r="AS1755" i="1" s="1"/>
  <c r="AQ1754" i="1"/>
  <c r="AS1754" i="1" s="1"/>
  <c r="AQ1753" i="1"/>
  <c r="AS1753" i="1" s="1"/>
  <c r="AQ1752" i="1"/>
  <c r="AS1752" i="1" s="1"/>
  <c r="AQ1751" i="1"/>
  <c r="AS1751" i="1" s="1"/>
  <c r="AQ1750" i="1"/>
  <c r="AS1750" i="1" s="1"/>
  <c r="AQ1749" i="1"/>
  <c r="AS1749" i="1" s="1"/>
  <c r="AQ1748" i="1"/>
  <c r="AS1748" i="1" s="1"/>
  <c r="AQ1747" i="1"/>
  <c r="AS1747" i="1" s="1"/>
  <c r="AQ1746" i="1"/>
  <c r="AS1746" i="1" s="1"/>
  <c r="AQ1745" i="1"/>
  <c r="AS1745" i="1" s="1"/>
  <c r="AQ1744" i="1"/>
  <c r="AS1744" i="1" s="1"/>
  <c r="AQ1743" i="1"/>
  <c r="AS1743" i="1" s="1"/>
  <c r="AQ1742" i="1"/>
  <c r="AS1742" i="1" s="1"/>
  <c r="AQ1741" i="1"/>
  <c r="AS1741" i="1" s="1"/>
  <c r="AQ1740" i="1"/>
  <c r="AS1740" i="1" s="1"/>
  <c r="AQ1739" i="1"/>
  <c r="AS1739" i="1" s="1"/>
  <c r="AQ1738" i="1"/>
  <c r="AS1738" i="1" s="1"/>
  <c r="AQ1737" i="1"/>
  <c r="AS1737" i="1" s="1"/>
  <c r="AQ1736" i="1"/>
  <c r="AS1736" i="1" s="1"/>
  <c r="AQ1735" i="1"/>
  <c r="AS1735" i="1" s="1"/>
  <c r="AQ1734" i="1"/>
  <c r="AS1734" i="1" s="1"/>
  <c r="AQ1733" i="1"/>
  <c r="AS1733" i="1" s="1"/>
  <c r="AQ1732" i="1"/>
  <c r="AS1732" i="1" s="1"/>
  <c r="AQ1731" i="1"/>
  <c r="AS1731" i="1" s="1"/>
  <c r="AQ1730" i="1"/>
  <c r="AS1730" i="1" s="1"/>
  <c r="AQ1729" i="1"/>
  <c r="AS1729" i="1" s="1"/>
  <c r="AQ1728" i="1"/>
  <c r="AS1728" i="1" s="1"/>
  <c r="AQ1727" i="1"/>
  <c r="AS1727" i="1" s="1"/>
  <c r="AQ1726" i="1"/>
  <c r="AS1726" i="1" s="1"/>
  <c r="AQ1725" i="1"/>
  <c r="AS1725" i="1" s="1"/>
  <c r="AQ1724" i="1"/>
  <c r="AS1724" i="1" s="1"/>
  <c r="AQ1723" i="1"/>
  <c r="AS1723" i="1" s="1"/>
  <c r="AQ1722" i="1"/>
  <c r="AS1722" i="1" s="1"/>
  <c r="AQ1721" i="1"/>
  <c r="AS1721" i="1" s="1"/>
  <c r="AQ1720" i="1"/>
  <c r="AS1720" i="1" s="1"/>
  <c r="AQ1719" i="1"/>
  <c r="AS1719" i="1" s="1"/>
  <c r="AQ1718" i="1"/>
  <c r="AS1718" i="1" s="1"/>
  <c r="AQ1717" i="1"/>
  <c r="AS1717" i="1" s="1"/>
  <c r="AQ1716" i="1"/>
  <c r="AS1716" i="1" s="1"/>
  <c r="AQ1715" i="1"/>
  <c r="AS1715" i="1" s="1"/>
  <c r="AQ1714" i="1"/>
  <c r="AS1714" i="1" s="1"/>
  <c r="AQ1713" i="1"/>
  <c r="AS1713" i="1" s="1"/>
  <c r="AQ1712" i="1"/>
  <c r="AS1712" i="1" s="1"/>
  <c r="AQ1711" i="1"/>
  <c r="AS1711" i="1" s="1"/>
  <c r="AQ1710" i="1"/>
  <c r="AS1710" i="1" s="1"/>
  <c r="AQ1709" i="1"/>
  <c r="AS1709" i="1" s="1"/>
  <c r="AQ1708" i="1"/>
  <c r="AS1708" i="1" s="1"/>
  <c r="AQ1707" i="1"/>
  <c r="AS1707" i="1" s="1"/>
  <c r="AQ1706" i="1"/>
  <c r="AS1706" i="1" s="1"/>
  <c r="AQ1705" i="1"/>
  <c r="AS1705" i="1" s="1"/>
  <c r="AQ1704" i="1"/>
  <c r="AS1704" i="1" s="1"/>
  <c r="AQ1703" i="1"/>
  <c r="AS1703" i="1" s="1"/>
  <c r="AQ1702" i="1"/>
  <c r="AS1702" i="1" s="1"/>
  <c r="AQ1701" i="1"/>
  <c r="AS1701" i="1" s="1"/>
  <c r="AQ1700" i="1"/>
  <c r="AS1700" i="1" s="1"/>
  <c r="AQ1699" i="1"/>
  <c r="AS1699" i="1" s="1"/>
  <c r="AQ1698" i="1"/>
  <c r="AS1698" i="1" s="1"/>
  <c r="AQ1697" i="1"/>
  <c r="AS1697" i="1" s="1"/>
  <c r="AQ1696" i="1"/>
  <c r="AS1696" i="1" s="1"/>
  <c r="AQ1695" i="1"/>
  <c r="AS1695" i="1" s="1"/>
  <c r="AQ1694" i="1"/>
  <c r="AS1694" i="1" s="1"/>
  <c r="AQ1693" i="1"/>
  <c r="AS1693" i="1" s="1"/>
  <c r="AQ1692" i="1"/>
  <c r="AS1692" i="1" s="1"/>
  <c r="AQ1691" i="1"/>
  <c r="AS1691" i="1" s="1"/>
  <c r="AQ1690" i="1"/>
  <c r="AS1690" i="1" s="1"/>
  <c r="AQ1689" i="1"/>
  <c r="AS1689" i="1" s="1"/>
  <c r="AQ1688" i="1"/>
  <c r="AS1688" i="1" s="1"/>
  <c r="AQ1687" i="1"/>
  <c r="AS1687" i="1" s="1"/>
  <c r="AQ1686" i="1"/>
  <c r="AS1686" i="1" s="1"/>
  <c r="AQ1685" i="1"/>
  <c r="AS1685" i="1" s="1"/>
  <c r="AQ1684" i="1"/>
  <c r="AS1684" i="1" s="1"/>
  <c r="AQ1683" i="1"/>
  <c r="AS1683" i="1" s="1"/>
  <c r="AQ1682" i="1"/>
  <c r="AS1682" i="1" s="1"/>
  <c r="AQ1681" i="1"/>
  <c r="AS1681" i="1" s="1"/>
  <c r="AQ1680" i="1"/>
  <c r="AS1680" i="1" s="1"/>
  <c r="AQ1679" i="1"/>
  <c r="AS1679" i="1" s="1"/>
  <c r="AQ1678" i="1"/>
  <c r="AS1678" i="1" s="1"/>
  <c r="AQ1677" i="1"/>
  <c r="AS1677" i="1" s="1"/>
  <c r="AQ1676" i="1"/>
  <c r="AS1676" i="1" s="1"/>
  <c r="AQ1675" i="1"/>
  <c r="AS1675" i="1" s="1"/>
  <c r="AQ1674" i="1"/>
  <c r="AS1674" i="1" s="1"/>
  <c r="AQ1673" i="1"/>
  <c r="AS1673" i="1" s="1"/>
  <c r="AQ1672" i="1"/>
  <c r="AS1672" i="1" s="1"/>
  <c r="AQ1671" i="1"/>
  <c r="AS1671" i="1" s="1"/>
  <c r="AQ1670" i="1"/>
  <c r="AS1670" i="1" s="1"/>
  <c r="AQ1669" i="1"/>
  <c r="AS1669" i="1" s="1"/>
  <c r="AQ1668" i="1"/>
  <c r="AS1668" i="1" s="1"/>
  <c r="AQ1667" i="1"/>
  <c r="AS1667" i="1" s="1"/>
  <c r="AQ1666" i="1"/>
  <c r="AS1666" i="1" s="1"/>
  <c r="AQ1665" i="1"/>
  <c r="AS1665" i="1" s="1"/>
  <c r="AQ1664" i="1"/>
  <c r="AS1664" i="1" s="1"/>
  <c r="AQ1663" i="1"/>
  <c r="AS1663" i="1" s="1"/>
  <c r="AQ1662" i="1"/>
  <c r="AS1662" i="1" s="1"/>
  <c r="AQ1661" i="1"/>
  <c r="AS1661" i="1" s="1"/>
  <c r="AQ1660" i="1"/>
  <c r="AS1660" i="1" s="1"/>
  <c r="AQ1659" i="1"/>
  <c r="AS1659" i="1" s="1"/>
  <c r="AQ1658" i="1"/>
  <c r="AS1658" i="1" s="1"/>
  <c r="AQ1657" i="1"/>
  <c r="AS1657" i="1" s="1"/>
  <c r="AQ1656" i="1"/>
  <c r="AS1656" i="1" s="1"/>
  <c r="AQ1655" i="1"/>
  <c r="AS1655" i="1" s="1"/>
  <c r="AQ1654" i="1"/>
  <c r="AS1654" i="1" s="1"/>
  <c r="AQ1653" i="1"/>
  <c r="AS1653" i="1" s="1"/>
  <c r="AQ1652" i="1"/>
  <c r="AS1652" i="1" s="1"/>
  <c r="AQ1651" i="1"/>
  <c r="AS1651" i="1" s="1"/>
  <c r="AQ1650" i="1"/>
  <c r="AS1650" i="1" s="1"/>
  <c r="AQ1649" i="1"/>
  <c r="AS1649" i="1" s="1"/>
  <c r="AQ1648" i="1"/>
  <c r="AS1648" i="1" s="1"/>
  <c r="AQ1647" i="1"/>
  <c r="AS1647" i="1" s="1"/>
  <c r="AQ1646" i="1"/>
  <c r="AS1646" i="1" s="1"/>
  <c r="AQ1645" i="1"/>
  <c r="AS1645" i="1" s="1"/>
  <c r="AQ1644" i="1"/>
  <c r="AS1644" i="1" s="1"/>
  <c r="AQ1643" i="1"/>
  <c r="AS1643" i="1" s="1"/>
  <c r="AQ1642" i="1"/>
  <c r="AS1642" i="1" s="1"/>
  <c r="AQ1641" i="1"/>
  <c r="AS1641" i="1" s="1"/>
  <c r="AQ1640" i="1"/>
  <c r="AS1640" i="1" s="1"/>
  <c r="AQ1639" i="1"/>
  <c r="AS1639" i="1" s="1"/>
  <c r="AQ1638" i="1"/>
  <c r="AS1638" i="1" s="1"/>
  <c r="AQ1637" i="1"/>
  <c r="AS1637" i="1" s="1"/>
  <c r="AQ1636" i="1"/>
  <c r="AS1636" i="1" s="1"/>
  <c r="AQ1635" i="1"/>
  <c r="AS1635" i="1" s="1"/>
  <c r="AQ1634" i="1"/>
  <c r="AS1634" i="1" s="1"/>
  <c r="AQ1633" i="1"/>
  <c r="AS1633" i="1" s="1"/>
  <c r="AQ1632" i="1"/>
  <c r="AS1632" i="1" s="1"/>
  <c r="AQ1631" i="1"/>
  <c r="AS1631" i="1" s="1"/>
  <c r="AQ1630" i="1"/>
  <c r="AS1630" i="1" s="1"/>
  <c r="AQ1629" i="1"/>
  <c r="AS1629" i="1" s="1"/>
  <c r="AQ1628" i="1"/>
  <c r="AS1628" i="1" s="1"/>
  <c r="AQ1627" i="1"/>
  <c r="AS1627" i="1" s="1"/>
  <c r="AQ1626" i="1"/>
  <c r="AS1626" i="1" s="1"/>
  <c r="AQ1625" i="1"/>
  <c r="AS1625" i="1" s="1"/>
  <c r="AQ1624" i="1"/>
  <c r="AS1624" i="1" s="1"/>
  <c r="AQ1623" i="1"/>
  <c r="AS1623" i="1" s="1"/>
  <c r="AQ1622" i="1"/>
  <c r="AS1622" i="1" s="1"/>
  <c r="AQ1621" i="1"/>
  <c r="AS1621" i="1" s="1"/>
  <c r="AQ1620" i="1"/>
  <c r="AS1620" i="1" s="1"/>
  <c r="AQ1619" i="1"/>
  <c r="AS1619" i="1" s="1"/>
  <c r="AQ1618" i="1"/>
  <c r="AS1618" i="1" s="1"/>
  <c r="AQ1617" i="1"/>
  <c r="AS1617" i="1" s="1"/>
  <c r="AQ1616" i="1"/>
  <c r="AS1616" i="1" s="1"/>
  <c r="AQ1615" i="1"/>
  <c r="AS1615" i="1" s="1"/>
  <c r="AQ1614" i="1"/>
  <c r="AS1614" i="1" s="1"/>
  <c r="AQ1613" i="1"/>
  <c r="AS1613" i="1" s="1"/>
  <c r="AQ1612" i="1"/>
  <c r="AS1612" i="1" s="1"/>
  <c r="AQ1611" i="1"/>
  <c r="AS1611" i="1" s="1"/>
  <c r="AQ1610" i="1"/>
  <c r="AS1610" i="1" s="1"/>
  <c r="AQ1609" i="1"/>
  <c r="AS1609" i="1" s="1"/>
  <c r="AQ1608" i="1"/>
  <c r="AS1608" i="1" s="1"/>
  <c r="AQ1607" i="1"/>
  <c r="AS1607" i="1" s="1"/>
  <c r="AQ1606" i="1"/>
  <c r="AS1606" i="1" s="1"/>
  <c r="AQ1605" i="1"/>
  <c r="AS1605" i="1" s="1"/>
  <c r="AQ1604" i="1"/>
  <c r="AS1604" i="1" s="1"/>
  <c r="AQ1603" i="1"/>
  <c r="AS1603" i="1" s="1"/>
  <c r="AQ1602" i="1"/>
  <c r="AS1602" i="1" s="1"/>
  <c r="AQ1601" i="1"/>
  <c r="AS1601" i="1" s="1"/>
  <c r="AQ1600" i="1"/>
  <c r="AS1600" i="1" s="1"/>
  <c r="AQ1599" i="1"/>
  <c r="AS1599" i="1" s="1"/>
  <c r="AQ1598" i="1"/>
  <c r="AS1598" i="1" s="1"/>
  <c r="AQ1597" i="1"/>
  <c r="AS1597" i="1" s="1"/>
  <c r="AQ1596" i="1"/>
  <c r="AS1596" i="1" s="1"/>
  <c r="AQ1595" i="1"/>
  <c r="AS1595" i="1" s="1"/>
  <c r="AQ1594" i="1"/>
  <c r="AS1594" i="1" s="1"/>
  <c r="AQ1593" i="1"/>
  <c r="AS1593" i="1" s="1"/>
  <c r="AQ1592" i="1"/>
  <c r="AS1592" i="1" s="1"/>
  <c r="AQ1591" i="1"/>
  <c r="AS1591" i="1" s="1"/>
  <c r="AQ1590" i="1"/>
  <c r="AS1590" i="1" s="1"/>
  <c r="AQ1589" i="1"/>
  <c r="AS1589" i="1" s="1"/>
  <c r="AQ1588" i="1"/>
  <c r="AS1588" i="1" s="1"/>
  <c r="AQ1587" i="1"/>
  <c r="AS1587" i="1" s="1"/>
  <c r="AQ1586" i="1"/>
  <c r="AS1586" i="1" s="1"/>
  <c r="AQ1585" i="1"/>
  <c r="AS1585" i="1" s="1"/>
  <c r="AQ1584" i="1"/>
  <c r="AS1584" i="1" s="1"/>
  <c r="AQ1583" i="1"/>
  <c r="AS1583" i="1" s="1"/>
  <c r="AQ1582" i="1"/>
  <c r="AS1582" i="1" s="1"/>
  <c r="AQ1581" i="1"/>
  <c r="AS1581" i="1" s="1"/>
  <c r="AQ1580" i="1"/>
  <c r="AS1580" i="1" s="1"/>
  <c r="AQ1579" i="1"/>
  <c r="AS1579" i="1" s="1"/>
  <c r="AQ1578" i="1"/>
  <c r="AS1578" i="1" s="1"/>
  <c r="AQ1577" i="1"/>
  <c r="AS1577" i="1" s="1"/>
  <c r="AQ1576" i="1"/>
  <c r="AS1576" i="1" s="1"/>
  <c r="AQ1575" i="1"/>
  <c r="AS1575" i="1" s="1"/>
  <c r="AQ1574" i="1"/>
  <c r="AS1574" i="1" s="1"/>
  <c r="AQ1573" i="1"/>
  <c r="AS1573" i="1" s="1"/>
  <c r="AQ1572" i="1"/>
  <c r="AS1572" i="1" s="1"/>
  <c r="AQ1571" i="1"/>
  <c r="AS1571" i="1" s="1"/>
  <c r="AQ1570" i="1"/>
  <c r="AS1570" i="1" s="1"/>
  <c r="AQ1569" i="1"/>
  <c r="AS1569" i="1" s="1"/>
  <c r="AQ1568" i="1"/>
  <c r="AS1568" i="1" s="1"/>
  <c r="AQ1567" i="1"/>
  <c r="AS1567" i="1" s="1"/>
  <c r="AQ1566" i="1"/>
  <c r="AS1566" i="1" s="1"/>
  <c r="AQ1565" i="1"/>
  <c r="AS1565" i="1" s="1"/>
  <c r="AQ1564" i="1"/>
  <c r="AS1564" i="1" s="1"/>
  <c r="AQ1563" i="1"/>
  <c r="AS1563" i="1" s="1"/>
  <c r="AQ1562" i="1"/>
  <c r="AS1562" i="1" s="1"/>
  <c r="AQ1561" i="1"/>
  <c r="AS1561" i="1" s="1"/>
  <c r="AQ1560" i="1"/>
  <c r="AS1560" i="1" s="1"/>
  <c r="AQ1559" i="1"/>
  <c r="AS1559" i="1" s="1"/>
  <c r="AQ1558" i="1"/>
  <c r="AS1558" i="1" s="1"/>
  <c r="AQ1557" i="1"/>
  <c r="AS1557" i="1" s="1"/>
  <c r="AQ1556" i="1"/>
  <c r="AS1556" i="1" s="1"/>
  <c r="AQ1555" i="1"/>
  <c r="AS1555" i="1" s="1"/>
  <c r="AQ1554" i="1"/>
  <c r="AS1554" i="1" s="1"/>
  <c r="AQ1553" i="1"/>
  <c r="AS1553" i="1" s="1"/>
  <c r="AQ1552" i="1"/>
  <c r="AS1552" i="1" s="1"/>
  <c r="AQ1551" i="1"/>
  <c r="AS1551" i="1" s="1"/>
  <c r="AQ1550" i="1"/>
  <c r="AS1550" i="1" s="1"/>
  <c r="AQ1549" i="1"/>
  <c r="AS1549" i="1" s="1"/>
  <c r="AQ1548" i="1"/>
  <c r="AS1548" i="1" s="1"/>
  <c r="AQ1547" i="1"/>
  <c r="AS1547" i="1" s="1"/>
  <c r="AQ1546" i="1"/>
  <c r="AS1546" i="1" s="1"/>
  <c r="AQ1545" i="1"/>
  <c r="AS1545" i="1" s="1"/>
  <c r="AQ1544" i="1"/>
  <c r="AS1544" i="1" s="1"/>
  <c r="AQ1543" i="1"/>
  <c r="AS1543" i="1" s="1"/>
  <c r="AQ1542" i="1"/>
  <c r="AS1542" i="1" s="1"/>
  <c r="AQ1541" i="1"/>
  <c r="AS1541" i="1" s="1"/>
  <c r="AQ1540" i="1"/>
  <c r="AS1540" i="1" s="1"/>
  <c r="AQ1539" i="1"/>
  <c r="AS1539" i="1" s="1"/>
  <c r="AQ1538" i="1"/>
  <c r="AS1538" i="1" s="1"/>
  <c r="AQ1537" i="1"/>
  <c r="AS1537" i="1" s="1"/>
  <c r="AQ1536" i="1"/>
  <c r="AS1536" i="1" s="1"/>
  <c r="AQ1535" i="1"/>
  <c r="AS1535" i="1" s="1"/>
  <c r="AQ1534" i="1"/>
  <c r="AS1534" i="1" s="1"/>
  <c r="AQ1533" i="1"/>
  <c r="AS1533" i="1" s="1"/>
  <c r="AQ1532" i="1"/>
  <c r="AS1532" i="1" s="1"/>
  <c r="AQ1531" i="1"/>
  <c r="AS1531" i="1" s="1"/>
  <c r="AQ1530" i="1"/>
  <c r="AS1530" i="1" s="1"/>
  <c r="AQ1529" i="1"/>
  <c r="AS1529" i="1" s="1"/>
  <c r="AQ1528" i="1"/>
  <c r="AS1528" i="1" s="1"/>
  <c r="AQ1527" i="1"/>
  <c r="AS1527" i="1" s="1"/>
  <c r="AQ1526" i="1"/>
  <c r="AS1526" i="1" s="1"/>
  <c r="AQ1525" i="1"/>
  <c r="AS1525" i="1" s="1"/>
  <c r="AQ1524" i="1"/>
  <c r="AS1524" i="1" s="1"/>
  <c r="AQ1523" i="1"/>
  <c r="AS1523" i="1" s="1"/>
  <c r="AQ1522" i="1"/>
  <c r="AS1522" i="1" s="1"/>
  <c r="AQ1521" i="1"/>
  <c r="AS1521" i="1" s="1"/>
  <c r="AQ1520" i="1"/>
  <c r="AS1520" i="1" s="1"/>
  <c r="AQ1519" i="1"/>
  <c r="AS1519" i="1" s="1"/>
  <c r="AQ1518" i="1"/>
  <c r="AS1518" i="1" s="1"/>
  <c r="AQ1517" i="1"/>
  <c r="AS1517" i="1" s="1"/>
  <c r="AQ1516" i="1"/>
  <c r="AS1516" i="1" s="1"/>
  <c r="AQ1515" i="1"/>
  <c r="AS1515" i="1" s="1"/>
  <c r="AQ1514" i="1"/>
  <c r="AS1514" i="1" s="1"/>
  <c r="AQ1513" i="1"/>
  <c r="AS1513" i="1" s="1"/>
  <c r="AQ1512" i="1"/>
  <c r="AS1512" i="1" s="1"/>
  <c r="AQ1511" i="1"/>
  <c r="AS1511" i="1" s="1"/>
  <c r="AQ1510" i="1"/>
  <c r="AS1510" i="1" s="1"/>
  <c r="AQ1509" i="1"/>
  <c r="AS1509" i="1" s="1"/>
  <c r="AQ1508" i="1"/>
  <c r="AS1508" i="1" s="1"/>
  <c r="AQ1507" i="1"/>
  <c r="AS1507" i="1" s="1"/>
  <c r="AQ1506" i="1"/>
  <c r="AS1506" i="1" s="1"/>
  <c r="AQ1505" i="1"/>
  <c r="AS1505" i="1" s="1"/>
  <c r="AQ1504" i="1"/>
  <c r="AS1504" i="1" s="1"/>
  <c r="AQ1503" i="1"/>
  <c r="AS1503" i="1" s="1"/>
  <c r="AQ1502" i="1"/>
  <c r="AS1502" i="1" s="1"/>
  <c r="AQ1501" i="1"/>
  <c r="AS1501" i="1" s="1"/>
  <c r="AQ1500" i="1"/>
  <c r="AS1500" i="1" s="1"/>
  <c r="AQ1499" i="1"/>
  <c r="AS1499" i="1" s="1"/>
  <c r="AQ1498" i="1"/>
  <c r="AS1498" i="1" s="1"/>
  <c r="AQ1497" i="1"/>
  <c r="AS1497" i="1" s="1"/>
  <c r="AQ1496" i="1"/>
  <c r="AS1496" i="1" s="1"/>
  <c r="AQ1495" i="1"/>
  <c r="AS1495" i="1" s="1"/>
  <c r="AQ1494" i="1"/>
  <c r="AS1494" i="1" s="1"/>
  <c r="AQ1493" i="1"/>
  <c r="AS1493" i="1" s="1"/>
  <c r="AQ1492" i="1"/>
  <c r="AS1492" i="1" s="1"/>
  <c r="AQ1491" i="1"/>
  <c r="AS1491" i="1" s="1"/>
  <c r="AQ1490" i="1"/>
  <c r="AS1490" i="1" s="1"/>
  <c r="AQ1489" i="1"/>
  <c r="AS1489" i="1" s="1"/>
  <c r="AQ1488" i="1"/>
  <c r="AS1488" i="1" s="1"/>
  <c r="AQ1487" i="1"/>
  <c r="AS1487" i="1" s="1"/>
  <c r="AQ1486" i="1"/>
  <c r="AS1486" i="1" s="1"/>
  <c r="AQ1485" i="1"/>
  <c r="AS1485" i="1" s="1"/>
  <c r="AQ1484" i="1"/>
  <c r="AS1484" i="1" s="1"/>
  <c r="AQ1483" i="1"/>
  <c r="AS1483" i="1" s="1"/>
  <c r="AQ1482" i="1"/>
  <c r="AS1482" i="1" s="1"/>
  <c r="AQ1481" i="1"/>
  <c r="AS1481" i="1" s="1"/>
  <c r="AQ1480" i="1"/>
  <c r="AS1480" i="1" s="1"/>
  <c r="AQ1479" i="1"/>
  <c r="AS1479" i="1" s="1"/>
  <c r="AQ1478" i="1"/>
  <c r="AS1478" i="1" s="1"/>
  <c r="AQ1477" i="1"/>
  <c r="AS1477" i="1" s="1"/>
  <c r="AQ1476" i="1"/>
  <c r="AS1476" i="1" s="1"/>
  <c r="AQ1475" i="1"/>
  <c r="AS1475" i="1" s="1"/>
  <c r="AQ1474" i="1"/>
  <c r="AS1474" i="1" s="1"/>
  <c r="AQ1473" i="1"/>
  <c r="AS1473" i="1" s="1"/>
  <c r="AQ1472" i="1"/>
  <c r="AS1472" i="1" s="1"/>
  <c r="AQ1471" i="1"/>
  <c r="AS1471" i="1" s="1"/>
  <c r="AQ1470" i="1"/>
  <c r="AS1470" i="1" s="1"/>
  <c r="AQ1469" i="1"/>
  <c r="AS1469" i="1" s="1"/>
  <c r="AQ1468" i="1"/>
  <c r="AS1468" i="1" s="1"/>
  <c r="AQ1467" i="1"/>
  <c r="AS1467" i="1" s="1"/>
  <c r="AQ1466" i="1"/>
  <c r="AS1466" i="1" s="1"/>
  <c r="AQ1465" i="1"/>
  <c r="AS1465" i="1" s="1"/>
  <c r="AQ1464" i="1"/>
  <c r="AS1464" i="1" s="1"/>
  <c r="AQ1463" i="1"/>
  <c r="AS1463" i="1" s="1"/>
  <c r="AQ1462" i="1"/>
  <c r="AS1462" i="1" s="1"/>
  <c r="AQ1461" i="1"/>
  <c r="AS1461" i="1" s="1"/>
  <c r="AQ1460" i="1"/>
  <c r="AS1460" i="1" s="1"/>
  <c r="AQ1459" i="1"/>
  <c r="AS1459" i="1" s="1"/>
  <c r="AQ1458" i="1"/>
  <c r="AS1458" i="1" s="1"/>
  <c r="AQ1457" i="1"/>
  <c r="AS1457" i="1" s="1"/>
  <c r="AQ1456" i="1"/>
  <c r="AS1456" i="1" s="1"/>
  <c r="AQ1455" i="1"/>
  <c r="AS1455" i="1" s="1"/>
  <c r="AQ1454" i="1"/>
  <c r="AS1454" i="1" s="1"/>
  <c r="AQ1453" i="1"/>
  <c r="AS1453" i="1" s="1"/>
  <c r="AQ1452" i="1"/>
  <c r="AS1452" i="1" s="1"/>
  <c r="AQ1451" i="1"/>
  <c r="AS1451" i="1" s="1"/>
  <c r="AQ1450" i="1"/>
  <c r="AS1450" i="1" s="1"/>
  <c r="AQ1449" i="1"/>
  <c r="AS1449" i="1" s="1"/>
  <c r="AQ1448" i="1"/>
  <c r="AS1448" i="1" s="1"/>
  <c r="AQ1447" i="1"/>
  <c r="AS1447" i="1" s="1"/>
  <c r="AQ1446" i="1"/>
  <c r="AS1446" i="1" s="1"/>
  <c r="AQ1445" i="1"/>
  <c r="AS1445" i="1" s="1"/>
  <c r="AQ1444" i="1"/>
  <c r="AS1444" i="1" s="1"/>
  <c r="AQ1443" i="1"/>
  <c r="AS1443" i="1" s="1"/>
  <c r="AQ1442" i="1"/>
  <c r="AS1442" i="1" s="1"/>
  <c r="AQ1441" i="1"/>
  <c r="AS1441" i="1" s="1"/>
  <c r="AQ1440" i="1"/>
  <c r="AS1440" i="1" s="1"/>
  <c r="AQ1439" i="1"/>
  <c r="AS1439" i="1" s="1"/>
  <c r="AQ1438" i="1"/>
  <c r="AS1438" i="1" s="1"/>
  <c r="AQ1437" i="1"/>
  <c r="AS1437" i="1" s="1"/>
  <c r="AQ1436" i="1"/>
  <c r="AS1436" i="1" s="1"/>
  <c r="AQ1435" i="1"/>
  <c r="AS1435" i="1" s="1"/>
  <c r="AQ1434" i="1"/>
  <c r="AS1434" i="1" s="1"/>
  <c r="AQ1433" i="1"/>
  <c r="AS1433" i="1" s="1"/>
  <c r="AQ1432" i="1"/>
  <c r="AS1432" i="1" s="1"/>
  <c r="AQ1431" i="1"/>
  <c r="AS1431" i="1" s="1"/>
  <c r="AQ1430" i="1"/>
  <c r="AS1430" i="1" s="1"/>
  <c r="AQ1429" i="1"/>
  <c r="AS1429" i="1" s="1"/>
  <c r="AQ1428" i="1"/>
  <c r="AS1428" i="1" s="1"/>
  <c r="AQ1427" i="1"/>
  <c r="AS1427" i="1" s="1"/>
  <c r="AQ1426" i="1"/>
  <c r="AS1426" i="1" s="1"/>
  <c r="AQ1425" i="1"/>
  <c r="AS1425" i="1" s="1"/>
  <c r="AQ1424" i="1"/>
  <c r="AS1424" i="1" s="1"/>
  <c r="AQ1423" i="1"/>
  <c r="AS1423" i="1" s="1"/>
  <c r="AQ1422" i="1"/>
  <c r="AS1422" i="1" s="1"/>
  <c r="AQ1421" i="1"/>
  <c r="AS1421" i="1" s="1"/>
  <c r="AQ1420" i="1"/>
  <c r="AS1420" i="1" s="1"/>
  <c r="AQ1419" i="1"/>
  <c r="AS1419" i="1" s="1"/>
  <c r="AQ1418" i="1"/>
  <c r="AS1418" i="1" s="1"/>
  <c r="AQ1417" i="1"/>
  <c r="AS1417" i="1" s="1"/>
  <c r="AQ1416" i="1"/>
  <c r="AS1416" i="1" s="1"/>
  <c r="AQ1415" i="1"/>
  <c r="AS1415" i="1" s="1"/>
  <c r="AQ1414" i="1"/>
  <c r="AS1414" i="1" s="1"/>
  <c r="AQ1413" i="1"/>
  <c r="AS1413" i="1" s="1"/>
  <c r="AQ1412" i="1"/>
  <c r="AS1412" i="1" s="1"/>
  <c r="AQ1411" i="1"/>
  <c r="AS1411" i="1" s="1"/>
  <c r="AQ1410" i="1"/>
  <c r="AS1410" i="1" s="1"/>
  <c r="AQ1409" i="1"/>
  <c r="AS1409" i="1" s="1"/>
  <c r="AQ1408" i="1"/>
  <c r="AS1408" i="1" s="1"/>
  <c r="AQ1407" i="1"/>
  <c r="AS1407" i="1" s="1"/>
  <c r="AQ1406" i="1"/>
  <c r="AS1406" i="1" s="1"/>
  <c r="AQ1405" i="1"/>
  <c r="AS1405" i="1" s="1"/>
  <c r="AQ1404" i="1"/>
  <c r="AS1404" i="1" s="1"/>
  <c r="AQ1403" i="1"/>
  <c r="AS1403" i="1" s="1"/>
  <c r="AQ1402" i="1"/>
  <c r="AS1402" i="1" s="1"/>
  <c r="AQ1401" i="1"/>
  <c r="AS1401" i="1" s="1"/>
  <c r="AQ1400" i="1"/>
  <c r="AS1400" i="1" s="1"/>
  <c r="AQ1399" i="1"/>
  <c r="AS1399" i="1" s="1"/>
  <c r="AQ1398" i="1"/>
  <c r="AS1398" i="1" s="1"/>
  <c r="AQ1397" i="1"/>
  <c r="AS1397" i="1" s="1"/>
  <c r="AQ1396" i="1"/>
  <c r="AS1396" i="1" s="1"/>
  <c r="AQ1395" i="1"/>
  <c r="AS1395" i="1" s="1"/>
  <c r="AQ1394" i="1"/>
  <c r="AS1394" i="1" s="1"/>
  <c r="AQ1393" i="1"/>
  <c r="AS1393" i="1" s="1"/>
  <c r="AQ1392" i="1"/>
  <c r="AS1392" i="1" s="1"/>
  <c r="AQ1391" i="1"/>
  <c r="AS1391" i="1" s="1"/>
  <c r="AQ1390" i="1"/>
  <c r="AS1390" i="1" s="1"/>
  <c r="AQ1389" i="1"/>
  <c r="AS1389" i="1" s="1"/>
  <c r="AQ1388" i="1"/>
  <c r="AS1388" i="1" s="1"/>
  <c r="AQ1387" i="1"/>
  <c r="AS1387" i="1" s="1"/>
  <c r="AQ1386" i="1"/>
  <c r="AS1386" i="1" s="1"/>
  <c r="AQ1385" i="1"/>
  <c r="AS1385" i="1" s="1"/>
  <c r="AQ1384" i="1"/>
  <c r="AS1384" i="1" s="1"/>
  <c r="AQ1383" i="1"/>
  <c r="AS1383" i="1" s="1"/>
  <c r="AQ1382" i="1"/>
  <c r="AS1382" i="1" s="1"/>
  <c r="AQ1381" i="1"/>
  <c r="AS1381" i="1" s="1"/>
  <c r="AQ1380" i="1"/>
  <c r="AS1380" i="1" s="1"/>
  <c r="AQ1379" i="1"/>
  <c r="AS1379" i="1" s="1"/>
  <c r="AQ1378" i="1"/>
  <c r="AS1378" i="1" s="1"/>
  <c r="AQ1377" i="1"/>
  <c r="AS1377" i="1" s="1"/>
  <c r="AQ1376" i="1"/>
  <c r="AS1376" i="1" s="1"/>
  <c r="AQ1375" i="1"/>
  <c r="AS1375" i="1" s="1"/>
  <c r="AQ1374" i="1"/>
  <c r="AS1374" i="1" s="1"/>
  <c r="AQ1373" i="1"/>
  <c r="AS1373" i="1" s="1"/>
  <c r="AQ1372" i="1"/>
  <c r="AS1372" i="1" s="1"/>
  <c r="AQ1371" i="1"/>
  <c r="AS1371" i="1" s="1"/>
  <c r="AQ1370" i="1"/>
  <c r="AS1370" i="1" s="1"/>
  <c r="AQ1369" i="1"/>
  <c r="AS1369" i="1" s="1"/>
  <c r="AQ1368" i="1"/>
  <c r="AS1368" i="1" s="1"/>
  <c r="AQ1367" i="1"/>
  <c r="AS1367" i="1" s="1"/>
  <c r="AQ1366" i="1"/>
  <c r="AS1366" i="1" s="1"/>
  <c r="AQ1365" i="1"/>
  <c r="AS1365" i="1" s="1"/>
  <c r="AQ1364" i="1"/>
  <c r="AS1364" i="1" s="1"/>
  <c r="AQ1363" i="1"/>
  <c r="AS1363" i="1" s="1"/>
  <c r="AQ1362" i="1"/>
  <c r="AS1362" i="1" s="1"/>
  <c r="AQ1361" i="1"/>
  <c r="AS1361" i="1" s="1"/>
  <c r="AQ1360" i="1"/>
  <c r="AS1360" i="1" s="1"/>
  <c r="AQ1359" i="1"/>
  <c r="AS1359" i="1" s="1"/>
  <c r="AQ1358" i="1"/>
  <c r="AS1358" i="1" s="1"/>
  <c r="AQ1357" i="1"/>
  <c r="AS1357" i="1" s="1"/>
  <c r="AQ1356" i="1"/>
  <c r="AS1356" i="1" s="1"/>
  <c r="AQ1355" i="1"/>
  <c r="AS1355" i="1" s="1"/>
  <c r="AQ1354" i="1"/>
  <c r="AS1354" i="1" s="1"/>
  <c r="AQ1353" i="1"/>
  <c r="AS1353" i="1" s="1"/>
  <c r="AQ1352" i="1"/>
  <c r="AS1352" i="1" s="1"/>
  <c r="AQ1351" i="1"/>
  <c r="AS1351" i="1" s="1"/>
  <c r="AQ1350" i="1"/>
  <c r="AS1350" i="1" s="1"/>
  <c r="AQ1349" i="1"/>
  <c r="AS1349" i="1" s="1"/>
  <c r="AQ1348" i="1"/>
  <c r="AS1348" i="1" s="1"/>
  <c r="AQ1347" i="1"/>
  <c r="AS1347" i="1" s="1"/>
  <c r="AQ1346" i="1"/>
  <c r="AS1346" i="1" s="1"/>
  <c r="AQ1345" i="1"/>
  <c r="AS1345" i="1" s="1"/>
  <c r="AQ1344" i="1"/>
  <c r="AS1344" i="1" s="1"/>
  <c r="AQ1343" i="1"/>
  <c r="AS1343" i="1" s="1"/>
  <c r="AQ1342" i="1"/>
  <c r="AS1342" i="1" s="1"/>
  <c r="AQ1341" i="1"/>
  <c r="AS1341" i="1" s="1"/>
  <c r="AQ1340" i="1"/>
  <c r="AS1340" i="1" s="1"/>
  <c r="AQ1339" i="1"/>
  <c r="AS1339" i="1" s="1"/>
  <c r="AQ1338" i="1"/>
  <c r="AS1338" i="1" s="1"/>
  <c r="AQ1337" i="1"/>
  <c r="AS1337" i="1" s="1"/>
  <c r="AQ1336" i="1"/>
  <c r="AS1336" i="1" s="1"/>
  <c r="AQ1335" i="1"/>
  <c r="AS1335" i="1" s="1"/>
  <c r="AQ1334" i="1"/>
  <c r="AS1334" i="1" s="1"/>
  <c r="AQ1333" i="1"/>
  <c r="AS1333" i="1" s="1"/>
  <c r="AQ1332" i="1"/>
  <c r="AS1332" i="1" s="1"/>
  <c r="AQ1331" i="1"/>
  <c r="AS1331" i="1" s="1"/>
  <c r="AQ1330" i="1"/>
  <c r="AS1330" i="1" s="1"/>
  <c r="AQ1329" i="1"/>
  <c r="AS1329" i="1" s="1"/>
  <c r="AQ1328" i="1"/>
  <c r="AS1328" i="1" s="1"/>
  <c r="AQ1327" i="1"/>
  <c r="AS1327" i="1" s="1"/>
  <c r="AQ1326" i="1"/>
  <c r="AS1326" i="1" s="1"/>
  <c r="AQ1325" i="1"/>
  <c r="AS1325" i="1" s="1"/>
  <c r="AQ1324" i="1"/>
  <c r="AS1324" i="1" s="1"/>
  <c r="AQ1323" i="1"/>
  <c r="AS1323" i="1" s="1"/>
  <c r="AQ1322" i="1"/>
  <c r="AS1322" i="1" s="1"/>
  <c r="AQ1321" i="1"/>
  <c r="AS1321" i="1" s="1"/>
  <c r="AQ1320" i="1"/>
  <c r="AS1320" i="1" s="1"/>
  <c r="AQ1319" i="1"/>
  <c r="AS1319" i="1" s="1"/>
  <c r="AQ1318" i="1"/>
  <c r="AS1318" i="1" s="1"/>
  <c r="AQ1317" i="1"/>
  <c r="AS1317" i="1" s="1"/>
  <c r="AQ1316" i="1"/>
  <c r="AS1316" i="1" s="1"/>
  <c r="AQ1315" i="1"/>
  <c r="AS1315" i="1" s="1"/>
  <c r="AQ1314" i="1"/>
  <c r="AS1314" i="1" s="1"/>
  <c r="AQ1313" i="1"/>
  <c r="AS1313" i="1" s="1"/>
  <c r="AQ1312" i="1"/>
  <c r="AS1312" i="1" s="1"/>
  <c r="AQ1311" i="1"/>
  <c r="AS1311" i="1" s="1"/>
  <c r="AQ1310" i="1"/>
  <c r="AS1310" i="1" s="1"/>
  <c r="AQ1309" i="1"/>
  <c r="AS1309" i="1" s="1"/>
  <c r="AQ1308" i="1"/>
  <c r="AS1308" i="1" s="1"/>
  <c r="AQ1307" i="1"/>
  <c r="AS1307" i="1" s="1"/>
  <c r="AQ1306" i="1"/>
  <c r="AS1306" i="1" s="1"/>
  <c r="AQ1305" i="1"/>
  <c r="AS1305" i="1" s="1"/>
  <c r="AQ1304" i="1"/>
  <c r="AS1304" i="1" s="1"/>
  <c r="AQ1303" i="1"/>
  <c r="AS1303" i="1" s="1"/>
  <c r="AQ1302" i="1"/>
  <c r="AS1302" i="1" s="1"/>
  <c r="AQ1301" i="1"/>
  <c r="AS1301" i="1" s="1"/>
  <c r="AQ1300" i="1"/>
  <c r="AS1300" i="1" s="1"/>
  <c r="AQ1299" i="1"/>
  <c r="AS1299" i="1" s="1"/>
  <c r="AQ1298" i="1"/>
  <c r="AS1298" i="1" s="1"/>
  <c r="AQ1297" i="1"/>
  <c r="AS1297" i="1" s="1"/>
  <c r="AQ1296" i="1"/>
  <c r="AS1296" i="1" s="1"/>
  <c r="AQ1295" i="1"/>
  <c r="AS1295" i="1" s="1"/>
  <c r="AQ1294" i="1"/>
  <c r="AS1294" i="1" s="1"/>
  <c r="AQ1293" i="1"/>
  <c r="AS1293" i="1" s="1"/>
  <c r="AQ1292" i="1"/>
  <c r="AS1292" i="1" s="1"/>
  <c r="AQ1291" i="1"/>
  <c r="AS1291" i="1" s="1"/>
  <c r="AQ1290" i="1"/>
  <c r="AS1290" i="1" s="1"/>
  <c r="AQ1289" i="1"/>
  <c r="AS1289" i="1" s="1"/>
  <c r="AQ1288" i="1"/>
  <c r="AS1288" i="1" s="1"/>
  <c r="AQ1287" i="1"/>
  <c r="AS1287" i="1" s="1"/>
  <c r="AQ1286" i="1"/>
  <c r="AS1286" i="1" s="1"/>
  <c r="AQ1285" i="1"/>
  <c r="AS1285" i="1" s="1"/>
  <c r="AQ1284" i="1"/>
  <c r="AS1284" i="1" s="1"/>
  <c r="AQ1283" i="1"/>
  <c r="AS1283" i="1" s="1"/>
  <c r="AQ1282" i="1"/>
  <c r="AS1282" i="1" s="1"/>
  <c r="AQ1281" i="1"/>
  <c r="AS1281" i="1" s="1"/>
  <c r="AQ1280" i="1"/>
  <c r="AS1280" i="1" s="1"/>
  <c r="AQ1279" i="1"/>
  <c r="AS1279" i="1" s="1"/>
  <c r="AQ1278" i="1"/>
  <c r="AS1278" i="1" s="1"/>
  <c r="AQ1277" i="1"/>
  <c r="AS1277" i="1" s="1"/>
  <c r="AQ1276" i="1"/>
  <c r="AS1276" i="1" s="1"/>
  <c r="AQ1275" i="1"/>
  <c r="AS1275" i="1" s="1"/>
  <c r="AQ1274" i="1"/>
  <c r="AS1274" i="1" s="1"/>
  <c r="AQ1273" i="1"/>
  <c r="AS1273" i="1" s="1"/>
  <c r="AQ1272" i="1"/>
  <c r="AS1272" i="1" s="1"/>
  <c r="AQ1271" i="1"/>
  <c r="AS1271" i="1" s="1"/>
  <c r="AQ1270" i="1"/>
  <c r="AS1270" i="1" s="1"/>
  <c r="AQ1269" i="1"/>
  <c r="AS1269" i="1" s="1"/>
  <c r="AQ1268" i="1"/>
  <c r="AS1268" i="1" s="1"/>
  <c r="AQ1267" i="1"/>
  <c r="AS1267" i="1" s="1"/>
  <c r="AQ1266" i="1"/>
  <c r="AS1266" i="1" s="1"/>
  <c r="AQ1265" i="1"/>
  <c r="AS1265" i="1" s="1"/>
  <c r="AQ1264" i="1"/>
  <c r="AS1264" i="1" s="1"/>
  <c r="AQ1263" i="1"/>
  <c r="AS1263" i="1" s="1"/>
  <c r="AQ1262" i="1"/>
  <c r="AS1262" i="1" s="1"/>
  <c r="AQ1261" i="1"/>
  <c r="AS1261" i="1" s="1"/>
  <c r="AQ1260" i="1"/>
  <c r="AS1260" i="1" s="1"/>
  <c r="AQ1259" i="1"/>
  <c r="AS1259" i="1" s="1"/>
  <c r="AQ1258" i="1"/>
  <c r="AS1258" i="1" s="1"/>
  <c r="AQ1257" i="1"/>
  <c r="AS1257" i="1" s="1"/>
  <c r="AQ1256" i="1"/>
  <c r="AS1256" i="1" s="1"/>
  <c r="AQ1255" i="1"/>
  <c r="AS1255" i="1" s="1"/>
  <c r="AQ1254" i="1"/>
  <c r="AS1254" i="1" s="1"/>
  <c r="AQ1253" i="1"/>
  <c r="AS1253" i="1" s="1"/>
  <c r="AQ1252" i="1"/>
  <c r="AS1252" i="1" s="1"/>
  <c r="AQ1251" i="1"/>
  <c r="AS1251" i="1" s="1"/>
  <c r="AQ1250" i="1"/>
  <c r="AS1250" i="1" s="1"/>
  <c r="AQ1249" i="1"/>
  <c r="AS1249" i="1" s="1"/>
  <c r="AQ1248" i="1"/>
  <c r="AS1248" i="1" s="1"/>
  <c r="AQ1247" i="1"/>
  <c r="AS1247" i="1" s="1"/>
  <c r="AQ1246" i="1"/>
  <c r="AS1246" i="1" s="1"/>
  <c r="AQ1245" i="1"/>
  <c r="AS1245" i="1" s="1"/>
  <c r="AQ1244" i="1"/>
  <c r="AS1244" i="1" s="1"/>
  <c r="AQ1243" i="1"/>
  <c r="AS1243" i="1" s="1"/>
  <c r="AQ1242" i="1"/>
  <c r="AS1242" i="1" s="1"/>
  <c r="AQ1241" i="1"/>
  <c r="AS1241" i="1" s="1"/>
  <c r="AQ1240" i="1"/>
  <c r="AS1240" i="1" s="1"/>
  <c r="AQ1239" i="1"/>
  <c r="AS1239" i="1" s="1"/>
  <c r="AQ1238" i="1"/>
  <c r="AS1238" i="1" s="1"/>
  <c r="AQ1237" i="1"/>
  <c r="AS1237" i="1" s="1"/>
  <c r="AQ1236" i="1"/>
  <c r="AS1236" i="1" s="1"/>
  <c r="AQ1235" i="1"/>
  <c r="AS1235" i="1" s="1"/>
  <c r="AQ1234" i="1"/>
  <c r="AS1234" i="1" s="1"/>
  <c r="AQ1233" i="1"/>
  <c r="AS1233" i="1" s="1"/>
  <c r="AQ1232" i="1"/>
  <c r="AS1232" i="1" s="1"/>
  <c r="AQ1231" i="1"/>
  <c r="AS1231" i="1" s="1"/>
  <c r="AQ1230" i="1"/>
  <c r="AS1230" i="1" s="1"/>
  <c r="AQ1229" i="1"/>
  <c r="AS1229" i="1" s="1"/>
  <c r="AQ1228" i="1"/>
  <c r="AS1228" i="1" s="1"/>
  <c r="AQ1227" i="1"/>
  <c r="AS1227" i="1" s="1"/>
  <c r="AQ1226" i="1"/>
  <c r="AS1226" i="1" s="1"/>
  <c r="AQ1225" i="1"/>
  <c r="AS1225" i="1" s="1"/>
  <c r="AQ1224" i="1"/>
  <c r="AS1224" i="1" s="1"/>
  <c r="AQ1223" i="1"/>
  <c r="AS1223" i="1" s="1"/>
  <c r="AQ1222" i="1"/>
  <c r="AS1222" i="1" s="1"/>
  <c r="AQ1221" i="1"/>
  <c r="AS1221" i="1" s="1"/>
  <c r="AQ1220" i="1"/>
  <c r="AS1220" i="1" s="1"/>
  <c r="AQ1219" i="1"/>
  <c r="AS1219" i="1" s="1"/>
  <c r="AQ1218" i="1"/>
  <c r="AS1218" i="1" s="1"/>
  <c r="AQ1217" i="1"/>
  <c r="AS1217" i="1" s="1"/>
  <c r="AQ1216" i="1"/>
  <c r="AS1216" i="1" s="1"/>
  <c r="AQ1215" i="1"/>
  <c r="AS1215" i="1" s="1"/>
  <c r="AQ1214" i="1"/>
  <c r="AS1214" i="1" s="1"/>
  <c r="AQ1213" i="1"/>
  <c r="AS1213" i="1" s="1"/>
  <c r="AQ1212" i="1"/>
  <c r="AS1212" i="1" s="1"/>
  <c r="AQ1211" i="1"/>
  <c r="AS1211" i="1" s="1"/>
  <c r="AQ1210" i="1"/>
  <c r="AS1210" i="1" s="1"/>
  <c r="AQ1209" i="1"/>
  <c r="AS1209" i="1" s="1"/>
  <c r="AQ1208" i="1"/>
  <c r="AS1208" i="1" s="1"/>
  <c r="AQ1207" i="1"/>
  <c r="AS1207" i="1" s="1"/>
  <c r="AQ1206" i="1"/>
  <c r="AS1206" i="1" s="1"/>
  <c r="AQ1205" i="1"/>
  <c r="AS1205" i="1" s="1"/>
  <c r="AQ1204" i="1"/>
  <c r="AS1204" i="1" s="1"/>
  <c r="AQ1203" i="1"/>
  <c r="AS1203" i="1" s="1"/>
  <c r="AQ1202" i="1"/>
  <c r="AS1202" i="1" s="1"/>
  <c r="AQ1201" i="1"/>
  <c r="AS1201" i="1" s="1"/>
  <c r="AQ1200" i="1"/>
  <c r="AS1200" i="1" s="1"/>
  <c r="AQ1199" i="1"/>
  <c r="AS1199" i="1" s="1"/>
  <c r="AQ1198" i="1"/>
  <c r="AS1198" i="1" s="1"/>
  <c r="AQ1197" i="1"/>
  <c r="AS1197" i="1" s="1"/>
  <c r="AQ1196" i="1"/>
  <c r="AS1196" i="1" s="1"/>
  <c r="AQ1195" i="1"/>
  <c r="AS1195" i="1" s="1"/>
  <c r="AQ1194" i="1"/>
  <c r="AS1194" i="1" s="1"/>
  <c r="AQ1193" i="1"/>
  <c r="AS1193" i="1" s="1"/>
  <c r="AQ1192" i="1"/>
  <c r="AS1192" i="1" s="1"/>
  <c r="AQ1191" i="1"/>
  <c r="AS1191" i="1" s="1"/>
  <c r="AQ1190" i="1"/>
  <c r="AS1190" i="1" s="1"/>
  <c r="AQ1189" i="1"/>
  <c r="AS1189" i="1" s="1"/>
  <c r="AQ1188" i="1"/>
  <c r="AS1188" i="1" s="1"/>
  <c r="AQ1187" i="1"/>
  <c r="AS1187" i="1" s="1"/>
  <c r="AQ1186" i="1"/>
  <c r="AS1186" i="1" s="1"/>
  <c r="AQ1185" i="1"/>
  <c r="AS1185" i="1" s="1"/>
  <c r="AQ1184" i="1"/>
  <c r="AS1184" i="1" s="1"/>
  <c r="AQ1183" i="1"/>
  <c r="AS1183" i="1" s="1"/>
  <c r="AQ1182" i="1"/>
  <c r="AS1182" i="1" s="1"/>
  <c r="AQ1181" i="1"/>
  <c r="AS1181" i="1" s="1"/>
  <c r="AQ1180" i="1"/>
  <c r="AS1180" i="1" s="1"/>
  <c r="AQ1179" i="1"/>
  <c r="AS1179" i="1" s="1"/>
  <c r="AQ1178" i="1"/>
  <c r="AS1178" i="1" s="1"/>
  <c r="AQ1177" i="1"/>
  <c r="AS1177" i="1" s="1"/>
  <c r="AQ1176" i="1"/>
  <c r="AS1176" i="1" s="1"/>
  <c r="AQ1175" i="1"/>
  <c r="AS1175" i="1" s="1"/>
  <c r="AQ1174" i="1"/>
  <c r="AS1174" i="1" s="1"/>
  <c r="AQ1173" i="1"/>
  <c r="AS1173" i="1" s="1"/>
  <c r="AQ1172" i="1"/>
  <c r="AS1172" i="1" s="1"/>
  <c r="AQ1171" i="1"/>
  <c r="AS1171" i="1" s="1"/>
  <c r="AQ1170" i="1"/>
  <c r="AS1170" i="1" s="1"/>
  <c r="AQ1169" i="1"/>
  <c r="AS1169" i="1" s="1"/>
  <c r="AQ1168" i="1"/>
  <c r="AS1168" i="1" s="1"/>
  <c r="AQ1167" i="1"/>
  <c r="AS1167" i="1" s="1"/>
  <c r="AQ1166" i="1"/>
  <c r="AS1166" i="1" s="1"/>
  <c r="AQ1165" i="1"/>
  <c r="AS1165" i="1" s="1"/>
  <c r="AQ1164" i="1"/>
  <c r="AS1164" i="1" s="1"/>
  <c r="AQ1163" i="1"/>
  <c r="AS1163" i="1" s="1"/>
  <c r="AQ1162" i="1"/>
  <c r="AS1162" i="1" s="1"/>
  <c r="AQ1161" i="1"/>
  <c r="AS1161" i="1" s="1"/>
  <c r="AQ1160" i="1"/>
  <c r="AS1160" i="1" s="1"/>
  <c r="AQ1159" i="1"/>
  <c r="AS1159" i="1" s="1"/>
  <c r="AQ1158" i="1"/>
  <c r="AS1158" i="1" s="1"/>
  <c r="AQ1157" i="1"/>
  <c r="AS1157" i="1" s="1"/>
  <c r="AQ1156" i="1"/>
  <c r="AS1156" i="1" s="1"/>
  <c r="AQ1155" i="1"/>
  <c r="AS1155" i="1" s="1"/>
  <c r="AQ1154" i="1"/>
  <c r="AS1154" i="1" s="1"/>
  <c r="AQ1153" i="1"/>
  <c r="AS1153" i="1" s="1"/>
  <c r="AQ1152" i="1"/>
  <c r="AS1152" i="1" s="1"/>
  <c r="AQ1151" i="1"/>
  <c r="AS1151" i="1" s="1"/>
  <c r="AQ1150" i="1"/>
  <c r="AS1150" i="1" s="1"/>
  <c r="AQ1149" i="1"/>
  <c r="AS1149" i="1" s="1"/>
  <c r="AQ1148" i="1"/>
  <c r="AS1148" i="1" s="1"/>
  <c r="AQ1147" i="1"/>
  <c r="AS1147" i="1" s="1"/>
  <c r="AQ1146" i="1"/>
  <c r="AS1146" i="1" s="1"/>
  <c r="AQ1145" i="1"/>
  <c r="AS1145" i="1" s="1"/>
  <c r="AQ1144" i="1"/>
  <c r="AS1144" i="1" s="1"/>
  <c r="AQ1143" i="1"/>
  <c r="AS1143" i="1" s="1"/>
  <c r="AQ1142" i="1"/>
  <c r="AS1142" i="1" s="1"/>
  <c r="AQ1141" i="1"/>
  <c r="AS1141" i="1" s="1"/>
  <c r="AQ1140" i="1"/>
  <c r="AS1140" i="1" s="1"/>
  <c r="AQ1139" i="1"/>
  <c r="AS1139" i="1" s="1"/>
  <c r="AQ1138" i="1"/>
  <c r="AS1138" i="1" s="1"/>
  <c r="AQ1137" i="1"/>
  <c r="AS1137" i="1" s="1"/>
  <c r="AQ1136" i="1"/>
  <c r="AS1136" i="1" s="1"/>
  <c r="AQ1135" i="1"/>
  <c r="AS1135" i="1" s="1"/>
  <c r="AQ1134" i="1"/>
  <c r="AS1134" i="1" s="1"/>
  <c r="AQ1133" i="1"/>
  <c r="AS1133" i="1" s="1"/>
  <c r="AQ1132" i="1"/>
  <c r="AS1132" i="1" s="1"/>
  <c r="AQ1131" i="1"/>
  <c r="AS1131" i="1" s="1"/>
  <c r="AQ1130" i="1"/>
  <c r="AS1130" i="1" s="1"/>
  <c r="AQ1129" i="1"/>
  <c r="AS1129" i="1" s="1"/>
  <c r="AQ1128" i="1"/>
  <c r="AS1128" i="1" s="1"/>
  <c r="AQ1127" i="1"/>
  <c r="AS1127" i="1" s="1"/>
  <c r="AQ1126" i="1"/>
  <c r="AS1126" i="1" s="1"/>
  <c r="AQ1125" i="1"/>
  <c r="AS1125" i="1" s="1"/>
  <c r="AQ1124" i="1"/>
  <c r="AS1124" i="1" s="1"/>
  <c r="AQ1123" i="1"/>
  <c r="AS1123" i="1" s="1"/>
  <c r="AQ1122" i="1"/>
  <c r="AS1122" i="1" s="1"/>
  <c r="AQ1121" i="1"/>
  <c r="AS1121" i="1" s="1"/>
  <c r="AQ1120" i="1"/>
  <c r="AS1120" i="1" s="1"/>
  <c r="AQ1119" i="1"/>
  <c r="AS1119" i="1" s="1"/>
  <c r="AQ1118" i="1"/>
  <c r="AS1118" i="1" s="1"/>
  <c r="AQ1117" i="1"/>
  <c r="AS1117" i="1" s="1"/>
  <c r="AQ1116" i="1"/>
  <c r="AS1116" i="1" s="1"/>
  <c r="AQ1115" i="1"/>
  <c r="AS1115" i="1" s="1"/>
  <c r="AQ1114" i="1"/>
  <c r="AS1114" i="1" s="1"/>
  <c r="AQ1113" i="1"/>
  <c r="AS1113" i="1" s="1"/>
  <c r="AQ1112" i="1"/>
  <c r="AS1112" i="1" s="1"/>
  <c r="AQ1111" i="1"/>
  <c r="AS1111" i="1" s="1"/>
  <c r="AQ1110" i="1"/>
  <c r="AS1110" i="1" s="1"/>
  <c r="AQ1109" i="1"/>
  <c r="AS1109" i="1" s="1"/>
  <c r="AQ1108" i="1"/>
  <c r="AS1108" i="1" s="1"/>
  <c r="AQ1107" i="1"/>
  <c r="AS1107" i="1" s="1"/>
  <c r="AQ1106" i="1"/>
  <c r="AS1106" i="1" s="1"/>
  <c r="AQ1105" i="1"/>
  <c r="AS1105" i="1" s="1"/>
  <c r="AQ1104" i="1"/>
  <c r="AS1104" i="1" s="1"/>
  <c r="AQ1103" i="1"/>
  <c r="AS1103" i="1" s="1"/>
  <c r="AQ1102" i="1"/>
  <c r="AS1102" i="1" s="1"/>
  <c r="AQ1101" i="1"/>
  <c r="AS1101" i="1" s="1"/>
  <c r="AQ1100" i="1"/>
  <c r="AS1100" i="1" s="1"/>
  <c r="AQ1099" i="1"/>
  <c r="AS1099" i="1" s="1"/>
  <c r="AQ1098" i="1"/>
  <c r="AS1098" i="1" s="1"/>
  <c r="AQ1097" i="1"/>
  <c r="AS1097" i="1" s="1"/>
  <c r="AQ1096" i="1"/>
  <c r="AS1096" i="1" s="1"/>
  <c r="AQ1095" i="1"/>
  <c r="AS1095" i="1" s="1"/>
  <c r="AQ1094" i="1"/>
  <c r="AS1094" i="1" s="1"/>
  <c r="AQ1093" i="1"/>
  <c r="AS1093" i="1" s="1"/>
  <c r="AQ1092" i="1"/>
  <c r="AS1092" i="1" s="1"/>
  <c r="AQ1091" i="1"/>
  <c r="AS1091" i="1" s="1"/>
  <c r="AQ1090" i="1"/>
  <c r="AS1090" i="1" s="1"/>
  <c r="AQ1089" i="1"/>
  <c r="AS1089" i="1" s="1"/>
  <c r="AQ1088" i="1"/>
  <c r="AS1088" i="1" s="1"/>
  <c r="AQ1087" i="1"/>
  <c r="AS1087" i="1" s="1"/>
  <c r="AQ1086" i="1"/>
  <c r="AS1086" i="1" s="1"/>
  <c r="AQ1085" i="1"/>
  <c r="AS1085" i="1" s="1"/>
  <c r="AQ1084" i="1"/>
  <c r="AS1084" i="1" s="1"/>
  <c r="AQ1083" i="1"/>
  <c r="AS1083" i="1" s="1"/>
  <c r="AQ1082" i="1"/>
  <c r="AS1082" i="1" s="1"/>
  <c r="AQ1081" i="1"/>
  <c r="AS1081" i="1" s="1"/>
  <c r="AQ1080" i="1"/>
  <c r="AS1080" i="1" s="1"/>
  <c r="AQ1079" i="1"/>
  <c r="AS1079" i="1" s="1"/>
  <c r="AQ1078" i="1"/>
  <c r="AS1078" i="1" s="1"/>
  <c r="AQ1077" i="1"/>
  <c r="AS1077" i="1" s="1"/>
  <c r="AQ1076" i="1"/>
  <c r="AS1076" i="1" s="1"/>
  <c r="AQ1075" i="1"/>
  <c r="AS1075" i="1" s="1"/>
  <c r="AQ1074" i="1"/>
  <c r="AS1074" i="1" s="1"/>
  <c r="AQ1073" i="1"/>
  <c r="AS1073" i="1" s="1"/>
  <c r="AQ1072" i="1"/>
  <c r="AS1072" i="1" s="1"/>
  <c r="AQ1071" i="1"/>
  <c r="AS1071" i="1" s="1"/>
  <c r="AQ1070" i="1"/>
  <c r="AS1070" i="1" s="1"/>
  <c r="AQ1069" i="1"/>
  <c r="AS1069" i="1" s="1"/>
  <c r="AQ1068" i="1"/>
  <c r="AS1068" i="1" s="1"/>
  <c r="AQ1067" i="1"/>
  <c r="AS1067" i="1" s="1"/>
  <c r="AQ1066" i="1"/>
  <c r="AS1066" i="1" s="1"/>
  <c r="AQ1065" i="1"/>
  <c r="AS1065" i="1" s="1"/>
  <c r="AQ1064" i="1"/>
  <c r="AS1064" i="1" s="1"/>
  <c r="AQ1063" i="1"/>
  <c r="AS1063" i="1" s="1"/>
  <c r="AQ1062" i="1"/>
  <c r="AS1062" i="1" s="1"/>
  <c r="AQ1061" i="1"/>
  <c r="AS1061" i="1" s="1"/>
  <c r="AQ1060" i="1"/>
  <c r="AS1060" i="1" s="1"/>
  <c r="AQ1059" i="1"/>
  <c r="AS1059" i="1" s="1"/>
  <c r="AQ1058" i="1"/>
  <c r="AS1058" i="1" s="1"/>
  <c r="AQ1057" i="1"/>
  <c r="AS1057" i="1" s="1"/>
  <c r="AQ1056" i="1"/>
  <c r="AS1056" i="1" s="1"/>
  <c r="AQ1055" i="1"/>
  <c r="AS1055" i="1" s="1"/>
  <c r="AQ1054" i="1"/>
  <c r="AS1054" i="1" s="1"/>
  <c r="AQ1053" i="1"/>
  <c r="AS1053" i="1" s="1"/>
  <c r="AQ1052" i="1"/>
  <c r="AS1052" i="1" s="1"/>
  <c r="AQ1051" i="1"/>
  <c r="AS1051" i="1" s="1"/>
  <c r="AQ1050" i="1"/>
  <c r="AS1050" i="1" s="1"/>
  <c r="AQ1049" i="1"/>
  <c r="AS1049" i="1" s="1"/>
  <c r="AQ1048" i="1"/>
  <c r="AS1048" i="1" s="1"/>
  <c r="AQ1047" i="1"/>
  <c r="AS1047" i="1" s="1"/>
  <c r="AQ1046" i="1"/>
  <c r="AS1046" i="1" s="1"/>
  <c r="AQ1045" i="1"/>
  <c r="AS1045" i="1" s="1"/>
  <c r="AQ1044" i="1"/>
  <c r="AS1044" i="1" s="1"/>
  <c r="AQ1043" i="1"/>
  <c r="AS1043" i="1" s="1"/>
  <c r="AQ1042" i="1"/>
  <c r="AS1042" i="1" s="1"/>
  <c r="AQ1041" i="1"/>
  <c r="AS1041" i="1" s="1"/>
  <c r="AQ1040" i="1"/>
  <c r="AS1040" i="1" s="1"/>
  <c r="AQ1039" i="1"/>
  <c r="AS1039" i="1" s="1"/>
  <c r="AQ1038" i="1"/>
  <c r="AS1038" i="1" s="1"/>
  <c r="AQ1037" i="1"/>
  <c r="AS1037" i="1" s="1"/>
  <c r="AQ1036" i="1"/>
  <c r="AS1036" i="1" s="1"/>
  <c r="AQ1035" i="1"/>
  <c r="AS1035" i="1" s="1"/>
  <c r="AQ1034" i="1"/>
  <c r="AS1034" i="1" s="1"/>
  <c r="AQ1033" i="1"/>
  <c r="AS1033" i="1" s="1"/>
  <c r="AQ1032" i="1"/>
  <c r="AS1032" i="1" s="1"/>
  <c r="AQ1031" i="1"/>
  <c r="AS1031" i="1" s="1"/>
  <c r="AQ1030" i="1"/>
  <c r="AS1030" i="1" s="1"/>
  <c r="AQ1029" i="1"/>
  <c r="AS1029" i="1" s="1"/>
  <c r="AQ1028" i="1"/>
  <c r="AS1028" i="1" s="1"/>
  <c r="AQ1027" i="1"/>
  <c r="AS1027" i="1" s="1"/>
  <c r="AQ1026" i="1"/>
  <c r="AS1026" i="1" s="1"/>
  <c r="AQ1025" i="1"/>
  <c r="AS1025" i="1" s="1"/>
  <c r="AQ1024" i="1"/>
  <c r="AS1024" i="1" s="1"/>
  <c r="AQ1023" i="1"/>
  <c r="AS1023" i="1" s="1"/>
  <c r="AQ1022" i="1"/>
  <c r="AS1022" i="1" s="1"/>
  <c r="AQ1021" i="1"/>
  <c r="AS1021" i="1" s="1"/>
  <c r="AQ1020" i="1"/>
  <c r="AS1020" i="1" s="1"/>
  <c r="AQ1019" i="1"/>
  <c r="AS1019" i="1" s="1"/>
  <c r="AQ1018" i="1"/>
  <c r="AS1018" i="1" s="1"/>
  <c r="AQ1017" i="1"/>
  <c r="AS1017" i="1" s="1"/>
  <c r="AQ1016" i="1"/>
  <c r="AS1016" i="1" s="1"/>
  <c r="AQ1015" i="1"/>
  <c r="AS1015" i="1" s="1"/>
  <c r="AQ1014" i="1"/>
  <c r="AS1014" i="1" s="1"/>
  <c r="AQ1013" i="1"/>
  <c r="AS1013" i="1" s="1"/>
  <c r="AQ1012" i="1"/>
  <c r="AS1012" i="1" s="1"/>
  <c r="AQ1011" i="1"/>
  <c r="AS1011" i="1" s="1"/>
  <c r="AQ1010" i="1"/>
  <c r="AS1010" i="1" s="1"/>
  <c r="AQ1009" i="1"/>
  <c r="AS1009" i="1" s="1"/>
  <c r="AQ1008" i="1"/>
  <c r="AS1008" i="1" s="1"/>
  <c r="AQ1007" i="1"/>
  <c r="AS1007" i="1" s="1"/>
  <c r="AQ1006" i="1"/>
  <c r="AS1006" i="1" s="1"/>
  <c r="AQ1005" i="1"/>
  <c r="AS1005" i="1" s="1"/>
  <c r="AQ1004" i="1"/>
  <c r="AS1004" i="1" s="1"/>
  <c r="AQ1003" i="1"/>
  <c r="AS1003" i="1" s="1"/>
  <c r="AQ1002" i="1"/>
  <c r="AS1002" i="1" s="1"/>
  <c r="AQ1001" i="1"/>
  <c r="AS1001" i="1" s="1"/>
  <c r="AQ1000" i="1"/>
  <c r="AS1000" i="1" s="1"/>
  <c r="AQ999" i="1"/>
  <c r="AS999" i="1" s="1"/>
  <c r="AQ998" i="1"/>
  <c r="AS998" i="1" s="1"/>
  <c r="AQ997" i="1"/>
  <c r="AS997" i="1" s="1"/>
  <c r="AQ996" i="1"/>
  <c r="AS996" i="1" s="1"/>
  <c r="AQ995" i="1"/>
  <c r="AS995" i="1" s="1"/>
  <c r="AQ994" i="1"/>
  <c r="AS994" i="1" s="1"/>
  <c r="AQ993" i="1"/>
  <c r="AS993" i="1" s="1"/>
  <c r="AQ992" i="1"/>
  <c r="AS992" i="1" s="1"/>
  <c r="AQ991" i="1"/>
  <c r="AS991" i="1" s="1"/>
  <c r="AQ990" i="1"/>
  <c r="AS990" i="1" s="1"/>
  <c r="AQ989" i="1"/>
  <c r="AS989" i="1" s="1"/>
  <c r="AQ988" i="1"/>
  <c r="AS988" i="1" s="1"/>
  <c r="AQ987" i="1"/>
  <c r="AS987" i="1" s="1"/>
  <c r="AQ986" i="1"/>
  <c r="AS986" i="1" s="1"/>
  <c r="AQ985" i="1"/>
  <c r="AS985" i="1" s="1"/>
  <c r="AQ984" i="1"/>
  <c r="AS984" i="1" s="1"/>
  <c r="AQ983" i="1"/>
  <c r="AS983" i="1" s="1"/>
  <c r="AQ982" i="1"/>
  <c r="AS982" i="1" s="1"/>
  <c r="AQ981" i="1"/>
  <c r="AS981" i="1" s="1"/>
  <c r="AQ980" i="1"/>
  <c r="AS980" i="1" s="1"/>
  <c r="AQ979" i="1"/>
  <c r="AS979" i="1" s="1"/>
  <c r="AQ978" i="1"/>
  <c r="AS978" i="1" s="1"/>
  <c r="AQ977" i="1"/>
  <c r="AS977" i="1" s="1"/>
  <c r="AQ976" i="1"/>
  <c r="AS976" i="1" s="1"/>
  <c r="AQ975" i="1"/>
  <c r="AS975" i="1" s="1"/>
  <c r="AQ974" i="1"/>
  <c r="AS974" i="1" s="1"/>
  <c r="AQ973" i="1"/>
  <c r="AS973" i="1" s="1"/>
  <c r="AQ972" i="1"/>
  <c r="AS972" i="1" s="1"/>
  <c r="AQ971" i="1"/>
  <c r="AS971" i="1" s="1"/>
  <c r="AQ970" i="1"/>
  <c r="AS970" i="1" s="1"/>
  <c r="AQ969" i="1"/>
  <c r="AS969" i="1" s="1"/>
  <c r="AQ968" i="1"/>
  <c r="AS968" i="1" s="1"/>
  <c r="AQ967" i="1"/>
  <c r="AS967" i="1" s="1"/>
  <c r="AQ966" i="1"/>
  <c r="AS966" i="1" s="1"/>
  <c r="AQ965" i="1"/>
  <c r="AS965" i="1" s="1"/>
  <c r="AQ964" i="1"/>
  <c r="AS964" i="1" s="1"/>
  <c r="AQ963" i="1"/>
  <c r="AS963" i="1" s="1"/>
  <c r="AQ962" i="1"/>
  <c r="AS962" i="1" s="1"/>
  <c r="AQ961" i="1"/>
  <c r="AS961" i="1" s="1"/>
  <c r="AQ960" i="1"/>
  <c r="AS960" i="1" s="1"/>
  <c r="AQ959" i="1"/>
  <c r="AS959" i="1" s="1"/>
  <c r="AQ958" i="1"/>
  <c r="AS958" i="1" s="1"/>
  <c r="AQ957" i="1"/>
  <c r="AS957" i="1" s="1"/>
  <c r="AQ956" i="1"/>
  <c r="AS956" i="1" s="1"/>
  <c r="AQ955" i="1"/>
  <c r="AS955" i="1" s="1"/>
  <c r="AQ954" i="1"/>
  <c r="AS954" i="1" s="1"/>
  <c r="AQ953" i="1"/>
  <c r="AS953" i="1" s="1"/>
  <c r="AQ952" i="1"/>
  <c r="AS952" i="1" s="1"/>
  <c r="AQ951" i="1"/>
  <c r="AS951" i="1" s="1"/>
  <c r="AQ950" i="1"/>
  <c r="AS950" i="1" s="1"/>
  <c r="AQ949" i="1"/>
  <c r="AS949" i="1" s="1"/>
  <c r="AQ948" i="1"/>
  <c r="AS948" i="1" s="1"/>
  <c r="AQ947" i="1"/>
  <c r="AS947" i="1" s="1"/>
  <c r="AQ946" i="1"/>
  <c r="AS946" i="1" s="1"/>
  <c r="AQ945" i="1"/>
  <c r="AS945" i="1" s="1"/>
  <c r="AQ944" i="1"/>
  <c r="AS944" i="1" s="1"/>
  <c r="AQ943" i="1"/>
  <c r="AS943" i="1" s="1"/>
  <c r="AQ942" i="1"/>
  <c r="AS942" i="1" s="1"/>
  <c r="AQ941" i="1"/>
  <c r="AS941" i="1" s="1"/>
  <c r="AQ940" i="1"/>
  <c r="AS940" i="1" s="1"/>
  <c r="AQ939" i="1"/>
  <c r="AS939" i="1" s="1"/>
  <c r="AQ938" i="1"/>
  <c r="AS938" i="1" s="1"/>
  <c r="AQ937" i="1"/>
  <c r="AS937" i="1" s="1"/>
  <c r="AQ936" i="1"/>
  <c r="AS936" i="1" s="1"/>
  <c r="AQ935" i="1"/>
  <c r="AS935" i="1" s="1"/>
  <c r="AQ934" i="1"/>
  <c r="AS934" i="1" s="1"/>
  <c r="AQ933" i="1"/>
  <c r="AS933" i="1" s="1"/>
  <c r="AQ932" i="1"/>
  <c r="AS932" i="1" s="1"/>
  <c r="AQ931" i="1"/>
  <c r="AS931" i="1" s="1"/>
  <c r="AQ930" i="1"/>
  <c r="AS930" i="1" s="1"/>
  <c r="AQ929" i="1"/>
  <c r="AS929" i="1" s="1"/>
  <c r="AQ928" i="1"/>
  <c r="AS928" i="1" s="1"/>
  <c r="AQ927" i="1"/>
  <c r="AS927" i="1" s="1"/>
  <c r="AQ926" i="1"/>
  <c r="AS926" i="1" s="1"/>
  <c r="AQ925" i="1"/>
  <c r="AS925" i="1" s="1"/>
  <c r="AQ924" i="1"/>
  <c r="AS924" i="1" s="1"/>
  <c r="AQ923" i="1"/>
  <c r="AS923" i="1" s="1"/>
  <c r="AQ922" i="1"/>
  <c r="AS922" i="1" s="1"/>
  <c r="AQ921" i="1"/>
  <c r="AS921" i="1" s="1"/>
  <c r="AQ920" i="1"/>
  <c r="AS920" i="1" s="1"/>
  <c r="AQ919" i="1"/>
  <c r="AS919" i="1" s="1"/>
  <c r="AQ918" i="1"/>
  <c r="AS918" i="1" s="1"/>
  <c r="AQ917" i="1"/>
  <c r="AS917" i="1" s="1"/>
  <c r="AQ916" i="1"/>
  <c r="AS916" i="1" s="1"/>
  <c r="AQ915" i="1"/>
  <c r="AS915" i="1" s="1"/>
  <c r="AQ914" i="1"/>
  <c r="AS914" i="1" s="1"/>
  <c r="AQ913" i="1"/>
  <c r="AS913" i="1" s="1"/>
  <c r="AQ912" i="1"/>
  <c r="AS912" i="1" s="1"/>
  <c r="AQ911" i="1"/>
  <c r="AS911" i="1" s="1"/>
  <c r="AQ910" i="1"/>
  <c r="AS910" i="1" s="1"/>
  <c r="AQ909" i="1"/>
  <c r="AS909" i="1" s="1"/>
  <c r="AQ908" i="1"/>
  <c r="AS908" i="1" s="1"/>
  <c r="AQ907" i="1"/>
  <c r="AS907" i="1" s="1"/>
  <c r="AQ906" i="1"/>
  <c r="AS906" i="1" s="1"/>
  <c r="AQ905" i="1"/>
  <c r="AS905" i="1" s="1"/>
  <c r="AQ904" i="1"/>
  <c r="AS904" i="1" s="1"/>
  <c r="AQ903" i="1"/>
  <c r="AS903" i="1" s="1"/>
  <c r="AQ902" i="1"/>
  <c r="AS902" i="1" s="1"/>
  <c r="AQ901" i="1"/>
  <c r="AS901" i="1" s="1"/>
  <c r="AQ900" i="1"/>
  <c r="AS900" i="1" s="1"/>
  <c r="AQ899" i="1"/>
  <c r="AS899" i="1" s="1"/>
  <c r="AQ898" i="1"/>
  <c r="AS898" i="1" s="1"/>
  <c r="AQ897" i="1"/>
  <c r="AS897" i="1" s="1"/>
  <c r="AQ896" i="1"/>
  <c r="AS896" i="1" s="1"/>
  <c r="AQ895" i="1"/>
  <c r="AS895" i="1" s="1"/>
  <c r="AQ894" i="1"/>
  <c r="AS894" i="1" s="1"/>
  <c r="AQ893" i="1"/>
  <c r="AS893" i="1" s="1"/>
  <c r="AQ892" i="1"/>
  <c r="AS892" i="1" s="1"/>
  <c r="AQ891" i="1"/>
  <c r="AS891" i="1" s="1"/>
  <c r="AQ890" i="1"/>
  <c r="AS890" i="1" s="1"/>
  <c r="AQ889" i="1"/>
  <c r="AS889" i="1" s="1"/>
  <c r="AQ888" i="1"/>
  <c r="AS888" i="1" s="1"/>
  <c r="AQ887" i="1"/>
  <c r="AS887" i="1" s="1"/>
  <c r="AQ886" i="1"/>
  <c r="AS886" i="1" s="1"/>
  <c r="AQ885" i="1"/>
  <c r="AS885" i="1" s="1"/>
  <c r="AQ884" i="1"/>
  <c r="AS884" i="1" s="1"/>
  <c r="AQ883" i="1"/>
  <c r="AS883" i="1" s="1"/>
  <c r="AQ882" i="1"/>
  <c r="AS882" i="1" s="1"/>
  <c r="AQ881" i="1"/>
  <c r="AS881" i="1" s="1"/>
  <c r="AQ880" i="1"/>
  <c r="AS880" i="1" s="1"/>
  <c r="AQ879" i="1"/>
  <c r="AS879" i="1" s="1"/>
  <c r="AQ878" i="1"/>
  <c r="AS878" i="1" s="1"/>
  <c r="AQ877" i="1"/>
  <c r="AS877" i="1" s="1"/>
  <c r="AQ876" i="1"/>
  <c r="AS876" i="1" s="1"/>
  <c r="AQ875" i="1"/>
  <c r="AS875" i="1" s="1"/>
  <c r="AQ874" i="1"/>
  <c r="AS874" i="1" s="1"/>
  <c r="AQ873" i="1"/>
  <c r="AS873" i="1" s="1"/>
  <c r="AQ872" i="1"/>
  <c r="AS872" i="1" s="1"/>
  <c r="AQ871" i="1"/>
  <c r="AS871" i="1" s="1"/>
  <c r="AQ870" i="1"/>
  <c r="AS870" i="1" s="1"/>
  <c r="AQ869" i="1"/>
  <c r="AS869" i="1" s="1"/>
  <c r="AQ868" i="1"/>
  <c r="AS868" i="1" s="1"/>
  <c r="AQ867" i="1"/>
  <c r="AS867" i="1" s="1"/>
  <c r="AQ866" i="1"/>
  <c r="AS866" i="1" s="1"/>
  <c r="AQ865" i="1"/>
  <c r="AS865" i="1" s="1"/>
  <c r="AQ864" i="1"/>
  <c r="AS864" i="1" s="1"/>
  <c r="AQ863" i="1"/>
  <c r="AS863" i="1" s="1"/>
  <c r="AQ862" i="1"/>
  <c r="AS862" i="1" s="1"/>
  <c r="AQ861" i="1"/>
  <c r="AS861" i="1" s="1"/>
  <c r="AQ860" i="1"/>
  <c r="AS860" i="1" s="1"/>
  <c r="AQ859" i="1"/>
  <c r="AS859" i="1" s="1"/>
  <c r="AQ858" i="1"/>
  <c r="AS858" i="1" s="1"/>
  <c r="AQ857" i="1"/>
  <c r="AS857" i="1" s="1"/>
  <c r="AQ856" i="1"/>
  <c r="AS856" i="1" s="1"/>
  <c r="AQ855" i="1"/>
  <c r="AS855" i="1" s="1"/>
  <c r="AQ854" i="1"/>
  <c r="AS854" i="1" s="1"/>
  <c r="AQ853" i="1"/>
  <c r="AS853" i="1" s="1"/>
  <c r="AQ852" i="1"/>
  <c r="AS852" i="1" s="1"/>
  <c r="AQ851" i="1"/>
  <c r="AS851" i="1" s="1"/>
  <c r="AQ850" i="1"/>
  <c r="AS850" i="1" s="1"/>
  <c r="AQ849" i="1"/>
  <c r="AS849" i="1" s="1"/>
  <c r="AQ848" i="1"/>
  <c r="AS848" i="1" s="1"/>
  <c r="AQ847" i="1"/>
  <c r="AS847" i="1" s="1"/>
  <c r="AQ846" i="1"/>
  <c r="AS846" i="1" s="1"/>
  <c r="AQ845" i="1"/>
  <c r="AS845" i="1" s="1"/>
  <c r="AQ844" i="1"/>
  <c r="AS844" i="1" s="1"/>
  <c r="AQ843" i="1"/>
  <c r="AS843" i="1" s="1"/>
  <c r="AQ842" i="1"/>
  <c r="AS842" i="1" s="1"/>
  <c r="AQ841" i="1"/>
  <c r="AS841" i="1" s="1"/>
  <c r="AQ840" i="1"/>
  <c r="AS840" i="1" s="1"/>
  <c r="AQ839" i="1"/>
  <c r="AS839" i="1" s="1"/>
  <c r="AQ838" i="1"/>
  <c r="AS838" i="1" s="1"/>
  <c r="AQ837" i="1"/>
  <c r="AS837" i="1" s="1"/>
  <c r="AQ836" i="1"/>
  <c r="AS836" i="1" s="1"/>
  <c r="AQ835" i="1"/>
  <c r="AS835" i="1" s="1"/>
  <c r="AQ834" i="1"/>
  <c r="AS834" i="1" s="1"/>
  <c r="AQ833" i="1"/>
  <c r="AS833" i="1" s="1"/>
  <c r="AQ832" i="1"/>
  <c r="AS832" i="1" s="1"/>
  <c r="AQ831" i="1"/>
  <c r="AS831" i="1" s="1"/>
  <c r="AQ830" i="1"/>
  <c r="AS830" i="1" s="1"/>
  <c r="AQ829" i="1"/>
  <c r="AS829" i="1" s="1"/>
  <c r="AQ828" i="1"/>
  <c r="AS828" i="1" s="1"/>
  <c r="AQ827" i="1"/>
  <c r="AS827" i="1" s="1"/>
  <c r="AQ826" i="1"/>
  <c r="AS826" i="1" s="1"/>
  <c r="AQ825" i="1"/>
  <c r="AS825" i="1" s="1"/>
  <c r="AQ824" i="1"/>
  <c r="AS824" i="1" s="1"/>
  <c r="AQ823" i="1"/>
  <c r="AS823" i="1" s="1"/>
  <c r="AQ822" i="1"/>
  <c r="AS822" i="1" s="1"/>
  <c r="AQ821" i="1"/>
  <c r="AS821" i="1" s="1"/>
  <c r="AQ820" i="1"/>
  <c r="AS820" i="1" s="1"/>
  <c r="AQ819" i="1"/>
  <c r="AS819" i="1" s="1"/>
  <c r="AQ818" i="1"/>
  <c r="AS818" i="1" s="1"/>
  <c r="AQ817" i="1"/>
  <c r="AS817" i="1" s="1"/>
  <c r="AQ816" i="1"/>
  <c r="AS816" i="1" s="1"/>
  <c r="AQ815" i="1"/>
  <c r="AS815" i="1" s="1"/>
  <c r="AQ814" i="1"/>
  <c r="AS814" i="1" s="1"/>
  <c r="AQ813" i="1"/>
  <c r="AS813" i="1" s="1"/>
  <c r="AQ812" i="1"/>
  <c r="AS812" i="1" s="1"/>
  <c r="AQ811" i="1"/>
  <c r="AS811" i="1" s="1"/>
  <c r="AQ810" i="1"/>
  <c r="AS810" i="1" s="1"/>
  <c r="AQ809" i="1"/>
  <c r="AS809" i="1" s="1"/>
  <c r="AQ808" i="1"/>
  <c r="AS808" i="1" s="1"/>
  <c r="AQ807" i="1"/>
  <c r="AS807" i="1" s="1"/>
  <c r="AQ806" i="1"/>
  <c r="AS806" i="1" s="1"/>
  <c r="AQ805" i="1"/>
  <c r="AS805" i="1" s="1"/>
  <c r="AQ804" i="1"/>
  <c r="AS804" i="1" s="1"/>
  <c r="AQ803" i="1"/>
  <c r="AS803" i="1" s="1"/>
  <c r="AQ802" i="1"/>
  <c r="AS802" i="1" s="1"/>
  <c r="AQ801" i="1"/>
  <c r="AS801" i="1" s="1"/>
  <c r="AQ800" i="1"/>
  <c r="AS800" i="1" s="1"/>
  <c r="AQ799" i="1"/>
  <c r="AS799" i="1" s="1"/>
  <c r="AQ798" i="1"/>
  <c r="AS798" i="1" s="1"/>
  <c r="AQ797" i="1"/>
  <c r="AS797" i="1" s="1"/>
  <c r="AQ796" i="1"/>
  <c r="AS796" i="1" s="1"/>
  <c r="AQ795" i="1"/>
  <c r="AS795" i="1" s="1"/>
  <c r="AQ794" i="1"/>
  <c r="AS794" i="1" s="1"/>
  <c r="AQ793" i="1"/>
  <c r="AS793" i="1" s="1"/>
  <c r="AQ792" i="1"/>
  <c r="AS792" i="1" s="1"/>
  <c r="AQ791" i="1"/>
  <c r="AS791" i="1" s="1"/>
  <c r="AQ790" i="1"/>
  <c r="AS790" i="1" s="1"/>
  <c r="AQ789" i="1"/>
  <c r="AS789" i="1" s="1"/>
  <c r="AQ788" i="1"/>
  <c r="AS788" i="1" s="1"/>
  <c r="AQ787" i="1"/>
  <c r="AS787" i="1" s="1"/>
  <c r="AQ786" i="1"/>
  <c r="AS786" i="1" s="1"/>
  <c r="AQ785" i="1"/>
  <c r="AS785" i="1" s="1"/>
  <c r="AQ784" i="1"/>
  <c r="AS784" i="1" s="1"/>
  <c r="AQ783" i="1"/>
  <c r="AS783" i="1" s="1"/>
  <c r="AQ782" i="1"/>
  <c r="AS782" i="1" s="1"/>
  <c r="AQ781" i="1"/>
  <c r="AS781" i="1" s="1"/>
  <c r="AQ780" i="1"/>
  <c r="AS780" i="1" s="1"/>
  <c r="AQ779" i="1"/>
  <c r="AS779" i="1" s="1"/>
  <c r="AQ778" i="1"/>
  <c r="AS778" i="1" s="1"/>
  <c r="AQ777" i="1"/>
  <c r="AS777" i="1" s="1"/>
  <c r="AQ776" i="1"/>
  <c r="AS776" i="1" s="1"/>
  <c r="AQ775" i="1"/>
  <c r="AS775" i="1" s="1"/>
  <c r="AQ774" i="1"/>
  <c r="AS774" i="1" s="1"/>
  <c r="AQ773" i="1"/>
  <c r="AS773" i="1" s="1"/>
  <c r="AQ772" i="1"/>
  <c r="AS772" i="1" s="1"/>
  <c r="AQ771" i="1"/>
  <c r="AS771" i="1" s="1"/>
  <c r="AQ770" i="1"/>
  <c r="AS770" i="1" s="1"/>
  <c r="AQ769" i="1"/>
  <c r="AS769" i="1" s="1"/>
  <c r="AQ768" i="1"/>
  <c r="AS768" i="1" s="1"/>
  <c r="AQ767" i="1"/>
  <c r="AS767" i="1" s="1"/>
  <c r="AQ766" i="1"/>
  <c r="AS766" i="1" s="1"/>
  <c r="AQ765" i="1"/>
  <c r="AS765" i="1" s="1"/>
  <c r="AQ764" i="1"/>
  <c r="AS764" i="1" s="1"/>
  <c r="AQ763" i="1"/>
  <c r="AS763" i="1" s="1"/>
  <c r="AQ762" i="1"/>
  <c r="AS762" i="1" s="1"/>
  <c r="AQ761" i="1"/>
  <c r="AS761" i="1" s="1"/>
  <c r="AQ760" i="1"/>
  <c r="AS760" i="1" s="1"/>
  <c r="AQ759" i="1"/>
  <c r="AS759" i="1" s="1"/>
  <c r="AQ758" i="1"/>
  <c r="AS758" i="1" s="1"/>
  <c r="AQ757" i="1"/>
  <c r="AS757" i="1" s="1"/>
  <c r="AQ756" i="1"/>
  <c r="AS756" i="1" s="1"/>
  <c r="AQ755" i="1"/>
  <c r="AS755" i="1" s="1"/>
  <c r="AQ754" i="1"/>
  <c r="AS754" i="1" s="1"/>
  <c r="AQ753" i="1"/>
  <c r="AS753" i="1" s="1"/>
  <c r="AQ752" i="1"/>
  <c r="AS752" i="1" s="1"/>
  <c r="AQ751" i="1"/>
  <c r="AS751" i="1" s="1"/>
  <c r="AQ750" i="1"/>
  <c r="AS750" i="1" s="1"/>
  <c r="AQ749" i="1"/>
  <c r="AS749" i="1" s="1"/>
  <c r="AQ748" i="1"/>
  <c r="AS748" i="1" s="1"/>
  <c r="AQ747" i="1"/>
  <c r="AS747" i="1" s="1"/>
  <c r="AQ746" i="1"/>
  <c r="AS746" i="1" s="1"/>
  <c r="AQ745" i="1"/>
  <c r="AS745" i="1" s="1"/>
  <c r="AQ744" i="1"/>
  <c r="AS744" i="1" s="1"/>
  <c r="AQ743" i="1"/>
  <c r="AS743" i="1" s="1"/>
  <c r="AQ742" i="1"/>
  <c r="AS742" i="1" s="1"/>
  <c r="AQ741" i="1"/>
  <c r="AS741" i="1" s="1"/>
  <c r="AQ740" i="1"/>
  <c r="AS740" i="1" s="1"/>
  <c r="AQ739" i="1"/>
  <c r="AS739" i="1" s="1"/>
  <c r="AQ738" i="1"/>
  <c r="AS738" i="1" s="1"/>
  <c r="AQ737" i="1"/>
  <c r="AS737" i="1" s="1"/>
  <c r="AQ736" i="1"/>
  <c r="AS736" i="1" s="1"/>
  <c r="AQ735" i="1"/>
  <c r="AS735" i="1" s="1"/>
  <c r="AQ734" i="1"/>
  <c r="AS734" i="1" s="1"/>
  <c r="AQ733" i="1"/>
  <c r="AS733" i="1" s="1"/>
  <c r="AQ732" i="1"/>
  <c r="AS732" i="1" s="1"/>
  <c r="AQ731" i="1"/>
  <c r="AS731" i="1" s="1"/>
  <c r="AQ730" i="1"/>
  <c r="AS730" i="1" s="1"/>
  <c r="AQ729" i="1"/>
  <c r="AS729" i="1" s="1"/>
  <c r="AQ728" i="1"/>
  <c r="AS728" i="1" s="1"/>
  <c r="AQ727" i="1"/>
  <c r="AS727" i="1" s="1"/>
  <c r="AQ726" i="1"/>
  <c r="AS726" i="1" s="1"/>
  <c r="AQ725" i="1"/>
  <c r="AS725" i="1" s="1"/>
  <c r="AQ724" i="1"/>
  <c r="AS724" i="1" s="1"/>
  <c r="AQ723" i="1"/>
  <c r="AS723" i="1" s="1"/>
  <c r="AQ722" i="1"/>
  <c r="AS722" i="1" s="1"/>
  <c r="AQ721" i="1"/>
  <c r="AS721" i="1" s="1"/>
  <c r="AQ720" i="1"/>
  <c r="AS720" i="1" s="1"/>
  <c r="AQ719" i="1"/>
  <c r="AS719" i="1" s="1"/>
  <c r="AQ718" i="1"/>
  <c r="AS718" i="1" s="1"/>
  <c r="AQ717" i="1"/>
  <c r="AS717" i="1" s="1"/>
  <c r="AQ716" i="1"/>
  <c r="AS716" i="1" s="1"/>
  <c r="AQ715" i="1"/>
  <c r="AS715" i="1" s="1"/>
  <c r="AQ714" i="1"/>
  <c r="AS714" i="1" s="1"/>
  <c r="AQ713" i="1"/>
  <c r="AS713" i="1" s="1"/>
  <c r="AQ712" i="1"/>
  <c r="AS712" i="1" s="1"/>
  <c r="AQ711" i="1"/>
  <c r="AS711" i="1" s="1"/>
  <c r="AQ710" i="1"/>
  <c r="AS710" i="1" s="1"/>
  <c r="AQ709" i="1"/>
  <c r="AS709" i="1" s="1"/>
  <c r="AQ708" i="1"/>
  <c r="AS708" i="1" s="1"/>
  <c r="AQ707" i="1"/>
  <c r="AS707" i="1" s="1"/>
  <c r="AQ706" i="1"/>
  <c r="AS706" i="1" s="1"/>
  <c r="AQ705" i="1"/>
  <c r="AS705" i="1" s="1"/>
  <c r="AQ704" i="1"/>
  <c r="AS704" i="1" s="1"/>
  <c r="AQ703" i="1"/>
  <c r="AS703" i="1" s="1"/>
  <c r="AQ702" i="1"/>
  <c r="AS702" i="1" s="1"/>
  <c r="AQ701" i="1"/>
  <c r="AS701" i="1" s="1"/>
  <c r="AQ700" i="1"/>
  <c r="AS700" i="1" s="1"/>
  <c r="AQ699" i="1"/>
  <c r="AS699" i="1" s="1"/>
  <c r="AQ698" i="1"/>
  <c r="AS698" i="1" s="1"/>
  <c r="AQ697" i="1"/>
  <c r="AS697" i="1" s="1"/>
  <c r="AQ696" i="1"/>
  <c r="AS696" i="1" s="1"/>
  <c r="AQ695" i="1"/>
  <c r="AS695" i="1" s="1"/>
  <c r="AQ694" i="1"/>
  <c r="AS694" i="1" s="1"/>
  <c r="AQ693" i="1"/>
  <c r="AS693" i="1" s="1"/>
  <c r="AQ692" i="1"/>
  <c r="AS692" i="1" s="1"/>
  <c r="AQ691" i="1"/>
  <c r="AS691" i="1" s="1"/>
  <c r="AQ690" i="1"/>
  <c r="AS690" i="1" s="1"/>
  <c r="AQ689" i="1"/>
  <c r="AS689" i="1" s="1"/>
  <c r="AQ688" i="1"/>
  <c r="AS688" i="1" s="1"/>
  <c r="AQ687" i="1"/>
  <c r="AS687" i="1" s="1"/>
  <c r="AQ686" i="1"/>
  <c r="AS686" i="1" s="1"/>
  <c r="AQ685" i="1"/>
  <c r="AS685" i="1" s="1"/>
  <c r="AQ684" i="1"/>
  <c r="AS684" i="1" s="1"/>
  <c r="AQ683" i="1"/>
  <c r="AS683" i="1" s="1"/>
  <c r="AQ682" i="1"/>
  <c r="AS682" i="1" s="1"/>
  <c r="AQ681" i="1"/>
  <c r="AS681" i="1" s="1"/>
  <c r="AQ680" i="1"/>
  <c r="AS680" i="1" s="1"/>
  <c r="AQ679" i="1"/>
  <c r="AS679" i="1" s="1"/>
  <c r="AQ678" i="1"/>
  <c r="AS678" i="1" s="1"/>
  <c r="AQ677" i="1"/>
  <c r="AS677" i="1" s="1"/>
  <c r="AQ676" i="1"/>
  <c r="AS676" i="1" s="1"/>
  <c r="AQ675" i="1"/>
  <c r="AS675" i="1" s="1"/>
  <c r="AQ674" i="1"/>
  <c r="AS674" i="1" s="1"/>
  <c r="AQ673" i="1"/>
  <c r="AS673" i="1" s="1"/>
  <c r="AQ672" i="1"/>
  <c r="AS672" i="1" s="1"/>
  <c r="AQ671" i="1"/>
  <c r="AS671" i="1" s="1"/>
  <c r="AQ670" i="1"/>
  <c r="AS670" i="1" s="1"/>
  <c r="AQ669" i="1"/>
  <c r="AS669" i="1" s="1"/>
  <c r="AQ668" i="1"/>
  <c r="AS668" i="1" s="1"/>
  <c r="AQ667" i="1"/>
  <c r="AS667" i="1" s="1"/>
  <c r="AQ666" i="1"/>
  <c r="AS666" i="1" s="1"/>
  <c r="AQ665" i="1"/>
  <c r="AS665" i="1" s="1"/>
  <c r="AQ664" i="1"/>
  <c r="AS664" i="1" s="1"/>
  <c r="AQ663" i="1"/>
  <c r="AS663" i="1" s="1"/>
  <c r="AQ662" i="1"/>
  <c r="AS662" i="1" s="1"/>
  <c r="AQ661" i="1"/>
  <c r="AS661" i="1" s="1"/>
  <c r="AQ660" i="1"/>
  <c r="AS660" i="1" s="1"/>
  <c r="AQ659" i="1"/>
  <c r="AS659" i="1" s="1"/>
  <c r="AQ658" i="1"/>
  <c r="AS658" i="1" s="1"/>
  <c r="AQ657" i="1"/>
  <c r="AS657" i="1" s="1"/>
  <c r="AQ656" i="1"/>
  <c r="AS656" i="1" s="1"/>
  <c r="AQ655" i="1"/>
  <c r="AS655" i="1" s="1"/>
  <c r="AQ654" i="1"/>
  <c r="AS654" i="1" s="1"/>
  <c r="AQ653" i="1"/>
  <c r="AS653" i="1" s="1"/>
  <c r="AQ652" i="1"/>
  <c r="AS652" i="1" s="1"/>
  <c r="AQ651" i="1"/>
  <c r="AS651" i="1" s="1"/>
  <c r="AQ650" i="1"/>
  <c r="AS650" i="1" s="1"/>
  <c r="AQ649" i="1"/>
  <c r="AS649" i="1" s="1"/>
  <c r="AQ648" i="1"/>
  <c r="AS648" i="1" s="1"/>
  <c r="AQ647" i="1"/>
  <c r="AS647" i="1" s="1"/>
  <c r="AQ646" i="1"/>
  <c r="AS646" i="1" s="1"/>
  <c r="AQ645" i="1"/>
  <c r="AS645" i="1" s="1"/>
  <c r="AQ644" i="1"/>
  <c r="AS644" i="1" s="1"/>
  <c r="AQ643" i="1"/>
  <c r="AS643" i="1" s="1"/>
  <c r="AQ642" i="1"/>
  <c r="AS642" i="1" s="1"/>
  <c r="AQ641" i="1"/>
  <c r="AS641" i="1" s="1"/>
  <c r="AQ640" i="1"/>
  <c r="AS640" i="1" s="1"/>
  <c r="AQ639" i="1"/>
  <c r="AS639" i="1" s="1"/>
  <c r="AQ638" i="1"/>
  <c r="AS638" i="1" s="1"/>
  <c r="AQ637" i="1"/>
  <c r="AS637" i="1" s="1"/>
  <c r="AQ636" i="1"/>
  <c r="AS636" i="1" s="1"/>
  <c r="AQ635" i="1"/>
  <c r="AS635" i="1" s="1"/>
  <c r="AQ634" i="1"/>
  <c r="AS634" i="1" s="1"/>
  <c r="AQ633" i="1"/>
  <c r="AS633" i="1" s="1"/>
  <c r="AQ632" i="1"/>
  <c r="AS632" i="1" s="1"/>
  <c r="AQ631" i="1"/>
  <c r="AS631" i="1" s="1"/>
  <c r="AQ630" i="1"/>
  <c r="AS630" i="1" s="1"/>
  <c r="AQ629" i="1"/>
  <c r="AS629" i="1" s="1"/>
  <c r="AQ628" i="1"/>
  <c r="AS628" i="1" s="1"/>
  <c r="AQ627" i="1"/>
  <c r="AS627" i="1" s="1"/>
  <c r="AQ626" i="1"/>
  <c r="AS626" i="1" s="1"/>
  <c r="AQ625" i="1"/>
  <c r="AS625" i="1" s="1"/>
  <c r="AQ624" i="1"/>
  <c r="AS624" i="1" s="1"/>
  <c r="AQ623" i="1"/>
  <c r="AS623" i="1" s="1"/>
  <c r="AQ622" i="1"/>
  <c r="AS622" i="1" s="1"/>
  <c r="AQ621" i="1"/>
  <c r="AS621" i="1" s="1"/>
  <c r="AQ620" i="1"/>
  <c r="AS620" i="1" s="1"/>
  <c r="AQ619" i="1"/>
  <c r="AS619" i="1" s="1"/>
  <c r="AQ618" i="1"/>
  <c r="AS618" i="1" s="1"/>
  <c r="AQ617" i="1"/>
  <c r="AS617" i="1" s="1"/>
  <c r="AQ616" i="1"/>
  <c r="AS616" i="1" s="1"/>
  <c r="AQ615" i="1"/>
  <c r="AS615" i="1" s="1"/>
  <c r="AQ614" i="1"/>
  <c r="AS614" i="1" s="1"/>
  <c r="AQ613" i="1"/>
  <c r="AS613" i="1" s="1"/>
  <c r="AQ612" i="1"/>
  <c r="AS612" i="1" s="1"/>
  <c r="AQ611" i="1"/>
  <c r="AS611" i="1" s="1"/>
  <c r="AQ610" i="1"/>
  <c r="AS610" i="1" s="1"/>
  <c r="AQ609" i="1"/>
  <c r="AS609" i="1" s="1"/>
  <c r="AQ608" i="1"/>
  <c r="AS608" i="1" s="1"/>
  <c r="AQ607" i="1"/>
  <c r="AS607" i="1" s="1"/>
  <c r="AQ606" i="1"/>
  <c r="AS606" i="1" s="1"/>
  <c r="AQ605" i="1"/>
  <c r="AS605" i="1" s="1"/>
  <c r="AQ604" i="1"/>
  <c r="AS604" i="1" s="1"/>
  <c r="AQ603" i="1"/>
  <c r="AS603" i="1" s="1"/>
  <c r="AQ602" i="1"/>
  <c r="AS602" i="1" s="1"/>
  <c r="AQ601" i="1"/>
  <c r="AS601" i="1" s="1"/>
  <c r="AQ600" i="1"/>
  <c r="AS600" i="1" s="1"/>
  <c r="AQ599" i="1"/>
  <c r="AS599" i="1" s="1"/>
  <c r="AQ598" i="1"/>
  <c r="AS598" i="1" s="1"/>
  <c r="AQ597" i="1"/>
  <c r="AS597" i="1" s="1"/>
  <c r="AQ596" i="1"/>
  <c r="AS596" i="1" s="1"/>
  <c r="AQ595" i="1"/>
  <c r="AS595" i="1" s="1"/>
  <c r="AQ594" i="1"/>
  <c r="AS594" i="1" s="1"/>
  <c r="AQ593" i="1"/>
  <c r="AS593" i="1" s="1"/>
  <c r="AQ592" i="1"/>
  <c r="AS592" i="1" s="1"/>
  <c r="AQ591" i="1"/>
  <c r="AS591" i="1" s="1"/>
  <c r="AQ590" i="1"/>
  <c r="AS590" i="1" s="1"/>
  <c r="AQ589" i="1"/>
  <c r="AS589" i="1" s="1"/>
  <c r="AQ588" i="1"/>
  <c r="AS588" i="1" s="1"/>
  <c r="AQ587" i="1"/>
  <c r="AS587" i="1" s="1"/>
  <c r="AQ586" i="1"/>
  <c r="AS586" i="1" s="1"/>
  <c r="AQ585" i="1"/>
  <c r="AS585" i="1" s="1"/>
  <c r="AQ584" i="1"/>
  <c r="AS584" i="1" s="1"/>
  <c r="AQ583" i="1"/>
  <c r="AS583" i="1" s="1"/>
  <c r="AQ582" i="1"/>
  <c r="AS582" i="1" s="1"/>
  <c r="AQ581" i="1"/>
  <c r="AS581" i="1" s="1"/>
  <c r="AQ580" i="1"/>
  <c r="AS580" i="1" s="1"/>
  <c r="AQ579" i="1"/>
  <c r="AS579" i="1" s="1"/>
  <c r="AQ578" i="1"/>
  <c r="AS578" i="1" s="1"/>
  <c r="AQ577" i="1"/>
  <c r="AS577" i="1" s="1"/>
  <c r="AQ576" i="1"/>
  <c r="AS576" i="1" s="1"/>
  <c r="AQ575" i="1"/>
  <c r="AS575" i="1" s="1"/>
  <c r="AQ574" i="1"/>
  <c r="AS574" i="1" s="1"/>
  <c r="AQ573" i="1"/>
  <c r="AS573" i="1" s="1"/>
  <c r="AQ572" i="1"/>
  <c r="AS572" i="1" s="1"/>
  <c r="AQ571" i="1"/>
  <c r="AS571" i="1" s="1"/>
  <c r="AQ570" i="1"/>
  <c r="AS570" i="1" s="1"/>
  <c r="AQ569" i="1"/>
  <c r="AS569" i="1" s="1"/>
  <c r="AQ568" i="1"/>
  <c r="AS568" i="1" s="1"/>
  <c r="AQ567" i="1"/>
  <c r="AS567" i="1" s="1"/>
  <c r="AQ566" i="1"/>
  <c r="AS566" i="1" s="1"/>
  <c r="AQ565" i="1"/>
  <c r="AS565" i="1" s="1"/>
  <c r="AQ564" i="1"/>
  <c r="AS564" i="1" s="1"/>
  <c r="AQ563" i="1"/>
  <c r="AS563" i="1" s="1"/>
  <c r="AQ562" i="1"/>
  <c r="AS562" i="1" s="1"/>
  <c r="AQ561" i="1"/>
  <c r="AS561" i="1" s="1"/>
  <c r="AQ560" i="1"/>
  <c r="AS560" i="1" s="1"/>
  <c r="AQ559" i="1"/>
  <c r="AS559" i="1" s="1"/>
  <c r="AQ558" i="1"/>
  <c r="AS558" i="1" s="1"/>
  <c r="AQ557" i="1"/>
  <c r="AS557" i="1" s="1"/>
  <c r="AQ556" i="1"/>
  <c r="AS556" i="1" s="1"/>
  <c r="AQ555" i="1"/>
  <c r="AS555" i="1" s="1"/>
  <c r="AQ554" i="1"/>
  <c r="AS554" i="1" s="1"/>
  <c r="AQ553" i="1"/>
  <c r="AS553" i="1" s="1"/>
  <c r="AQ552" i="1"/>
  <c r="AS552" i="1" s="1"/>
  <c r="AQ551" i="1"/>
  <c r="AS551" i="1" s="1"/>
  <c r="AQ550" i="1"/>
  <c r="AS550" i="1" s="1"/>
  <c r="AQ549" i="1"/>
  <c r="AS549" i="1" s="1"/>
  <c r="AQ548" i="1"/>
  <c r="AS548" i="1" s="1"/>
  <c r="AQ547" i="1"/>
  <c r="AS547" i="1" s="1"/>
  <c r="AQ546" i="1"/>
  <c r="AS546" i="1" s="1"/>
  <c r="AQ545" i="1"/>
  <c r="AS545" i="1" s="1"/>
  <c r="AQ544" i="1"/>
  <c r="AS544" i="1" s="1"/>
  <c r="AQ543" i="1"/>
  <c r="AS543" i="1" s="1"/>
  <c r="AQ542" i="1"/>
  <c r="AS542" i="1" s="1"/>
  <c r="AQ541" i="1"/>
  <c r="AS541" i="1" s="1"/>
  <c r="AQ540" i="1"/>
  <c r="AS540" i="1" s="1"/>
  <c r="AQ539" i="1"/>
  <c r="AS539" i="1" s="1"/>
  <c r="AQ538" i="1"/>
  <c r="AS538" i="1" s="1"/>
  <c r="AQ537" i="1"/>
  <c r="AS537" i="1" s="1"/>
  <c r="AQ536" i="1"/>
  <c r="AS536" i="1" s="1"/>
  <c r="AQ535" i="1"/>
  <c r="AS535" i="1" s="1"/>
  <c r="AQ534" i="1"/>
  <c r="AS534" i="1" s="1"/>
  <c r="AQ533" i="1"/>
  <c r="AS533" i="1" s="1"/>
  <c r="AQ532" i="1"/>
  <c r="AS532" i="1" s="1"/>
  <c r="AQ531" i="1"/>
  <c r="AS531" i="1" s="1"/>
  <c r="AQ530" i="1"/>
  <c r="AS530" i="1" s="1"/>
  <c r="AQ529" i="1"/>
  <c r="AS529" i="1" s="1"/>
  <c r="AQ528" i="1"/>
  <c r="AS528" i="1" s="1"/>
  <c r="AQ527" i="1"/>
  <c r="AS527" i="1" s="1"/>
  <c r="AQ526" i="1"/>
  <c r="AS526" i="1" s="1"/>
  <c r="AQ525" i="1"/>
  <c r="AS525" i="1" s="1"/>
  <c r="AQ524" i="1"/>
  <c r="AS524" i="1" s="1"/>
  <c r="AQ523" i="1"/>
  <c r="AS523" i="1" s="1"/>
  <c r="AQ522" i="1"/>
  <c r="AS522" i="1" s="1"/>
  <c r="AQ521" i="1"/>
  <c r="AS521" i="1" s="1"/>
  <c r="AQ520" i="1"/>
  <c r="AS520" i="1" s="1"/>
  <c r="AQ519" i="1"/>
  <c r="AS519" i="1" s="1"/>
  <c r="AQ518" i="1"/>
  <c r="AS518" i="1" s="1"/>
  <c r="AQ517" i="1"/>
  <c r="AS517" i="1" s="1"/>
  <c r="AQ516" i="1"/>
  <c r="AS516" i="1" s="1"/>
  <c r="AQ515" i="1"/>
  <c r="AS515" i="1" s="1"/>
  <c r="AQ514" i="1"/>
  <c r="AS514" i="1" s="1"/>
  <c r="AQ513" i="1"/>
  <c r="AS513" i="1" s="1"/>
  <c r="AQ512" i="1"/>
  <c r="AS512" i="1" s="1"/>
  <c r="AQ511" i="1"/>
  <c r="AS511" i="1" s="1"/>
  <c r="AQ510" i="1"/>
  <c r="AS510" i="1" s="1"/>
  <c r="AQ509" i="1"/>
  <c r="AS509" i="1" s="1"/>
  <c r="AQ508" i="1"/>
  <c r="AS508" i="1" s="1"/>
  <c r="AQ507" i="1"/>
  <c r="AS507" i="1" s="1"/>
  <c r="AQ506" i="1"/>
  <c r="AS506" i="1" s="1"/>
  <c r="AQ505" i="1"/>
  <c r="AS505" i="1" s="1"/>
  <c r="AQ504" i="1"/>
  <c r="AS504" i="1" s="1"/>
  <c r="AQ503" i="1"/>
  <c r="AS503" i="1" s="1"/>
  <c r="AQ502" i="1"/>
  <c r="AS502" i="1" s="1"/>
  <c r="AQ501" i="1"/>
  <c r="AS501" i="1" s="1"/>
  <c r="AQ500" i="1"/>
  <c r="AS500" i="1" s="1"/>
  <c r="AQ499" i="1"/>
  <c r="AS499" i="1" s="1"/>
  <c r="AQ498" i="1"/>
  <c r="AS498" i="1" s="1"/>
  <c r="AQ497" i="1"/>
  <c r="AS497" i="1" s="1"/>
  <c r="AQ496" i="1"/>
  <c r="AS496" i="1" s="1"/>
  <c r="AQ495" i="1"/>
  <c r="AS495" i="1" s="1"/>
  <c r="AQ494" i="1"/>
  <c r="AS494" i="1" s="1"/>
  <c r="AQ493" i="1"/>
  <c r="AS493" i="1" s="1"/>
  <c r="AQ492" i="1"/>
  <c r="AS492" i="1" s="1"/>
  <c r="AQ491" i="1"/>
  <c r="AS491" i="1" s="1"/>
  <c r="AQ490" i="1"/>
  <c r="AS490" i="1" s="1"/>
  <c r="AQ489" i="1"/>
  <c r="AS489" i="1" s="1"/>
  <c r="AQ488" i="1"/>
  <c r="AS488" i="1" s="1"/>
  <c r="AQ487" i="1"/>
  <c r="AS487" i="1" s="1"/>
  <c r="AQ486" i="1"/>
  <c r="AS486" i="1" s="1"/>
  <c r="AQ485" i="1"/>
  <c r="AS485" i="1" s="1"/>
  <c r="AQ484" i="1"/>
  <c r="AS484" i="1" s="1"/>
  <c r="AQ483" i="1"/>
  <c r="AS483" i="1" s="1"/>
  <c r="AQ482" i="1"/>
  <c r="AS482" i="1" s="1"/>
  <c r="AQ481" i="1"/>
  <c r="AS481" i="1" s="1"/>
  <c r="AQ480" i="1"/>
  <c r="AS480" i="1" s="1"/>
  <c r="AQ479" i="1"/>
  <c r="AS479" i="1" s="1"/>
  <c r="AQ478" i="1"/>
  <c r="AS478" i="1" s="1"/>
  <c r="AQ477" i="1"/>
  <c r="AS477" i="1" s="1"/>
  <c r="AQ476" i="1"/>
  <c r="AS476" i="1" s="1"/>
  <c r="AQ475" i="1"/>
  <c r="AS475" i="1" s="1"/>
  <c r="AQ474" i="1"/>
  <c r="AS474" i="1" s="1"/>
  <c r="AQ473" i="1"/>
  <c r="AS473" i="1" s="1"/>
  <c r="AQ472" i="1"/>
  <c r="AS472" i="1" s="1"/>
  <c r="AQ471" i="1"/>
  <c r="AS471" i="1" s="1"/>
  <c r="AQ470" i="1"/>
  <c r="AS470" i="1" s="1"/>
  <c r="AQ469" i="1"/>
  <c r="AS469" i="1" s="1"/>
  <c r="AQ468" i="1"/>
  <c r="AS468" i="1" s="1"/>
  <c r="AQ467" i="1"/>
  <c r="AS467" i="1" s="1"/>
  <c r="AQ466" i="1"/>
  <c r="AS466" i="1" s="1"/>
  <c r="AQ465" i="1"/>
  <c r="AS465" i="1" s="1"/>
  <c r="AQ464" i="1"/>
  <c r="AS464" i="1" s="1"/>
  <c r="AQ463" i="1"/>
  <c r="AS463" i="1" s="1"/>
  <c r="AQ462" i="1"/>
  <c r="AS462" i="1" s="1"/>
  <c r="AQ461" i="1"/>
  <c r="AS461" i="1" s="1"/>
  <c r="AQ460" i="1"/>
  <c r="AS460" i="1" s="1"/>
  <c r="AQ459" i="1"/>
  <c r="AS459" i="1" s="1"/>
  <c r="AQ458" i="1"/>
  <c r="AS458" i="1" s="1"/>
  <c r="AQ457" i="1"/>
  <c r="AS457" i="1" s="1"/>
  <c r="AQ456" i="1"/>
  <c r="AS456" i="1" s="1"/>
  <c r="AQ455" i="1"/>
  <c r="AS455" i="1" s="1"/>
  <c r="AQ454" i="1"/>
  <c r="AS454" i="1" s="1"/>
  <c r="AQ453" i="1"/>
  <c r="AS453" i="1" s="1"/>
  <c r="AQ452" i="1"/>
  <c r="AS452" i="1" s="1"/>
  <c r="AQ451" i="1"/>
  <c r="AS451" i="1" s="1"/>
  <c r="AQ450" i="1"/>
  <c r="AS450" i="1" s="1"/>
  <c r="AQ449" i="1"/>
  <c r="AS449" i="1" s="1"/>
  <c r="AQ448" i="1"/>
  <c r="AS448" i="1" s="1"/>
  <c r="AQ447" i="1"/>
  <c r="AS447" i="1" s="1"/>
  <c r="AQ446" i="1"/>
  <c r="AS446" i="1" s="1"/>
  <c r="AQ445" i="1"/>
  <c r="AS445" i="1" s="1"/>
  <c r="AQ444" i="1"/>
  <c r="AS444" i="1" s="1"/>
  <c r="AQ443" i="1"/>
  <c r="AS443" i="1" s="1"/>
  <c r="AQ442" i="1"/>
  <c r="AS442" i="1" s="1"/>
  <c r="AQ441" i="1"/>
  <c r="AS441" i="1" s="1"/>
  <c r="AQ440" i="1"/>
  <c r="AS440" i="1" s="1"/>
  <c r="AQ439" i="1"/>
  <c r="AS439" i="1" s="1"/>
  <c r="AQ438" i="1"/>
  <c r="AS438" i="1" s="1"/>
  <c r="AQ437" i="1"/>
  <c r="AS437" i="1" s="1"/>
  <c r="AQ436" i="1"/>
  <c r="AS436" i="1" s="1"/>
  <c r="AQ435" i="1"/>
  <c r="AS435" i="1" s="1"/>
  <c r="AQ434" i="1"/>
  <c r="AS434" i="1" s="1"/>
  <c r="AQ433" i="1"/>
  <c r="AS433" i="1" s="1"/>
  <c r="AQ432" i="1"/>
  <c r="AS432" i="1" s="1"/>
  <c r="AQ431" i="1"/>
  <c r="AS431" i="1" s="1"/>
  <c r="AQ430" i="1"/>
  <c r="AS430" i="1" s="1"/>
  <c r="AQ429" i="1"/>
  <c r="AS429" i="1" s="1"/>
  <c r="AQ428" i="1"/>
  <c r="AS428" i="1" s="1"/>
  <c r="AQ427" i="1"/>
  <c r="AS427" i="1" s="1"/>
  <c r="AQ426" i="1"/>
  <c r="AS426" i="1" s="1"/>
  <c r="AQ425" i="1"/>
  <c r="AS425" i="1" s="1"/>
  <c r="AQ424" i="1"/>
  <c r="AS424" i="1" s="1"/>
  <c r="AQ423" i="1"/>
  <c r="AS423" i="1" s="1"/>
  <c r="AQ422" i="1"/>
  <c r="AS422" i="1" s="1"/>
  <c r="AQ421" i="1"/>
  <c r="AS421" i="1" s="1"/>
  <c r="AQ420" i="1"/>
  <c r="AS420" i="1" s="1"/>
  <c r="AQ419" i="1"/>
  <c r="AS419" i="1" s="1"/>
  <c r="AQ418" i="1"/>
  <c r="AS418" i="1" s="1"/>
  <c r="AQ417" i="1"/>
  <c r="AS417" i="1" s="1"/>
  <c r="AQ416" i="1"/>
  <c r="AS416" i="1" s="1"/>
  <c r="AQ415" i="1"/>
  <c r="AS415" i="1" s="1"/>
  <c r="AQ414" i="1"/>
  <c r="AS414" i="1" s="1"/>
  <c r="AQ413" i="1"/>
  <c r="AS413" i="1" s="1"/>
  <c r="AQ412" i="1"/>
  <c r="AS412" i="1" s="1"/>
  <c r="AQ411" i="1"/>
  <c r="AS411" i="1" s="1"/>
  <c r="AQ410" i="1"/>
  <c r="AS410" i="1" s="1"/>
  <c r="AQ409" i="1"/>
  <c r="AS409" i="1" s="1"/>
  <c r="AQ408" i="1"/>
  <c r="AS408" i="1" s="1"/>
  <c r="AQ407" i="1"/>
  <c r="AS407" i="1" s="1"/>
  <c r="AQ406" i="1"/>
  <c r="AS406" i="1" s="1"/>
  <c r="AQ405" i="1"/>
  <c r="AS405" i="1" s="1"/>
  <c r="AQ404" i="1"/>
  <c r="AS404" i="1" s="1"/>
  <c r="AQ403" i="1"/>
  <c r="AS403" i="1" s="1"/>
  <c r="AQ402" i="1"/>
  <c r="AS402" i="1" s="1"/>
  <c r="AQ401" i="1"/>
  <c r="AS401" i="1" s="1"/>
  <c r="AQ400" i="1"/>
  <c r="AS400" i="1" s="1"/>
  <c r="AQ399" i="1"/>
  <c r="AS399" i="1" s="1"/>
  <c r="AQ398" i="1"/>
  <c r="AS398" i="1" s="1"/>
  <c r="AQ397" i="1"/>
  <c r="AS397" i="1" s="1"/>
  <c r="AQ396" i="1"/>
  <c r="AS396" i="1" s="1"/>
  <c r="AQ395" i="1"/>
  <c r="AS395" i="1" s="1"/>
  <c r="AQ394" i="1"/>
  <c r="AS394" i="1" s="1"/>
  <c r="AQ393" i="1"/>
  <c r="AS393" i="1" s="1"/>
  <c r="AQ392" i="1"/>
  <c r="AS392" i="1" s="1"/>
  <c r="AQ391" i="1"/>
  <c r="AS391" i="1" s="1"/>
  <c r="AQ390" i="1"/>
  <c r="AS390" i="1" s="1"/>
  <c r="AQ389" i="1"/>
  <c r="AS389" i="1" s="1"/>
  <c r="AQ388" i="1"/>
  <c r="AS388" i="1" s="1"/>
  <c r="AQ387" i="1"/>
  <c r="AS387" i="1" s="1"/>
  <c r="AQ386" i="1"/>
  <c r="AS386" i="1" s="1"/>
  <c r="AQ385" i="1"/>
  <c r="AS385" i="1" s="1"/>
  <c r="AQ384" i="1"/>
  <c r="AS384" i="1" s="1"/>
  <c r="AQ383" i="1"/>
  <c r="AS383" i="1" s="1"/>
  <c r="AQ382" i="1"/>
  <c r="AS382" i="1" s="1"/>
  <c r="AQ381" i="1"/>
  <c r="AS381" i="1" s="1"/>
  <c r="AQ380" i="1"/>
  <c r="AS380" i="1" s="1"/>
  <c r="AQ379" i="1"/>
  <c r="AS379" i="1" s="1"/>
  <c r="AQ378" i="1"/>
  <c r="AS378" i="1" s="1"/>
  <c r="AQ377" i="1"/>
  <c r="AS377" i="1" s="1"/>
  <c r="AQ376" i="1"/>
  <c r="AS376" i="1" s="1"/>
  <c r="AQ375" i="1"/>
  <c r="AS375" i="1" s="1"/>
  <c r="AQ374" i="1"/>
  <c r="AS374" i="1" s="1"/>
  <c r="AQ373" i="1"/>
  <c r="AS373" i="1" s="1"/>
  <c r="AQ372" i="1"/>
  <c r="AS372" i="1" s="1"/>
  <c r="AQ371" i="1"/>
  <c r="AS371" i="1" s="1"/>
  <c r="AQ370" i="1"/>
  <c r="AS370" i="1" s="1"/>
  <c r="AQ369" i="1"/>
  <c r="AS369" i="1" s="1"/>
  <c r="AQ368" i="1"/>
  <c r="AS368" i="1" s="1"/>
  <c r="AQ367" i="1"/>
  <c r="AS367" i="1" s="1"/>
  <c r="AQ366" i="1"/>
  <c r="AS366" i="1" s="1"/>
  <c r="AQ365" i="1"/>
  <c r="AS365" i="1" s="1"/>
  <c r="AQ364" i="1"/>
  <c r="AS364" i="1" s="1"/>
  <c r="AQ363" i="1"/>
  <c r="AS363" i="1" s="1"/>
  <c r="AQ362" i="1"/>
  <c r="AS362" i="1" s="1"/>
  <c r="AQ361" i="1"/>
  <c r="AS361" i="1" s="1"/>
  <c r="AQ360" i="1"/>
  <c r="AS360" i="1" s="1"/>
  <c r="AQ359" i="1"/>
  <c r="AS359" i="1" s="1"/>
  <c r="AQ358" i="1"/>
  <c r="AS358" i="1" s="1"/>
  <c r="AQ357" i="1"/>
  <c r="AS357" i="1" s="1"/>
  <c r="AQ356" i="1"/>
  <c r="AS356" i="1" s="1"/>
  <c r="AQ355" i="1"/>
  <c r="AS355" i="1" s="1"/>
  <c r="AQ354" i="1"/>
  <c r="AS354" i="1" s="1"/>
  <c r="AQ353" i="1"/>
  <c r="AS353" i="1" s="1"/>
  <c r="AQ352" i="1"/>
  <c r="AS352" i="1" s="1"/>
  <c r="AQ351" i="1"/>
  <c r="AS351" i="1" s="1"/>
  <c r="AQ350" i="1"/>
  <c r="AS350" i="1" s="1"/>
  <c r="AQ349" i="1"/>
  <c r="AS349" i="1" s="1"/>
  <c r="AQ348" i="1"/>
  <c r="AS348" i="1" s="1"/>
  <c r="AQ347" i="1"/>
  <c r="AS347" i="1" s="1"/>
  <c r="AQ346" i="1"/>
  <c r="AS346" i="1" s="1"/>
  <c r="AQ345" i="1"/>
  <c r="AS345" i="1" s="1"/>
  <c r="AQ344" i="1"/>
  <c r="AS344" i="1" s="1"/>
  <c r="AQ343" i="1"/>
  <c r="AS343" i="1" s="1"/>
  <c r="AQ342" i="1"/>
  <c r="AS342" i="1" s="1"/>
  <c r="AQ341" i="1"/>
  <c r="AS341" i="1" s="1"/>
  <c r="AQ340" i="1"/>
  <c r="AS340" i="1" s="1"/>
  <c r="AQ339" i="1"/>
  <c r="AS339" i="1" s="1"/>
  <c r="AQ338" i="1"/>
  <c r="AS338" i="1" s="1"/>
  <c r="AQ337" i="1"/>
  <c r="AS337" i="1" s="1"/>
  <c r="AQ336" i="1"/>
  <c r="AS336" i="1" s="1"/>
  <c r="AQ335" i="1"/>
  <c r="AS335" i="1" s="1"/>
  <c r="AQ334" i="1"/>
  <c r="AS334" i="1" s="1"/>
  <c r="AQ333" i="1"/>
  <c r="AS333" i="1" s="1"/>
  <c r="AQ332" i="1"/>
  <c r="AS332" i="1" s="1"/>
  <c r="AQ331" i="1"/>
  <c r="AS331" i="1" s="1"/>
  <c r="AQ330" i="1"/>
  <c r="AS330" i="1" s="1"/>
  <c r="AQ329" i="1"/>
  <c r="AS329" i="1" s="1"/>
  <c r="AQ328" i="1"/>
  <c r="AS328" i="1" s="1"/>
  <c r="AQ327" i="1"/>
  <c r="AS327" i="1" s="1"/>
  <c r="AQ326" i="1"/>
  <c r="AS326" i="1" s="1"/>
  <c r="AQ325" i="1"/>
  <c r="AS325" i="1" s="1"/>
  <c r="AQ324" i="1"/>
  <c r="AS324" i="1" s="1"/>
  <c r="AQ323" i="1"/>
  <c r="AS323" i="1" s="1"/>
  <c r="AQ322" i="1"/>
  <c r="AS322" i="1" s="1"/>
  <c r="AQ321" i="1"/>
  <c r="AS321" i="1" s="1"/>
  <c r="AQ320" i="1"/>
  <c r="AS320" i="1" s="1"/>
  <c r="AQ319" i="1"/>
  <c r="AS319" i="1" s="1"/>
  <c r="AQ318" i="1"/>
  <c r="AS318" i="1" s="1"/>
  <c r="AQ317" i="1"/>
  <c r="AS317" i="1" s="1"/>
  <c r="AQ316" i="1"/>
  <c r="AS316" i="1" s="1"/>
  <c r="AQ315" i="1"/>
  <c r="AS315" i="1" s="1"/>
  <c r="AQ314" i="1"/>
  <c r="AS314" i="1" s="1"/>
  <c r="AQ313" i="1"/>
  <c r="AS313" i="1" s="1"/>
  <c r="AQ312" i="1"/>
  <c r="AS312" i="1" s="1"/>
  <c r="AQ311" i="1"/>
  <c r="AS311" i="1" s="1"/>
  <c r="AQ310" i="1"/>
  <c r="AS310" i="1" s="1"/>
  <c r="AQ309" i="1"/>
  <c r="AS309" i="1" s="1"/>
  <c r="AQ308" i="1"/>
  <c r="AS308" i="1" s="1"/>
  <c r="AQ307" i="1"/>
  <c r="AS307" i="1" s="1"/>
  <c r="AQ306" i="1"/>
  <c r="AS306" i="1" s="1"/>
  <c r="AQ305" i="1"/>
  <c r="AS305" i="1" s="1"/>
  <c r="AQ304" i="1"/>
  <c r="AS304" i="1" s="1"/>
  <c r="AQ303" i="1"/>
  <c r="AS303" i="1" s="1"/>
  <c r="AQ302" i="1"/>
  <c r="AS302" i="1" s="1"/>
  <c r="AQ301" i="1"/>
  <c r="AS301" i="1" s="1"/>
  <c r="AQ300" i="1"/>
  <c r="AS300" i="1" s="1"/>
  <c r="AQ299" i="1"/>
  <c r="AS299" i="1" s="1"/>
  <c r="AQ298" i="1"/>
  <c r="AS298" i="1" s="1"/>
  <c r="AQ297" i="1"/>
  <c r="AS297" i="1" s="1"/>
  <c r="AQ296" i="1"/>
  <c r="AS296" i="1" s="1"/>
  <c r="AQ295" i="1"/>
  <c r="AS295" i="1" s="1"/>
  <c r="AQ294" i="1"/>
  <c r="AS294" i="1" s="1"/>
  <c r="AQ293" i="1"/>
  <c r="AS293" i="1" s="1"/>
  <c r="AQ292" i="1"/>
  <c r="AS292" i="1" s="1"/>
  <c r="AQ291" i="1"/>
  <c r="AS291" i="1" s="1"/>
  <c r="AQ290" i="1"/>
  <c r="AS290" i="1" s="1"/>
  <c r="AQ289" i="1"/>
  <c r="AS289" i="1" s="1"/>
  <c r="AQ288" i="1"/>
  <c r="AS288" i="1" s="1"/>
  <c r="AQ287" i="1"/>
  <c r="AS287" i="1" s="1"/>
  <c r="AQ286" i="1"/>
  <c r="AS286" i="1" s="1"/>
  <c r="AQ285" i="1"/>
  <c r="AS285" i="1" s="1"/>
  <c r="AQ284" i="1"/>
  <c r="AS284" i="1" s="1"/>
  <c r="AQ283" i="1"/>
  <c r="AS283" i="1" s="1"/>
  <c r="AQ282" i="1"/>
  <c r="AS282" i="1" s="1"/>
  <c r="AQ281" i="1"/>
  <c r="AS281" i="1" s="1"/>
  <c r="AQ280" i="1"/>
  <c r="AS280" i="1" s="1"/>
  <c r="AQ279" i="1"/>
  <c r="AS279" i="1" s="1"/>
  <c r="AQ278" i="1"/>
  <c r="AS278" i="1" s="1"/>
  <c r="AQ277" i="1"/>
  <c r="AS277" i="1" s="1"/>
  <c r="AQ276" i="1"/>
  <c r="AS276" i="1" s="1"/>
  <c r="AQ275" i="1"/>
  <c r="AS275" i="1" s="1"/>
  <c r="AQ274" i="1"/>
  <c r="AS274" i="1" s="1"/>
  <c r="AQ273" i="1"/>
  <c r="AS273" i="1" s="1"/>
  <c r="AQ272" i="1"/>
  <c r="AS272" i="1" s="1"/>
  <c r="AQ271" i="1"/>
  <c r="AS271" i="1" s="1"/>
  <c r="AQ270" i="1"/>
  <c r="AS270" i="1" s="1"/>
  <c r="AQ269" i="1"/>
  <c r="AS269" i="1" s="1"/>
  <c r="AQ268" i="1"/>
  <c r="AS268" i="1" s="1"/>
  <c r="AQ267" i="1"/>
  <c r="AS267" i="1" s="1"/>
  <c r="AQ266" i="1"/>
  <c r="AS266" i="1" s="1"/>
  <c r="AQ265" i="1"/>
  <c r="AS265" i="1" s="1"/>
  <c r="AQ264" i="1"/>
  <c r="AS264" i="1" s="1"/>
  <c r="AQ263" i="1"/>
  <c r="AS263" i="1" s="1"/>
  <c r="AQ262" i="1"/>
  <c r="AS262" i="1" s="1"/>
  <c r="AQ261" i="1"/>
  <c r="AS261" i="1" s="1"/>
  <c r="AQ260" i="1"/>
  <c r="AS260" i="1" s="1"/>
  <c r="AQ259" i="1"/>
  <c r="AS259" i="1" s="1"/>
  <c r="AQ258" i="1"/>
  <c r="AS258" i="1" s="1"/>
  <c r="AQ257" i="1"/>
  <c r="AS257" i="1" s="1"/>
  <c r="AQ256" i="1"/>
  <c r="AS256" i="1" s="1"/>
  <c r="AQ255" i="1"/>
  <c r="AS255" i="1" s="1"/>
  <c r="AQ254" i="1"/>
  <c r="AS254" i="1" s="1"/>
  <c r="AQ253" i="1"/>
  <c r="AS253" i="1" s="1"/>
  <c r="AQ252" i="1"/>
  <c r="AS252" i="1" s="1"/>
  <c r="AQ251" i="1"/>
  <c r="AS251" i="1" s="1"/>
  <c r="AQ250" i="1"/>
  <c r="AS250" i="1" s="1"/>
  <c r="AQ249" i="1"/>
  <c r="AS249" i="1" s="1"/>
  <c r="AQ248" i="1"/>
  <c r="AS248" i="1" s="1"/>
  <c r="AQ247" i="1"/>
  <c r="AS247" i="1" s="1"/>
  <c r="AQ246" i="1"/>
  <c r="AS246" i="1" s="1"/>
  <c r="AQ245" i="1"/>
  <c r="AS245" i="1" s="1"/>
  <c r="AQ244" i="1"/>
  <c r="AS244" i="1" s="1"/>
  <c r="AQ243" i="1"/>
  <c r="AS243" i="1" s="1"/>
  <c r="AQ242" i="1"/>
  <c r="AS242" i="1" s="1"/>
  <c r="AQ241" i="1"/>
  <c r="AS241" i="1" s="1"/>
  <c r="AQ240" i="1"/>
  <c r="AS240" i="1" s="1"/>
  <c r="AQ239" i="1"/>
  <c r="AS239" i="1" s="1"/>
  <c r="AQ238" i="1"/>
  <c r="AS238" i="1" s="1"/>
  <c r="AQ237" i="1"/>
  <c r="AS237" i="1" s="1"/>
  <c r="AQ236" i="1"/>
  <c r="AS236" i="1" s="1"/>
  <c r="AQ235" i="1"/>
  <c r="AS235" i="1" s="1"/>
  <c r="AQ234" i="1"/>
  <c r="AS234" i="1" s="1"/>
  <c r="AQ233" i="1"/>
  <c r="AS233" i="1" s="1"/>
  <c r="AQ232" i="1"/>
  <c r="AS232" i="1" s="1"/>
  <c r="AQ231" i="1"/>
  <c r="AS231" i="1" s="1"/>
  <c r="AQ230" i="1"/>
  <c r="AS230" i="1" s="1"/>
  <c r="AQ229" i="1"/>
  <c r="AS229" i="1" s="1"/>
  <c r="AQ228" i="1"/>
  <c r="AS228" i="1" s="1"/>
  <c r="AQ227" i="1"/>
  <c r="AS227" i="1" s="1"/>
  <c r="AQ226" i="1"/>
  <c r="AS226" i="1" s="1"/>
  <c r="AQ225" i="1"/>
  <c r="AS225" i="1" s="1"/>
  <c r="AQ224" i="1"/>
  <c r="AS224" i="1" s="1"/>
  <c r="AQ223" i="1"/>
  <c r="AS223" i="1" s="1"/>
  <c r="AQ222" i="1"/>
  <c r="AS222" i="1" s="1"/>
  <c r="AQ221" i="1"/>
  <c r="AS221" i="1" s="1"/>
  <c r="AQ220" i="1"/>
  <c r="AS220" i="1" s="1"/>
  <c r="AQ219" i="1"/>
  <c r="AS219" i="1" s="1"/>
  <c r="AQ218" i="1"/>
  <c r="AS218" i="1" s="1"/>
  <c r="AQ217" i="1"/>
  <c r="AS217" i="1" s="1"/>
  <c r="AQ216" i="1"/>
  <c r="AS216" i="1" s="1"/>
  <c r="AQ215" i="1"/>
  <c r="AS215" i="1" s="1"/>
  <c r="AQ214" i="1"/>
  <c r="AS214" i="1" s="1"/>
  <c r="AQ213" i="1"/>
  <c r="AS213" i="1" s="1"/>
  <c r="AQ212" i="1"/>
  <c r="AS212" i="1" s="1"/>
  <c r="AQ211" i="1"/>
  <c r="AS211" i="1" s="1"/>
  <c r="AQ210" i="1"/>
  <c r="AS210" i="1" s="1"/>
  <c r="AQ209" i="1"/>
  <c r="AS209" i="1" s="1"/>
  <c r="AQ208" i="1"/>
  <c r="AS208" i="1" s="1"/>
  <c r="AQ207" i="1"/>
  <c r="AS207" i="1" s="1"/>
  <c r="AQ206" i="1"/>
  <c r="AS206" i="1" s="1"/>
  <c r="AQ205" i="1"/>
  <c r="AS205" i="1" s="1"/>
  <c r="AQ204" i="1"/>
  <c r="AS204" i="1" s="1"/>
  <c r="AQ203" i="1"/>
  <c r="AS203" i="1" s="1"/>
  <c r="AQ202" i="1"/>
  <c r="AS202" i="1" s="1"/>
  <c r="AQ201" i="1"/>
  <c r="AS201" i="1" s="1"/>
  <c r="AQ200" i="1"/>
  <c r="AS200" i="1" s="1"/>
  <c r="AQ199" i="1"/>
  <c r="AS199" i="1" s="1"/>
  <c r="AQ198" i="1"/>
  <c r="AS198" i="1" s="1"/>
  <c r="AQ197" i="1"/>
  <c r="AS197" i="1" s="1"/>
  <c r="AQ196" i="1"/>
  <c r="AS196" i="1" s="1"/>
  <c r="AQ195" i="1"/>
  <c r="AS195" i="1" s="1"/>
  <c r="AQ194" i="1"/>
  <c r="AS194" i="1" s="1"/>
  <c r="AQ193" i="1"/>
  <c r="AS193" i="1" s="1"/>
  <c r="AQ192" i="1"/>
  <c r="AS192" i="1" s="1"/>
  <c r="AQ191" i="1"/>
  <c r="AS191" i="1" s="1"/>
  <c r="AQ190" i="1"/>
  <c r="AS190" i="1" s="1"/>
  <c r="AQ189" i="1"/>
  <c r="AS189" i="1" s="1"/>
  <c r="AQ188" i="1"/>
  <c r="AS188" i="1" s="1"/>
  <c r="AQ187" i="1"/>
  <c r="AS187" i="1" s="1"/>
  <c r="AQ186" i="1"/>
  <c r="AS186" i="1" s="1"/>
  <c r="AQ185" i="1"/>
  <c r="AS185" i="1" s="1"/>
  <c r="AQ184" i="1"/>
  <c r="AS184" i="1" s="1"/>
  <c r="AQ183" i="1"/>
  <c r="AS183" i="1" s="1"/>
  <c r="AQ182" i="1"/>
  <c r="AS182" i="1" s="1"/>
  <c r="AQ181" i="1"/>
  <c r="AS181" i="1" s="1"/>
  <c r="AQ180" i="1"/>
  <c r="AS180" i="1" s="1"/>
  <c r="AQ179" i="1"/>
  <c r="AS179" i="1" s="1"/>
  <c r="AQ178" i="1"/>
  <c r="AS178" i="1" s="1"/>
  <c r="AQ177" i="1"/>
  <c r="AS177" i="1" s="1"/>
  <c r="AQ176" i="1"/>
  <c r="AS176" i="1" s="1"/>
  <c r="AQ175" i="1"/>
  <c r="AS175" i="1" s="1"/>
  <c r="AQ174" i="1"/>
  <c r="AS174" i="1" s="1"/>
  <c r="AQ173" i="1"/>
  <c r="AS173" i="1" s="1"/>
  <c r="AQ172" i="1"/>
  <c r="AS172" i="1" s="1"/>
  <c r="AQ171" i="1"/>
  <c r="AS171" i="1" s="1"/>
  <c r="AQ170" i="1"/>
  <c r="AS170" i="1" s="1"/>
  <c r="AQ169" i="1"/>
  <c r="AS169" i="1" s="1"/>
  <c r="AQ168" i="1"/>
  <c r="AS168" i="1" s="1"/>
  <c r="AQ167" i="1"/>
  <c r="AS167" i="1" s="1"/>
  <c r="AQ166" i="1"/>
  <c r="AS166" i="1" s="1"/>
  <c r="AQ165" i="1"/>
  <c r="AS165" i="1" s="1"/>
  <c r="AQ164" i="1"/>
  <c r="AS164" i="1" s="1"/>
  <c r="AQ163" i="1"/>
  <c r="AS163" i="1" s="1"/>
  <c r="AQ162" i="1"/>
  <c r="AS162" i="1" s="1"/>
  <c r="AQ161" i="1"/>
  <c r="AS161" i="1" s="1"/>
  <c r="AQ160" i="1"/>
  <c r="AS160" i="1" s="1"/>
  <c r="AQ159" i="1"/>
  <c r="AS159" i="1" s="1"/>
  <c r="AQ158" i="1"/>
  <c r="AS158" i="1" s="1"/>
  <c r="AQ157" i="1"/>
  <c r="AS157" i="1" s="1"/>
  <c r="AQ156" i="1"/>
  <c r="AS156" i="1" s="1"/>
  <c r="AQ155" i="1"/>
  <c r="AS155" i="1" s="1"/>
  <c r="AQ154" i="1"/>
  <c r="AS154" i="1" s="1"/>
  <c r="AQ153" i="1"/>
  <c r="AS153" i="1" s="1"/>
  <c r="AQ152" i="1"/>
  <c r="AS152" i="1" s="1"/>
  <c r="AQ151" i="1"/>
  <c r="AS151" i="1" s="1"/>
  <c r="AQ150" i="1"/>
  <c r="AS150" i="1" s="1"/>
  <c r="AQ149" i="1"/>
  <c r="AS149" i="1" s="1"/>
  <c r="AQ148" i="1"/>
  <c r="AS148" i="1" s="1"/>
  <c r="AQ147" i="1"/>
  <c r="AS147" i="1" s="1"/>
  <c r="AQ146" i="1"/>
  <c r="AS146" i="1" s="1"/>
  <c r="AQ145" i="1"/>
  <c r="AS145" i="1" s="1"/>
  <c r="AQ144" i="1"/>
  <c r="AS144" i="1" s="1"/>
  <c r="AQ143" i="1"/>
  <c r="AS143" i="1" s="1"/>
  <c r="AQ142" i="1"/>
  <c r="AS142" i="1" s="1"/>
  <c r="AQ141" i="1"/>
  <c r="AS141" i="1" s="1"/>
  <c r="AQ140" i="1"/>
  <c r="AS140" i="1" s="1"/>
  <c r="AQ139" i="1"/>
  <c r="AS139" i="1" s="1"/>
  <c r="AQ138" i="1"/>
  <c r="AS138" i="1" s="1"/>
  <c r="AQ137" i="1"/>
  <c r="AS137" i="1" s="1"/>
  <c r="AQ136" i="1"/>
  <c r="AS136" i="1" s="1"/>
  <c r="AQ135" i="1"/>
  <c r="AS135" i="1" s="1"/>
  <c r="AQ134" i="1"/>
  <c r="AS134" i="1" s="1"/>
  <c r="AQ133" i="1"/>
  <c r="AS133" i="1" s="1"/>
  <c r="AQ132" i="1"/>
  <c r="AS132" i="1" s="1"/>
  <c r="AQ131" i="1"/>
  <c r="AS131" i="1" s="1"/>
  <c r="AQ130" i="1"/>
  <c r="AS130" i="1" s="1"/>
  <c r="AQ129" i="1"/>
  <c r="AS129" i="1" s="1"/>
  <c r="AQ128" i="1"/>
  <c r="AS128" i="1" s="1"/>
  <c r="AQ127" i="1"/>
  <c r="AS127" i="1" s="1"/>
  <c r="AQ126" i="1"/>
  <c r="AS126" i="1" s="1"/>
  <c r="AQ125" i="1"/>
  <c r="AS125" i="1" s="1"/>
  <c r="AQ124" i="1"/>
  <c r="AS124" i="1" s="1"/>
  <c r="AQ123" i="1"/>
  <c r="AS123" i="1" s="1"/>
  <c r="AQ122" i="1"/>
  <c r="AS122" i="1" s="1"/>
  <c r="AQ121" i="1"/>
  <c r="AS121" i="1" s="1"/>
  <c r="AQ120" i="1"/>
  <c r="AS120" i="1" s="1"/>
  <c r="AQ119" i="1"/>
  <c r="AS119" i="1" s="1"/>
  <c r="AQ118" i="1"/>
  <c r="AS118" i="1" s="1"/>
  <c r="AQ117" i="1"/>
  <c r="AS117" i="1" s="1"/>
  <c r="AQ116" i="1"/>
  <c r="AS116" i="1" s="1"/>
  <c r="AQ115" i="1"/>
  <c r="AS115" i="1" s="1"/>
  <c r="AQ114" i="1"/>
  <c r="AS114" i="1" s="1"/>
  <c r="AQ113" i="1"/>
  <c r="AS113" i="1" s="1"/>
  <c r="AQ112" i="1"/>
  <c r="AS112" i="1" s="1"/>
  <c r="AQ111" i="1"/>
  <c r="AS111" i="1" s="1"/>
  <c r="AQ110" i="1"/>
  <c r="AS110" i="1" s="1"/>
  <c r="AQ109" i="1"/>
  <c r="AS109" i="1" s="1"/>
  <c r="AQ108" i="1"/>
  <c r="AS108" i="1" s="1"/>
  <c r="AQ107" i="1"/>
  <c r="AS107" i="1" s="1"/>
  <c r="AQ106" i="1"/>
  <c r="AS106" i="1" s="1"/>
  <c r="AQ105" i="1"/>
  <c r="AS105" i="1" s="1"/>
  <c r="AQ104" i="1"/>
  <c r="AS104" i="1" s="1"/>
  <c r="AQ103" i="1"/>
  <c r="AS103" i="1" s="1"/>
  <c r="AQ102" i="1"/>
  <c r="AS102" i="1" s="1"/>
  <c r="AQ101" i="1"/>
  <c r="AS101" i="1" s="1"/>
  <c r="AQ100" i="1"/>
  <c r="AS100" i="1" s="1"/>
  <c r="AQ99" i="1"/>
  <c r="AS99" i="1" s="1"/>
  <c r="AQ98" i="1"/>
  <c r="AS98" i="1" s="1"/>
  <c r="AQ97" i="1"/>
  <c r="AS97" i="1" s="1"/>
  <c r="AQ96" i="1"/>
  <c r="AS96" i="1" s="1"/>
  <c r="AQ95" i="1"/>
  <c r="AS95" i="1" s="1"/>
  <c r="AQ94" i="1"/>
  <c r="AS94" i="1" s="1"/>
  <c r="AQ93" i="1"/>
  <c r="AS93" i="1" s="1"/>
  <c r="AQ92" i="1"/>
  <c r="AS92" i="1" s="1"/>
  <c r="AQ91" i="1"/>
  <c r="AS91" i="1" s="1"/>
  <c r="AQ90" i="1"/>
  <c r="AS90" i="1" s="1"/>
  <c r="AQ89" i="1"/>
  <c r="AS89" i="1" s="1"/>
  <c r="AQ88" i="1"/>
  <c r="AS88" i="1" s="1"/>
  <c r="AQ87" i="1"/>
  <c r="AS87" i="1" s="1"/>
  <c r="AQ86" i="1"/>
  <c r="AS86" i="1" s="1"/>
  <c r="AQ85" i="1"/>
  <c r="AS85" i="1" s="1"/>
  <c r="AQ84" i="1"/>
  <c r="AS84" i="1" s="1"/>
  <c r="AQ83" i="1"/>
  <c r="AS83" i="1" s="1"/>
  <c r="AQ82" i="1"/>
  <c r="AS82" i="1" s="1"/>
  <c r="AQ81" i="1"/>
  <c r="AS81" i="1" s="1"/>
  <c r="AQ80" i="1"/>
  <c r="AS80" i="1" s="1"/>
  <c r="AQ79" i="1"/>
  <c r="AS79" i="1" s="1"/>
  <c r="AQ78" i="1"/>
  <c r="AS78" i="1" s="1"/>
  <c r="AQ77" i="1"/>
  <c r="AS77" i="1" s="1"/>
  <c r="AQ76" i="1"/>
  <c r="AS76" i="1" s="1"/>
  <c r="AQ75" i="1"/>
  <c r="AS75" i="1" s="1"/>
  <c r="AQ74" i="1"/>
  <c r="AS74" i="1" s="1"/>
  <c r="AQ73" i="1"/>
  <c r="AS73" i="1" s="1"/>
  <c r="AQ72" i="1"/>
  <c r="AS72" i="1" s="1"/>
  <c r="AQ71" i="1"/>
  <c r="AS71" i="1" s="1"/>
  <c r="AQ70" i="1"/>
  <c r="AS70" i="1" s="1"/>
  <c r="AQ69" i="1"/>
  <c r="AS69" i="1" s="1"/>
  <c r="AQ68" i="1"/>
  <c r="AS68" i="1" s="1"/>
  <c r="AQ67" i="1"/>
  <c r="AS67" i="1" s="1"/>
  <c r="AQ66" i="1"/>
  <c r="AS66" i="1" s="1"/>
  <c r="AQ65" i="1"/>
  <c r="AS65" i="1" s="1"/>
  <c r="AQ64" i="1"/>
  <c r="AS64" i="1" s="1"/>
  <c r="AQ63" i="1"/>
  <c r="AS63" i="1" s="1"/>
  <c r="AQ62" i="1"/>
  <c r="AS62" i="1" s="1"/>
  <c r="AQ61" i="1"/>
  <c r="AS61" i="1" s="1"/>
  <c r="AQ60" i="1"/>
  <c r="AS60" i="1" s="1"/>
  <c r="AQ59" i="1"/>
  <c r="AS59" i="1" s="1"/>
  <c r="AQ58" i="1"/>
  <c r="AS58" i="1" s="1"/>
  <c r="AQ57" i="1"/>
  <c r="AS57" i="1" s="1"/>
  <c r="AQ56" i="1"/>
  <c r="AS56" i="1" s="1"/>
  <c r="AQ55" i="1"/>
  <c r="AS55" i="1" s="1"/>
  <c r="AQ54" i="1"/>
  <c r="AS54" i="1" s="1"/>
  <c r="AQ53" i="1"/>
  <c r="AS53" i="1" s="1"/>
  <c r="AQ52" i="1"/>
  <c r="AS52" i="1" s="1"/>
  <c r="AQ51" i="1"/>
  <c r="AS51" i="1" s="1"/>
  <c r="AQ50" i="1"/>
  <c r="AS50" i="1" s="1"/>
  <c r="AQ49" i="1"/>
  <c r="AS49" i="1" s="1"/>
  <c r="AQ48" i="1"/>
  <c r="AS48" i="1" s="1"/>
  <c r="AQ47" i="1"/>
  <c r="AS47" i="1" s="1"/>
  <c r="AQ46" i="1"/>
  <c r="AS46" i="1" s="1"/>
  <c r="AQ45" i="1"/>
  <c r="AS45" i="1" s="1"/>
  <c r="AQ44" i="1"/>
  <c r="AS44" i="1" s="1"/>
  <c r="AQ43" i="1"/>
  <c r="AS43" i="1" s="1"/>
  <c r="AQ42" i="1"/>
  <c r="AS42" i="1" s="1"/>
  <c r="AQ41" i="1"/>
  <c r="AS41" i="1" s="1"/>
  <c r="AQ40" i="1"/>
  <c r="AS40" i="1" s="1"/>
  <c r="AQ39" i="1"/>
  <c r="AS39" i="1" s="1"/>
  <c r="AQ38" i="1"/>
  <c r="AS38" i="1" s="1"/>
  <c r="AQ37" i="1"/>
  <c r="AS37" i="1" s="1"/>
  <c r="AQ36" i="1"/>
  <c r="AS36" i="1" s="1"/>
  <c r="AQ35" i="1"/>
  <c r="AS35" i="1" s="1"/>
  <c r="AQ34" i="1"/>
  <c r="AS34" i="1" s="1"/>
  <c r="AQ33" i="1"/>
  <c r="AS33" i="1" s="1"/>
  <c r="AQ32" i="1"/>
  <c r="AS32" i="1" s="1"/>
  <c r="AQ31" i="1"/>
  <c r="AS31" i="1" s="1"/>
  <c r="AQ30" i="1"/>
  <c r="AS30" i="1" s="1"/>
  <c r="AQ29" i="1"/>
  <c r="AS29" i="1" s="1"/>
  <c r="AQ28" i="1"/>
  <c r="AS28" i="1" s="1"/>
  <c r="AQ27" i="1"/>
  <c r="AS27" i="1" s="1"/>
  <c r="AQ26" i="1"/>
  <c r="AS26" i="1" s="1"/>
  <c r="AQ25" i="1"/>
  <c r="AS25" i="1" s="1"/>
  <c r="AQ24" i="1"/>
  <c r="AS24" i="1" s="1"/>
  <c r="AQ23" i="1"/>
  <c r="AS23" i="1" s="1"/>
  <c r="AQ22" i="1"/>
  <c r="AS22" i="1" s="1"/>
  <c r="AQ21" i="1"/>
  <c r="AS21" i="1" s="1"/>
  <c r="AQ20" i="1"/>
  <c r="AS20" i="1" s="1"/>
  <c r="AQ19" i="1"/>
  <c r="AS19" i="1" s="1"/>
  <c r="AQ18" i="1"/>
  <c r="AS18" i="1" s="1"/>
  <c r="AQ17" i="1"/>
  <c r="AS17" i="1" s="1"/>
  <c r="AQ16" i="1"/>
  <c r="AS16" i="1" s="1"/>
  <c r="AQ15" i="1"/>
  <c r="AS15" i="1" s="1"/>
  <c r="AQ14" i="1"/>
  <c r="AS14" i="1" s="1"/>
  <c r="AQ13" i="1"/>
  <c r="AS13" i="1" s="1"/>
  <c r="AQ12" i="1"/>
  <c r="AS12" i="1" s="1"/>
  <c r="AQ11" i="1"/>
  <c r="AS11" i="1" s="1"/>
  <c r="AQ10" i="1"/>
  <c r="AS10" i="1" s="1"/>
  <c r="AQ9" i="1"/>
  <c r="AS9" i="1" s="1"/>
  <c r="AQ8" i="1"/>
  <c r="AS8" i="1" s="1"/>
  <c r="AQ7" i="1"/>
  <c r="AS7" i="1" s="1"/>
  <c r="AQ6" i="1"/>
  <c r="AS6" i="1" s="1"/>
  <c r="AQ5" i="1"/>
  <c r="AS5" i="1" s="1"/>
  <c r="AQ4" i="1"/>
  <c r="AS4" i="1" s="1"/>
  <c r="AQ3" i="1"/>
  <c r="AS3" i="1" s="1"/>
  <c r="AQ2" i="1"/>
  <c r="AQ2782" i="1" l="1"/>
  <c r="AS2" i="1"/>
  <c r="AS2782" i="1" s="1"/>
</calcChain>
</file>

<file path=xl/sharedStrings.xml><?xml version="1.0" encoding="utf-8"?>
<sst xmlns="http://schemas.openxmlformats.org/spreadsheetml/2006/main" count="39814" uniqueCount="2204">
  <si>
    <t>Company Token</t>
  </si>
  <si>
    <t>Product Name</t>
  </si>
  <si>
    <t>Description</t>
  </si>
  <si>
    <t>SKU</t>
  </si>
  <si>
    <t>EAN</t>
  </si>
  <si>
    <t>Category</t>
  </si>
  <si>
    <t>Brand</t>
  </si>
  <si>
    <t>Weight(gm)</t>
  </si>
  <si>
    <t>Length(cm)</t>
  </si>
  <si>
    <t>Height(cm)</t>
  </si>
  <si>
    <t>Width(cm)</t>
  </si>
  <si>
    <t>Received</t>
  </si>
  <si>
    <t>Reserved (Not Picked)</t>
  </si>
  <si>
    <t>Reserved (Picked)</t>
  </si>
  <si>
    <t>Damaged</t>
  </si>
  <si>
    <t>Discard/Fraud</t>
  </si>
  <si>
    <t>Repair</t>
  </si>
  <si>
    <t>To Receive</t>
  </si>
  <si>
    <t>Return Available</t>
  </si>
  <si>
    <t>Available Quantity</t>
  </si>
  <si>
    <t>Available Quantity (Bin Locked)</t>
  </si>
  <si>
    <t>Quarantine</t>
  </si>
  <si>
    <t>Marketplace_Available</t>
  </si>
  <si>
    <t>Undispatched Unassigned Quantity</t>
  </si>
  <si>
    <t>QC Passed</t>
  </si>
  <si>
    <t>QC Failed</t>
  </si>
  <si>
    <t>QC Pending</t>
  </si>
  <si>
    <t>NearExpiry</t>
  </si>
  <si>
    <t>Expiry</t>
  </si>
  <si>
    <t>Total Lost</t>
  </si>
  <si>
    <t>Questionable</t>
  </si>
  <si>
    <t>Website Inventory</t>
  </si>
  <si>
    <t>E-Com Inventory</t>
  </si>
  <si>
    <t>Retail Inventory</t>
  </si>
  <si>
    <t>IIA Inventory</t>
  </si>
  <si>
    <t>Amazon Reserved</t>
  </si>
  <si>
    <t>Lost In Cycle Count</t>
  </si>
  <si>
    <t>Used In Lite Kitting In-Progress</t>
  </si>
  <si>
    <t>Total Blocked Inventory</t>
  </si>
  <si>
    <t>Pilgrim Body Mist French Kiss (150ml)</t>
  </si>
  <si>
    <t>Pilgrim Body Mist French Kiss 150ml</t>
  </si>
  <si>
    <t>`8906120587372</t>
  </si>
  <si>
    <t>Fragrance</t>
  </si>
  <si>
    <t>Pilgrim</t>
  </si>
  <si>
    <t xml:space="preserve"> -   </t>
  </si>
  <si>
    <t>Pilgrim Body Mist NY Babe (150ml)</t>
  </si>
  <si>
    <t>Pilgrim Body Mist NY Babe 150ml</t>
  </si>
  <si>
    <t>`8906120587389</t>
  </si>
  <si>
    <t>Pilgrim Body Mist Summer Escape (150ml)</t>
  </si>
  <si>
    <t>Pilgrim Body Mist Summer Escape 150ml</t>
  </si>
  <si>
    <t>`8906120587396</t>
  </si>
  <si>
    <t>Pilgrim Eau de Parfum Alpha (100ml)</t>
  </si>
  <si>
    <t>Pilgrim Eau de Parfum Alpha 100ml</t>
  </si>
  <si>
    <t>`8906120587419</t>
  </si>
  <si>
    <t>Pilgrim Eau de Parfum Greek God (100ml)</t>
  </si>
  <si>
    <t>Pilgrim Eau de Parfum Greek God 100ml</t>
  </si>
  <si>
    <t>`8906120587402</t>
  </si>
  <si>
    <t>Pilgrim Eau de Parfum Zen (100ml)</t>
  </si>
  <si>
    <t>Pilgrim Eau de Parfum Zen 100ml</t>
  </si>
  <si>
    <t>`8906120587426</t>
  </si>
  <si>
    <t>Pilgrim EDP The Impressions Collection (3 in 1 Gift Box) (60ml)</t>
  </si>
  <si>
    <t>Pilgrim EDP The Impressions Collection (3 in 1 Gift Box)</t>
  </si>
  <si>
    <t>`8906120587631</t>
  </si>
  <si>
    <t>Vitamin C Lip Lightening Kit (24ml)</t>
  </si>
  <si>
    <t>Vitamin C Lip Lightening Kit - Lip Balm, Lip Mask and Lip peel roll on</t>
  </si>
  <si>
    <t>`8906120587211</t>
  </si>
  <si>
    <t>Skincare</t>
  </si>
  <si>
    <t>24K GOLD GEL FACE WASH (80ml)</t>
  </si>
  <si>
    <t>DISCOVER A GOLDEN GLOW Enhances Natural Glow Evens Skin Tone Gentle Skin Polishing Effect</t>
  </si>
  <si>
    <t>`8906120587464</t>
  </si>
  <si>
    <t>24K GOLD GEL MOISTURIZER (50g)</t>
  </si>
  <si>
    <t>DISCOVER GOLD-LIKE RADIANCE | Gives Luxurious Glow| Reduces Dark Spots | Soft &amp; Smooth Skin</t>
  </si>
  <si>
    <t>`8906120587471</t>
  </si>
  <si>
    <t>VITAMIN C LIGHTENING LIP SLEEPING MASK (9ml)</t>
  </si>
  <si>
    <t>DISCOVER OVERNIGHT LIP REJUVENATIONLightens &amp; Softens| Helps Reduce Pigmentation | Satin Soft Feel</t>
  </si>
  <si>
    <t>`8906120587488</t>
  </si>
  <si>
    <t>VITAMIN C LIGHTENING LIP BALM SPF30 (9ml)</t>
  </si>
  <si>
    <t>2-IN-1 MOISTURIZE &amp; PROTECT LIPSMoisturizes &amp; Softens | Heals Chapped Lips | Shields From Damage</t>
  </si>
  <si>
    <t>`8906120587495</t>
  </si>
  <si>
    <t>SWISS AQUA RUSH HYDRATING FACE WASH (100ml)</t>
  </si>
  <si>
    <t>EXPERIENCE REFRESHED, HYDRATED SKINHelps Restore Hydration Refreshes Tired Skin Gentle Cleanse</t>
  </si>
  <si>
    <t>`8906120586900</t>
  </si>
  <si>
    <t>SWISS AQUA RUSH HYDRATING GEL TONER (100ml)</t>
  </si>
  <si>
    <t>EXPERIENCE A DEEP MOISTURE LOCKDeeply Hydrates | Boosts Moisture| Calms Tired Skin</t>
  </si>
  <si>
    <t>`8906120586917</t>
  </si>
  <si>
    <t>SWISS AQUA RUSH 12 HA SERUM With Hydration Burst Beads (30ml)</t>
  </si>
  <si>
    <t>LOCK IN MOISTURE DEEP WITHIN SKIN12 Types of Hyaluronic Acid | Multi-layer Hydration | Boosts Collagen &amp; Skin Elasticity</t>
  </si>
  <si>
    <t>`8906120586955</t>
  </si>
  <si>
    <t>SWISS AQUA RUSH 120H MOISTURIZER (50g)</t>
  </si>
  <si>
    <t>EXPERIENCE A MOISTURE RUSH120 Hours Of Increased Hydration | Strengthens Skin Barrier | Plump, Glowing Skin</t>
  </si>
  <si>
    <t>`8906120586962</t>
  </si>
  <si>
    <t>SWISS AQUA RUSH OVERNIGHT HYDRATING CREAM (50g)</t>
  </si>
  <si>
    <t>WAKE UP TO REFRESHED &amp; RECHARGED SKINOvernight Intense Hydration| Fortifies Skin Barrier | Energizes Tired Skin</t>
  </si>
  <si>
    <t>`8906120586924</t>
  </si>
  <si>
    <t>SWISS AQUA RUSH PEELING GEL (30ml)</t>
  </si>
  <si>
    <t>GENTLY PEEL TO REVEAL SMOOTH &amp; SILKY SKINActivated Hydrogen Water Technology | Gentle &amp; Effective Exfoliation| Flawless, Hydrated Skin</t>
  </si>
  <si>
    <t>`8906120586979</t>
  </si>
  <si>
    <t>Vitamin C Invisible Sunscreen SPF 50 PA (45ml)</t>
  </si>
  <si>
    <t>YOUR INVISIBLE SHIELD AGAINST SUN DAMAGE</t>
  </si>
  <si>
    <t>`8906120587303</t>
  </si>
  <si>
    <t>Spanish Rosemary &amp; Biotin Anti-Hairfall Shampoo (200ml)</t>
  </si>
  <si>
    <t>Spanish Rosemary and Biotin Anti-Hairfall Shampoo</t>
  </si>
  <si>
    <t>`8906120589192</t>
  </si>
  <si>
    <t>Haircare</t>
  </si>
  <si>
    <t>Spanish Rosemary &amp; Biotin Anti-Hairfall Conditioner (200ml)</t>
  </si>
  <si>
    <t>Spanish Rosemary and Biotin Anti-Hairfall Conditioner</t>
  </si>
  <si>
    <t>`8906120587815</t>
  </si>
  <si>
    <t>Spanish Rosemary &amp; Biotin Hair Growth Oil (100ml)</t>
  </si>
  <si>
    <t>Spanish Rosemary and Biotin Hair Growth Oil</t>
  </si>
  <si>
    <t>`8906120587839</t>
  </si>
  <si>
    <t>Spanish Rosemary Essential Oil (10ml)</t>
  </si>
  <si>
    <t>Spanish Rosemary Essential Oil</t>
  </si>
  <si>
    <t>`8906120587846</t>
  </si>
  <si>
    <t>Minis - Red Vine Face Cream SPF 30 (8g)</t>
  </si>
  <si>
    <t>`8906120587785</t>
  </si>
  <si>
    <t>24K GOLD FACIAL KIT For Golden Glow (30g)</t>
  </si>
  <si>
    <t>24K GOLD FACIAL KIT For Golden Glow</t>
  </si>
  <si>
    <t>`8906120587457</t>
  </si>
  <si>
    <t>Pilgrim Beige Makeup Pouch</t>
  </si>
  <si>
    <t>`8906120589291</t>
  </si>
  <si>
    <t>Accessories</t>
  </si>
  <si>
    <t>Redensyl &amp; Anagain HAIRFALL CONTROL SHAMPOO (GTM) (200ml)</t>
  </si>
  <si>
    <t>`8906120589154</t>
  </si>
  <si>
    <t>`</t>
  </si>
  <si>
    <t>Pilgrim 2% KOJIC ACID SERUM (30ml)</t>
  </si>
  <si>
    <t>`8906120589185</t>
  </si>
  <si>
    <t>The French Love Collection (Gift Box) (17ml)</t>
  </si>
  <si>
    <t>`8906120589321</t>
  </si>
  <si>
    <t>Insta Fix Makeup Setting Spray (60ml)</t>
  </si>
  <si>
    <t>`8906120589215</t>
  </si>
  <si>
    <t>Makeup</t>
  </si>
  <si>
    <t>Sulfate Free Shampoo (200ml)</t>
  </si>
  <si>
    <t>`8906120589147</t>
  </si>
  <si>
    <t>White Lotus Natural Face Mist &amp; Toner (100ml)</t>
  </si>
  <si>
    <t>`8906120580038</t>
  </si>
  <si>
    <t>Vitamin C Night Serum (30ml)</t>
  </si>
  <si>
    <t>`8906120580052</t>
  </si>
  <si>
    <t>White Lotus Day Cream SPF 50 (100g)</t>
  </si>
  <si>
    <t>`8906120580076</t>
  </si>
  <si>
    <t>Volcanic Lava Ash Face Scrub (100g)</t>
  </si>
  <si>
    <t>`8906120580069</t>
  </si>
  <si>
    <t>Volcanic Lava Ash Face Wash (100ml)</t>
  </si>
  <si>
    <t>`8906120580021</t>
  </si>
  <si>
    <t>Argan Oil Hair Serum (100ml)</t>
  </si>
  <si>
    <t>`8906120580106</t>
  </si>
  <si>
    <t>Argan Oil Hair Mask (200g)</t>
  </si>
  <si>
    <t>`8906120580090</t>
  </si>
  <si>
    <t>Pilgrim Jute Bag</t>
  </si>
  <si>
    <t>`8904482501524</t>
  </si>
  <si>
    <t>Red Vine Face Wash (100ml)</t>
  </si>
  <si>
    <t>`8906120580373</t>
  </si>
  <si>
    <t>Red Vine Toner &amp; Mist (100ml)</t>
  </si>
  <si>
    <t>`8906120580403</t>
  </si>
  <si>
    <t>Red Vine Face Scrub (50g)</t>
  </si>
  <si>
    <t>`8906120580410</t>
  </si>
  <si>
    <t>Red Vine Face Cream with SPF 30 (50g)</t>
  </si>
  <si>
    <t>`8906120580311</t>
  </si>
  <si>
    <t>Red Vine Face Mask (100g)</t>
  </si>
  <si>
    <t>`8906120580342</t>
  </si>
  <si>
    <t>Red Vine Under Eye Cream (30g)</t>
  </si>
  <si>
    <t>`8906120580335</t>
  </si>
  <si>
    <t>Red Vine Night Creme Gel (50g)</t>
  </si>
  <si>
    <t>`8906120580328</t>
  </si>
  <si>
    <t>Retinol Under eye cream (30g)</t>
  </si>
  <si>
    <t>`8906120580526</t>
  </si>
  <si>
    <t>Retinol Night Cream (50g)</t>
  </si>
  <si>
    <t>`8906120580502</t>
  </si>
  <si>
    <t>Argan Oil Hair Conditioner (200ml)</t>
  </si>
  <si>
    <t>`8906120580472</t>
  </si>
  <si>
    <t>Natural Vitamin C Face Serum 20% (30ml)</t>
  </si>
  <si>
    <t>`8906120580557</t>
  </si>
  <si>
    <t>Niacinamide &amp; Alpha Arbutin SKIN CLARIFYING SERUM (30ml)</t>
  </si>
  <si>
    <t>`8906120581349</t>
  </si>
  <si>
    <t>Salicylic &amp; Glycolic Acid ANTI-ACNE SERUM (30ml)</t>
  </si>
  <si>
    <t>`8906120589642</t>
  </si>
  <si>
    <t>Retinol &amp; Hyaluronic Acid LIFT &amp; FIRM SERUM (30ml)</t>
  </si>
  <si>
    <t>`8906120581363</t>
  </si>
  <si>
    <t>Alpha Arbutin &amp; Vitamin C BRIGHTENING SERUM (30ml)</t>
  </si>
  <si>
    <t>`8906120581370</t>
  </si>
  <si>
    <t>Redensyl &amp; Anagain ADVANCED HAIR GROWTH SERUM (50ml)</t>
  </si>
  <si>
    <t>`8906120581509</t>
  </si>
  <si>
    <t>Volcanic Lava Ash Foaming Face Wash with Brush (120ml)</t>
  </si>
  <si>
    <t>`8906120582391</t>
  </si>
  <si>
    <t>25% Aha, 2% BHA, 5% PHA Peeling Solution (30ml)</t>
  </si>
  <si>
    <t>`8906120582193</t>
  </si>
  <si>
    <t>Salicylic Acid &amp; Niacinamide Oil Control Serum (30ml)</t>
  </si>
  <si>
    <t>`8906120582209</t>
  </si>
  <si>
    <t>2% Hyaluronic Acid Hydration Super Serum (30ml)</t>
  </si>
  <si>
    <t>`8906120582216</t>
  </si>
  <si>
    <t>Oil-free Gel Moisturiser (50g)</t>
  </si>
  <si>
    <t>`8906120582414</t>
  </si>
  <si>
    <t>Salicylic &amp; Glycolic Acid Foaming Face Wash (120ml)</t>
  </si>
  <si>
    <t>`8906120582421</t>
  </si>
  <si>
    <t>99% Aloe Vera Gel (200g)</t>
  </si>
  <si>
    <t>`8906120582803</t>
  </si>
  <si>
    <t>24k Gold Oil (20ml)</t>
  </si>
  <si>
    <t>`8906120582360</t>
  </si>
  <si>
    <t>24k Gold Facial Mask (50g)</t>
  </si>
  <si>
    <t>Pilgrim 24k Gold Facial Mask</t>
  </si>
  <si>
    <t>`8906120582353</t>
  </si>
  <si>
    <t>Minis - 2% Hyaluronic Acid Hydration Super Serum (5ml)</t>
  </si>
  <si>
    <t>Sampler - 2% Hyaluronic Acid Hydration Super Serum</t>
  </si>
  <si>
    <t>`8906120583701</t>
  </si>
  <si>
    <t>Minis - Alpha Arbutin &amp; Vitamin C Brightening Skin Face Serum (5ml)</t>
  </si>
  <si>
    <t>`8906120583718</t>
  </si>
  <si>
    <t>Minis - Retinol Night Cream with Vitamin C (8g)</t>
  </si>
  <si>
    <t>Sampler Retinol Night Cream with Vitamin C</t>
  </si>
  <si>
    <t>`8906120586993</t>
  </si>
  <si>
    <t>Sampler - Red Vine Face Cream SPF 30</t>
  </si>
  <si>
    <t>`8906120586252</t>
  </si>
  <si>
    <t>Minis - Red Vine Night Gel CrÃ¨me (8g)</t>
  </si>
  <si>
    <t>Sampler - Red Vine Night Gel Crme</t>
  </si>
  <si>
    <t>`8906120586269</t>
  </si>
  <si>
    <t>Red Vine Face Serum (30ml)</t>
  </si>
  <si>
    <t>RED VINE FACE SERUM</t>
  </si>
  <si>
    <t>`8906120584029</t>
  </si>
  <si>
    <t>Squalane Foaming Face Wash (120ml)</t>
  </si>
  <si>
    <t>`8906120583787</t>
  </si>
  <si>
    <t>Squalane Toner and Mist (100ml)</t>
  </si>
  <si>
    <t>`8906120583909</t>
  </si>
  <si>
    <t>Squalane &amp; Phyto-Retinol AGE DEFENSE CRME SERUM</t>
  </si>
  <si>
    <t>`8906120583992</t>
  </si>
  <si>
    <t>Squalane Glow CrÃ¨me Serum - (30ml)</t>
  </si>
  <si>
    <t>`8906120583961</t>
  </si>
  <si>
    <t>Squalane Glow Moisturizer (50g)</t>
  </si>
  <si>
    <t>`8906120583923</t>
  </si>
  <si>
    <t>Squalane Glow Sleeping Mask (50g)</t>
  </si>
  <si>
    <t>`8906120583930</t>
  </si>
  <si>
    <t>Squalane Under eye Cream (30g)</t>
  </si>
  <si>
    <t>`8906120583947</t>
  </si>
  <si>
    <t>Roll On Under Eye Serum (15ml)</t>
  </si>
  <si>
    <t>`8906120583954</t>
  </si>
  <si>
    <t>24k Gold Serum New 20ml (20ml)</t>
  </si>
  <si>
    <t>Pilgrim 24K Gold Serum 20ML - NEW</t>
  </si>
  <si>
    <t>`8906120583886</t>
  </si>
  <si>
    <t>WHITE LOTUS SUNSCREEN SERUM SPF 30 PA+++ (30ml)</t>
  </si>
  <si>
    <t>`8906120584067</t>
  </si>
  <si>
    <t>WHITE LOTUS SUNSCREEN SERUM SPF 50 PA+++ (30ml)</t>
  </si>
  <si>
    <t>`8906120584074</t>
  </si>
  <si>
    <t>Squalane Bubblegum LIP SERUM (6ml)</t>
  </si>
  <si>
    <t>Squalane Bubblegum LIP SERUM</t>
  </si>
  <si>
    <t>`8906120585064</t>
  </si>
  <si>
    <t>Squalane Peppermint LIP SERUM (6ml)</t>
  </si>
  <si>
    <t>Squalane Peppermint LIP SERUM</t>
  </si>
  <si>
    <t>`8906120585071</t>
  </si>
  <si>
    <t>Squalane Bubblegum LIP BALM (8g)</t>
  </si>
  <si>
    <t>Squalane Bubblegum LIP BALM</t>
  </si>
  <si>
    <t>`8906120585040</t>
  </si>
  <si>
    <t>Squalane Blueberry LIP SCRUB (8g)</t>
  </si>
  <si>
    <t>Squalane Blueberry LIP SCRUB</t>
  </si>
  <si>
    <t>`8906120585026</t>
  </si>
  <si>
    <t>Squalane Exfoliating LIP PEEL ROLL-ON (6ml)</t>
  </si>
  <si>
    <t>Squalane Exfoliating LIP PEEL ROLL-ON</t>
  </si>
  <si>
    <t>`8906120585101</t>
  </si>
  <si>
    <t>Squalane Ultra Matte Sunscreen SPF 50 PA+++ (50g)</t>
  </si>
  <si>
    <t>Squalane Ultra Matte Sunscreen SPF 50 PA+++</t>
  </si>
  <si>
    <t>`8906120584050</t>
  </si>
  <si>
    <t>Tea Tree PURIFYING FOAMING FACE WASH (120ml)</t>
  </si>
  <si>
    <t>Tea Tree PURIFYING FOAMING FACE WASH</t>
  </si>
  <si>
    <t>`8906120585392</t>
  </si>
  <si>
    <t>Tea Tree PURIFYING GEL FACE WASH TUBE (100ml)</t>
  </si>
  <si>
    <t>Tea Tree PURIFYING GEL FACE WASH TUBE</t>
  </si>
  <si>
    <t>`8906120585408</t>
  </si>
  <si>
    <t>Tea Tree PURIFYING TONER (100ml)</t>
  </si>
  <si>
    <t>Tea Tree PURIFYING TONER</t>
  </si>
  <si>
    <t>`8906120585415</t>
  </si>
  <si>
    <t>Tea Tree LIGHT NON-OILY MOISTURIZER (80g)</t>
  </si>
  <si>
    <t>Tea Tree LIGHT NON-OILY MOISTURIZER</t>
  </si>
  <si>
    <t>`8906120585422</t>
  </si>
  <si>
    <t>Tea Tree &amp; 10% NIACINAMIDE BLEMISH REMOVER SERUM (30ml)</t>
  </si>
  <si>
    <t>Tea Tree &amp; 10% NIACINAMIDE BLEMISH REMOVER SERUM</t>
  </si>
  <si>
    <t>`8906120585439</t>
  </si>
  <si>
    <t>SQUALANE BODY SERUM LOTION 5% Lactic &amp; Glycolic Acid (150ml)</t>
  </si>
  <si>
    <t>`8906120586184</t>
  </si>
  <si>
    <t>Patua &amp; Keratin Smoothening shampoo (200ml)</t>
  </si>
  <si>
    <t>Patu &amp; Keratin STRENGTHENING SHAMPOO</t>
  </si>
  <si>
    <t>`8906120589208</t>
  </si>
  <si>
    <t>Patua &amp; Keratin HAIR SMOOTHING CONDITIONER (200ml)</t>
  </si>
  <si>
    <t>Patu &amp; Keratin HAIR SMOOTHING CONDITIONER</t>
  </si>
  <si>
    <t>`8906120585873</t>
  </si>
  <si>
    <t>Patua &amp; Keratin SMOOTHING HAIR MASK (200g)</t>
  </si>
  <si>
    <t>Patu &amp; Keratin STRENGTHENING HAIR MASK</t>
  </si>
  <si>
    <t>`8906120586207</t>
  </si>
  <si>
    <t>Patua &amp; Hyaluronic Acid SMOOTHING HAIR SERUM (100ml)</t>
  </si>
  <si>
    <t>Patu &amp; Hyaluronic Acid SMOOTHING HAIR SERUM</t>
  </si>
  <si>
    <t>`8906120586214</t>
  </si>
  <si>
    <t>Patua &amp; AHA BHA SCALP SCRUB (100ml)</t>
  </si>
  <si>
    <t>Patu &amp; AHA BHA SCALP SCRUB</t>
  </si>
  <si>
    <t>`8906120586221</t>
  </si>
  <si>
    <t>Patua ANTI-GREY HAIR SERUM (90ml)</t>
  </si>
  <si>
    <t>Patu  ANTI-GREY HAIR SERUM</t>
  </si>
  <si>
    <t>`8906120586245</t>
  </si>
  <si>
    <t>Patua STRENGTHENING HAIR OIL (115ml)</t>
  </si>
  <si>
    <t>Patu STRENGTHENING HAIR OIL</t>
  </si>
  <si>
    <t>`8906120586238</t>
  </si>
  <si>
    <t>Patua LEAVE-IN CONDITIONER (100ml)</t>
  </si>
  <si>
    <t>`8906120586795</t>
  </si>
  <si>
    <t>Squalane Strawberry Lip Serum (6ml)</t>
  </si>
  <si>
    <t>`8906120586818</t>
  </si>
  <si>
    <t>Squalane Strawberry Lip Balm (8g)</t>
  </si>
  <si>
    <t>`8906120586825</t>
  </si>
  <si>
    <t>Minis - 25% Aha, 2% BHA, 5% PHA Peeling Solution (5ml)</t>
  </si>
  <si>
    <t>`8906120586054</t>
  </si>
  <si>
    <t>Minis - 24k Gold Facial Mask (6g)</t>
  </si>
  <si>
    <t>`8906120586276</t>
  </si>
  <si>
    <t>Vitamin C GEL FACE WASH (100ml)</t>
  </si>
  <si>
    <t>Vitamin C GEL FACE WASH 100ml</t>
  </si>
  <si>
    <t>`8906120586740</t>
  </si>
  <si>
    <t>1% Vitamin C TONER (100ml)</t>
  </si>
  <si>
    <t>1% Vitamin C TONER 100ml</t>
  </si>
  <si>
    <t>`8906120586757</t>
  </si>
  <si>
    <t>20% Vitamin C SERUM (25ml)</t>
  </si>
  <si>
    <t>20% Vitamin C SERUM 25ml</t>
  </si>
  <si>
    <t>`8906120586733</t>
  </si>
  <si>
    <t>2% Vitamin C OIL-FREE MOISTURIZER (50g)</t>
  </si>
  <si>
    <t>2% Vitamin C OIL-FREE MOISTURIZER 50g</t>
  </si>
  <si>
    <t>`8906120586764</t>
  </si>
  <si>
    <t>VITAMIN C BODY SERUM LOTION (150ml)</t>
  </si>
  <si>
    <t>VITAMIN C BODY SERUM LOTION 150ml</t>
  </si>
  <si>
    <t>`8906120586771</t>
  </si>
  <si>
    <t>Minis-Red Vine Face Serum (5ml)</t>
  </si>
  <si>
    <t>Minis-Red Vine Face Serum</t>
  </si>
  <si>
    <t>`8906120587037</t>
  </si>
  <si>
    <t>Minis-Squalane Toner &amp; Mist (30ml)</t>
  </si>
  <si>
    <t>Minis-Squalane Toner &amp; Mist</t>
  </si>
  <si>
    <t>`8906120587242</t>
  </si>
  <si>
    <t>Minis - Squalane Glow Moisturizer (8g)</t>
  </si>
  <si>
    <t>`8906120587778</t>
  </si>
  <si>
    <t>Eyeliner Black Scandal (3.5ml)</t>
  </si>
  <si>
    <t>Intense Matte BlackAll-Day Smudge ProofQuick Drying, Water Resistant</t>
  </si>
  <si>
    <t>`8906120588447</t>
  </si>
  <si>
    <t>Metallic Eyeliner Blue Rebel (3.5ml)</t>
  </si>
  <si>
    <t>Rich Vibrant ColourAll-Day Smudge ProofEasy Glide, Water Resistant</t>
  </si>
  <si>
    <t>`8906120588508</t>
  </si>
  <si>
    <t>Glow Primer (30ml)</t>
  </si>
  <si>
    <t>Pore Blurring Matte FinishVitamin C Infused</t>
  </si>
  <si>
    <t>`8906120587754</t>
  </si>
  <si>
    <t>BB Cream Beige Glow (30ml)</t>
  </si>
  <si>
    <t>SPF 50 PA++++Instant Spot Coverage Matte FinishVitamin C Infused</t>
  </si>
  <si>
    <t>`8906120587747</t>
  </si>
  <si>
    <t>BB Cream Honey Glow (30ml)</t>
  </si>
  <si>
    <t>`8906120587792</t>
  </si>
  <si>
    <t>BB Cream Almond Glow (30ml)</t>
  </si>
  <si>
    <t>`8906120587808</t>
  </si>
  <si>
    <t>Serum Foundation Pure Ivory (30ml)</t>
  </si>
  <si>
    <t>All Day CoverageLightweight</t>
  </si>
  <si>
    <t>`8906120588560</t>
  </si>
  <si>
    <t>Serum Foundation Classic Nude (30ml)</t>
  </si>
  <si>
    <t>`8906120588591</t>
  </si>
  <si>
    <t>Serum Foundation Golden Beige (30ml)</t>
  </si>
  <si>
    <t>`8906120588621</t>
  </si>
  <si>
    <t>Serum Foundation Warm Sand (30ml)</t>
  </si>
  <si>
    <t>`8906120588652</t>
  </si>
  <si>
    <t>Serum Foundation Natural Almond (30ml)</t>
  </si>
  <si>
    <t>`8906120588683</t>
  </si>
  <si>
    <t>Compact Powder Pure Ivory (9g)</t>
  </si>
  <si>
    <t>OIL-CONTROLPORE BLURRINGNATURAL MATTE FINISH</t>
  </si>
  <si>
    <t>`8906120588744</t>
  </si>
  <si>
    <t>Compact Powder Classic Nude (9g)</t>
  </si>
  <si>
    <t>`8906120588775</t>
  </si>
  <si>
    <t>Compact Powder Golden Beige (9g)</t>
  </si>
  <si>
    <t>`8906120588805</t>
  </si>
  <si>
    <t>Compact Powder Warm Sand (9g)</t>
  </si>
  <si>
    <t>`8906120588836</t>
  </si>
  <si>
    <t>Illuminating Moisturizer (30ml)</t>
  </si>
  <si>
    <t>INSTANT ROSY GLOWHighlighting EffectAustralian Kakadu PlumSPF 15</t>
  </si>
  <si>
    <t>`8906120587853</t>
  </si>
  <si>
    <t>Liquid Lipstick The Red Stiletto (3ml)</t>
  </si>
  <si>
    <t>ALL DAY RICH MATTE COLOURTRANSFER PROOFHYDRATING &amp; LIGHTWEIGHTWith Spanish Squalane and Hyaluronic Acid</t>
  </si>
  <si>
    <t>`8906120588287</t>
  </si>
  <si>
    <t>Liquid Lipstick Berry Tease (3ml)</t>
  </si>
  <si>
    <t>`8906120588294</t>
  </si>
  <si>
    <t>Liquid Lipstick Bossy Brown (3ml)</t>
  </si>
  <si>
    <t>`8906120588300</t>
  </si>
  <si>
    <t>Liquid Lipstick Nude Obsessed (3ml)</t>
  </si>
  <si>
    <t>`8906120588317</t>
  </si>
  <si>
    <t>Liquid Lipstick Wine Spill (3ml)</t>
  </si>
  <si>
    <t>`8906120588324</t>
  </si>
  <si>
    <t>Liquid Lipstick Mauve Desire (3ml)</t>
  </si>
  <si>
    <t>`8906120588072</t>
  </si>
  <si>
    <t>Liquid Lipstick Pink Kisses (3ml)</t>
  </si>
  <si>
    <t>`8906120588102</t>
  </si>
  <si>
    <t>Liquid Lipstick Flirty Rose (3ml)</t>
  </si>
  <si>
    <t>`8906120588133</t>
  </si>
  <si>
    <t>Liquid Lipstick Saucy Coral (3ml)</t>
  </si>
  <si>
    <t>`8906120588164</t>
  </si>
  <si>
    <t>Liquid Lipstick Blushing Nude (3ml)</t>
  </si>
  <si>
    <t>`8906120588195</t>
  </si>
  <si>
    <t>Liquid Lipstick Kinky Pink (3ml)</t>
  </si>
  <si>
    <t>`8906120588225</t>
  </si>
  <si>
    <t>Liquid Lipstick Pink Climax (3ml)</t>
  </si>
  <si>
    <t>`8906120588256</t>
  </si>
  <si>
    <t>Liquid Lipstick Purple Lust (3ml)</t>
  </si>
  <si>
    <t>`8906120588935</t>
  </si>
  <si>
    <t>Lip Cheek and Eye Tint Pink Filter (2.5ml)</t>
  </si>
  <si>
    <t>All you need is Insta Tint to look Insta-worthy every day!  Infused with Spanish Squalane &amp; Macadamia OilMousse to Powder Finish | Multi-functional</t>
  </si>
  <si>
    <t>`8906120588331</t>
  </si>
  <si>
    <t>Lip Cheek and Eye Tint Coral Story (2.5ml)</t>
  </si>
  <si>
    <t>`8906120588362</t>
  </si>
  <si>
    <t>2% NIACINAMIDE GLOW SUNSCREEN SPF 50 PA+++ (50g)</t>
  </si>
  <si>
    <t>`8906120589550</t>
  </si>
  <si>
    <t>1% HYALURONIC ACID SUNSCREEN GEL SPF 50 PA+++ (50g)</t>
  </si>
  <si>
    <t>`8906120589543</t>
  </si>
  <si>
    <t>3% Redensyl &amp; 4% Anagain ADVANCED HAIR GROWTH SERUM (100ml)</t>
  </si>
  <si>
    <t>`8906120589697</t>
  </si>
  <si>
    <t>3% Redensyl &amp; 4% Anagain ADVANCED HAIR GROWTH SERUM (30 ml version) (GTM) (30ml)</t>
  </si>
  <si>
    <t>`8906120589161</t>
  </si>
  <si>
    <t>10% VITAMIN C FACE SERUM (30 ml)</t>
  </si>
  <si>
    <t>`8906120589611</t>
  </si>
  <si>
    <t>Spanish Rosemary Root Active Anti-Hairfall Serum (30ml)</t>
  </si>
  <si>
    <t>`8904482501494</t>
  </si>
  <si>
    <t>5 Ceramides Barrier RepairMoisturizer (100g)</t>
  </si>
  <si>
    <t>`8904482501340</t>
  </si>
  <si>
    <t>5% Vitamin C BRIGHTENING ULTRA LIGHT GEL SUNSCREEN SPF 60 PA++++ (45ml)</t>
  </si>
  <si>
    <t>`8904482501814</t>
  </si>
  <si>
    <t>pilgrim</t>
  </si>
  <si>
    <t>10% VITAMIN C FACE SERUM (10 ml)</t>
  </si>
  <si>
    <t>`8906120589604</t>
  </si>
  <si>
    <t>10% NIACINAMIDE FACE SERUM (30 ml)</t>
  </si>
  <si>
    <t>`8906120589680</t>
  </si>
  <si>
    <t>Pilgrim Bullet Lipstick Alpha Brown (4.2g)</t>
  </si>
  <si>
    <t>`8904482500237</t>
  </si>
  <si>
    <t>`NA</t>
  </si>
  <si>
    <t>15% VITAMIN C FACE SERUM (20 ml)</t>
  </si>
  <si>
    <t>`8906120589628</t>
  </si>
  <si>
    <t>5% NIACINAMIDE FACE SERUM (10 ml)</t>
  </si>
  <si>
    <t>`8906120589659</t>
  </si>
  <si>
    <t>Liquid Lipstick Brown Mischief (3ml)</t>
  </si>
  <si>
    <t>`8904482500558</t>
  </si>
  <si>
    <t>Pilgrim Bullet Lipstick Sultry Wine (4.2g)</t>
  </si>
  <si>
    <t>`8904482500190</t>
  </si>
  <si>
    <t>10% Vitamin C Brightening Serum (30 ml)</t>
  </si>
  <si>
    <t>`8904482501968</t>
  </si>
  <si>
    <t>PHD-Skincare</t>
  </si>
  <si>
    <t>phd</t>
  </si>
  <si>
    <t>2% Alpha Arbutin Depigmentation Serum (30 ml)</t>
  </si>
  <si>
    <t>`8904482501975</t>
  </si>
  <si>
    <t>10% NIACINAMIDE FACE SERUM (10 ml)</t>
  </si>
  <si>
    <t>`8906120589673</t>
  </si>
  <si>
    <t>Kajal Black Mischief (0.35g)</t>
  </si>
  <si>
    <t>Deep Black LookLasts Up To 12 HoursWaterproof No SmudgeOphthalmologically TestedSuitable for Contact Lens Users And Sensitive EyesInfused with Argan Oil from Morocco</t>
  </si>
  <si>
    <t>`8906120587761</t>
  </si>
  <si>
    <t>Australian Tea Tree Anti-Dandruff Hair Mask (200g)</t>
  </si>
  <si>
    <t>`8906120589734</t>
  </si>
  <si>
    <t>Pilgrim Blush Duo Coral Rumba (9g)</t>
  </si>
  <si>
    <t>Blush Duo</t>
  </si>
  <si>
    <t>`8904482500015</t>
  </si>
  <si>
    <t>Liquid Lipstick Siren Red (3ml)</t>
  </si>
  <si>
    <t>`8904482500602</t>
  </si>
  <si>
    <t>Pilgrim Eyeshadow Fiesta Queen (24g)</t>
  </si>
  <si>
    <t>`8906120589857</t>
  </si>
  <si>
    <t>Pilgrim Eyeshadow Midnight Soiree (24g)</t>
  </si>
  <si>
    <t>`8906120589840</t>
  </si>
  <si>
    <t>Pilgrim Concealer Almond (7.3ml)</t>
  </si>
  <si>
    <t>`8906120589819</t>
  </si>
  <si>
    <t>Pilgrim Bullet Lipstick Pink Passion (4.2g)</t>
  </si>
  <si>
    <t>`8904482500107</t>
  </si>
  <si>
    <t>Pilgrim Bullet Lipstick Flaming Red (4.2g)</t>
  </si>
  <si>
    <t>`8904482500145</t>
  </si>
  <si>
    <t>Pilgrim Bullet Lipstick Nude Kiss (4.2g)</t>
  </si>
  <si>
    <t>`8904482500206</t>
  </si>
  <si>
    <t>Pilgrim Compact Powder Entry Level Almond (7g)</t>
  </si>
  <si>
    <t>`8904482500275</t>
  </si>
  <si>
    <t>Pilgrim Compact Powder Entry Level Caramel (7g)</t>
  </si>
  <si>
    <t>`8904482500282</t>
  </si>
  <si>
    <t>Pilgrim Mega Volume Waterproof Mascara Black Passion (5ml)</t>
  </si>
  <si>
    <t>`8904482501180</t>
  </si>
  <si>
    <t>French Red Vine &amp; Hyaluronic Acid ULTRA-SMOOTH BODY LOTION (400ml)</t>
  </si>
  <si>
    <t>`8904482501548</t>
  </si>
  <si>
    <t>Spanish Squalane &amp; Niacinamide GLOW BODY LOTION (400ml)</t>
  </si>
  <si>
    <t>`8904482501555</t>
  </si>
  <si>
    <t>5% Niacinamide OIL-FREE SUPER LIGHT GEL SUNSCREENSPF 50+ PA++++ (40ml)</t>
  </si>
  <si>
    <t>`8904482501807</t>
  </si>
  <si>
    <t>Korean Rice Water &amp; Collagen Advanced Damage Repair Shampoo (200ml)</t>
  </si>
  <si>
    <t>`8904482502446</t>
  </si>
  <si>
    <t>Korean Rice Water &amp; Collagen Advanced Damage Repair Conditioner (200ml)</t>
  </si>
  <si>
    <t>`8904482502439</t>
  </si>
  <si>
    <t>2% Salicylic Acid Anti-Acne Serum (30 ml)</t>
  </si>
  <si>
    <t>`8904482501999</t>
  </si>
  <si>
    <t>0.3% Pure Retinol Face Serum (30 ml)</t>
  </si>
  <si>
    <t>`8904482502026</t>
  </si>
  <si>
    <t>Redensyl &amp; Anagain Hair fall control Hair Mask (200g)</t>
  </si>
  <si>
    <t>`8906120589567</t>
  </si>
  <si>
    <t>Liquid Lipstick Sizzling Magenta (3ml)</t>
  </si>
  <si>
    <t>`8904482500497</t>
  </si>
  <si>
    <t>Liquid Lipstick Rosy Darling (3ml)</t>
  </si>
  <si>
    <t>`8904482500565</t>
  </si>
  <si>
    <t>Liquid Lipstick Nude Feud (3ml)</t>
  </si>
  <si>
    <t>`8904482500596</t>
  </si>
  <si>
    <t>Pilgrim Concealer Beige (7.3ml)</t>
  </si>
  <si>
    <t>`8906120589802</t>
  </si>
  <si>
    <t>Pilgrim Bullet Lipstick Forbidden Pink (4.2g)</t>
  </si>
  <si>
    <t>`8904482500121</t>
  </si>
  <si>
    <t>Pilgrim Bullet Lipstick Pink Romance (4.2g)</t>
  </si>
  <si>
    <t>`8904482500138</t>
  </si>
  <si>
    <t>Pilgrim Bullet Lipstick Ruby Revolt (4.2g)</t>
  </si>
  <si>
    <t>`8904482500183</t>
  </si>
  <si>
    <t>Pilgrim Compact Powder Entry Level Nude (7g)</t>
  </si>
  <si>
    <t>`8904482500251</t>
  </si>
  <si>
    <t>Pilgrim Mini Liquid Lipstick Pack of 4 Nude Temptation (4ml)</t>
  </si>
  <si>
    <t>`8904482500626</t>
  </si>
  <si>
    <t>Pilgrim Mini Liquid Lipstick Pack of 4 The Pink Sin (4ml)</t>
  </si>
  <si>
    <t>`8904482500633</t>
  </si>
  <si>
    <t>Spanish Rosemary Water With Biotin (100ml)</t>
  </si>
  <si>
    <t>`8904482501357</t>
  </si>
  <si>
    <t>Korean Aloe COOLING FLUID SUNSCREEN SPF 50+ PA++++ (50ml)</t>
  </si>
  <si>
    <t>`8904482501876</t>
  </si>
  <si>
    <t>Korean White Lotus TINTED SUNSCREEN SPF 50+ PA++++ (50ml)</t>
  </si>
  <si>
    <t>`8904482501883</t>
  </si>
  <si>
    <t>Korean Rice Water &amp; Collagen Advanced Damage Repair Shampoo (400ml)</t>
  </si>
  <si>
    <t>`8904482502453</t>
  </si>
  <si>
    <t>10% Niacinamide Spot Correcting Serum (30 ml)</t>
  </si>
  <si>
    <t>`8904482502040</t>
  </si>
  <si>
    <t>Pilgrim 24K Gold Collection Gift Box 1</t>
  </si>
  <si>
    <t>This premium 24K Gold Collection Gift Set comes with the viral 24K Gold Facial Mask, 24K Gold Serum and 24K Gold Moisturizer. It also contains a Gua Sha, a facial kit tool that helps pat in the serum for a sculpted look</t>
  </si>
  <si>
    <t>`8906120588423</t>
  </si>
  <si>
    <t>Metallic Eyeliner Green Envy (3.5ml)</t>
  </si>
  <si>
    <t>`8906120588539</t>
  </si>
  <si>
    <t>Compact Powder Rich Caramel (9g)</t>
  </si>
  <si>
    <t>`8906120588867</t>
  </si>
  <si>
    <t>Australian Tea Tree Anti-Dandruff Scalp Serum (100ml)</t>
  </si>
  <si>
    <t>`8906120589741</t>
  </si>
  <si>
    <t>Pilgrim Blush Duo Flamenco Pink (9g)</t>
  </si>
  <si>
    <t>`8904482500008</t>
  </si>
  <si>
    <t>Pilgrim Blush Duo Berry Beat (9g)</t>
  </si>
  <si>
    <t>`8904482500022</t>
  </si>
  <si>
    <t>Liquid Lipstick Red Revenge (3ml)</t>
  </si>
  <si>
    <t>`8904482500510</t>
  </si>
  <si>
    <t>Liquid Lipstick Pink Cuff (3ml)</t>
  </si>
  <si>
    <t>`8904482500589</t>
  </si>
  <si>
    <t>Pilgrim Concealer Ivory (7.3ml)</t>
  </si>
  <si>
    <t>`8906120589789</t>
  </si>
  <si>
    <t>Pilgrim Concealer Sand (7.3ml)</t>
  </si>
  <si>
    <t>`8906120589796</t>
  </si>
  <si>
    <t>Pilgrim Bullet Lipstick Coco Caress (4.2g)</t>
  </si>
  <si>
    <t>`8904482500091</t>
  </si>
  <si>
    <t>Pilgrim Bullet Lipstick Pink Hotness (4.2g)</t>
  </si>
  <si>
    <t>`8904482500114</t>
  </si>
  <si>
    <t>Pilgrim Bullet Lipstick Maroon Affair (4.2g)</t>
  </si>
  <si>
    <t>`8904482500169</t>
  </si>
  <si>
    <t>Pilgrim Compact Powder Entry Level Honey (7g)</t>
  </si>
  <si>
    <t>`8904482500268</t>
  </si>
  <si>
    <t>Pilgrim Glitter Lipstick Royal Noor (4.2g)</t>
  </si>
  <si>
    <t>`8904482500695</t>
  </si>
  <si>
    <t>Pilgrim Mega Curl Tubing Mascara (5ml)</t>
  </si>
  <si>
    <t>`8904482501173</t>
  </si>
  <si>
    <t>Pilgrim Mini Liquid Lipstick Pack of 4 Bold Mistress (4ml)</t>
  </si>
  <si>
    <t>`8904482500619</t>
  </si>
  <si>
    <t>Pilgrim Translucent Loose Powder (8g)</t>
  </si>
  <si>
    <t>`8906120589833</t>
  </si>
  <si>
    <t>3% Redensyl &amp; 4% Anagain ADVANCED HAIR GROWTH SERUM For Dandruff-Prone Scalp (30ml)</t>
  </si>
  <si>
    <t>`8904482501487</t>
  </si>
  <si>
    <t>Vitamin C Brightening Moisturizer (50 g)</t>
  </si>
  <si>
    <t>`8904482502019</t>
  </si>
  <si>
    <t>2% Hyaluronic Acid Dewy Skin Serum (30 ml)</t>
  </si>
  <si>
    <t>`8904482501982</t>
  </si>
  <si>
    <t>3% Niacinamide Oil-Free Moisturizer (50 g)</t>
  </si>
  <si>
    <t>`8904482502002</t>
  </si>
  <si>
    <t>Korean Rice Water Hydra Glow Moisturizer (100g)</t>
  </si>
  <si>
    <t>`8904482502125</t>
  </si>
  <si>
    <t>Serum Foundation Rich Caramel (30ml)</t>
  </si>
  <si>
    <t>`8906120588713</t>
  </si>
  <si>
    <t>Vitamin C under eye cream (15ml)</t>
  </si>
  <si>
    <t>`8906120589130</t>
  </si>
  <si>
    <t>Spanish Rosemary Anti Hair fall Hair Mask (200g)</t>
  </si>
  <si>
    <t>`8906120589574</t>
  </si>
  <si>
    <t>Liquid Lipstick Wine Trap (3ml)</t>
  </si>
  <si>
    <t>`8904482500527</t>
  </si>
  <si>
    <t>Liquid Lipstick Dark Seduction (3ml)</t>
  </si>
  <si>
    <t>`8904482500534</t>
  </si>
  <si>
    <t>Liquid Lipstick Mocha Muse (3ml)</t>
  </si>
  <si>
    <t>`8904482500572</t>
  </si>
  <si>
    <t>Pilgrim Bullet Lipstick Cupids Pink (4.2g)</t>
  </si>
  <si>
    <t>`8904482500060</t>
  </si>
  <si>
    <t>Pilgrim Bullet Lipstick Mocha Bliss (4.2g)</t>
  </si>
  <si>
    <t>`8904482500077</t>
  </si>
  <si>
    <t>Pilgrim Bullet Lipstick Untamed Red (4.2g)</t>
  </si>
  <si>
    <t>`8904482500152</t>
  </si>
  <si>
    <t>Pilgrim Bullet Lipstick Burgundy Blaze (4.2g)</t>
  </si>
  <si>
    <t>`8904482500176</t>
  </si>
  <si>
    <t>Pilgrim Bullet Lipstick Chocolate Tease (4.2g)</t>
  </si>
  <si>
    <t>`8904482500213</t>
  </si>
  <si>
    <t>Pilgrim Glitter Lipstick Arabian Nites (4.2g)</t>
  </si>
  <si>
    <t>`8904482500688</t>
  </si>
  <si>
    <t>Korean Rice Water &amp; Collagen Advanced Damage Repair Hair Mask (200g)</t>
  </si>
  <si>
    <t>`8904482502422</t>
  </si>
  <si>
    <t>Pilgrim Glitter Lipstick Chic Haseena (4.2g)</t>
  </si>
  <si>
    <t>`8904482500701</t>
  </si>
  <si>
    <t>Liquid Lipstick Ruby Fling (3ml)</t>
  </si>
  <si>
    <t>`8904482500541</t>
  </si>
  <si>
    <t>Pilgrim Compact Powder Entry Level Ivory (7g)</t>
  </si>
  <si>
    <t>`8904482500244</t>
  </si>
  <si>
    <t>Pilgrim Glitter Lipstick My Habibi (4.2g)</t>
  </si>
  <si>
    <t>`8904482500718</t>
  </si>
  <si>
    <t>Pilgrim Highlighter Duo The Gold Rhythm (11g)</t>
  </si>
  <si>
    <t>Highlighter Duo</t>
  </si>
  <si>
    <t>`8904482500039</t>
  </si>
  <si>
    <t>Pilgrim Bullet Lipstick Caramel Guilt (4.2g)</t>
  </si>
  <si>
    <t>`8904482500053</t>
  </si>
  <si>
    <t>Liquid Lipstick Sexy Scarlet (3ml)</t>
  </si>
  <si>
    <t>`8904482500503</t>
  </si>
  <si>
    <t>Pilgrim Glitter Lipstick The Khalifa (4.2g)</t>
  </si>
  <si>
    <t>`8904482500664</t>
  </si>
  <si>
    <t>Pilgrim Mini Liquid Lipstick Pack of 4 Always on top (4ml)</t>
  </si>
  <si>
    <t>`8904482500640</t>
  </si>
  <si>
    <t>2% SALICYLIC ACID FACE SERUM (10 ml)</t>
  </si>
  <si>
    <t>`8906120589635</t>
  </si>
  <si>
    <t>Pilgrim Bullet Lipstick Nude Mystery (4.2g)</t>
  </si>
  <si>
    <t>`8904482500084</t>
  </si>
  <si>
    <t>Pilgrim Bullet Lipstick Cinnamon Lust (4.2g)</t>
  </si>
  <si>
    <t>`8904482500220</t>
  </si>
  <si>
    <t>Pilgrim French Red Vine Supermelt Cleansing Balm (50g)</t>
  </si>
  <si>
    <t>`8906120589178</t>
  </si>
  <si>
    <t>Lip Cheek and Eye Tint The Brown Trend (2.5ml)</t>
  </si>
  <si>
    <t>`8906120588393</t>
  </si>
  <si>
    <t>Korean Rice Water Hydra Glow Moisturizer (50g)</t>
  </si>
  <si>
    <t>`8904482502118</t>
  </si>
  <si>
    <t>en3857776321</t>
  </si>
  <si>
    <t>Heavenly Secrets Private Limited - Emiza Bilaspur</t>
  </si>
  <si>
    <t>Pilgrim B5 Boxes</t>
  </si>
  <si>
    <t>`6666666666666</t>
  </si>
  <si>
    <t>Packaging Material</t>
  </si>
  <si>
    <t>Pilgrim Blue Vanity Bag</t>
  </si>
  <si>
    <t>SQUALANE KIT BOX</t>
  </si>
  <si>
    <t>SPANISH SQUALANE GLOW FACE WASH (50ml)</t>
  </si>
  <si>
    <t>`8906120589109</t>
  </si>
  <si>
    <t>FRENCH RED VINE YOUTHFUL GLOW FACE WASH (50ml)</t>
  </si>
  <si>
    <t>`8906120589093</t>
  </si>
  <si>
    <t>Pilgrim Small Gift Box</t>
  </si>
  <si>
    <t>Pilgrim Holographic Gloss Makeup Bag</t>
  </si>
  <si>
    <t>`PGHGMB1</t>
  </si>
  <si>
    <t>Pilgrim Spanish Green Makeup Bag</t>
  </si>
  <si>
    <t>`PGSGMB1</t>
  </si>
  <si>
    <t>TESTER - White Lotus Natural Face Mist &amp; Toner</t>
  </si>
  <si>
    <t>`08906120580038</t>
  </si>
  <si>
    <t>Tester</t>
  </si>
  <si>
    <t>TESTER - Vitamin C Night Serum (Oil-based) with Hyaluronic Acid &amp; White Lotus</t>
  </si>
  <si>
    <t>`08906120580052</t>
  </si>
  <si>
    <t>TESTER - Red Vine Toner &amp; Mist</t>
  </si>
  <si>
    <t>`08906120580403</t>
  </si>
  <si>
    <t>TESTER - Red Vine Night Creme Gel</t>
  </si>
  <si>
    <t>`08906120580328</t>
  </si>
  <si>
    <t>TESTER - Red Vine Under Eye Cream</t>
  </si>
  <si>
    <t>`08906120580335</t>
  </si>
  <si>
    <t>TESTER - Retinol Night Cream</t>
  </si>
  <si>
    <t>`08906120580502</t>
  </si>
  <si>
    <t>TESTER - Niacinamide &amp; Alpha Arbutin SKIN CLARIFYING SERUM</t>
  </si>
  <si>
    <t>`08906120581349</t>
  </si>
  <si>
    <t>TESTER - Salicylic &amp; Glycolic Acid ANTI-ACNE SERUM</t>
  </si>
  <si>
    <t>`08906120589642</t>
  </si>
  <si>
    <t>TESTER - Retinol &amp; Hyaluronic Acid LIFT &amp; FIRM SERUM</t>
  </si>
  <si>
    <t>`08906120581363</t>
  </si>
  <si>
    <t>TESTER - Alpha Arbutin &amp; Vitamin C BRIGHTENING SERUM</t>
  </si>
  <si>
    <t>`08906120581370</t>
  </si>
  <si>
    <t>TESTER - 24k Gold Facial Mask</t>
  </si>
  <si>
    <t>`08906120582353</t>
  </si>
  <si>
    <t>TESTER - 24k Gold Serum New 20ml</t>
  </si>
  <si>
    <t>`08906120583886</t>
  </si>
  <si>
    <t>TESTER - Squalane Glow Moisturizer - 50g</t>
  </si>
  <si>
    <t>`08906120583923</t>
  </si>
  <si>
    <t>TESTER - Squalane Glow CrÃƒÂ¨me Serum - 30ml</t>
  </si>
  <si>
    <t>`08906120583961</t>
  </si>
  <si>
    <t>TESTER - Roll On Under Eye Serum - 15 ml</t>
  </si>
  <si>
    <t>`08906120583954</t>
  </si>
  <si>
    <t>TESTER - Squalane Under eye Cream - 30g</t>
  </si>
  <si>
    <t>`08906120583947</t>
  </si>
  <si>
    <t>TESTER - WHITE LOTUS SUNSCREEN SERUM SPF 30 PA+++</t>
  </si>
  <si>
    <t>`08906120584067</t>
  </si>
  <si>
    <t>TESTER - WHITE LOTUS SUNSCREEN SERUM SPF 50 PA+++</t>
  </si>
  <si>
    <t>`08906120584074</t>
  </si>
  <si>
    <t>TESTER - Squalane Bubblegum LIP SERUM</t>
  </si>
  <si>
    <t>`08906120585064</t>
  </si>
  <si>
    <t>TESTER - Squalane Bubblegum LIP BALM</t>
  </si>
  <si>
    <t>`08906120585040</t>
  </si>
  <si>
    <t>TESTER - Squalane Exfoliating LIP PEEL ROLL-ON</t>
  </si>
  <si>
    <t>`08906120585101</t>
  </si>
  <si>
    <t>TESTER - Patua &amp; AHA BHA SCALP SCRUB</t>
  </si>
  <si>
    <t>`08906120586221</t>
  </si>
  <si>
    <t>TESTER - SWISS AQUA RUSHPEELINGGEL</t>
  </si>
  <si>
    <t>`08906120586979</t>
  </si>
  <si>
    <t>TESTER - Glow Primer</t>
  </si>
  <si>
    <t>`08906120587754</t>
  </si>
  <si>
    <t>TESTER - Compact Powder Warm Sand</t>
  </si>
  <si>
    <t>`08906120588836</t>
  </si>
  <si>
    <t>TESTER - Compact Powder Rich Caramel</t>
  </si>
  <si>
    <t>`08906120588867</t>
  </si>
  <si>
    <t>TESTER - Liquid Lipstick Berry Tease</t>
  </si>
  <si>
    <t>`08906120588294</t>
  </si>
  <si>
    <t>TESTER - Liquid Lipstick Wine Spill</t>
  </si>
  <si>
    <t>`08906120588324</t>
  </si>
  <si>
    <t>TESTER - Liquid Lipstick Pink Kisses</t>
  </si>
  <si>
    <t>`08906120588102</t>
  </si>
  <si>
    <t>TESTER-3% Redensyl &amp; 4% Anagain ADVANCED HAIR GROWTH SERUM (100 ml version)</t>
  </si>
  <si>
    <t>`08906120589697</t>
  </si>
  <si>
    <t>TESTER-10% NIACINAMIDE FACE SERUM (10 ml)</t>
  </si>
  <si>
    <t>`08906120589673</t>
  </si>
  <si>
    <t>TESTER-2% SALICYLIC ACID FACE SERUM (10 ml)</t>
  </si>
  <si>
    <t>`08906120589635</t>
  </si>
  <si>
    <t>TESTER-10% VITAMIN C FACE SERUM (10 ml)</t>
  </si>
  <si>
    <t>`08906120589604</t>
  </si>
  <si>
    <t>Pilgrim Rashmika Bag - Online</t>
  </si>
  <si>
    <t>`PGRB1</t>
  </si>
  <si>
    <t>TESTER - Pilgrim Highlighter Duo The Gold Rhythm</t>
  </si>
  <si>
    <t>`08904482500039</t>
  </si>
  <si>
    <t>TESTER - Liquid Lipstick Sizzling Magenta</t>
  </si>
  <si>
    <t>`08904482500497</t>
  </si>
  <si>
    <t>TESTER - Liquid Lipstick Red Revenge</t>
  </si>
  <si>
    <t>`08904482500510</t>
  </si>
  <si>
    <t>TESTER - Liquid Lipstick Dark Seduction</t>
  </si>
  <si>
    <t>`08904482500534</t>
  </si>
  <si>
    <t>TESTER - Liquid Lipstick Brown Mischief</t>
  </si>
  <si>
    <t>`08904482500558</t>
  </si>
  <si>
    <t>TESTER - Liquid Lipstick Mocha Muse</t>
  </si>
  <si>
    <t>`08904482500572</t>
  </si>
  <si>
    <t>TESTER - Liquid Lipstick Siren Red</t>
  </si>
  <si>
    <t>`08904482500602</t>
  </si>
  <si>
    <t>TESTER - Pilgrim Bullet Lipstick Chocolate Tease</t>
  </si>
  <si>
    <t>`08904482500213</t>
  </si>
  <si>
    <t>TESTER - Pilgrim Bullet Lipstick Cinnamon Lust</t>
  </si>
  <si>
    <t>`08904482500220</t>
  </si>
  <si>
    <t>Pilgrim Glitter Lipstick Jumeirah Jewel (4.2g)</t>
  </si>
  <si>
    <t>`8904482500657</t>
  </si>
  <si>
    <t>Pilgrim Makeup Bag Peach - offline Sparkly pouch</t>
  </si>
  <si>
    <t>`PGGWPP1</t>
  </si>
  <si>
    <t>TESTER-Volcanic Lava Ash Face Wash</t>
  </si>
  <si>
    <t>`08906120580021</t>
  </si>
  <si>
    <t>TESTER-Argan Oil Hair Mask</t>
  </si>
  <si>
    <t>`08906120580090</t>
  </si>
  <si>
    <t>TESTER-Red Vine Face Wash</t>
  </si>
  <si>
    <t>`08906120580373</t>
  </si>
  <si>
    <t>TESTER-SqualaneFOAMING FACE WASH</t>
  </si>
  <si>
    <t>`08906120583787</t>
  </si>
  <si>
    <t>TESTER-Pilgrim Mini Liquid Lipstick Pack of 4 Bold Mistress</t>
  </si>
  <si>
    <t>`08904482500619</t>
  </si>
  <si>
    <t>TESTER-Pilgrim Mini Liquid Lipstick Pack of 4 Nude Temptation</t>
  </si>
  <si>
    <t>`08904482500626</t>
  </si>
  <si>
    <t>TESTER-Pilgrim Mini Liquid Lipstick Pack of 4 The Pink Sin</t>
  </si>
  <si>
    <t>`08904482500633</t>
  </si>
  <si>
    <t>TESTER-Pilgrim Mini Liquid Lipstick Pack of 4 Always on top</t>
  </si>
  <si>
    <t>`08904482500640</t>
  </si>
  <si>
    <t>TESTER-Pilgrim Translucent Loose Powder</t>
  </si>
  <si>
    <t>`08906120589833</t>
  </si>
  <si>
    <t>TESTER-Pilgrim Banana Loose Powder</t>
  </si>
  <si>
    <t>`08906120589826</t>
  </si>
  <si>
    <t>Tester-French Red Vine &amp; Hyaluronic Acid ULTRA-SMOOTH BODY LOTION</t>
  </si>
  <si>
    <t>`08904482501548</t>
  </si>
  <si>
    <t>Tester-Spanish Squalane &amp; Niacinamide GLOW BODY LOTION</t>
  </si>
  <si>
    <t>`08904482501555</t>
  </si>
  <si>
    <t>Tester-Serum Foundation Warm Mocha</t>
  </si>
  <si>
    <t>`08904482501517</t>
  </si>
  <si>
    <t>VITAMIN C DETAN &amp; BRIGHTENING FACIAL KIT (Sleeve) (308ml)</t>
  </si>
  <si>
    <t>`8904482501562</t>
  </si>
  <si>
    <t>Vitamin C MANI PEDI KIT (231ml)</t>
  </si>
  <si>
    <t>`8904482502071</t>
  </si>
  <si>
    <t>French Red Vine MANI PEDI KIT (231ml)</t>
  </si>
  <si>
    <t>`8904482502064</t>
  </si>
  <si>
    <t>Keratin &amp; Amazonian PatuÃ¡ SMOOTHENING HAIR MASK (450g)</t>
  </si>
  <si>
    <t>`8904482501920</t>
  </si>
  <si>
    <t>Amazonian PatuÃ¡ NANOSILK HAIR TREATMENT (1L)</t>
  </si>
  <si>
    <t>`8904482501944</t>
  </si>
  <si>
    <t>Amazonian PatuÃ¡ BOTOSILK HAIR TREATMENT (1L)</t>
  </si>
  <si>
    <t>`8904482501937</t>
  </si>
  <si>
    <t>1% Ceramides Intensive Repair Cream (50 g)</t>
  </si>
  <si>
    <t>`8904482502095</t>
  </si>
  <si>
    <t>PHD Medium Box</t>
  </si>
  <si>
    <t>`1111111111114</t>
  </si>
  <si>
    <t>PHD-Packaging Material</t>
  </si>
  <si>
    <t>PHD Big Box</t>
  </si>
  <si>
    <t>`1111111111115</t>
  </si>
  <si>
    <t>BHC Palette Soft Elegance</t>
  </si>
  <si>
    <t>`8904482502477</t>
  </si>
  <si>
    <t>Patua &amp; Keratin Smoothening shampoo (200ml) - Teal</t>
  </si>
  <si>
    <t>`89061205892080</t>
  </si>
  <si>
    <t>Premium Tote Bag</t>
  </si>
  <si>
    <t>`1000000000114</t>
  </si>
  <si>
    <t>Tote Bag</t>
  </si>
  <si>
    <t>`1000000000111</t>
  </si>
  <si>
    <t>Minis-White Lotus Natural Face Mist &amp; Toner with Camellia &amp; Witch Hazel (30ml)</t>
  </si>
  <si>
    <t>Minis-White Lotus Natural Face Mist &amp; Toner with Camellia &amp; Witch Hazel</t>
  </si>
  <si>
    <t>`8906120587235</t>
  </si>
  <si>
    <t>Pilgrim 24K Gold Collection Gift Box 2</t>
  </si>
  <si>
    <t>This premium 24K Gold Collection Gift Set comes with the viral 24K Gold Facial Mask, 24K Gold Serum and 24K Gold Gel Face Wash and a Gold Satin Hairband. Perfect as Wedding Gift, Anniversary, Birthday, Festive occasions, Office Gifting and Farewell gifting ideas.</t>
  </si>
  <si>
    <t>`8906120588430</t>
  </si>
  <si>
    <t>Pilgrim Satin Interloack Hairband</t>
  </si>
  <si>
    <t>`0000000000002</t>
  </si>
  <si>
    <t>KOREAN VOLCANIC LAVA ASH OIL-CONTROL FACE WASH (50ml)</t>
  </si>
  <si>
    <t>`8906120589086</t>
  </si>
  <si>
    <t>AUSTRALIAN TEA TREE ANTI-ACNE GEL FACE WASH (50ml)</t>
  </si>
  <si>
    <t>`8906120589116</t>
  </si>
  <si>
    <t>AUSTRALIAN NATURAL VITAMIN C BRIGHTENING GEL FACE WASH (50ml)</t>
  </si>
  <si>
    <t>`8906120589123</t>
  </si>
  <si>
    <t>Pilgrim Pearl Shimmer Makeup Bag</t>
  </si>
  <si>
    <t>`PGPSMB1</t>
  </si>
  <si>
    <t>Pilgrim Shopping Bags</t>
  </si>
  <si>
    <t>`PGSB1</t>
  </si>
  <si>
    <t>TESTER - Pilgrim Natural Vitamin C Serum for Face (20%)</t>
  </si>
  <si>
    <t>`08906120580557</t>
  </si>
  <si>
    <t>TESTER - Redensyl &amp; Anagain ADVANCED HAIR GROWTH SERUM</t>
  </si>
  <si>
    <t>`08906120581509</t>
  </si>
  <si>
    <t>Australian Tea Tree Anti-Dandruff Conditioner (200ml)</t>
  </si>
  <si>
    <t>`8906120589727</t>
  </si>
  <si>
    <t>Pilgrim Glitter Lipstick Dubai Gold (4.2g)</t>
  </si>
  <si>
    <t>`8904482500671</t>
  </si>
  <si>
    <t>Pilgrim Banana Loose Powder (8g)</t>
  </si>
  <si>
    <t>`8906120589826</t>
  </si>
  <si>
    <t>Serum Foundation Warm Mocha (30ml)</t>
  </si>
  <si>
    <t>`8904482501517</t>
  </si>
  <si>
    <t>Pilgrim Black Makeup Pouch - Online</t>
  </si>
  <si>
    <t>`PGBMP3</t>
  </si>
  <si>
    <t>Vitamin C DETAN CREAM (450g)</t>
  </si>
  <si>
    <t>`8904482501951</t>
  </si>
  <si>
    <t>Premium Liquid Lipstick Nude Elegance (3.5ml)</t>
  </si>
  <si>
    <t>`8904482503078</t>
  </si>
  <si>
    <t>Premium Liquid Lipstick Rose Allure (3.5ml)</t>
  </si>
  <si>
    <t>`8904482503085</t>
  </si>
  <si>
    <t>Premium Liquid Lipstick Truffle Mystere (3.5ml)</t>
  </si>
  <si>
    <t>`8904482503092</t>
  </si>
  <si>
    <t>Premium Liquid Lipstick Caramel Bebe (3.5ml)</t>
  </si>
  <si>
    <t>`8904482503108</t>
  </si>
  <si>
    <t>Premium Liquid Lipstick Chic Mocha (3.5ml)</t>
  </si>
  <si>
    <t>`8904482503115</t>
  </si>
  <si>
    <t>Premium Liquid Lipstick Ruby Kiss (3.5ml)</t>
  </si>
  <si>
    <t>`8904482503122</t>
  </si>
  <si>
    <t>Premium Liquid Lipstick French Red (3.5ml)</t>
  </si>
  <si>
    <t>`8904482503139</t>
  </si>
  <si>
    <t>Premium Liquid Lipstick Rouge Crush (3.5ml)</t>
  </si>
  <si>
    <t>`8904482503146</t>
  </si>
  <si>
    <t>Premium Liquid Lipstick Wine Seduction (3.5ml)</t>
  </si>
  <si>
    <t>`8904482503153</t>
  </si>
  <si>
    <t>Premium Liquid Lipstick Berry Desire (3.5ml)</t>
  </si>
  <si>
    <t>`8904482503160</t>
  </si>
  <si>
    <t>Premium Liquid Lipstick Belle Pink (3.5ml)</t>
  </si>
  <si>
    <t>`8904482503177</t>
  </si>
  <si>
    <t>Premium Liquid Lipstick Pink amour (3.5ml)</t>
  </si>
  <si>
    <t>`8904482503184</t>
  </si>
  <si>
    <t>Premium Liquid Lipstick Mauve Affaire (3.5ml)</t>
  </si>
  <si>
    <t>`8904482503191</t>
  </si>
  <si>
    <t>Premium Liquid Lipstick Chocolat Cherie (3.5ml)</t>
  </si>
  <si>
    <t>`8904482503207</t>
  </si>
  <si>
    <t>BHC Palette Sultry Romance</t>
  </si>
  <si>
    <t>`8904482502484</t>
  </si>
  <si>
    <t>BHC Palette Bold Charme</t>
  </si>
  <si>
    <t>`8904482502491</t>
  </si>
  <si>
    <t>Foundation Stick Light Vanilla</t>
  </si>
  <si>
    <t>`8904482502262</t>
  </si>
  <si>
    <t>Foundation Stick Classic Nude</t>
  </si>
  <si>
    <t>`8904482502279</t>
  </si>
  <si>
    <t>Foundation Stick Light Beige</t>
  </si>
  <si>
    <t>`8904482502286</t>
  </si>
  <si>
    <t>Foundation Stick Medium Sand</t>
  </si>
  <si>
    <t>`8904482502293</t>
  </si>
  <si>
    <t>Foundation Stick Classic Almond</t>
  </si>
  <si>
    <t>`8904482502309</t>
  </si>
  <si>
    <t>Foundation Stick Rich Walnut</t>
  </si>
  <si>
    <t>`8904482502316</t>
  </si>
  <si>
    <t>Foundation Stick Deep Mocha</t>
  </si>
  <si>
    <t>`8904482502323</t>
  </si>
  <si>
    <t>Dual Tone Laptop Bag</t>
  </si>
  <si>
    <t>`1000000000113</t>
  </si>
  <si>
    <t>PWP-Pilgrim Mini Liquid Lipstick Pack of 4 Salon Combo</t>
  </si>
  <si>
    <t>`2000000000001</t>
  </si>
  <si>
    <t>Pilgrim Concealer Orange (7.3ml)</t>
  </si>
  <si>
    <t>`8904482503443</t>
  </si>
  <si>
    <t>Liquid Serum Blush Raspberry CrÃªpe (5.5g)</t>
  </si>
  <si>
    <t>`8904482503399</t>
  </si>
  <si>
    <t>Liquid Serum Blush RosÃ© SoufflÃ© (5.5g)</t>
  </si>
  <si>
    <t>`8904482503405</t>
  </si>
  <si>
    <t>Liquid Serum Blush French Croissant (5.5g)</t>
  </si>
  <si>
    <t>`8904482503412</t>
  </si>
  <si>
    <t>Liquid Serum Blush Macaron Crush (5.5g)</t>
  </si>
  <si>
    <t>`8904482503429</t>
  </si>
  <si>
    <t>Liquid Serum Blush Strawberry MoussÃ© (5.5g)</t>
  </si>
  <si>
    <t>`8904482503436</t>
  </si>
  <si>
    <t>Liquid Serum Highlighter Sunkiss Gold (5.3g)</t>
  </si>
  <si>
    <t>`8904482503382</t>
  </si>
  <si>
    <t>Biphasic Micellar Water (400ml)</t>
  </si>
  <si>
    <t>`8904482503375</t>
  </si>
  <si>
    <t>Korean Rice Water &amp; Collagen Advanced Damage Repair Hair Serum SPF 35 (100ml)</t>
  </si>
  <si>
    <t>`8904482502941</t>
  </si>
  <si>
    <t>Pilgrim Travel Pouch - Online</t>
  </si>
  <si>
    <t>`1000000099997</t>
  </si>
  <si>
    <t>RED VINE FOAMING FACE WASH WITH BRUSH</t>
  </si>
  <si>
    <t>`8906120584012</t>
  </si>
  <si>
    <t>Skin Care Gift BOX Pack Of 5</t>
  </si>
  <si>
    <t>Premium At-Home Relaxation Spa Gift Set Box</t>
  </si>
  <si>
    <t>`8906120584036</t>
  </si>
  <si>
    <t>Hair care Gift Box Pack Of 3</t>
  </si>
  <si>
    <t>`8906120584043</t>
  </si>
  <si>
    <t>Squalane Bubblegum LIP SLEEPING MASK (8g)</t>
  </si>
  <si>
    <t>Squalane Bubblegum LIP SLEEPING MASK</t>
  </si>
  <si>
    <t>`8906120585088</t>
  </si>
  <si>
    <t>Tea Tree ESSENTIAL OIL (10ml)</t>
  </si>
  <si>
    <t>Tea Tree ESSENTIAL OIL</t>
  </si>
  <si>
    <t>`8906120585446</t>
  </si>
  <si>
    <t>Squalane Lip Range Pink Bag</t>
  </si>
  <si>
    <t>Metallic Eyeliner Boldly Bronze (3.5ml)</t>
  </si>
  <si>
    <t>`8906120588478</t>
  </si>
  <si>
    <t>SindoorRoyalMaroon (5ml)</t>
  </si>
  <si>
    <t>`8906120588898</t>
  </si>
  <si>
    <t>Pilgrim Small Box</t>
  </si>
  <si>
    <t>B2C Small Shipping Box</t>
  </si>
  <si>
    <t>`2222222222222</t>
  </si>
  <si>
    <t>Pilgrim Big Box</t>
  </si>
  <si>
    <t>B2C Big Shipping Box</t>
  </si>
  <si>
    <t>`4444444444444</t>
  </si>
  <si>
    <t>Daily Glow Gift Kit Box</t>
  </si>
  <si>
    <t>`1111111234567</t>
  </si>
  <si>
    <t>Detan &amp; Glow Gift Kit Box</t>
  </si>
  <si>
    <t>`1111111234568</t>
  </si>
  <si>
    <t>Destress Luxury Night Skincare Kit Box</t>
  </si>
  <si>
    <t>`1111111234569</t>
  </si>
  <si>
    <t>Bright Skin Care Gift Kit Box</t>
  </si>
  <si>
    <t>`1111111234570</t>
  </si>
  <si>
    <t>Glow &amp; Moisturize Gift Kit Box</t>
  </si>
  <si>
    <t>`1111111234571</t>
  </si>
  <si>
    <t>Silky Hair Essentials Gift kits Box</t>
  </si>
  <si>
    <t>`1111111234572</t>
  </si>
  <si>
    <t>Silky Smooth Hair Essentials Gift kits Box</t>
  </si>
  <si>
    <t>`1111111234573</t>
  </si>
  <si>
    <t>Glowing 24K Gold Facial Gift Kit Box</t>
  </si>
  <si>
    <t>`1111111234574</t>
  </si>
  <si>
    <t>Men Special Gift Kit Box</t>
  </si>
  <si>
    <t>`1111111234575</t>
  </si>
  <si>
    <t>Pilgrim Beige Makeup Pouch Offline</t>
  </si>
  <si>
    <t>`PGBMP2</t>
  </si>
  <si>
    <t>`1111111234667</t>
  </si>
  <si>
    <t>Institutional_Sales_1</t>
  </si>
  <si>
    <t>Redensyl &amp; Anagain Hair fall control conditioner (200ml)</t>
  </si>
  <si>
    <t>`8906120589581</t>
  </si>
  <si>
    <t>Pilgrim Makeup Bag Red - Offline</t>
  </si>
  <si>
    <t>`PGRMB1</t>
  </si>
  <si>
    <t>TESTER - Volcanic Lava Ash Face Scrub</t>
  </si>
  <si>
    <t>`08906120580069</t>
  </si>
  <si>
    <t>TESTER - White Lotus Day Cream SPF 50</t>
  </si>
  <si>
    <t>`08906120580076</t>
  </si>
  <si>
    <t>TESTER - Argan Oil Hair Serum</t>
  </si>
  <si>
    <t>`08906120580106</t>
  </si>
  <si>
    <t>TESTER - Red Vine Face Cream with SPF 30</t>
  </si>
  <si>
    <t>`08906120580311</t>
  </si>
  <si>
    <t>TESTER - Red Vine Face Mask</t>
  </si>
  <si>
    <t>`08906120580342</t>
  </si>
  <si>
    <t>TESTER - Red Vine Face Scrub</t>
  </si>
  <si>
    <t>`08906120580410</t>
  </si>
  <si>
    <t>TESTER - 25% Aha, 2% BHA, 5% PHA Peeling Solution</t>
  </si>
  <si>
    <t>`08906120582193</t>
  </si>
  <si>
    <t>TESTER - Retinol Under eye cream</t>
  </si>
  <si>
    <t>`08906120580526</t>
  </si>
  <si>
    <t>TESTER - Salicylic Acid &amp; Niacinamide Oil Control Serum</t>
  </si>
  <si>
    <t>`08906120582209</t>
  </si>
  <si>
    <t>TESTER - 2% Hyaluronic Acid Hydration Super Serum</t>
  </si>
  <si>
    <t>`08906120582216</t>
  </si>
  <si>
    <t>TESTER - Oil-free Gel Moisturiser</t>
  </si>
  <si>
    <t>`08906120582414</t>
  </si>
  <si>
    <t>TESTER - 99% Aloe Vera Gel</t>
  </si>
  <si>
    <t>`08906120582803</t>
  </si>
  <si>
    <t>TESTER - 24k Gold Oil</t>
  </si>
  <si>
    <t>`08906120582360</t>
  </si>
  <si>
    <t>TESTER - Red Vine Face Serum</t>
  </si>
  <si>
    <t>`08906120584029</t>
  </si>
  <si>
    <t>TESTER - Squalane Glow Sleeping Mask - 50g</t>
  </si>
  <si>
    <t>`08906120583930</t>
  </si>
  <si>
    <t>TESTER - Squalane Toner and Mist - 100ml</t>
  </si>
  <si>
    <t>`08906120583909</t>
  </si>
  <si>
    <t>TESTER - Squalane Peppermint LIP SERUM</t>
  </si>
  <si>
    <t>`08906120585071</t>
  </si>
  <si>
    <t>TESTER - Squalane Blueberry LIP SCRUB</t>
  </si>
  <si>
    <t>`08906120585026</t>
  </si>
  <si>
    <t>TESTER - Squalane Bubblegum LIP SLEEPING MASK</t>
  </si>
  <si>
    <t>`08906120585088</t>
  </si>
  <si>
    <t>TESTER - Tea Tree PURIFYING TONER</t>
  </si>
  <si>
    <t>`08906120585415</t>
  </si>
  <si>
    <t>TESTER - Tea Tree LIGHT NON-OILY MOISTURIZER</t>
  </si>
  <si>
    <t>`08906120585422</t>
  </si>
  <si>
    <t>TESTER - Tea Tree &amp; 10% NIACINAMIDE BLEMISH REMOVER SERUM</t>
  </si>
  <si>
    <t>`08906120585439</t>
  </si>
  <si>
    <t>TESTER - Patua &amp; Hyaluronic Acid SMOOTHING HAIR SERUM</t>
  </si>
  <si>
    <t>`08906120586214</t>
  </si>
  <si>
    <t>TESTER - Patua ANTI-GREY HAIR SERUM</t>
  </si>
  <si>
    <t>`08906120586245</t>
  </si>
  <si>
    <t>TESTER - Patua STRENGTHENING HAIR OIL</t>
  </si>
  <si>
    <t>`08906120586238</t>
  </si>
  <si>
    <t>TESTER - Squalane Strawberry Lip Balm</t>
  </si>
  <si>
    <t>`08906120586825</t>
  </si>
  <si>
    <t>TESTER - 1% Vitamin C TONER 100ml</t>
  </si>
  <si>
    <t>`08906120586757</t>
  </si>
  <si>
    <t>TESTER - 20% Vitamin C SERUM 25ml</t>
  </si>
  <si>
    <t>`08906120586733</t>
  </si>
  <si>
    <t>TESTER - VITAMIN C BODY SERUM LOTION 150ml</t>
  </si>
  <si>
    <t>`08906120586771</t>
  </si>
  <si>
    <t>TESTER - Pilgrim Body Mist French Kiss 150ml</t>
  </si>
  <si>
    <t>`08906120587372</t>
  </si>
  <si>
    <t>TESTER - Pilgrim Body Mist NY Babe 150ml</t>
  </si>
  <si>
    <t>`08906120587389</t>
  </si>
  <si>
    <t>TESTER - Pilgrim Body Mist Summer Escape 150ml</t>
  </si>
  <si>
    <t>`08906120587396</t>
  </si>
  <si>
    <t>TESTER - Pilgrim Eau de Parfum Alpha</t>
  </si>
  <si>
    <t>`08906120587419</t>
  </si>
  <si>
    <t>TESTER - Pilgrim Eau de Parfum Greek God</t>
  </si>
  <si>
    <t>`08906120587402</t>
  </si>
  <si>
    <t>TESTER - Pilgrim Eau de Parfum Zen</t>
  </si>
  <si>
    <t>`08906120587426</t>
  </si>
  <si>
    <t>TESTER - Pilgrim EDP The Impressions Collection (3 in 1 Gift Box)</t>
  </si>
  <si>
    <t>`08906120587631</t>
  </si>
  <si>
    <t>TESTER - VITAMIN C LIGHTENING LIP SLEEPINGMASK</t>
  </si>
  <si>
    <t>`08906120587488</t>
  </si>
  <si>
    <t>TESTER - VITAMIN C LIGHTENINGLIPBALMSPF30</t>
  </si>
  <si>
    <t>`08906120587495</t>
  </si>
  <si>
    <t>TESTER - 24K GOLD GELMOISTURIZER50g</t>
  </si>
  <si>
    <t>`08906120587471</t>
  </si>
  <si>
    <t>TESTER - SWISS AQUA RUSH HYDRATING GEL TONER</t>
  </si>
  <si>
    <t>`08906120586917</t>
  </si>
  <si>
    <t>TESTER - SWISS AQUA RUSH 12 HA SERUM With Hydration Burst Beads</t>
  </si>
  <si>
    <t>`08906120586955</t>
  </si>
  <si>
    <t>TESTER - SWISS AQUA RUSH 120H MOISTURIZER</t>
  </si>
  <si>
    <t>`08906120586962</t>
  </si>
  <si>
    <t>TESTER - SWISS AQUA RUSH OVERNIGHT HYDRATING CREAM</t>
  </si>
  <si>
    <t>`08906120586924</t>
  </si>
  <si>
    <t>TESTER - Spanish Rosemary &amp; Biotin Hair Growth Oil</t>
  </si>
  <si>
    <t>`08906120587839</t>
  </si>
  <si>
    <t>TESTER - Spanish Rosemary Essential Oil</t>
  </si>
  <si>
    <t>`08906120587846</t>
  </si>
  <si>
    <t>TESTER - Kajal Black Mischief</t>
  </si>
  <si>
    <t>`08906120587761</t>
  </si>
  <si>
    <t>TESTER - Eyeliner Black Scandal</t>
  </si>
  <si>
    <t>`08906120588447</t>
  </si>
  <si>
    <t>TESTER - Metallic Eyeliner Boldly Bronze</t>
  </si>
  <si>
    <t>`08906120588478</t>
  </si>
  <si>
    <t>TESTER - Metallic Eyeliner Blue Rebel</t>
  </si>
  <si>
    <t>`08906120588508</t>
  </si>
  <si>
    <t>TESTER - Metallic Eyeliner Green Envy</t>
  </si>
  <si>
    <t>`08906120588539</t>
  </si>
  <si>
    <t>TESTER - BB Cream Beige Glow</t>
  </si>
  <si>
    <t>`08906120587747</t>
  </si>
  <si>
    <t>TESTER - BB Cream Almond Glow</t>
  </si>
  <si>
    <t>`08906120587808</t>
  </si>
  <si>
    <t>TESTER - Serum Foundation Pure Ivory</t>
  </si>
  <si>
    <t>`08906120588560</t>
  </si>
  <si>
    <t>TESTER - Serum Foundation Classic Nude</t>
  </si>
  <si>
    <t>`08906120588591</t>
  </si>
  <si>
    <t>TESTER - Serum Foundation Golden Beige</t>
  </si>
  <si>
    <t>`08906120588621</t>
  </si>
  <si>
    <t>TESTER - Serum Foundation Warm Sand</t>
  </si>
  <si>
    <t>`08906120588652</t>
  </si>
  <si>
    <t>TESTER - Serum Foundation Natural Almond</t>
  </si>
  <si>
    <t>`08906120588683</t>
  </si>
  <si>
    <t>TESTER - Serum Foundation Rich Caramel</t>
  </si>
  <si>
    <t>`08906120588713</t>
  </si>
  <si>
    <t>TESTER - Compact Powder Pure Ivory</t>
  </si>
  <si>
    <t>`08906120588744</t>
  </si>
  <si>
    <t>TESTER - Compact Powder Classic Nude</t>
  </si>
  <si>
    <t>`08906120588775</t>
  </si>
  <si>
    <t>TESTER - Compact Powder Golden Beige</t>
  </si>
  <si>
    <t>`08906120588805</t>
  </si>
  <si>
    <t>TESTER - Illuminating Moisturizer</t>
  </si>
  <si>
    <t>`08906120587853</t>
  </si>
  <si>
    <t>TESTER - Liquid Lipstick The Red Stiletto</t>
  </si>
  <si>
    <t>`08906120588287</t>
  </si>
  <si>
    <t>TESTER - Liquid Lipstick Bossy Brown</t>
  </si>
  <si>
    <t>`08906120588300</t>
  </si>
  <si>
    <t>TESTER - Liquid Lipstick Nude Obsessed</t>
  </si>
  <si>
    <t>`08906120588317</t>
  </si>
  <si>
    <t>TESTER - Liquid Lipstick Mauve Desire</t>
  </si>
  <si>
    <t>`08906120588072</t>
  </si>
  <si>
    <t>TESTER - Liquid Lipstick Flirty Rose</t>
  </si>
  <si>
    <t>`08906120588133</t>
  </si>
  <si>
    <t>TESTER - Liquid Lipstick Saucy Coral</t>
  </si>
  <si>
    <t>`08906120588164</t>
  </si>
  <si>
    <t>TESTER - Liquid Lipstick Blushing Nude</t>
  </si>
  <si>
    <t>`08906120588195</t>
  </si>
  <si>
    <t>TESTER - Liquid Lipstick Kinky Pink</t>
  </si>
  <si>
    <t>`08906120588225</t>
  </si>
  <si>
    <t>TESTER - Liquid Lipstick Pink Climax</t>
  </si>
  <si>
    <t>`08906120588256</t>
  </si>
  <si>
    <t>TESTER - Liquid Lipstick Purple Lust</t>
  </si>
  <si>
    <t>`08906120588935</t>
  </si>
  <si>
    <t>TESTER - Lip Cheek and Eye Tint Pink Filter</t>
  </si>
  <si>
    <t>`08906120588331</t>
  </si>
  <si>
    <t>TESTER - Lip Cheek and Eye Tint Coral Story</t>
  </si>
  <si>
    <t>`08906120588362</t>
  </si>
  <si>
    <t>TESTER - Lip Cheek and Eye Tint The Brown Trend</t>
  </si>
  <si>
    <t>`08906120588393</t>
  </si>
  <si>
    <t>TESTER - SindoorRoyalMaroon</t>
  </si>
  <si>
    <t>`08906120588898</t>
  </si>
  <si>
    <t>TESTER - 24K GOLD FACIAL KIT For Golden Glow</t>
  </si>
  <si>
    <t>`08906120587457</t>
  </si>
  <si>
    <t>TESTER - 3% Redensyl &amp; 4% Anagain ADVANCED HAIR GROWTH SERUM (30 ml version) (GTM)</t>
  </si>
  <si>
    <t>`08906120589161</t>
  </si>
  <si>
    <t>TESTER - Pilgrim 2% KOJIC ACID SERUM</t>
  </si>
  <si>
    <t>`08906120589185</t>
  </si>
  <si>
    <t>TESTER - Vitamin C under eye serum</t>
  </si>
  <si>
    <t>`08906120589130</t>
  </si>
  <si>
    <t>TESTER - Pilgrim French Red Vine Supermelt Cleansing Balm</t>
  </si>
  <si>
    <t>`08906120589178</t>
  </si>
  <si>
    <t>TESTER - Insta Fix Makeup Setting Spray</t>
  </si>
  <si>
    <t>`08906120589215</t>
  </si>
  <si>
    <t>TESTER - 2% NIACINAMIDE GLOW SUNSCREEN SPF 50 PA+++</t>
  </si>
  <si>
    <t>`08906120589550</t>
  </si>
  <si>
    <t>TESTER - Australian Tea Tree Anti-Dandruff Scalp Serum</t>
  </si>
  <si>
    <t>`08906120589741</t>
  </si>
  <si>
    <t>TESTER-5% NIACINAMIDE FACE SERUM (10 ml)</t>
  </si>
  <si>
    <t>`08906120589659</t>
  </si>
  <si>
    <t>TESTER-10% NIACINAMIDE FACE SERUM (30 ml)</t>
  </si>
  <si>
    <t>`08906120589680</t>
  </si>
  <si>
    <t>TESTER-15% VITAMIN C FACE SERUM (20 ml)</t>
  </si>
  <si>
    <t>`08906120589628</t>
  </si>
  <si>
    <t>Black spray pump china - HGS 50ml - 18mm</t>
  </si>
  <si>
    <t>`8906120589772</t>
  </si>
  <si>
    <t>Pilgrim Red Makeup Bag - Online</t>
  </si>
  <si>
    <t>`PGRMB2</t>
  </si>
  <si>
    <t>24K GOLD FACIAL KIT MEGA SAVER PACK 12x Facials (OFFLINE SLEEVE) (120g)</t>
  </si>
  <si>
    <t>`8906120589765</t>
  </si>
  <si>
    <t>Pilgrim GWP - Gold - Offline bag</t>
  </si>
  <si>
    <t>`PGGWPG</t>
  </si>
  <si>
    <t>Pilgrim Bullet Lipstick Coral Envy (4.2g)</t>
  </si>
  <si>
    <t>`8904482500046</t>
  </si>
  <si>
    <t>TESTER - Pilgrim Blush Duo Flamenco Pink</t>
  </si>
  <si>
    <t>`08904482500008</t>
  </si>
  <si>
    <t>TESTER - Pilgrim Blush Duo Coral Rumba</t>
  </si>
  <si>
    <t>`08904482500015</t>
  </si>
  <si>
    <t>TESTER - Pilgrim Blush Duo Berry Beat</t>
  </si>
  <si>
    <t>`08904482500022</t>
  </si>
  <si>
    <t>TESTER - Liquid Lipstick Wine Trap</t>
  </si>
  <si>
    <t>`08904482500527</t>
  </si>
  <si>
    <t>TESTER - Liquid Lipstick Ruby Fling</t>
  </si>
  <si>
    <t>`08904482500541</t>
  </si>
  <si>
    <t>TESTER - Liquid Lipstick Rosy Darling</t>
  </si>
  <si>
    <t>`08904482500565</t>
  </si>
  <si>
    <t>TESTER - Liquid Lipstick Pink Cuff</t>
  </si>
  <si>
    <t>`08904482500589</t>
  </si>
  <si>
    <t>TESTER - Liquid Lipstick Nude Feud</t>
  </si>
  <si>
    <t>`08904482500596</t>
  </si>
  <si>
    <t>TESTER - Liquid Lipstick Sexy Scarlet</t>
  </si>
  <si>
    <t>`08904482500503</t>
  </si>
  <si>
    <t>TESTER - Pilgrim Eyeshadow Fiesta Queen</t>
  </si>
  <si>
    <t>`08906120589857</t>
  </si>
  <si>
    <t>TESTER - Pilgrim Eyeshadow Midnight Soiree</t>
  </si>
  <si>
    <t>`08906120589840</t>
  </si>
  <si>
    <t>TESTER - Pilgrim Concealer Ivory</t>
  </si>
  <si>
    <t>`08906120589789</t>
  </si>
  <si>
    <t>TESTER - Pilgrim Concealer Sand</t>
  </si>
  <si>
    <t>`08906120589796</t>
  </si>
  <si>
    <t>TESTER - Pilgrim Concealer Beige</t>
  </si>
  <si>
    <t>`08906120589802</t>
  </si>
  <si>
    <t>TESTER - Pilgrim Concealer Almond</t>
  </si>
  <si>
    <t>`08906120589819</t>
  </si>
  <si>
    <t>TESTER - Pilgrim Bullet Lipstick Coral Envy</t>
  </si>
  <si>
    <t>`08904482500046</t>
  </si>
  <si>
    <t>TESTER - Pilgrim Bullet Lipstick Caramel Guilt</t>
  </si>
  <si>
    <t>`08904482500053</t>
  </si>
  <si>
    <t>TESTER - Pilgrim Bullet Lipstick Cupids Pink</t>
  </si>
  <si>
    <t>`08904482500060</t>
  </si>
  <si>
    <t>TESTER - Pilgrim Bullet Lipstick Mocha Bliss</t>
  </si>
  <si>
    <t>`08904482500077</t>
  </si>
  <si>
    <t>TESTER - Pilgrim Bullet Lipstick Nude Mystery</t>
  </si>
  <si>
    <t>`08904482500084</t>
  </si>
  <si>
    <t>TESTER - Pilgrim Bullet Lipstick Coco Caress</t>
  </si>
  <si>
    <t>`08904482500091</t>
  </si>
  <si>
    <t>TESTER - Pilgrim Bullet Lipstick Pink Passion</t>
  </si>
  <si>
    <t>`08904482500107</t>
  </si>
  <si>
    <t>TESTER - Pilgrim Bullet Lipstick Pink Hotness</t>
  </si>
  <si>
    <t>`08904482500114</t>
  </si>
  <si>
    <t>TESTER - Pilgrim Bullet Lipstick Forbidden Pink</t>
  </si>
  <si>
    <t>`08904482500121</t>
  </si>
  <si>
    <t>TESTER - Pilgrim Bullet Lipstick Pink Romance</t>
  </si>
  <si>
    <t>`08904482500138</t>
  </si>
  <si>
    <t>TESTER - Pilgrim Bullet Lipstick Flaming Red</t>
  </si>
  <si>
    <t>`08904482500145</t>
  </si>
  <si>
    <t>TESTER - Pilgrim Bullet Lipstick Untamed Red</t>
  </si>
  <si>
    <t>`08904482500152</t>
  </si>
  <si>
    <t>TESTER - Pilgrim Bullet Lipstick Maroon Affair</t>
  </si>
  <si>
    <t>`08904482500169</t>
  </si>
  <si>
    <t>TESTER - Pilgrim Bullet Lipstick Burgundy Blaze</t>
  </si>
  <si>
    <t>`08904482500176</t>
  </si>
  <si>
    <t>TESTER - Pilgrim Bullet Lipstick Ruby Revolt</t>
  </si>
  <si>
    <t>`08904482500183</t>
  </si>
  <si>
    <t>TESTER - Pilgrim Bullet Lipstick Sultry Wine</t>
  </si>
  <si>
    <t>`08904482500190</t>
  </si>
  <si>
    <t>TESTER - Pilgrim Bullet Lipstick Nude Kiss</t>
  </si>
  <si>
    <t>`08904482500206</t>
  </si>
  <si>
    <t>TESTER - Pilgrim Bullet Lipstick Alpha Brown</t>
  </si>
  <si>
    <t>`08904482500237</t>
  </si>
  <si>
    <t>TESTER - Pilgrim Compact Powder Entry Level Ivory</t>
  </si>
  <si>
    <t>`08904482500244</t>
  </si>
  <si>
    <t>TESTER - Pilgrim Compact Powder Entry Level Nude</t>
  </si>
  <si>
    <t>`08904482500251</t>
  </si>
  <si>
    <t>TESTER - Pilgrim Compact Powder Entry Level Honey</t>
  </si>
  <si>
    <t>`08904482500268</t>
  </si>
  <si>
    <t>TESTER - Pilgrim Compact Powder Entry Level Almond</t>
  </si>
  <si>
    <t>`08904482500275</t>
  </si>
  <si>
    <t>TESTER - Pilgrim Compact Powder Entry Level Caramel</t>
  </si>
  <si>
    <t>`08904482500282</t>
  </si>
  <si>
    <t>TESTER - Pilgrim Mega Volume Waterproof Mascara Black Passion</t>
  </si>
  <si>
    <t>`08904482501180</t>
  </si>
  <si>
    <t>Pilgrim Glitter Lipstick Her Highness (4.2g)</t>
  </si>
  <si>
    <t>`8904482500725</t>
  </si>
  <si>
    <t>Pilgrim Makeup Bag Royal Blue - offline Velvet Pouch</t>
  </si>
  <si>
    <t>`PGGWPRB1</t>
  </si>
  <si>
    <t>TESTER-Pilgrim Glitter Lipstick Dubai Gold</t>
  </si>
  <si>
    <t>`08904482500671</t>
  </si>
  <si>
    <t>TESTER-Pilgrim Glitter Lipstick Arabian Nites</t>
  </si>
  <si>
    <t>`08904482500688</t>
  </si>
  <si>
    <t>TESTER-Pilgrim Glitter Lipstick Chic Haseena</t>
  </si>
  <si>
    <t>`08904482500701</t>
  </si>
  <si>
    <t>TESTER-Spanish Rosemary Water With Biotin</t>
  </si>
  <si>
    <t>`08904482501357</t>
  </si>
  <si>
    <t>TESTER-Spanish Rosemary Root Active Anti-Hairfall Serum</t>
  </si>
  <si>
    <t>`08904482501494</t>
  </si>
  <si>
    <t>TESTER-3% Redensyl &amp; 4%  Anagain ADVANCED HAIR GROWTH SERUM For Dandruff-Prone Scalp</t>
  </si>
  <si>
    <t>`08904482501487</t>
  </si>
  <si>
    <t>TESTER-Sulfate Free Shampoo</t>
  </si>
  <si>
    <t>`08906120589147</t>
  </si>
  <si>
    <t>TESTER-Pilgrim Argan Oil Hair Conditioner For Dry Fizzy Hair</t>
  </si>
  <si>
    <t>`08906120580472</t>
  </si>
  <si>
    <t>TESTER-Pilgrim Volcanic Lava Ash Foaming Face Wash with Built In Brush for Deep Cleansing | Korean Skin Car</t>
  </si>
  <si>
    <t>`08906120582391</t>
  </si>
  <si>
    <t>TESTER-Pilgrim Mild Face Wash Cleanser for Deep Pore Cleansing, Oil Control, Pollution Defence,Dry, Oily an</t>
  </si>
  <si>
    <t>`08906120582421</t>
  </si>
  <si>
    <t>TESTER-Tea Tree PURIFYING FOAMING FACE WASH</t>
  </si>
  <si>
    <t>`08906120585392</t>
  </si>
  <si>
    <t>TESTER-Patu &amp; Keratin HAIR SMOOTHING CONDITIONER</t>
  </si>
  <si>
    <t>`08906120585873</t>
  </si>
  <si>
    <t>TESTER-Patu  LEAVE-IN CONDITIONER</t>
  </si>
  <si>
    <t>`08906120586795</t>
  </si>
  <si>
    <t>TESTER-KOREAN VOLCANIC LAVA ASH OIL-CONTROL FACE WASH</t>
  </si>
  <si>
    <t>`08906120589086</t>
  </si>
  <si>
    <t>TESTER-Redensyl &amp; Anagain HAIRFALL CONTROL SHAMPOO(GTM)</t>
  </si>
  <si>
    <t>`08906120589154</t>
  </si>
  <si>
    <t>TESTER-Redensyl &amp; Anagain Hair fall control Hair  Mask</t>
  </si>
  <si>
    <t>`08906120589567</t>
  </si>
  <si>
    <t>TESTER-Spanish Rosemary Anti Hair fall Hair Mask</t>
  </si>
  <si>
    <t>`08906120589574</t>
  </si>
  <si>
    <t>TESTER-Australian Tea Tree Anti-Dandruff Hair Mask</t>
  </si>
  <si>
    <t>`08906120589734</t>
  </si>
  <si>
    <t>TESTER-Pilgrim Glitter Lipstick Jumeirah Jewel</t>
  </si>
  <si>
    <t>`08904482500657</t>
  </si>
  <si>
    <t>TESTER-Pilgrim Glitter Lipstick The Khalifa</t>
  </si>
  <si>
    <t>`08904482500664</t>
  </si>
  <si>
    <t>TESTER-Pilgrim Glitter Lipstick Royal Noor</t>
  </si>
  <si>
    <t>`08904482500695</t>
  </si>
  <si>
    <t>TESTER-Pilgrim Glitter Lipstick My Habibi</t>
  </si>
  <si>
    <t>`08904482500718</t>
  </si>
  <si>
    <t>TESTER-Pilgrim Mega Curl Tubing Mascara</t>
  </si>
  <si>
    <t>`08904482501173</t>
  </si>
  <si>
    <t>Pilgrim Gold Makeup Pouch - Online</t>
  </si>
  <si>
    <t>VITAMIN C DETAN &amp; BRIGHTENING FACIAL KIT (77ml)</t>
  </si>
  <si>
    <t>`8904482501531</t>
  </si>
  <si>
    <t>Pilgrim Calendar 2025</t>
  </si>
  <si>
    <t>Pilgrim Apology Note</t>
  </si>
  <si>
    <t>`1100000000001</t>
  </si>
  <si>
    <t>Teal PVC Frosted Hand Bag - Offline</t>
  </si>
  <si>
    <t>Offline</t>
  </si>
  <si>
    <t>`1000000000002</t>
  </si>
  <si>
    <t>Beige Travel Pouch - Offline</t>
  </si>
  <si>
    <t>`1000000000005</t>
  </si>
  <si>
    <t>TESTER-Korean Rice Water Hydra Glow Moisturizer (50g)</t>
  </si>
  <si>
    <t>TESTER-Korean Rice Water Hydra Glow Moisturizer (100g)</t>
  </si>
  <si>
    <t>`08904482502125</t>
  </si>
  <si>
    <t>TESTER-Korean Rice Water &amp; Collagen Advanced Damage Repair Conditioner</t>
  </si>
  <si>
    <t>Vitamin C FACIAL KIT (95ml)</t>
  </si>
  <si>
    <t>`8904482502149</t>
  </si>
  <si>
    <t>24K Gold FACIAL KIT (95ml)</t>
  </si>
  <si>
    <t>`8904482502132</t>
  </si>
  <si>
    <t>Keratin &amp; Amazonian PatuÃ¡ SMOOTHENING SHAMPOO (950ml)</t>
  </si>
  <si>
    <t>`8904482501913</t>
  </si>
  <si>
    <t>TESTER1-5% Niacinamide OIL-FREE SUPER LIGHT GEL SUNSCREENSPF 50+ PA++++</t>
  </si>
  <si>
    <t>TESTER1-Korean Aloe COOLING FLUID SUNSCREEN SPF 50+ PA++++</t>
  </si>
  <si>
    <t>Ceramide Hydrating Cleanser (100 ml)</t>
  </si>
  <si>
    <t>`8904482502507</t>
  </si>
  <si>
    <t>Pilgrim Salon Paper Bag</t>
  </si>
  <si>
    <t>`1000000000010</t>
  </si>
  <si>
    <t>Lip Crayon Barely Nude (1.4g)</t>
  </si>
  <si>
    <t>`8904482502705</t>
  </si>
  <si>
    <t>Lip Crayon Temptin' Nude (1.4g)</t>
  </si>
  <si>
    <t>`8904482502712</t>
  </si>
  <si>
    <t>Lip Crayon Nude Coral  (1.4g)</t>
  </si>
  <si>
    <t>`8904482502729</t>
  </si>
  <si>
    <t>Lip Crayon Caramel Addict  (1.4g)</t>
  </si>
  <si>
    <t>`8904482502736</t>
  </si>
  <si>
    <t>Lip Crayon Pink Fantasy (1.4g)</t>
  </si>
  <si>
    <t>`8904482502743</t>
  </si>
  <si>
    <t>Lip Crayon Rose Play (1.4g)</t>
  </si>
  <si>
    <t>`8904482502750</t>
  </si>
  <si>
    <t>Lip Crayon Magical Mauve (1.4g)</t>
  </si>
  <si>
    <t>`8904482502767</t>
  </si>
  <si>
    <t>Lip Crayon Red Rebel (1.4g)</t>
  </si>
  <si>
    <t>`8904482502774</t>
  </si>
  <si>
    <t>Lip Crayon Maroon Mistress (1.4g)</t>
  </si>
  <si>
    <t>`8904482502781</t>
  </si>
  <si>
    <t>Lip Crayon Plum Secret (1.4g)</t>
  </si>
  <si>
    <t>`8904482502798</t>
  </si>
  <si>
    <t>Lip Crayon Magenta Lover (1.4g)</t>
  </si>
  <si>
    <t>`8904482502804</t>
  </si>
  <si>
    <t>Lip Crayon Naughty Wine (1.4g)</t>
  </si>
  <si>
    <t>`8904482502811</t>
  </si>
  <si>
    <t>Lip Crayon Mocha Obsession (1.4g)</t>
  </si>
  <si>
    <t>`8904482502828</t>
  </si>
  <si>
    <t>Lip Crayon Vixen Brown (1.4g)</t>
  </si>
  <si>
    <t>`8904482502835</t>
  </si>
  <si>
    <t>25% AHA, 2% BHA, 5% PHA PEELING SOLUTION (10ml)</t>
  </si>
  <si>
    <t>`8904482502866</t>
  </si>
  <si>
    <t>Minis - Australian Tea Tree &amp; Salicylic Acid Non-Drying Anti-Dandruff Shampoo (25 ml)</t>
  </si>
  <si>
    <t>`8904482503474</t>
  </si>
  <si>
    <t>Minis-Retinol Under Eye Cream with Vitamin C &amp; Hyaluronic Acid (8g)</t>
  </si>
  <si>
    <t>Minis-Retinol Under Eye Cream with Vitamin C &amp; Hyaluronic Acid</t>
  </si>
  <si>
    <t>`8906120586986</t>
  </si>
  <si>
    <t>Minis-Squalane Glow Sleeping Mask with Alpha Arbutin &amp; Hyaluronic Acid (8g)</t>
  </si>
  <si>
    <t>Minis-Squalane Glow Sleeping Mask with Alpha Arbutin &amp; Hyaluronic Acid</t>
  </si>
  <si>
    <t>`8906120587006</t>
  </si>
  <si>
    <t>Minis - 2% Niacinamide Glow Sunscreen Spf 50 Pa+++</t>
  </si>
  <si>
    <t>`8906120589710</t>
  </si>
  <si>
    <t>Minis - Vitamin C Brightening GEL FACE WASH (15ml)</t>
  </si>
  <si>
    <t>`8904482503467</t>
  </si>
  <si>
    <t>Minis-Lift &amp; Firm Serum (5ml)</t>
  </si>
  <si>
    <t>Minis-Lift &amp; Firm Serum</t>
  </si>
  <si>
    <t>`8906120587013</t>
  </si>
  <si>
    <t>Pilgrim Outer Box</t>
  </si>
  <si>
    <t>B2C Outer Shipping Box</t>
  </si>
  <si>
    <t>`5555555555555</t>
  </si>
  <si>
    <t>15% VITAMIN C FACE SERUM (10 ml)</t>
  </si>
  <si>
    <t>`8904482502880</t>
  </si>
  <si>
    <t>Patua Shampoo + Conditioner combo</t>
  </si>
  <si>
    <t>`8904482503214</t>
  </si>
  <si>
    <t>Dual Tone Pouch</t>
  </si>
  <si>
    <t>`1000000000112</t>
  </si>
  <si>
    <t>Keratin &amp; Amazonian PatuÃ¡ SMOOTHENING SHAMPOO 1.0 (650ml)</t>
  </si>
  <si>
    <t>`8904482503603</t>
  </si>
  <si>
    <t>Australian Tea Tree &amp; Salicylic Acid Non-Drying Anti-Dandruff Shampoo (650 ml)</t>
  </si>
  <si>
    <t>`8904482503627</t>
  </si>
  <si>
    <t>18-IN-1 Eyeshadow Palette</t>
  </si>
  <si>
    <t>`8904482503368</t>
  </si>
  <si>
    <t>Minis-Anti-Acne Serum (5ml)</t>
  </si>
  <si>
    <t>Minis-Anti-Acne Serum</t>
  </si>
  <si>
    <t>`8906120587020</t>
  </si>
  <si>
    <t>Minis - Korean Rice Water Hydra Glow Moisturizer (8g)</t>
  </si>
  <si>
    <t>`8904482502934</t>
  </si>
  <si>
    <t>Minis - 2% SALICYLIC ACID  FACE SERUM (5 ml)</t>
  </si>
  <si>
    <t>`08906120587020</t>
  </si>
  <si>
    <t>Australian Tea Tree Non-Drying Anti-Dandruff Shampoo (200ml)</t>
  </si>
  <si>
    <t>`8906120589758</t>
  </si>
  <si>
    <t>Keratin &amp; Amazonian PatuÃ¡ SMOOTHENING SHAMPOO  (100 ml)</t>
  </si>
  <si>
    <t>`8904482503566</t>
  </si>
  <si>
    <t>Minis - 10% Niacinamide Face Serum (5ml)</t>
  </si>
  <si>
    <t>`8904482502927</t>
  </si>
  <si>
    <t>Minis-Red Vine Face Mist &amp; Toner with Niacinamide (Vit. B3) &amp; Aloe (30ml)</t>
  </si>
  <si>
    <t>Minis-Red Vine Face Mist &amp; Toner with Niacinamide (Vit. B3) &amp; Aloe</t>
  </si>
  <si>
    <t>`8906120587259</t>
  </si>
  <si>
    <t>Pilgrim Medium Box</t>
  </si>
  <si>
    <t>B2C Medium Shipping Box</t>
  </si>
  <si>
    <t>`3333333333333</t>
  </si>
  <si>
    <t>Minis - Korean Rice Water &amp; Collagen Advanced Damage Repair Shampoo (25ml )</t>
  </si>
  <si>
    <t>`8904482503498</t>
  </si>
  <si>
    <t>Minis - Korean Rice Water &amp; Collagen Advanced  Damage Repair Hair Mask (25 ml)</t>
  </si>
  <si>
    <t>`8904482503481</t>
  </si>
  <si>
    <t>Minis - 10% VITAMIN C FACE SERUM (5 ml)</t>
  </si>
  <si>
    <t>`8904482502910</t>
  </si>
  <si>
    <t>Minis-Tea Tree Purifying Toner (30ml)</t>
  </si>
  <si>
    <t>Minis-Tea Tree Purifying Toner</t>
  </si>
  <si>
    <t>`8906120587228</t>
  </si>
  <si>
    <t>Pilgrim Mini Box</t>
  </si>
  <si>
    <t>B2C Mini Shipping Box</t>
  </si>
  <si>
    <t>`1111111111111</t>
  </si>
  <si>
    <t>25% AHA, 2% BHA, 5% PHA PEELING SOLUTION (60ml)</t>
  </si>
  <si>
    <t>`8904482502873</t>
  </si>
  <si>
    <t>en9567578596</t>
  </si>
  <si>
    <t>Heavenly Secrets Private Limited - Mumbai - Bhiwandi</t>
  </si>
  <si>
    <t>Pilgrim Life is a Journey T-shirt Small</t>
  </si>
  <si>
    <t>`8904482501302</t>
  </si>
  <si>
    <t>Pilgrim Wooden Comb</t>
  </si>
  <si>
    <t>`0000000000004</t>
  </si>
  <si>
    <t>Pilgrim GWP - Canvas - Offline bag</t>
  </si>
  <si>
    <t>`PGGWPC</t>
  </si>
  <si>
    <t>Offline TTU</t>
  </si>
  <si>
    <t>`PGOFFTTU</t>
  </si>
  <si>
    <t>Pilgrim Makeup Bag Maroon - offline Velvet Pouch</t>
  </si>
  <si>
    <t>`PGGWPM1</t>
  </si>
  <si>
    <t>Pilgrim Makeup Bag Baby Pink - offline Vanity Pouch</t>
  </si>
  <si>
    <t>`PGGWPBP1</t>
  </si>
  <si>
    <t>Pilgrim Face Towel</t>
  </si>
  <si>
    <t>`00000000000001</t>
  </si>
  <si>
    <t>TESTER - Squalane Ultra Matte Sunscreen SPF 50 PA+++</t>
  </si>
  <si>
    <t>`08906120584050</t>
  </si>
  <si>
    <t>TESTER - 2% Vitamin C OIL-FREE MOISTURIZER 50g</t>
  </si>
  <si>
    <t>`08906120586764</t>
  </si>
  <si>
    <t>TESTER - BB Cream Honey Glow</t>
  </si>
  <si>
    <t>`08906120587792</t>
  </si>
  <si>
    <t>TESTER - The French Love Collection (Gift Box)</t>
  </si>
  <si>
    <t>`08906120589321</t>
  </si>
  <si>
    <t>TESTER - 1% HYALURONIC ACID SUNSCREEN GEL SPF 50 PA+++</t>
  </si>
  <si>
    <t>`08906120589543</t>
  </si>
  <si>
    <t>T.T Compact</t>
  </si>
  <si>
    <t>`TTCOMPACT</t>
  </si>
  <si>
    <t>Makeup_1</t>
  </si>
  <si>
    <t>T.T Blush</t>
  </si>
  <si>
    <t>`TTBlush</t>
  </si>
  <si>
    <t>T.T Highlighter</t>
  </si>
  <si>
    <t>`TTHighlighter</t>
  </si>
  <si>
    <t>TESTER-10% VITAMIN C FACE SERUM (30 ml)</t>
  </si>
  <si>
    <t>`08906120589611</t>
  </si>
  <si>
    <t>Pilgrim GWP - White Trunk - Offline bag</t>
  </si>
  <si>
    <t>`PGWPWT</t>
  </si>
  <si>
    <t>Pilgrim Black T-shirt Extra Small</t>
  </si>
  <si>
    <t>`8904482501197</t>
  </si>
  <si>
    <t>Pilgrim Black T-shirt Small</t>
  </si>
  <si>
    <t>`8904482501203</t>
  </si>
  <si>
    <t>Pilgrim Black T-shirt Medium</t>
  </si>
  <si>
    <t>`8904482501210</t>
  </si>
  <si>
    <t>Pilgrim Black T-shirt Large</t>
  </si>
  <si>
    <t>`8904482501227</t>
  </si>
  <si>
    <t>Pilgrim Black T-shirt Extra Large</t>
  </si>
  <si>
    <t>`8904482501234</t>
  </si>
  <si>
    <t>Pilgrim Explorer at Heart T-shirt Extra Small</t>
  </si>
  <si>
    <t>`8904482501241</t>
  </si>
  <si>
    <t>Pilgrim Explorer at Heart T-shirt Small</t>
  </si>
  <si>
    <t>`8904482501258</t>
  </si>
  <si>
    <t>Pilgrim Explorer at Heart T-shirt Medium</t>
  </si>
  <si>
    <t>`8904482501265</t>
  </si>
  <si>
    <t>Pilgrim Explorer at Heart T-shirt Large</t>
  </si>
  <si>
    <t>`8904482501272</t>
  </si>
  <si>
    <t>Pilgrim Explorer at Heart T-shirt Extra Large</t>
  </si>
  <si>
    <t>`8904482501289</t>
  </si>
  <si>
    <t>Pilgrim Life is a Journey T-shirt Extra Small</t>
  </si>
  <si>
    <t>`8904482501296</t>
  </si>
  <si>
    <t>Pilgrim Life is a Journey T-shirt Medium</t>
  </si>
  <si>
    <t>`8904482501319</t>
  </si>
  <si>
    <t>Pilgrim Life is a Journey T-shirt Large</t>
  </si>
  <si>
    <t>`8904482501326</t>
  </si>
  <si>
    <t>Pilgrim Life is a Journey T-shirt Extra Large</t>
  </si>
  <si>
    <t>`8904482501333</t>
  </si>
  <si>
    <t>Pilgrim Makeup Bag Mint Green - offline Sparkly pouch</t>
  </si>
  <si>
    <t>`PGGWPMG1</t>
  </si>
  <si>
    <t>Pilgrim duffle bag Blue brown - offline Duffle Bag</t>
  </si>
  <si>
    <t>`PGGWPBB1</t>
  </si>
  <si>
    <t>TESTER-Pilgrim Glitter Lipstick Her Highness</t>
  </si>
  <si>
    <t>`08904482500725</t>
  </si>
  <si>
    <t>TESTER-Tea Tree PURIFYING GEL FACE WASH TUBE</t>
  </si>
  <si>
    <t>`08906120585408</t>
  </si>
  <si>
    <t>TESTER-Patu &amp; Keratin STRENGTHENING HAIR MASK</t>
  </si>
  <si>
    <t>`08906120586207</t>
  </si>
  <si>
    <t>TESTER-Vitamin C GEL FACE WASH 100ml</t>
  </si>
  <si>
    <t>`08906120586740</t>
  </si>
  <si>
    <t>TESTER-SWISS AQUA RUSH HYDRATING FACE WASH</t>
  </si>
  <si>
    <t>`08906120586900</t>
  </si>
  <si>
    <t>TESTER-Spanish Rosemary and Biotin Anti-Hairfall Conditioner</t>
  </si>
  <si>
    <t>`08906120587815</t>
  </si>
  <si>
    <t>TESTER-FRENCH RED VINE YOUTHFUL GLOW FACE WASH</t>
  </si>
  <si>
    <t>`08906120589093</t>
  </si>
  <si>
    <t>TESTER-AUSTRALIAN NATURAL VITAMIN C BRIGHTENING GEL FACE WASH</t>
  </si>
  <si>
    <t>`08906120589123</t>
  </si>
  <si>
    <t>TESTER-5 Ceramides Barrier Repair Moisturizer</t>
  </si>
  <si>
    <t>`08904482501340</t>
  </si>
  <si>
    <t>Pilgrim Diwali PR Box</t>
  </si>
  <si>
    <t>TESTER1-Tea Tree ESSENTIAL OIL</t>
  </si>
  <si>
    <t>Red Soft Vanity Bag, PU Coated Fabric 1 mm - Offline</t>
  </si>
  <si>
    <t>`1000000000001</t>
  </si>
  <si>
    <t>Maroon Velvet Pouch - Offline</t>
  </si>
  <si>
    <t>`1000000000004</t>
  </si>
  <si>
    <t>Pilgrim Institutional Blue Pouch</t>
  </si>
  <si>
    <t>Pilgrim Offer Tent Card MT-BA</t>
  </si>
  <si>
    <t>TESTER1-VITAMIN C DETAN &amp; BRIGHTENING FACIAL KIT PROFESSIONAL RANGE</t>
  </si>
  <si>
    <t>TESTER1-Korean White Lotus TINTED SUNSCREEN SPF 50+ PA++++</t>
  </si>
  <si>
    <t>Pilgrim Salon Bowl</t>
  </si>
  <si>
    <t>`1000000000008</t>
  </si>
  <si>
    <t>Pilgrim Offer Tent Card MT-BA B2G1</t>
  </si>
  <si>
    <t>en11609416009</t>
  </si>
  <si>
    <t xml:space="preserve">Heavenly Secrets Private Limited - Bangalore </t>
  </si>
  <si>
    <t>Pink Pouch - Offline</t>
  </si>
  <si>
    <t>`1000000000003</t>
  </si>
  <si>
    <t>TESTER - Squalane Strawberry Lip Serum</t>
  </si>
  <si>
    <t>`08906120586818</t>
  </si>
  <si>
    <t>TESTER - Vitamin C Invisible Sunscreen SPF 50 PA</t>
  </si>
  <si>
    <t>`08906120587303</t>
  </si>
  <si>
    <t>TESTER-Spanish Rosemary and Biotin Anti-Hairfall Shampoo</t>
  </si>
  <si>
    <t>`08906120589192</t>
  </si>
  <si>
    <t>ne27702606481</t>
  </si>
  <si>
    <t>Heavenly Secrets Pvt Ltd - Kolkata</t>
  </si>
  <si>
    <t>TESTER1-5% Vitamin C BRIGHTENING ULTRA LIGHT GEL SUNSCREEN SPF 60 PA++++</t>
  </si>
  <si>
    <t>TESTER-Foundation Stick Light Vanilla</t>
  </si>
  <si>
    <t>TESTER-Foundation Stick Classic Nude</t>
  </si>
  <si>
    <t>TESTER-Foundation Stick Light Beige</t>
  </si>
  <si>
    <t>TESTER-Foundation Stick Medium Sand</t>
  </si>
  <si>
    <t>TESTER-Foundation Stick Classic Almond</t>
  </si>
  <si>
    <t>TESTER-Foundation Stick Rich Walnut</t>
  </si>
  <si>
    <t>TESTER-Foundation Stick Deep Mocha</t>
  </si>
  <si>
    <t>Pilgrim Sunscreen POSM Glorifyer - MT-BA</t>
  </si>
  <si>
    <t>ne50215879921</t>
  </si>
  <si>
    <t>Heavenly Secrets Private Limited - PHD - Bilaspur</t>
  </si>
  <si>
    <t>PHD PR Box</t>
  </si>
  <si>
    <t>`6806806806802</t>
  </si>
  <si>
    <t>PHD PR Card</t>
  </si>
  <si>
    <t>`6806806806801</t>
  </si>
  <si>
    <t>Borosilicate Glass Bottle 500ml with custom printing</t>
  </si>
  <si>
    <t>`1110000000001</t>
  </si>
  <si>
    <t>PHD-Accessories</t>
  </si>
  <si>
    <t>PHD Mini Box</t>
  </si>
  <si>
    <t>`1111111111112</t>
  </si>
  <si>
    <t>PHD Small Box</t>
  </si>
  <si>
    <t>`1111111111113</t>
  </si>
  <si>
    <t>wo50468521104</t>
  </si>
  <si>
    <t>Heavenly Secrets Private Limited - Bommanahalli - Dark Store</t>
  </si>
  <si>
    <t>ur52397041216</t>
  </si>
  <si>
    <t>Heavenly Secrets Private Limited - Mumbai - B2B</t>
  </si>
  <si>
    <t>Damage Repair TTU</t>
  </si>
  <si>
    <t>`1000000001001</t>
  </si>
  <si>
    <t>ee53242332049</t>
  </si>
  <si>
    <t>Heavenly Secrets Private Limited - KalyanNagar- Dark Store</t>
  </si>
  <si>
    <t>ty53791524900</t>
  </si>
  <si>
    <t>Heavenly Secrets Private Limited - Hyderabad</t>
  </si>
  <si>
    <t>ur54169769536</t>
  </si>
  <si>
    <t>Heavenly Secrets Private Limited - Mumbai- PHD</t>
  </si>
  <si>
    <t>ix54712016836</t>
  </si>
  <si>
    <t>Heavenly Secrets Private Limited - Bangalore -PHD</t>
  </si>
  <si>
    <t>ht54712952464</t>
  </si>
  <si>
    <t>Heavenly Secrets Pvt Ltd - Kolkata-PHD</t>
  </si>
  <si>
    <t>PGBM-FK1</t>
  </si>
  <si>
    <t>PGBM-NYB1</t>
  </si>
  <si>
    <t>PGBM-SE1</t>
  </si>
  <si>
    <t>PGEDP-ALP1</t>
  </si>
  <si>
    <t>PGEDP-GKGOD1</t>
  </si>
  <si>
    <t>PGEDP-ZEN1</t>
  </si>
  <si>
    <t>PGEDP-TIC1</t>
  </si>
  <si>
    <t>PGAVC-LLK1</t>
  </si>
  <si>
    <t>PGK24K-GGFW1</t>
  </si>
  <si>
    <t>PGK24K-GGM1</t>
  </si>
  <si>
    <t>PGAVC-LLSM1</t>
  </si>
  <si>
    <t>PGAVC-LLB1</t>
  </si>
  <si>
    <t>PGSAR-HFW1</t>
  </si>
  <si>
    <t>PGSAR-HGT1</t>
  </si>
  <si>
    <t>PGSAR-12HAS1</t>
  </si>
  <si>
    <t>PGSAR-120HM1</t>
  </si>
  <si>
    <t>PGSAR-OHC1</t>
  </si>
  <si>
    <t>PGSAR-PG1</t>
  </si>
  <si>
    <t>PGAVC-IVSS1</t>
  </si>
  <si>
    <t>PGSL-SRAHS1</t>
  </si>
  <si>
    <t>PGSL-SRAHC1</t>
  </si>
  <si>
    <t>PGSL-SRHGO1</t>
  </si>
  <si>
    <t>PGSL-SREO1</t>
  </si>
  <si>
    <t>SAM-VFC8G</t>
  </si>
  <si>
    <t>PG24K-GFK1</t>
  </si>
  <si>
    <t>PG-BMP1</t>
  </si>
  <si>
    <t>PGGTM-RAHCS1</t>
  </si>
  <si>
    <t>PGK-KAS</t>
  </si>
  <si>
    <t>PGEDP-TFLC1</t>
  </si>
  <si>
    <t>PGMU-ADMSS1</t>
  </si>
  <si>
    <t>PGKS1</t>
  </si>
  <si>
    <t>PGKFMT1</t>
  </si>
  <si>
    <t>PGKNS1</t>
  </si>
  <si>
    <t>PGKDC1</t>
  </si>
  <si>
    <t>PGKFS1</t>
  </si>
  <si>
    <t>PGKFW1</t>
  </si>
  <si>
    <t>PGKHS1</t>
  </si>
  <si>
    <t>PGKHM1</t>
  </si>
  <si>
    <t>PGJB1</t>
  </si>
  <si>
    <t>PGVFW1</t>
  </si>
  <si>
    <t>PGVFMT1</t>
  </si>
  <si>
    <t>PGVFS1</t>
  </si>
  <si>
    <t>PGVFC1</t>
  </si>
  <si>
    <t>PGVFM1</t>
  </si>
  <si>
    <t>PGVUEC1</t>
  </si>
  <si>
    <t>PGVNGC1</t>
  </si>
  <si>
    <t>PGKUEC1</t>
  </si>
  <si>
    <t>PGKNC1</t>
  </si>
  <si>
    <t>PGKHC1</t>
  </si>
  <si>
    <t>PGKS20</t>
  </si>
  <si>
    <t>PGKS-SCS1</t>
  </si>
  <si>
    <t>PGKS-AAS1</t>
  </si>
  <si>
    <t>PGKS-LFS1</t>
  </si>
  <si>
    <t>PGKS-AVBS1</t>
  </si>
  <si>
    <t>PGKS-AHGS1</t>
  </si>
  <si>
    <t>PGKFFW1B</t>
  </si>
  <si>
    <t>PGKABPPS1</t>
  </si>
  <si>
    <t>PGKSNOCS1</t>
  </si>
  <si>
    <t>PGKHAHSS1</t>
  </si>
  <si>
    <t>PGKOFGM1</t>
  </si>
  <si>
    <t>PGKSGFFW1</t>
  </si>
  <si>
    <t>PGKAVG1</t>
  </si>
  <si>
    <t>PGK24KGBO1</t>
  </si>
  <si>
    <t>PGK24KGFM1</t>
  </si>
  <si>
    <t>SAM-HAHSS</t>
  </si>
  <si>
    <t>SAM-AVBS</t>
  </si>
  <si>
    <t>SAM-NC1</t>
  </si>
  <si>
    <t>SAM-VFC</t>
  </si>
  <si>
    <t>SAM-VNGC</t>
  </si>
  <si>
    <t>PGVFS</t>
  </si>
  <si>
    <t>PGSFFWASH1</t>
  </si>
  <si>
    <t>PGSTMIST1</t>
  </si>
  <si>
    <t>PGSPRADCSERUM1</t>
  </si>
  <si>
    <t>PGSGCSERUM1</t>
  </si>
  <si>
    <t>PGSGMOISTURIZER1</t>
  </si>
  <si>
    <t>PGSGSMASK1</t>
  </si>
  <si>
    <t>PGSUECREAM1</t>
  </si>
  <si>
    <t>PGSROUESERUM1</t>
  </si>
  <si>
    <t>PGK24KGS20ML</t>
  </si>
  <si>
    <t>PGKSSSERUM30</t>
  </si>
  <si>
    <t>PGKSSSERUM50</t>
  </si>
  <si>
    <t>PGSL-BLS1</t>
  </si>
  <si>
    <t>PGSL-PLS1</t>
  </si>
  <si>
    <t>PGSL-BLB1</t>
  </si>
  <si>
    <t>PGSL-BLSC1</t>
  </si>
  <si>
    <t>PGSL-ELPRO1</t>
  </si>
  <si>
    <t>PGSS-UMSST1</t>
  </si>
  <si>
    <t>PGATT-PFFW1</t>
  </si>
  <si>
    <t>PGATT-PFWGT1</t>
  </si>
  <si>
    <t>PGATT-PT1</t>
  </si>
  <si>
    <t>PGATT-NOM1</t>
  </si>
  <si>
    <t>PGATT-10NBRS1</t>
  </si>
  <si>
    <t>PGSBSL-5LGA</t>
  </si>
  <si>
    <t>PGASS</t>
  </si>
  <si>
    <t>PGASC</t>
  </si>
  <si>
    <t>PGAHM</t>
  </si>
  <si>
    <t>PGASHS</t>
  </si>
  <si>
    <t>PGASSCRUB</t>
  </si>
  <si>
    <t>PGAAGHS</t>
  </si>
  <si>
    <t>PGASHO</t>
  </si>
  <si>
    <t>PGALIC</t>
  </si>
  <si>
    <t>PGSL-SBLS1</t>
  </si>
  <si>
    <t>PGSL-SBLB1</t>
  </si>
  <si>
    <t>SAM-ABPPS1</t>
  </si>
  <si>
    <t>SAM-24KGFM1</t>
  </si>
  <si>
    <t>PGAVC-GFWT1</t>
  </si>
  <si>
    <t>PGAVC-1T</t>
  </si>
  <si>
    <t>PGAVC-20S</t>
  </si>
  <si>
    <t>PGAVC-2OFM</t>
  </si>
  <si>
    <t>PGAVC-BSL1</t>
  </si>
  <si>
    <t>MINIS-VFS1</t>
  </si>
  <si>
    <t>MINIS-SFMT1</t>
  </si>
  <si>
    <t>SAM-SGM8G</t>
  </si>
  <si>
    <t>PGMU-EBS1</t>
  </si>
  <si>
    <t>PGMU-MEBR1</t>
  </si>
  <si>
    <t>PGMU-GP1</t>
  </si>
  <si>
    <t>PGMU-BBCBG1</t>
  </si>
  <si>
    <t>PGMU-BBCHG1</t>
  </si>
  <si>
    <t>PGMU-BBCAG1</t>
  </si>
  <si>
    <t>PGMU-SFPI1</t>
  </si>
  <si>
    <t>PGMU-SFCN1</t>
  </si>
  <si>
    <t>PGMU-SFGB1</t>
  </si>
  <si>
    <t>PGMU-SFWS1</t>
  </si>
  <si>
    <t>PGMU-SFNA1</t>
  </si>
  <si>
    <t>PGMU-CPPI1</t>
  </si>
  <si>
    <t>PGMU-CPCN1</t>
  </si>
  <si>
    <t>PGMU-CPGB1</t>
  </si>
  <si>
    <t>PGMU-CPWS1</t>
  </si>
  <si>
    <t>PGMU-IM1</t>
  </si>
  <si>
    <t>PGMU-LLTRS1</t>
  </si>
  <si>
    <t>PGMU-LLBT1</t>
  </si>
  <si>
    <t>PGMU-LLBB1</t>
  </si>
  <si>
    <t>PGMU-LLNO1</t>
  </si>
  <si>
    <t>PGMU-LLWS1</t>
  </si>
  <si>
    <t>PGMU-LLMD1</t>
  </si>
  <si>
    <t>PGMU-LLPK1</t>
  </si>
  <si>
    <t>PGMU-LLFR1</t>
  </si>
  <si>
    <t>PGMU-LLSC1</t>
  </si>
  <si>
    <t>PGMU-LLBN1</t>
  </si>
  <si>
    <t>PGMU-LLKP1</t>
  </si>
  <si>
    <t>PGMU-LLPC1</t>
  </si>
  <si>
    <t>PGMU-LLPL1</t>
  </si>
  <si>
    <t>PGMU-LCETPF1</t>
  </si>
  <si>
    <t>PGMU-LCETCS1</t>
  </si>
  <si>
    <t>PGS-NGSS50</t>
  </si>
  <si>
    <t>PGK-HASSG50</t>
  </si>
  <si>
    <t>PGKS-RAAHGS1</t>
  </si>
  <si>
    <t>PGGTM-RAAHGS1</t>
  </si>
  <si>
    <t>PGA-10VCFS30</t>
  </si>
  <si>
    <t>PGSL-RRAAHS1</t>
  </si>
  <si>
    <t>PGK-5CBRM1</t>
  </si>
  <si>
    <t>PGA-VCBLGS60</t>
  </si>
  <si>
    <t>PGA-10VCFS10</t>
  </si>
  <si>
    <t>PGK-10NFS30</t>
  </si>
  <si>
    <t>PGMU-BLAB1</t>
  </si>
  <si>
    <t>PGA-15VCFS20</t>
  </si>
  <si>
    <t>PGK-5NFS10</t>
  </si>
  <si>
    <t>PGMU-LLBM1</t>
  </si>
  <si>
    <t>PGMU-BLSW1</t>
  </si>
  <si>
    <t>PHD-10VCBS1</t>
  </si>
  <si>
    <t>PHD-2AADS1</t>
  </si>
  <si>
    <t>PGK-10NFS10</t>
  </si>
  <si>
    <t>PGMU-KBM1</t>
  </si>
  <si>
    <t>PGATT-ADHM1</t>
  </si>
  <si>
    <t>PGMU-BDCR1</t>
  </si>
  <si>
    <t>PGMU-LLSR1</t>
  </si>
  <si>
    <t>PGMU-ESFQ1</t>
  </si>
  <si>
    <t>PGMU-ESMS1</t>
  </si>
  <si>
    <t>PGMU-CLA1</t>
  </si>
  <si>
    <t>PGMU-BLPP1</t>
  </si>
  <si>
    <t>PGMU-BLFR1</t>
  </si>
  <si>
    <t>PGMU-BLNK1</t>
  </si>
  <si>
    <t>PGMU-CPA1</t>
  </si>
  <si>
    <t>PGMU-CPC1</t>
  </si>
  <si>
    <t>PGMU-CPBP1</t>
  </si>
  <si>
    <t>PGV-FRVBL1</t>
  </si>
  <si>
    <t>PGS-SGBL1</t>
  </si>
  <si>
    <t>PGK-NOSLGS50</t>
  </si>
  <si>
    <t>PGK-DRS200</t>
  </si>
  <si>
    <t>PGK-DRC1</t>
  </si>
  <si>
    <t>PHD-2SAAAS1</t>
  </si>
  <si>
    <t>PHD-PRFS1</t>
  </si>
  <si>
    <t>PGKS-RAHHM1</t>
  </si>
  <si>
    <t>PGMU-LLSM1</t>
  </si>
  <si>
    <t>PGMU-LLRD1</t>
  </si>
  <si>
    <t>PGMU-LLNF1</t>
  </si>
  <si>
    <t>PGMU-CLB1</t>
  </si>
  <si>
    <t>PGMU-BLFP1</t>
  </si>
  <si>
    <t>PGMU-BLPR1</t>
  </si>
  <si>
    <t>PGMU-BLRR1</t>
  </si>
  <si>
    <t>PGMU-CPN1</t>
  </si>
  <si>
    <t>PGMU-MLLNT1</t>
  </si>
  <si>
    <t>PGMU-MLLTPS1</t>
  </si>
  <si>
    <t>PGSL-RWB1</t>
  </si>
  <si>
    <t>PGK-ACFS50</t>
  </si>
  <si>
    <t>PGK-WLTS50</t>
  </si>
  <si>
    <t>PGK-DRS400</t>
  </si>
  <si>
    <t>PHD-10NS1</t>
  </si>
  <si>
    <t>PGK24K-GCGB1</t>
  </si>
  <si>
    <t>PGMU-MEGE1</t>
  </si>
  <si>
    <t>PGMU-CPRC1</t>
  </si>
  <si>
    <t>PGATT-ADSS1</t>
  </si>
  <si>
    <t>PGMU-BDFP1</t>
  </si>
  <si>
    <t>PGMU-BDBB1</t>
  </si>
  <si>
    <t>PGMU-LLRR1</t>
  </si>
  <si>
    <t>PGMU-LLPCF1</t>
  </si>
  <si>
    <t>PGMU-CLI1</t>
  </si>
  <si>
    <t>PGMU-CLS1</t>
  </si>
  <si>
    <t>PGMU-BLCC1</t>
  </si>
  <si>
    <t>PGMU-BLPH1</t>
  </si>
  <si>
    <t>PGMU-BLMA1</t>
  </si>
  <si>
    <t>PGMU-CPH1</t>
  </si>
  <si>
    <t>PGMU-GLRN1</t>
  </si>
  <si>
    <t>PGMU-MCTM1</t>
  </si>
  <si>
    <t>PGMU-MLLBM1</t>
  </si>
  <si>
    <t>PGMU-TLP1</t>
  </si>
  <si>
    <t>PGKS-RAAHGSDPS1</t>
  </si>
  <si>
    <t>PHD-VCBM1</t>
  </si>
  <si>
    <t>PHD-2HAS1</t>
  </si>
  <si>
    <t>PHD-3NOFM1</t>
  </si>
  <si>
    <t>PGK-HGM100</t>
  </si>
  <si>
    <t>PGMU-SFRC1</t>
  </si>
  <si>
    <t>PGA-VCBUEC1</t>
  </si>
  <si>
    <t>PGSL-SRAHM1</t>
  </si>
  <si>
    <t>PGMU-LLWT1</t>
  </si>
  <si>
    <t>PGMU-LLDS1</t>
  </si>
  <si>
    <t>PGMU-LLMM1</t>
  </si>
  <si>
    <t>PGMU-BLCP1</t>
  </si>
  <si>
    <t>PGMU-BLMB1</t>
  </si>
  <si>
    <t>PGMU-BLUR1</t>
  </si>
  <si>
    <t>PGMU-BLBB1</t>
  </si>
  <si>
    <t>PGMU-BLCT1</t>
  </si>
  <si>
    <t>PGMU-GLAN1</t>
  </si>
  <si>
    <t>PGK-DRHM1</t>
  </si>
  <si>
    <t>PGMU-GLCH1</t>
  </si>
  <si>
    <t>PGMU-LLRF1</t>
  </si>
  <si>
    <t>PGMU-CPI1</t>
  </si>
  <si>
    <t>PGMU-GLMH1</t>
  </si>
  <si>
    <t>PGMU-HDGR1</t>
  </si>
  <si>
    <t>PGMU-BLCG1</t>
  </si>
  <si>
    <t>PGMU-LLSS1</t>
  </si>
  <si>
    <t>PGMU-GLTK1</t>
  </si>
  <si>
    <t>PGMU-MLLAOT1</t>
  </si>
  <si>
    <t>PGK-2SAFS10</t>
  </si>
  <si>
    <t>PGMU-BLNM1</t>
  </si>
  <si>
    <t>PGMU-BLCL1</t>
  </si>
  <si>
    <t>PGMU-FRVSCB1</t>
  </si>
  <si>
    <t>PGMU-LCETTBT1</t>
  </si>
  <si>
    <t>PGK-HGM50</t>
  </si>
  <si>
    <t>PGPK-PXLB1</t>
  </si>
  <si>
    <t>PGBB1</t>
  </si>
  <si>
    <t>PGSKITBOX</t>
  </si>
  <si>
    <t>PG-SSGFW1</t>
  </si>
  <si>
    <t>PG-FRVYGFW1</t>
  </si>
  <si>
    <t>PSGB</t>
  </si>
  <si>
    <t>PG-HGMB1</t>
  </si>
  <si>
    <t>PG-SGMB1</t>
  </si>
  <si>
    <t>TESTER-PGKFMT1</t>
  </si>
  <si>
    <t>TESTER-PGKNS1</t>
  </si>
  <si>
    <t>TESTER-PGVFMT1</t>
  </si>
  <si>
    <t>TESTER-PGVNGC1</t>
  </si>
  <si>
    <t>TESTER-PGVUEC1</t>
  </si>
  <si>
    <t>TESTER-PGKNC1</t>
  </si>
  <si>
    <t>TESTER-PGKS-SCS1</t>
  </si>
  <si>
    <t>TESTER-PGKS-AAS1</t>
  </si>
  <si>
    <t>TESTER-PGKS-LFS1</t>
  </si>
  <si>
    <t>TESTER-PGKS-AVBS1</t>
  </si>
  <si>
    <t>TESTER-PGK24KGFM1</t>
  </si>
  <si>
    <t>TESTER-PGK24KGS20ML</t>
  </si>
  <si>
    <t>TESTER-PGSGMOISTURIZER1</t>
  </si>
  <si>
    <t>TESTER-PGSGCSERUM1</t>
  </si>
  <si>
    <t>TESTER-PGSROUESERUM1</t>
  </si>
  <si>
    <t>TESTER-PGSUECREAM1</t>
  </si>
  <si>
    <t>TESTER-PGKSSSERUM30</t>
  </si>
  <si>
    <t>TESTER-PGKSSSERUM50</t>
  </si>
  <si>
    <t>TESTER-PGSL-BLS1</t>
  </si>
  <si>
    <t>TESTER-PGSL-BLB1</t>
  </si>
  <si>
    <t>TESTER-PGSL-ELPRO1</t>
  </si>
  <si>
    <t>TESTER-PGASSCRUB</t>
  </si>
  <si>
    <t>TESTER-PGSAR-PG1</t>
  </si>
  <si>
    <t>TESTER-PGMU-GP1</t>
  </si>
  <si>
    <t>TESTER-PGMU-CPWS1</t>
  </si>
  <si>
    <t>TESTER-PGMU-CPRC1</t>
  </si>
  <si>
    <t>TESTER-PGMU-LLBT1</t>
  </si>
  <si>
    <t>TESTER-PGMU-LLWS1</t>
  </si>
  <si>
    <t>TESTER-PGMU-LLPK1</t>
  </si>
  <si>
    <t>TESTER-PGKS-RAAHGS1</t>
  </si>
  <si>
    <t>TESTER-PGK-10NFS10</t>
  </si>
  <si>
    <t>TESTER-PGK-2SAFS10</t>
  </si>
  <si>
    <t>TESTER-PGA-10VCFS10</t>
  </si>
  <si>
    <t>PG-RB1</t>
  </si>
  <si>
    <t>TESTER-PGMU-HDGR1</t>
  </si>
  <si>
    <t>TESTER-PGMU-LLSM1</t>
  </si>
  <si>
    <t>TESTER-PGMU-LLRR1</t>
  </si>
  <si>
    <t>TESTER-PGMU-LLDS1</t>
  </si>
  <si>
    <t>TESTER-PGMU-LLBM1</t>
  </si>
  <si>
    <t>TESTER-PGMU-LLMM1</t>
  </si>
  <si>
    <t>TESTER-PGMU-LLSR1</t>
  </si>
  <si>
    <t>TESTER-PGMU-BLCT1</t>
  </si>
  <si>
    <t>TESTER-PGMU-BLCL1</t>
  </si>
  <si>
    <t>PGMU-GLJJ1</t>
  </si>
  <si>
    <t>PG-GWP-P1</t>
  </si>
  <si>
    <t>TESTER-PGKFW1</t>
  </si>
  <si>
    <t>TESTER-PGKHM1</t>
  </si>
  <si>
    <t>TESTER-PGVFW1</t>
  </si>
  <si>
    <t>TESTER-PGSFFWASH1</t>
  </si>
  <si>
    <t>TESTER-PGMU-MLLBM1</t>
  </si>
  <si>
    <t>TESTER-PGMU-MLLNT1</t>
  </si>
  <si>
    <t>TESTER-PGMU-MLLTPS1</t>
  </si>
  <si>
    <t>TESTER-PGMU-MLLAOT1</t>
  </si>
  <si>
    <t>TESTER-PGMU-TLP1</t>
  </si>
  <si>
    <t>TESTER-PGMU-BLP1</t>
  </si>
  <si>
    <t>Tester-PGV-FRVBL1</t>
  </si>
  <si>
    <t>Tester-PGS-SGBL1</t>
  </si>
  <si>
    <t>Tester-PGMU-SFWM1</t>
  </si>
  <si>
    <t>PGAVC-DBFK1</t>
  </si>
  <si>
    <t>PGSR-VCMPK1</t>
  </si>
  <si>
    <t>PGSR-FRVMPK1</t>
  </si>
  <si>
    <t>PGSR-PSHM1</t>
  </si>
  <si>
    <t>PGSR-PNHT1</t>
  </si>
  <si>
    <t>PGSR-PBHT1</t>
  </si>
  <si>
    <t>PHD-1CC1</t>
  </si>
  <si>
    <t>PHD-PMB1</t>
  </si>
  <si>
    <t>PHD-PBB1</t>
  </si>
  <si>
    <t>PGMU-BHCSE1</t>
  </si>
  <si>
    <t>PGASS-T</t>
  </si>
  <si>
    <t>PG-GWP-PTB</t>
  </si>
  <si>
    <t>PG-GWP-TB</t>
  </si>
  <si>
    <t>MINIS-KFMT1</t>
  </si>
  <si>
    <t>PGK24K-GCGB2</t>
  </si>
  <si>
    <t>PG-SIH1</t>
  </si>
  <si>
    <t>PG-VLAOCFW1</t>
  </si>
  <si>
    <t>PG-ATTAAGW1</t>
  </si>
  <si>
    <t>PG-ANVCBGFW1</t>
  </si>
  <si>
    <t>PG-PSMB1</t>
  </si>
  <si>
    <t>PG-SB1</t>
  </si>
  <si>
    <t>TESTER-PGKS20</t>
  </si>
  <si>
    <t>TESTER-PGKS-AHGS1</t>
  </si>
  <si>
    <t>PGATT-ADC1</t>
  </si>
  <si>
    <t>PGMU-GLDB1</t>
  </si>
  <si>
    <t>PGMU-BLP1</t>
  </si>
  <si>
    <t>PGMU-SFWM1</t>
  </si>
  <si>
    <t>PG-BMP3</t>
  </si>
  <si>
    <t>PGSR-VCDC1</t>
  </si>
  <si>
    <t>PGMU-PLLNE1</t>
  </si>
  <si>
    <t>PGMU-PLLRA1</t>
  </si>
  <si>
    <t>PGMU-PLLTM1</t>
  </si>
  <si>
    <t>PGMU-PLLCB1</t>
  </si>
  <si>
    <t>PGMU-PLLCM1</t>
  </si>
  <si>
    <t>PGMU-PLLRK1</t>
  </si>
  <si>
    <t>PGMU-PLLFR1</t>
  </si>
  <si>
    <t>PGMU-PLLRC1</t>
  </si>
  <si>
    <t>PGMU-PLLWS1</t>
  </si>
  <si>
    <t>PGMU-PLLBD1</t>
  </si>
  <si>
    <t>PGMU-PLLBP1</t>
  </si>
  <si>
    <t>PGMU-PLLPA1</t>
  </si>
  <si>
    <t>PGMU-PLLMA1</t>
  </si>
  <si>
    <t>PGMU-PLLCC1</t>
  </si>
  <si>
    <t>PGMU-BHCSR1</t>
  </si>
  <si>
    <t>PGMU-BHCBC1</t>
  </si>
  <si>
    <t>PGMU-FSLV1</t>
  </si>
  <si>
    <t>PGMU-FSCN1</t>
  </si>
  <si>
    <t>PGMU-FSLB1</t>
  </si>
  <si>
    <t>PGMU-FSMS1</t>
  </si>
  <si>
    <t>PGMU-FSCA1</t>
  </si>
  <si>
    <t>PGMU-FSRW1</t>
  </si>
  <si>
    <t>PGMU-FSDM1</t>
  </si>
  <si>
    <t>PG-GWP-DTLB</t>
  </si>
  <si>
    <t>PWP-PGMU-MLLSC1</t>
  </si>
  <si>
    <t>PGMU-CLO1</t>
  </si>
  <si>
    <t>PGMU-LSBRC1</t>
  </si>
  <si>
    <t>PGMU-LSBRS1</t>
  </si>
  <si>
    <t>PGMU-LSBFC1</t>
  </si>
  <si>
    <t>PGMU-LSBMC1</t>
  </si>
  <si>
    <t>PGMU-LSBSM1</t>
  </si>
  <si>
    <t>PGMU-LSHSG1</t>
  </si>
  <si>
    <t>PGMU-BMW1</t>
  </si>
  <si>
    <t>PGK-DRHS1</t>
  </si>
  <si>
    <t>PG-TP1</t>
  </si>
  <si>
    <t>PGVFFWB</t>
  </si>
  <si>
    <t>PGGB-PSGBOX</t>
  </si>
  <si>
    <t>PGGB-KBSSHSGBOX</t>
  </si>
  <si>
    <t>PGSL-BLSM1</t>
  </si>
  <si>
    <t>PGATT-EO1</t>
  </si>
  <si>
    <t>PGSL-PB1</t>
  </si>
  <si>
    <t>PGMU-MEBB1</t>
  </si>
  <si>
    <t>PGMU-SRM1</t>
  </si>
  <si>
    <t>PGPK-PSB1</t>
  </si>
  <si>
    <t>PGPK-PBB1</t>
  </si>
  <si>
    <t>PGIS-DGGKK-BOX</t>
  </si>
  <si>
    <t>PGIS-DSGGK-BOX</t>
  </si>
  <si>
    <t>PGIS-DLNSK-BOX</t>
  </si>
  <si>
    <t>PGIS-BSCGK-BOX</t>
  </si>
  <si>
    <t>PGIS-GMGK-BOX</t>
  </si>
  <si>
    <t>PGIS-SHEGK-BOX</t>
  </si>
  <si>
    <t>PGIS-SSHEGK-BOX</t>
  </si>
  <si>
    <t>PGIS-G24KGFK-BOX</t>
  </si>
  <si>
    <t>PGIS-MSGK-BOX</t>
  </si>
  <si>
    <t>PG-BMP2</t>
  </si>
  <si>
    <t>PGIS-DAGGK-BOX</t>
  </si>
  <si>
    <t>PGKS-RAHC1</t>
  </si>
  <si>
    <t>PG-RMB1</t>
  </si>
  <si>
    <t>TESTER-PGKFS1</t>
  </si>
  <si>
    <t>TESTER-PGKDC1</t>
  </si>
  <si>
    <t>TESTER-PGKHS1</t>
  </si>
  <si>
    <t>TESTER-PGVFC1</t>
  </si>
  <si>
    <t>TESTER-PGVFM1</t>
  </si>
  <si>
    <t>TESTER-PGVFS1</t>
  </si>
  <si>
    <t>TESTER-PGKABPPS1</t>
  </si>
  <si>
    <t>TESTER-PGKUEC1</t>
  </si>
  <si>
    <t>TESTER-PGKSNOCS1</t>
  </si>
  <si>
    <t>TESTER-PGKHAHSS1</t>
  </si>
  <si>
    <t>TESTER-PGKOFGM1</t>
  </si>
  <si>
    <t>TESTER-PGKAVG1</t>
  </si>
  <si>
    <t>TESTER-PGK24KGBO1</t>
  </si>
  <si>
    <t>TESTER-PGVFS</t>
  </si>
  <si>
    <t>TESTER-PGSGSMASK1</t>
  </si>
  <si>
    <t>TESTER-PGSTMIST1</t>
  </si>
  <si>
    <t>TESTER-PGSL-PLS1</t>
  </si>
  <si>
    <t>TESTER-PGSL-BLSC1</t>
  </si>
  <si>
    <t>TESTER-PGSL-BLSM1</t>
  </si>
  <si>
    <t>TESTER-PGATT-PT1</t>
  </si>
  <si>
    <t>TESTER-PGATT-NOM1</t>
  </si>
  <si>
    <t>TESTER-PGATT-10NBRS1</t>
  </si>
  <si>
    <t>TESTER-PGASHS</t>
  </si>
  <si>
    <t>TESTER-PGAAGHS</t>
  </si>
  <si>
    <t>TESTER-PGASHO</t>
  </si>
  <si>
    <t>TESTER-PGSL-SBLB1</t>
  </si>
  <si>
    <t>TESTER-PGAVC-1T</t>
  </si>
  <si>
    <t>TESTER-PGAVC-20S</t>
  </si>
  <si>
    <t>TESTER-PGAVC-BSL1</t>
  </si>
  <si>
    <t>TESTER-PGBM-FK1</t>
  </si>
  <si>
    <t>TESTER-PGBM-NYB1</t>
  </si>
  <si>
    <t>TESTER-PGBM-SE1</t>
  </si>
  <si>
    <t>TESTER-PGEDP-ALP1</t>
  </si>
  <si>
    <t>TESTER-PGEDP-GKGOD1</t>
  </si>
  <si>
    <t>TESTER-PGEDP-ZEN1</t>
  </si>
  <si>
    <t>TESTER-PGEDP-TIC1</t>
  </si>
  <si>
    <t>TESTER-PGAVC-LLSM1</t>
  </si>
  <si>
    <t>TESTER-PGAVC-LLB1</t>
  </si>
  <si>
    <t>TESTER-PGK24K-GGM1</t>
  </si>
  <si>
    <t>TESTER-PGSAR-HGT1</t>
  </si>
  <si>
    <t>TESTER-PGSAR-12HAS1</t>
  </si>
  <si>
    <t>TESTER-PGSAR-120HM1</t>
  </si>
  <si>
    <t>TESTER-PGSAR-OHC1</t>
  </si>
  <si>
    <t>TESTER-PGSL-SRHGO1</t>
  </si>
  <si>
    <t>TESTER-PGSL-SREO1</t>
  </si>
  <si>
    <t>TESTER-PGMU-KBM1</t>
  </si>
  <si>
    <t>TESTER-PGMU-EBS1</t>
  </si>
  <si>
    <t>TESTER-PGMU-MEBB1</t>
  </si>
  <si>
    <t>TESTER-PGMU-MEBR1</t>
  </si>
  <si>
    <t>TESTER-PGMU-MEGE1</t>
  </si>
  <si>
    <t>TESTER-PGMU-BBCBG1</t>
  </si>
  <si>
    <t>TESTER-PGMU-BBCAG1</t>
  </si>
  <si>
    <t>TESTER-PGMU-SFPI1</t>
  </si>
  <si>
    <t>TESTER-PGMU-SFCN1</t>
  </si>
  <si>
    <t>TESTER-PGMU-SFGB1</t>
  </si>
  <si>
    <t>TESTER-PGMU-SFWS1</t>
  </si>
  <si>
    <t>TESTER-PGMU-SFNA1</t>
  </si>
  <si>
    <t>TESTER-PGMU-SFRC1</t>
  </si>
  <si>
    <t>TESTER-PGMU-CPPI1</t>
  </si>
  <si>
    <t>TESTER-PGMU-CPCN1</t>
  </si>
  <si>
    <t>TESTER-PGMU-CPGB1</t>
  </si>
  <si>
    <t>TESTER-PGMU-IM1</t>
  </si>
  <si>
    <t>TESTER-PGMU-LLTRS1</t>
  </si>
  <si>
    <t>TESTER-PGMU-LLBB1</t>
  </si>
  <si>
    <t>TESTER-PGMU-LLNO1</t>
  </si>
  <si>
    <t>TESTER-PGMU-LLMD1</t>
  </si>
  <si>
    <t>TESTER-PGMU-LLFR1</t>
  </si>
  <si>
    <t>TESTER-PGMU-LLSC1</t>
  </si>
  <si>
    <t>TESTER-PGMU-LLBN1</t>
  </si>
  <si>
    <t>TESTER-PGMU-LLKP1</t>
  </si>
  <si>
    <t>TESTER-PGMU-LLPC1</t>
  </si>
  <si>
    <t>TESTER-PGMU-LLPL1</t>
  </si>
  <si>
    <t>TESTER-PGMU-LCETPF1</t>
  </si>
  <si>
    <t>TESTER-PGMU-LCETCS1</t>
  </si>
  <si>
    <t>TESTER-PGMU-LCETTBT1</t>
  </si>
  <si>
    <t>TESTER-PGMU-SRM1</t>
  </si>
  <si>
    <t>TESTER-PG24K-GFK1</t>
  </si>
  <si>
    <t>TESTER-PGGTM-RAAHGS1</t>
  </si>
  <si>
    <t>TESTER-PGK-KAS</t>
  </si>
  <si>
    <t>TESTER-PGA-VCBUEC1</t>
  </si>
  <si>
    <t>TESTER-PGMU-FRVSCB1</t>
  </si>
  <si>
    <t>TESTER-PGMU-ADMSS1</t>
  </si>
  <si>
    <t>TESTER-PGS-NGSS50</t>
  </si>
  <si>
    <t>TESTER-PGATT-ADSS1</t>
  </si>
  <si>
    <t>TESTER-PGK-5NFS10</t>
  </si>
  <si>
    <t>TESTER-PGK-10NFS30</t>
  </si>
  <si>
    <t>TESTER-PGA-15VCFS20</t>
  </si>
  <si>
    <t>PUMP-HGS50ml</t>
  </si>
  <si>
    <t>PG-RMB2</t>
  </si>
  <si>
    <t>PG24K-GFKMSP1</t>
  </si>
  <si>
    <t>PG-GWP-G</t>
  </si>
  <si>
    <t>PGMU-BLCE1</t>
  </si>
  <si>
    <t>TESTER-PGMU-BDFP1</t>
  </si>
  <si>
    <t>TESTER-PGMU-BDCR1</t>
  </si>
  <si>
    <t>TESTER-PGMU-BDBB1</t>
  </si>
  <si>
    <t>TESTER-PGMU-LLWT1</t>
  </si>
  <si>
    <t>TESTER-PGMU-LLRF1</t>
  </si>
  <si>
    <t>TESTER-PGMU-LLRD1</t>
  </si>
  <si>
    <t>TESTER-PGMU-LLPCF1</t>
  </si>
  <si>
    <t>TESTER-PGMU-LLNF1</t>
  </si>
  <si>
    <t>TESTER-PGMU-LLSS1</t>
  </si>
  <si>
    <t>TESTER-PGMU-ESFQ1</t>
  </si>
  <si>
    <t>TESTER-PGMU-ESMS1</t>
  </si>
  <si>
    <t>TESTER-PGMU-CLI1</t>
  </si>
  <si>
    <t>TESTER-PGMU-CLS1</t>
  </si>
  <si>
    <t>TESTER-PGMU-CLB1</t>
  </si>
  <si>
    <t>TESTER-PGMU-CLA1</t>
  </si>
  <si>
    <t>TESTER-PGMU-BLCE1</t>
  </si>
  <si>
    <t>TESTER-PGMU-BLCG1</t>
  </si>
  <si>
    <t>TESTER-PGMU-BLCP1</t>
  </si>
  <si>
    <t>TESTER-PGMU-BLMB1</t>
  </si>
  <si>
    <t>TESTER-PGMU-BLNM1</t>
  </si>
  <si>
    <t>TESTER-PGMU-BLCC1</t>
  </si>
  <si>
    <t>TESTER-PGMU-BLPP1</t>
  </si>
  <si>
    <t>TESTER-PGMU-BLPH1</t>
  </si>
  <si>
    <t>TESTER-PGMU-BLFP1</t>
  </si>
  <si>
    <t>TESTER-PGMU-BLPR1</t>
  </si>
  <si>
    <t>TESTER-PGMU-BLFR1</t>
  </si>
  <si>
    <t>TESTER-PGMU-BLUR1</t>
  </si>
  <si>
    <t>TESTER-PGMU-BLMA1</t>
  </si>
  <si>
    <t>TESTER-PGMU-BLBB1</t>
  </si>
  <si>
    <t>TESTER-PGMU-BLRR1</t>
  </si>
  <si>
    <t>TESTER-PGMU-BLSW1</t>
  </si>
  <si>
    <t>TESTER-PGMU-BLNK1</t>
  </si>
  <si>
    <t>TESTER-PGMU-BLAB1</t>
  </si>
  <si>
    <t>TESTER-PGMU-CPI1</t>
  </si>
  <si>
    <t>TESTER-PGMU-CPN1</t>
  </si>
  <si>
    <t>TESTER-PGMU-CPH1</t>
  </si>
  <si>
    <t>TESTER-PGMU-CPA1</t>
  </si>
  <si>
    <t>TESTER-PGMU-CPC1</t>
  </si>
  <si>
    <t>TESTER-PGMU-CPBP1</t>
  </si>
  <si>
    <t>PGMU-GLHH1</t>
  </si>
  <si>
    <t>PG-GWP-RB1</t>
  </si>
  <si>
    <t>TESTER-PGMU-GLDB1</t>
  </si>
  <si>
    <t>TESTER-PGMU-GLAN1</t>
  </si>
  <si>
    <t>TESTER-PGMU-GLCH1</t>
  </si>
  <si>
    <t>TESTER-PGSL-RWB1</t>
  </si>
  <si>
    <t>TESTER-PGSL-RRAAHS1</t>
  </si>
  <si>
    <t>TESTER-PGKS-RAAHGSDPS1</t>
  </si>
  <si>
    <t>TESTER-PGKS1</t>
  </si>
  <si>
    <t>TESTER-PGKHC1</t>
  </si>
  <si>
    <t>TESTER-PGKFFW1B</t>
  </si>
  <si>
    <t>TESTER-PGKSGFFW1</t>
  </si>
  <si>
    <t>TESTER-PGATT-PFFW1</t>
  </si>
  <si>
    <t>TESTER-PGASC</t>
  </si>
  <si>
    <t>TESTER-PGALIC</t>
  </si>
  <si>
    <t>TESTER-PG-VLAOCFW1</t>
  </si>
  <si>
    <t>TESTER-PGGTM-RAHCS1</t>
  </si>
  <si>
    <t>TESTER-PGKS-RAHHM1</t>
  </si>
  <si>
    <t>TESTER-PGSL-SRAHM1</t>
  </si>
  <si>
    <t>TESTER-PGATT-ADHM1</t>
  </si>
  <si>
    <t>TESTER-PGMU-GLJJ1</t>
  </si>
  <si>
    <t>TESTER-PGMU-GLTK1</t>
  </si>
  <si>
    <t>TESTER-PGMU-GLRN1</t>
  </si>
  <si>
    <t>TESTER-PGMU-GLMH1</t>
  </si>
  <si>
    <t>TESTER-PGMU-MCTM1</t>
  </si>
  <si>
    <t>PG-GMP1</t>
  </si>
  <si>
    <t>PGAVC-DBFKPR1</t>
  </si>
  <si>
    <t>PG-CL25</t>
  </si>
  <si>
    <t>PG-AN1</t>
  </si>
  <si>
    <t>PG-GWP-TFHB1</t>
  </si>
  <si>
    <t>PG-GWP-BTP1</t>
  </si>
  <si>
    <t>TESTER-PGK-HGM50</t>
  </si>
  <si>
    <t>TESTER-PGK-HGM100</t>
  </si>
  <si>
    <t>TESTER-PGK-DRC1</t>
  </si>
  <si>
    <t>PGSR-VCFK1</t>
  </si>
  <si>
    <t>PGSR-24KGFK1</t>
  </si>
  <si>
    <t>PGSR-PSS1</t>
  </si>
  <si>
    <t>TESTER1-PGK-NOSLGS50</t>
  </si>
  <si>
    <t>TESTER1-PGK-ACFS50</t>
  </si>
  <si>
    <t>PHD-CHC1</t>
  </si>
  <si>
    <t>PGSR-PB1</t>
  </si>
  <si>
    <t>PGMU-LCBN1</t>
  </si>
  <si>
    <t>PGMU-LCTN1</t>
  </si>
  <si>
    <t>PGMU-LCNC1</t>
  </si>
  <si>
    <t>PGMU-LCCA1</t>
  </si>
  <si>
    <t>PGMU-LCPF1</t>
  </si>
  <si>
    <t>PGMU-LCRP1</t>
  </si>
  <si>
    <t>PGMU-LCMM1</t>
  </si>
  <si>
    <t>PGMU-LCRR1</t>
  </si>
  <si>
    <t>PGMU-LCMMU1</t>
  </si>
  <si>
    <t>PGMU-LCPS1</t>
  </si>
  <si>
    <t>PGMU-LCML1</t>
  </si>
  <si>
    <t>PGMU-LCNW1</t>
  </si>
  <si>
    <t>PGMU-LCMO1</t>
  </si>
  <si>
    <t>PGMU-LCVB1</t>
  </si>
  <si>
    <t>PGK-AHBHPS10</t>
  </si>
  <si>
    <t>MINIS-ATTADS1</t>
  </si>
  <si>
    <t>MINIS-KUEC1</t>
  </si>
  <si>
    <t>MINIS-SGSM1</t>
  </si>
  <si>
    <t>MINI-PGS-NGSSSO</t>
  </si>
  <si>
    <t>MINIS-VCGFW1</t>
  </si>
  <si>
    <t>MINIS-KLFS1</t>
  </si>
  <si>
    <t>PGPK-POB1</t>
  </si>
  <si>
    <t>PGA-15VCF10</t>
  </si>
  <si>
    <t>PG-PSCC1</t>
  </si>
  <si>
    <t>PG-GWP-DTP</t>
  </si>
  <si>
    <t>PGASS650</t>
  </si>
  <si>
    <t>PGATT-ADS650</t>
  </si>
  <si>
    <t>PGMU-18EP1</t>
  </si>
  <si>
    <t>MINIS-KAAS1</t>
  </si>
  <si>
    <t>MINIS-HGM8</t>
  </si>
  <si>
    <t>MINIS-2SAFS5</t>
  </si>
  <si>
    <t>PGATT-ADS1</t>
  </si>
  <si>
    <t>PGASS100</t>
  </si>
  <si>
    <t>MINIS-10NFS5</t>
  </si>
  <si>
    <t>MINIS-VFMT1</t>
  </si>
  <si>
    <t>PGPK-PMB1</t>
  </si>
  <si>
    <t>MINIS-DRS25</t>
  </si>
  <si>
    <t>MINIS-DRHM25</t>
  </si>
  <si>
    <t>MINIS-10VCFS5</t>
  </si>
  <si>
    <t>MINIS-ATTPT1</t>
  </si>
  <si>
    <t>PGPK-PMIB1</t>
  </si>
  <si>
    <t>PGK-AHBHPS60</t>
  </si>
  <si>
    <t>PG-TSL-S1</t>
  </si>
  <si>
    <t>PGIS-WC1</t>
  </si>
  <si>
    <t>PG-GWP-C</t>
  </si>
  <si>
    <t>PG-OFFTTU</t>
  </si>
  <si>
    <t>PG-GWP-M1</t>
  </si>
  <si>
    <t>PG-GWP-BP1</t>
  </si>
  <si>
    <t>PGIS-FT1</t>
  </si>
  <si>
    <t>TESTER-PGSS-UMSST1</t>
  </si>
  <si>
    <t>TESTER-PGAVC-2OFM</t>
  </si>
  <si>
    <t>TESTER-PGMU-BBCHG1</t>
  </si>
  <si>
    <t>TESTER-PGEDP-TFLC1</t>
  </si>
  <si>
    <t>TESTER-PGK-HASSG50</t>
  </si>
  <si>
    <t>TTCOMPACT</t>
  </si>
  <si>
    <t>TTBlush</t>
  </si>
  <si>
    <t>TTHighlighter</t>
  </si>
  <si>
    <t>TESTER-PGA-10VCFS30</t>
  </si>
  <si>
    <t>PG-GWP-WT</t>
  </si>
  <si>
    <t>PG-TSB-ES1</t>
  </si>
  <si>
    <t>PG-TSB-S1</t>
  </si>
  <si>
    <t>PG-TSB-M1</t>
  </si>
  <si>
    <t>PG-TSB-L1</t>
  </si>
  <si>
    <t>PG-TSB-XL1</t>
  </si>
  <si>
    <t>PG-TSE-ES1</t>
  </si>
  <si>
    <t>PG-TSE-S1</t>
  </si>
  <si>
    <t>PG-TSE-M1</t>
  </si>
  <si>
    <t>PG-TSE-L1</t>
  </si>
  <si>
    <t>PG-TSE-XL1</t>
  </si>
  <si>
    <t>PG-TSL-ES1</t>
  </si>
  <si>
    <t>PG-TSL-M1</t>
  </si>
  <si>
    <t>PG-TSL-L1</t>
  </si>
  <si>
    <t>PG-TSL-XL1</t>
  </si>
  <si>
    <t>PG-GWP-MG1</t>
  </si>
  <si>
    <t>PG-GWP-BB1</t>
  </si>
  <si>
    <t>TESTER-PGMU-GLHH1</t>
  </si>
  <si>
    <t>TESTER-PGATT-PFWGT1</t>
  </si>
  <si>
    <t>TESTER-PGAHM</t>
  </si>
  <si>
    <t>TESTER-PGAVC-GFWT1</t>
  </si>
  <si>
    <t>TESTER-PGSAR-HFW1</t>
  </si>
  <si>
    <t>TESTER-PGSL-SRAHC1</t>
  </si>
  <si>
    <t>TESTER-PG-FRVYGFW1</t>
  </si>
  <si>
    <t>TESTER-PG-ANVCBGFW1</t>
  </si>
  <si>
    <t>TESTER-PGK-5CBRM1</t>
  </si>
  <si>
    <t>PG-DPRB2</t>
  </si>
  <si>
    <t>TESTER1-PGATT-EO1</t>
  </si>
  <si>
    <t>PG-GWP-RSV1</t>
  </si>
  <si>
    <t>PG-GWP-MVP1</t>
  </si>
  <si>
    <t>PGIS-BP1</t>
  </si>
  <si>
    <t>PG-OFTC1</t>
  </si>
  <si>
    <t>TESTER1-PGAVC-DBFKPR1</t>
  </si>
  <si>
    <t>TESTER1-PGK-WLTS50</t>
  </si>
  <si>
    <t>PGSA-BO1</t>
  </si>
  <si>
    <t>PG-OFTC2</t>
  </si>
  <si>
    <t>PG-GWP-PP1</t>
  </si>
  <si>
    <t>TESTER-PGSL-SBLS1</t>
  </si>
  <si>
    <t>TESTER-PGAVC-IVSS1</t>
  </si>
  <si>
    <t>TESTER-PGSL-SRAHS1</t>
  </si>
  <si>
    <t>TESTER1-PGA-VCBLGS60</t>
  </si>
  <si>
    <t>TESTER-PGMU-FSLV1</t>
  </si>
  <si>
    <t>TESTER-PGMU-FSCN1</t>
  </si>
  <si>
    <t>TESTER-PGMU-FSLB1</t>
  </si>
  <si>
    <t>TESTER-PGMU-FSMS1</t>
  </si>
  <si>
    <t>TESTER-PGMU-FSCA1</t>
  </si>
  <si>
    <t>TESTER-PGMU-FSRW1</t>
  </si>
  <si>
    <t>TESTER-PGMU-FSDM1</t>
  </si>
  <si>
    <t>PG-POSMG1</t>
  </si>
  <si>
    <t>PHD-PRBOX1</t>
  </si>
  <si>
    <t>PHD-PRCARD1</t>
  </si>
  <si>
    <t>PHD-BGB1</t>
  </si>
  <si>
    <t>PHD-PMIB1</t>
  </si>
  <si>
    <t>PHD-PSB1</t>
  </si>
  <si>
    <t>PG-POSM-DRTTU</t>
  </si>
  <si>
    <t>Total qty</t>
  </si>
  <si>
    <t>Amt</t>
  </si>
  <si>
    <t>Date</t>
  </si>
  <si>
    <t>Locationgb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</si>
</sst>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4" fontId="0" fillId="0" borderId="0" xfId="0" applyNumberFormat="1"/>
    <xf numFmtId="11" fontId="0" fillId="0" borderId="0" xfId="0" applyNumberFormat="1"/>
    <xf numFmtId="0" fontId="0" fillId="33" borderId="0" xfId="0" applyFill="1"/>
    <xf numFmtId="43" fontId="0" fillId="0" borderId="0" xfId="42" applyFont="1"/>
    <xf numFmtId="4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ena\Downloads\combo%20master.xlsx" TargetMode="External"/><Relationship Id="rId1" Type="http://schemas.openxmlformats.org/officeDocument/2006/relationships/externalLinkPath" Target="/Users/meena/Downloads/combo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eena\F.Y.%2025-26\Standard%20costing%20of%20Products\Standard%20costing%20of%20Products_25-26.xlsx" TargetMode="External"/><Relationship Id="rId1" Type="http://schemas.openxmlformats.org/officeDocument/2006/relationships/externalLinkPath" Target="file:///D:\Meena\F.Y.%2025-26\Standard%20costing%20of%20Products\Standard%20costing%20of%20Products_25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o List"/>
      <sheetName val="Normal"/>
      <sheetName val="Cost Sheet"/>
      <sheetName val="Combo Cost Price"/>
      <sheetName val="Sheet2"/>
    </sheetNames>
    <sheetDataSet>
      <sheetData sheetId="0" refreshError="1"/>
      <sheetData sheetId="1" refreshError="1"/>
      <sheetData sheetId="2">
        <row r="1">
          <cell r="C1" t="str">
            <v>SKU</v>
          </cell>
          <cell r="D1" t="str">
            <v>Cost Price- 100%</v>
          </cell>
        </row>
        <row r="2">
          <cell r="C2" t="str">
            <v>PGVFC1</v>
          </cell>
          <cell r="D2">
            <v>53.202222222222218</v>
          </cell>
        </row>
        <row r="3">
          <cell r="C3" t="str">
            <v>PGVNGC1</v>
          </cell>
          <cell r="D3">
            <v>41.87</v>
          </cell>
        </row>
        <row r="4">
          <cell r="C4" t="str">
            <v>PGVFW1</v>
          </cell>
          <cell r="D4">
            <v>35.085999999999999</v>
          </cell>
        </row>
        <row r="5">
          <cell r="C5" t="str">
            <v>PGVUEC1</v>
          </cell>
          <cell r="D5">
            <v>40.090000000000003</v>
          </cell>
        </row>
        <row r="6">
          <cell r="C6" t="str">
            <v>PGVFMT1</v>
          </cell>
          <cell r="D6">
            <v>25.264285714285712</v>
          </cell>
        </row>
        <row r="7">
          <cell r="C7" t="str">
            <v>PGVFS1</v>
          </cell>
          <cell r="D7">
            <v>41.09</v>
          </cell>
        </row>
        <row r="8">
          <cell r="C8" t="str">
            <v>PGVFM1</v>
          </cell>
          <cell r="D8">
            <v>37.17</v>
          </cell>
        </row>
        <row r="9">
          <cell r="C9" t="str">
            <v>PGVFFWB</v>
          </cell>
          <cell r="D9">
            <v>72.22</v>
          </cell>
        </row>
        <row r="10">
          <cell r="C10" t="str">
            <v>PGVFS</v>
          </cell>
          <cell r="D10">
            <v>60.46</v>
          </cell>
        </row>
        <row r="11">
          <cell r="C11" t="str">
            <v>PGKBB1</v>
          </cell>
          <cell r="D11">
            <v>104.9</v>
          </cell>
        </row>
        <row r="12">
          <cell r="C12" t="str">
            <v>PGKBS1</v>
          </cell>
          <cell r="D12">
            <v>73.14</v>
          </cell>
        </row>
        <row r="13">
          <cell r="C13" t="str">
            <v>PGKFW1</v>
          </cell>
          <cell r="D13">
            <v>38.68</v>
          </cell>
        </row>
        <row r="14">
          <cell r="C14" t="str">
            <v>PGKFMT1</v>
          </cell>
          <cell r="D14">
            <v>27.66</v>
          </cell>
        </row>
        <row r="15">
          <cell r="C15" t="str">
            <v>PGKFS1</v>
          </cell>
          <cell r="D15">
            <v>60.54</v>
          </cell>
        </row>
        <row r="16">
          <cell r="C16" t="str">
            <v>PGKNS1</v>
          </cell>
          <cell r="D16">
            <v>42.19</v>
          </cell>
        </row>
        <row r="17">
          <cell r="C17" t="str">
            <v>PGKDC1</v>
          </cell>
          <cell r="D17">
            <v>94.530000000000015</v>
          </cell>
        </row>
        <row r="18">
          <cell r="C18" t="str">
            <v>PGKS1</v>
          </cell>
          <cell r="D18">
            <v>78.88</v>
          </cell>
        </row>
        <row r="19">
          <cell r="C19" t="str">
            <v>PGKHM1</v>
          </cell>
          <cell r="D19">
            <v>102.91</v>
          </cell>
        </row>
        <row r="20">
          <cell r="C20" t="str">
            <v>PGKHS1</v>
          </cell>
          <cell r="D20">
            <v>100.66</v>
          </cell>
        </row>
        <row r="21">
          <cell r="C21" t="str">
            <v>PGKHC1</v>
          </cell>
          <cell r="D21">
            <v>75.010000000000005</v>
          </cell>
        </row>
        <row r="22">
          <cell r="C22" t="str">
            <v>PGKNC1</v>
          </cell>
          <cell r="D22">
            <v>69.16</v>
          </cell>
        </row>
        <row r="23">
          <cell r="C23" t="str">
            <v>PGKUEC1</v>
          </cell>
          <cell r="D23">
            <v>63.65</v>
          </cell>
        </row>
        <row r="24">
          <cell r="C24" t="str">
            <v>PGKS20</v>
          </cell>
          <cell r="D24">
            <v>121.49</v>
          </cell>
        </row>
        <row r="25">
          <cell r="C25" t="str">
            <v>PGKS-SCS1</v>
          </cell>
          <cell r="D25">
            <v>75.69</v>
          </cell>
        </row>
        <row r="26">
          <cell r="C26" t="str">
            <v>PGKS-AAS1</v>
          </cell>
          <cell r="D26">
            <v>51.353999999999999</v>
          </cell>
        </row>
        <row r="27">
          <cell r="C27" t="str">
            <v>PGKS-LFS1</v>
          </cell>
          <cell r="D27">
            <v>75.27</v>
          </cell>
        </row>
        <row r="28">
          <cell r="C28" t="str">
            <v>PGKS-AVBS1</v>
          </cell>
          <cell r="D28">
            <v>76.619230769230754</v>
          </cell>
        </row>
        <row r="29">
          <cell r="C29" t="str">
            <v>PGKS-AHGS1</v>
          </cell>
          <cell r="D29">
            <v>130.39230769230767</v>
          </cell>
        </row>
        <row r="30">
          <cell r="C30" t="str">
            <v>PGK24KGFM1</v>
          </cell>
          <cell r="D30">
            <v>63.26</v>
          </cell>
        </row>
        <row r="31">
          <cell r="C31" t="str">
            <v>PGK24KGBO1</v>
          </cell>
          <cell r="D31">
            <v>99.42</v>
          </cell>
        </row>
        <row r="32">
          <cell r="C32" t="str">
            <v>PGK24KGS20ML</v>
          </cell>
          <cell r="D32">
            <v>70.52</v>
          </cell>
        </row>
        <row r="33">
          <cell r="C33" t="str">
            <v>PGKZAAG1</v>
          </cell>
          <cell r="D33">
            <v>54.45</v>
          </cell>
        </row>
        <row r="34">
          <cell r="C34" t="str">
            <v>PGKFFW1B</v>
          </cell>
          <cell r="D34">
            <v>61.72</v>
          </cell>
        </row>
        <row r="35">
          <cell r="C35" t="str">
            <v>PGKFFW1</v>
          </cell>
          <cell r="D35">
            <v>59.37</v>
          </cell>
        </row>
        <row r="36">
          <cell r="C36" t="str">
            <v>PGKAVG1</v>
          </cell>
          <cell r="D36">
            <v>47.03</v>
          </cell>
        </row>
        <row r="37">
          <cell r="C37" t="str">
            <v>PGKRRNO1</v>
          </cell>
          <cell r="D37">
            <v>80.63</v>
          </cell>
        </row>
        <row r="38">
          <cell r="C38" t="str">
            <v>PGKAO30ML</v>
          </cell>
          <cell r="D38">
            <v>82.5</v>
          </cell>
        </row>
        <row r="39">
          <cell r="C39" t="str">
            <v>PGKAO15ML</v>
          </cell>
          <cell r="D39">
            <v>50.18</v>
          </cell>
        </row>
        <row r="40">
          <cell r="C40" t="str">
            <v>PGKABPPS1</v>
          </cell>
          <cell r="D40">
            <v>51.841111111111118</v>
          </cell>
        </row>
        <row r="41">
          <cell r="C41" t="str">
            <v>PGKSNOCS1</v>
          </cell>
          <cell r="D41">
            <v>50.46</v>
          </cell>
        </row>
        <row r="42">
          <cell r="C42" t="str">
            <v>PGKHAHSS1</v>
          </cell>
          <cell r="D42">
            <v>65.349999999999994</v>
          </cell>
        </row>
        <row r="43">
          <cell r="C43" t="str">
            <v>PGKOFGM1</v>
          </cell>
          <cell r="D43">
            <v>72.599999999999994</v>
          </cell>
        </row>
        <row r="44">
          <cell r="C44" t="str">
            <v>PGKSGFFW1</v>
          </cell>
          <cell r="D44">
            <v>66.899999999999991</v>
          </cell>
        </row>
        <row r="45">
          <cell r="C45" t="str">
            <v>PGKTO1</v>
          </cell>
          <cell r="D45">
            <v>106.35</v>
          </cell>
        </row>
        <row r="46">
          <cell r="C46" t="str">
            <v>PGKSSSERUM30</v>
          </cell>
          <cell r="D46">
            <v>52.010000000000005</v>
          </cell>
        </row>
        <row r="47">
          <cell r="C47" t="str">
            <v>PGKSSSERUM50</v>
          </cell>
          <cell r="D47">
            <v>60</v>
          </cell>
        </row>
        <row r="48">
          <cell r="C48" t="str">
            <v>PGSPRGFOIL1</v>
          </cell>
          <cell r="D48">
            <v>84.73</v>
          </cell>
        </row>
        <row r="49">
          <cell r="C49" t="str">
            <v>PGSGBO1</v>
          </cell>
          <cell r="D49">
            <v>63</v>
          </cell>
        </row>
        <row r="50">
          <cell r="C50" t="str">
            <v>PGSOIL1</v>
          </cell>
          <cell r="D50">
            <v>87.78</v>
          </cell>
        </row>
        <row r="51">
          <cell r="C51" t="str">
            <v>PGSFFWASH1</v>
          </cell>
          <cell r="D51">
            <v>61.48</v>
          </cell>
        </row>
        <row r="52">
          <cell r="C52" t="str">
            <v>PGSTMIST1</v>
          </cell>
          <cell r="D52">
            <v>32.03</v>
          </cell>
        </row>
        <row r="53">
          <cell r="C53" t="str">
            <v>PGSL-BLS1</v>
          </cell>
          <cell r="D53">
            <v>31.31</v>
          </cell>
        </row>
        <row r="54">
          <cell r="C54" t="str">
            <v>PGSL-PLS1</v>
          </cell>
          <cell r="D54">
            <v>31.06</v>
          </cell>
        </row>
        <row r="55">
          <cell r="C55" t="str">
            <v>PGSL-SBLS1</v>
          </cell>
          <cell r="D55">
            <v>31.11</v>
          </cell>
        </row>
        <row r="56">
          <cell r="C56" t="str">
            <v>PGSL-BBLS1</v>
          </cell>
          <cell r="D56">
            <v>31.11</v>
          </cell>
        </row>
        <row r="57">
          <cell r="C57" t="str">
            <v>PGSL-BLB1</v>
          </cell>
          <cell r="D57">
            <v>26.27</v>
          </cell>
        </row>
        <row r="58">
          <cell r="C58" t="str">
            <v>PGSL-PLB1</v>
          </cell>
          <cell r="D58">
            <v>26.19</v>
          </cell>
        </row>
        <row r="59">
          <cell r="C59" t="str">
            <v>PGSL-PLSC1</v>
          </cell>
          <cell r="D59">
            <v>27.14</v>
          </cell>
        </row>
        <row r="60">
          <cell r="C60" t="str">
            <v>PGSL-BLSC1</v>
          </cell>
          <cell r="D60">
            <v>26.914999999999996</v>
          </cell>
        </row>
        <row r="61">
          <cell r="C61" t="str">
            <v>PGSL-BLSM1</v>
          </cell>
          <cell r="D61">
            <v>37.06</v>
          </cell>
        </row>
        <row r="62">
          <cell r="C62" t="str">
            <v>PGSL-PLSM1</v>
          </cell>
          <cell r="D62">
            <v>37.07</v>
          </cell>
        </row>
        <row r="63">
          <cell r="C63" t="str">
            <v>PGSL-ELPRO1</v>
          </cell>
          <cell r="D63">
            <v>28.82</v>
          </cell>
        </row>
        <row r="64">
          <cell r="C64" t="str">
            <v>PGSPRADCSERUM1</v>
          </cell>
          <cell r="D64">
            <v>72.67</v>
          </cell>
        </row>
        <row r="65">
          <cell r="C65" t="str">
            <v>PGSPRADMOISTURIZER1</v>
          </cell>
          <cell r="D65">
            <v>79.03</v>
          </cell>
        </row>
        <row r="66">
          <cell r="C66" t="str">
            <v>PGSGCSERUM1</v>
          </cell>
          <cell r="D66">
            <v>60.73</v>
          </cell>
        </row>
        <row r="67">
          <cell r="C67" t="str">
            <v>PGSGMOISTURIZER1</v>
          </cell>
          <cell r="D67">
            <v>66.328461538461553</v>
          </cell>
        </row>
        <row r="68">
          <cell r="C68" t="str">
            <v>PGSGSMASK1</v>
          </cell>
          <cell r="D68">
            <v>70.2</v>
          </cell>
        </row>
        <row r="69">
          <cell r="C69" t="str">
            <v>PGSUECREAM1</v>
          </cell>
          <cell r="D69">
            <v>69.61</v>
          </cell>
        </row>
        <row r="70">
          <cell r="C70" t="str">
            <v>PGSROUESERUM1</v>
          </cell>
          <cell r="D70">
            <v>75.81</v>
          </cell>
        </row>
        <row r="71">
          <cell r="C71" t="str">
            <v>PGSVCROIL1</v>
          </cell>
          <cell r="D71">
            <v>78.900000000000006</v>
          </cell>
        </row>
        <row r="72">
          <cell r="C72" t="str">
            <v>PGSCQ10ADFOIL1</v>
          </cell>
          <cell r="D72">
            <v>85.81</v>
          </cell>
        </row>
        <row r="73">
          <cell r="C73" t="str">
            <v>PGSBMWATER1</v>
          </cell>
          <cell r="D73">
            <v>80.650000000000006</v>
          </cell>
        </row>
        <row r="74">
          <cell r="C74" t="str">
            <v>PGSS-UMSST1</v>
          </cell>
          <cell r="D74">
            <v>112.63</v>
          </cell>
        </row>
        <row r="75">
          <cell r="C75" t="str">
            <v>PGSBSL-5NC</v>
          </cell>
          <cell r="D75">
            <v>66.42</v>
          </cell>
        </row>
        <row r="76">
          <cell r="C76" t="str">
            <v>PGSBSL-PRHA</v>
          </cell>
          <cell r="D76">
            <v>66.42</v>
          </cell>
        </row>
        <row r="77">
          <cell r="C77" t="str">
            <v>PGSBSL-5LGA</v>
          </cell>
          <cell r="D77">
            <v>66.42</v>
          </cell>
        </row>
        <row r="78">
          <cell r="C78" t="str">
            <v>PGATT-PFFW1</v>
          </cell>
          <cell r="D78">
            <v>62.99</v>
          </cell>
        </row>
        <row r="79">
          <cell r="C79" t="str">
            <v>PGATT-PFWGT1</v>
          </cell>
          <cell r="D79">
            <v>40.29</v>
          </cell>
        </row>
        <row r="80">
          <cell r="C80" t="str">
            <v>PGATT-PT1</v>
          </cell>
          <cell r="D80">
            <v>31.706666666666667</v>
          </cell>
        </row>
        <row r="81">
          <cell r="C81" t="str">
            <v>PGATT-NOM1</v>
          </cell>
          <cell r="D81">
            <v>43.71</v>
          </cell>
        </row>
        <row r="82">
          <cell r="C82" t="str">
            <v>PGATT-10NBRS1</v>
          </cell>
          <cell r="D82">
            <v>52.11</v>
          </cell>
        </row>
        <row r="83">
          <cell r="C83" t="str">
            <v>PGATT-EO1</v>
          </cell>
          <cell r="D83">
            <v>55.05</v>
          </cell>
        </row>
        <row r="84">
          <cell r="C84" t="str">
            <v>PGASS</v>
          </cell>
          <cell r="D84">
            <v>92.44</v>
          </cell>
        </row>
        <row r="85">
          <cell r="C85" t="str">
            <v>PGASC</v>
          </cell>
          <cell r="D85">
            <v>77.739999999999995</v>
          </cell>
        </row>
        <row r="86">
          <cell r="C86" t="str">
            <v>PGAHM</v>
          </cell>
          <cell r="D86">
            <v>85.41</v>
          </cell>
        </row>
        <row r="87">
          <cell r="C87" t="str">
            <v>PGASHS</v>
          </cell>
          <cell r="D87">
            <v>113.26</v>
          </cell>
        </row>
        <row r="88">
          <cell r="C88" t="str">
            <v>PGASHO</v>
          </cell>
          <cell r="D88">
            <v>67.05</v>
          </cell>
        </row>
        <row r="89">
          <cell r="C89" t="str">
            <v>PGASSCRUB</v>
          </cell>
          <cell r="D89">
            <v>79.260000000000005</v>
          </cell>
        </row>
        <row r="90">
          <cell r="C90" t="str">
            <v>PGAAGHS</v>
          </cell>
          <cell r="D90">
            <v>99.63</v>
          </cell>
        </row>
        <row r="91">
          <cell r="C91" t="str">
            <v>PGALIC</v>
          </cell>
          <cell r="D91">
            <v>45.01</v>
          </cell>
        </row>
        <row r="92">
          <cell r="C92" t="str">
            <v>PGKFM1</v>
          </cell>
          <cell r="D92">
            <v>58.15</v>
          </cell>
        </row>
        <row r="93">
          <cell r="C93" t="str">
            <v>PGVHNC1</v>
          </cell>
          <cell r="D93">
            <v>27.4</v>
          </cell>
        </row>
        <row r="94">
          <cell r="C94" t="str">
            <v>PGVBW1</v>
          </cell>
          <cell r="D94">
            <v>68.45</v>
          </cell>
        </row>
        <row r="95">
          <cell r="C95" t="str">
            <v>PGVBL1</v>
          </cell>
          <cell r="D95">
            <v>62.45</v>
          </cell>
        </row>
        <row r="96">
          <cell r="C96" t="str">
            <v>PGKBW1</v>
          </cell>
          <cell r="D96">
            <v>72.099999999999994</v>
          </cell>
        </row>
        <row r="97">
          <cell r="C97" t="str">
            <v>PGKBL1</v>
          </cell>
          <cell r="D97">
            <v>59.1</v>
          </cell>
        </row>
        <row r="98">
          <cell r="C98" t="str">
            <v>PGKHNC1</v>
          </cell>
          <cell r="D98">
            <v>33.1</v>
          </cell>
        </row>
        <row r="99">
          <cell r="C99" t="str">
            <v>SAM-HAHSS</v>
          </cell>
          <cell r="D99">
            <v>19.059999999999999</v>
          </cell>
        </row>
        <row r="100">
          <cell r="C100" t="str">
            <v>SAM-NC1</v>
          </cell>
          <cell r="D100">
            <v>16.38</v>
          </cell>
        </row>
        <row r="101">
          <cell r="C101" t="str">
            <v>SAM-VFC</v>
          </cell>
          <cell r="D101">
            <v>11.96</v>
          </cell>
        </row>
        <row r="102">
          <cell r="C102" t="str">
            <v>SAM-VNGC</v>
          </cell>
          <cell r="D102">
            <v>11.69</v>
          </cell>
        </row>
        <row r="103">
          <cell r="C103" t="str">
            <v>SAM-AVBS</v>
          </cell>
          <cell r="D103">
            <v>20.99</v>
          </cell>
        </row>
        <row r="104">
          <cell r="C104" t="str">
            <v>SAMAVBS</v>
          </cell>
          <cell r="D104">
            <v>19.899999999999999</v>
          </cell>
        </row>
        <row r="105">
          <cell r="C105" t="str">
            <v>PGAVC-BSL1</v>
          </cell>
          <cell r="D105">
            <v>67.69</v>
          </cell>
        </row>
        <row r="106">
          <cell r="C106" t="str">
            <v>PGAVC-GFWT1</v>
          </cell>
          <cell r="D106">
            <v>44.312857142857141</v>
          </cell>
        </row>
        <row r="107">
          <cell r="C107" t="str">
            <v>PGAVC-1T</v>
          </cell>
          <cell r="D107">
            <v>43.38</v>
          </cell>
        </row>
        <row r="108">
          <cell r="C108" t="str">
            <v>PGAVC-2OFM</v>
          </cell>
          <cell r="D108">
            <v>53.93</v>
          </cell>
        </row>
        <row r="109">
          <cell r="C109" t="str">
            <v>PGSL-SBLB1</v>
          </cell>
          <cell r="D109">
            <v>25.930000000000003</v>
          </cell>
        </row>
        <row r="110">
          <cell r="C110" t="str">
            <v>PGBM-NYB1</v>
          </cell>
          <cell r="D110">
            <v>61.45</v>
          </cell>
        </row>
        <row r="111">
          <cell r="C111" t="str">
            <v>PGBM-FK1</v>
          </cell>
          <cell r="D111">
            <v>61.93</v>
          </cell>
        </row>
        <row r="112">
          <cell r="C112" t="str">
            <v>PGBM-SE1</v>
          </cell>
          <cell r="D112">
            <v>57</v>
          </cell>
        </row>
        <row r="113">
          <cell r="C113" t="str">
            <v>SAM-ABPPS1</v>
          </cell>
          <cell r="D113">
            <v>17.305</v>
          </cell>
        </row>
        <row r="114">
          <cell r="C114" t="str">
            <v>SAM-24KGFM1</v>
          </cell>
          <cell r="D114">
            <v>15.13</v>
          </cell>
        </row>
        <row r="115">
          <cell r="C115" t="str">
            <v>SAM-SGM1</v>
          </cell>
          <cell r="D115">
            <v>14.81</v>
          </cell>
        </row>
        <row r="116">
          <cell r="C116" t="str">
            <v>SAM-SGCS1</v>
          </cell>
          <cell r="D116">
            <v>17.440000000000001</v>
          </cell>
        </row>
        <row r="117">
          <cell r="C117" t="str">
            <v>PGJB1</v>
          </cell>
          <cell r="D117">
            <v>27.733333333333331</v>
          </cell>
        </row>
        <row r="118">
          <cell r="C118" t="str">
            <v>PGBB1</v>
          </cell>
          <cell r="D118">
            <v>94</v>
          </cell>
        </row>
        <row r="119">
          <cell r="C119" t="str">
            <v>pink bag/PGSL-PB1</v>
          </cell>
          <cell r="D119">
            <v>65</v>
          </cell>
        </row>
        <row r="120">
          <cell r="C120" t="str">
            <v>MINIS-KLFS1</v>
          </cell>
          <cell r="D120">
            <v>20.65</v>
          </cell>
        </row>
        <row r="121">
          <cell r="C121" t="str">
            <v>PGAVC-20S</v>
          </cell>
          <cell r="D121">
            <v>131.68</v>
          </cell>
        </row>
        <row r="122">
          <cell r="C122" t="str">
            <v>MINIS-ATTPT1</v>
          </cell>
          <cell r="D122">
            <v>14.59</v>
          </cell>
        </row>
        <row r="123">
          <cell r="C123" t="str">
            <v>MINIS-KAAS1</v>
          </cell>
          <cell r="D123">
            <v>15.5</v>
          </cell>
        </row>
        <row r="124">
          <cell r="C124" t="str">
            <v>MINIS-KUEC1</v>
          </cell>
          <cell r="D124">
            <v>18.22</v>
          </cell>
        </row>
        <row r="125">
          <cell r="C125" t="str">
            <v>MINIS-SFMT1</v>
          </cell>
          <cell r="D125">
            <v>14.330000000000002</v>
          </cell>
        </row>
        <row r="126">
          <cell r="C126" t="str">
            <v>MINIS-SGSM1</v>
          </cell>
          <cell r="D126">
            <v>16.059999999999999</v>
          </cell>
        </row>
        <row r="127">
          <cell r="C127" t="str">
            <v>MINIS-VFMT1</v>
          </cell>
          <cell r="D127">
            <v>12.53</v>
          </cell>
        </row>
        <row r="128">
          <cell r="C128" t="str">
            <v>MINIS-VFS1</v>
          </cell>
          <cell r="D128">
            <v>17.11</v>
          </cell>
        </row>
        <row r="129">
          <cell r="C129" t="str">
            <v>PGEDP-ZEN1</v>
          </cell>
          <cell r="D129">
            <v>106.44999999999999</v>
          </cell>
        </row>
        <row r="130">
          <cell r="C130" t="str">
            <v>PGEDP-ALP1</v>
          </cell>
          <cell r="D130">
            <v>106.31</v>
          </cell>
        </row>
        <row r="131">
          <cell r="C131" t="str">
            <v>PGEDP-GKGOD1</v>
          </cell>
          <cell r="D131">
            <v>116.69999999999999</v>
          </cell>
        </row>
        <row r="132">
          <cell r="C132" t="str">
            <v>PGAVC-LLB1</v>
          </cell>
          <cell r="D132">
            <v>28.3</v>
          </cell>
        </row>
        <row r="133">
          <cell r="C133" t="str">
            <v>PGAVC-LLSM1</v>
          </cell>
          <cell r="D133">
            <v>36.78</v>
          </cell>
        </row>
        <row r="134">
          <cell r="C134" t="str">
            <v>PGSAR-120HM1</v>
          </cell>
          <cell r="D134">
            <v>100.13</v>
          </cell>
        </row>
        <row r="135">
          <cell r="C135" t="str">
            <v>PGAVC-LLK1</v>
          </cell>
          <cell r="D135">
            <v>89.66</v>
          </cell>
        </row>
        <row r="136">
          <cell r="C136" t="str">
            <v>PGSAR-HGT1</v>
          </cell>
          <cell r="D136">
            <v>50.08</v>
          </cell>
        </row>
        <row r="137">
          <cell r="C137" t="str">
            <v>PGSAR-OHC1</v>
          </cell>
          <cell r="D137">
            <v>96.77</v>
          </cell>
        </row>
        <row r="138">
          <cell r="C138" t="str">
            <v>PGSAR-12HAS1</v>
          </cell>
          <cell r="D138">
            <v>105.05000000000001</v>
          </cell>
        </row>
        <row r="139">
          <cell r="C139" t="str">
            <v>PGEDP-TIC1</v>
          </cell>
          <cell r="D139">
            <v>152.38000000000002</v>
          </cell>
        </row>
        <row r="140">
          <cell r="C140" t="str">
            <v>PGK24K-GGM1</v>
          </cell>
          <cell r="D140">
            <v>103.36</v>
          </cell>
        </row>
        <row r="141">
          <cell r="C141" t="str">
            <v>PGSL-SRAHC1</v>
          </cell>
          <cell r="D141">
            <v>49.06</v>
          </cell>
        </row>
        <row r="142">
          <cell r="C142" t="str">
            <v>PGSL-SREO1</v>
          </cell>
          <cell r="D142">
            <v>45.474000000000004</v>
          </cell>
        </row>
        <row r="143">
          <cell r="C143" t="str">
            <v>MINIS-KFMT1</v>
          </cell>
          <cell r="D143">
            <v>13.06</v>
          </cell>
        </row>
        <row r="144">
          <cell r="C144" t="str">
            <v>SAM-SGM8G</v>
          </cell>
          <cell r="D144">
            <v>15.920000000000002</v>
          </cell>
        </row>
        <row r="145">
          <cell r="C145" t="str">
            <v>SAM-VFC8G</v>
          </cell>
          <cell r="D145">
            <v>13.56</v>
          </cell>
        </row>
        <row r="146">
          <cell r="C146" t="str">
            <v>PGSAR-HFW1</v>
          </cell>
          <cell r="D146">
            <v>48.72</v>
          </cell>
        </row>
        <row r="147">
          <cell r="C147" t="str">
            <v>PGSL-SRAHS1</v>
          </cell>
          <cell r="D147">
            <v>50.854210526315775</v>
          </cell>
        </row>
        <row r="148">
          <cell r="C148" t="str">
            <v>PGSL-SRHGO1</v>
          </cell>
          <cell r="D148">
            <v>61.997777777777777</v>
          </cell>
        </row>
        <row r="149">
          <cell r="C149" t="str">
            <v>PGK24K-GCGB1</v>
          </cell>
          <cell r="D149">
            <v>431.97</v>
          </cell>
        </row>
        <row r="150">
          <cell r="C150" t="str">
            <v>PGAVC-IVSS1</v>
          </cell>
          <cell r="D150">
            <v>132.01</v>
          </cell>
        </row>
        <row r="151">
          <cell r="C151" t="str">
            <v>PGSAR-PG1</v>
          </cell>
          <cell r="D151">
            <v>70.400000000000006</v>
          </cell>
        </row>
        <row r="152">
          <cell r="C152" t="str">
            <v>PGMU-BBCBG1</v>
          </cell>
          <cell r="D152">
            <v>64.540000000000006</v>
          </cell>
        </row>
        <row r="153">
          <cell r="C153" t="str">
            <v>PGMU-GP1</v>
          </cell>
          <cell r="D153">
            <v>68.577500000000001</v>
          </cell>
        </row>
        <row r="154">
          <cell r="C154" t="str">
            <v>PGK24K-GGFW1</v>
          </cell>
          <cell r="D154">
            <v>53.91</v>
          </cell>
        </row>
        <row r="155">
          <cell r="C155" t="str">
            <v>PGMU-IM1</v>
          </cell>
          <cell r="D155">
            <v>61.98</v>
          </cell>
        </row>
        <row r="156">
          <cell r="C156" t="str">
            <v>PGMU-LLBN1</v>
          </cell>
          <cell r="D156">
            <v>77.84</v>
          </cell>
        </row>
        <row r="157">
          <cell r="C157" t="str">
            <v>PGMU-LLBT1</v>
          </cell>
          <cell r="D157">
            <v>77.84</v>
          </cell>
        </row>
        <row r="158">
          <cell r="C158" t="str">
            <v>PGMU-LLNO1</v>
          </cell>
          <cell r="D158">
            <v>78.453333333333333</v>
          </cell>
        </row>
        <row r="159">
          <cell r="C159" t="str">
            <v>PGMU-LLPC1</v>
          </cell>
          <cell r="D159">
            <v>77.84</v>
          </cell>
        </row>
        <row r="160">
          <cell r="C160" t="str">
            <v>PGMU-LLWS1</v>
          </cell>
          <cell r="D160">
            <v>78.760000000000005</v>
          </cell>
        </row>
        <row r="161">
          <cell r="C161" t="str">
            <v>PGMU-EBS1</v>
          </cell>
          <cell r="D161">
            <v>51.93</v>
          </cell>
        </row>
        <row r="162">
          <cell r="C162" t="str">
            <v>PGMU-MEBB1</v>
          </cell>
          <cell r="D162">
            <v>50.4</v>
          </cell>
        </row>
        <row r="163">
          <cell r="C163" t="str">
            <v>PGMU-BBCAG1</v>
          </cell>
          <cell r="D163">
            <v>64.540000000000006</v>
          </cell>
        </row>
        <row r="164">
          <cell r="C164" t="str">
            <v>PGMU-BBCHG1</v>
          </cell>
          <cell r="D164">
            <v>63.836666666666673</v>
          </cell>
        </row>
        <row r="165">
          <cell r="C165" t="str">
            <v>PGMU-LLBB1</v>
          </cell>
          <cell r="D165">
            <v>78.575999999999993</v>
          </cell>
        </row>
        <row r="166">
          <cell r="C166" t="str">
            <v>PGMU-LLFR1</v>
          </cell>
          <cell r="D166">
            <v>77.84</v>
          </cell>
        </row>
        <row r="167">
          <cell r="C167" t="str">
            <v>PGMU-LLKP1</v>
          </cell>
          <cell r="D167">
            <v>78.760000000000005</v>
          </cell>
        </row>
        <row r="168">
          <cell r="C168" t="str">
            <v>PGMU-LLMD1</v>
          </cell>
          <cell r="D168">
            <v>79.066666666666677</v>
          </cell>
        </row>
        <row r="169">
          <cell r="C169" t="str">
            <v>PGMU-LLPL1</v>
          </cell>
          <cell r="D169">
            <v>79.679999999999993</v>
          </cell>
        </row>
        <row r="170">
          <cell r="C170" t="str">
            <v>PGMU-LLSC1</v>
          </cell>
          <cell r="D170">
            <v>79.066666666666677</v>
          </cell>
        </row>
        <row r="171">
          <cell r="C171" t="str">
            <v>PGMU-LLTRS1</v>
          </cell>
          <cell r="D171">
            <v>77.84</v>
          </cell>
        </row>
        <row r="172">
          <cell r="C172" t="str">
            <v>PGMU-LLPK1</v>
          </cell>
          <cell r="D172">
            <v>77.84</v>
          </cell>
        </row>
        <row r="173">
          <cell r="C173" t="str">
            <v>PGMU-SFPI1</v>
          </cell>
          <cell r="D173">
            <v>114.81</v>
          </cell>
        </row>
        <row r="174">
          <cell r="C174" t="str">
            <v>PGMU-SFGB1</v>
          </cell>
          <cell r="D174">
            <v>114.80999999999999</v>
          </cell>
        </row>
        <row r="175">
          <cell r="C175" t="str">
            <v>PGMU-SFCN1</v>
          </cell>
          <cell r="D175">
            <v>114.80999999999999</v>
          </cell>
        </row>
        <row r="176">
          <cell r="C176" t="str">
            <v>PGMU-SFWS1</v>
          </cell>
          <cell r="D176">
            <v>114.81</v>
          </cell>
        </row>
        <row r="177">
          <cell r="C177" t="str">
            <v>PGMU-SFNA1</v>
          </cell>
          <cell r="D177">
            <v>114.81</v>
          </cell>
        </row>
        <row r="178">
          <cell r="C178" t="str">
            <v>PGMU-MEBR1</v>
          </cell>
          <cell r="D178">
            <v>63.22</v>
          </cell>
        </row>
        <row r="179">
          <cell r="C179" t="str">
            <v>PGMU-MEGE1</v>
          </cell>
          <cell r="D179">
            <v>53.64</v>
          </cell>
        </row>
        <row r="180">
          <cell r="C180" t="str">
            <v>PGMU-SFRC1</v>
          </cell>
          <cell r="D180">
            <v>114.81</v>
          </cell>
        </row>
        <row r="181">
          <cell r="C181" t="str">
            <v>PGMU-SRM1</v>
          </cell>
          <cell r="D181">
            <v>26</v>
          </cell>
        </row>
        <row r="182">
          <cell r="C182" t="str">
            <v>PG24K-GFK1</v>
          </cell>
          <cell r="D182">
            <v>94.559999999999988</v>
          </cell>
        </row>
        <row r="183">
          <cell r="C183" t="str">
            <v>PGMU-CPCN1</v>
          </cell>
          <cell r="D183">
            <v>83.14</v>
          </cell>
        </row>
        <row r="184">
          <cell r="C184" t="str">
            <v>PGMU-CPGB1</v>
          </cell>
          <cell r="D184">
            <v>83.14</v>
          </cell>
        </row>
        <row r="185">
          <cell r="C185" t="str">
            <v>PGMU-CPPI1</v>
          </cell>
          <cell r="D185">
            <v>83.14</v>
          </cell>
        </row>
        <row r="186">
          <cell r="C186" t="str">
            <v>PGMU-CPRC1</v>
          </cell>
          <cell r="D186">
            <v>83.14</v>
          </cell>
        </row>
        <row r="187">
          <cell r="C187" t="str">
            <v>PGMU-CPWS1</v>
          </cell>
          <cell r="D187">
            <v>83.14</v>
          </cell>
        </row>
        <row r="188">
          <cell r="C188" t="str">
            <v>SAM-ABPPS1</v>
          </cell>
          <cell r="D188">
            <v>17.305</v>
          </cell>
        </row>
        <row r="189">
          <cell r="C189" t="str">
            <v>PG-SIH1</v>
          </cell>
          <cell r="D189">
            <v>32.5</v>
          </cell>
        </row>
        <row r="190">
          <cell r="C190" t="str">
            <v>PGPK-PSB1</v>
          </cell>
          <cell r="D190">
            <v>3.9500000000000011</v>
          </cell>
        </row>
        <row r="191">
          <cell r="C191" t="str">
            <v>PGGTM-SRAHS1</v>
          </cell>
          <cell r="D191">
            <v>52.39</v>
          </cell>
        </row>
        <row r="192">
          <cell r="C192" t="str">
            <v>PG-ATTAAGW1</v>
          </cell>
          <cell r="D192">
            <v>23.39</v>
          </cell>
        </row>
        <row r="193">
          <cell r="C193" t="str">
            <v>PG-FRVYGFW1</v>
          </cell>
          <cell r="D193">
            <v>26.96</v>
          </cell>
        </row>
        <row r="194">
          <cell r="C194" t="str">
            <v>PG-SSGFW1</v>
          </cell>
          <cell r="D194">
            <v>23.39</v>
          </cell>
        </row>
        <row r="195">
          <cell r="C195" t="str">
            <v>PG-ANVCBGFW1</v>
          </cell>
          <cell r="D195">
            <v>23.39</v>
          </cell>
        </row>
        <row r="196">
          <cell r="C196" t="str">
            <v>PGGTM-RAAHGS1</v>
          </cell>
          <cell r="D196">
            <v>83.794500000000028</v>
          </cell>
        </row>
        <row r="197">
          <cell r="C197" t="str">
            <v>PGGTM-RAHCS1</v>
          </cell>
          <cell r="D197">
            <v>53.14</v>
          </cell>
        </row>
        <row r="198">
          <cell r="C198" t="str">
            <v>PGGTM-APSS1</v>
          </cell>
          <cell r="D198">
            <v>94.25</v>
          </cell>
        </row>
        <row r="199">
          <cell r="C199" t="str">
            <v>PGPK-PMB1</v>
          </cell>
          <cell r="D199">
            <v>6.9774999999999991</v>
          </cell>
        </row>
        <row r="200">
          <cell r="C200" t="str">
            <v>PGPK-PBB1</v>
          </cell>
          <cell r="D200">
            <v>6.25</v>
          </cell>
        </row>
        <row r="201">
          <cell r="C201" t="str">
            <v>PGMU-LCETPF1</v>
          </cell>
          <cell r="D201">
            <v>87.9</v>
          </cell>
        </row>
        <row r="202">
          <cell r="C202" t="str">
            <v>PGMU-LCETCS1</v>
          </cell>
          <cell r="D202">
            <v>87.9</v>
          </cell>
        </row>
        <row r="203">
          <cell r="C203" t="str">
            <v>PGMU-LCETTBT1</v>
          </cell>
          <cell r="D203">
            <v>87.899999999999991</v>
          </cell>
        </row>
        <row r="204">
          <cell r="C204" t="str">
            <v>PGGTM-AOSFS1</v>
          </cell>
          <cell r="D204">
            <v>78.88000000000001</v>
          </cell>
        </row>
        <row r="205">
          <cell r="C205" t="str">
            <v>PG-VLAOCFW1</v>
          </cell>
          <cell r="D205">
            <v>23.39</v>
          </cell>
        </row>
        <row r="206">
          <cell r="C206" t="str">
            <v>PGK24K-GCGB2</v>
          </cell>
          <cell r="D206">
            <v>338.61</v>
          </cell>
        </row>
        <row r="207">
          <cell r="C207" t="str">
            <v>PG-GCB</v>
          </cell>
          <cell r="D207">
            <v>116.8</v>
          </cell>
        </row>
        <row r="208">
          <cell r="C208" t="str">
            <v>PGK-KAS</v>
          </cell>
          <cell r="D208">
            <v>45.74</v>
          </cell>
        </row>
        <row r="209">
          <cell r="C209" t="str">
            <v>PGMU-ADMSS1</v>
          </cell>
          <cell r="D209">
            <v>46.19</v>
          </cell>
        </row>
        <row r="210">
          <cell r="C210" t="str">
            <v>PGEDP-TFLC1</v>
          </cell>
          <cell r="D210">
            <v>150.74</v>
          </cell>
        </row>
        <row r="211">
          <cell r="C211" t="str">
            <v>PGGB-KBSPFKGBOX</v>
          </cell>
          <cell r="D211">
            <v>250</v>
          </cell>
        </row>
        <row r="212">
          <cell r="C212" t="str">
            <v>PGSKITBOX</v>
          </cell>
          <cell r="D212">
            <v>250</v>
          </cell>
        </row>
        <row r="213">
          <cell r="C213" t="str">
            <v>PG-BMP1</v>
          </cell>
          <cell r="D213">
            <v>41.5</v>
          </cell>
        </row>
        <row r="214">
          <cell r="C214" t="str">
            <v>PGPK-POB1</v>
          </cell>
          <cell r="D214">
            <v>47.625</v>
          </cell>
        </row>
        <row r="215">
          <cell r="C215" t="str">
            <v>PGPK-PMIB1</v>
          </cell>
          <cell r="D215">
            <v>2.8999999999999995</v>
          </cell>
        </row>
        <row r="216">
          <cell r="C216" t="str">
            <v>PGMU-FRVSCB1</v>
          </cell>
          <cell r="D216">
            <v>61.75</v>
          </cell>
        </row>
        <row r="217">
          <cell r="C217" t="str">
            <v>PG-FSB1</v>
          </cell>
          <cell r="D217">
            <v>32</v>
          </cell>
        </row>
        <row r="218">
          <cell r="C218" t="str">
            <v>PGIS-DAGGK-BOX</v>
          </cell>
          <cell r="D218">
            <v>240</v>
          </cell>
        </row>
        <row r="219">
          <cell r="C219" t="str">
            <v>PGIS-G24KGFK-BOX</v>
          </cell>
          <cell r="D219">
            <v>200</v>
          </cell>
        </row>
        <row r="220">
          <cell r="C220" t="str">
            <v>PGIS-BSCGK-BOX</v>
          </cell>
          <cell r="D220">
            <v>240</v>
          </cell>
        </row>
        <row r="221">
          <cell r="C221" t="str">
            <v>PGIS-DGGKK-BOX</v>
          </cell>
          <cell r="D221">
            <v>240</v>
          </cell>
        </row>
        <row r="222">
          <cell r="C222" t="str">
            <v>PGIS-DLNSK-BOX</v>
          </cell>
          <cell r="D222">
            <v>240</v>
          </cell>
        </row>
        <row r="223">
          <cell r="C223" t="str">
            <v>PGIS-DSGGK-BOX</v>
          </cell>
          <cell r="D223">
            <v>240</v>
          </cell>
        </row>
        <row r="224">
          <cell r="C224" t="str">
            <v>PGIS-GMGK-BOX</v>
          </cell>
          <cell r="D224">
            <v>240</v>
          </cell>
        </row>
        <row r="225">
          <cell r="C225" t="str">
            <v>PGIS-MSGK-BOX</v>
          </cell>
          <cell r="D225">
            <v>240</v>
          </cell>
        </row>
        <row r="226">
          <cell r="C226" t="str">
            <v>PGIS-SHEGK-BOX</v>
          </cell>
          <cell r="D226">
            <v>240</v>
          </cell>
        </row>
        <row r="227">
          <cell r="C227" t="str">
            <v>PGIS-SSHEGK-BOX</v>
          </cell>
          <cell r="D227">
            <v>240</v>
          </cell>
        </row>
        <row r="228">
          <cell r="C228" t="str">
            <v>PG-HGMB1</v>
          </cell>
          <cell r="D228">
            <v>48</v>
          </cell>
        </row>
        <row r="229">
          <cell r="C229" t="str">
            <v>PG-SGMB1</v>
          </cell>
          <cell r="D229">
            <v>48</v>
          </cell>
        </row>
        <row r="230">
          <cell r="C230" t="str">
            <v>PG-BMP2</v>
          </cell>
          <cell r="D230">
            <v>50</v>
          </cell>
        </row>
        <row r="231">
          <cell r="C231" t="str">
            <v>PGS-NGSS50</v>
          </cell>
          <cell r="D231">
            <v>50.06</v>
          </cell>
        </row>
        <row r="232">
          <cell r="C232" t="str">
            <v>PGK-HASSG50</v>
          </cell>
          <cell r="D232">
            <v>61.06</v>
          </cell>
        </row>
        <row r="233">
          <cell r="C233" t="str">
            <v>PG-PSMB1</v>
          </cell>
          <cell r="D233">
            <v>48</v>
          </cell>
        </row>
        <row r="234">
          <cell r="C234" t="str">
            <v>PG-RMB1</v>
          </cell>
          <cell r="D234">
            <v>50</v>
          </cell>
        </row>
        <row r="235">
          <cell r="C235" t="str">
            <v>PGA-VCBUEC1</v>
          </cell>
          <cell r="D235">
            <v>40.44</v>
          </cell>
        </row>
        <row r="236">
          <cell r="C236" t="str">
            <v>PGKS-RAAHGS1</v>
          </cell>
          <cell r="D236">
            <v>231.99</v>
          </cell>
        </row>
        <row r="237">
          <cell r="C237" t="str">
            <v>PGMU-GPSAC2</v>
          </cell>
          <cell r="D237">
            <v>3.59</v>
          </cell>
        </row>
        <row r="238">
          <cell r="C238" t="str">
            <v>PGMU-KBM1</v>
          </cell>
          <cell r="D238">
            <v>49.01</v>
          </cell>
        </row>
        <row r="239">
          <cell r="C239" t="str">
            <v>PGSL-SRAHM1</v>
          </cell>
          <cell r="D239">
            <v>59.82</v>
          </cell>
        </row>
        <row r="240">
          <cell r="C240" t="str">
            <v>PGKS-RAHHM1</v>
          </cell>
          <cell r="D240">
            <v>60.9</v>
          </cell>
        </row>
        <row r="241">
          <cell r="C241" t="str">
            <v>PGK-5NFS10</v>
          </cell>
          <cell r="D241">
            <v>37.46</v>
          </cell>
        </row>
        <row r="242">
          <cell r="C242" t="str">
            <v>PGA-15VCFS20</v>
          </cell>
          <cell r="D242">
            <v>76.260909090909081</v>
          </cell>
        </row>
        <row r="243">
          <cell r="C243" t="str">
            <v>PGKS-RAHC1</v>
          </cell>
          <cell r="D243">
            <v>53.669999999999995</v>
          </cell>
        </row>
        <row r="244">
          <cell r="C244" t="str">
            <v>PGK-10NFS10</v>
          </cell>
          <cell r="D244">
            <v>28.199999999999996</v>
          </cell>
        </row>
        <row r="245">
          <cell r="C245" t="str">
            <v>PGK-2SAFS10</v>
          </cell>
          <cell r="D245">
            <v>29.02</v>
          </cell>
        </row>
        <row r="246">
          <cell r="C246" t="str">
            <v>PGK-10NFS30</v>
          </cell>
          <cell r="D246">
            <v>45.279999999999994</v>
          </cell>
        </row>
        <row r="247">
          <cell r="C247" t="str">
            <v>PGATT-ADHM1</v>
          </cell>
          <cell r="D247">
            <v>57.620000000000005</v>
          </cell>
        </row>
        <row r="248">
          <cell r="C248" t="str">
            <v>PGATT-ADS1</v>
          </cell>
          <cell r="D248">
            <v>60.216666666666661</v>
          </cell>
        </row>
        <row r="249">
          <cell r="C249" t="str">
            <v>PGATT-ADC1</v>
          </cell>
          <cell r="D249">
            <v>41.552</v>
          </cell>
        </row>
        <row r="250">
          <cell r="C250" t="str">
            <v>PGATT-ADSS1</v>
          </cell>
          <cell r="D250">
            <v>90.48</v>
          </cell>
        </row>
        <row r="251">
          <cell r="C251" t="str">
            <v>MINI-PGS-NGSSSO</v>
          </cell>
          <cell r="D251">
            <v>14.949999999999998</v>
          </cell>
        </row>
        <row r="252">
          <cell r="C252" t="str">
            <v>PG-HGMB2</v>
          </cell>
          <cell r="D252">
            <v>83</v>
          </cell>
        </row>
        <row r="253">
          <cell r="C253" t="str">
            <v>PG-SGMB2</v>
          </cell>
          <cell r="D253">
            <v>83</v>
          </cell>
        </row>
        <row r="254">
          <cell r="C254" t="str">
            <v>PG24K-GFKMSP1</v>
          </cell>
          <cell r="D254">
            <v>424.71</v>
          </cell>
        </row>
        <row r="255">
          <cell r="C255" t="str">
            <v>PGA-10VCFS30</v>
          </cell>
          <cell r="D255">
            <v>71.819000000000003</v>
          </cell>
        </row>
        <row r="256">
          <cell r="C256" t="str">
            <v>PGA-10VCFS10</v>
          </cell>
          <cell r="D256">
            <v>34.455294117647057</v>
          </cell>
        </row>
        <row r="257">
          <cell r="C257" t="str">
            <v>PG-STB1</v>
          </cell>
          <cell r="D257">
            <v>680</v>
          </cell>
        </row>
        <row r="258">
          <cell r="C258" t="str">
            <v>PG-GWP-C</v>
          </cell>
          <cell r="D258">
            <v>85</v>
          </cell>
        </row>
        <row r="259">
          <cell r="C259" t="str">
            <v>PG-GWP-G</v>
          </cell>
          <cell r="D259">
            <v>120</v>
          </cell>
        </row>
        <row r="260">
          <cell r="C260" t="str">
            <v>PG-RB1</v>
          </cell>
          <cell r="D260">
            <v>30</v>
          </cell>
        </row>
        <row r="261">
          <cell r="C261" t="str">
            <v>PGMU-HDGR1</v>
          </cell>
          <cell r="D261">
            <v>120.58</v>
          </cell>
        </row>
        <row r="262">
          <cell r="C262" t="str">
            <v>PGMU-CLI1</v>
          </cell>
          <cell r="D262">
            <v>73.05</v>
          </cell>
        </row>
        <row r="263">
          <cell r="C263" t="str">
            <v>PGMU-CLS1</v>
          </cell>
          <cell r="D263">
            <v>73.05</v>
          </cell>
        </row>
        <row r="264">
          <cell r="C264" t="str">
            <v>PGMU-CLA1</v>
          </cell>
          <cell r="D264">
            <v>73.05</v>
          </cell>
        </row>
        <row r="265">
          <cell r="C265" t="str">
            <v>PGMU-CLB1</v>
          </cell>
          <cell r="D265">
            <v>73.05</v>
          </cell>
        </row>
        <row r="266">
          <cell r="C266" t="str">
            <v>PGMU-BDFP1</v>
          </cell>
          <cell r="D266">
            <v>86.699999999999989</v>
          </cell>
        </row>
        <row r="267">
          <cell r="C267" t="str">
            <v>PGMU-BDCR1</v>
          </cell>
          <cell r="D267">
            <v>86.7</v>
          </cell>
        </row>
        <row r="268">
          <cell r="C268" t="str">
            <v>PGMU-BDBB1</v>
          </cell>
          <cell r="D268">
            <v>86.7</v>
          </cell>
        </row>
        <row r="269">
          <cell r="C269" t="str">
            <v>PGMU-BLCE1</v>
          </cell>
          <cell r="D269">
            <v>98.3</v>
          </cell>
        </row>
        <row r="270">
          <cell r="C270" t="str">
            <v>PGMU-BLCG1</v>
          </cell>
          <cell r="D270">
            <v>98.3</v>
          </cell>
        </row>
        <row r="271">
          <cell r="C271" t="str">
            <v>PGMU-BLCP1</v>
          </cell>
          <cell r="D271">
            <v>98.3</v>
          </cell>
        </row>
        <row r="272">
          <cell r="C272" t="str">
            <v>PGMU-BLMB1</v>
          </cell>
          <cell r="D272">
            <v>98.3</v>
          </cell>
        </row>
        <row r="273">
          <cell r="C273" t="str">
            <v>PGMU-BLNM1</v>
          </cell>
          <cell r="D273">
            <v>98.3</v>
          </cell>
        </row>
        <row r="274">
          <cell r="C274" t="str">
            <v>PGMU-BLCC1</v>
          </cell>
          <cell r="D274">
            <v>98.3</v>
          </cell>
        </row>
        <row r="275">
          <cell r="C275" t="str">
            <v>PGMU-BLPP1</v>
          </cell>
          <cell r="D275">
            <v>98.299999999999983</v>
          </cell>
        </row>
        <row r="276">
          <cell r="C276" t="str">
            <v>PGMU-BLPH1</v>
          </cell>
          <cell r="D276">
            <v>98.3</v>
          </cell>
        </row>
        <row r="277">
          <cell r="C277" t="str">
            <v>PGMU-BLFP1</v>
          </cell>
          <cell r="D277">
            <v>98.3</v>
          </cell>
        </row>
        <row r="278">
          <cell r="C278" t="str">
            <v>PGMU-BLPR1</v>
          </cell>
          <cell r="D278">
            <v>98.3</v>
          </cell>
        </row>
        <row r="279">
          <cell r="C279" t="str">
            <v>PGMU-BLFR1</v>
          </cell>
          <cell r="D279">
            <v>98.299999999999983</v>
          </cell>
        </row>
        <row r="280">
          <cell r="C280" t="str">
            <v>PGMU-BLUR1</v>
          </cell>
          <cell r="D280">
            <v>98.3</v>
          </cell>
        </row>
        <row r="281">
          <cell r="C281" t="str">
            <v>PGMU-BLMA1</v>
          </cell>
          <cell r="D281">
            <v>98.3</v>
          </cell>
        </row>
        <row r="282">
          <cell r="C282" t="str">
            <v>PGMU-BLBB1</v>
          </cell>
          <cell r="D282">
            <v>98.3</v>
          </cell>
        </row>
        <row r="283">
          <cell r="C283" t="str">
            <v>PGMU-BLRR1</v>
          </cell>
          <cell r="D283">
            <v>98.3</v>
          </cell>
        </row>
        <row r="284">
          <cell r="C284" t="str">
            <v>PGMU-BLSW1</v>
          </cell>
          <cell r="D284">
            <v>98.299999999999983</v>
          </cell>
        </row>
        <row r="285">
          <cell r="C285" t="str">
            <v>PGMU-BLNK1</v>
          </cell>
          <cell r="D285">
            <v>98.299999999999983</v>
          </cell>
        </row>
        <row r="286">
          <cell r="C286" t="str">
            <v>PGMU-BLCT1</v>
          </cell>
          <cell r="D286">
            <v>98.3</v>
          </cell>
        </row>
        <row r="287">
          <cell r="C287" t="str">
            <v>PGMU-BLCL1</v>
          </cell>
          <cell r="D287">
            <v>98.3</v>
          </cell>
        </row>
        <row r="288">
          <cell r="C288" t="str">
            <v>PGMU-BLAB1</v>
          </cell>
          <cell r="D288">
            <v>98.3</v>
          </cell>
        </row>
        <row r="289">
          <cell r="C289" t="str">
            <v>PGMU-LLPCF1</v>
          </cell>
          <cell r="D289">
            <v>79.680000000000007</v>
          </cell>
        </row>
        <row r="290">
          <cell r="C290" t="str">
            <v>PGMU-LLDS1</v>
          </cell>
          <cell r="D290">
            <v>79.680000000000007</v>
          </cell>
        </row>
        <row r="291">
          <cell r="C291" t="str">
            <v>PGMU-LLBM1</v>
          </cell>
          <cell r="D291">
            <v>79.680000000000007</v>
          </cell>
        </row>
        <row r="292">
          <cell r="C292" t="str">
            <v>PGMU-LLMM1</v>
          </cell>
          <cell r="D292">
            <v>79.680000000000007</v>
          </cell>
        </row>
        <row r="293">
          <cell r="C293" t="str">
            <v>PGMU-LLNF1</v>
          </cell>
          <cell r="D293">
            <v>79.680000000000007</v>
          </cell>
        </row>
        <row r="294">
          <cell r="C294" t="str">
            <v>PGMU-LLRR1</v>
          </cell>
          <cell r="D294">
            <v>79.680000000000007</v>
          </cell>
        </row>
        <row r="295">
          <cell r="C295" t="str">
            <v>PGMU-LLRD1</v>
          </cell>
          <cell r="D295">
            <v>79.680000000000007</v>
          </cell>
        </row>
        <row r="296">
          <cell r="C296" t="str">
            <v>PGMU-LLRF1</v>
          </cell>
          <cell r="D296">
            <v>77.84</v>
          </cell>
        </row>
        <row r="297">
          <cell r="C297" t="str">
            <v>PGMU-LLSS1</v>
          </cell>
          <cell r="D297">
            <v>79.680000000000007</v>
          </cell>
        </row>
        <row r="298">
          <cell r="C298" t="str">
            <v>PGMU-LLSR1</v>
          </cell>
          <cell r="D298">
            <v>79.680000000000007</v>
          </cell>
        </row>
        <row r="299">
          <cell r="C299" t="str">
            <v>PGMU-LLWT1</v>
          </cell>
          <cell r="D299">
            <v>79.680000000000007</v>
          </cell>
        </row>
        <row r="300">
          <cell r="C300" t="str">
            <v>PGMU-LLSM1</v>
          </cell>
          <cell r="D300">
            <v>79.066666666666677</v>
          </cell>
        </row>
        <row r="301">
          <cell r="C301" t="str">
            <v>PGMU-CPI1</v>
          </cell>
          <cell r="D301">
            <v>51.74</v>
          </cell>
        </row>
        <row r="302">
          <cell r="C302" t="str">
            <v>PGMU-CPN1</v>
          </cell>
          <cell r="D302">
            <v>51.74</v>
          </cell>
        </row>
        <row r="303">
          <cell r="C303" t="str">
            <v>PGMU-CPA1</v>
          </cell>
          <cell r="D303">
            <v>51.74</v>
          </cell>
        </row>
        <row r="304">
          <cell r="C304" t="str">
            <v>PGMU-CPC1</v>
          </cell>
          <cell r="D304">
            <v>51.74</v>
          </cell>
        </row>
        <row r="305">
          <cell r="C305" t="str">
            <v>PGMU-CPH1</v>
          </cell>
          <cell r="D305">
            <v>51.74</v>
          </cell>
        </row>
        <row r="306">
          <cell r="C306" t="str">
            <v>PGMU-GLDB1</v>
          </cell>
          <cell r="D306">
            <v>96.2</v>
          </cell>
        </row>
        <row r="307">
          <cell r="C307" t="str">
            <v>PGMU-GLHH1</v>
          </cell>
          <cell r="D307">
            <v>96.2</v>
          </cell>
        </row>
        <row r="308">
          <cell r="C308" t="str">
            <v>PGMU-GLAN1</v>
          </cell>
          <cell r="D308">
            <v>96.2</v>
          </cell>
        </row>
        <row r="309">
          <cell r="C309" t="str">
            <v>PGMU-GLCH1</v>
          </cell>
          <cell r="D309">
            <v>96.2</v>
          </cell>
        </row>
        <row r="310">
          <cell r="C310" t="str">
            <v>PGMU-ESFQ1</v>
          </cell>
          <cell r="D310">
            <v>168.55</v>
          </cell>
        </row>
        <row r="311">
          <cell r="C311" t="str">
            <v>PG-GWP-BB1</v>
          </cell>
          <cell r="D311">
            <v>475</v>
          </cell>
        </row>
        <row r="312">
          <cell r="C312" t="str">
            <v>PGMU-MLLAOT1</v>
          </cell>
          <cell r="D312">
            <v>129.18</v>
          </cell>
        </row>
        <row r="313">
          <cell r="C313" t="str">
            <v>PGMU-MLLNT1</v>
          </cell>
          <cell r="D313">
            <v>129.18</v>
          </cell>
        </row>
        <row r="314">
          <cell r="C314" t="str">
            <v>PGMU-CPBP1</v>
          </cell>
          <cell r="D314">
            <v>113</v>
          </cell>
        </row>
        <row r="315">
          <cell r="C315" t="str">
            <v>PGSL-RWB1</v>
          </cell>
          <cell r="D315">
            <v>34.880000000000003</v>
          </cell>
        </row>
        <row r="316">
          <cell r="C316" t="str">
            <v>PG-GWP-BP1</v>
          </cell>
          <cell r="D316">
            <v>50</v>
          </cell>
        </row>
        <row r="317">
          <cell r="C317" t="str">
            <v>PG-GWP-MG1</v>
          </cell>
          <cell r="D317">
            <v>70</v>
          </cell>
        </row>
        <row r="318">
          <cell r="C318" t="str">
            <v>PG-GWP-M1</v>
          </cell>
          <cell r="D318">
            <v>83</v>
          </cell>
        </row>
        <row r="319">
          <cell r="C319" t="str">
            <v>PGMU-MLLTPS1</v>
          </cell>
          <cell r="D319">
            <v>129.18</v>
          </cell>
        </row>
        <row r="320">
          <cell r="C320" t="str">
            <v>PGMU-MLLBM1</v>
          </cell>
          <cell r="D320">
            <v>129.18</v>
          </cell>
        </row>
        <row r="321">
          <cell r="C321" t="str">
            <v>PGK-5CBRM1</v>
          </cell>
          <cell r="D321">
            <v>54.699999999999996</v>
          </cell>
        </row>
        <row r="322">
          <cell r="C322" t="str">
            <v>PGMU-GLMH1</v>
          </cell>
          <cell r="D322">
            <v>96.2</v>
          </cell>
        </row>
        <row r="323">
          <cell r="C323" t="str">
            <v>PGMU-GLRN1</v>
          </cell>
          <cell r="D323">
            <v>96.2</v>
          </cell>
        </row>
        <row r="324">
          <cell r="C324" t="str">
            <v>PGMU-GLTK1</v>
          </cell>
          <cell r="D324">
            <v>96.2</v>
          </cell>
        </row>
        <row r="325">
          <cell r="C325" t="str">
            <v>PGMU-GLJJ1</v>
          </cell>
          <cell r="D325">
            <v>96.2</v>
          </cell>
        </row>
        <row r="326">
          <cell r="C326" t="str">
            <v>PG-GMP1</v>
          </cell>
          <cell r="D326">
            <v>43.5</v>
          </cell>
        </row>
        <row r="327">
          <cell r="C327" t="str">
            <v>PGMU-TLP1</v>
          </cell>
          <cell r="D327">
            <v>91.39</v>
          </cell>
        </row>
        <row r="328">
          <cell r="C328" t="str">
            <v>PGMU-BLP1</v>
          </cell>
          <cell r="D328">
            <v>91.39</v>
          </cell>
        </row>
        <row r="329">
          <cell r="C329" t="str">
            <v>PG-SB1</v>
          </cell>
          <cell r="D329">
            <v>7.1</v>
          </cell>
        </row>
        <row r="330">
          <cell r="C330" t="str">
            <v>PGMU-SFWM1</v>
          </cell>
          <cell r="D330">
            <v>114.81</v>
          </cell>
        </row>
        <row r="331">
          <cell r="C331" t="str">
            <v>PGV-FRVBL1</v>
          </cell>
          <cell r="D331">
            <v>79.760000000000005</v>
          </cell>
        </row>
        <row r="332">
          <cell r="C332" t="str">
            <v>PGS-SGBL1</v>
          </cell>
          <cell r="D332">
            <v>91.35</v>
          </cell>
        </row>
        <row r="333">
          <cell r="C333" t="str">
            <v>PGMU-MCTM1</v>
          </cell>
          <cell r="D333">
            <v>90.089999999999989</v>
          </cell>
        </row>
        <row r="334">
          <cell r="C334" t="str">
            <v>PGKS-RAAHGSDPS1</v>
          </cell>
          <cell r="D334">
            <v>90.823333333333338</v>
          </cell>
        </row>
        <row r="335">
          <cell r="C335" t="str">
            <v>PGSL-RRAAHS1</v>
          </cell>
          <cell r="D335">
            <v>71.81</v>
          </cell>
        </row>
        <row r="336">
          <cell r="C336" t="str">
            <v>PG-BMP3</v>
          </cell>
          <cell r="D336">
            <v>48</v>
          </cell>
        </row>
        <row r="337">
          <cell r="C337" t="str">
            <v>PGMU-ESMS1</v>
          </cell>
          <cell r="D337">
            <v>168.55</v>
          </cell>
        </row>
        <row r="338">
          <cell r="C338" t="str">
            <v>PGK-WLTS50</v>
          </cell>
          <cell r="D338">
            <v>91.25</v>
          </cell>
        </row>
        <row r="339">
          <cell r="C339" t="str">
            <v>PGAVC-DBFKPR1</v>
          </cell>
          <cell r="D339">
            <v>70.5</v>
          </cell>
        </row>
        <row r="340">
          <cell r="C340" t="str">
            <v>PGK-ACFS50</v>
          </cell>
          <cell r="D340">
            <v>84.2</v>
          </cell>
        </row>
        <row r="341">
          <cell r="C341" t="str">
            <v>PGA-VCBLGS60</v>
          </cell>
          <cell r="D341">
            <v>85.96</v>
          </cell>
        </row>
        <row r="342">
          <cell r="C342" t="str">
            <v>PGK-NOSLGS50</v>
          </cell>
          <cell r="D342">
            <v>87.59</v>
          </cell>
        </row>
        <row r="343">
          <cell r="C343" t="str">
            <v>PGGB-KBGSFCGBOX</v>
          </cell>
          <cell r="D343">
            <v>250</v>
          </cell>
        </row>
        <row r="344">
          <cell r="C344" t="str">
            <v>PGGB-KBSSHSGS-Box</v>
          </cell>
          <cell r="D344">
            <v>250</v>
          </cell>
        </row>
        <row r="345">
          <cell r="C345" t="str">
            <v>PGGB-PSGSBOX</v>
          </cell>
          <cell r="D345">
            <v>169</v>
          </cell>
        </row>
        <row r="346">
          <cell r="C346" t="str">
            <v>CBPG-LIPEXKITBOX</v>
          </cell>
          <cell r="D346">
            <v>305</v>
          </cell>
        </row>
        <row r="347">
          <cell r="C347" t="str">
            <v>PSGB</v>
          </cell>
          <cell r="D347">
            <v>169</v>
          </cell>
        </row>
        <row r="348">
          <cell r="C348" t="str">
            <v>PG-RMB2</v>
          </cell>
          <cell r="D348">
            <v>50</v>
          </cell>
        </row>
        <row r="349">
          <cell r="C349" t="str">
            <v>PUMP-HGS50ml</v>
          </cell>
          <cell r="D349">
            <v>1.9</v>
          </cell>
        </row>
        <row r="350">
          <cell r="C350" t="str">
            <v>PGPK-PXLB1</v>
          </cell>
          <cell r="D350">
            <v>21</v>
          </cell>
        </row>
        <row r="351">
          <cell r="C351" t="str">
            <v>PG-GWP-PP1</v>
          </cell>
          <cell r="D351">
            <v>70</v>
          </cell>
        </row>
        <row r="352">
          <cell r="C352" t="str">
            <v>PG-GWP-MVP1</v>
          </cell>
          <cell r="D352">
            <v>70</v>
          </cell>
        </row>
        <row r="353">
          <cell r="C353" t="str">
            <v>PGAVC-DBFK1</v>
          </cell>
          <cell r="D353">
            <v>297.47000000000003</v>
          </cell>
        </row>
        <row r="354">
          <cell r="C354" t="str">
            <v>PGSR-PSS1</v>
          </cell>
          <cell r="D354">
            <v>373.12</v>
          </cell>
        </row>
        <row r="355">
          <cell r="C355" t="str">
            <v>PGSR-PSHM1</v>
          </cell>
          <cell r="D355">
            <v>133.82</v>
          </cell>
        </row>
        <row r="356">
          <cell r="C356" t="str">
            <v>PGK-HGM100</v>
          </cell>
          <cell r="D356">
            <v>64.38</v>
          </cell>
        </row>
        <row r="357">
          <cell r="C357" t="str">
            <v>PGSR-VCDC1</v>
          </cell>
          <cell r="D357">
            <v>119.51</v>
          </cell>
        </row>
        <row r="358">
          <cell r="C358" t="str">
            <v>PG-POSMG1</v>
          </cell>
          <cell r="D358">
            <v>34</v>
          </cell>
        </row>
        <row r="359">
          <cell r="C359" t="str">
            <v>PHD-VCBM1</v>
          </cell>
          <cell r="D359">
            <v>99.01</v>
          </cell>
        </row>
        <row r="360">
          <cell r="C360" t="str">
            <v>PHD-2HAS1</v>
          </cell>
          <cell r="D360">
            <v>95.29</v>
          </cell>
        </row>
        <row r="361">
          <cell r="C361" t="str">
            <v>PHD-10NS1</v>
          </cell>
          <cell r="D361">
            <v>87.7</v>
          </cell>
        </row>
        <row r="362">
          <cell r="C362" t="str">
            <v>PHD-10VCBS1</v>
          </cell>
          <cell r="D362">
            <v>117.33</v>
          </cell>
        </row>
        <row r="363">
          <cell r="C363" t="str">
            <v>PHD-2AADS1</v>
          </cell>
          <cell r="D363">
            <v>91.53</v>
          </cell>
        </row>
        <row r="364">
          <cell r="C364" t="str">
            <v>PHD-2SAAAS1</v>
          </cell>
          <cell r="D364">
            <v>86.13</v>
          </cell>
        </row>
        <row r="365">
          <cell r="C365" t="str">
            <v>PHD-3NOFM1</v>
          </cell>
          <cell r="D365">
            <v>103.38</v>
          </cell>
        </row>
        <row r="366">
          <cell r="C366" t="str">
            <v>PHD-BGB1</v>
          </cell>
          <cell r="D366">
            <v>91</v>
          </cell>
        </row>
        <row r="367">
          <cell r="C367" t="str">
            <v>PHD-PMIB1</v>
          </cell>
          <cell r="D367">
            <v>12.5</v>
          </cell>
        </row>
        <row r="368">
          <cell r="C368" t="str">
            <v>PHD-PSB1</v>
          </cell>
          <cell r="D368">
            <v>15.8</v>
          </cell>
        </row>
        <row r="369">
          <cell r="C369" t="str">
            <v>PGK-DRC1</v>
          </cell>
          <cell r="D369">
            <v>62.03</v>
          </cell>
        </row>
        <row r="370">
          <cell r="C370" t="str">
            <v>PGK-DRHM1</v>
          </cell>
          <cell r="D370">
            <v>65.53</v>
          </cell>
        </row>
        <row r="371">
          <cell r="C371" t="str">
            <v>PGK-DRS200</v>
          </cell>
          <cell r="D371">
            <v>40.409999999999997</v>
          </cell>
        </row>
        <row r="372">
          <cell r="C372" t="str">
            <v>PGK-DRS400</v>
          </cell>
          <cell r="D372">
            <v>66.400000000000006</v>
          </cell>
        </row>
        <row r="373">
          <cell r="C373" t="str">
            <v>PGK-HGM50</v>
          </cell>
          <cell r="D373">
            <v>40.33</v>
          </cell>
        </row>
        <row r="374">
          <cell r="C374" t="str">
            <v>PHD-PRFS1</v>
          </cell>
          <cell r="D374">
            <v>89.7</v>
          </cell>
        </row>
        <row r="375">
          <cell r="C375" t="str">
            <v>PGK-AHBHPS10</v>
          </cell>
          <cell r="D375">
            <v>27.16</v>
          </cell>
        </row>
        <row r="376">
          <cell r="C376" t="str">
            <v>PGA-15VCF10</v>
          </cell>
          <cell r="D376">
            <v>44.56</v>
          </cell>
        </row>
        <row r="377">
          <cell r="C377" t="str">
            <v>PHD-PBB1</v>
          </cell>
          <cell r="D377">
            <v>25.3</v>
          </cell>
        </row>
        <row r="378">
          <cell r="C378" t="str">
            <v>PHD-PRBOX1</v>
          </cell>
          <cell r="D378">
            <v>175</v>
          </cell>
        </row>
        <row r="379">
          <cell r="C379" t="str">
            <v>PHD-PRCARD1</v>
          </cell>
          <cell r="D379">
            <v>6.5</v>
          </cell>
        </row>
        <row r="380">
          <cell r="C380" t="str">
            <v>PHD-PMB1</v>
          </cell>
          <cell r="D380">
            <v>21.3</v>
          </cell>
        </row>
        <row r="381">
          <cell r="C381" t="str">
            <v>PHD-CHC1</v>
          </cell>
          <cell r="D381">
            <v>50.05</v>
          </cell>
        </row>
        <row r="382">
          <cell r="C382" t="str">
            <v>PHD-1CC1</v>
          </cell>
          <cell r="D382">
            <v>83.6</v>
          </cell>
        </row>
        <row r="383">
          <cell r="C383" t="str">
            <v>PGMU-PLLBP1</v>
          </cell>
          <cell r="D383">
            <v>149.82</v>
          </cell>
        </row>
        <row r="384">
          <cell r="C384" t="str">
            <v>PGMU-PLLMA1</v>
          </cell>
          <cell r="D384">
            <v>149.82</v>
          </cell>
        </row>
        <row r="385">
          <cell r="C385" t="str">
            <v>PG-GWP-PTB</v>
          </cell>
          <cell r="D385">
            <v>130</v>
          </cell>
        </row>
        <row r="386">
          <cell r="C386" t="str">
            <v>PG-GWP-TB</v>
          </cell>
          <cell r="D386">
            <v>53</v>
          </cell>
        </row>
        <row r="387">
          <cell r="C387" t="str">
            <v>PGASS-T</v>
          </cell>
          <cell r="D387">
            <v>92.44</v>
          </cell>
        </row>
        <row r="388">
          <cell r="C388" t="str">
            <v>MINIS-2SAFS5</v>
          </cell>
          <cell r="D388">
            <v>16.23</v>
          </cell>
        </row>
        <row r="389">
          <cell r="C389" t="str">
            <v>PGSR-24KGFK1</v>
          </cell>
          <cell r="D389">
            <v>174.09</v>
          </cell>
        </row>
        <row r="390">
          <cell r="C390" t="str">
            <v>PGSR-FRVFK1</v>
          </cell>
          <cell r="D390">
            <v>174.19</v>
          </cell>
        </row>
        <row r="391">
          <cell r="C391" t="str">
            <v>PGMU-PLLNE1</v>
          </cell>
          <cell r="D391">
            <v>149.82</v>
          </cell>
        </row>
        <row r="392">
          <cell r="C392" t="str">
            <v>PGMU-PLLRA1</v>
          </cell>
          <cell r="D392">
            <v>149.82</v>
          </cell>
        </row>
        <row r="393">
          <cell r="C393" t="str">
            <v>PGMU-PLLCB1</v>
          </cell>
          <cell r="D393">
            <v>149.82</v>
          </cell>
        </row>
        <row r="394">
          <cell r="C394" t="str">
            <v>PGMU-PLLCM1</v>
          </cell>
          <cell r="D394">
            <v>149.82</v>
          </cell>
        </row>
        <row r="395">
          <cell r="C395" t="str">
            <v>PGMU-PLLRK1</v>
          </cell>
          <cell r="D395">
            <v>149.82</v>
          </cell>
        </row>
        <row r="396">
          <cell r="C396" t="str">
            <v>PGMU-PLLFR1</v>
          </cell>
          <cell r="D396">
            <v>149.82</v>
          </cell>
        </row>
        <row r="397">
          <cell r="C397" t="str">
            <v>PGMU-PLLRC1</v>
          </cell>
          <cell r="D397">
            <v>149.82</v>
          </cell>
        </row>
        <row r="398">
          <cell r="C398" t="str">
            <v>PGMU-PLLWS1</v>
          </cell>
          <cell r="D398">
            <v>149.82</v>
          </cell>
        </row>
        <row r="399">
          <cell r="C399" t="str">
            <v>PGMU-PLLBD1</v>
          </cell>
          <cell r="D399">
            <v>149.82</v>
          </cell>
        </row>
        <row r="400">
          <cell r="C400" t="str">
            <v>PGMU-PLLCC1</v>
          </cell>
          <cell r="D400">
            <v>149.82</v>
          </cell>
        </row>
        <row r="401">
          <cell r="C401" t="str">
            <v>PGMU-BHCSE1</v>
          </cell>
          <cell r="D401">
            <v>137.76</v>
          </cell>
        </row>
        <row r="402">
          <cell r="C402" t="str">
            <v>PGMU-BHCSR1</v>
          </cell>
          <cell r="D402">
            <v>137.76</v>
          </cell>
        </row>
        <row r="403">
          <cell r="C403" t="str">
            <v>PGMU-BHCBC1</v>
          </cell>
          <cell r="D403">
            <v>137.76</v>
          </cell>
        </row>
        <row r="404">
          <cell r="C404" t="str">
            <v>PGK-AHBHPS60</v>
          </cell>
          <cell r="D404">
            <v>86.75</v>
          </cell>
        </row>
        <row r="405">
          <cell r="C405" t="str">
            <v>PGMU-PLLTM1</v>
          </cell>
          <cell r="D405">
            <v>149.82</v>
          </cell>
        </row>
        <row r="406">
          <cell r="C406" t="str">
            <v>MINIS-10NFS5</v>
          </cell>
          <cell r="D406">
            <v>14.55</v>
          </cell>
        </row>
        <row r="407">
          <cell r="C407" t="str">
            <v>MINIS-HGM8</v>
          </cell>
          <cell r="D407">
            <v>11.29</v>
          </cell>
        </row>
        <row r="408">
          <cell r="C408" t="str">
            <v>MINIS-10VCFS5</v>
          </cell>
          <cell r="D408">
            <v>20.99</v>
          </cell>
        </row>
        <row r="409">
          <cell r="C409" t="str">
            <v>PGMU-PLLPA1</v>
          </cell>
          <cell r="D409">
            <v>149.82</v>
          </cell>
        </row>
        <row r="410">
          <cell r="C410" t="str">
            <v>PG-GWP-DTLB</v>
          </cell>
          <cell r="D410">
            <v>46.5</v>
          </cell>
        </row>
        <row r="411">
          <cell r="C411" t="str">
            <v>PG-GWP-DTP</v>
          </cell>
          <cell r="D411">
            <v>46.5</v>
          </cell>
        </row>
        <row r="412">
          <cell r="C412" t="str">
            <v>PG-POSM-DRTTU</v>
          </cell>
          <cell r="D412">
            <v>0.01</v>
          </cell>
        </row>
        <row r="413">
          <cell r="C413" t="str">
            <v>PGMU-FSLV1</v>
          </cell>
          <cell r="D413">
            <v>147.47</v>
          </cell>
        </row>
        <row r="414">
          <cell r="C414" t="str">
            <v>PGMU-FSDM1</v>
          </cell>
          <cell r="D414">
            <v>147.47</v>
          </cell>
        </row>
        <row r="415">
          <cell r="C415" t="str">
            <v>PGMU-FSCA1</v>
          </cell>
          <cell r="D415">
            <v>147.47</v>
          </cell>
        </row>
        <row r="416">
          <cell r="C416" t="str">
            <v>PGMU-FSRW1</v>
          </cell>
          <cell r="D416">
            <v>147.47</v>
          </cell>
        </row>
        <row r="417">
          <cell r="C417" t="str">
            <v>PGMU-FSLB1</v>
          </cell>
          <cell r="D417">
            <v>147.47</v>
          </cell>
        </row>
        <row r="418">
          <cell r="C418" t="str">
            <v>PGMU-FSMS1</v>
          </cell>
          <cell r="D418">
            <v>147.47</v>
          </cell>
        </row>
        <row r="419">
          <cell r="C419" t="str">
            <v>PGMU-FSCN1</v>
          </cell>
          <cell r="D419">
            <v>147.47</v>
          </cell>
        </row>
        <row r="422">
          <cell r="C422" t="str">
            <v>PGKS-AHGSAVBSFWS1</v>
          </cell>
          <cell r="D422">
            <v>324.57153846153841</v>
          </cell>
        </row>
        <row r="423">
          <cell r="C423" t="str">
            <v>PGK-5CBRM3</v>
          </cell>
          <cell r="D423">
            <v>164.1</v>
          </cell>
        </row>
        <row r="424">
          <cell r="C424" t="str">
            <v>99 9RU6 AS6H</v>
          </cell>
          <cell r="D424">
            <v>72.256</v>
          </cell>
        </row>
        <row r="425">
          <cell r="C425" t="str">
            <v>CBPGK24KGBO2</v>
          </cell>
          <cell r="D425">
            <v>198.84</v>
          </cell>
        </row>
        <row r="426">
          <cell r="C426" t="str">
            <v>CBPGKANTIACNE</v>
          </cell>
          <cell r="D426">
            <v>137.16399999999999</v>
          </cell>
        </row>
        <row r="427">
          <cell r="C427" t="str">
            <v>CBPGKBFF</v>
          </cell>
          <cell r="D427">
            <v>191.36</v>
          </cell>
        </row>
        <row r="428">
          <cell r="C428" t="str">
            <v>CBPGKBRIGHTENING</v>
          </cell>
          <cell r="D428">
            <v>115.29923076923075</v>
          </cell>
        </row>
        <row r="429">
          <cell r="C429" t="str">
            <v>CBPGKCLEARSKIN</v>
          </cell>
          <cell r="D429">
            <v>114.37</v>
          </cell>
        </row>
        <row r="430">
          <cell r="C430" t="str">
            <v>CBPGKDC2</v>
          </cell>
          <cell r="D430">
            <v>189.06000000000003</v>
          </cell>
        </row>
        <row r="431">
          <cell r="C431" t="str">
            <v>CBPGKFFW2B</v>
          </cell>
          <cell r="D431">
            <v>123.44</v>
          </cell>
        </row>
        <row r="432">
          <cell r="C432" t="str">
            <v>CBPGKGFK</v>
          </cell>
          <cell r="D432">
            <v>256.68</v>
          </cell>
        </row>
        <row r="433">
          <cell r="C433" t="str">
            <v>CBPGKGFK1</v>
          </cell>
          <cell r="D433">
            <v>256.68</v>
          </cell>
        </row>
        <row r="434">
          <cell r="C434" t="str">
            <v>CBPGKGFK-SERUM</v>
          </cell>
          <cell r="D434">
            <v>227.77999999999997</v>
          </cell>
        </row>
        <row r="435">
          <cell r="C435" t="str">
            <v>CBPGKHAIRGROWTH</v>
          </cell>
          <cell r="D435">
            <v>312.18230769230763</v>
          </cell>
        </row>
        <row r="436">
          <cell r="C436" t="str">
            <v>CBPGKPHC</v>
          </cell>
          <cell r="D436">
            <v>181.62333333333333</v>
          </cell>
        </row>
        <row r="437">
          <cell r="C437" t="str">
            <v>CBPGKS2</v>
          </cell>
          <cell r="D437">
            <v>157.76</v>
          </cell>
        </row>
        <row r="438">
          <cell r="C438" t="str">
            <v>CBPGKS-AAS2</v>
          </cell>
          <cell r="D438">
            <v>102.708</v>
          </cell>
        </row>
        <row r="439">
          <cell r="C439" t="str">
            <v>CBPGKS-AVBS2</v>
          </cell>
          <cell r="D439">
            <v>153.23846153846151</v>
          </cell>
        </row>
        <row r="440">
          <cell r="C440" t="str">
            <v>CBPGKSGFFW2</v>
          </cell>
          <cell r="D440">
            <v>133.79999999999998</v>
          </cell>
        </row>
        <row r="441">
          <cell r="C441" t="str">
            <v>CBPGKSHM</v>
          </cell>
          <cell r="D441">
            <v>181.79</v>
          </cell>
        </row>
        <row r="442">
          <cell r="C442" t="str">
            <v>CBPGKS-SCS2</v>
          </cell>
          <cell r="D442">
            <v>151.38</v>
          </cell>
        </row>
        <row r="443">
          <cell r="C443" t="str">
            <v>CBPGKWFH</v>
          </cell>
          <cell r="D443">
            <v>157.72333333333333</v>
          </cell>
        </row>
        <row r="444">
          <cell r="C444" t="str">
            <v>CBPGKYOUTHKIT</v>
          </cell>
          <cell r="D444">
            <v>113.94999999999999</v>
          </cell>
        </row>
        <row r="445">
          <cell r="C445" t="str">
            <v>CBPG-LIPEXKIT</v>
          </cell>
          <cell r="D445">
            <v>455.29499999999996</v>
          </cell>
        </row>
        <row r="446">
          <cell r="C446" t="str">
            <v>CBPG-LIPEXKITWB1</v>
          </cell>
          <cell r="D446">
            <v>455.29499999999996</v>
          </cell>
        </row>
        <row r="447">
          <cell r="C447" t="str">
            <v>CBPG-LKIT-S</v>
          </cell>
          <cell r="D447">
            <v>590.89</v>
          </cell>
        </row>
        <row r="448">
          <cell r="C448" t="str">
            <v>CBPGLKSBGUM</v>
          </cell>
          <cell r="D448">
            <v>94.64</v>
          </cell>
        </row>
        <row r="449">
          <cell r="C449" t="str">
            <v>CBPGLKSPPOUT</v>
          </cell>
          <cell r="D449">
            <v>95.034999999999997</v>
          </cell>
        </row>
        <row r="450">
          <cell r="C450" t="str">
            <v>CBPGLKSPTALK</v>
          </cell>
          <cell r="D450">
            <v>96.94</v>
          </cell>
        </row>
        <row r="451">
          <cell r="C451" t="str">
            <v>CBPGVBFF</v>
          </cell>
          <cell r="D451">
            <v>97.520285714285706</v>
          </cell>
        </row>
        <row r="452">
          <cell r="C452" t="str">
            <v>CBPGVFCNGC1</v>
          </cell>
          <cell r="D452">
            <v>95.072222222222223</v>
          </cell>
        </row>
        <row r="453">
          <cell r="C453" t="str">
            <v>CBPGVFW2</v>
          </cell>
          <cell r="D453">
            <v>70.171999999999997</v>
          </cell>
        </row>
        <row r="454">
          <cell r="C454" t="str">
            <v>CBPGVSKIN20</v>
          </cell>
          <cell r="D454">
            <v>223.24584126984126</v>
          </cell>
        </row>
        <row r="455">
          <cell r="C455" t="str">
            <v>CBPGVSKINTEEN</v>
          </cell>
          <cell r="D455">
            <v>141.28584126984126</v>
          </cell>
        </row>
        <row r="456">
          <cell r="C456" t="str">
            <v>CBPGVTRAVEL</v>
          </cell>
          <cell r="D456">
            <v>168.68584126984126</v>
          </cell>
        </row>
        <row r="457">
          <cell r="C457" t="str">
            <v>MINI-JBKAVBS</v>
          </cell>
          <cell r="D457">
            <v>104.35256410256409</v>
          </cell>
        </row>
        <row r="458">
          <cell r="C458" t="str">
            <v>MINI-JBKHAHSS</v>
          </cell>
          <cell r="D458">
            <v>93.083333333333329</v>
          </cell>
        </row>
        <row r="459">
          <cell r="C459" t="str">
            <v>MINI-JBKHAHSS1</v>
          </cell>
          <cell r="D459" t="e">
            <v>#N/A</v>
          </cell>
        </row>
        <row r="460">
          <cell r="C460" t="str">
            <v>MINI-JBKNC</v>
          </cell>
          <cell r="D460">
            <v>96.893333333333331</v>
          </cell>
        </row>
        <row r="461">
          <cell r="C461" t="str">
            <v>MINI-JBKNCHAHSS1</v>
          </cell>
          <cell r="D461" t="e">
            <v>#N/A</v>
          </cell>
        </row>
        <row r="462">
          <cell r="C462" t="str">
            <v>MINI-JBVFC</v>
          </cell>
          <cell r="D462">
            <v>80.935555555555553</v>
          </cell>
        </row>
        <row r="463">
          <cell r="C463" t="str">
            <v>MINI-JBVFCKHAHSS</v>
          </cell>
          <cell r="D463">
            <v>146.28555555555556</v>
          </cell>
        </row>
        <row r="464">
          <cell r="C464" t="str">
            <v>MINI-JBVFCNGC</v>
          </cell>
          <cell r="D464">
            <v>122.80555555555554</v>
          </cell>
        </row>
        <row r="465">
          <cell r="C465" t="str">
            <v>MINI-JBVFCNGC1</v>
          </cell>
          <cell r="D465">
            <v>51.383333333333326</v>
          </cell>
        </row>
        <row r="466">
          <cell r="C466" t="str">
            <v>MINI-JBVNGC</v>
          </cell>
          <cell r="D466">
            <v>69.603333333333325</v>
          </cell>
        </row>
        <row r="467">
          <cell r="C467" t="str">
            <v>PCKVBOFGM1</v>
          </cell>
          <cell r="D467">
            <v>166.6</v>
          </cell>
        </row>
        <row r="468">
          <cell r="C468" t="str">
            <v>PGA-10VCFS10-P2</v>
          </cell>
          <cell r="D468">
            <v>68.910588235294114</v>
          </cell>
        </row>
        <row r="469">
          <cell r="C469" t="str">
            <v>PGA-10VCFS30-P2</v>
          </cell>
          <cell r="D469">
            <v>143.63800000000001</v>
          </cell>
        </row>
        <row r="470">
          <cell r="C470" t="str">
            <v>PGA-15VCFS20-P2</v>
          </cell>
          <cell r="D470">
            <v>152.52181818181816</v>
          </cell>
        </row>
        <row r="471">
          <cell r="C471" t="str">
            <v>PGAAGHS-P2</v>
          </cell>
          <cell r="D471">
            <v>199.26</v>
          </cell>
        </row>
        <row r="472">
          <cell r="C472" t="str">
            <v>PGAHM-P2</v>
          </cell>
          <cell r="D472">
            <v>170.82</v>
          </cell>
        </row>
        <row r="473">
          <cell r="C473" t="str">
            <v>PGALIC-P2</v>
          </cell>
          <cell r="D473">
            <v>90.02</v>
          </cell>
        </row>
        <row r="474">
          <cell r="C474" t="str">
            <v>PGARJB-HER</v>
          </cell>
          <cell r="D474">
            <v>264.96333333333331</v>
          </cell>
        </row>
        <row r="475">
          <cell r="C475" t="str">
            <v>PGARJB-HSR</v>
          </cell>
          <cell r="D475">
            <v>284.84333333333331</v>
          </cell>
        </row>
        <row r="476">
          <cell r="C476" t="str">
            <v>PGARPJB-HER</v>
          </cell>
          <cell r="D476">
            <v>463.63333333333333</v>
          </cell>
        </row>
        <row r="477">
          <cell r="C477" t="str">
            <v>PGARPJB-HSR</v>
          </cell>
          <cell r="D477">
            <v>398.1033333333333</v>
          </cell>
        </row>
        <row r="478">
          <cell r="C478" t="str">
            <v>PGASC-P2</v>
          </cell>
          <cell r="D478">
            <v>155.47999999999999</v>
          </cell>
        </row>
        <row r="479">
          <cell r="C479" t="str">
            <v>PGASHO-P2</v>
          </cell>
          <cell r="D479">
            <v>134.1</v>
          </cell>
        </row>
        <row r="480">
          <cell r="C480" t="str">
            <v>PGASHS-P2</v>
          </cell>
          <cell r="D480">
            <v>226.52</v>
          </cell>
        </row>
        <row r="481">
          <cell r="C481" t="str">
            <v>PGASSCRUB-P2</v>
          </cell>
          <cell r="D481">
            <v>158.52000000000001</v>
          </cell>
        </row>
        <row r="482">
          <cell r="C482" t="str">
            <v>PGASSHM</v>
          </cell>
          <cell r="D482">
            <v>177.85</v>
          </cell>
        </row>
        <row r="483">
          <cell r="C483" t="str">
            <v>PGASS-P2</v>
          </cell>
          <cell r="D483">
            <v>184.88</v>
          </cell>
        </row>
        <row r="484">
          <cell r="C484" t="str">
            <v>PGASSSC</v>
          </cell>
          <cell r="D484">
            <v>170.18</v>
          </cell>
        </row>
        <row r="485">
          <cell r="C485" t="str">
            <v>PGATT-10NBRS1-P2</v>
          </cell>
          <cell r="D485">
            <v>104.22</v>
          </cell>
        </row>
        <row r="486">
          <cell r="C486" t="str">
            <v>PGATT-ADC1-P2</v>
          </cell>
          <cell r="D486">
            <v>83.103999999999999</v>
          </cell>
        </row>
        <row r="487">
          <cell r="C487" t="str">
            <v>PGATT-ADHM1-P2</v>
          </cell>
          <cell r="D487">
            <v>115.24000000000001</v>
          </cell>
        </row>
        <row r="488">
          <cell r="C488" t="str">
            <v>PGATT-ADHSC1</v>
          </cell>
          <cell r="D488">
            <v>101.76866666666666</v>
          </cell>
        </row>
        <row r="489">
          <cell r="C489" t="str">
            <v>PGATT-ADHSM1</v>
          </cell>
          <cell r="D489">
            <v>117.83666666666667</v>
          </cell>
        </row>
        <row r="490">
          <cell r="C490" t="str">
            <v>PGATT-ADS1-P2</v>
          </cell>
          <cell r="D490">
            <v>120.43333333333332</v>
          </cell>
        </row>
        <row r="491">
          <cell r="C491" t="str">
            <v>PGATT-ADSCSS1</v>
          </cell>
          <cell r="D491">
            <v>192.24866666666668</v>
          </cell>
        </row>
        <row r="492">
          <cell r="C492" t="str">
            <v>PGATT-ADSS1-P2</v>
          </cell>
          <cell r="D492">
            <v>180.96</v>
          </cell>
        </row>
        <row r="493">
          <cell r="C493" t="str">
            <v>PGATTBSREO</v>
          </cell>
          <cell r="D493">
            <v>107.16</v>
          </cell>
        </row>
        <row r="494">
          <cell r="C494" t="str">
            <v>PGATTFFWPTEO</v>
          </cell>
          <cell r="D494">
            <v>149.74666666666667</v>
          </cell>
        </row>
        <row r="495">
          <cell r="C495" t="str">
            <v>PGATTFFWPTEO-SMYT</v>
          </cell>
          <cell r="D495">
            <v>149.74666666666667</v>
          </cell>
        </row>
        <row r="496">
          <cell r="C496" t="str">
            <v>PGATT-NOM1-P2</v>
          </cell>
          <cell r="D496">
            <v>87.42</v>
          </cell>
        </row>
        <row r="497">
          <cell r="C497" t="str">
            <v>PGATTPFFW2</v>
          </cell>
          <cell r="D497">
            <v>125.98</v>
          </cell>
        </row>
        <row r="498">
          <cell r="C498" t="str">
            <v>PGATTPFFWBRS</v>
          </cell>
          <cell r="D498">
            <v>115.1</v>
          </cell>
        </row>
        <row r="499">
          <cell r="C499" t="str">
            <v>PGATTPFFWEO</v>
          </cell>
          <cell r="D499">
            <v>118.03999999999999</v>
          </cell>
        </row>
        <row r="500">
          <cell r="C500" t="str">
            <v>PGATTPFFWPT</v>
          </cell>
          <cell r="D500">
            <v>94.696666666666673</v>
          </cell>
        </row>
        <row r="501">
          <cell r="C501" t="str">
            <v>PGATTPFFWPTBRS</v>
          </cell>
          <cell r="D501">
            <v>146.80666666666667</v>
          </cell>
        </row>
        <row r="502">
          <cell r="C502" t="str">
            <v>PGATTPFFWPTEO</v>
          </cell>
          <cell r="D502">
            <v>149.74666666666667</v>
          </cell>
        </row>
        <row r="503">
          <cell r="C503" t="str">
            <v>PGATTPFWG2</v>
          </cell>
          <cell r="D503">
            <v>80.58</v>
          </cell>
        </row>
        <row r="504">
          <cell r="C504" t="str">
            <v>PGATT-PT1-P2</v>
          </cell>
          <cell r="D504">
            <v>63.413333333333334</v>
          </cell>
        </row>
        <row r="505">
          <cell r="C505" t="str">
            <v>PGATTPT2</v>
          </cell>
          <cell r="D505">
            <v>63.413333333333334</v>
          </cell>
        </row>
        <row r="506">
          <cell r="C506" t="str">
            <v>PGATTPTBRS</v>
          </cell>
          <cell r="D506">
            <v>83.816666666666663</v>
          </cell>
        </row>
        <row r="507">
          <cell r="C507" t="str">
            <v>PGATTPTEO</v>
          </cell>
          <cell r="D507">
            <v>86.756666666666661</v>
          </cell>
        </row>
        <row r="508">
          <cell r="C508" t="str">
            <v>PGATTR-DTDR</v>
          </cell>
          <cell r="D508">
            <v>193.45666666666665</v>
          </cell>
        </row>
        <row r="509">
          <cell r="C509" t="str">
            <v>PGATTR-GNR</v>
          </cell>
          <cell r="D509">
            <v>138.40666666666667</v>
          </cell>
        </row>
        <row r="510">
          <cell r="C510" t="str">
            <v>PGATTRJB-DTDR</v>
          </cell>
          <cell r="D510">
            <v>221.19</v>
          </cell>
        </row>
        <row r="511">
          <cell r="C511" t="str">
            <v>PGATTRJB-GNR</v>
          </cell>
          <cell r="D511">
            <v>166.14</v>
          </cell>
        </row>
        <row r="512">
          <cell r="C512" t="str">
            <v>PGATTRP-GNR</v>
          </cell>
          <cell r="D512">
            <v>190.51666666666665</v>
          </cell>
        </row>
        <row r="513">
          <cell r="C513" t="str">
            <v>PGATTRPJB-GNR</v>
          </cell>
          <cell r="D513">
            <v>218.25</v>
          </cell>
        </row>
        <row r="514">
          <cell r="C514" t="str">
            <v>PGATTR-SR</v>
          </cell>
          <cell r="D514">
            <v>115.70666666666668</v>
          </cell>
        </row>
        <row r="515">
          <cell r="C515" t="str">
            <v>PGAVC-1T-P2</v>
          </cell>
          <cell r="D515">
            <v>86.76</v>
          </cell>
        </row>
        <row r="516">
          <cell r="C516" t="str">
            <v>PGAVC-2OFM-P2</v>
          </cell>
          <cell r="D516">
            <v>107.86</v>
          </cell>
        </row>
        <row r="517">
          <cell r="C517" t="str">
            <v>PGA-VCBUEC1-P2</v>
          </cell>
          <cell r="D517">
            <v>80.88</v>
          </cell>
        </row>
        <row r="518">
          <cell r="C518" t="str">
            <v>PGAVC-GFWT1-P2</v>
          </cell>
          <cell r="D518">
            <v>88.625714285714281</v>
          </cell>
        </row>
        <row r="519">
          <cell r="C519" t="str">
            <v>PGAVC-IVSS1-P2</v>
          </cell>
          <cell r="D519">
            <v>264.02</v>
          </cell>
        </row>
        <row r="520">
          <cell r="C520" t="str">
            <v>PGBM-FK2</v>
          </cell>
          <cell r="D520">
            <v>123.86</v>
          </cell>
        </row>
        <row r="521">
          <cell r="C521" t="str">
            <v>PGBM-FKNYB</v>
          </cell>
          <cell r="D521">
            <v>123.38</v>
          </cell>
        </row>
        <row r="522">
          <cell r="C522" t="str">
            <v>PGBM-FKNYBSE</v>
          </cell>
          <cell r="D522">
            <v>180.38</v>
          </cell>
        </row>
        <row r="523">
          <cell r="C523" t="str">
            <v>PGBM-NYB2</v>
          </cell>
          <cell r="D523">
            <v>122.9</v>
          </cell>
        </row>
        <row r="524">
          <cell r="C524" t="str">
            <v>PGBM-NYBSE</v>
          </cell>
          <cell r="D524">
            <v>118.45</v>
          </cell>
        </row>
        <row r="525">
          <cell r="C525" t="str">
            <v>PGBM-SE2</v>
          </cell>
          <cell r="D525">
            <v>114</v>
          </cell>
        </row>
        <row r="526">
          <cell r="C526" t="str">
            <v>PGBM-SEFK</v>
          </cell>
          <cell r="D526">
            <v>118.93</v>
          </cell>
        </row>
        <row r="527">
          <cell r="C527" t="str">
            <v>PGEDP-ALP2</v>
          </cell>
          <cell r="D527">
            <v>212.62</v>
          </cell>
        </row>
        <row r="528">
          <cell r="C528" t="str">
            <v>PGEDP-ALPGKGOD</v>
          </cell>
          <cell r="D528">
            <v>223.01</v>
          </cell>
        </row>
        <row r="529">
          <cell r="C529" t="str">
            <v>PGEDP-ALPGKGODZEN</v>
          </cell>
          <cell r="D529">
            <v>329.46</v>
          </cell>
        </row>
        <row r="530">
          <cell r="C530" t="str">
            <v>PGEDP-GKGOD2</v>
          </cell>
          <cell r="D530">
            <v>233.39999999999998</v>
          </cell>
        </row>
        <row r="531">
          <cell r="C531" t="str">
            <v>PGEDP-GKGODZEN</v>
          </cell>
          <cell r="D531">
            <v>223.14999999999998</v>
          </cell>
        </row>
        <row r="532">
          <cell r="C532" t="str">
            <v>PGEDP-ZEN2</v>
          </cell>
          <cell r="D532">
            <v>212.89999999999998</v>
          </cell>
        </row>
        <row r="533">
          <cell r="C533" t="str">
            <v>PGEDP-ZENALP</v>
          </cell>
          <cell r="D533">
            <v>212.76</v>
          </cell>
        </row>
        <row r="534">
          <cell r="C534" t="str">
            <v>PGFKFWDC1</v>
          </cell>
          <cell r="D534">
            <v>133.21</v>
          </cell>
        </row>
        <row r="535">
          <cell r="C535" t="str">
            <v>PGGB-KBGSFCGS</v>
          </cell>
          <cell r="D535">
            <v>410.87</v>
          </cell>
        </row>
        <row r="536">
          <cell r="C536" t="str">
            <v>PGGB-KBSPFKGS</v>
          </cell>
          <cell r="D536">
            <v>469.02</v>
          </cell>
        </row>
        <row r="537">
          <cell r="C537" t="str">
            <v>PGGB-KBSSHSGS</v>
          </cell>
          <cell r="D537">
            <v>532.45000000000005</v>
          </cell>
        </row>
        <row r="538">
          <cell r="C538" t="str">
            <v>PGGB-PSGS</v>
          </cell>
          <cell r="D538">
            <v>501.04</v>
          </cell>
        </row>
        <row r="539">
          <cell r="C539" t="str">
            <v>PGGTM-RAAHGS1-P2</v>
          </cell>
          <cell r="D539">
            <v>167.58900000000006</v>
          </cell>
        </row>
        <row r="540">
          <cell r="C540" t="str">
            <v>PGGTM-RAHCS1-P2</v>
          </cell>
          <cell r="D540">
            <v>106.28</v>
          </cell>
        </row>
        <row r="541">
          <cell r="C541" t="str">
            <v>PGIS-DGGKK1</v>
          </cell>
          <cell r="D541">
            <v>158.47428571428571</v>
          </cell>
        </row>
        <row r="542">
          <cell r="C542" t="str">
            <v>PGJHM</v>
          </cell>
          <cell r="D542">
            <v>102.91</v>
          </cell>
        </row>
        <row r="543">
          <cell r="C543" t="str">
            <v>PGK-10NFS10-P2</v>
          </cell>
          <cell r="D543">
            <v>56.399999999999991</v>
          </cell>
        </row>
        <row r="544">
          <cell r="C544" t="str">
            <v>PGK-10NFS30-P2</v>
          </cell>
          <cell r="D544">
            <v>90.559999999999988</v>
          </cell>
        </row>
        <row r="545">
          <cell r="C545" t="str">
            <v>PGK24KGBO11</v>
          </cell>
          <cell r="D545">
            <v>99.42</v>
          </cell>
        </row>
        <row r="546">
          <cell r="C546" t="str">
            <v>PGK24KGBO1-P2</v>
          </cell>
          <cell r="D546">
            <v>198.84</v>
          </cell>
        </row>
        <row r="547">
          <cell r="C547" t="str">
            <v>PGK24KGBO1P3</v>
          </cell>
          <cell r="D547">
            <v>298.26</v>
          </cell>
        </row>
        <row r="548">
          <cell r="C548" t="str">
            <v>PGK24KGBOFFW1B</v>
          </cell>
          <cell r="D548">
            <v>161.13999999999999</v>
          </cell>
        </row>
        <row r="549">
          <cell r="C549" t="str">
            <v>PGK24KGBOFFW24KGFM1</v>
          </cell>
          <cell r="D549">
            <v>222.04999999999998</v>
          </cell>
        </row>
        <row r="550">
          <cell r="C550" t="str">
            <v>PGK24KGBOFFWFMT24KGFM1</v>
          </cell>
          <cell r="D550">
            <v>249.70999999999998</v>
          </cell>
        </row>
        <row r="551">
          <cell r="C551" t="str">
            <v>PGK24KGBOFMT24KGFM1</v>
          </cell>
          <cell r="D551">
            <v>190.34</v>
          </cell>
        </row>
        <row r="552">
          <cell r="C552" t="str">
            <v>PGK24KGBOFMTFFW1B</v>
          </cell>
          <cell r="D552">
            <v>188.8</v>
          </cell>
        </row>
        <row r="553">
          <cell r="C553" t="str">
            <v>PGK24KGBOGFM1</v>
          </cell>
          <cell r="D553">
            <v>190.41333333333333</v>
          </cell>
        </row>
        <row r="554">
          <cell r="C554" t="str">
            <v>PGK24KGFM1-P2</v>
          </cell>
          <cell r="D554">
            <v>126.52</v>
          </cell>
        </row>
        <row r="555">
          <cell r="C555" t="str">
            <v>PGK24K-GGFW1-P2</v>
          </cell>
          <cell r="D555">
            <v>107.82</v>
          </cell>
        </row>
        <row r="556">
          <cell r="C556" t="str">
            <v>PGK24K-GGM1-P2</v>
          </cell>
          <cell r="D556">
            <v>206.72</v>
          </cell>
        </row>
        <row r="557">
          <cell r="C557" t="str">
            <v>PGK24KGS20GFM1</v>
          </cell>
          <cell r="D557">
            <v>161.51333333333332</v>
          </cell>
        </row>
        <row r="558">
          <cell r="C558" t="str">
            <v>PGK24KGS20ML-P2</v>
          </cell>
          <cell r="D558">
            <v>141.04</v>
          </cell>
        </row>
        <row r="559">
          <cell r="C559" t="str">
            <v>PGK24KGS20MLSROUESERUM</v>
          </cell>
          <cell r="D559">
            <v>146.32999999999998</v>
          </cell>
        </row>
        <row r="560">
          <cell r="C560" t="str">
            <v>PGK24KGSSAMNCJB1</v>
          </cell>
          <cell r="D560">
            <v>114.63333333333333</v>
          </cell>
        </row>
        <row r="561">
          <cell r="C561" t="str">
            <v>PGK-2SAFS10-P2</v>
          </cell>
          <cell r="D561">
            <v>58.04</v>
          </cell>
        </row>
        <row r="562">
          <cell r="C562" t="str">
            <v>PGK-5NFS10-P2</v>
          </cell>
          <cell r="D562">
            <v>74.92</v>
          </cell>
        </row>
        <row r="563">
          <cell r="C563" t="str">
            <v>PGKABPPS01</v>
          </cell>
          <cell r="D563">
            <v>51.841111111111118</v>
          </cell>
        </row>
        <row r="564">
          <cell r="C564" t="str">
            <v>PGKABPPS1-P2</v>
          </cell>
          <cell r="D564">
            <v>103.68222222222224</v>
          </cell>
        </row>
        <row r="565">
          <cell r="C565" t="str">
            <v>PGKAO15MLFFW1</v>
          </cell>
          <cell r="D565">
            <v>109.55</v>
          </cell>
        </row>
        <row r="566">
          <cell r="C566" t="str">
            <v>PGKAO15MLFW1</v>
          </cell>
          <cell r="D566">
            <v>88.86</v>
          </cell>
        </row>
        <row r="567">
          <cell r="C567" t="str">
            <v>PGKAO15MLFWFS</v>
          </cell>
          <cell r="D567">
            <v>149.4</v>
          </cell>
        </row>
        <row r="568">
          <cell r="C568" t="str">
            <v>PGKAO15MLFWFS1</v>
          </cell>
          <cell r="D568">
            <v>149.4</v>
          </cell>
        </row>
        <row r="569">
          <cell r="C569" t="str">
            <v>PGKAO15MLS1</v>
          </cell>
          <cell r="D569">
            <v>129.06</v>
          </cell>
        </row>
        <row r="570">
          <cell r="C570" t="str">
            <v>PGKAO15MLSHCHM1</v>
          </cell>
          <cell r="D570">
            <v>306.98</v>
          </cell>
        </row>
        <row r="571">
          <cell r="C571" t="str">
            <v>PGKAO30MLBW1</v>
          </cell>
          <cell r="D571">
            <v>154.6</v>
          </cell>
        </row>
        <row r="572">
          <cell r="C572" t="str">
            <v>PGKAO30MLFWFMT1</v>
          </cell>
          <cell r="D572">
            <v>148.84</v>
          </cell>
        </row>
        <row r="573">
          <cell r="C573" t="str">
            <v>PGKAO30MLFWNC1</v>
          </cell>
          <cell r="D573">
            <v>190.34</v>
          </cell>
        </row>
        <row r="574">
          <cell r="C574" t="str">
            <v>PGKAO30MLS1</v>
          </cell>
          <cell r="D574">
            <v>161.38</v>
          </cell>
        </row>
        <row r="575">
          <cell r="C575" t="str">
            <v>PGKAO30MLSHC1</v>
          </cell>
          <cell r="D575">
            <v>236.39</v>
          </cell>
        </row>
        <row r="576">
          <cell r="C576" t="str">
            <v>PGKAVGFMTFW1</v>
          </cell>
          <cell r="D576">
            <v>113.37</v>
          </cell>
        </row>
        <row r="577">
          <cell r="C577" t="str">
            <v>PGKAVGFS1</v>
          </cell>
          <cell r="D577">
            <v>107.57</v>
          </cell>
        </row>
        <row r="578">
          <cell r="C578" t="str">
            <v>PGKAVGNS1</v>
          </cell>
          <cell r="D578">
            <v>89.22</v>
          </cell>
        </row>
        <row r="579">
          <cell r="C579" t="str">
            <v>PGKAVGP1</v>
          </cell>
          <cell r="D579">
            <v>94.06</v>
          </cell>
        </row>
        <row r="580">
          <cell r="C580" t="str">
            <v>PGKAVGS1</v>
          </cell>
          <cell r="D580">
            <v>125.91</v>
          </cell>
        </row>
        <row r="581">
          <cell r="C581" t="str">
            <v>PGKAVGVFMTFW1</v>
          </cell>
          <cell r="D581">
            <v>107.38028571428572</v>
          </cell>
        </row>
        <row r="582">
          <cell r="C582" t="str">
            <v>PGKAVGVFS1</v>
          </cell>
          <cell r="D582">
            <v>88.12</v>
          </cell>
        </row>
        <row r="583">
          <cell r="C583" t="str">
            <v>PGKBBC1</v>
          </cell>
          <cell r="D583">
            <v>209.8</v>
          </cell>
        </row>
        <row r="584">
          <cell r="C584" t="str">
            <v>PGKBC1</v>
          </cell>
          <cell r="D584">
            <v>178.04000000000002</v>
          </cell>
        </row>
        <row r="585">
          <cell r="C585" t="str">
            <v>PGKBDLT1</v>
          </cell>
          <cell r="D585">
            <v>59.1</v>
          </cell>
        </row>
        <row r="586">
          <cell r="C586" t="str">
            <v>PGKBLHNC1</v>
          </cell>
          <cell r="D586">
            <v>92.2</v>
          </cell>
        </row>
        <row r="587">
          <cell r="C587" t="str">
            <v>PGKBLNC1</v>
          </cell>
          <cell r="D587">
            <v>128.26</v>
          </cell>
        </row>
        <row r="588">
          <cell r="C588" t="str">
            <v>PGKBS1JB</v>
          </cell>
          <cell r="D588">
            <v>100.87333333333333</v>
          </cell>
        </row>
        <row r="589">
          <cell r="C589" t="str">
            <v>PGKBSBL1</v>
          </cell>
          <cell r="D589">
            <v>132.24</v>
          </cell>
        </row>
        <row r="590">
          <cell r="C590" t="str">
            <v>PGKBSBLHNC1</v>
          </cell>
          <cell r="D590">
            <v>165.34</v>
          </cell>
        </row>
        <row r="591">
          <cell r="C591" t="str">
            <v>PGKBSBW1</v>
          </cell>
          <cell r="D591">
            <v>145.24</v>
          </cell>
        </row>
        <row r="592">
          <cell r="C592" t="str">
            <v>PGKBSBWBB1</v>
          </cell>
          <cell r="D592">
            <v>250.14000000000001</v>
          </cell>
        </row>
        <row r="593">
          <cell r="C593" t="str">
            <v>PGKBSFSFSM1</v>
          </cell>
          <cell r="D593">
            <v>191.83</v>
          </cell>
        </row>
        <row r="594">
          <cell r="C594" t="str">
            <v>PGKBSP1</v>
          </cell>
          <cell r="D594">
            <v>146.28</v>
          </cell>
        </row>
        <row r="595">
          <cell r="C595" t="str">
            <v>PGKBWBB1</v>
          </cell>
          <cell r="D595">
            <v>177</v>
          </cell>
        </row>
        <row r="596">
          <cell r="C596" t="str">
            <v>PGKBWBBHNC1</v>
          </cell>
          <cell r="D596">
            <v>210.1</v>
          </cell>
        </row>
        <row r="597">
          <cell r="C597" t="str">
            <v>PGKBWBL1</v>
          </cell>
          <cell r="D597">
            <v>131.19999999999999</v>
          </cell>
        </row>
        <row r="598">
          <cell r="C598" t="str">
            <v>PGKBWBLHNC1</v>
          </cell>
          <cell r="D598">
            <v>164.29999999999998</v>
          </cell>
        </row>
        <row r="599">
          <cell r="C599" t="str">
            <v>PGKDCFMT1</v>
          </cell>
          <cell r="D599">
            <v>122.19000000000001</v>
          </cell>
        </row>
        <row r="600">
          <cell r="C600" t="str">
            <v>PGKDCHNCBLHS1</v>
          </cell>
          <cell r="D600">
            <v>287.39</v>
          </cell>
        </row>
        <row r="601">
          <cell r="C601" t="str">
            <v>PGKDCNS1</v>
          </cell>
          <cell r="D601">
            <v>164.45333333333335</v>
          </cell>
        </row>
        <row r="602">
          <cell r="C602" t="str">
            <v>PGKDTMC1</v>
          </cell>
          <cell r="D602">
            <v>272.57000000000005</v>
          </cell>
        </row>
        <row r="603">
          <cell r="C603" t="str">
            <v>PGKFCC1</v>
          </cell>
          <cell r="D603">
            <v>175.4</v>
          </cell>
        </row>
        <row r="604">
          <cell r="C604" t="str">
            <v>PGKFCC1JB1</v>
          </cell>
          <cell r="D604">
            <v>203.13333333333335</v>
          </cell>
        </row>
        <row r="605">
          <cell r="C605" t="str">
            <v>PGKFCFMT1</v>
          </cell>
          <cell r="D605">
            <v>122.19000000000001</v>
          </cell>
        </row>
        <row r="606">
          <cell r="C606" t="str">
            <v>PGKFCFMTJB1</v>
          </cell>
          <cell r="D606">
            <v>149.92333333333335</v>
          </cell>
        </row>
        <row r="607">
          <cell r="C607" t="str">
            <v>PGKFCHNC1</v>
          </cell>
          <cell r="D607">
            <v>127.63000000000002</v>
          </cell>
        </row>
        <row r="608">
          <cell r="C608" t="str">
            <v>PGKFCP1</v>
          </cell>
          <cell r="D608">
            <v>189.06000000000003</v>
          </cell>
        </row>
        <row r="609">
          <cell r="C609" t="str">
            <v>PGKFEK1</v>
          </cell>
          <cell r="D609">
            <v>160.87</v>
          </cell>
        </row>
        <row r="610">
          <cell r="C610" t="str">
            <v>PGKFEKJB1</v>
          </cell>
          <cell r="D610">
            <v>188.60333333333332</v>
          </cell>
        </row>
        <row r="611">
          <cell r="C611" t="str">
            <v>PGKFFW1 CHILD</v>
          </cell>
          <cell r="D611">
            <v>59.37</v>
          </cell>
        </row>
        <row r="612">
          <cell r="C612" t="str">
            <v>PGKFFW1 NEW</v>
          </cell>
          <cell r="D612">
            <v>59.37</v>
          </cell>
        </row>
        <row r="613">
          <cell r="C613" t="str">
            <v>PGKFFW1B CHILD</v>
          </cell>
          <cell r="D613">
            <v>61.72</v>
          </cell>
        </row>
        <row r="614">
          <cell r="C614" t="str">
            <v>PGKFFW1B NEW</v>
          </cell>
          <cell r="D614">
            <v>61.72</v>
          </cell>
        </row>
        <row r="615">
          <cell r="C615" t="str">
            <v>PGKFFW1B-CHILD</v>
          </cell>
          <cell r="D615">
            <v>61.72</v>
          </cell>
        </row>
        <row r="616">
          <cell r="C616" t="str">
            <v>PGKFFW1BDCFMT1</v>
          </cell>
          <cell r="D616">
            <v>183.91</v>
          </cell>
        </row>
        <row r="617">
          <cell r="C617" t="str">
            <v>PGKFFW1BFMTNC1</v>
          </cell>
          <cell r="D617">
            <v>158.54</v>
          </cell>
        </row>
        <row r="618">
          <cell r="C618" t="str">
            <v>PGKFFW1BHAHSS1</v>
          </cell>
          <cell r="D618">
            <v>127.07</v>
          </cell>
        </row>
        <row r="619">
          <cell r="C619" t="str">
            <v>PGKFFW1BNS1</v>
          </cell>
          <cell r="D619">
            <v>103.91</v>
          </cell>
        </row>
        <row r="620">
          <cell r="C620" t="str">
            <v>PGKFFW1B-P2</v>
          </cell>
          <cell r="D620">
            <v>123.44</v>
          </cell>
        </row>
        <row r="621">
          <cell r="C621" t="str">
            <v>PGKFFW1BSNOCS1</v>
          </cell>
          <cell r="D621">
            <v>112.18</v>
          </cell>
        </row>
        <row r="622">
          <cell r="C622" t="str">
            <v>PGKFFW1BZAAG1</v>
          </cell>
          <cell r="D622">
            <v>116.17</v>
          </cell>
        </row>
        <row r="623">
          <cell r="C623" t="str">
            <v>PGKFFW1-CHILD</v>
          </cell>
          <cell r="D623">
            <v>59.37</v>
          </cell>
        </row>
        <row r="624">
          <cell r="C624" t="str">
            <v>PGKFFWFMT24KGFM1</v>
          </cell>
          <cell r="D624">
            <v>150.29</v>
          </cell>
        </row>
        <row r="625">
          <cell r="C625" t="str">
            <v>PGKFFWFSMFSDC1</v>
          </cell>
          <cell r="D625">
            <v>272.59000000000003</v>
          </cell>
        </row>
        <row r="626">
          <cell r="C626" t="str">
            <v>PGKFFWOFGM1</v>
          </cell>
          <cell r="D626">
            <v>131.97</v>
          </cell>
        </row>
        <row r="627">
          <cell r="C627" t="str">
            <v>PGKFFWS201</v>
          </cell>
          <cell r="D627">
            <v>180.85999999999999</v>
          </cell>
        </row>
        <row r="628">
          <cell r="C628" t="str">
            <v>PGKFFWUECNC1</v>
          </cell>
          <cell r="D628">
            <v>192.18</v>
          </cell>
        </row>
        <row r="629">
          <cell r="C629" t="str">
            <v>PGKFMT-1-P2</v>
          </cell>
          <cell r="D629">
            <v>55.32</v>
          </cell>
        </row>
        <row r="630">
          <cell r="C630" t="str">
            <v>PGKFMTFSDCFSMNS1</v>
          </cell>
          <cell r="D630">
            <v>283.07</v>
          </cell>
        </row>
        <row r="631">
          <cell r="C631" t="str">
            <v>PGKFMTFSDCFSMNSJB01</v>
          </cell>
          <cell r="D631">
            <v>310.80333333333334</v>
          </cell>
        </row>
        <row r="632">
          <cell r="C632" t="str">
            <v>PGKFMTFSDCFSMNSJB1</v>
          </cell>
          <cell r="D632">
            <v>310.8033333333334</v>
          </cell>
        </row>
        <row r="633">
          <cell r="C633" t="str">
            <v>PGKFMTHAHSSABPPS</v>
          </cell>
          <cell r="D633">
            <v>144.85111111111109</v>
          </cell>
        </row>
        <row r="634">
          <cell r="C634" t="str">
            <v>PGKFMTHS1</v>
          </cell>
          <cell r="D634">
            <v>128.32</v>
          </cell>
        </row>
        <row r="635">
          <cell r="C635" t="str">
            <v>PGKFMTNCUEC1</v>
          </cell>
          <cell r="D635">
            <v>160.47</v>
          </cell>
        </row>
        <row r="636">
          <cell r="C636" t="str">
            <v>PGKFMTNS1</v>
          </cell>
          <cell r="D636">
            <v>69.849999999999994</v>
          </cell>
        </row>
        <row r="637">
          <cell r="C637" t="str">
            <v>PGKFMTNSJB1</v>
          </cell>
          <cell r="D637">
            <v>97.583333333333329</v>
          </cell>
        </row>
        <row r="638">
          <cell r="C638" t="str">
            <v>PGKFMTP1</v>
          </cell>
          <cell r="D638">
            <v>55.32</v>
          </cell>
        </row>
        <row r="639">
          <cell r="C639" t="str">
            <v>PGKFSBS1</v>
          </cell>
          <cell r="D639">
            <v>133.68</v>
          </cell>
        </row>
        <row r="640">
          <cell r="C640" t="str">
            <v>PGKFSBSBBNS1</v>
          </cell>
          <cell r="D640">
            <v>280.77000000000004</v>
          </cell>
        </row>
        <row r="641">
          <cell r="C641" t="str">
            <v>PGKFSFMT1</v>
          </cell>
          <cell r="D641">
            <v>88.2</v>
          </cell>
        </row>
        <row r="642">
          <cell r="C642" t="str">
            <v>PGKFSFMTDCFSMJB1</v>
          </cell>
          <cell r="D642">
            <v>268.61333333333334</v>
          </cell>
        </row>
        <row r="643">
          <cell r="C643" t="str">
            <v>PGKFSFSM1</v>
          </cell>
          <cell r="D643">
            <v>118.69</v>
          </cell>
        </row>
        <row r="644">
          <cell r="C644" t="str">
            <v>PGKFSFTM1</v>
          </cell>
          <cell r="D644">
            <v>88.2</v>
          </cell>
        </row>
        <row r="645">
          <cell r="C645" t="str">
            <v>PGKFSM1</v>
          </cell>
          <cell r="D645">
            <v>58.15</v>
          </cell>
        </row>
        <row r="646">
          <cell r="C646" t="str">
            <v>PGKFSMFC1</v>
          </cell>
          <cell r="D646">
            <v>152.68</v>
          </cell>
        </row>
        <row r="647">
          <cell r="C647" t="str">
            <v>PGKFSMFMT1</v>
          </cell>
          <cell r="D647">
            <v>85.81</v>
          </cell>
        </row>
        <row r="648">
          <cell r="C648" t="str">
            <v>PGKFSMFSFMT1</v>
          </cell>
          <cell r="D648">
            <v>146.35</v>
          </cell>
        </row>
        <row r="649">
          <cell r="C649" t="str">
            <v>PGKFSMFSNS1</v>
          </cell>
          <cell r="D649">
            <v>160.88</v>
          </cell>
        </row>
        <row r="650">
          <cell r="C650" t="str">
            <v>PGKFSMFWFC1</v>
          </cell>
          <cell r="D650">
            <v>191.36</v>
          </cell>
        </row>
        <row r="651">
          <cell r="C651" t="str">
            <v>PGKFSMFWFSFC1</v>
          </cell>
          <cell r="D651">
            <v>251.90000000000003</v>
          </cell>
        </row>
        <row r="652">
          <cell r="C652" t="str">
            <v>PGKFSMFWFSNC1</v>
          </cell>
          <cell r="D652">
            <v>226.53</v>
          </cell>
        </row>
        <row r="653">
          <cell r="C653" t="str">
            <v>PGKFSMFWNC1</v>
          </cell>
          <cell r="D653">
            <v>165.99</v>
          </cell>
        </row>
        <row r="654">
          <cell r="C654" t="str">
            <v>PGKFSMFWNCUEC1</v>
          </cell>
          <cell r="D654">
            <v>229.64</v>
          </cell>
        </row>
        <row r="655">
          <cell r="C655" t="str">
            <v>PGKFSMFWNS1</v>
          </cell>
          <cell r="D655">
            <v>139.02000000000001</v>
          </cell>
        </row>
        <row r="656">
          <cell r="C656" t="str">
            <v>PGKFSMFWNS201</v>
          </cell>
          <cell r="D656">
            <v>218.32</v>
          </cell>
        </row>
        <row r="657">
          <cell r="C657" t="str">
            <v>PGKFSMNS1</v>
          </cell>
          <cell r="D657">
            <v>100.34</v>
          </cell>
        </row>
        <row r="658">
          <cell r="C658" t="str">
            <v>PGKFSMNS201</v>
          </cell>
          <cell r="D658">
            <v>221.82999999999998</v>
          </cell>
        </row>
        <row r="659">
          <cell r="C659" t="str">
            <v>PGKFSP1</v>
          </cell>
          <cell r="D659">
            <v>121.08</v>
          </cell>
        </row>
        <row r="660">
          <cell r="C660" t="str">
            <v>PGKFWBB1</v>
          </cell>
          <cell r="D660">
            <v>143.58000000000001</v>
          </cell>
        </row>
        <row r="661">
          <cell r="C661" t="str">
            <v>PGKFWBS1</v>
          </cell>
          <cell r="D661">
            <v>111.82</v>
          </cell>
        </row>
        <row r="662">
          <cell r="C662" t="str">
            <v>PGKFWBW1</v>
          </cell>
          <cell r="D662">
            <v>110.78</v>
          </cell>
        </row>
        <row r="663">
          <cell r="C663" t="str">
            <v>PGKFWBWS1</v>
          </cell>
          <cell r="D663">
            <v>189.66</v>
          </cell>
        </row>
        <row r="664">
          <cell r="C664" t="str">
            <v>PGKFWC1</v>
          </cell>
          <cell r="D664">
            <v>77.36</v>
          </cell>
        </row>
        <row r="665">
          <cell r="C665" t="str">
            <v>PGKFWDC1</v>
          </cell>
          <cell r="D665">
            <v>133.21</v>
          </cell>
        </row>
        <row r="666">
          <cell r="C666" t="str">
            <v>PGKFWFMT1</v>
          </cell>
          <cell r="D666">
            <v>66.34</v>
          </cell>
        </row>
        <row r="667">
          <cell r="C667" t="str">
            <v>PGKFWFMTDCNS1</v>
          </cell>
          <cell r="D667">
            <v>230.79333333333332</v>
          </cell>
        </row>
        <row r="668">
          <cell r="C668" t="str">
            <v>PGKFWFMTDCNSJB1</v>
          </cell>
          <cell r="D668">
            <v>230.79333333333332</v>
          </cell>
        </row>
        <row r="669">
          <cell r="C669" t="str">
            <v>PGKFWFMTFM1</v>
          </cell>
          <cell r="D669">
            <v>124.49000000000001</v>
          </cell>
        </row>
        <row r="670">
          <cell r="C670" t="str">
            <v>PGKFWFMTS201</v>
          </cell>
          <cell r="D670">
            <v>187.82999999999998</v>
          </cell>
        </row>
        <row r="671">
          <cell r="C671" t="str">
            <v>PGKFWFMTS20UEC1</v>
          </cell>
          <cell r="D671">
            <v>251.48</v>
          </cell>
        </row>
        <row r="672">
          <cell r="C672" t="str">
            <v>PGKFWFS1</v>
          </cell>
          <cell r="D672">
            <v>99.22</v>
          </cell>
        </row>
        <row r="673">
          <cell r="C673" t="str">
            <v>PGKFWFSDC1</v>
          </cell>
          <cell r="D673">
            <v>193.75000000000003</v>
          </cell>
        </row>
        <row r="674">
          <cell r="C674" t="str">
            <v>PGKFWFSDCFMT1</v>
          </cell>
          <cell r="D674">
            <v>221.41000000000003</v>
          </cell>
        </row>
        <row r="675">
          <cell r="C675" t="str">
            <v>PGKFWFSDCFSMNSJB01</v>
          </cell>
          <cell r="D675">
            <v>321.82333333333338</v>
          </cell>
        </row>
        <row r="676">
          <cell r="C676" t="str">
            <v>PGKFWFSDCFSMNSJB1</v>
          </cell>
          <cell r="D676">
            <v>321.82333333333338</v>
          </cell>
        </row>
        <row r="677">
          <cell r="C677" t="str">
            <v>PGKFWFSFSM1</v>
          </cell>
          <cell r="D677">
            <v>157.37</v>
          </cell>
        </row>
        <row r="678">
          <cell r="C678" t="str">
            <v>PGKFWFSM1</v>
          </cell>
          <cell r="D678">
            <v>96.83</v>
          </cell>
        </row>
        <row r="679">
          <cell r="C679" t="str">
            <v>PGKFWFSMFSNSJB01</v>
          </cell>
          <cell r="D679">
            <v>227.29333333333332</v>
          </cell>
        </row>
        <row r="680">
          <cell r="C680" t="str">
            <v>PGKFWFSMFSNSJB1</v>
          </cell>
          <cell r="D680">
            <v>227.29333333333332</v>
          </cell>
        </row>
        <row r="681">
          <cell r="C681" t="str">
            <v>PGKFWFSNCFSMNSJB01</v>
          </cell>
          <cell r="D681">
            <v>296.45333333333332</v>
          </cell>
        </row>
        <row r="682">
          <cell r="C682" t="str">
            <v>PGKFWFSNCFSMNSJB1</v>
          </cell>
          <cell r="D682">
            <v>296.45333333333338</v>
          </cell>
        </row>
        <row r="683">
          <cell r="C683" t="str">
            <v>PGKFWFSNS1</v>
          </cell>
          <cell r="D683">
            <v>141.41</v>
          </cell>
        </row>
        <row r="684">
          <cell r="C684" t="str">
            <v>PGKFWNS1</v>
          </cell>
          <cell r="D684">
            <v>80.87</v>
          </cell>
        </row>
        <row r="685">
          <cell r="C685" t="str">
            <v>PGKFWNSFMT1</v>
          </cell>
          <cell r="D685">
            <v>108.53</v>
          </cell>
        </row>
        <row r="686">
          <cell r="C686" t="str">
            <v>PGKFWSGFFW1</v>
          </cell>
          <cell r="D686">
            <v>98.05</v>
          </cell>
        </row>
        <row r="687">
          <cell r="C687" t="str">
            <v>PGKFWSHCBW1</v>
          </cell>
          <cell r="D687">
            <v>264.67</v>
          </cell>
        </row>
        <row r="688">
          <cell r="C688" t="str">
            <v>PGKFWVFTNC1</v>
          </cell>
          <cell r="D688">
            <v>105.81428571428572</v>
          </cell>
        </row>
        <row r="689">
          <cell r="C689" t="str">
            <v>PGKHAHSS1-P2</v>
          </cell>
          <cell r="D689">
            <v>130.69999999999999</v>
          </cell>
        </row>
        <row r="690">
          <cell r="C690" t="str">
            <v>PGKHAHSSFFW1</v>
          </cell>
          <cell r="D690">
            <v>124.72</v>
          </cell>
        </row>
        <row r="691">
          <cell r="C691" t="str">
            <v>PGKHAHSSFFWFMT1</v>
          </cell>
          <cell r="D691">
            <v>152.38</v>
          </cell>
        </row>
        <row r="692">
          <cell r="C692" t="str">
            <v>PGKHAHSSFMT24GFM1</v>
          </cell>
          <cell r="D692">
            <v>156.26999999999998</v>
          </cell>
        </row>
        <row r="693">
          <cell r="C693" t="str">
            <v>PGKHAHSSFW24KGFM1</v>
          </cell>
          <cell r="D693">
            <v>167.29</v>
          </cell>
        </row>
        <row r="694">
          <cell r="C694" t="str">
            <v>PGKHAHSSNC1</v>
          </cell>
          <cell r="D694">
            <v>134.51</v>
          </cell>
        </row>
        <row r="695">
          <cell r="C695" t="str">
            <v>PGKHAHSSZAAG1</v>
          </cell>
          <cell r="D695">
            <v>119.8</v>
          </cell>
        </row>
        <row r="696">
          <cell r="C696" t="str">
            <v>PGKHC01</v>
          </cell>
          <cell r="D696">
            <v>75.010000000000005</v>
          </cell>
        </row>
        <row r="697">
          <cell r="C697" t="str">
            <v>PGKHC1-P2</v>
          </cell>
          <cell r="D697">
            <v>150.02000000000001</v>
          </cell>
        </row>
        <row r="698">
          <cell r="C698" t="str">
            <v>PGKHMP1</v>
          </cell>
          <cell r="D698">
            <v>205.82</v>
          </cell>
        </row>
        <row r="699">
          <cell r="C699" t="str">
            <v>PGKHNCFMT1</v>
          </cell>
          <cell r="D699">
            <v>60.760000000000005</v>
          </cell>
        </row>
        <row r="700">
          <cell r="C700" t="str">
            <v>PGKHRK1</v>
          </cell>
          <cell r="D700">
            <v>209.52333333333331</v>
          </cell>
        </row>
        <row r="701">
          <cell r="C701" t="str">
            <v>PGKHRKJB1</v>
          </cell>
          <cell r="D701">
            <v>209.52333333333331</v>
          </cell>
        </row>
        <row r="702">
          <cell r="C702" t="str">
            <v>PGKHS1 1</v>
          </cell>
          <cell r="D702">
            <v>100.66</v>
          </cell>
        </row>
        <row r="703">
          <cell r="C703" t="str">
            <v>PGKHSP1</v>
          </cell>
          <cell r="D703">
            <v>201.32</v>
          </cell>
        </row>
        <row r="704">
          <cell r="C704" t="str">
            <v>PGKJB24KGBO1</v>
          </cell>
          <cell r="D704">
            <v>127.15333333333334</v>
          </cell>
        </row>
        <row r="705">
          <cell r="C705" t="str">
            <v>PGKJB24KGFM1</v>
          </cell>
          <cell r="D705">
            <v>90.993333333333325</v>
          </cell>
        </row>
        <row r="706">
          <cell r="C706" t="str">
            <v>PGKJBFMT1</v>
          </cell>
          <cell r="D706">
            <v>55.393333333333331</v>
          </cell>
        </row>
        <row r="707">
          <cell r="C707" t="str">
            <v>PGKJBKS1</v>
          </cell>
          <cell r="D707">
            <v>106.61333333333333</v>
          </cell>
        </row>
        <row r="708">
          <cell r="C708" t="str">
            <v>PGKJBNS1</v>
          </cell>
          <cell r="D708">
            <v>69.923333333333332</v>
          </cell>
        </row>
        <row r="709">
          <cell r="C709" t="str">
            <v>PGKJBNSFMTFFW24KGFM1</v>
          </cell>
          <cell r="D709">
            <v>156.95333333333332</v>
          </cell>
        </row>
        <row r="710">
          <cell r="C710" t="str">
            <v>PGKJBS20</v>
          </cell>
          <cell r="D710">
            <v>149.22333333333333</v>
          </cell>
        </row>
        <row r="711">
          <cell r="C711" t="str">
            <v>PGKJBS-AAS1</v>
          </cell>
          <cell r="D711">
            <v>79.087333333333333</v>
          </cell>
        </row>
        <row r="712">
          <cell r="C712" t="str">
            <v>PGKJBS-LFS1</v>
          </cell>
          <cell r="D712">
            <v>103.00333333333333</v>
          </cell>
        </row>
        <row r="713">
          <cell r="C713" t="str">
            <v>PGKJBUEC1</v>
          </cell>
          <cell r="D713">
            <v>91.383333333333326</v>
          </cell>
        </row>
        <row r="714">
          <cell r="C714" t="str">
            <v>PGK-KAS-P2</v>
          </cell>
          <cell r="D714">
            <v>91.48</v>
          </cell>
        </row>
        <row r="715">
          <cell r="C715" t="str">
            <v>PGKNC1-P2</v>
          </cell>
          <cell r="D715">
            <v>138.32</v>
          </cell>
        </row>
        <row r="716">
          <cell r="C716" t="str">
            <v>PGKNCNS1</v>
          </cell>
          <cell r="D716">
            <v>111.35</v>
          </cell>
        </row>
        <row r="717">
          <cell r="C717" t="str">
            <v>PGKNCNSJB01</v>
          </cell>
          <cell r="D717">
            <v>139.08333333333331</v>
          </cell>
        </row>
        <row r="718">
          <cell r="C718" t="str">
            <v>PGKNCNSJB1</v>
          </cell>
          <cell r="D718">
            <v>139.08333333333331</v>
          </cell>
        </row>
        <row r="719">
          <cell r="C719" t="str">
            <v>PGKNCS201</v>
          </cell>
          <cell r="D719">
            <v>190.64999999999998</v>
          </cell>
        </row>
        <row r="720">
          <cell r="C720" t="str">
            <v>PGKNCSAMHAHSSJB1</v>
          </cell>
          <cell r="D720" t="e">
            <v>#N/A</v>
          </cell>
        </row>
        <row r="721">
          <cell r="C721" t="str">
            <v>PGKNCSROUESERUM</v>
          </cell>
          <cell r="D721">
            <v>144.97</v>
          </cell>
        </row>
        <row r="722">
          <cell r="C722" t="str">
            <v>PGKNHCBLDC01</v>
          </cell>
          <cell r="D722">
            <v>186.73000000000002</v>
          </cell>
        </row>
        <row r="723">
          <cell r="C723" t="str">
            <v>PGKNHCBLFC1</v>
          </cell>
          <cell r="D723">
            <v>186.73000000000002</v>
          </cell>
        </row>
        <row r="724">
          <cell r="C724" t="str">
            <v>PGKNS201</v>
          </cell>
          <cell r="D724">
            <v>121.49</v>
          </cell>
        </row>
        <row r="725">
          <cell r="C725" t="str">
            <v>PGKNSFC1</v>
          </cell>
          <cell r="D725">
            <v>136.72000000000003</v>
          </cell>
        </row>
        <row r="726">
          <cell r="C726" t="str">
            <v>PGKNSFMTFFW24KGFM1</v>
          </cell>
          <cell r="D726">
            <v>192.48</v>
          </cell>
        </row>
        <row r="727">
          <cell r="C727" t="str">
            <v>PGKNSGIFTWP</v>
          </cell>
          <cell r="D727">
            <v>42.19</v>
          </cell>
        </row>
        <row r="728">
          <cell r="C728" t="str">
            <v>PGKNSHS1</v>
          </cell>
          <cell r="D728">
            <v>170.58333333333331</v>
          </cell>
        </row>
        <row r="729">
          <cell r="C729" t="str">
            <v>PGKNSP1</v>
          </cell>
          <cell r="D729">
            <v>84.38</v>
          </cell>
        </row>
        <row r="730">
          <cell r="C730" t="str">
            <v>PGKNSPJB1</v>
          </cell>
          <cell r="D730">
            <v>69.923333333333332</v>
          </cell>
        </row>
        <row r="731">
          <cell r="C731" t="str">
            <v>PGKNSUEC1</v>
          </cell>
          <cell r="D731">
            <v>105.84</v>
          </cell>
        </row>
        <row r="732">
          <cell r="C732" t="str">
            <v>PGKOFGM1-P2</v>
          </cell>
          <cell r="D732">
            <v>145.19999999999999</v>
          </cell>
        </row>
        <row r="733">
          <cell r="C733" t="str">
            <v>PGKOFGMFW1</v>
          </cell>
          <cell r="D733">
            <v>111.28</v>
          </cell>
        </row>
        <row r="734">
          <cell r="C734" t="str">
            <v>PGKOFGMFWFMT1</v>
          </cell>
          <cell r="D734">
            <v>138.94</v>
          </cell>
        </row>
        <row r="735">
          <cell r="C735" t="str">
            <v>PGKOFGMFWNC1</v>
          </cell>
          <cell r="D735">
            <v>180.44</v>
          </cell>
        </row>
        <row r="736">
          <cell r="C736" t="str">
            <v>PGKOFGMHAHSS1</v>
          </cell>
          <cell r="D736">
            <v>137.94999999999999</v>
          </cell>
        </row>
        <row r="737">
          <cell r="C737" t="str">
            <v>PGKR-BR</v>
          </cell>
          <cell r="D737">
            <v>205.77333333333334</v>
          </cell>
        </row>
        <row r="738">
          <cell r="C738" t="str">
            <v>PGKR-DTDR</v>
          </cell>
          <cell r="D738">
            <v>203.13333333333335</v>
          </cell>
        </row>
        <row r="739">
          <cell r="C739" t="str">
            <v>PGKR-EBR</v>
          </cell>
          <cell r="D739">
            <v>164.29999999999998</v>
          </cell>
        </row>
        <row r="740">
          <cell r="C740" t="str">
            <v>PGKR-FR</v>
          </cell>
          <cell r="D740">
            <v>221.48333333333335</v>
          </cell>
        </row>
        <row r="741">
          <cell r="C741" t="str">
            <v>PGKR-GNR</v>
          </cell>
          <cell r="D741">
            <v>199.15</v>
          </cell>
        </row>
        <row r="742">
          <cell r="C742" t="str">
            <v>PGKR-HER</v>
          </cell>
          <cell r="D742">
            <v>254.55</v>
          </cell>
        </row>
        <row r="743">
          <cell r="C743" t="str">
            <v>PGKR-HR</v>
          </cell>
          <cell r="D743">
            <v>209.52333333333331</v>
          </cell>
        </row>
        <row r="744">
          <cell r="C744" t="str">
            <v>PGKR-LBR</v>
          </cell>
          <cell r="D744">
            <v>237.44</v>
          </cell>
        </row>
        <row r="745">
          <cell r="C745" t="str">
            <v>PGKR-NRFR</v>
          </cell>
          <cell r="D745">
            <v>160.54333333333332</v>
          </cell>
        </row>
        <row r="746">
          <cell r="C746" t="str">
            <v>PGKRP-FR</v>
          </cell>
          <cell r="D746">
            <v>291.33333333333331</v>
          </cell>
        </row>
        <row r="747">
          <cell r="C747" t="str">
            <v>PGKRP-HR</v>
          </cell>
          <cell r="D747">
            <v>357.46</v>
          </cell>
        </row>
        <row r="748">
          <cell r="C748" t="str">
            <v>PGKRRNOFMT1</v>
          </cell>
          <cell r="D748">
            <v>108.28999999999999</v>
          </cell>
        </row>
        <row r="749">
          <cell r="C749" t="str">
            <v>PGKRRNOSGFFW1</v>
          </cell>
          <cell r="D749">
            <v>140</v>
          </cell>
        </row>
        <row r="750">
          <cell r="C750" t="str">
            <v>PGKR-SR</v>
          </cell>
          <cell r="D750">
            <v>188.60333333333332</v>
          </cell>
        </row>
        <row r="751">
          <cell r="C751" t="str">
            <v>PGKR-SRJB1</v>
          </cell>
          <cell r="D751">
            <v>188.60333333333332</v>
          </cell>
        </row>
        <row r="752">
          <cell r="C752" t="str">
            <v>PGKS AASFMTFSM1</v>
          </cell>
          <cell r="D752">
            <v>137.16399999999999</v>
          </cell>
        </row>
        <row r="753">
          <cell r="C753" t="str">
            <v>PGKS AASFSM1</v>
          </cell>
          <cell r="D753">
            <v>109.50399999999999</v>
          </cell>
        </row>
        <row r="754">
          <cell r="C754" t="str">
            <v>PGKS AASFW1</v>
          </cell>
          <cell r="D754">
            <v>90.033999999999992</v>
          </cell>
        </row>
        <row r="755">
          <cell r="C755" t="str">
            <v>PGKS AHGSHC1</v>
          </cell>
          <cell r="D755">
            <v>205.40230769230766</v>
          </cell>
        </row>
        <row r="756">
          <cell r="C756" t="str">
            <v>PGKS AHGSS1</v>
          </cell>
          <cell r="D756">
            <v>237.00564102564101</v>
          </cell>
        </row>
        <row r="757">
          <cell r="C757" t="str">
            <v>PGKS AHGSSHC01</v>
          </cell>
          <cell r="D757">
            <v>284.28230769230765</v>
          </cell>
        </row>
        <row r="758">
          <cell r="C758" t="str">
            <v>PGKS AHGSSHC1</v>
          </cell>
          <cell r="D758">
            <v>284.28230769230765</v>
          </cell>
        </row>
        <row r="759">
          <cell r="C759" t="str">
            <v>PGKS AHGSSHM1</v>
          </cell>
          <cell r="D759">
            <v>312.18230769230763</v>
          </cell>
        </row>
        <row r="760">
          <cell r="C760" t="str">
            <v>PGKS AVBSFMTFSM1</v>
          </cell>
          <cell r="D760">
            <v>162.42923076923074</v>
          </cell>
        </row>
        <row r="761">
          <cell r="C761" t="str">
            <v>PGKS AVBSFW1</v>
          </cell>
          <cell r="D761">
            <v>115.29923076923075</v>
          </cell>
        </row>
        <row r="762">
          <cell r="C762" t="str">
            <v>PGKS AVBSFWFMT1</v>
          </cell>
          <cell r="D762">
            <v>142.95923076923077</v>
          </cell>
        </row>
        <row r="763">
          <cell r="C763" t="str">
            <v>PGKS LFSFMT1</v>
          </cell>
          <cell r="D763">
            <v>102.92999999999999</v>
          </cell>
        </row>
        <row r="764">
          <cell r="C764" t="str">
            <v>PGKS LFSFSM1</v>
          </cell>
          <cell r="D764">
            <v>133.41999999999999</v>
          </cell>
        </row>
        <row r="765">
          <cell r="C765" t="str">
            <v>PGKS LFSFWFSM1</v>
          </cell>
          <cell r="D765">
            <v>172.1</v>
          </cell>
        </row>
        <row r="766">
          <cell r="C766" t="str">
            <v>PGKS LFSHS1</v>
          </cell>
          <cell r="D766">
            <v>175.93</v>
          </cell>
        </row>
        <row r="767">
          <cell r="C767" t="str">
            <v>PGKS SCSFMT1</v>
          </cell>
          <cell r="D767">
            <v>103.35</v>
          </cell>
        </row>
        <row r="768">
          <cell r="C768" t="str">
            <v>PGKS SCSFMTFSM1</v>
          </cell>
          <cell r="D768">
            <v>161.5</v>
          </cell>
        </row>
        <row r="769">
          <cell r="C769" t="str">
            <v>PGKS SCSFMTFW1</v>
          </cell>
          <cell r="D769">
            <v>142.03</v>
          </cell>
        </row>
        <row r="770">
          <cell r="C770" t="str">
            <v>PGKS SCSFS1</v>
          </cell>
          <cell r="D770">
            <v>136.22999999999999</v>
          </cell>
        </row>
        <row r="771">
          <cell r="C771" t="str">
            <v>PGKS SCSFW1</v>
          </cell>
          <cell r="D771">
            <v>114.37</v>
          </cell>
        </row>
        <row r="772">
          <cell r="C772" t="str">
            <v>PGKS SCSOFGM1</v>
          </cell>
          <cell r="D772">
            <v>148.29</v>
          </cell>
        </row>
        <row r="773">
          <cell r="C773" t="str">
            <v>PGKS20DC1</v>
          </cell>
          <cell r="D773">
            <v>216.02</v>
          </cell>
        </row>
        <row r="774">
          <cell r="C774" t="str">
            <v>PGKS20FMT1</v>
          </cell>
          <cell r="D774">
            <v>149.15</v>
          </cell>
        </row>
        <row r="775">
          <cell r="C775" t="str">
            <v>PGKS20HS1</v>
          </cell>
          <cell r="D775">
            <v>222.14999999999998</v>
          </cell>
        </row>
        <row r="776">
          <cell r="C776" t="str">
            <v>PGKS20NC1</v>
          </cell>
          <cell r="D776">
            <v>190.64999999999998</v>
          </cell>
        </row>
        <row r="777">
          <cell r="C777" t="str">
            <v>PGKS20-P2</v>
          </cell>
          <cell r="D777">
            <v>242.98</v>
          </cell>
        </row>
        <row r="778">
          <cell r="C778" t="str">
            <v>PGKS20UEC1</v>
          </cell>
          <cell r="D778">
            <v>185.14</v>
          </cell>
        </row>
        <row r="779">
          <cell r="C779" t="str">
            <v>PGKS-AASFFW1B1</v>
          </cell>
          <cell r="D779">
            <v>113.074</v>
          </cell>
        </row>
        <row r="780">
          <cell r="C780" t="str">
            <v>PGKS-AASFMT1</v>
          </cell>
          <cell r="D780">
            <v>79.013999999999996</v>
          </cell>
        </row>
        <row r="781">
          <cell r="C781" t="str">
            <v>PGKS-AASFMTFSM1</v>
          </cell>
          <cell r="D781">
            <v>137.16399999999999</v>
          </cell>
        </row>
        <row r="782">
          <cell r="C782" t="str">
            <v>PGKS-AASFSM1</v>
          </cell>
          <cell r="D782">
            <v>109.50399999999999</v>
          </cell>
        </row>
        <row r="783">
          <cell r="C783" t="str">
            <v>PGKS-AASFW01</v>
          </cell>
          <cell r="D783">
            <v>90.033999999999992</v>
          </cell>
        </row>
        <row r="784">
          <cell r="C784" t="str">
            <v>PGKS-AASFW1</v>
          </cell>
          <cell r="D784">
            <v>127.044</v>
          </cell>
        </row>
        <row r="785">
          <cell r="C785" t="str">
            <v>PGKS-AASFWFMTDC1</v>
          </cell>
          <cell r="D785">
            <v>212.22399999999999</v>
          </cell>
        </row>
        <row r="786">
          <cell r="C786" t="str">
            <v>PGKS-AASFWFSDC1</v>
          </cell>
          <cell r="D786">
            <v>245.10400000000004</v>
          </cell>
        </row>
        <row r="787">
          <cell r="C787" t="str">
            <v>PGKS-AASFWFSFSM1</v>
          </cell>
          <cell r="D787">
            <v>208.72399999999999</v>
          </cell>
        </row>
        <row r="788">
          <cell r="C788" t="str">
            <v>PGKS-AASFWFSM1</v>
          </cell>
          <cell r="D788">
            <v>148.184</v>
          </cell>
        </row>
        <row r="789">
          <cell r="C789" t="str">
            <v>PGKS-AHGS80ML</v>
          </cell>
          <cell r="D789">
            <v>214.1868076923077</v>
          </cell>
        </row>
        <row r="790">
          <cell r="C790" t="str">
            <v>PGKS-AHGSAVBS</v>
          </cell>
          <cell r="D790">
            <v>207.01153846153841</v>
          </cell>
        </row>
        <row r="791">
          <cell r="C791" t="str">
            <v>PGKS-AHGSAVG1</v>
          </cell>
          <cell r="D791">
            <v>177.42230769230767</v>
          </cell>
        </row>
        <row r="792">
          <cell r="C792" t="str">
            <v>PGKS-AHGSAVGS1</v>
          </cell>
          <cell r="D792">
            <v>256.30230769230764</v>
          </cell>
        </row>
        <row r="793">
          <cell r="C793" t="str">
            <v>PGKS-AHGSFMT1</v>
          </cell>
          <cell r="D793">
            <v>158.05230769230766</v>
          </cell>
        </row>
        <row r="794">
          <cell r="C794" t="str">
            <v>PGKSAHGSHC</v>
          </cell>
          <cell r="D794">
            <v>284.28230769230765</v>
          </cell>
        </row>
        <row r="795">
          <cell r="C795" t="str">
            <v>PGKS-AHGSHC1</v>
          </cell>
          <cell r="D795">
            <v>205.40230769230766</v>
          </cell>
        </row>
        <row r="796">
          <cell r="C796" t="str">
            <v>PGKSAHGSHC-SMYT</v>
          </cell>
          <cell r="D796">
            <v>284.28230769230765</v>
          </cell>
        </row>
        <row r="797">
          <cell r="C797" t="str">
            <v>PGKS-AHGSHM1</v>
          </cell>
          <cell r="D797">
            <v>233.30230769230766</v>
          </cell>
        </row>
        <row r="798">
          <cell r="C798" t="str">
            <v>PGKS-AHGSNS1</v>
          </cell>
          <cell r="D798">
            <v>172.58230769230767</v>
          </cell>
        </row>
        <row r="799">
          <cell r="C799" t="str">
            <v>PGKS-AHGSP1</v>
          </cell>
          <cell r="D799">
            <v>260.78461538461534</v>
          </cell>
        </row>
        <row r="800">
          <cell r="C800" t="str">
            <v>PGKS-AHGSS1</v>
          </cell>
          <cell r="D800">
            <v>237.00564102564101</v>
          </cell>
        </row>
        <row r="801">
          <cell r="C801" t="str">
            <v>PGKS-AHGSSHC01</v>
          </cell>
          <cell r="D801">
            <v>284.28230769230765</v>
          </cell>
        </row>
        <row r="802">
          <cell r="C802" t="str">
            <v>PGKS-AHGSSHC1</v>
          </cell>
          <cell r="D802">
            <v>284.28230769230765</v>
          </cell>
        </row>
        <row r="803">
          <cell r="C803" t="str">
            <v>PGKS-AHGSSHCHM1</v>
          </cell>
          <cell r="D803">
            <v>387.19230769230768</v>
          </cell>
        </row>
        <row r="804">
          <cell r="C804" t="str">
            <v>PGKS-AHGSSHM1</v>
          </cell>
          <cell r="D804">
            <v>312.18230769230763</v>
          </cell>
        </row>
        <row r="805">
          <cell r="C805" t="str">
            <v>PGKS-AHGSSJB1</v>
          </cell>
          <cell r="D805">
            <v>237.00564102564101</v>
          </cell>
        </row>
        <row r="806">
          <cell r="C806" t="str">
            <v>PGKS-AVBSAVG1</v>
          </cell>
          <cell r="D806">
            <v>123.64923076923075</v>
          </cell>
        </row>
        <row r="807">
          <cell r="C807" t="str">
            <v>PGKS-AVBSFMT1</v>
          </cell>
          <cell r="D807">
            <v>104.27923076923075</v>
          </cell>
        </row>
        <row r="808">
          <cell r="C808" t="str">
            <v>PGKS-AVBSFMT24KGFM1</v>
          </cell>
          <cell r="D808">
            <v>167.53923076923076</v>
          </cell>
        </row>
        <row r="809">
          <cell r="C809" t="str">
            <v>PGKS-AVBSFMTFSM1</v>
          </cell>
          <cell r="D809">
            <v>162.42923076923074</v>
          </cell>
        </row>
        <row r="810">
          <cell r="C810" t="str">
            <v>PGKS-AVBSFW1</v>
          </cell>
          <cell r="D810">
            <v>115.29923076923075</v>
          </cell>
        </row>
        <row r="811">
          <cell r="C811" t="str">
            <v>PGKS-AVBSFWFMT1</v>
          </cell>
          <cell r="D811">
            <v>142.95923076923077</v>
          </cell>
        </row>
        <row r="812">
          <cell r="C812" t="str">
            <v>PGKS-AVBSFWNC1</v>
          </cell>
          <cell r="D812">
            <v>184.45923076923077</v>
          </cell>
        </row>
        <row r="813">
          <cell r="C813" t="str">
            <v>PGKS-AVBSHAHSS1</v>
          </cell>
          <cell r="D813">
            <v>141.96923076923076</v>
          </cell>
        </row>
        <row r="814">
          <cell r="C814" t="str">
            <v>PGKS-AVBSHS1</v>
          </cell>
          <cell r="D814">
            <v>177.27923076923076</v>
          </cell>
        </row>
        <row r="815">
          <cell r="C815" t="str">
            <v>PGKSAVBSSAMFCJB1</v>
          </cell>
          <cell r="D815">
            <v>116.31256410256408</v>
          </cell>
        </row>
        <row r="816">
          <cell r="C816" t="str">
            <v>PGKSC1</v>
          </cell>
          <cell r="D816">
            <v>157.76</v>
          </cell>
        </row>
        <row r="817">
          <cell r="C817" t="str">
            <v>PGKSFW1</v>
          </cell>
          <cell r="D817">
            <v>117.56</v>
          </cell>
        </row>
        <row r="818">
          <cell r="C818" t="str">
            <v>PGKSGFFW1 CHILD</v>
          </cell>
          <cell r="D818">
            <v>66.899999999999991</v>
          </cell>
        </row>
        <row r="819">
          <cell r="C819" t="str">
            <v>PGKSGFFW1 NEW</v>
          </cell>
          <cell r="D819">
            <v>66.899999999999991</v>
          </cell>
        </row>
        <row r="820">
          <cell r="C820" t="str">
            <v>PGKSGFFWFMTDC1</v>
          </cell>
          <cell r="D820">
            <v>189.09</v>
          </cell>
        </row>
        <row r="821">
          <cell r="C821" t="str">
            <v>PGKSGFFWHAHSS1</v>
          </cell>
          <cell r="D821">
            <v>132.25</v>
          </cell>
        </row>
        <row r="822">
          <cell r="C822" t="str">
            <v>PGKSGFFWNS1</v>
          </cell>
          <cell r="D822">
            <v>109.08999999999999</v>
          </cell>
        </row>
        <row r="823">
          <cell r="C823" t="str">
            <v>PGKSHC1</v>
          </cell>
          <cell r="D823">
            <v>181.62333333333331</v>
          </cell>
        </row>
        <row r="824">
          <cell r="C824" t="str">
            <v>PGKSHCHS1</v>
          </cell>
          <cell r="D824">
            <v>254.55</v>
          </cell>
        </row>
        <row r="825">
          <cell r="C825" t="str">
            <v>PGKSHCJB1</v>
          </cell>
          <cell r="D825">
            <v>181.62333333333333</v>
          </cell>
        </row>
        <row r="826">
          <cell r="C826" t="str">
            <v>PGKSHMHC1</v>
          </cell>
          <cell r="D826">
            <v>256.8</v>
          </cell>
        </row>
        <row r="827">
          <cell r="C827" t="str">
            <v>PGKSHMHS1</v>
          </cell>
          <cell r="D827">
            <v>282.45</v>
          </cell>
        </row>
        <row r="828">
          <cell r="C828" t="str">
            <v>PGKSHS1</v>
          </cell>
          <cell r="D828">
            <v>179.54</v>
          </cell>
        </row>
        <row r="829">
          <cell r="C829" t="str">
            <v>PGKS-LFS1-P2</v>
          </cell>
          <cell r="D829">
            <v>150.54</v>
          </cell>
        </row>
        <row r="830">
          <cell r="C830" t="str">
            <v>PGKS-LFSAHGSFWS1</v>
          </cell>
          <cell r="D830">
            <v>323.22230769230765</v>
          </cell>
        </row>
        <row r="831">
          <cell r="C831" t="str">
            <v>PGKS-LFSFMT1</v>
          </cell>
          <cell r="D831">
            <v>102.92999999999999</v>
          </cell>
        </row>
        <row r="832">
          <cell r="C832" t="str">
            <v>PGKS-LFSFSM01</v>
          </cell>
          <cell r="D832">
            <v>133.41999999999999</v>
          </cell>
        </row>
        <row r="833">
          <cell r="C833" t="str">
            <v>PGKS-LFSFSM1</v>
          </cell>
          <cell r="D833">
            <v>102.92999999999999</v>
          </cell>
        </row>
        <row r="834">
          <cell r="C834" t="str">
            <v>PGKS-LFSFW1</v>
          </cell>
          <cell r="D834">
            <v>113.94999999999999</v>
          </cell>
        </row>
        <row r="835">
          <cell r="C835" t="str">
            <v>PGKS-LFSFWFMT1</v>
          </cell>
          <cell r="D835">
            <v>141.61000000000001</v>
          </cell>
        </row>
        <row r="836">
          <cell r="C836" t="str">
            <v>PGKS-LFSFWFSFSM1</v>
          </cell>
          <cell r="D836">
            <v>232.64</v>
          </cell>
        </row>
        <row r="837">
          <cell r="C837" t="str">
            <v>PGKS-LFSFWFSM1</v>
          </cell>
          <cell r="D837">
            <v>172.1</v>
          </cell>
        </row>
        <row r="838">
          <cell r="C838" t="str">
            <v>PGKS-LFSHS1</v>
          </cell>
          <cell r="D838">
            <v>175.93</v>
          </cell>
        </row>
        <row r="839">
          <cell r="C839" t="str">
            <v>PGKSNOCS1-P2</v>
          </cell>
          <cell r="D839">
            <v>100.92</v>
          </cell>
        </row>
        <row r="840">
          <cell r="C840" t="str">
            <v>PGKSNOCSFFWFMT1</v>
          </cell>
          <cell r="D840">
            <v>137.49</v>
          </cell>
        </row>
        <row r="841">
          <cell r="C841" t="str">
            <v>PGKSNOCSFWDC1</v>
          </cell>
          <cell r="D841">
            <v>183.67000000000002</v>
          </cell>
        </row>
        <row r="842">
          <cell r="C842" t="str">
            <v>PGKSNOCSFWFMT1</v>
          </cell>
          <cell r="D842">
            <v>116.8</v>
          </cell>
        </row>
        <row r="843">
          <cell r="C843" t="str">
            <v>PGKS-RAAHGS1-P2</v>
          </cell>
          <cell r="D843">
            <v>463.98</v>
          </cell>
        </row>
        <row r="844">
          <cell r="C844" t="str">
            <v>PGKS-RAHC1-P2</v>
          </cell>
          <cell r="D844">
            <v>107.33999999999999</v>
          </cell>
        </row>
        <row r="845">
          <cell r="C845" t="str">
            <v>PGKS-RAHHM1-P2</v>
          </cell>
          <cell r="D845">
            <v>121.8</v>
          </cell>
        </row>
        <row r="846">
          <cell r="C846" t="str">
            <v>PGKS-RAHSC1</v>
          </cell>
          <cell r="D846">
            <v>106.81</v>
          </cell>
        </row>
        <row r="847">
          <cell r="C847" t="str">
            <v>PGKS-SCSAAS01</v>
          </cell>
          <cell r="D847">
            <v>127.044</v>
          </cell>
        </row>
        <row r="848">
          <cell r="C848" t="str">
            <v>PGKS-SCSAAS1</v>
          </cell>
          <cell r="D848">
            <v>127.044</v>
          </cell>
        </row>
        <row r="849">
          <cell r="C849" t="str">
            <v>PGKS-SCSFFW1</v>
          </cell>
          <cell r="D849">
            <v>135.06</v>
          </cell>
        </row>
        <row r="850">
          <cell r="C850" t="str">
            <v>PGKS-SCSFMT1</v>
          </cell>
          <cell r="D850">
            <v>103.35</v>
          </cell>
        </row>
        <row r="851">
          <cell r="C851" t="str">
            <v>PGKS-SCSFMTFSM1</v>
          </cell>
          <cell r="D851">
            <v>161.5</v>
          </cell>
        </row>
        <row r="852">
          <cell r="C852" t="str">
            <v>PGKS-SCSFMTFW1</v>
          </cell>
          <cell r="D852">
            <v>142.03</v>
          </cell>
        </row>
        <row r="853">
          <cell r="C853" t="str">
            <v>PGKS-SCSFS1</v>
          </cell>
          <cell r="D853">
            <v>136.22999999999999</v>
          </cell>
        </row>
        <row r="854">
          <cell r="C854" t="str">
            <v>PGKS-SCSFSM1</v>
          </cell>
          <cell r="D854">
            <v>133.84</v>
          </cell>
        </row>
        <row r="855">
          <cell r="C855" t="str">
            <v>PGKS-SCSFW1</v>
          </cell>
          <cell r="D855">
            <v>114.37</v>
          </cell>
        </row>
        <row r="856">
          <cell r="C856" t="str">
            <v>PGKS-SCSFWNC1</v>
          </cell>
          <cell r="D856">
            <v>183.53</v>
          </cell>
        </row>
        <row r="857">
          <cell r="C857" t="str">
            <v>PGKS-SCSHS1</v>
          </cell>
          <cell r="D857">
            <v>176.35</v>
          </cell>
        </row>
        <row r="858">
          <cell r="C858" t="str">
            <v>PGKS-SCSK201</v>
          </cell>
          <cell r="D858">
            <v>197.18</v>
          </cell>
        </row>
        <row r="859">
          <cell r="C859" t="str">
            <v>PGKS-SCSOFGM1</v>
          </cell>
          <cell r="D859">
            <v>148.29</v>
          </cell>
        </row>
        <row r="860">
          <cell r="C860" t="str">
            <v>PGKS-SCSRRNO1</v>
          </cell>
          <cell r="D860">
            <v>156.32</v>
          </cell>
        </row>
        <row r="861">
          <cell r="C861" t="str">
            <v>PGKS-SCSSGFFW1</v>
          </cell>
          <cell r="D861">
            <v>142.58999999999997</v>
          </cell>
        </row>
        <row r="862">
          <cell r="C862" t="str">
            <v>PGKSSERUM30</v>
          </cell>
          <cell r="D862">
            <v>52.010000000000005</v>
          </cell>
        </row>
        <row r="863">
          <cell r="C863" t="str">
            <v>PGKSSERUM50</v>
          </cell>
          <cell r="D863">
            <v>60</v>
          </cell>
        </row>
        <row r="864">
          <cell r="C864" t="str">
            <v>PGKS-SHCAHGS1</v>
          </cell>
          <cell r="D864">
            <v>190.6045</v>
          </cell>
        </row>
        <row r="865">
          <cell r="C865" t="str">
            <v>PGKSSSERUM30-P2</v>
          </cell>
          <cell r="D865">
            <v>104.02000000000001</v>
          </cell>
        </row>
        <row r="866">
          <cell r="C866" t="str">
            <v>PGKSSSERUM50-P2</v>
          </cell>
          <cell r="D866">
            <v>120</v>
          </cell>
        </row>
        <row r="867">
          <cell r="C867" t="str">
            <v>PGKTOFFW1</v>
          </cell>
          <cell r="D867">
            <v>165.72</v>
          </cell>
        </row>
        <row r="868">
          <cell r="C868" t="str">
            <v>PGKTOFMTNCFW1</v>
          </cell>
          <cell r="D868">
            <v>241.85</v>
          </cell>
        </row>
        <row r="869">
          <cell r="C869" t="str">
            <v>PGKTOFSFW1</v>
          </cell>
          <cell r="D869">
            <v>205.57</v>
          </cell>
        </row>
        <row r="870">
          <cell r="C870" t="str">
            <v>PGKTOFWFMT1</v>
          </cell>
          <cell r="D870">
            <v>172.69</v>
          </cell>
        </row>
        <row r="871">
          <cell r="C871" t="str">
            <v>PGKTOFWNC1</v>
          </cell>
          <cell r="D871">
            <v>214.19</v>
          </cell>
        </row>
        <row r="872">
          <cell r="C872" t="str">
            <v>PGKUEC1-P2</v>
          </cell>
          <cell r="D872">
            <v>127.3</v>
          </cell>
        </row>
        <row r="873">
          <cell r="C873" t="str">
            <v>PGKUECDC1</v>
          </cell>
          <cell r="D873">
            <v>158.18</v>
          </cell>
        </row>
        <row r="874">
          <cell r="C874" t="str">
            <v>PGKUECFMT1</v>
          </cell>
          <cell r="D874">
            <v>91.31</v>
          </cell>
        </row>
        <row r="875">
          <cell r="C875" t="str">
            <v>PGKUECFMTFW1</v>
          </cell>
          <cell r="D875">
            <v>129.99</v>
          </cell>
        </row>
        <row r="876">
          <cell r="C876" t="str">
            <v>PGKUECNC1</v>
          </cell>
          <cell r="D876">
            <v>132.81</v>
          </cell>
        </row>
        <row r="877">
          <cell r="C877" t="str">
            <v>PGKVBABPPS1</v>
          </cell>
          <cell r="D877">
            <v>145.8411111111111</v>
          </cell>
        </row>
        <row r="878">
          <cell r="C878" t="str">
            <v>PGKVBDC1</v>
          </cell>
          <cell r="D878">
            <v>188.53000000000003</v>
          </cell>
        </row>
        <row r="879">
          <cell r="C879" t="str">
            <v>PGKVBFCC1</v>
          </cell>
          <cell r="D879">
            <v>348.7</v>
          </cell>
        </row>
        <row r="880">
          <cell r="C880" t="str">
            <v>PGKVBFEK1</v>
          </cell>
          <cell r="D880">
            <v>254.87</v>
          </cell>
        </row>
        <row r="881">
          <cell r="C881" t="str">
            <v>PGKVBFMTNCUEC1</v>
          </cell>
          <cell r="D881">
            <v>254.47</v>
          </cell>
        </row>
        <row r="882">
          <cell r="C882" t="str">
            <v>PGKVBNC1</v>
          </cell>
          <cell r="D882">
            <v>163.16</v>
          </cell>
        </row>
        <row r="883">
          <cell r="C883" t="str">
            <v>PGKVBNCNS1</v>
          </cell>
          <cell r="D883">
            <v>284.64999999999998</v>
          </cell>
        </row>
        <row r="884">
          <cell r="C884" t="str">
            <v>PGKVBR-DTDR</v>
          </cell>
          <cell r="D884">
            <v>348.7</v>
          </cell>
        </row>
        <row r="885">
          <cell r="C885" t="str">
            <v>PGKVBS20</v>
          </cell>
          <cell r="D885">
            <v>215.49</v>
          </cell>
        </row>
        <row r="886">
          <cell r="C886" t="str">
            <v>PGKVBS-AHGS1</v>
          </cell>
          <cell r="D886">
            <v>224.39230769230767</v>
          </cell>
        </row>
        <row r="887">
          <cell r="C887" t="str">
            <v>PGKVBS-AHGSSHC1</v>
          </cell>
          <cell r="D887">
            <v>284.28230769230765</v>
          </cell>
        </row>
        <row r="888">
          <cell r="C888" t="str">
            <v>PGKVBS-AVBS1</v>
          </cell>
          <cell r="D888">
            <v>170.61923076923074</v>
          </cell>
        </row>
        <row r="889">
          <cell r="C889" t="str">
            <v>PGKVBS-AVBSFWNC1</v>
          </cell>
          <cell r="D889">
            <v>278.45923076923077</v>
          </cell>
        </row>
        <row r="890">
          <cell r="C890" t="str">
            <v>PGKVBSHC1</v>
          </cell>
          <cell r="D890">
            <v>247.89</v>
          </cell>
        </row>
        <row r="891">
          <cell r="C891" t="str">
            <v>PGKVBUECNC1</v>
          </cell>
          <cell r="D891">
            <v>226.81</v>
          </cell>
        </row>
        <row r="892">
          <cell r="C892" t="str">
            <v>PGKVFT1</v>
          </cell>
          <cell r="D892">
            <v>52.924285714285716</v>
          </cell>
        </row>
        <row r="893">
          <cell r="C893" t="str">
            <v>PGKVFW1</v>
          </cell>
          <cell r="D893">
            <v>73.765999999999991</v>
          </cell>
        </row>
        <row r="894">
          <cell r="C894" t="str">
            <v>PGKZAAG</v>
          </cell>
          <cell r="D894">
            <v>54.45</v>
          </cell>
        </row>
        <row r="895">
          <cell r="C895" t="str">
            <v>PGKZAAG1N</v>
          </cell>
          <cell r="D895">
            <v>54.45</v>
          </cell>
        </row>
        <row r="896">
          <cell r="C896" t="str">
            <v>PGKZAAGFFW1</v>
          </cell>
          <cell r="D896">
            <v>113.82</v>
          </cell>
        </row>
        <row r="897">
          <cell r="C897" t="str">
            <v>PGKZAAGFW1</v>
          </cell>
          <cell r="D897">
            <v>93.13</v>
          </cell>
        </row>
        <row r="898">
          <cell r="C898" t="str">
            <v>PGKZAAGFWFMT1</v>
          </cell>
          <cell r="D898">
            <v>120.78999999999999</v>
          </cell>
        </row>
        <row r="899">
          <cell r="C899" t="str">
            <v>PGKZAAGFWFMTDC1</v>
          </cell>
          <cell r="D899">
            <v>215.32</v>
          </cell>
        </row>
        <row r="900">
          <cell r="C900" t="str">
            <v>PGRB-KFCFMT1</v>
          </cell>
          <cell r="D900">
            <v>122.19000000000001</v>
          </cell>
        </row>
        <row r="901">
          <cell r="C901" t="str">
            <v>PGSBMWGM1</v>
          </cell>
          <cell r="D901">
            <v>146.97846153846154</v>
          </cell>
        </row>
        <row r="902">
          <cell r="C902" t="str">
            <v>PGSBMWGSM1</v>
          </cell>
          <cell r="D902">
            <v>150.85000000000002</v>
          </cell>
        </row>
        <row r="903">
          <cell r="C903" t="str">
            <v>PGSBMWPRADM1</v>
          </cell>
          <cell r="D903">
            <v>159.68</v>
          </cell>
        </row>
        <row r="904">
          <cell r="C904" t="str">
            <v>PGSBMWVCRO1</v>
          </cell>
          <cell r="D904">
            <v>159.55000000000001</v>
          </cell>
        </row>
        <row r="905">
          <cell r="C905" t="str">
            <v>PGSCQ10ADFOFFW1</v>
          </cell>
          <cell r="D905">
            <v>147.29</v>
          </cell>
        </row>
        <row r="906">
          <cell r="C906" t="str">
            <v>PGSCQ10ADFOGSM1</v>
          </cell>
          <cell r="D906">
            <v>156.01</v>
          </cell>
        </row>
        <row r="907">
          <cell r="C907" t="str">
            <v>PGSCQ10ADFOGSMTMFFW1</v>
          </cell>
          <cell r="D907">
            <v>249.51999999999998</v>
          </cell>
        </row>
        <row r="908">
          <cell r="C908" t="str">
            <v>PGSCQ10ADFOPRADCSFFWTM1</v>
          </cell>
          <cell r="D908">
            <v>251.99</v>
          </cell>
        </row>
        <row r="909">
          <cell r="C909" t="str">
            <v>PGSCQ10ADFOTM1</v>
          </cell>
          <cell r="D909">
            <v>117.84</v>
          </cell>
        </row>
        <row r="910">
          <cell r="C910" t="str">
            <v>PGSFFWP1</v>
          </cell>
          <cell r="D910">
            <v>122.96</v>
          </cell>
        </row>
        <row r="911">
          <cell r="C911" t="str">
            <v>PGSFFWPRADM1</v>
          </cell>
          <cell r="D911">
            <v>140.51</v>
          </cell>
        </row>
        <row r="912">
          <cell r="C912" t="str">
            <v>PGSFFWROUESGSM1</v>
          </cell>
          <cell r="D912">
            <v>207.49</v>
          </cell>
        </row>
        <row r="913">
          <cell r="C913" t="str">
            <v>PGSFFWTMUECGCS1</v>
          </cell>
          <cell r="D913">
            <v>223.84999999999997</v>
          </cell>
        </row>
        <row r="914">
          <cell r="C914" t="str">
            <v>PGSFFWUECPRADM1</v>
          </cell>
          <cell r="D914">
            <v>210.12</v>
          </cell>
        </row>
        <row r="915">
          <cell r="C915" t="str">
            <v>PGSFWFMT24KFM</v>
          </cell>
          <cell r="D915">
            <v>156.76999999999998</v>
          </cell>
        </row>
        <row r="916">
          <cell r="C916" t="str">
            <v>PGSGCSFFW1</v>
          </cell>
          <cell r="D916">
            <v>122.21</v>
          </cell>
        </row>
        <row r="917">
          <cell r="C917" t="str">
            <v>PGSGCSFFWGSMTM1</v>
          </cell>
          <cell r="D917">
            <v>224.44</v>
          </cell>
        </row>
        <row r="918">
          <cell r="C918" t="str">
            <v>PGSGCSFFWTM1</v>
          </cell>
          <cell r="D918">
            <v>154.23999999999998</v>
          </cell>
        </row>
        <row r="919">
          <cell r="C919" t="str">
            <v>PGSGCSTMROUES1</v>
          </cell>
          <cell r="D919">
            <v>168.57</v>
          </cell>
        </row>
        <row r="920">
          <cell r="C920" t="str">
            <v>PGSGCSUEC1</v>
          </cell>
          <cell r="D920">
            <v>130.34</v>
          </cell>
        </row>
        <row r="921">
          <cell r="C921" t="str">
            <v>PGSGMGFO</v>
          </cell>
          <cell r="D921">
            <v>151.05846153846156</v>
          </cell>
        </row>
        <row r="922">
          <cell r="C922" t="str">
            <v>PGSGMGSM1</v>
          </cell>
          <cell r="D922">
            <v>136.52846153846156</v>
          </cell>
        </row>
        <row r="923">
          <cell r="C923" t="str">
            <v>PGSGMOISTURIZER1-P2</v>
          </cell>
          <cell r="D923">
            <v>132.65692307692311</v>
          </cell>
        </row>
        <row r="924">
          <cell r="C924" t="str">
            <v>PGSGMPRGFO1</v>
          </cell>
          <cell r="D924">
            <v>152.13846153846157</v>
          </cell>
        </row>
        <row r="925">
          <cell r="C925" t="str">
            <v>PGSGMTMCQ10ADFO1</v>
          </cell>
          <cell r="D925">
            <v>184.16846153846154</v>
          </cell>
        </row>
        <row r="926">
          <cell r="C926" t="str">
            <v>PGSGMTMROUES1</v>
          </cell>
          <cell r="D926">
            <v>174.16846153846154</v>
          </cell>
        </row>
        <row r="927">
          <cell r="C927" t="str">
            <v>PGSGSMASK1-P2</v>
          </cell>
          <cell r="D927">
            <v>140.4</v>
          </cell>
        </row>
        <row r="928">
          <cell r="C928" t="str">
            <v>PGSGSMCQ10ADFOTM1</v>
          </cell>
          <cell r="D928">
            <v>188.04000000000002</v>
          </cell>
        </row>
        <row r="929">
          <cell r="C929" t="str">
            <v>PGSGSMFFW1</v>
          </cell>
          <cell r="D929">
            <v>131.68</v>
          </cell>
        </row>
        <row r="930">
          <cell r="C930" t="str">
            <v>PGSGSMPRADCSTMFFW1</v>
          </cell>
          <cell r="D930">
            <v>236.38</v>
          </cell>
        </row>
        <row r="931">
          <cell r="C931" t="str">
            <v>PGSGSMPRADM1</v>
          </cell>
          <cell r="D931">
            <v>149.23000000000002</v>
          </cell>
        </row>
        <row r="932">
          <cell r="C932" t="str">
            <v>PGSGSMPRGFOTM1</v>
          </cell>
          <cell r="D932">
            <v>186.96</v>
          </cell>
        </row>
        <row r="933">
          <cell r="C933" t="str">
            <v>PGSJBCQ10ADFOPRADCSFFWTM1</v>
          </cell>
          <cell r="D933">
            <v>279.72333333333336</v>
          </cell>
        </row>
        <row r="934">
          <cell r="C934" t="str">
            <v>PGSJBFFW1</v>
          </cell>
          <cell r="D934">
            <v>89.213333333333324</v>
          </cell>
        </row>
        <row r="935">
          <cell r="C935" t="str">
            <v>PGSJBGCS1</v>
          </cell>
          <cell r="D935">
            <v>88.463333333333324</v>
          </cell>
        </row>
        <row r="936">
          <cell r="C936" t="str">
            <v>PGSJBGSM1</v>
          </cell>
          <cell r="D936">
            <v>97.933333333333337</v>
          </cell>
        </row>
        <row r="937">
          <cell r="C937" t="str">
            <v>PGSJBGSMPRADCSTMFFW1</v>
          </cell>
          <cell r="D937">
            <v>264.11333333333334</v>
          </cell>
        </row>
        <row r="938">
          <cell r="C938" t="str">
            <v>PGSJBPRADCSFFWUECPRADMCQ10ADFOIL1</v>
          </cell>
          <cell r="D938">
            <v>396.33333333333331</v>
          </cell>
        </row>
        <row r="939">
          <cell r="C939" t="str">
            <v>PGSJBPRADM1</v>
          </cell>
          <cell r="D939">
            <v>106.76333333333334</v>
          </cell>
        </row>
        <row r="940">
          <cell r="C940" t="str">
            <v>PGSJBPRADMFFWTMGSM1</v>
          </cell>
          <cell r="D940">
            <v>200.27333333333331</v>
          </cell>
        </row>
        <row r="941">
          <cell r="C941" t="str">
            <v>PGSJBROUESTMFFWGM1</v>
          </cell>
          <cell r="D941">
            <v>263.38179487179491</v>
          </cell>
        </row>
        <row r="942">
          <cell r="C942" t="str">
            <v>PGSJBSOFFWTMGSM1</v>
          </cell>
          <cell r="D942">
            <v>279.22333333333336</v>
          </cell>
        </row>
        <row r="943">
          <cell r="C943" t="str">
            <v>PGSJBTMFFWPRGFO1</v>
          </cell>
          <cell r="D943">
            <v>272.30179487179493</v>
          </cell>
        </row>
        <row r="944">
          <cell r="C944" t="str">
            <v>PGSJBUEC1</v>
          </cell>
          <cell r="D944">
            <v>97.343333333333334</v>
          </cell>
        </row>
        <row r="945">
          <cell r="C945" t="str">
            <v>PGSLBLBBLSM</v>
          </cell>
          <cell r="D945">
            <v>63.33</v>
          </cell>
        </row>
        <row r="946">
          <cell r="C946" t="str">
            <v>PGSLBLBELRBLSM</v>
          </cell>
          <cell r="D946">
            <v>92.15</v>
          </cell>
        </row>
        <row r="947">
          <cell r="C947" t="str">
            <v>PGSLBLBPLB</v>
          </cell>
          <cell r="D947">
            <v>57.25</v>
          </cell>
        </row>
        <row r="948">
          <cell r="C948" t="str">
            <v>PGSLBLBPLSMBLSM</v>
          </cell>
          <cell r="D948">
            <v>100.4</v>
          </cell>
        </row>
        <row r="949">
          <cell r="C949" t="str">
            <v>PGSLBLP2</v>
          </cell>
          <cell r="D949">
            <v>52.54</v>
          </cell>
        </row>
        <row r="950">
          <cell r="C950" t="str">
            <v>PGSLBLPPLSC</v>
          </cell>
          <cell r="D950">
            <v>53.41</v>
          </cell>
        </row>
        <row r="951">
          <cell r="C951" t="str">
            <v>PGSLBLPPLSC1</v>
          </cell>
          <cell r="D951">
            <v>53.41</v>
          </cell>
        </row>
        <row r="952">
          <cell r="C952" t="str">
            <v>PGSLBLS2</v>
          </cell>
          <cell r="D952">
            <v>62.62</v>
          </cell>
        </row>
        <row r="953">
          <cell r="C953" t="str">
            <v>PGSLBLSBLB</v>
          </cell>
          <cell r="D953">
            <v>57.58</v>
          </cell>
        </row>
        <row r="954">
          <cell r="C954" t="str">
            <v>PGSLBLSC2</v>
          </cell>
          <cell r="D954">
            <v>53.829999999999991</v>
          </cell>
        </row>
        <row r="955">
          <cell r="C955" t="str">
            <v>PGSLBLSCBLSM</v>
          </cell>
          <cell r="D955">
            <v>63.974999999999994</v>
          </cell>
        </row>
        <row r="956">
          <cell r="C956" t="str">
            <v>PGSLBLSM2</v>
          </cell>
          <cell r="D956">
            <v>74.12</v>
          </cell>
        </row>
        <row r="957">
          <cell r="C957" t="str">
            <v>PGSLBLSMELPR</v>
          </cell>
          <cell r="D957">
            <v>65.88</v>
          </cell>
        </row>
        <row r="958">
          <cell r="C958" t="str">
            <v>PGSLBLSMPLSM</v>
          </cell>
          <cell r="D958">
            <v>74.13</v>
          </cell>
        </row>
        <row r="959">
          <cell r="C959" t="str">
            <v>PGSLBLSPLS</v>
          </cell>
          <cell r="D959">
            <v>62.37</v>
          </cell>
        </row>
        <row r="960">
          <cell r="C960" t="str">
            <v>PGSLBLSPLSC</v>
          </cell>
          <cell r="D960">
            <v>58.45</v>
          </cell>
        </row>
        <row r="961">
          <cell r="C961" t="str">
            <v>PGSLBLSPLSC1</v>
          </cell>
          <cell r="D961">
            <v>58.45</v>
          </cell>
        </row>
        <row r="962">
          <cell r="C962" t="str">
            <v>PGSLBLSPLSCBLSM</v>
          </cell>
          <cell r="D962">
            <v>95.51</v>
          </cell>
        </row>
        <row r="963">
          <cell r="C963" t="str">
            <v>PGSLELPR2</v>
          </cell>
          <cell r="D963">
            <v>28.82</v>
          </cell>
        </row>
        <row r="964">
          <cell r="C964" t="str">
            <v>PGSLKIT</v>
          </cell>
          <cell r="D964">
            <v>94.64</v>
          </cell>
        </row>
        <row r="965">
          <cell r="C965" t="str">
            <v>PGSLKIT-SMYT</v>
          </cell>
          <cell r="D965">
            <v>94.64</v>
          </cell>
        </row>
        <row r="966">
          <cell r="C966" t="str">
            <v>PGSL-KSBGUMPB1</v>
          </cell>
          <cell r="D966">
            <v>94.64</v>
          </cell>
        </row>
        <row r="967">
          <cell r="C967" t="str">
            <v>PGSL-KSPMINTPB1</v>
          </cell>
          <cell r="D967">
            <v>90.4</v>
          </cell>
        </row>
        <row r="968">
          <cell r="C968" t="str">
            <v>PGSL-KSPPOUTPB1</v>
          </cell>
          <cell r="D968">
            <v>91.114999999999995</v>
          </cell>
        </row>
        <row r="969">
          <cell r="C969" t="str">
            <v>PGSL-KSPTALKPB1</v>
          </cell>
          <cell r="D969">
            <v>96.94</v>
          </cell>
        </row>
        <row r="970">
          <cell r="C970" t="str">
            <v>PGSL-LIPEXKITBOX1</v>
          </cell>
          <cell r="D970">
            <v>150.29499999999999</v>
          </cell>
        </row>
        <row r="971">
          <cell r="C971" t="str">
            <v>PGSLPLBELRBLSM</v>
          </cell>
          <cell r="D971">
            <v>26.19</v>
          </cell>
        </row>
        <row r="972">
          <cell r="C972" t="str">
            <v>PGSLPLBPLSM</v>
          </cell>
          <cell r="D972">
            <v>63.260000000000005</v>
          </cell>
        </row>
        <row r="973">
          <cell r="C973" t="str">
            <v>PGSLPLS2</v>
          </cell>
          <cell r="D973">
            <v>62.12</v>
          </cell>
        </row>
        <row r="974">
          <cell r="C974" t="str">
            <v>PGSLPLSC2</v>
          </cell>
          <cell r="D974">
            <v>54.28</v>
          </cell>
        </row>
        <row r="975">
          <cell r="C975" t="str">
            <v>PGSLPLSCBLSC</v>
          </cell>
          <cell r="D975">
            <v>54.054999999999993</v>
          </cell>
        </row>
        <row r="976">
          <cell r="C976" t="str">
            <v>PGSLPLSCBLSM</v>
          </cell>
          <cell r="D976">
            <v>64.2</v>
          </cell>
        </row>
        <row r="977">
          <cell r="C977" t="str">
            <v>PGSLPLSMPLSPLB</v>
          </cell>
          <cell r="D977">
            <v>68.13</v>
          </cell>
        </row>
        <row r="978">
          <cell r="C978" t="str">
            <v>PGSL-SRAHC1-P2</v>
          </cell>
          <cell r="D978">
            <v>98.12</v>
          </cell>
        </row>
        <row r="979">
          <cell r="C979" t="str">
            <v>PGSL-SRAHM1-P2</v>
          </cell>
          <cell r="D979">
            <v>119.64</v>
          </cell>
        </row>
        <row r="980">
          <cell r="C980" t="str">
            <v>PGSL-SRAHS1-P2</v>
          </cell>
          <cell r="D980">
            <v>101.70842105263155</v>
          </cell>
        </row>
        <row r="981">
          <cell r="C981" t="str">
            <v>PGSL-SRAHSC1</v>
          </cell>
          <cell r="D981">
            <v>99.91421052631577</v>
          </cell>
        </row>
        <row r="982">
          <cell r="C982" t="str">
            <v>PGSL-SRAHSM1</v>
          </cell>
          <cell r="D982">
            <v>110.67421052631578</v>
          </cell>
        </row>
        <row r="983">
          <cell r="C983" t="str">
            <v>PGSL-SREO1-P2</v>
          </cell>
          <cell r="D983">
            <v>90.948000000000008</v>
          </cell>
        </row>
        <row r="984">
          <cell r="C984" t="str">
            <v>PGSL-SRHGO1-P2</v>
          </cell>
          <cell r="D984">
            <v>123.99555555555555</v>
          </cell>
        </row>
        <row r="985">
          <cell r="C985" t="str">
            <v>PGS-NGSS50-P2</v>
          </cell>
          <cell r="D985">
            <v>100.12</v>
          </cell>
        </row>
        <row r="986">
          <cell r="C986" t="str">
            <v>PGSOBMW1</v>
          </cell>
          <cell r="D986">
            <v>168.43</v>
          </cell>
        </row>
        <row r="987">
          <cell r="C987" t="str">
            <v>PGSOFFW1</v>
          </cell>
          <cell r="D987">
            <v>149.26</v>
          </cell>
        </row>
        <row r="988">
          <cell r="C988" t="str">
            <v>PGSOFFWPRADM1</v>
          </cell>
          <cell r="D988">
            <v>228.29</v>
          </cell>
        </row>
        <row r="989">
          <cell r="C989" t="str">
            <v>PGSOFFWTM1</v>
          </cell>
          <cell r="D989">
            <v>181.29</v>
          </cell>
        </row>
        <row r="990">
          <cell r="C990" t="str">
            <v>PGSOFFWTMGSM1</v>
          </cell>
          <cell r="D990">
            <v>251.49</v>
          </cell>
        </row>
        <row r="991">
          <cell r="C991" t="str">
            <v>PGSPRADCSFFW1</v>
          </cell>
          <cell r="D991">
            <v>134.15</v>
          </cell>
        </row>
        <row r="992">
          <cell r="C992" t="str">
            <v>PGSPRADCSFFWUECPRADMCQ10ADFOIL1</v>
          </cell>
          <cell r="D992">
            <v>368.6</v>
          </cell>
        </row>
        <row r="993">
          <cell r="C993" t="str">
            <v>PGSPRADCSROUESFFW1</v>
          </cell>
          <cell r="D993">
            <v>209.96</v>
          </cell>
        </row>
        <row r="994">
          <cell r="C994" t="str">
            <v>PGSPRADCSTM1</v>
          </cell>
          <cell r="D994">
            <v>104.7</v>
          </cell>
        </row>
        <row r="995">
          <cell r="C995" t="str">
            <v>PGSPRADCSTMFFW1</v>
          </cell>
          <cell r="D995">
            <v>166.18</v>
          </cell>
        </row>
        <row r="996">
          <cell r="C996" t="str">
            <v>PGSPRADMBMW1</v>
          </cell>
          <cell r="D996">
            <v>159.68</v>
          </cell>
        </row>
        <row r="997">
          <cell r="C997" t="str">
            <v>PGSPRADMFFWTM1</v>
          </cell>
          <cell r="D997">
            <v>172.54</v>
          </cell>
        </row>
        <row r="998">
          <cell r="C998" t="str">
            <v>PGSPRADMFFWTMGSM1</v>
          </cell>
          <cell r="D998">
            <v>242.74</v>
          </cell>
        </row>
        <row r="999">
          <cell r="C999" t="str">
            <v>PGSPRADMFFWTMPRGFCO1</v>
          </cell>
          <cell r="D999">
            <v>257.27</v>
          </cell>
        </row>
        <row r="1000">
          <cell r="C1000" t="str">
            <v>PGSPRGFOBMW1</v>
          </cell>
          <cell r="D1000">
            <v>165.38</v>
          </cell>
        </row>
        <row r="1001">
          <cell r="C1001" t="str">
            <v>PGSPRGFOFFW1</v>
          </cell>
          <cell r="D1001">
            <v>146.21</v>
          </cell>
        </row>
        <row r="1002">
          <cell r="C1002" t="str">
            <v>PGSPRGFOGSM1</v>
          </cell>
          <cell r="D1002">
            <v>154.93</v>
          </cell>
        </row>
        <row r="1003">
          <cell r="C1003" t="str">
            <v>PGSPRGFOTMFFW1</v>
          </cell>
          <cell r="D1003">
            <v>178.24</v>
          </cell>
        </row>
        <row r="1004">
          <cell r="C1004" t="str">
            <v>PGSPRGFOTMGM1</v>
          </cell>
          <cell r="D1004">
            <v>183.08846153846156</v>
          </cell>
        </row>
        <row r="1005">
          <cell r="C1005" t="str">
            <v>PGSR DTDR</v>
          </cell>
          <cell r="D1005">
            <v>257.7717948717949</v>
          </cell>
        </row>
        <row r="1006">
          <cell r="C1006" t="str">
            <v>PGSR-DTDR</v>
          </cell>
          <cell r="D1006">
            <v>257.7717948717949</v>
          </cell>
        </row>
        <row r="1007">
          <cell r="C1007" t="str">
            <v>PGSR-GNR</v>
          </cell>
          <cell r="D1007">
            <v>235.22333333333333</v>
          </cell>
        </row>
        <row r="1008">
          <cell r="C1008" t="str">
            <v>PGSR-MR</v>
          </cell>
          <cell r="D1008">
            <v>237.85333333333335</v>
          </cell>
        </row>
        <row r="1009">
          <cell r="C1009" t="str">
            <v>PGSROUESERUM1-P2</v>
          </cell>
          <cell r="D1009">
            <v>151.62</v>
          </cell>
        </row>
        <row r="1010">
          <cell r="C1010" t="str">
            <v>PGSROUESFFW1</v>
          </cell>
          <cell r="D1010">
            <v>137.29</v>
          </cell>
        </row>
        <row r="1011">
          <cell r="C1011" t="str">
            <v>PGSROUESFFWTM1</v>
          </cell>
          <cell r="D1011">
            <v>169.32</v>
          </cell>
        </row>
        <row r="1012">
          <cell r="C1012" t="str">
            <v>PGSROUESGCS1</v>
          </cell>
          <cell r="D1012">
            <v>136.54</v>
          </cell>
        </row>
        <row r="1013">
          <cell r="C1013" t="str">
            <v>PGSROUESPRADCSTM1</v>
          </cell>
          <cell r="D1013">
            <v>180.51000000000002</v>
          </cell>
        </row>
        <row r="1014">
          <cell r="C1014" t="str">
            <v>PGSROUESTMFFWGM1</v>
          </cell>
          <cell r="D1014">
            <v>235.64846153846156</v>
          </cell>
        </row>
        <row r="1015">
          <cell r="C1015" t="str">
            <v>PGSRP DTDR</v>
          </cell>
          <cell r="D1015">
            <v>396.33333333333331</v>
          </cell>
        </row>
        <row r="1016">
          <cell r="C1016" t="str">
            <v>PGSRP-DTDR</v>
          </cell>
          <cell r="D1016">
            <v>396.33333333333331</v>
          </cell>
        </row>
        <row r="1017">
          <cell r="C1017" t="str">
            <v>PGSRP-GNR</v>
          </cell>
          <cell r="D1017">
            <v>327.98333333333335</v>
          </cell>
        </row>
        <row r="1018">
          <cell r="C1018" t="str">
            <v>PGSR-SR</v>
          </cell>
          <cell r="D1018">
            <v>187.57179487179488</v>
          </cell>
        </row>
        <row r="1019">
          <cell r="C1019" t="str">
            <v>PGSS-UMSST1-P2</v>
          </cell>
          <cell r="D1019">
            <v>225.26</v>
          </cell>
        </row>
        <row r="1020">
          <cell r="C1020" t="str">
            <v>PGSTMFFWPRGFO1</v>
          </cell>
          <cell r="D1020">
            <v>244.56846153846158</v>
          </cell>
        </row>
        <row r="1021">
          <cell r="C1021" t="str">
            <v>PGSTMGM1</v>
          </cell>
          <cell r="D1021">
            <v>98.358461538461555</v>
          </cell>
        </row>
        <row r="1022">
          <cell r="C1022" t="str">
            <v>PGSTMP1</v>
          </cell>
          <cell r="D1022">
            <v>64.06</v>
          </cell>
        </row>
        <row r="1023">
          <cell r="C1023" t="str">
            <v>PGSTMPRADM1</v>
          </cell>
          <cell r="D1023">
            <v>111.06</v>
          </cell>
        </row>
        <row r="1024">
          <cell r="C1024" t="str">
            <v>PGSTMPRGFO1</v>
          </cell>
          <cell r="D1024">
            <v>116.76</v>
          </cell>
        </row>
        <row r="1025">
          <cell r="C1025" t="str">
            <v>PGSTMSO1</v>
          </cell>
          <cell r="D1025">
            <v>119.81</v>
          </cell>
        </row>
        <row r="1026">
          <cell r="C1026" t="str">
            <v>PGSUECFFW1</v>
          </cell>
          <cell r="D1026">
            <v>131.09</v>
          </cell>
        </row>
        <row r="1027">
          <cell r="C1027" t="str">
            <v>PGSUECFFWGM1</v>
          </cell>
          <cell r="D1027">
            <v>197.41846153846154</v>
          </cell>
        </row>
        <row r="1028">
          <cell r="C1028" t="str">
            <v>PGSUECGCSFFWTM1</v>
          </cell>
          <cell r="D1028">
            <v>223.84999999999997</v>
          </cell>
        </row>
        <row r="1029">
          <cell r="C1029" t="str">
            <v>PGSUECPRADCS1</v>
          </cell>
          <cell r="D1029">
            <v>142.28</v>
          </cell>
        </row>
        <row r="1030">
          <cell r="C1030" t="str">
            <v>PGSUECPRADCSFFW1</v>
          </cell>
          <cell r="D1030">
            <v>203.76</v>
          </cell>
        </row>
        <row r="1031">
          <cell r="C1031" t="str">
            <v>PGSUECREAM1-P2</v>
          </cell>
          <cell r="D1031">
            <v>139.22</v>
          </cell>
        </row>
        <row r="1032">
          <cell r="C1032" t="str">
            <v>PGSVBFFWROUESGSM1</v>
          </cell>
          <cell r="D1032">
            <v>301.49</v>
          </cell>
        </row>
        <row r="1033">
          <cell r="C1033" t="str">
            <v>PGSVBGCSFFW1</v>
          </cell>
          <cell r="D1033">
            <v>216.20999999999998</v>
          </cell>
        </row>
        <row r="1034">
          <cell r="C1034" t="str">
            <v>PGSVBGM1</v>
          </cell>
          <cell r="D1034">
            <v>160.32846153846157</v>
          </cell>
        </row>
        <row r="1035">
          <cell r="C1035" t="str">
            <v>PGSVBROUES1</v>
          </cell>
          <cell r="D1035">
            <v>169.81</v>
          </cell>
        </row>
        <row r="1036">
          <cell r="C1036" t="str">
            <v>PGSVCROFFW1</v>
          </cell>
          <cell r="D1036">
            <v>140.38</v>
          </cell>
        </row>
        <row r="1037">
          <cell r="C1037" t="str">
            <v>PGSVCROFFWTM1</v>
          </cell>
          <cell r="D1037">
            <v>172.41</v>
          </cell>
        </row>
        <row r="1038">
          <cell r="C1038" t="str">
            <v>PGSVCROFFWTMPRADM1</v>
          </cell>
          <cell r="D1038">
            <v>251.44</v>
          </cell>
        </row>
        <row r="1039">
          <cell r="C1039" t="str">
            <v>PGSVCROGMTM1</v>
          </cell>
          <cell r="D1039">
            <v>177.25846153846155</v>
          </cell>
        </row>
        <row r="1040">
          <cell r="C1040" t="str">
            <v>PGSVCROTM1</v>
          </cell>
          <cell r="D1040">
            <v>110.93</v>
          </cell>
        </row>
        <row r="1041">
          <cell r="C1041" t="str">
            <v>PGVBLBW1</v>
          </cell>
          <cell r="D1041">
            <v>130.9</v>
          </cell>
        </row>
        <row r="1042">
          <cell r="C1042" t="str">
            <v>PGVBLBWHNC1</v>
          </cell>
          <cell r="D1042">
            <v>158.30000000000001</v>
          </cell>
        </row>
        <row r="1043">
          <cell r="C1043" t="str">
            <v>PGVBLFC1</v>
          </cell>
          <cell r="D1043">
            <v>115.65222222222222</v>
          </cell>
        </row>
        <row r="1044">
          <cell r="C1044" t="str">
            <v>PGVBLHNC1</v>
          </cell>
          <cell r="D1044">
            <v>89.85</v>
          </cell>
        </row>
        <row r="1045">
          <cell r="C1045" t="str">
            <v>PGVBLP1</v>
          </cell>
          <cell r="D1045">
            <v>124.9</v>
          </cell>
        </row>
        <row r="1046">
          <cell r="C1046" t="str">
            <v>PGVBWC1</v>
          </cell>
          <cell r="D1046">
            <v>68.45</v>
          </cell>
        </row>
        <row r="1047">
          <cell r="C1047" t="str">
            <v>PGVBWP1</v>
          </cell>
          <cell r="D1047">
            <v>136.9</v>
          </cell>
        </row>
        <row r="1048">
          <cell r="C1048" t="str">
            <v>PGVFC1-P2</v>
          </cell>
          <cell r="D1048">
            <v>106.40444444444444</v>
          </cell>
        </row>
        <row r="1049">
          <cell r="C1049" t="str">
            <v>PGVFCBLNC1</v>
          </cell>
          <cell r="D1049">
            <v>157.52222222222221</v>
          </cell>
        </row>
        <row r="1050">
          <cell r="C1050" t="str">
            <v>PGVFCHNC1</v>
          </cell>
          <cell r="D1050">
            <v>80.602222222222224</v>
          </cell>
        </row>
        <row r="1051">
          <cell r="C1051" t="str">
            <v>PGVFCNGC1</v>
          </cell>
          <cell r="D1051">
            <v>122.80555555555554</v>
          </cell>
        </row>
        <row r="1052">
          <cell r="C1052" t="str">
            <v>PGVFCNGC1JB</v>
          </cell>
          <cell r="D1052">
            <v>122.80555555555554</v>
          </cell>
        </row>
        <row r="1053">
          <cell r="C1053" t="str">
            <v>PGVFCSAMHAHSSJB1</v>
          </cell>
          <cell r="D1053" t="e">
            <v>#N/A</v>
          </cell>
        </row>
        <row r="1054">
          <cell r="C1054" t="str">
            <v>PGVFCSAMNGCJB1</v>
          </cell>
          <cell r="D1054">
            <v>92.62555555555555</v>
          </cell>
        </row>
        <row r="1055">
          <cell r="C1055" t="str">
            <v>PGVFFW1</v>
          </cell>
          <cell r="D1055">
            <v>72.22</v>
          </cell>
        </row>
        <row r="1056">
          <cell r="C1056" t="str">
            <v>PGVFFW12</v>
          </cell>
          <cell r="D1056">
            <v>144.44</v>
          </cell>
        </row>
        <row r="1057">
          <cell r="C1057" t="str">
            <v>PGVFFWFC</v>
          </cell>
          <cell r="D1057">
            <v>125.42222222222222</v>
          </cell>
        </row>
        <row r="1058">
          <cell r="C1058" t="str">
            <v>PGVFFWFCFMFS1</v>
          </cell>
          <cell r="D1058">
            <v>250.78555555555556</v>
          </cell>
        </row>
        <row r="1059">
          <cell r="C1059" t="str">
            <v>PGVFFWFCFMT</v>
          </cell>
          <cell r="D1059">
            <v>150.68650793650792</v>
          </cell>
        </row>
        <row r="1060">
          <cell r="C1060" t="str">
            <v>PGVFFWFCFSE</v>
          </cell>
          <cell r="D1060">
            <v>185.88222222222223</v>
          </cell>
        </row>
        <row r="1061">
          <cell r="C1061" t="str">
            <v>PGVFFWFCUE</v>
          </cell>
          <cell r="D1061">
            <v>165.51222222222222</v>
          </cell>
        </row>
        <row r="1062">
          <cell r="C1062" t="str">
            <v>PGVFFWFM</v>
          </cell>
          <cell r="D1062">
            <v>239.45333333333335</v>
          </cell>
        </row>
        <row r="1063">
          <cell r="C1063" t="str">
            <v>PGVFFWFMFSNGC1</v>
          </cell>
          <cell r="D1063">
            <v>239.45333333333335</v>
          </cell>
        </row>
        <row r="1064">
          <cell r="C1064" t="str">
            <v>PGVFFWFSE</v>
          </cell>
          <cell r="D1064">
            <v>97.484285714285704</v>
          </cell>
        </row>
        <row r="1065">
          <cell r="C1065" t="str">
            <v>PGVFFWFSFM</v>
          </cell>
          <cell r="D1065">
            <v>150.48000000000002</v>
          </cell>
        </row>
        <row r="1066">
          <cell r="C1066" t="str">
            <v>PGVFFWFSFSNGC1</v>
          </cell>
          <cell r="D1066">
            <v>243.37333333333333</v>
          </cell>
        </row>
        <row r="1067">
          <cell r="C1067" t="str">
            <v>PGVFFWSE</v>
          </cell>
          <cell r="D1067">
            <v>132.68</v>
          </cell>
        </row>
        <row r="1068">
          <cell r="C1068" t="str">
            <v>PGVFFWUECFSNGC1</v>
          </cell>
          <cell r="D1068">
            <v>242.37333333333333</v>
          </cell>
        </row>
        <row r="1069">
          <cell r="C1069" t="str">
            <v>PGVFM1-P2</v>
          </cell>
          <cell r="D1069">
            <v>74.34</v>
          </cell>
        </row>
        <row r="1070">
          <cell r="C1070" t="str">
            <v>PGVFMFC1</v>
          </cell>
          <cell r="D1070">
            <v>90.37222222222222</v>
          </cell>
        </row>
        <row r="1071">
          <cell r="C1071" t="str">
            <v>PGVFMFMT1</v>
          </cell>
          <cell r="D1071">
            <v>62.434285714285714</v>
          </cell>
        </row>
        <row r="1072">
          <cell r="C1072" t="str">
            <v>PGVFMFWFC1</v>
          </cell>
          <cell r="D1072">
            <v>125.45822222222222</v>
          </cell>
        </row>
        <row r="1073">
          <cell r="C1073" t="str">
            <v>PGVFMNGC1</v>
          </cell>
          <cell r="D1073">
            <v>79.039999999999992</v>
          </cell>
        </row>
        <row r="1074">
          <cell r="C1074" t="str">
            <v>PGVFMNGCUEC1</v>
          </cell>
          <cell r="D1074">
            <v>119.13</v>
          </cell>
        </row>
        <row r="1075">
          <cell r="C1075" t="str">
            <v>PGVFMT1-P2</v>
          </cell>
          <cell r="D1075">
            <v>50.528571428571425</v>
          </cell>
        </row>
        <row r="1076">
          <cell r="C1076" t="str">
            <v>PGVFMTFSFCFMJB1</v>
          </cell>
          <cell r="D1076">
            <v>184.45984126984123</v>
          </cell>
        </row>
        <row r="1077">
          <cell r="C1077" t="str">
            <v>PGVFMTHNC1</v>
          </cell>
          <cell r="D1077">
            <v>52.664285714285711</v>
          </cell>
        </row>
        <row r="1078">
          <cell r="C1078" t="str">
            <v>PGVFMTKHS1</v>
          </cell>
          <cell r="D1078">
            <v>125.9242857142857</v>
          </cell>
        </row>
        <row r="1079">
          <cell r="C1079" t="str">
            <v>PGVFS1-P2</v>
          </cell>
          <cell r="D1079">
            <v>82.18</v>
          </cell>
        </row>
        <row r="1080">
          <cell r="C1080" t="str">
            <v>PGVFSE2</v>
          </cell>
          <cell r="D1080">
            <v>120.92</v>
          </cell>
        </row>
        <row r="1081">
          <cell r="C1081" t="str">
            <v>PGVFSEFCUE</v>
          </cell>
          <cell r="D1081">
            <v>153.75222222222223</v>
          </cell>
        </row>
        <row r="1082">
          <cell r="C1082" t="str">
            <v>PGVFSEFM</v>
          </cell>
          <cell r="D1082">
            <v>125.81428571428572</v>
          </cell>
        </row>
        <row r="1083">
          <cell r="C1083" t="str">
            <v>PGVFSEFMT</v>
          </cell>
          <cell r="D1083">
            <v>85.724285714285713</v>
          </cell>
        </row>
        <row r="1084">
          <cell r="C1084" t="str">
            <v>PGVFSEFMTUE</v>
          </cell>
          <cell r="D1084">
            <v>125.81428571428572</v>
          </cell>
        </row>
        <row r="1085">
          <cell r="C1085" t="str">
            <v>PGVFSEFS</v>
          </cell>
          <cell r="D1085">
            <v>101.55000000000001</v>
          </cell>
        </row>
        <row r="1086">
          <cell r="C1086" t="str">
            <v>PGVFSEFSFC</v>
          </cell>
          <cell r="D1086">
            <v>138.72</v>
          </cell>
        </row>
        <row r="1087">
          <cell r="C1087" t="str">
            <v>PGVFSEFSFMT</v>
          </cell>
          <cell r="D1087">
            <v>126.81428571428572</v>
          </cell>
        </row>
        <row r="1088">
          <cell r="C1088" t="str">
            <v>PGVFSENGC</v>
          </cell>
          <cell r="D1088">
            <v>102.33</v>
          </cell>
        </row>
        <row r="1089">
          <cell r="C1089" t="str">
            <v>PGVFSERUM1</v>
          </cell>
          <cell r="D1089">
            <v>60.46</v>
          </cell>
        </row>
        <row r="1090">
          <cell r="C1090" t="str">
            <v>PGVFSFM1</v>
          </cell>
          <cell r="D1090">
            <v>78.260000000000005</v>
          </cell>
        </row>
        <row r="1091">
          <cell r="C1091" t="str">
            <v>PGVFSSAMNGCJB1</v>
          </cell>
          <cell r="D1091">
            <v>99.88333333333334</v>
          </cell>
        </row>
        <row r="1092">
          <cell r="C1092" t="str">
            <v>PGVFSSAMVFCJB1</v>
          </cell>
          <cell r="D1092">
            <v>100.15333333333334</v>
          </cell>
        </row>
        <row r="1093">
          <cell r="C1093" t="str">
            <v>PGVFWBW1</v>
          </cell>
          <cell r="D1093">
            <v>103.536</v>
          </cell>
        </row>
        <row r="1094">
          <cell r="C1094" t="str">
            <v>PGVFWBWJB1</v>
          </cell>
          <cell r="D1094">
            <v>131.26933333333335</v>
          </cell>
        </row>
        <row r="1095">
          <cell r="C1095" t="str">
            <v>PGVFWFC1</v>
          </cell>
          <cell r="D1095">
            <v>88.288222222222217</v>
          </cell>
        </row>
        <row r="1096">
          <cell r="C1096" t="str">
            <v>PGVFWFCBLBW1</v>
          </cell>
          <cell r="D1096">
            <v>219.18822222222224</v>
          </cell>
        </row>
        <row r="1097">
          <cell r="C1097" t="str">
            <v>PGVFWFCFMT1</v>
          </cell>
          <cell r="D1097">
            <v>141.28584126984126</v>
          </cell>
        </row>
        <row r="1098">
          <cell r="C1098" t="str">
            <v>PGVFWFCFMTJB1</v>
          </cell>
          <cell r="D1098">
            <v>141.28584126984126</v>
          </cell>
        </row>
        <row r="1099">
          <cell r="C1099" t="str">
            <v>PGVFWFCJB1</v>
          </cell>
          <cell r="D1099">
            <v>116.02155555555555</v>
          </cell>
        </row>
        <row r="1100">
          <cell r="C1100" t="str">
            <v>PGVFWFCNCG1</v>
          </cell>
          <cell r="D1100">
            <v>130.15822222222221</v>
          </cell>
        </row>
        <row r="1101">
          <cell r="C1101" t="str">
            <v>PGVFWFCNGC1</v>
          </cell>
          <cell r="D1101">
            <v>130.15822222222221</v>
          </cell>
        </row>
        <row r="1102">
          <cell r="C1102" t="str">
            <v>PGVFWFMT1</v>
          </cell>
          <cell r="D1102">
            <v>60.350285714285711</v>
          </cell>
        </row>
        <row r="1103">
          <cell r="C1103" t="str">
            <v>PGVFWFMTFCNCUEC1</v>
          </cell>
          <cell r="D1103">
            <v>195.51250793650794</v>
          </cell>
        </row>
        <row r="1104">
          <cell r="C1104" t="str">
            <v>PGVFWFMTFCNCUECJB1</v>
          </cell>
          <cell r="D1104">
            <v>223.24584126984126</v>
          </cell>
        </row>
        <row r="1105">
          <cell r="C1105" t="str">
            <v>PGVFWFMTFSFC1</v>
          </cell>
          <cell r="D1105">
            <v>154.64250793650794</v>
          </cell>
        </row>
        <row r="1106">
          <cell r="C1106" t="str">
            <v>PGVFWFMTFSFMFC1</v>
          </cell>
          <cell r="D1106">
            <v>191.81250793650796</v>
          </cell>
        </row>
        <row r="1107">
          <cell r="C1107" t="str">
            <v>PGVFWFMTFSFMFCJB1</v>
          </cell>
          <cell r="D1107">
            <v>219.54584126984125</v>
          </cell>
        </row>
        <row r="1108">
          <cell r="C1108" t="str">
            <v>PGVFWFMTJB1</v>
          </cell>
          <cell r="D1108">
            <v>88.083619047619038</v>
          </cell>
        </row>
        <row r="1109">
          <cell r="C1109" t="str">
            <v>PGVFWFMTNGC1</v>
          </cell>
          <cell r="D1109">
            <v>129.95361904761904</v>
          </cell>
        </row>
        <row r="1110">
          <cell r="C1110" t="str">
            <v>PGVFWFMTNGCJB1</v>
          </cell>
          <cell r="D1110">
            <v>129.95361904761904</v>
          </cell>
        </row>
        <row r="1111">
          <cell r="C1111" t="str">
            <v>PGVFWFS1</v>
          </cell>
          <cell r="D1111">
            <v>76.176000000000002</v>
          </cell>
        </row>
        <row r="1112">
          <cell r="C1112" t="str">
            <v>PGVFWFSFM1</v>
          </cell>
          <cell r="D1112">
            <v>113.346</v>
          </cell>
        </row>
        <row r="1113">
          <cell r="C1113" t="str">
            <v>PGVFWKNS1</v>
          </cell>
          <cell r="D1113">
            <v>77.275999999999996</v>
          </cell>
        </row>
        <row r="1114">
          <cell r="C1114" t="str">
            <v>PGVFWNCUEC1</v>
          </cell>
          <cell r="D1114">
            <v>117.04599999999999</v>
          </cell>
        </row>
        <row r="1115">
          <cell r="C1115" t="str">
            <v>PGVJBNGC1</v>
          </cell>
          <cell r="D1115">
            <v>69.603333333333325</v>
          </cell>
        </row>
        <row r="1116">
          <cell r="C1116" t="str">
            <v>PGVNCUEC1</v>
          </cell>
          <cell r="D1116">
            <v>81.960000000000008</v>
          </cell>
        </row>
        <row r="1117">
          <cell r="C1117" t="str">
            <v>PGVNGC1-P2</v>
          </cell>
          <cell r="D1117">
            <v>83.74</v>
          </cell>
        </row>
        <row r="1118">
          <cell r="C1118" t="str">
            <v>PGVNGCHNCUEC1</v>
          </cell>
          <cell r="D1118">
            <v>109.36000000000001</v>
          </cell>
        </row>
        <row r="1119">
          <cell r="C1119" t="str">
            <v>PGVNGCSAMFCJB1</v>
          </cell>
          <cell r="D1119">
            <v>81.563333333333333</v>
          </cell>
        </row>
        <row r="1120">
          <cell r="C1120" t="str">
            <v>PGVR-BR</v>
          </cell>
          <cell r="D1120">
            <v>186.03333333333333</v>
          </cell>
        </row>
        <row r="1121">
          <cell r="C1121" t="str">
            <v>PGVR-BR-CRED</v>
          </cell>
          <cell r="D1121">
            <v>158.30000000000001</v>
          </cell>
        </row>
        <row r="1122">
          <cell r="C1122" t="str">
            <v>PGVR-DTDR</v>
          </cell>
          <cell r="D1122">
            <v>157.89155555555556</v>
          </cell>
        </row>
        <row r="1123">
          <cell r="C1123" t="str">
            <v>PGVR-FR</v>
          </cell>
          <cell r="D1123">
            <v>141.07933333333335</v>
          </cell>
        </row>
        <row r="1124">
          <cell r="C1124" t="str">
            <v>PGVR-FRMEN</v>
          </cell>
          <cell r="D1124">
            <v>153.19155555555557</v>
          </cell>
        </row>
        <row r="1125">
          <cell r="C1125" t="str">
            <v>PGVR-GNR</v>
          </cell>
          <cell r="D1125">
            <v>129.95361904761904</v>
          </cell>
        </row>
        <row r="1126">
          <cell r="C1126" t="str">
            <v>PGVRP-DTDR</v>
          </cell>
          <cell r="D1126">
            <v>223.24584126984126</v>
          </cell>
        </row>
        <row r="1127">
          <cell r="C1127" t="str">
            <v>PGVRP-FR</v>
          </cell>
          <cell r="D1127">
            <v>219.54584126984128</v>
          </cell>
        </row>
        <row r="1128">
          <cell r="C1128" t="str">
            <v>PGVRSEFC</v>
          </cell>
          <cell r="D1128">
            <v>113.66222222222223</v>
          </cell>
        </row>
        <row r="1129">
          <cell r="C1129" t="str">
            <v>PGVR-SR</v>
          </cell>
          <cell r="D1129">
            <v>141.28584126984126</v>
          </cell>
        </row>
        <row r="1130">
          <cell r="C1130" t="str">
            <v>PGVUEC1-P2</v>
          </cell>
          <cell r="D1130">
            <v>80.180000000000007</v>
          </cell>
        </row>
        <row r="1131">
          <cell r="C1131" t="str">
            <v>PGVUECFC1</v>
          </cell>
          <cell r="D1131">
            <v>93.292222222222222</v>
          </cell>
        </row>
        <row r="1132">
          <cell r="C1132" t="str">
            <v>PGVUECFCBLHNC1</v>
          </cell>
          <cell r="D1132">
            <v>183.14222222222222</v>
          </cell>
        </row>
        <row r="1133">
          <cell r="C1133" t="str">
            <v>PGVVBFC1</v>
          </cell>
          <cell r="D1133">
            <v>147.20222222222222</v>
          </cell>
        </row>
        <row r="1134">
          <cell r="C1134" t="str">
            <v>PGVVBFCNGC1</v>
          </cell>
          <cell r="D1134">
            <v>184.45923076923077</v>
          </cell>
        </row>
        <row r="1135">
          <cell r="C1135" t="str">
            <v>PGVVBFWFCFMT1</v>
          </cell>
          <cell r="D1135">
            <v>207.55250793650794</v>
          </cell>
        </row>
        <row r="1136">
          <cell r="C1136" t="str">
            <v>PKFFWBFSMLFSDC1</v>
          </cell>
          <cell r="D1136">
            <v>317.40333333333331</v>
          </cell>
        </row>
        <row r="1137">
          <cell r="C1137" t="str">
            <v>PKFFWBHASOFMFM01</v>
          </cell>
          <cell r="D1137">
            <v>285.55333333333328</v>
          </cell>
        </row>
        <row r="1138">
          <cell r="C1138" t="str">
            <v>PKFFWBHASOFMFM1</v>
          </cell>
          <cell r="D1138">
            <v>285.55333333333328</v>
          </cell>
        </row>
        <row r="1139">
          <cell r="C1139" t="str">
            <v>PKFFWBPSHACDC1</v>
          </cell>
          <cell r="D1139">
            <v>301.17444444444448</v>
          </cell>
        </row>
        <row r="1140">
          <cell r="C1140" t="str">
            <v>PKSGFFWAASAAGOFM1</v>
          </cell>
          <cell r="D1140">
            <v>273.03733333333332</v>
          </cell>
        </row>
        <row r="1141">
          <cell r="C1141" t="str">
            <v>PKSGFFWAASOFMFM1</v>
          </cell>
          <cell r="D1141">
            <v>276.73733333333331</v>
          </cell>
        </row>
        <row r="1142">
          <cell r="C1142" t="str">
            <v>PKSGFFWPSAASOFGM01</v>
          </cell>
          <cell r="D1142">
            <v>270.42844444444444</v>
          </cell>
        </row>
        <row r="1143">
          <cell r="C1143" t="str">
            <v>PKSGFFWPSHASOFGM1</v>
          </cell>
          <cell r="D1143">
            <v>284.42444444444442</v>
          </cell>
        </row>
        <row r="1144">
          <cell r="C1144" t="str">
            <v>PSGB_DEL</v>
          </cell>
          <cell r="D1144">
            <v>169</v>
          </cell>
        </row>
        <row r="1145">
          <cell r="C1145" t="str">
            <v>PSGPRADMROUES1</v>
          </cell>
          <cell r="D1145">
            <v>154.84</v>
          </cell>
        </row>
        <row r="1146">
          <cell r="C1146" t="str">
            <v>PSGTMUEC1</v>
          </cell>
          <cell r="D1146">
            <v>101.64</v>
          </cell>
        </row>
        <row r="1147">
          <cell r="C1147" t="str">
            <v>SAM-HAHSS1</v>
          </cell>
          <cell r="D1147" t="e">
            <v>#N/A</v>
          </cell>
        </row>
        <row r="1148">
          <cell r="C1148" t="str">
            <v>SAMHAHSS</v>
          </cell>
          <cell r="D1148" t="e">
            <v>#N/A</v>
          </cell>
        </row>
        <row r="1149">
          <cell r="C1149" t="str">
            <v>PGKS-AHGSAVGS01</v>
          </cell>
          <cell r="D1149">
            <v>256.30230769230764</v>
          </cell>
        </row>
        <row r="1150">
          <cell r="C1150" t="str">
            <v>PGIS-BSCGK1</v>
          </cell>
          <cell r="D1150">
            <v>381.62285714285713</v>
          </cell>
        </row>
        <row r="1151">
          <cell r="C1151" t="str">
            <v>PGSAR-120HM1-P2</v>
          </cell>
          <cell r="D1151">
            <v>200.26</v>
          </cell>
        </row>
        <row r="1152">
          <cell r="C1152" t="str">
            <v>PHD-2AADS1 P2</v>
          </cell>
          <cell r="D1152">
            <v>183.06</v>
          </cell>
        </row>
        <row r="1153">
          <cell r="C1153" t="str">
            <v>PHD-PRFS1 P2</v>
          </cell>
          <cell r="D1153">
            <v>179.4</v>
          </cell>
        </row>
        <row r="1154">
          <cell r="C1154" t="str">
            <v>PHD-VCBM1 P3</v>
          </cell>
          <cell r="D1154">
            <v>297.03000000000003</v>
          </cell>
        </row>
        <row r="1155">
          <cell r="C1155" t="str">
            <v>PHD-2SAAAS1 P2</v>
          </cell>
          <cell r="D1155">
            <v>172.26</v>
          </cell>
        </row>
        <row r="1156">
          <cell r="C1156" t="str">
            <v>PHD-2HAS1 P3</v>
          </cell>
          <cell r="D1156">
            <v>285.87</v>
          </cell>
        </row>
        <row r="1157">
          <cell r="C1157" t="str">
            <v>PHD-10VCBS1 P3</v>
          </cell>
          <cell r="D1157">
            <v>351.99</v>
          </cell>
        </row>
        <row r="1158">
          <cell r="C1158" t="str">
            <v>PHD-2HAS1 P2</v>
          </cell>
          <cell r="D1158">
            <v>190.58</v>
          </cell>
        </row>
        <row r="1159">
          <cell r="C1159" t="str">
            <v>PHD-VCBM1 P2</v>
          </cell>
          <cell r="D1159">
            <v>198.02</v>
          </cell>
        </row>
        <row r="1160">
          <cell r="C1160" t="str">
            <v>PHD-2AADS1 P3</v>
          </cell>
          <cell r="D1160">
            <v>274.59000000000003</v>
          </cell>
        </row>
        <row r="1161">
          <cell r="C1161" t="str">
            <v>PHD-PRFS1 P3</v>
          </cell>
          <cell r="D1161">
            <v>269.10000000000002</v>
          </cell>
        </row>
        <row r="1162">
          <cell r="C1162" t="str">
            <v>PHD-2SAAAS1 P3</v>
          </cell>
          <cell r="D1162">
            <v>258.39</v>
          </cell>
        </row>
        <row r="1163">
          <cell r="C1163" t="str">
            <v>PHD-10VCBS1 P2</v>
          </cell>
          <cell r="D1163">
            <v>234.66</v>
          </cell>
        </row>
        <row r="1164">
          <cell r="C1164" t="str">
            <v>PG-PSCC1</v>
          </cell>
          <cell r="D1164">
            <v>170.18</v>
          </cell>
        </row>
        <row r="1166">
          <cell r="C1166" t="str">
            <v>TESTER-PG24K-GFK1</v>
          </cell>
          <cell r="D1166">
            <v>94.559999999999988</v>
          </cell>
        </row>
        <row r="1167">
          <cell r="C1167" t="str">
            <v>TESTER-PGA-10VCFS10</v>
          </cell>
          <cell r="D1167">
            <v>34.455294117647057</v>
          </cell>
        </row>
        <row r="1168">
          <cell r="C1168" t="str">
            <v>TESTER-PGA-10VCFS30</v>
          </cell>
          <cell r="D1168">
            <v>71.819000000000003</v>
          </cell>
        </row>
        <row r="1169">
          <cell r="C1169" t="str">
            <v>TESTER-PGA-15VCFS20</v>
          </cell>
          <cell r="D1169">
            <v>76.260909090909081</v>
          </cell>
        </row>
        <row r="1170">
          <cell r="C1170" t="str">
            <v>TESTER-PGAAGHS</v>
          </cell>
          <cell r="D1170">
            <v>99.63</v>
          </cell>
        </row>
        <row r="1171">
          <cell r="C1171" t="str">
            <v>TESTER-PGAHM</v>
          </cell>
          <cell r="D1171">
            <v>85.41</v>
          </cell>
        </row>
        <row r="1172">
          <cell r="C1172" t="str">
            <v>TESTER-PGALIC</v>
          </cell>
          <cell r="D1172">
            <v>45.01</v>
          </cell>
        </row>
        <row r="1173">
          <cell r="C1173" t="str">
            <v>TESTER-PGASHO</v>
          </cell>
          <cell r="D1173">
            <v>67.05</v>
          </cell>
        </row>
        <row r="1174">
          <cell r="C1174" t="str">
            <v>TESTER-PGASHS</v>
          </cell>
          <cell r="D1174">
            <v>113.26</v>
          </cell>
        </row>
        <row r="1175">
          <cell r="C1175" t="str">
            <v>TESTER-PGASSCRUB</v>
          </cell>
          <cell r="D1175">
            <v>79.260000000000005</v>
          </cell>
        </row>
        <row r="1176">
          <cell r="C1176" t="str">
            <v>TESTER-PGATT-10NBRS1</v>
          </cell>
          <cell r="D1176">
            <v>52.11</v>
          </cell>
        </row>
        <row r="1177">
          <cell r="C1177" t="str">
            <v>TESTER-PGATT-ADSS1</v>
          </cell>
          <cell r="D1177">
            <v>90.48</v>
          </cell>
        </row>
        <row r="1178">
          <cell r="C1178" t="str">
            <v>TESTER-PGATT-NOM1</v>
          </cell>
          <cell r="D1178">
            <v>43.71</v>
          </cell>
        </row>
        <row r="1179">
          <cell r="C1179" t="str">
            <v>TESTER-PGATT-PFWGT1</v>
          </cell>
          <cell r="D1179">
            <v>40.29</v>
          </cell>
        </row>
        <row r="1180">
          <cell r="C1180" t="str">
            <v>TESTER-PGATT-PT1</v>
          </cell>
          <cell r="D1180">
            <v>31.706666666666667</v>
          </cell>
        </row>
        <row r="1181">
          <cell r="C1181" t="str">
            <v>TESTER-PGAVC-1T</v>
          </cell>
          <cell r="D1181">
            <v>43.38</v>
          </cell>
        </row>
        <row r="1182">
          <cell r="C1182" t="str">
            <v>TESTER-PGAVC-20S</v>
          </cell>
          <cell r="D1182">
            <v>131.68</v>
          </cell>
        </row>
        <row r="1183">
          <cell r="C1183" t="str">
            <v>TESTER-PGAVC-2OFM</v>
          </cell>
          <cell r="D1183">
            <v>53.93</v>
          </cell>
        </row>
        <row r="1184">
          <cell r="C1184" t="str">
            <v>TESTER-PGAVC-BSL1</v>
          </cell>
          <cell r="D1184">
            <v>67.69</v>
          </cell>
        </row>
        <row r="1185">
          <cell r="C1185" t="str">
            <v>TESTER-PGA-VCBUEC1</v>
          </cell>
          <cell r="D1185">
            <v>40.44</v>
          </cell>
        </row>
        <row r="1186">
          <cell r="C1186" t="str">
            <v>TESTER-PGAVC-GFWT1</v>
          </cell>
          <cell r="D1186">
            <v>44.312857142857141</v>
          </cell>
        </row>
        <row r="1187">
          <cell r="C1187" t="str">
            <v>TESTER-PGAVC-IVSS1</v>
          </cell>
          <cell r="D1187">
            <v>132.01</v>
          </cell>
        </row>
        <row r="1188">
          <cell r="C1188" t="str">
            <v>TESTER-PGAVC-LLB1</v>
          </cell>
          <cell r="D1188">
            <v>28.3</v>
          </cell>
        </row>
        <row r="1189">
          <cell r="C1189" t="str">
            <v>TESTER-PGAVC-LLK1</v>
          </cell>
          <cell r="D1189">
            <v>89.66</v>
          </cell>
        </row>
        <row r="1190">
          <cell r="C1190" t="str">
            <v>TESTER-PGAVC-LLSM1</v>
          </cell>
          <cell r="D1190">
            <v>36.78</v>
          </cell>
        </row>
        <row r="1191">
          <cell r="C1191" t="str">
            <v>TESTER-PGBM-FK1</v>
          </cell>
          <cell r="D1191">
            <v>61.93</v>
          </cell>
        </row>
        <row r="1192">
          <cell r="C1192" t="str">
            <v>TESTER-PGBM-NYB1</v>
          </cell>
          <cell r="D1192">
            <v>61.45</v>
          </cell>
        </row>
        <row r="1193">
          <cell r="C1193" t="str">
            <v>TESTER-PGBM-SE1</v>
          </cell>
          <cell r="D1193">
            <v>57</v>
          </cell>
        </row>
        <row r="1194">
          <cell r="C1194" t="str">
            <v>TESTER-PGEDP-ALP1</v>
          </cell>
          <cell r="D1194">
            <v>106.31</v>
          </cell>
        </row>
        <row r="1195">
          <cell r="C1195" t="str">
            <v>TESTER-PGEDP-GKGOD1</v>
          </cell>
          <cell r="D1195">
            <v>116.69999999999999</v>
          </cell>
        </row>
        <row r="1196">
          <cell r="C1196" t="str">
            <v>TESTER-PGEDP-TFLC1</v>
          </cell>
          <cell r="D1196">
            <v>150.74</v>
          </cell>
        </row>
        <row r="1197">
          <cell r="C1197" t="str">
            <v>TESTER-PGEDP-TIC1</v>
          </cell>
          <cell r="D1197">
            <v>152.38000000000002</v>
          </cell>
        </row>
        <row r="1198">
          <cell r="C1198" t="str">
            <v>TESTER-PGEDP-ZEN1</v>
          </cell>
          <cell r="D1198">
            <v>106.44999999999999</v>
          </cell>
        </row>
        <row r="1199">
          <cell r="C1199" t="str">
            <v>TESTER-PGGTM-RAAHGS1</v>
          </cell>
          <cell r="D1199">
            <v>83.794500000000028</v>
          </cell>
        </row>
        <row r="1200">
          <cell r="C1200" t="str">
            <v>TESTER-PGK-10NFS10</v>
          </cell>
          <cell r="D1200">
            <v>28.199999999999996</v>
          </cell>
        </row>
        <row r="1201">
          <cell r="C1201" t="str">
            <v>TESTER-PGK-10NFS30</v>
          </cell>
          <cell r="D1201">
            <v>45.279999999999994</v>
          </cell>
        </row>
        <row r="1202">
          <cell r="C1202" t="str">
            <v>TESTER-PGK24KGBO1</v>
          </cell>
          <cell r="D1202">
            <v>99.42</v>
          </cell>
        </row>
        <row r="1203">
          <cell r="C1203" t="str">
            <v>TESTER-PGK24KGFM1</v>
          </cell>
          <cell r="D1203">
            <v>63.26</v>
          </cell>
        </row>
        <row r="1204">
          <cell r="C1204" t="str">
            <v>TESTER-PGK24K-GGM1</v>
          </cell>
          <cell r="D1204">
            <v>103.36</v>
          </cell>
        </row>
        <row r="1205">
          <cell r="C1205" t="str">
            <v>TESTER-PGK24KGS20ML</v>
          </cell>
          <cell r="D1205">
            <v>70.52</v>
          </cell>
        </row>
        <row r="1206">
          <cell r="C1206" t="str">
            <v>TESTER-PGK-2SAFS10</v>
          </cell>
          <cell r="D1206">
            <v>29.02</v>
          </cell>
        </row>
        <row r="1207">
          <cell r="C1207" t="str">
            <v>TESTER-PGK-5CBRM1</v>
          </cell>
          <cell r="D1207">
            <v>54.699999999999996</v>
          </cell>
        </row>
        <row r="1208">
          <cell r="C1208" t="str">
            <v>TESTER-PGK-5NFS10</v>
          </cell>
          <cell r="D1208">
            <v>37.46</v>
          </cell>
        </row>
        <row r="1209">
          <cell r="C1209" t="str">
            <v>TESTER-PGKABPPS1</v>
          </cell>
          <cell r="D1209">
            <v>51.841111111111118</v>
          </cell>
        </row>
        <row r="1210">
          <cell r="C1210" t="str">
            <v>TESTER-PGKAVG1</v>
          </cell>
          <cell r="D1210">
            <v>47.03</v>
          </cell>
        </row>
        <row r="1211">
          <cell r="C1211" t="str">
            <v>TESTER-PGKDC1</v>
          </cell>
          <cell r="D1211">
            <v>94.530000000000015</v>
          </cell>
        </row>
        <row r="1212">
          <cell r="C1212" t="str">
            <v>TESTER-PGKFMT1</v>
          </cell>
          <cell r="D1212">
            <v>27.66</v>
          </cell>
        </row>
        <row r="1213">
          <cell r="C1213" t="str">
            <v>TESTER-PGKFS1</v>
          </cell>
          <cell r="D1213">
            <v>60.54</v>
          </cell>
        </row>
        <row r="1214">
          <cell r="C1214" t="str">
            <v>TESTER-PGKHAHSS1</v>
          </cell>
          <cell r="D1214">
            <v>65.349999999999994</v>
          </cell>
        </row>
        <row r="1215">
          <cell r="C1215" t="str">
            <v>TESTER-PGK-HASSG50</v>
          </cell>
          <cell r="D1215">
            <v>61.06</v>
          </cell>
        </row>
        <row r="1216">
          <cell r="C1216" t="str">
            <v>TESTER-PGKHC1</v>
          </cell>
          <cell r="D1216">
            <v>75.010000000000005</v>
          </cell>
        </row>
        <row r="1217">
          <cell r="C1217" t="str">
            <v>TESTER-PGKHS1</v>
          </cell>
          <cell r="D1217">
            <v>100.66</v>
          </cell>
        </row>
        <row r="1218">
          <cell r="C1218" t="str">
            <v>TESTER-PGK-KAS</v>
          </cell>
          <cell r="D1218">
            <v>45.74</v>
          </cell>
        </row>
        <row r="1219">
          <cell r="C1219" t="str">
            <v>TESTER-PGKNC1</v>
          </cell>
          <cell r="D1219">
            <v>69.16</v>
          </cell>
        </row>
        <row r="1220">
          <cell r="C1220" t="str">
            <v>TESTER-PGKNS1</v>
          </cell>
          <cell r="D1220">
            <v>42.19</v>
          </cell>
        </row>
        <row r="1221">
          <cell r="C1221" t="str">
            <v>TESTER-PGKOFGM1</v>
          </cell>
          <cell r="D1221">
            <v>72.599999999999994</v>
          </cell>
        </row>
        <row r="1222">
          <cell r="C1222" t="str">
            <v>TESTER-PGKS1</v>
          </cell>
          <cell r="D1222">
            <v>78.88</v>
          </cell>
        </row>
        <row r="1223">
          <cell r="C1223" t="str">
            <v>TESTER-PGKS20</v>
          </cell>
          <cell r="D1223">
            <v>121.49</v>
          </cell>
        </row>
        <row r="1224">
          <cell r="C1224" t="str">
            <v>TESTER-PGKS-AAS1</v>
          </cell>
          <cell r="D1224">
            <v>51.353999999999999</v>
          </cell>
        </row>
        <row r="1225">
          <cell r="C1225" t="str">
            <v>TESTER-PGKS-AHGS1</v>
          </cell>
          <cell r="D1225">
            <v>130.39230769230767</v>
          </cell>
        </row>
        <row r="1226">
          <cell r="C1226" t="str">
            <v>TESTER-PGKS-AVBS1</v>
          </cell>
          <cell r="D1226">
            <v>76.619230769230754</v>
          </cell>
        </row>
        <row r="1227">
          <cell r="C1227" t="str">
            <v>TESTER-PGKS-LFS1</v>
          </cell>
          <cell r="D1227">
            <v>75.27</v>
          </cell>
        </row>
        <row r="1228">
          <cell r="C1228" t="str">
            <v>TESTER-PGKSNOCS1</v>
          </cell>
          <cell r="D1228">
            <v>50.46</v>
          </cell>
        </row>
        <row r="1229">
          <cell r="C1229" t="str">
            <v>TESTER-PGKS-RAAHGS1</v>
          </cell>
          <cell r="D1229">
            <v>231.99</v>
          </cell>
        </row>
        <row r="1230">
          <cell r="C1230" t="str">
            <v>TESTER-PGKS-RAAHGSDPS1</v>
          </cell>
          <cell r="D1230">
            <v>90.823333333333338</v>
          </cell>
        </row>
        <row r="1231">
          <cell r="C1231" t="str">
            <v>TESTER-PGKS-SCS1</v>
          </cell>
          <cell r="D1231">
            <v>75.69</v>
          </cell>
        </row>
        <row r="1232">
          <cell r="C1232" t="str">
            <v>TESTER-PGKSSSERUM30</v>
          </cell>
          <cell r="D1232">
            <v>52.010000000000005</v>
          </cell>
        </row>
        <row r="1233">
          <cell r="C1233" t="str">
            <v>TESTER-PGKSSSERUM50</v>
          </cell>
          <cell r="D1233">
            <v>60</v>
          </cell>
        </row>
        <row r="1234">
          <cell r="C1234" t="str">
            <v>TESTER-PGKUEC1</v>
          </cell>
          <cell r="D1234">
            <v>63.65</v>
          </cell>
        </row>
        <row r="1235">
          <cell r="C1235" t="str">
            <v>TESTER-PGMU-ADMSS1</v>
          </cell>
          <cell r="D1235">
            <v>46.19</v>
          </cell>
        </row>
        <row r="1236">
          <cell r="C1236" t="str">
            <v>TESTER-PGMU-BBCAG1</v>
          </cell>
          <cell r="D1236">
            <v>64.540000000000006</v>
          </cell>
        </row>
        <row r="1237">
          <cell r="C1237" t="str">
            <v>TESTER-PGMU-BBCBG1</v>
          </cell>
          <cell r="D1237">
            <v>64.540000000000006</v>
          </cell>
        </row>
        <row r="1238">
          <cell r="C1238" t="str">
            <v>TESTER-PGMU-BBCHG1</v>
          </cell>
          <cell r="D1238">
            <v>63.836666666666673</v>
          </cell>
        </row>
        <row r="1239">
          <cell r="C1239" t="str">
            <v>TESTER-PGMU-BDBB1</v>
          </cell>
          <cell r="D1239">
            <v>86.7</v>
          </cell>
        </row>
        <row r="1240">
          <cell r="C1240" t="str">
            <v>TESTER-PGMU-BDCR1</v>
          </cell>
          <cell r="D1240">
            <v>86.7</v>
          </cell>
        </row>
        <row r="1241">
          <cell r="C1241" t="str">
            <v>TESTER-PGMU-BDFP1</v>
          </cell>
          <cell r="D1241">
            <v>86.699999999999989</v>
          </cell>
        </row>
        <row r="1242">
          <cell r="C1242" t="str">
            <v>TESTER-PGMU-BLAB1</v>
          </cell>
          <cell r="D1242">
            <v>98.3</v>
          </cell>
        </row>
        <row r="1243">
          <cell r="C1243" t="str">
            <v>TESTER-PGMU-BLBB1</v>
          </cell>
          <cell r="D1243">
            <v>98.3</v>
          </cell>
        </row>
        <row r="1244">
          <cell r="C1244" t="str">
            <v>TESTER-PGMU-BLCC1</v>
          </cell>
          <cell r="D1244">
            <v>98.3</v>
          </cell>
        </row>
        <row r="1245">
          <cell r="C1245" t="str">
            <v>TESTER-PGMU-BLCE1</v>
          </cell>
          <cell r="D1245">
            <v>98.3</v>
          </cell>
        </row>
        <row r="1246">
          <cell r="C1246" t="str">
            <v>TESTER-PGMU-BLCG1</v>
          </cell>
          <cell r="D1246">
            <v>98.3</v>
          </cell>
        </row>
        <row r="1247">
          <cell r="C1247" t="str">
            <v>TESTER-PGMU-BLCL1</v>
          </cell>
          <cell r="D1247">
            <v>98.3</v>
          </cell>
        </row>
        <row r="1248">
          <cell r="C1248" t="str">
            <v>TESTER-PGMU-BLCP1</v>
          </cell>
          <cell r="D1248">
            <v>98.3</v>
          </cell>
        </row>
        <row r="1249">
          <cell r="C1249" t="str">
            <v>TESTER-PGMU-BLCT1</v>
          </cell>
          <cell r="D1249">
            <v>98.3</v>
          </cell>
        </row>
        <row r="1250">
          <cell r="C1250" t="str">
            <v>TESTER-PGMU-BLFP1</v>
          </cell>
          <cell r="D1250">
            <v>98.3</v>
          </cell>
        </row>
        <row r="1251">
          <cell r="C1251" t="str">
            <v>TESTER-PGMU-BLFR1</v>
          </cell>
          <cell r="D1251">
            <v>98.299999999999983</v>
          </cell>
        </row>
        <row r="1252">
          <cell r="C1252" t="str">
            <v>TESTER-PGMU-BLMA1</v>
          </cell>
          <cell r="D1252">
            <v>98.3</v>
          </cell>
        </row>
        <row r="1253">
          <cell r="C1253" t="str">
            <v>TESTER-PGMU-BLMB1</v>
          </cell>
          <cell r="D1253">
            <v>98.3</v>
          </cell>
        </row>
        <row r="1254">
          <cell r="C1254" t="str">
            <v>TESTER-PGMU-BLNK1</v>
          </cell>
          <cell r="D1254">
            <v>98.299999999999983</v>
          </cell>
        </row>
        <row r="1255">
          <cell r="C1255" t="str">
            <v>TESTER-PGMU-BLNM1</v>
          </cell>
          <cell r="D1255">
            <v>98.3</v>
          </cell>
        </row>
        <row r="1256">
          <cell r="C1256" t="str">
            <v>TESTER-PGMU-BLP1</v>
          </cell>
          <cell r="D1256">
            <v>91.39</v>
          </cell>
        </row>
        <row r="1257">
          <cell r="C1257" t="str">
            <v>TESTER-PGMU-BLPH1</v>
          </cell>
          <cell r="D1257">
            <v>98.3</v>
          </cell>
        </row>
        <row r="1258">
          <cell r="C1258" t="str">
            <v>TESTER-PGMU-BLPP1</v>
          </cell>
          <cell r="D1258">
            <v>98.299999999999983</v>
          </cell>
        </row>
        <row r="1259">
          <cell r="C1259" t="str">
            <v>TESTER-PGMU-BLPR1</v>
          </cell>
          <cell r="D1259">
            <v>98.3</v>
          </cell>
        </row>
        <row r="1260">
          <cell r="C1260" t="str">
            <v>TESTER-PGMU-BLRR1</v>
          </cell>
          <cell r="D1260">
            <v>98.3</v>
          </cell>
        </row>
        <row r="1261">
          <cell r="C1261" t="str">
            <v>TESTER-PGMU-BLSW1</v>
          </cell>
          <cell r="D1261">
            <v>98.299999999999983</v>
          </cell>
        </row>
        <row r="1262">
          <cell r="C1262" t="str">
            <v>TESTER-PGMU-BLUR1</v>
          </cell>
          <cell r="D1262">
            <v>98.3</v>
          </cell>
        </row>
        <row r="1263">
          <cell r="C1263" t="str">
            <v>TESTER-PGMU-CLA1</v>
          </cell>
          <cell r="D1263">
            <v>73.05</v>
          </cell>
        </row>
        <row r="1264">
          <cell r="C1264" t="str">
            <v>TESTER-PGMU-CLB1</v>
          </cell>
          <cell r="D1264">
            <v>73.05</v>
          </cell>
        </row>
        <row r="1265">
          <cell r="C1265" t="str">
            <v>TESTER-PGMU-CLI1</v>
          </cell>
          <cell r="D1265">
            <v>73.05</v>
          </cell>
        </row>
        <row r="1266">
          <cell r="C1266" t="str">
            <v>TESTER-PGMU-CLS1</v>
          </cell>
          <cell r="D1266">
            <v>73.05</v>
          </cell>
        </row>
        <row r="1267">
          <cell r="C1267" t="str">
            <v>TESTER-PGMU-CPA1</v>
          </cell>
          <cell r="D1267">
            <v>51.74</v>
          </cell>
        </row>
        <row r="1268">
          <cell r="C1268" t="str">
            <v>TESTER-PGMU-CPBP1</v>
          </cell>
          <cell r="D1268">
            <v>113</v>
          </cell>
        </row>
        <row r="1269">
          <cell r="C1269" t="str">
            <v>TESTER-PGMU-CPC1</v>
          </cell>
          <cell r="D1269">
            <v>51.74</v>
          </cell>
        </row>
        <row r="1270">
          <cell r="C1270" t="str">
            <v>TESTER-PGMU-CPCN1</v>
          </cell>
          <cell r="D1270">
            <v>83.14</v>
          </cell>
        </row>
        <row r="1271">
          <cell r="C1271" t="str">
            <v>TESTER-PGMU-CPGB1</v>
          </cell>
          <cell r="D1271">
            <v>83.14</v>
          </cell>
        </row>
        <row r="1272">
          <cell r="C1272" t="str">
            <v>TESTER-PGMU-CPH1</v>
          </cell>
          <cell r="D1272">
            <v>51.74</v>
          </cell>
        </row>
        <row r="1273">
          <cell r="C1273" t="str">
            <v>TESTER-PGMU-CPI1</v>
          </cell>
          <cell r="D1273">
            <v>51.74</v>
          </cell>
        </row>
        <row r="1274">
          <cell r="C1274" t="str">
            <v>TESTER-PGMU-CPN1</v>
          </cell>
          <cell r="D1274">
            <v>51.74</v>
          </cell>
        </row>
        <row r="1275">
          <cell r="C1275" t="str">
            <v>TESTER-PGMU-CPPI1</v>
          </cell>
          <cell r="D1275">
            <v>83.14</v>
          </cell>
        </row>
        <row r="1276">
          <cell r="C1276" t="str">
            <v>TESTER-PGMU-CPRC1</v>
          </cell>
          <cell r="D1276">
            <v>83.14</v>
          </cell>
        </row>
        <row r="1277">
          <cell r="C1277" t="str">
            <v>TESTER-PGMU-CPWS1</v>
          </cell>
          <cell r="D1277">
            <v>83.14</v>
          </cell>
        </row>
        <row r="1278">
          <cell r="C1278" t="str">
            <v>TESTER-PGMU-EBS1</v>
          </cell>
          <cell r="D1278">
            <v>51.93</v>
          </cell>
        </row>
        <row r="1279">
          <cell r="C1279" t="str">
            <v>TESTER-PGMU-ESFQ1</v>
          </cell>
          <cell r="D1279">
            <v>168.55</v>
          </cell>
        </row>
        <row r="1280">
          <cell r="C1280" t="str">
            <v>TESTER-PGMU-FRVSCB1</v>
          </cell>
          <cell r="D1280">
            <v>61.75</v>
          </cell>
        </row>
        <row r="1281">
          <cell r="C1281" t="str">
            <v>TESTER-PGMU-GLAN1</v>
          </cell>
          <cell r="D1281">
            <v>96.2</v>
          </cell>
        </row>
        <row r="1282">
          <cell r="C1282" t="str">
            <v>TESTER-PGMU-GLCH1</v>
          </cell>
          <cell r="D1282">
            <v>96.2</v>
          </cell>
        </row>
        <row r="1283">
          <cell r="C1283" t="str">
            <v>TESTER-PGMU-GLDB1</v>
          </cell>
          <cell r="D1283">
            <v>96.2</v>
          </cell>
        </row>
        <row r="1284">
          <cell r="C1284" t="str">
            <v>TESTER-PGMU-GLHH1</v>
          </cell>
          <cell r="D1284">
            <v>96.2</v>
          </cell>
        </row>
        <row r="1285">
          <cell r="C1285" t="str">
            <v>TESTER-PGMU-GLJJ1</v>
          </cell>
          <cell r="D1285">
            <v>96.2</v>
          </cell>
        </row>
        <row r="1286">
          <cell r="C1286" t="str">
            <v>TESTER-PGMU-GLMH1</v>
          </cell>
          <cell r="D1286">
            <v>96.2</v>
          </cell>
        </row>
        <row r="1287">
          <cell r="C1287" t="str">
            <v>TESTER-PGMU-GLRN1</v>
          </cell>
          <cell r="D1287">
            <v>96.2</v>
          </cell>
        </row>
        <row r="1288">
          <cell r="C1288" t="str">
            <v>TESTER-PGMU-GLTK1</v>
          </cell>
          <cell r="D1288">
            <v>96.2</v>
          </cell>
        </row>
        <row r="1289">
          <cell r="C1289" t="str">
            <v>TESTER-PGMU-GP1</v>
          </cell>
          <cell r="D1289">
            <v>68.577500000000001</v>
          </cell>
        </row>
        <row r="1290">
          <cell r="C1290" t="str">
            <v>TESTER-PGMU-HDGR1</v>
          </cell>
          <cell r="D1290">
            <v>120.58</v>
          </cell>
        </row>
        <row r="1291">
          <cell r="C1291" t="str">
            <v>TESTER-PGMU-IM1</v>
          </cell>
          <cell r="D1291">
            <v>61.98</v>
          </cell>
        </row>
        <row r="1292">
          <cell r="C1292" t="str">
            <v>TESTER-PGMU-KBM1</v>
          </cell>
          <cell r="D1292">
            <v>49.01</v>
          </cell>
        </row>
        <row r="1293">
          <cell r="C1293" t="str">
            <v>TESTER-PGMU-LCETCS1</v>
          </cell>
          <cell r="D1293">
            <v>87.9</v>
          </cell>
        </row>
        <row r="1294">
          <cell r="C1294" t="str">
            <v>TESTER-PGMU-LCETPF1</v>
          </cell>
          <cell r="D1294">
            <v>87.9</v>
          </cell>
        </row>
        <row r="1295">
          <cell r="C1295" t="str">
            <v>TESTER-PGMU-LCETTBT1</v>
          </cell>
          <cell r="D1295">
            <v>87.899999999999991</v>
          </cell>
        </row>
        <row r="1296">
          <cell r="C1296" t="str">
            <v>TESTER-PGMU-LLBB1</v>
          </cell>
          <cell r="D1296">
            <v>78.575999999999993</v>
          </cell>
        </row>
        <row r="1297">
          <cell r="C1297" t="str">
            <v>TESTER-PGMU-LLBM1</v>
          </cell>
          <cell r="D1297">
            <v>79.680000000000007</v>
          </cell>
        </row>
        <row r="1298">
          <cell r="C1298" t="str">
            <v>TESTER-PGMU-LLBN1</v>
          </cell>
          <cell r="D1298">
            <v>77.84</v>
          </cell>
        </row>
        <row r="1299">
          <cell r="C1299" t="str">
            <v>TESTER-PGMU-LLBT1</v>
          </cell>
          <cell r="D1299">
            <v>77.84</v>
          </cell>
        </row>
        <row r="1300">
          <cell r="C1300" t="str">
            <v>TESTER-PGMU-LLDS1</v>
          </cell>
          <cell r="D1300">
            <v>79.680000000000007</v>
          </cell>
        </row>
        <row r="1301">
          <cell r="C1301" t="str">
            <v>TESTER-PGMU-LLFR1</v>
          </cell>
          <cell r="D1301">
            <v>77.84</v>
          </cell>
        </row>
        <row r="1302">
          <cell r="C1302" t="str">
            <v>TESTER-PGMU-LLKP1</v>
          </cell>
          <cell r="D1302">
            <v>78.760000000000005</v>
          </cell>
        </row>
        <row r="1303">
          <cell r="C1303" t="str">
            <v>TESTER-PGMU-LLMD1</v>
          </cell>
          <cell r="D1303">
            <v>79.066666666666677</v>
          </cell>
        </row>
        <row r="1304">
          <cell r="C1304" t="str">
            <v>TESTER-PGMU-LLMM1</v>
          </cell>
          <cell r="D1304">
            <v>79.680000000000007</v>
          </cell>
        </row>
        <row r="1305">
          <cell r="C1305" t="str">
            <v>TESTER-PGMU-LLNF1</v>
          </cell>
          <cell r="D1305">
            <v>79.680000000000007</v>
          </cell>
        </row>
        <row r="1306">
          <cell r="C1306" t="str">
            <v>TESTER-PGMU-LLNO1</v>
          </cell>
          <cell r="D1306">
            <v>78.453333333333333</v>
          </cell>
        </row>
        <row r="1307">
          <cell r="C1307" t="str">
            <v>TESTER-PGMU-LLPC1</v>
          </cell>
          <cell r="D1307">
            <v>77.84</v>
          </cell>
        </row>
        <row r="1308">
          <cell r="C1308" t="str">
            <v>TESTER-PGMU-LLPCF1</v>
          </cell>
          <cell r="D1308">
            <v>79.680000000000007</v>
          </cell>
        </row>
        <row r="1309">
          <cell r="C1309" t="str">
            <v>TESTER-PGMU-LLPK1</v>
          </cell>
          <cell r="D1309">
            <v>77.84</v>
          </cell>
        </row>
        <row r="1310">
          <cell r="C1310" t="str">
            <v>TESTER-PGMU-LLPL1</v>
          </cell>
          <cell r="D1310">
            <v>79.679999999999993</v>
          </cell>
        </row>
        <row r="1311">
          <cell r="C1311" t="str">
            <v>TESTER-PGMU-LLRD1</v>
          </cell>
          <cell r="D1311">
            <v>79.680000000000007</v>
          </cell>
        </row>
        <row r="1312">
          <cell r="C1312" t="str">
            <v>TESTER-PGMU-LLRF1</v>
          </cell>
          <cell r="D1312">
            <v>77.84</v>
          </cell>
        </row>
        <row r="1313">
          <cell r="C1313" t="str">
            <v>TESTER-PGMU-LLRR1</v>
          </cell>
          <cell r="D1313">
            <v>79.680000000000007</v>
          </cell>
        </row>
        <row r="1314">
          <cell r="C1314" t="str">
            <v>TESTER-PGMU-LLSC1</v>
          </cell>
          <cell r="D1314">
            <v>79.066666666666677</v>
          </cell>
        </row>
        <row r="1315">
          <cell r="C1315" t="str">
            <v>TESTER-PGMU-LLSM1</v>
          </cell>
          <cell r="D1315">
            <v>79.066666666666677</v>
          </cell>
        </row>
        <row r="1316">
          <cell r="C1316" t="str">
            <v>TESTER-PGMU-LLSR1</v>
          </cell>
          <cell r="D1316">
            <v>79.680000000000007</v>
          </cell>
        </row>
        <row r="1317">
          <cell r="C1317" t="str">
            <v>TESTER-PGMU-LLSS1</v>
          </cell>
          <cell r="D1317">
            <v>79.680000000000007</v>
          </cell>
        </row>
        <row r="1318">
          <cell r="C1318" t="str">
            <v>TESTER-PGMU-LLTRS1</v>
          </cell>
          <cell r="D1318">
            <v>77.84</v>
          </cell>
        </row>
        <row r="1319">
          <cell r="C1319" t="str">
            <v>TESTER-PGMU-LLWS1</v>
          </cell>
          <cell r="D1319">
            <v>78.760000000000005</v>
          </cell>
        </row>
        <row r="1320">
          <cell r="C1320" t="str">
            <v>TESTER-PGMU-LLWT1</v>
          </cell>
          <cell r="D1320">
            <v>79.680000000000007</v>
          </cell>
        </row>
        <row r="1321">
          <cell r="C1321" t="str">
            <v>TESTER-PGMU-MCTM1</v>
          </cell>
          <cell r="D1321">
            <v>90.089999999999989</v>
          </cell>
        </row>
        <row r="1322">
          <cell r="C1322" t="str">
            <v>TESTER-PGMU-MEBB1</v>
          </cell>
          <cell r="D1322">
            <v>50.4</v>
          </cell>
        </row>
        <row r="1323">
          <cell r="C1323" t="str">
            <v>TESTER-PGMU-MEBR1</v>
          </cell>
          <cell r="D1323">
            <v>63.22</v>
          </cell>
        </row>
        <row r="1324">
          <cell r="C1324" t="str">
            <v>TESTER-PGMU-MEGE1</v>
          </cell>
          <cell r="D1324">
            <v>53.64</v>
          </cell>
        </row>
        <row r="1325">
          <cell r="C1325" t="str">
            <v>TESTER-PGMU-MLLAOT1</v>
          </cell>
          <cell r="D1325">
            <v>129.18</v>
          </cell>
        </row>
        <row r="1326">
          <cell r="C1326" t="str">
            <v>TESTER-PGMU-MLLBM1</v>
          </cell>
          <cell r="D1326">
            <v>129.18</v>
          </cell>
        </row>
        <row r="1327">
          <cell r="C1327" t="str">
            <v>TESTER-PGMU-MLLNT1</v>
          </cell>
          <cell r="D1327">
            <v>129.18</v>
          </cell>
        </row>
        <row r="1328">
          <cell r="C1328" t="str">
            <v>TESTER-PGMU-MLLTPS1</v>
          </cell>
          <cell r="D1328">
            <v>129.18</v>
          </cell>
        </row>
        <row r="1329">
          <cell r="C1329" t="str">
            <v>TESTER-PGMU-SFCN1</v>
          </cell>
          <cell r="D1329">
            <v>114.80999999999999</v>
          </cell>
        </row>
        <row r="1330">
          <cell r="C1330" t="str">
            <v>TESTER-PGMU-SFGB1</v>
          </cell>
          <cell r="D1330">
            <v>114.80999999999999</v>
          </cell>
        </row>
        <row r="1331">
          <cell r="C1331" t="str">
            <v>TESTER-PGMU-SFNA1</v>
          </cell>
          <cell r="D1331">
            <v>114.81</v>
          </cell>
        </row>
        <row r="1332">
          <cell r="C1332" t="str">
            <v>TESTER-PGMU-SFPI1</v>
          </cell>
          <cell r="D1332">
            <v>114.81</v>
          </cell>
        </row>
        <row r="1333">
          <cell r="C1333" t="str">
            <v>TESTER-PGMU-SFRC1</v>
          </cell>
          <cell r="D1333">
            <v>114.81</v>
          </cell>
        </row>
        <row r="1334">
          <cell r="C1334" t="str">
            <v>Tester-PGMU-SFWM1</v>
          </cell>
          <cell r="D1334">
            <v>114.81</v>
          </cell>
        </row>
        <row r="1335">
          <cell r="C1335" t="str">
            <v>TESTER-PGMU-SFWS1</v>
          </cell>
          <cell r="D1335">
            <v>114.81</v>
          </cell>
        </row>
        <row r="1336">
          <cell r="C1336" t="str">
            <v>TESTER-PGMU-SRM1</v>
          </cell>
          <cell r="D1336">
            <v>26</v>
          </cell>
        </row>
        <row r="1337">
          <cell r="C1337" t="str">
            <v>TESTER-PGMU-TLP1</v>
          </cell>
          <cell r="D1337">
            <v>91.39</v>
          </cell>
        </row>
        <row r="1338">
          <cell r="C1338" t="str">
            <v>TESTER-PGSAR-120HM1</v>
          </cell>
          <cell r="D1338">
            <v>100.13</v>
          </cell>
        </row>
        <row r="1339">
          <cell r="C1339" t="str">
            <v>TESTER-PGSAR-12HAS1</v>
          </cell>
          <cell r="D1339">
            <v>105.05000000000001</v>
          </cell>
        </row>
        <row r="1340">
          <cell r="C1340" t="str">
            <v>TESTER-PGSAR-HGT1</v>
          </cell>
          <cell r="D1340">
            <v>50.08</v>
          </cell>
        </row>
        <row r="1341">
          <cell r="C1341" t="str">
            <v>TESTER-PGSAR-OHC1</v>
          </cell>
          <cell r="D1341">
            <v>96.77</v>
          </cell>
        </row>
        <row r="1342">
          <cell r="C1342" t="str">
            <v>TESTER-PGSAR-PG1</v>
          </cell>
          <cell r="D1342">
            <v>70.400000000000006</v>
          </cell>
        </row>
        <row r="1343">
          <cell r="C1343" t="str">
            <v>TESTER-PGSFFWASH1</v>
          </cell>
          <cell r="D1343">
            <v>61.48</v>
          </cell>
        </row>
        <row r="1344">
          <cell r="C1344" t="str">
            <v>TESTER-PGSGCSERUM1</v>
          </cell>
          <cell r="D1344">
            <v>60.73</v>
          </cell>
        </row>
        <row r="1345">
          <cell r="C1345" t="str">
            <v>TESTER-PGSGMOISTURIZER1</v>
          </cell>
          <cell r="D1345">
            <v>66.328461538461553</v>
          </cell>
        </row>
        <row r="1346">
          <cell r="C1346" t="str">
            <v>TESTER-PGSGSMASK1</v>
          </cell>
          <cell r="D1346">
            <v>70.2</v>
          </cell>
        </row>
        <row r="1347">
          <cell r="C1347" t="str">
            <v>TESTER-PGSL-BLB1</v>
          </cell>
          <cell r="D1347">
            <v>26.27</v>
          </cell>
        </row>
        <row r="1348">
          <cell r="C1348" t="str">
            <v>TESTER-PGSL-BLS1</v>
          </cell>
          <cell r="D1348">
            <v>31.31</v>
          </cell>
        </row>
        <row r="1349">
          <cell r="C1349" t="str">
            <v>TESTER-PGSL-BLSC1</v>
          </cell>
          <cell r="D1349">
            <v>26.914999999999996</v>
          </cell>
        </row>
        <row r="1350">
          <cell r="C1350" t="str">
            <v>TESTER-PGSL-BLSM1</v>
          </cell>
          <cell r="D1350">
            <v>37.06</v>
          </cell>
        </row>
        <row r="1351">
          <cell r="C1351" t="str">
            <v>TESTER-PGSL-ELPRO1</v>
          </cell>
          <cell r="D1351">
            <v>28.82</v>
          </cell>
        </row>
        <row r="1352">
          <cell r="C1352" t="str">
            <v>TESTER-PGSL-PLS1</v>
          </cell>
          <cell r="D1352">
            <v>31.06</v>
          </cell>
        </row>
        <row r="1353">
          <cell r="C1353" t="str">
            <v>TESTER-PGSL-RRAAHS1</v>
          </cell>
          <cell r="D1353">
            <v>71.81</v>
          </cell>
        </row>
        <row r="1354">
          <cell r="C1354" t="str">
            <v>TESTER-PGSL-RWB1</v>
          </cell>
          <cell r="D1354">
            <v>34.880000000000003</v>
          </cell>
        </row>
        <row r="1355">
          <cell r="C1355" t="str">
            <v>TESTER-PGSL-SBLB1</v>
          </cell>
          <cell r="D1355">
            <v>25.930000000000003</v>
          </cell>
        </row>
        <row r="1356">
          <cell r="C1356" t="str">
            <v>TESTER-PGSL-SBLS1</v>
          </cell>
          <cell r="D1356">
            <v>31.11</v>
          </cell>
        </row>
        <row r="1357">
          <cell r="C1357" t="str">
            <v>TESTER-PGSL-SREO1</v>
          </cell>
          <cell r="D1357">
            <v>45.474000000000004</v>
          </cell>
        </row>
        <row r="1358">
          <cell r="C1358" t="str">
            <v>TESTER-PGSL-SRHGO1</v>
          </cell>
          <cell r="D1358">
            <v>61.997777777777777</v>
          </cell>
        </row>
        <row r="1359">
          <cell r="C1359" t="str">
            <v>TESTER-PGS-NGSS50</v>
          </cell>
          <cell r="D1359">
            <v>50.06</v>
          </cell>
        </row>
        <row r="1360">
          <cell r="C1360" t="str">
            <v>TESTER-PGSROUESERUM1</v>
          </cell>
          <cell r="D1360">
            <v>75.81</v>
          </cell>
        </row>
        <row r="1361">
          <cell r="C1361" t="str">
            <v>Tester-PGS-SGBL1</v>
          </cell>
          <cell r="D1361">
            <v>91.35</v>
          </cell>
        </row>
        <row r="1362">
          <cell r="C1362" t="str">
            <v>TESTER-PGSS-UMSST1</v>
          </cell>
          <cell r="D1362">
            <v>112.63</v>
          </cell>
        </row>
        <row r="1363">
          <cell r="C1363" t="str">
            <v>TESTER-PGSTMIST1</v>
          </cell>
          <cell r="D1363">
            <v>32.03</v>
          </cell>
        </row>
        <row r="1364">
          <cell r="C1364" t="str">
            <v>TESTER-PGSUECREAM1</v>
          </cell>
          <cell r="D1364">
            <v>69.61</v>
          </cell>
        </row>
        <row r="1365">
          <cell r="C1365" t="str">
            <v>TESTER-PGVFC1</v>
          </cell>
          <cell r="D1365">
            <v>53.202222222222218</v>
          </cell>
        </row>
        <row r="1366">
          <cell r="C1366" t="str">
            <v>TESTER-PGVFM1</v>
          </cell>
          <cell r="D1366">
            <v>37.17</v>
          </cell>
        </row>
        <row r="1367">
          <cell r="C1367" t="str">
            <v>TESTER-PGVFMT1</v>
          </cell>
          <cell r="D1367">
            <v>25.264285714285712</v>
          </cell>
        </row>
        <row r="1368">
          <cell r="C1368" t="str">
            <v>Tester-PGV-FRVBL1</v>
          </cell>
          <cell r="D1368">
            <v>79.760000000000005</v>
          </cell>
        </row>
        <row r="1369">
          <cell r="C1369" t="str">
            <v>TESTER-PGVFS</v>
          </cell>
          <cell r="D1369">
            <v>60.46</v>
          </cell>
        </row>
        <row r="1370">
          <cell r="C1370" t="str">
            <v>TESTER-PGVFS1</v>
          </cell>
          <cell r="D1370">
            <v>41.09</v>
          </cell>
        </row>
        <row r="1371">
          <cell r="C1371" t="str">
            <v>TESTER-PGVFW1</v>
          </cell>
          <cell r="D1371">
            <v>35.085999999999999</v>
          </cell>
        </row>
        <row r="1372">
          <cell r="C1372" t="str">
            <v>TESTER-PGVNGC1</v>
          </cell>
          <cell r="D1372">
            <v>41.87</v>
          </cell>
        </row>
        <row r="1373">
          <cell r="C1373" t="str">
            <v>TESTER-PGVUEC1</v>
          </cell>
          <cell r="D1373">
            <v>40.090000000000003</v>
          </cell>
        </row>
        <row r="1374">
          <cell r="C1374" t="str">
            <v>TESTER-PGKFW1</v>
          </cell>
          <cell r="D1374">
            <v>38.68</v>
          </cell>
        </row>
        <row r="1375">
          <cell r="C1375" t="str">
            <v>TESTER-PGKSGFFW1</v>
          </cell>
          <cell r="D1375">
            <v>66.899999999999991</v>
          </cell>
        </row>
        <row r="1376">
          <cell r="C1376" t="str">
            <v>TESTER-PGKFFW1B</v>
          </cell>
          <cell r="D1376">
            <v>61.72</v>
          </cell>
        </row>
        <row r="1377">
          <cell r="C1377" t="str">
            <v>TESTER-PGASS</v>
          </cell>
          <cell r="D1377">
            <v>92.44</v>
          </cell>
        </row>
        <row r="1378">
          <cell r="C1378" t="str">
            <v>TESTER-PGKHM1</v>
          </cell>
          <cell r="D1378">
            <v>102.91</v>
          </cell>
        </row>
        <row r="1379">
          <cell r="C1379" t="str">
            <v>TESTER-PGK24K-GGFW1</v>
          </cell>
          <cell r="D1379">
            <v>53.91</v>
          </cell>
        </row>
        <row r="1380">
          <cell r="C1380" t="str">
            <v>TESTER-PGKS-RAHHM1</v>
          </cell>
          <cell r="D1380">
            <v>60.9</v>
          </cell>
        </row>
        <row r="1381">
          <cell r="C1381" t="str">
            <v>TESTER-PGATT-ADC1</v>
          </cell>
          <cell r="D1381">
            <v>41.552</v>
          </cell>
        </row>
        <row r="1382">
          <cell r="C1382" t="str">
            <v>TESTER-PGATT-ADS1</v>
          </cell>
          <cell r="D1382">
            <v>60.216666666666661</v>
          </cell>
        </row>
        <row r="1383">
          <cell r="C1383" t="str">
            <v>TESTER-PGSBSL-5LGA</v>
          </cell>
          <cell r="D1383">
            <v>66.42</v>
          </cell>
        </row>
        <row r="1384">
          <cell r="C1384" t="str">
            <v>TESTER1-PGATT-EO1</v>
          </cell>
          <cell r="D1384">
            <v>55.05</v>
          </cell>
        </row>
        <row r="1385">
          <cell r="C1385" t="str">
            <v>TESTER-PGATT-ADHM1</v>
          </cell>
          <cell r="D1385">
            <v>57.620000000000005</v>
          </cell>
        </row>
        <row r="1386">
          <cell r="C1386" t="str">
            <v>TESTER-PGATT-PFFW1</v>
          </cell>
          <cell r="D1386">
            <v>62.99</v>
          </cell>
        </row>
        <row r="1387">
          <cell r="C1387" t="str">
            <v>TESTER-PGAVC-DBFKPR1</v>
          </cell>
          <cell r="D1387">
            <v>70.5</v>
          </cell>
        </row>
        <row r="1388">
          <cell r="C1388" t="str">
            <v>TESTER-PGK-NOSLGS50</v>
          </cell>
          <cell r="D1388">
            <v>87.59</v>
          </cell>
        </row>
        <row r="1389">
          <cell r="C1389" t="str">
            <v>TESTER-PG-ANVCBGFW1</v>
          </cell>
          <cell r="D1389">
            <v>23.39</v>
          </cell>
        </row>
        <row r="1390">
          <cell r="C1390" t="str">
            <v>Tester-PGATT-EO1</v>
          </cell>
          <cell r="D1390">
            <v>55.05</v>
          </cell>
        </row>
        <row r="1391">
          <cell r="C1391" t="str">
            <v>TESTER-PG-FRVYGFW1</v>
          </cell>
          <cell r="D1391">
            <v>26.96</v>
          </cell>
        </row>
        <row r="1392">
          <cell r="C1392" t="str">
            <v>TESTER-PGGTM-RAHCS1</v>
          </cell>
          <cell r="D1392">
            <v>53.14</v>
          </cell>
        </row>
        <row r="1393">
          <cell r="C1393" t="str">
            <v>TESTER-PGKS-RAHC1</v>
          </cell>
          <cell r="D1393">
            <v>53.669999999999995</v>
          </cell>
        </row>
        <row r="1394">
          <cell r="C1394" t="str">
            <v>TESTER-PGMU-ESMS1</v>
          </cell>
          <cell r="D1394">
            <v>168.55</v>
          </cell>
        </row>
        <row r="1395">
          <cell r="C1395" t="str">
            <v>TESTER-PGSAR-HFW1</v>
          </cell>
          <cell r="D1395">
            <v>48.72</v>
          </cell>
        </row>
        <row r="1396">
          <cell r="C1396" t="str">
            <v>TESTER-PGSL-SRAHC1</v>
          </cell>
          <cell r="D1396">
            <v>49.06</v>
          </cell>
        </row>
        <row r="1397">
          <cell r="C1397" t="str">
            <v>TESTER-PGSL-SRAHM1</v>
          </cell>
          <cell r="D1397">
            <v>59.82</v>
          </cell>
        </row>
        <row r="1398">
          <cell r="C1398" t="str">
            <v>TESTER-PGSL-SRAHS1</v>
          </cell>
          <cell r="D1398">
            <v>50.854210526315775</v>
          </cell>
        </row>
        <row r="1399">
          <cell r="C1399" t="str">
            <v>TESTER-PG-VLAOCFW1</v>
          </cell>
          <cell r="D1399">
            <v>23.39</v>
          </cell>
        </row>
        <row r="1400">
          <cell r="C1400" t="str">
            <v>TESTER1-PGAVC-DBFKPR1</v>
          </cell>
          <cell r="D1400">
            <v>70.5</v>
          </cell>
        </row>
        <row r="1401">
          <cell r="C1401" t="str">
            <v>TESTER1-PGK-ACFS50</v>
          </cell>
          <cell r="D1401">
            <v>84.2</v>
          </cell>
        </row>
        <row r="1402">
          <cell r="C1402" t="str">
            <v>TESTER1-PGK-NOSLGS50</v>
          </cell>
          <cell r="D1402">
            <v>87.59</v>
          </cell>
        </row>
        <row r="1403">
          <cell r="C1403" t="str">
            <v>TESTER1-PGK-WLTS50</v>
          </cell>
          <cell r="D1403">
            <v>91.25</v>
          </cell>
        </row>
        <row r="1404">
          <cell r="C1404" t="str">
            <v>TESTER-PGASC</v>
          </cell>
          <cell r="D1404">
            <v>77.739999999999995</v>
          </cell>
        </row>
        <row r="1405">
          <cell r="C1405" t="str">
            <v>TESTER-PGK-HGM100</v>
          </cell>
          <cell r="D1405">
            <v>64.38</v>
          </cell>
        </row>
        <row r="1406">
          <cell r="C1406" t="str">
            <v>TESTER1-PGA-VCBLGS60</v>
          </cell>
          <cell r="D1406">
            <v>85.96</v>
          </cell>
        </row>
        <row r="1407">
          <cell r="C1407" t="str">
            <v>TESTER-PGK-HGM50</v>
          </cell>
          <cell r="D1407">
            <v>40.33</v>
          </cell>
        </row>
        <row r="1408">
          <cell r="C1408" t="str">
            <v>TSTR-PGMU-FSLV1</v>
          </cell>
          <cell r="D1408">
            <v>147.47</v>
          </cell>
        </row>
        <row r="1409">
          <cell r="C1409" t="str">
            <v>TSTR-PGMU-FSDM1</v>
          </cell>
          <cell r="D1409">
            <v>147.47</v>
          </cell>
        </row>
        <row r="1410">
          <cell r="C1410" t="str">
            <v>TSTR-PGMU-FSCA1</v>
          </cell>
          <cell r="D1410">
            <v>147.47</v>
          </cell>
        </row>
        <row r="1411">
          <cell r="C1411" t="str">
            <v>TSTR-PGMU-FSRW1</v>
          </cell>
          <cell r="D1411">
            <v>147.47</v>
          </cell>
        </row>
        <row r="1412">
          <cell r="C1412" t="str">
            <v>TSTR-PGMU-FSLB1</v>
          </cell>
          <cell r="D1412">
            <v>147.47</v>
          </cell>
        </row>
        <row r="1413">
          <cell r="C1413" t="str">
            <v>TSTR-PGMU-FSMS1</v>
          </cell>
          <cell r="D1413">
            <v>147.47</v>
          </cell>
        </row>
        <row r="1414">
          <cell r="C1414" t="str">
            <v>TSTR-PGMU-FSCN1</v>
          </cell>
          <cell r="D1414">
            <v>147.47</v>
          </cell>
        </row>
        <row r="1418">
          <cell r="C1418" t="str">
            <v>PG-GWP-WT</v>
          </cell>
          <cell r="D1418">
            <v>300</v>
          </cell>
        </row>
        <row r="1419">
          <cell r="C1419" t="str">
            <v>PGK-5CBRM2</v>
          </cell>
          <cell r="D1419">
            <v>112.6</v>
          </cell>
        </row>
        <row r="1420">
          <cell r="C1420" t="str">
            <v>PG-TSB-ES1</v>
          </cell>
          <cell r="D1420">
            <v>203</v>
          </cell>
        </row>
        <row r="1421">
          <cell r="C1421" t="str">
            <v>PG-TSB-L1</v>
          </cell>
          <cell r="D1421">
            <v>203</v>
          </cell>
        </row>
        <row r="1422">
          <cell r="C1422" t="str">
            <v>PG-TSB-M1</v>
          </cell>
          <cell r="D1422">
            <v>203</v>
          </cell>
        </row>
        <row r="1423">
          <cell r="C1423" t="str">
            <v>PG-TSB-S1</v>
          </cell>
          <cell r="D1423">
            <v>203</v>
          </cell>
        </row>
        <row r="1424">
          <cell r="C1424" t="str">
            <v>PG-TSB-XL1</v>
          </cell>
          <cell r="D1424">
            <v>203</v>
          </cell>
        </row>
        <row r="1425">
          <cell r="C1425" t="str">
            <v>PG-TSE-ES1</v>
          </cell>
          <cell r="D1425">
            <v>234</v>
          </cell>
        </row>
        <row r="1426">
          <cell r="C1426" t="str">
            <v>PG-TSE-L1</v>
          </cell>
          <cell r="D1426">
            <v>234</v>
          </cell>
        </row>
        <row r="1427">
          <cell r="C1427" t="str">
            <v>PG-TSE-M1</v>
          </cell>
          <cell r="D1427">
            <v>234</v>
          </cell>
        </row>
        <row r="1428">
          <cell r="C1428" t="str">
            <v>PG-TSE-S1</v>
          </cell>
          <cell r="D1428">
            <v>234</v>
          </cell>
        </row>
        <row r="1429">
          <cell r="C1429" t="str">
            <v>PG-TSE-XL1</v>
          </cell>
          <cell r="D1429">
            <v>234</v>
          </cell>
        </row>
        <row r="1430">
          <cell r="C1430" t="str">
            <v>PG-TSL-ES1</v>
          </cell>
          <cell r="D1430">
            <v>234</v>
          </cell>
        </row>
        <row r="1431">
          <cell r="C1431" t="str">
            <v>PG-TSL-L1</v>
          </cell>
          <cell r="D1431">
            <v>234</v>
          </cell>
        </row>
        <row r="1432">
          <cell r="C1432" t="str">
            <v>PG-TSL-M1</v>
          </cell>
          <cell r="D1432">
            <v>234</v>
          </cell>
        </row>
        <row r="1433">
          <cell r="C1433" t="str">
            <v>PG-TSL-S1</v>
          </cell>
          <cell r="D1433">
            <v>234</v>
          </cell>
        </row>
        <row r="1434">
          <cell r="C1434" t="str">
            <v>PG-TSL-XL1</v>
          </cell>
          <cell r="D1434">
            <v>234</v>
          </cell>
        </row>
        <row r="1435">
          <cell r="C1435" t="str">
            <v>PGV-FRVBL2</v>
          </cell>
          <cell r="D1435">
            <v>159.52000000000001</v>
          </cell>
        </row>
        <row r="1436">
          <cell r="C1436" t="str">
            <v>PGV-FRVBL3</v>
          </cell>
          <cell r="D1436">
            <v>239.28</v>
          </cell>
        </row>
        <row r="1437">
          <cell r="C1437" t="str">
            <v>PGGB-KBSSHSGBOX</v>
          </cell>
          <cell r="D1437">
            <v>250</v>
          </cell>
        </row>
        <row r="1438">
          <cell r="C1438" t="str">
            <v>PGGB-PSGBOX</v>
          </cell>
          <cell r="D1438">
            <v>250</v>
          </cell>
        </row>
        <row r="1439">
          <cell r="C1439" t="str">
            <v>PGMU-LCETTBT01</v>
          </cell>
          <cell r="D1439">
            <v>87.9</v>
          </cell>
        </row>
        <row r="1440">
          <cell r="C1440" t="str">
            <v>PGSAR-POSMDU1</v>
          </cell>
          <cell r="D1440">
            <v>875</v>
          </cell>
        </row>
        <row r="1441">
          <cell r="C1441" t="str">
            <v>TTBlush</v>
          </cell>
          <cell r="D1441">
            <v>86.7</v>
          </cell>
        </row>
        <row r="1442">
          <cell r="C1442" t="str">
            <v>PGIS-FT1</v>
          </cell>
          <cell r="D1442">
            <v>39</v>
          </cell>
        </row>
        <row r="1443">
          <cell r="C1443" t="str">
            <v>PGIS-GMGK1</v>
          </cell>
          <cell r="D1443">
            <v>200</v>
          </cell>
        </row>
        <row r="1444">
          <cell r="C1444" t="str">
            <v>PGSUECREAM01</v>
          </cell>
          <cell r="D1444">
            <v>69.95</v>
          </cell>
        </row>
        <row r="1445">
          <cell r="C1445" t="str">
            <v>PG-SPOSM1</v>
          </cell>
          <cell r="D1445">
            <v>70</v>
          </cell>
        </row>
        <row r="1446">
          <cell r="C1446" t="str">
            <v>PG-CL25</v>
          </cell>
          <cell r="D1446">
            <v>27.5</v>
          </cell>
        </row>
        <row r="1447">
          <cell r="C1447" t="str">
            <v>PG-OFTC2</v>
          </cell>
          <cell r="D1447">
            <v>34</v>
          </cell>
        </row>
        <row r="1448">
          <cell r="C1448" t="str">
            <v>PG-OFTC1</v>
          </cell>
          <cell r="D1448">
            <v>34</v>
          </cell>
        </row>
        <row r="1450">
          <cell r="C1450" t="str">
            <v>PG-DPRB2</v>
          </cell>
          <cell r="D1450">
            <v>65</v>
          </cell>
        </row>
        <row r="1451">
          <cell r="C1451" t="str">
            <v>PG-DPRPB2</v>
          </cell>
          <cell r="D1451">
            <v>65</v>
          </cell>
        </row>
        <row r="1452">
          <cell r="C1452" t="str">
            <v>PGIS-WC1</v>
          </cell>
          <cell r="D1452">
            <v>65</v>
          </cell>
        </row>
        <row r="1453">
          <cell r="C1453" t="str">
            <v>PGKNSDC1</v>
          </cell>
          <cell r="D1453">
            <v>65</v>
          </cell>
        </row>
        <row r="1454">
          <cell r="C1454" t="str">
            <v>PG-OFFTTU</v>
          </cell>
          <cell r="D1454">
            <v>65</v>
          </cell>
        </row>
        <row r="1455">
          <cell r="C1455" t="str">
            <v>PGSB</v>
          </cell>
          <cell r="D1455">
            <v>65</v>
          </cell>
        </row>
        <row r="1456">
          <cell r="C1456" t="str">
            <v>PGSL-PB1</v>
          </cell>
          <cell r="D1456">
            <v>65</v>
          </cell>
        </row>
        <row r="1457">
          <cell r="C1457" t="str">
            <v>PGS-SGBL2</v>
          </cell>
          <cell r="D1457">
            <v>65</v>
          </cell>
        </row>
        <row r="1458">
          <cell r="C1458" t="str">
            <v>PGS-SGFRVBL</v>
          </cell>
          <cell r="D1458">
            <v>65</v>
          </cell>
        </row>
        <row r="1459">
          <cell r="C1459" t="str">
            <v>TTCOMPACT</v>
          </cell>
          <cell r="D1459">
            <v>65</v>
          </cell>
        </row>
        <row r="1460">
          <cell r="C1460" t="str">
            <v>TTHighlighter</v>
          </cell>
          <cell r="D1460">
            <v>65</v>
          </cell>
        </row>
        <row r="1464">
          <cell r="C1464" t="str">
            <v>PG-GWP-BTP1</v>
          </cell>
          <cell r="D1464">
            <v>45</v>
          </cell>
        </row>
        <row r="1465">
          <cell r="C1465" t="str">
            <v>PG-GWP-P1</v>
          </cell>
          <cell r="D1465">
            <v>70</v>
          </cell>
        </row>
        <row r="1466">
          <cell r="C1466" t="str">
            <v>PG-GWP-RB1</v>
          </cell>
          <cell r="D1466">
            <v>30</v>
          </cell>
        </row>
        <row r="1467">
          <cell r="C1467" t="str">
            <v>PG-GWP-RSV1</v>
          </cell>
          <cell r="D1467">
            <v>110</v>
          </cell>
        </row>
        <row r="1468">
          <cell r="C1468" t="str">
            <v>PG-GWP-TFHB1</v>
          </cell>
          <cell r="D1468">
            <v>55</v>
          </cell>
        </row>
        <row r="1469">
          <cell r="C1469" t="str">
            <v>PG-AN1</v>
          </cell>
          <cell r="D1469">
            <v>1.2</v>
          </cell>
        </row>
        <row r="1470">
          <cell r="C1470" t="str">
            <v>PG-DO1</v>
          </cell>
          <cell r="D1470">
            <v>235</v>
          </cell>
        </row>
        <row r="1471">
          <cell r="C1471" t="str">
            <v>PG-DPRB2</v>
          </cell>
          <cell r="D1471">
            <v>65</v>
          </cell>
        </row>
        <row r="1472">
          <cell r="C1472" t="str">
            <v>PGGB-KBGSFCGS1</v>
          </cell>
          <cell r="D1472">
            <v>410.87</v>
          </cell>
        </row>
        <row r="1473">
          <cell r="C1473" t="str">
            <v>PGGB-KBSPFKGB</v>
          </cell>
          <cell r="D1473">
            <v>469.02</v>
          </cell>
        </row>
        <row r="1474">
          <cell r="C1474" t="str">
            <v>PGIS-BP1</v>
          </cell>
          <cell r="D1474">
            <v>70</v>
          </cell>
        </row>
        <row r="1475">
          <cell r="C1475" t="str">
            <v>PGIS-DAGGK1</v>
          </cell>
          <cell r="D1475">
            <v>209.82923076923078</v>
          </cell>
        </row>
        <row r="1476">
          <cell r="C1476" t="str">
            <v>PGIS-DLNSK</v>
          </cell>
          <cell r="D1476">
            <v>360.81028571428573</v>
          </cell>
        </row>
        <row r="1477">
          <cell r="C1477" t="str">
            <v>PGIS-DLNSK1</v>
          </cell>
          <cell r="D1477">
            <v>360.81028571428573</v>
          </cell>
        </row>
        <row r="1478">
          <cell r="C1478" t="str">
            <v>PGIS-DSGGK1</v>
          </cell>
          <cell r="D1478">
            <v>449.82923076923078</v>
          </cell>
        </row>
        <row r="1479">
          <cell r="C1479" t="str">
            <v>PGIS-G24KGFK1</v>
          </cell>
          <cell r="D1479">
            <v>473.3</v>
          </cell>
        </row>
        <row r="1480">
          <cell r="C1480" t="str">
            <v>PGIS-MSGK1</v>
          </cell>
          <cell r="D1480">
            <v>471.99923076923073</v>
          </cell>
        </row>
        <row r="1481">
          <cell r="C1481" t="str">
            <v>PGIS-S24KGFK1</v>
          </cell>
          <cell r="D1481">
            <v>169.94</v>
          </cell>
        </row>
        <row r="1482">
          <cell r="C1482" t="str">
            <v>PGIS-SHEGK1</v>
          </cell>
          <cell r="D1482">
            <v>523.44000000000005</v>
          </cell>
        </row>
        <row r="1483">
          <cell r="C1483" t="str">
            <v>PGIS-SSHEGK1</v>
          </cell>
          <cell r="D1483">
            <v>495.59000000000003</v>
          </cell>
        </row>
        <row r="1484">
          <cell r="C1484" t="str">
            <v>PGIS-WC1</v>
          </cell>
        </row>
        <row r="1485">
          <cell r="C1485" t="str">
            <v>PGK-HASSG50</v>
          </cell>
          <cell r="D1485">
            <v>61.06</v>
          </cell>
        </row>
        <row r="1486">
          <cell r="C1486" t="str">
            <v>PGMGB1</v>
          </cell>
        </row>
        <row r="1487">
          <cell r="C1487" t="str">
            <v>PG-OFFTTU</v>
          </cell>
        </row>
        <row r="1488">
          <cell r="C1488" t="str">
            <v>PGSL-PB1</v>
          </cell>
        </row>
        <row r="1489">
          <cell r="C1489" t="str">
            <v>PGSR-PBHT1</v>
          </cell>
          <cell r="D1489">
            <v>1932.66</v>
          </cell>
        </row>
        <row r="1490">
          <cell r="C1490" t="str">
            <v>PGSR-PNHT1</v>
          </cell>
          <cell r="D1490">
            <v>2532.66</v>
          </cell>
        </row>
        <row r="1491">
          <cell r="C1491" t="str">
            <v>POTB1</v>
          </cell>
          <cell r="D1491">
            <v>100</v>
          </cell>
        </row>
        <row r="1492">
          <cell r="C1492" t="str">
            <v>PGSA-B1</v>
          </cell>
          <cell r="D1492">
            <v>11</v>
          </cell>
        </row>
        <row r="1493">
          <cell r="C1493" t="str">
            <v>PGSA-BO1</v>
          </cell>
          <cell r="D1493">
            <v>24</v>
          </cell>
        </row>
        <row r="1494">
          <cell r="C1494" t="str">
            <v>PGSR-VCFK1</v>
          </cell>
          <cell r="D1494">
            <v>174.51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P_24-25"/>
      <sheetName val="PA_24-25"/>
      <sheetName val="SCP_25-26"/>
      <sheetName val="PA_25-26"/>
      <sheetName val="PR_25-26"/>
    </sheetNames>
    <sheetDataSet>
      <sheetData sheetId="0">
        <row r="1">
          <cell r="B1" t="str">
            <v>Jan</v>
          </cell>
          <cell r="C1" t="str">
            <v>Feb</v>
          </cell>
          <cell r="D1" t="str">
            <v>March</v>
          </cell>
        </row>
        <row r="2">
          <cell r="A2" t="str">
            <v>MINI-PGS-NGSSSO</v>
          </cell>
          <cell r="B2">
            <v>14.95</v>
          </cell>
          <cell r="C2">
            <v>14.95</v>
          </cell>
          <cell r="D2">
            <v>14.949999999999998</v>
          </cell>
        </row>
        <row r="3">
          <cell r="A3" t="str">
            <v>MINIS-ATTPT1</v>
          </cell>
          <cell r="B3">
            <v>14.33</v>
          </cell>
          <cell r="C3">
            <v>14.59</v>
          </cell>
          <cell r="D3">
            <v>14.59</v>
          </cell>
        </row>
        <row r="4">
          <cell r="A4" t="str">
            <v>MINIS-KAAS1</v>
          </cell>
          <cell r="B4">
            <v>15.5</v>
          </cell>
          <cell r="C4">
            <v>15.5</v>
          </cell>
          <cell r="D4">
            <v>15.5</v>
          </cell>
        </row>
        <row r="5">
          <cell r="A5" t="str">
            <v>MINIS-KFMT1</v>
          </cell>
          <cell r="B5">
            <v>13.06</v>
          </cell>
          <cell r="C5">
            <v>13.06</v>
          </cell>
          <cell r="D5">
            <v>13.06</v>
          </cell>
        </row>
        <row r="6">
          <cell r="A6" t="str">
            <v>MINIS-KLFS1</v>
          </cell>
          <cell r="B6">
            <v>19.37</v>
          </cell>
          <cell r="C6">
            <v>19.37</v>
          </cell>
          <cell r="D6">
            <v>20.65</v>
          </cell>
        </row>
        <row r="7">
          <cell r="A7" t="str">
            <v>MINIS-KUEC1</v>
          </cell>
          <cell r="B7">
            <v>18.27</v>
          </cell>
          <cell r="C7">
            <v>18.27</v>
          </cell>
          <cell r="D7">
            <v>18.22</v>
          </cell>
        </row>
        <row r="8">
          <cell r="A8" t="str">
            <v>MINIS-SFMT1</v>
          </cell>
          <cell r="B8">
            <v>14.330000000000002</v>
          </cell>
          <cell r="C8">
            <v>14.330000000000002</v>
          </cell>
          <cell r="D8">
            <v>14.330000000000002</v>
          </cell>
        </row>
        <row r="9">
          <cell r="A9" t="str">
            <v>MINIS-SGSM1</v>
          </cell>
          <cell r="B9">
            <v>16.059999999999999</v>
          </cell>
          <cell r="C9">
            <v>16.059999999999999</v>
          </cell>
          <cell r="D9">
            <v>16.059999999999999</v>
          </cell>
        </row>
        <row r="10">
          <cell r="A10" t="str">
            <v>MINIS-VFMT1</v>
          </cell>
          <cell r="B10">
            <v>12.53</v>
          </cell>
          <cell r="C10">
            <v>12.53</v>
          </cell>
          <cell r="D10">
            <v>12.53</v>
          </cell>
        </row>
        <row r="11">
          <cell r="A11" t="str">
            <v>MINIS-VFS1</v>
          </cell>
          <cell r="B11">
            <v>17.11</v>
          </cell>
          <cell r="C11">
            <v>17.11</v>
          </cell>
          <cell r="D11">
            <v>17.11</v>
          </cell>
        </row>
        <row r="12">
          <cell r="A12" t="str">
            <v>PG24K-GFK1</v>
          </cell>
          <cell r="B12">
            <v>94.560000000000016</v>
          </cell>
          <cell r="C12">
            <v>94.56</v>
          </cell>
          <cell r="D12">
            <v>94.559999999999988</v>
          </cell>
        </row>
        <row r="13">
          <cell r="A13" t="str">
            <v>PG24K-GFKMSP1</v>
          </cell>
          <cell r="B13">
            <v>422.76</v>
          </cell>
          <cell r="C13">
            <v>422.76</v>
          </cell>
          <cell r="D13">
            <v>424.71</v>
          </cell>
        </row>
        <row r="14">
          <cell r="A14" t="str">
            <v>PGA-10VCFS10</v>
          </cell>
          <cell r="B14">
            <v>35.381111111111117</v>
          </cell>
          <cell r="C14">
            <v>34.377142857142857</v>
          </cell>
          <cell r="D14">
            <v>34.455294117647057</v>
          </cell>
        </row>
        <row r="15">
          <cell r="A15" t="str">
            <v>PGA-10VCFS30</v>
          </cell>
          <cell r="B15">
            <v>80.880000000000038</v>
          </cell>
          <cell r="C15">
            <v>73.423333333333332</v>
          </cell>
          <cell r="D15">
            <v>71.819000000000003</v>
          </cell>
        </row>
        <row r="16">
          <cell r="A16" t="str">
            <v>PGA-15VCFS20</v>
          </cell>
          <cell r="B16">
            <v>77.92</v>
          </cell>
          <cell r="C16">
            <v>77.795000000000002</v>
          </cell>
          <cell r="D16">
            <v>76.260909090909081</v>
          </cell>
        </row>
        <row r="17">
          <cell r="A17" t="str">
            <v>PGAAGHS</v>
          </cell>
          <cell r="B17">
            <v>100.49</v>
          </cell>
          <cell r="C17">
            <v>100.49</v>
          </cell>
          <cell r="D17">
            <v>99.63</v>
          </cell>
        </row>
        <row r="18">
          <cell r="A18" t="str">
            <v>PGAHM</v>
          </cell>
          <cell r="B18">
            <v>85.41</v>
          </cell>
          <cell r="C18">
            <v>85.410000000000011</v>
          </cell>
          <cell r="D18">
            <v>85.41</v>
          </cell>
        </row>
        <row r="19">
          <cell r="A19" t="str">
            <v>PGALIC</v>
          </cell>
          <cell r="B19">
            <v>45.01</v>
          </cell>
          <cell r="C19">
            <v>45.01</v>
          </cell>
          <cell r="D19">
            <v>45.01</v>
          </cell>
        </row>
        <row r="20">
          <cell r="A20" t="str">
            <v>PG-ANVCBGFW1</v>
          </cell>
          <cell r="B20">
            <v>23.39</v>
          </cell>
          <cell r="C20">
            <v>23.39</v>
          </cell>
          <cell r="D20">
            <v>23.39</v>
          </cell>
        </row>
        <row r="21">
          <cell r="A21" t="str">
            <v>PGASC</v>
          </cell>
          <cell r="B21">
            <v>77.739999999999995</v>
          </cell>
          <cell r="C21">
            <v>77.739999999999995</v>
          </cell>
          <cell r="D21">
            <v>77.739999999999995</v>
          </cell>
        </row>
        <row r="22">
          <cell r="A22" t="str">
            <v>PGASHO</v>
          </cell>
          <cell r="B22">
            <v>63.870000000000005</v>
          </cell>
          <cell r="C22">
            <v>63.870000000000005</v>
          </cell>
          <cell r="D22">
            <v>67.05</v>
          </cell>
        </row>
        <row r="23">
          <cell r="A23" t="str">
            <v>PGASHS</v>
          </cell>
          <cell r="B23">
            <v>113.26</v>
          </cell>
          <cell r="C23">
            <v>113.26</v>
          </cell>
          <cell r="D23">
            <v>113.26</v>
          </cell>
        </row>
        <row r="24">
          <cell r="A24" t="str">
            <v>PGASS</v>
          </cell>
          <cell r="B24">
            <v>92.440000000000012</v>
          </cell>
          <cell r="C24">
            <v>92.44</v>
          </cell>
          <cell r="D24">
            <v>82.6</v>
          </cell>
        </row>
        <row r="25">
          <cell r="A25" t="str">
            <v>PGASSCRUB</v>
          </cell>
          <cell r="B25">
            <v>79.260000000000005</v>
          </cell>
          <cell r="C25">
            <v>79.260000000000005</v>
          </cell>
          <cell r="D25">
            <v>79.260000000000005</v>
          </cell>
        </row>
        <row r="26">
          <cell r="A26" t="str">
            <v>PGATT-10NBRS1</v>
          </cell>
          <cell r="B26">
            <v>52.11</v>
          </cell>
          <cell r="C26">
            <v>52.11</v>
          </cell>
          <cell r="D26">
            <v>52.11</v>
          </cell>
        </row>
        <row r="27">
          <cell r="A27" t="str">
            <v>PG-ATTAAGW1</v>
          </cell>
          <cell r="B27">
            <v>23.39</v>
          </cell>
          <cell r="C27">
            <v>23.68</v>
          </cell>
          <cell r="D27">
            <v>23.39</v>
          </cell>
        </row>
        <row r="28">
          <cell r="A28" t="str">
            <v>PGATT-ADC1</v>
          </cell>
          <cell r="B28">
            <v>40.32</v>
          </cell>
          <cell r="C28">
            <v>41.552</v>
          </cell>
          <cell r="D28">
            <v>41.552</v>
          </cell>
        </row>
        <row r="29">
          <cell r="A29" t="str">
            <v>PGATT-ADHM1</v>
          </cell>
          <cell r="B29">
            <v>57.620000000000005</v>
          </cell>
          <cell r="C29">
            <v>57.620000000000005</v>
          </cell>
          <cell r="D29">
            <v>57.620000000000005</v>
          </cell>
        </row>
        <row r="30">
          <cell r="A30" t="str">
            <v>PGATT-ADS1</v>
          </cell>
          <cell r="B30">
            <v>60.34</v>
          </cell>
          <cell r="C30">
            <v>60.269000000000005</v>
          </cell>
          <cell r="D30">
            <v>60.216666666666661</v>
          </cell>
        </row>
        <row r="31">
          <cell r="A31" t="str">
            <v>PGATT-ADSS1</v>
          </cell>
          <cell r="B31">
            <v>90.89</v>
          </cell>
          <cell r="C31">
            <v>90.48</v>
          </cell>
          <cell r="D31">
            <v>90.48</v>
          </cell>
        </row>
        <row r="32">
          <cell r="A32" t="str">
            <v>PGATT-NOM1</v>
          </cell>
          <cell r="B32">
            <v>43.71</v>
          </cell>
          <cell r="C32">
            <v>43.71</v>
          </cell>
          <cell r="D32">
            <v>43.71</v>
          </cell>
        </row>
        <row r="33">
          <cell r="A33" t="str">
            <v>PGATT-PFFW1</v>
          </cell>
          <cell r="B33">
            <v>62.99</v>
          </cell>
          <cell r="C33">
            <v>62.99</v>
          </cell>
          <cell r="D33">
            <v>62.99</v>
          </cell>
        </row>
        <row r="34">
          <cell r="A34" t="str">
            <v>PGATT-PFWGT1</v>
          </cell>
          <cell r="B34">
            <v>40.29</v>
          </cell>
          <cell r="C34">
            <v>40.185000000000002</v>
          </cell>
          <cell r="D34">
            <v>40.29</v>
          </cell>
        </row>
        <row r="35">
          <cell r="A35" t="str">
            <v>PGATT-PT1</v>
          </cell>
          <cell r="B35">
            <v>32.380000000000003</v>
          </cell>
          <cell r="C35">
            <v>32.32</v>
          </cell>
          <cell r="D35">
            <v>31.706666666666667</v>
          </cell>
        </row>
        <row r="36">
          <cell r="A36" t="str">
            <v>PGAVC-1T</v>
          </cell>
          <cell r="B36">
            <v>43.38</v>
          </cell>
          <cell r="C36">
            <v>43.38</v>
          </cell>
          <cell r="D36">
            <v>43.38</v>
          </cell>
        </row>
        <row r="37">
          <cell r="A37" t="str">
            <v>PGAVC-20S</v>
          </cell>
          <cell r="B37">
            <v>134.16</v>
          </cell>
          <cell r="C37">
            <v>131.68</v>
          </cell>
          <cell r="D37">
            <v>131.68</v>
          </cell>
        </row>
        <row r="38">
          <cell r="A38" t="str">
            <v>PGAVC-2OFM</v>
          </cell>
          <cell r="B38">
            <v>52.99</v>
          </cell>
          <cell r="C38">
            <v>52.99</v>
          </cell>
          <cell r="D38">
            <v>53.93</v>
          </cell>
        </row>
        <row r="39">
          <cell r="A39" t="str">
            <v>PGAVC-BSL1</v>
          </cell>
          <cell r="B39">
            <v>59.902500000000003</v>
          </cell>
          <cell r="C39">
            <v>67.69</v>
          </cell>
          <cell r="D39">
            <v>67.69</v>
          </cell>
        </row>
        <row r="40">
          <cell r="A40" t="str">
            <v>PGA-VCBUEC1</v>
          </cell>
          <cell r="B40">
            <v>40.44</v>
          </cell>
          <cell r="C40">
            <v>40.44</v>
          </cell>
          <cell r="D40">
            <v>40.44</v>
          </cell>
        </row>
        <row r="41">
          <cell r="A41" t="str">
            <v>PGAVC-GFWT1</v>
          </cell>
          <cell r="B41">
            <v>44.93</v>
          </cell>
          <cell r="C41">
            <v>44.724285714285713</v>
          </cell>
          <cell r="D41">
            <v>44.312857142857141</v>
          </cell>
        </row>
        <row r="42">
          <cell r="A42" t="str">
            <v>PGAVC-IVSS1</v>
          </cell>
          <cell r="B42">
            <v>131.08000000000001</v>
          </cell>
          <cell r="C42">
            <v>132.01</v>
          </cell>
          <cell r="D42">
            <v>132.01</v>
          </cell>
        </row>
        <row r="43">
          <cell r="A43" t="str">
            <v>PGAVC-LLB1</v>
          </cell>
          <cell r="B43">
            <v>28.3</v>
          </cell>
          <cell r="C43">
            <v>28.3</v>
          </cell>
          <cell r="D43">
            <v>28.3</v>
          </cell>
        </row>
        <row r="44">
          <cell r="A44" t="str">
            <v>PGAVC-LLK1</v>
          </cell>
          <cell r="B44">
            <v>89.66</v>
          </cell>
          <cell r="C44">
            <v>89.66</v>
          </cell>
          <cell r="D44">
            <v>89.66</v>
          </cell>
        </row>
        <row r="45">
          <cell r="A45" t="str">
            <v>PGAVC-LLSM1</v>
          </cell>
          <cell r="B45">
            <v>36.78</v>
          </cell>
          <cell r="C45">
            <v>36.78</v>
          </cell>
          <cell r="D45">
            <v>36.78</v>
          </cell>
        </row>
        <row r="46">
          <cell r="A46" t="str">
            <v>PGBM-FK1</v>
          </cell>
          <cell r="B46">
            <v>61.64</v>
          </cell>
          <cell r="C46">
            <v>61.833333333333336</v>
          </cell>
          <cell r="D46">
            <v>61.93</v>
          </cell>
        </row>
        <row r="47">
          <cell r="A47" t="str">
            <v>PGBM-NYB1</v>
          </cell>
          <cell r="B47">
            <v>61.449999999999996</v>
          </cell>
          <cell r="C47">
            <v>61.45</v>
          </cell>
          <cell r="D47">
            <v>61.45</v>
          </cell>
        </row>
        <row r="48">
          <cell r="A48" t="str">
            <v>PG-BMP2</v>
          </cell>
          <cell r="B48">
            <v>50</v>
          </cell>
          <cell r="C48">
            <v>50</v>
          </cell>
          <cell r="D48">
            <v>50</v>
          </cell>
        </row>
        <row r="49">
          <cell r="A49" t="str">
            <v>PG-BMP3</v>
          </cell>
          <cell r="B49">
            <v>48</v>
          </cell>
          <cell r="C49">
            <v>48</v>
          </cell>
          <cell r="D49">
            <v>48</v>
          </cell>
        </row>
        <row r="50">
          <cell r="A50" t="str">
            <v>PGBM-SE1</v>
          </cell>
          <cell r="B50">
            <v>56.7</v>
          </cell>
          <cell r="C50">
            <v>56.7</v>
          </cell>
          <cell r="D50">
            <v>57</v>
          </cell>
        </row>
        <row r="51">
          <cell r="A51" t="str">
            <v>PGEDP-ALP1</v>
          </cell>
          <cell r="B51">
            <v>106.31</v>
          </cell>
          <cell r="C51">
            <v>106.31</v>
          </cell>
          <cell r="D51">
            <v>106.31</v>
          </cell>
        </row>
        <row r="52">
          <cell r="A52" t="str">
            <v>PGEDP-GKGOD1</v>
          </cell>
          <cell r="B52">
            <v>116.69999999999999</v>
          </cell>
          <cell r="C52">
            <v>116.69999999999999</v>
          </cell>
          <cell r="D52">
            <v>116.69999999999999</v>
          </cell>
        </row>
        <row r="53">
          <cell r="A53" t="str">
            <v>PGEDP-TFLC1</v>
          </cell>
          <cell r="B53">
            <v>150.74</v>
          </cell>
          <cell r="C53">
            <v>150.74</v>
          </cell>
          <cell r="D53">
            <v>150.74</v>
          </cell>
        </row>
        <row r="54">
          <cell r="A54" t="str">
            <v>PGEDP-TIC1</v>
          </cell>
          <cell r="B54">
            <v>152.38000000000002</v>
          </cell>
          <cell r="C54">
            <v>152.38000000000002</v>
          </cell>
          <cell r="D54">
            <v>152.38000000000002</v>
          </cell>
        </row>
        <row r="55">
          <cell r="A55" t="str">
            <v>PGEDP-ZEN1</v>
          </cell>
          <cell r="B55">
            <v>106.44999999999999</v>
          </cell>
          <cell r="C55">
            <v>106.44999999999999</v>
          </cell>
          <cell r="D55">
            <v>106.44999999999999</v>
          </cell>
        </row>
        <row r="56">
          <cell r="A56" t="str">
            <v>PG-FRVYGFW1</v>
          </cell>
          <cell r="B56">
            <v>26.66</v>
          </cell>
          <cell r="C56">
            <v>26.96</v>
          </cell>
          <cell r="D56">
            <v>26.96</v>
          </cell>
        </row>
        <row r="57">
          <cell r="A57" t="str">
            <v>PG-GMP1</v>
          </cell>
          <cell r="B57">
            <v>43.5</v>
          </cell>
          <cell r="C57">
            <v>43.5</v>
          </cell>
          <cell r="D57">
            <v>43.5</v>
          </cell>
        </row>
        <row r="58">
          <cell r="A58" t="str">
            <v>PGGTM-AOSFS1</v>
          </cell>
          <cell r="B58">
            <v>78.88000000000001</v>
          </cell>
          <cell r="C58">
            <v>78.88000000000001</v>
          </cell>
          <cell r="D58">
            <v>78.88000000000001</v>
          </cell>
        </row>
        <row r="59">
          <cell r="A59" t="str">
            <v>PGGTM-APSS1</v>
          </cell>
          <cell r="B59">
            <v>94.25</v>
          </cell>
          <cell r="C59">
            <v>94.25</v>
          </cell>
          <cell r="D59">
            <v>94.25</v>
          </cell>
        </row>
        <row r="60">
          <cell r="A60" t="str">
            <v>PGGTM-RAAHGS1</v>
          </cell>
          <cell r="B60">
            <v>85.08</v>
          </cell>
          <cell r="C60">
            <v>84.479545454545431</v>
          </cell>
          <cell r="D60">
            <v>83.794500000000028</v>
          </cell>
        </row>
        <row r="61">
          <cell r="A61" t="str">
            <v>PGGTM-RAHCS1</v>
          </cell>
          <cell r="B61">
            <v>53.079999999999991</v>
          </cell>
          <cell r="C61">
            <v>53.08</v>
          </cell>
          <cell r="D61">
            <v>53.14</v>
          </cell>
        </row>
        <row r="62">
          <cell r="A62" t="str">
            <v>PG-GWP-BB1</v>
          </cell>
          <cell r="B62">
            <v>475</v>
          </cell>
          <cell r="C62">
            <v>475</v>
          </cell>
          <cell r="D62">
            <v>475</v>
          </cell>
        </row>
        <row r="63">
          <cell r="A63" t="str">
            <v>PG-GWP-BP1</v>
          </cell>
          <cell r="B63">
            <v>50</v>
          </cell>
          <cell r="C63">
            <v>50</v>
          </cell>
          <cell r="D63">
            <v>50</v>
          </cell>
        </row>
        <row r="64">
          <cell r="A64" t="str">
            <v>PG-GWP-C</v>
          </cell>
          <cell r="B64">
            <v>85</v>
          </cell>
          <cell r="C64">
            <v>85</v>
          </cell>
          <cell r="D64">
            <v>85</v>
          </cell>
        </row>
        <row r="65">
          <cell r="A65" t="str">
            <v>PG-GWP-G</v>
          </cell>
          <cell r="B65">
            <v>120</v>
          </cell>
          <cell r="C65">
            <v>120</v>
          </cell>
          <cell r="D65">
            <v>120</v>
          </cell>
        </row>
        <row r="66">
          <cell r="A66" t="str">
            <v>PG-GWP-M1</v>
          </cell>
          <cell r="B66">
            <v>83</v>
          </cell>
          <cell r="C66">
            <v>83</v>
          </cell>
          <cell r="D66">
            <v>83</v>
          </cell>
        </row>
        <row r="67">
          <cell r="A67" t="str">
            <v>PG-GWP-MG1</v>
          </cell>
          <cell r="B67">
            <v>70</v>
          </cell>
          <cell r="C67">
            <v>70</v>
          </cell>
          <cell r="D67">
            <v>70</v>
          </cell>
        </row>
        <row r="68">
          <cell r="A68" t="str">
            <v>PG-GWP-WT</v>
          </cell>
          <cell r="B68">
            <v>300</v>
          </cell>
          <cell r="C68">
            <v>300</v>
          </cell>
          <cell r="D68">
            <v>300</v>
          </cell>
        </row>
        <row r="69">
          <cell r="A69" t="str">
            <v>PG-HGMB2</v>
          </cell>
          <cell r="B69">
            <v>83</v>
          </cell>
          <cell r="C69">
            <v>83</v>
          </cell>
          <cell r="D69">
            <v>83</v>
          </cell>
        </row>
        <row r="70">
          <cell r="A70" t="str">
            <v>PGJB1</v>
          </cell>
          <cell r="B70">
            <v>30.249999999999996</v>
          </cell>
          <cell r="C70">
            <v>28.836363636363636</v>
          </cell>
          <cell r="D70">
            <v>27.733333333333331</v>
          </cell>
        </row>
        <row r="71">
          <cell r="A71" t="str">
            <v>PGK-10NFS10</v>
          </cell>
          <cell r="B71">
            <v>28.2</v>
          </cell>
          <cell r="C71">
            <v>28.2</v>
          </cell>
          <cell r="D71">
            <v>28.199999999999996</v>
          </cell>
        </row>
        <row r="72">
          <cell r="A72" t="str">
            <v>PGK-10NFS30</v>
          </cell>
          <cell r="B72">
            <v>46.12</v>
          </cell>
          <cell r="C72">
            <v>46.12</v>
          </cell>
          <cell r="D72">
            <v>45.279999999999994</v>
          </cell>
        </row>
        <row r="73">
          <cell r="A73" t="str">
            <v>PGK24KGBO1</v>
          </cell>
          <cell r="B73">
            <v>106.74</v>
          </cell>
          <cell r="C73">
            <v>106.74</v>
          </cell>
          <cell r="D73">
            <v>99.42</v>
          </cell>
        </row>
        <row r="74">
          <cell r="A74" t="str">
            <v>PGK24KGFM1</v>
          </cell>
          <cell r="B74">
            <v>63.26</v>
          </cell>
          <cell r="C74">
            <v>63.26</v>
          </cell>
          <cell r="D74">
            <v>63.26</v>
          </cell>
        </row>
        <row r="75">
          <cell r="A75" t="str">
            <v>PGK24K-GGFW1</v>
          </cell>
          <cell r="B75">
            <v>53.929999999999993</v>
          </cell>
          <cell r="C75">
            <v>53.91</v>
          </cell>
          <cell r="D75">
            <v>53.91</v>
          </cell>
        </row>
        <row r="76">
          <cell r="A76" t="str">
            <v>PGK24K-GGM1</v>
          </cell>
          <cell r="B76">
            <v>104.15</v>
          </cell>
          <cell r="C76">
            <v>104.15</v>
          </cell>
          <cell r="D76">
            <v>103.36</v>
          </cell>
        </row>
        <row r="77">
          <cell r="A77" t="str">
            <v>PGK24KGS20ML</v>
          </cell>
          <cell r="B77">
            <v>70.52</v>
          </cell>
          <cell r="C77">
            <v>70.52</v>
          </cell>
          <cell r="D77">
            <v>70.52</v>
          </cell>
        </row>
        <row r="78">
          <cell r="A78" t="str">
            <v>PGK-2SAFS10</v>
          </cell>
          <cell r="B78">
            <v>29.02</v>
          </cell>
          <cell r="C78">
            <v>29.02</v>
          </cell>
          <cell r="D78">
            <v>29.02</v>
          </cell>
        </row>
        <row r="79">
          <cell r="A79" t="str">
            <v>PGK-5CBRM1</v>
          </cell>
          <cell r="B79">
            <v>56.033333333333339</v>
          </cell>
          <cell r="C79">
            <v>54.7</v>
          </cell>
          <cell r="D79">
            <v>54.699999999999996</v>
          </cell>
        </row>
        <row r="80">
          <cell r="A80" t="str">
            <v>PGK-5NFS10</v>
          </cell>
          <cell r="B80">
            <v>37.46</v>
          </cell>
          <cell r="C80">
            <v>37.46</v>
          </cell>
          <cell r="D80">
            <v>37.46</v>
          </cell>
        </row>
        <row r="81">
          <cell r="A81" t="str">
            <v>PGKABPPS1</v>
          </cell>
          <cell r="B81">
            <v>62.809999999999988</v>
          </cell>
          <cell r="C81">
            <v>53.460000000000008</v>
          </cell>
          <cell r="D81">
            <v>51.841111111111118</v>
          </cell>
        </row>
        <row r="82">
          <cell r="A82" t="str">
            <v>PGKAVG1</v>
          </cell>
          <cell r="B82">
            <v>56.53</v>
          </cell>
          <cell r="C82">
            <v>56.53</v>
          </cell>
          <cell r="D82">
            <v>47.03</v>
          </cell>
        </row>
        <row r="83">
          <cell r="A83" t="str">
            <v>PGKDC1</v>
          </cell>
          <cell r="B83">
            <v>94.53</v>
          </cell>
          <cell r="C83">
            <v>94.53</v>
          </cell>
          <cell r="D83">
            <v>94.530000000000015</v>
          </cell>
        </row>
        <row r="84">
          <cell r="A84" t="str">
            <v>PGKFFW1B</v>
          </cell>
          <cell r="B84">
            <v>61.72</v>
          </cell>
          <cell r="C84">
            <v>61.72</v>
          </cell>
          <cell r="D84">
            <v>61.72</v>
          </cell>
        </row>
        <row r="85">
          <cell r="A85" t="str">
            <v>PGKFMT1</v>
          </cell>
          <cell r="B85">
            <v>27.66</v>
          </cell>
          <cell r="C85">
            <v>27.66</v>
          </cell>
          <cell r="D85">
            <v>27.66</v>
          </cell>
        </row>
        <row r="86">
          <cell r="A86" t="str">
            <v>PGKFS1</v>
          </cell>
          <cell r="B86">
            <v>60.54</v>
          </cell>
          <cell r="C86">
            <v>60.54</v>
          </cell>
          <cell r="D86">
            <v>60.54</v>
          </cell>
        </row>
        <row r="87">
          <cell r="A87" t="str">
            <v>PGKFW1</v>
          </cell>
          <cell r="B87">
            <v>38.68</v>
          </cell>
          <cell r="C87">
            <v>38.68</v>
          </cell>
          <cell r="D87">
            <v>38.68</v>
          </cell>
        </row>
        <row r="88">
          <cell r="A88" t="str">
            <v>PGKHAHSS1</v>
          </cell>
          <cell r="B88">
            <v>65.989999999999995</v>
          </cell>
          <cell r="C88">
            <v>65.989999999999995</v>
          </cell>
          <cell r="D88">
            <v>65.349999999999994</v>
          </cell>
        </row>
        <row r="89">
          <cell r="A89" t="str">
            <v>PGK-HASSG50</v>
          </cell>
          <cell r="B89">
            <v>61.06</v>
          </cell>
          <cell r="C89">
            <v>61.06</v>
          </cell>
          <cell r="D89">
            <v>61.06</v>
          </cell>
        </row>
        <row r="90">
          <cell r="A90" t="str">
            <v>PGKHC1</v>
          </cell>
          <cell r="B90">
            <v>74.06</v>
          </cell>
          <cell r="C90">
            <v>75.010000000000005</v>
          </cell>
          <cell r="D90">
            <v>75.010000000000005</v>
          </cell>
        </row>
        <row r="91">
          <cell r="A91" t="str">
            <v>PGKHM1</v>
          </cell>
          <cell r="B91">
            <v>102.91000000000001</v>
          </cell>
          <cell r="C91">
            <v>102.91</v>
          </cell>
          <cell r="D91">
            <v>102.91</v>
          </cell>
        </row>
        <row r="92">
          <cell r="A92" t="str">
            <v>PGKHS1</v>
          </cell>
          <cell r="B92">
            <v>100.66</v>
          </cell>
          <cell r="C92">
            <v>100.66</v>
          </cell>
          <cell r="D92">
            <v>100.66</v>
          </cell>
        </row>
        <row r="93">
          <cell r="A93" t="str">
            <v>PGK-KAS</v>
          </cell>
          <cell r="B93">
            <v>45.74</v>
          </cell>
          <cell r="C93">
            <v>45.74</v>
          </cell>
          <cell r="D93">
            <v>45.74</v>
          </cell>
        </row>
        <row r="94">
          <cell r="A94" t="str">
            <v>PGKNC1</v>
          </cell>
          <cell r="B94">
            <v>70.400000000000006</v>
          </cell>
          <cell r="C94">
            <v>70.400000000000006</v>
          </cell>
          <cell r="D94">
            <v>69.16</v>
          </cell>
        </row>
        <row r="95">
          <cell r="A95" t="str">
            <v>PGKNS1</v>
          </cell>
          <cell r="B95">
            <v>42.19</v>
          </cell>
          <cell r="C95">
            <v>42.19</v>
          </cell>
          <cell r="D95">
            <v>42.19</v>
          </cell>
        </row>
        <row r="96">
          <cell r="A96" t="str">
            <v>PGKOFGM1</v>
          </cell>
          <cell r="B96">
            <v>72.600000000000009</v>
          </cell>
          <cell r="C96">
            <v>72.600000000000009</v>
          </cell>
          <cell r="D96">
            <v>72.599999999999994</v>
          </cell>
        </row>
        <row r="97">
          <cell r="A97" t="str">
            <v>PGKS - RAAHGS1</v>
          </cell>
          <cell r="B97">
            <v>232.91</v>
          </cell>
          <cell r="C97">
            <v>229.61999999999995</v>
          </cell>
          <cell r="D97">
            <v>229.61999999999995</v>
          </cell>
        </row>
        <row r="98">
          <cell r="A98" t="str">
            <v>PGKS1</v>
          </cell>
          <cell r="B98">
            <v>78.88</v>
          </cell>
          <cell r="C98">
            <v>78.88</v>
          </cell>
          <cell r="D98">
            <v>78.88</v>
          </cell>
        </row>
        <row r="99">
          <cell r="A99" t="str">
            <v>PGKS20</v>
          </cell>
          <cell r="B99">
            <v>121.49</v>
          </cell>
          <cell r="C99">
            <v>121.49</v>
          </cell>
          <cell r="D99">
            <v>121.49</v>
          </cell>
        </row>
        <row r="100">
          <cell r="A100" t="str">
            <v>PGKS-AAS1</v>
          </cell>
          <cell r="B100">
            <v>52.409999999999989</v>
          </cell>
          <cell r="C100">
            <v>52.409999999999989</v>
          </cell>
          <cell r="D100">
            <v>51.353999999999999</v>
          </cell>
        </row>
        <row r="101">
          <cell r="A101" t="str">
            <v>PGKS-AHGS1</v>
          </cell>
          <cell r="B101">
            <v>128.83000000000001</v>
          </cell>
          <cell r="C101">
            <v>130.39230769230767</v>
          </cell>
          <cell r="D101">
            <v>130.39230769230767</v>
          </cell>
        </row>
        <row r="102">
          <cell r="A102" t="str">
            <v>PGKS-AVBS1</v>
          </cell>
          <cell r="B102">
            <v>81.798888888888882</v>
          </cell>
          <cell r="C102">
            <v>81.8</v>
          </cell>
          <cell r="D102">
            <v>76.619230769230754</v>
          </cell>
        </row>
        <row r="103">
          <cell r="A103" t="str">
            <v>PGKSGFFW1</v>
          </cell>
          <cell r="B103">
            <v>66.330000000000013</v>
          </cell>
          <cell r="C103">
            <v>66.900000000000006</v>
          </cell>
          <cell r="D103">
            <v>66.899999999999991</v>
          </cell>
        </row>
        <row r="104">
          <cell r="A104" t="str">
            <v>PGKS-LFS1</v>
          </cell>
          <cell r="B104">
            <v>75.27</v>
          </cell>
          <cell r="C104">
            <v>75.27</v>
          </cell>
          <cell r="D104">
            <v>75.27</v>
          </cell>
        </row>
        <row r="105">
          <cell r="A105" t="str">
            <v>PGKSNOCS1</v>
          </cell>
          <cell r="B105">
            <v>52.19</v>
          </cell>
          <cell r="C105">
            <v>52.19</v>
          </cell>
          <cell r="D105">
            <v>50.46</v>
          </cell>
        </row>
        <row r="106">
          <cell r="A106" t="str">
            <v>PGKS-RAAHGS1</v>
          </cell>
          <cell r="B106">
            <v>231.99</v>
          </cell>
          <cell r="C106">
            <v>231.99</v>
          </cell>
          <cell r="D106">
            <v>231.99</v>
          </cell>
        </row>
        <row r="107">
          <cell r="A107" t="str">
            <v>PGKS-RAAHGSDPS1</v>
          </cell>
          <cell r="B107">
            <v>90.97999999999999</v>
          </cell>
          <cell r="C107">
            <v>90.98</v>
          </cell>
          <cell r="D107">
            <v>90.823333333333338</v>
          </cell>
        </row>
        <row r="108">
          <cell r="A108" t="str">
            <v>PGKS-RAHC1</v>
          </cell>
          <cell r="B108">
            <v>53.669999999999995</v>
          </cell>
          <cell r="C108">
            <v>53.67</v>
          </cell>
          <cell r="D108">
            <v>53.669999999999995</v>
          </cell>
        </row>
        <row r="109">
          <cell r="A109" t="str">
            <v>PGKS-RAHHM1</v>
          </cell>
          <cell r="B109">
            <v>60.9</v>
          </cell>
          <cell r="C109">
            <v>60.9</v>
          </cell>
          <cell r="D109">
            <v>60.9</v>
          </cell>
        </row>
        <row r="110">
          <cell r="A110" t="str">
            <v>PGKS-SCS1</v>
          </cell>
          <cell r="B110">
            <v>81.410000000000011</v>
          </cell>
          <cell r="C110">
            <v>77.42</v>
          </cell>
          <cell r="D110">
            <v>75.69</v>
          </cell>
        </row>
        <row r="111">
          <cell r="A111" t="str">
            <v>PGKSSSERUM30</v>
          </cell>
          <cell r="B111">
            <v>52.010000000000005</v>
          </cell>
          <cell r="C111">
            <v>52.010000000000005</v>
          </cell>
          <cell r="D111">
            <v>52.010000000000005</v>
          </cell>
        </row>
        <row r="112">
          <cell r="A112" t="str">
            <v>PGKSSSERUM50</v>
          </cell>
          <cell r="B112">
            <v>60</v>
          </cell>
          <cell r="C112">
            <v>60</v>
          </cell>
          <cell r="D112">
            <v>60</v>
          </cell>
        </row>
        <row r="113">
          <cell r="A113" t="str">
            <v>PGKUEC1</v>
          </cell>
          <cell r="B113">
            <v>63.65</v>
          </cell>
          <cell r="C113">
            <v>63.99</v>
          </cell>
          <cell r="D113">
            <v>63.65</v>
          </cell>
        </row>
        <row r="114">
          <cell r="A114" t="str">
            <v>PGMU-ADMSS1</v>
          </cell>
          <cell r="B114">
            <v>46.19</v>
          </cell>
          <cell r="C114">
            <v>45.04</v>
          </cell>
          <cell r="D114">
            <v>46.19</v>
          </cell>
        </row>
        <row r="115">
          <cell r="A115" t="str">
            <v>PGMU-BBCAG1</v>
          </cell>
          <cell r="B115">
            <v>64.540000000000006</v>
          </cell>
          <cell r="C115">
            <v>64.540000000000006</v>
          </cell>
          <cell r="D115">
            <v>64.540000000000006</v>
          </cell>
        </row>
        <row r="116">
          <cell r="A116" t="str">
            <v>PGMU-BBCBG1</v>
          </cell>
          <cell r="B116">
            <v>64.540000000000006</v>
          </cell>
          <cell r="C116">
            <v>64.540000000000006</v>
          </cell>
          <cell r="D116">
            <v>64.540000000000006</v>
          </cell>
        </row>
        <row r="117">
          <cell r="A117" t="str">
            <v>PGMU-BBCHG1</v>
          </cell>
          <cell r="B117">
            <v>64.540000000000006</v>
          </cell>
          <cell r="C117">
            <v>63.836666666666673</v>
          </cell>
          <cell r="D117">
            <v>63.836666666666673</v>
          </cell>
        </row>
        <row r="118">
          <cell r="A118" t="str">
            <v>PGMU-BDBB1</v>
          </cell>
          <cell r="B118">
            <v>86.7</v>
          </cell>
          <cell r="C118">
            <v>86.7</v>
          </cell>
          <cell r="D118">
            <v>86.7</v>
          </cell>
        </row>
        <row r="119">
          <cell r="A119" t="str">
            <v>PGMU-BDCR1</v>
          </cell>
          <cell r="B119">
            <v>86.7</v>
          </cell>
          <cell r="C119">
            <v>86.7</v>
          </cell>
          <cell r="D119">
            <v>86.7</v>
          </cell>
        </row>
        <row r="120">
          <cell r="A120" t="str">
            <v>PGMU-BDFP1</v>
          </cell>
          <cell r="B120">
            <v>86.699999999999989</v>
          </cell>
          <cell r="C120">
            <v>86.699999999999989</v>
          </cell>
          <cell r="D120">
            <v>86.699999999999989</v>
          </cell>
        </row>
        <row r="121">
          <cell r="A121" t="str">
            <v>PGMU-BLAB1</v>
          </cell>
          <cell r="B121">
            <v>98.300000000000011</v>
          </cell>
          <cell r="C121">
            <v>98.300000000000011</v>
          </cell>
          <cell r="D121">
            <v>98.3</v>
          </cell>
        </row>
        <row r="122">
          <cell r="A122" t="str">
            <v>PGMU-BLBB1</v>
          </cell>
          <cell r="B122">
            <v>98.300000000000011</v>
          </cell>
          <cell r="C122">
            <v>98.3</v>
          </cell>
          <cell r="D122">
            <v>98.3</v>
          </cell>
        </row>
        <row r="123">
          <cell r="A123" t="str">
            <v>PGMU-BLCC1</v>
          </cell>
          <cell r="B123">
            <v>98.3</v>
          </cell>
          <cell r="C123">
            <v>98.3</v>
          </cell>
          <cell r="D123">
            <v>98.3</v>
          </cell>
        </row>
        <row r="124">
          <cell r="A124" t="str">
            <v>PGMU-BLCE1</v>
          </cell>
          <cell r="B124">
            <v>98.3</v>
          </cell>
          <cell r="C124">
            <v>98.3</v>
          </cell>
          <cell r="D124">
            <v>98.3</v>
          </cell>
        </row>
        <row r="125">
          <cell r="A125" t="str">
            <v>PGMU-BLCG1</v>
          </cell>
          <cell r="B125">
            <v>98.300000000000011</v>
          </cell>
          <cell r="C125">
            <v>98.3</v>
          </cell>
          <cell r="D125">
            <v>98.3</v>
          </cell>
        </row>
        <row r="126">
          <cell r="A126" t="str">
            <v>PGMU-BLCL1</v>
          </cell>
          <cell r="B126">
            <v>98.300000000000026</v>
          </cell>
          <cell r="C126">
            <v>98.299999999999983</v>
          </cell>
          <cell r="D126">
            <v>98.3</v>
          </cell>
        </row>
        <row r="127">
          <cell r="A127" t="str">
            <v>PGMU-BLCP1</v>
          </cell>
          <cell r="B127">
            <v>98.3</v>
          </cell>
          <cell r="C127">
            <v>98.3</v>
          </cell>
          <cell r="D127">
            <v>98.3</v>
          </cell>
        </row>
        <row r="128">
          <cell r="A128" t="str">
            <v>PGMU-BLCT1</v>
          </cell>
          <cell r="B128">
            <v>98.300000000000011</v>
          </cell>
          <cell r="C128">
            <v>98.300000000000011</v>
          </cell>
          <cell r="D128">
            <v>98.3</v>
          </cell>
        </row>
        <row r="129">
          <cell r="A129" t="str">
            <v>PGMU-BLFP1</v>
          </cell>
          <cell r="B129">
            <v>98.3</v>
          </cell>
          <cell r="C129">
            <v>98.3</v>
          </cell>
          <cell r="D129">
            <v>98.3</v>
          </cell>
        </row>
        <row r="130">
          <cell r="A130" t="str">
            <v>PGMU-BLFR1</v>
          </cell>
          <cell r="B130">
            <v>98.3</v>
          </cell>
          <cell r="C130">
            <v>98.3</v>
          </cell>
          <cell r="D130">
            <v>98.299999999999983</v>
          </cell>
        </row>
        <row r="131">
          <cell r="A131" t="str">
            <v>PGMU-BLMA1</v>
          </cell>
          <cell r="B131">
            <v>98.3</v>
          </cell>
          <cell r="C131">
            <v>98.3</v>
          </cell>
          <cell r="D131">
            <v>98.3</v>
          </cell>
        </row>
        <row r="132">
          <cell r="A132" t="str">
            <v>PGMU-BLMB1</v>
          </cell>
          <cell r="B132">
            <v>98.3</v>
          </cell>
          <cell r="C132">
            <v>98.3</v>
          </cell>
          <cell r="D132">
            <v>98.3</v>
          </cell>
        </row>
        <row r="133">
          <cell r="A133" t="str">
            <v>PGMU-BLNK1</v>
          </cell>
          <cell r="B133">
            <v>98.299999999999983</v>
          </cell>
          <cell r="C133">
            <v>98.3</v>
          </cell>
          <cell r="D133">
            <v>98.299999999999983</v>
          </cell>
        </row>
        <row r="134">
          <cell r="A134" t="str">
            <v>PGMU-BLNM1</v>
          </cell>
          <cell r="B134">
            <v>98.3</v>
          </cell>
          <cell r="C134">
            <v>98.3</v>
          </cell>
          <cell r="D134">
            <v>98.3</v>
          </cell>
        </row>
        <row r="135">
          <cell r="A135" t="str">
            <v>PGMU-BLP1</v>
          </cell>
          <cell r="B135">
            <v>91.39</v>
          </cell>
          <cell r="C135">
            <v>91.39</v>
          </cell>
          <cell r="D135">
            <v>91.39</v>
          </cell>
        </row>
        <row r="136">
          <cell r="A136" t="str">
            <v>PGMU-BLPH1</v>
          </cell>
          <cell r="B136">
            <v>98.3</v>
          </cell>
          <cell r="C136">
            <v>98.3</v>
          </cell>
          <cell r="D136">
            <v>98.3</v>
          </cell>
        </row>
        <row r="137">
          <cell r="A137" t="str">
            <v>PGMU-BLPP1</v>
          </cell>
          <cell r="B137">
            <v>98.3</v>
          </cell>
          <cell r="C137">
            <v>98.3</v>
          </cell>
          <cell r="D137">
            <v>98.299999999999983</v>
          </cell>
        </row>
        <row r="138">
          <cell r="A138" t="str">
            <v>PGMU-BLPR1</v>
          </cell>
          <cell r="B138">
            <v>98.3</v>
          </cell>
          <cell r="C138">
            <v>98.3</v>
          </cell>
          <cell r="D138">
            <v>98.3</v>
          </cell>
        </row>
        <row r="139">
          <cell r="A139" t="str">
            <v>PGMU-BLRR1</v>
          </cell>
          <cell r="B139">
            <v>98.299999999999983</v>
          </cell>
          <cell r="C139">
            <v>98.299999999999983</v>
          </cell>
          <cell r="D139">
            <v>98.3</v>
          </cell>
        </row>
        <row r="140">
          <cell r="A140" t="str">
            <v>PGMU-BLSW1</v>
          </cell>
          <cell r="B140">
            <v>98.3</v>
          </cell>
          <cell r="C140">
            <v>98.3</v>
          </cell>
          <cell r="D140">
            <v>98.299999999999983</v>
          </cell>
        </row>
        <row r="141">
          <cell r="A141" t="str">
            <v>PGMU-BLUR1</v>
          </cell>
          <cell r="B141">
            <v>98.3</v>
          </cell>
          <cell r="C141">
            <v>98.3</v>
          </cell>
          <cell r="D141">
            <v>98.3</v>
          </cell>
        </row>
        <row r="142">
          <cell r="A142" t="str">
            <v>PGMU-CLA1</v>
          </cell>
          <cell r="B142">
            <v>73.05</v>
          </cell>
          <cell r="C142">
            <v>73.05</v>
          </cell>
          <cell r="D142">
            <v>73.05</v>
          </cell>
        </row>
        <row r="143">
          <cell r="A143" t="str">
            <v>PGMU-CLB1</v>
          </cell>
          <cell r="B143">
            <v>73.05</v>
          </cell>
          <cell r="C143">
            <v>73.05</v>
          </cell>
          <cell r="D143">
            <v>73.05</v>
          </cell>
        </row>
        <row r="144">
          <cell r="A144" t="str">
            <v>PGMU-CLI1</v>
          </cell>
          <cell r="B144">
            <v>73.05</v>
          </cell>
          <cell r="C144">
            <v>73.05</v>
          </cell>
          <cell r="D144">
            <v>73.05</v>
          </cell>
        </row>
        <row r="145">
          <cell r="A145" t="str">
            <v>PGMU-CLS1</v>
          </cell>
          <cell r="B145">
            <v>73.05</v>
          </cell>
          <cell r="C145">
            <v>73.05</v>
          </cell>
          <cell r="D145">
            <v>73.05</v>
          </cell>
        </row>
        <row r="146">
          <cell r="A146" t="str">
            <v>PGMU-CPA1</v>
          </cell>
          <cell r="B146">
            <v>51.74</v>
          </cell>
          <cell r="C146">
            <v>51.74</v>
          </cell>
          <cell r="D146">
            <v>51.74</v>
          </cell>
        </row>
        <row r="147">
          <cell r="A147" t="str">
            <v>PGMU-CPBP1</v>
          </cell>
          <cell r="B147">
            <v>113</v>
          </cell>
          <cell r="C147">
            <v>113</v>
          </cell>
          <cell r="D147">
            <v>113</v>
          </cell>
        </row>
        <row r="148">
          <cell r="A148" t="str">
            <v>PGMU-CPC1</v>
          </cell>
          <cell r="B148">
            <v>51.74</v>
          </cell>
          <cell r="C148">
            <v>51.74</v>
          </cell>
          <cell r="D148">
            <v>51.74</v>
          </cell>
        </row>
        <row r="149">
          <cell r="A149" t="str">
            <v>PGMU-CPCN1</v>
          </cell>
          <cell r="B149">
            <v>83.14</v>
          </cell>
          <cell r="C149">
            <v>83.14</v>
          </cell>
          <cell r="D149">
            <v>83.14</v>
          </cell>
        </row>
        <row r="150">
          <cell r="A150" t="str">
            <v>PGMU-CPGB1</v>
          </cell>
          <cell r="B150">
            <v>83.14</v>
          </cell>
          <cell r="C150">
            <v>83.14</v>
          </cell>
          <cell r="D150">
            <v>83.14</v>
          </cell>
        </row>
        <row r="151">
          <cell r="A151" t="str">
            <v>PGMU-CPH1</v>
          </cell>
          <cell r="B151">
            <v>51.74</v>
          </cell>
          <cell r="C151">
            <v>51.74</v>
          </cell>
          <cell r="D151">
            <v>51.74</v>
          </cell>
        </row>
        <row r="152">
          <cell r="A152" t="str">
            <v>PGMU-CPI1</v>
          </cell>
          <cell r="B152">
            <v>51.74</v>
          </cell>
          <cell r="C152">
            <v>51.74</v>
          </cell>
          <cell r="D152">
            <v>51.74</v>
          </cell>
        </row>
        <row r="153">
          <cell r="A153" t="str">
            <v>PGMU-CPN1</v>
          </cell>
          <cell r="B153">
            <v>51.74</v>
          </cell>
          <cell r="C153">
            <v>51.74</v>
          </cell>
          <cell r="D153">
            <v>51.74</v>
          </cell>
        </row>
        <row r="154">
          <cell r="A154" t="str">
            <v>PGMU-CPPI1</v>
          </cell>
          <cell r="B154">
            <v>83.14</v>
          </cell>
          <cell r="C154">
            <v>83.14</v>
          </cell>
          <cell r="D154">
            <v>83.14</v>
          </cell>
        </row>
        <row r="155">
          <cell r="A155" t="str">
            <v>PGMU-CPRC1</v>
          </cell>
          <cell r="B155">
            <v>83.14</v>
          </cell>
          <cell r="C155">
            <v>83.14</v>
          </cell>
          <cell r="D155">
            <v>83.14</v>
          </cell>
        </row>
        <row r="156">
          <cell r="A156" t="str">
            <v>PGMU-CPWS1</v>
          </cell>
          <cell r="B156">
            <v>83.14</v>
          </cell>
          <cell r="C156">
            <v>83.14</v>
          </cell>
          <cell r="D156">
            <v>83.14</v>
          </cell>
        </row>
        <row r="157">
          <cell r="A157" t="str">
            <v>PGMU-EBS1</v>
          </cell>
          <cell r="B157">
            <v>51.93</v>
          </cell>
          <cell r="C157">
            <v>51.93</v>
          </cell>
          <cell r="D157">
            <v>51.93</v>
          </cell>
        </row>
        <row r="158">
          <cell r="A158" t="str">
            <v>PGMU-ESFQ1</v>
          </cell>
          <cell r="B158">
            <v>168.55</v>
          </cell>
          <cell r="C158">
            <v>168.55</v>
          </cell>
          <cell r="D158">
            <v>168.55</v>
          </cell>
        </row>
        <row r="159">
          <cell r="A159" t="str">
            <v>PGMU-ESMS1</v>
          </cell>
          <cell r="B159">
            <v>168.55</v>
          </cell>
          <cell r="C159">
            <v>168.55</v>
          </cell>
          <cell r="D159">
            <v>168.55</v>
          </cell>
        </row>
        <row r="160">
          <cell r="A160" t="str">
            <v>PGMU-FRVSCB1</v>
          </cell>
          <cell r="B160">
            <v>61.75</v>
          </cell>
          <cell r="C160">
            <v>61.75</v>
          </cell>
          <cell r="D160">
            <v>61.75</v>
          </cell>
        </row>
        <row r="161">
          <cell r="A161" t="str">
            <v>PGMU-GLAN1</v>
          </cell>
          <cell r="B161">
            <v>96.199999999999989</v>
          </cell>
          <cell r="C161">
            <v>96.199999999999989</v>
          </cell>
          <cell r="D161">
            <v>96.2</v>
          </cell>
        </row>
        <row r="162">
          <cell r="A162" t="str">
            <v>PGMU-GLCH1</v>
          </cell>
          <cell r="B162">
            <v>96.2</v>
          </cell>
          <cell r="C162">
            <v>96.2</v>
          </cell>
          <cell r="D162">
            <v>96.2</v>
          </cell>
        </row>
        <row r="163">
          <cell r="A163" t="str">
            <v>PGMU-GLDB1</v>
          </cell>
          <cell r="B163">
            <v>96.2</v>
          </cell>
          <cell r="C163">
            <v>96.2</v>
          </cell>
          <cell r="D163">
            <v>96.2</v>
          </cell>
        </row>
        <row r="164">
          <cell r="A164" t="str">
            <v>PGMU-GLHH1</v>
          </cell>
          <cell r="B164">
            <v>96.2</v>
          </cell>
          <cell r="C164">
            <v>96.2</v>
          </cell>
          <cell r="D164">
            <v>96.2</v>
          </cell>
        </row>
        <row r="165">
          <cell r="A165" t="str">
            <v>PGMU-GLJJ1</v>
          </cell>
          <cell r="B165">
            <v>96.199999999999989</v>
          </cell>
          <cell r="C165">
            <v>96.199999999999989</v>
          </cell>
          <cell r="D165">
            <v>96.2</v>
          </cell>
        </row>
        <row r="166">
          <cell r="A166" t="str">
            <v>PGMU-GLMH1</v>
          </cell>
          <cell r="B166">
            <v>96.2</v>
          </cell>
          <cell r="C166">
            <v>96.2</v>
          </cell>
          <cell r="D166">
            <v>96.2</v>
          </cell>
        </row>
        <row r="167">
          <cell r="A167" t="str">
            <v>PGMU-GLRN1</v>
          </cell>
          <cell r="B167">
            <v>96.2</v>
          </cell>
          <cell r="C167">
            <v>96.2</v>
          </cell>
          <cell r="D167">
            <v>96.2</v>
          </cell>
        </row>
        <row r="168">
          <cell r="A168" t="str">
            <v>PGMU-GLTK1</v>
          </cell>
          <cell r="B168">
            <v>96.2</v>
          </cell>
          <cell r="C168">
            <v>96.2</v>
          </cell>
          <cell r="D168">
            <v>96.2</v>
          </cell>
        </row>
        <row r="169">
          <cell r="A169" t="str">
            <v>PGMU-GP1</v>
          </cell>
          <cell r="B169">
            <v>68.349999999999994</v>
          </cell>
          <cell r="C169">
            <v>68.537999999999982</v>
          </cell>
          <cell r="D169">
            <v>68.577500000000001</v>
          </cell>
        </row>
        <row r="170">
          <cell r="A170" t="str">
            <v>PGMU-GPSAC2</v>
          </cell>
          <cell r="B170">
            <v>3.59</v>
          </cell>
          <cell r="C170">
            <v>3.59</v>
          </cell>
          <cell r="D170">
            <v>3.59</v>
          </cell>
        </row>
        <row r="171">
          <cell r="A171" t="str">
            <v>PGMU-HDGR1</v>
          </cell>
          <cell r="B171">
            <v>120.58</v>
          </cell>
          <cell r="C171">
            <v>120.58</v>
          </cell>
          <cell r="D171">
            <v>120.58</v>
          </cell>
        </row>
        <row r="172">
          <cell r="A172" t="str">
            <v>PGMU-IM1</v>
          </cell>
          <cell r="B172">
            <v>61.98</v>
          </cell>
          <cell r="C172">
            <v>61.98</v>
          </cell>
          <cell r="D172">
            <v>61.98</v>
          </cell>
        </row>
        <row r="173">
          <cell r="A173" t="str">
            <v>PGMU-KBM1</v>
          </cell>
          <cell r="B173">
            <v>60.970000000000013</v>
          </cell>
          <cell r="C173">
            <v>60.970000000000013</v>
          </cell>
          <cell r="D173">
            <v>49.01</v>
          </cell>
        </row>
        <row r="174">
          <cell r="A174" t="str">
            <v>PGMU-LCETCS1</v>
          </cell>
          <cell r="B174">
            <v>87.899999999999991</v>
          </cell>
          <cell r="C174">
            <v>87.899999999999991</v>
          </cell>
          <cell r="D174">
            <v>87.9</v>
          </cell>
        </row>
        <row r="175">
          <cell r="A175" t="str">
            <v>PGMU-LCETPF1</v>
          </cell>
          <cell r="B175">
            <v>87.9</v>
          </cell>
          <cell r="C175">
            <v>87.9</v>
          </cell>
          <cell r="D175">
            <v>87.9</v>
          </cell>
        </row>
        <row r="176">
          <cell r="A176" t="str">
            <v>PGMU-LCETTBT1</v>
          </cell>
          <cell r="B176">
            <v>87.899999999999991</v>
          </cell>
          <cell r="C176">
            <v>87.899999999999991</v>
          </cell>
          <cell r="D176">
            <v>87.899999999999991</v>
          </cell>
        </row>
        <row r="177">
          <cell r="A177" t="str">
            <v>PGMU-LLBB1</v>
          </cell>
          <cell r="B177">
            <v>79.680000000000007</v>
          </cell>
          <cell r="C177">
            <v>79.680000000000007</v>
          </cell>
          <cell r="D177">
            <v>78.575999999999993</v>
          </cell>
        </row>
        <row r="178">
          <cell r="A178" t="str">
            <v>PGMU-LLBM1</v>
          </cell>
          <cell r="B178">
            <v>79.680000000000007</v>
          </cell>
          <cell r="C178">
            <v>79.680000000000007</v>
          </cell>
          <cell r="D178">
            <v>79.680000000000007</v>
          </cell>
        </row>
        <row r="179">
          <cell r="A179" t="str">
            <v>PGMU-LLBN1</v>
          </cell>
          <cell r="B179">
            <v>79.680000000000007</v>
          </cell>
          <cell r="C179">
            <v>79.680000000000007</v>
          </cell>
          <cell r="D179">
            <v>77.84</v>
          </cell>
        </row>
        <row r="180">
          <cell r="A180" t="str">
            <v>PGMU-LLBT1</v>
          </cell>
          <cell r="B180">
            <v>79.680000000000007</v>
          </cell>
          <cell r="C180">
            <v>79.680000000000007</v>
          </cell>
          <cell r="D180">
            <v>77.84</v>
          </cell>
        </row>
        <row r="181">
          <cell r="A181" t="str">
            <v>PGMU-LLDS1</v>
          </cell>
          <cell r="B181">
            <v>79.680000000000007</v>
          </cell>
          <cell r="C181">
            <v>79.680000000000007</v>
          </cell>
          <cell r="D181">
            <v>79.680000000000007</v>
          </cell>
        </row>
        <row r="182">
          <cell r="A182" t="str">
            <v>PGMU-LLFR1</v>
          </cell>
          <cell r="B182">
            <v>79.680000000000007</v>
          </cell>
          <cell r="C182">
            <v>78.760000000000005</v>
          </cell>
          <cell r="D182">
            <v>77.84</v>
          </cell>
        </row>
        <row r="183">
          <cell r="A183" t="str">
            <v>PGMU-LLKP1</v>
          </cell>
          <cell r="B183">
            <v>79.680000000000007</v>
          </cell>
          <cell r="C183">
            <v>79.680000000000007</v>
          </cell>
          <cell r="D183">
            <v>78.760000000000005</v>
          </cell>
        </row>
        <row r="184">
          <cell r="A184" t="str">
            <v>PGMU-LLMD1</v>
          </cell>
          <cell r="B184">
            <v>79.680000000000007</v>
          </cell>
          <cell r="C184">
            <v>79.680000000000007</v>
          </cell>
          <cell r="D184">
            <v>79.066666666666677</v>
          </cell>
        </row>
        <row r="185">
          <cell r="A185" t="str">
            <v>PGMU-LLMM1</v>
          </cell>
          <cell r="B185">
            <v>79.680000000000007</v>
          </cell>
          <cell r="C185">
            <v>79.680000000000007</v>
          </cell>
          <cell r="D185">
            <v>79.680000000000007</v>
          </cell>
        </row>
        <row r="186">
          <cell r="A186" t="str">
            <v>PGMU-LLNF1</v>
          </cell>
          <cell r="B186">
            <v>79.680000000000007</v>
          </cell>
          <cell r="C186">
            <v>79.680000000000007</v>
          </cell>
          <cell r="D186">
            <v>79.680000000000007</v>
          </cell>
        </row>
        <row r="187">
          <cell r="A187" t="str">
            <v>PGMU-LLNO1</v>
          </cell>
          <cell r="B187">
            <v>79.680000000000007</v>
          </cell>
          <cell r="C187">
            <v>79.680000000000007</v>
          </cell>
          <cell r="D187">
            <v>78.453333333333333</v>
          </cell>
        </row>
        <row r="188">
          <cell r="A188" t="str">
            <v>PGMU-LLPC1</v>
          </cell>
          <cell r="B188">
            <v>79.679999999999993</v>
          </cell>
          <cell r="C188">
            <v>79.679999999999993</v>
          </cell>
          <cell r="D188">
            <v>77.84</v>
          </cell>
        </row>
        <row r="189">
          <cell r="A189" t="str">
            <v>PGMU-LLPCF1</v>
          </cell>
          <cell r="B189">
            <v>79.680000000000007</v>
          </cell>
          <cell r="C189">
            <v>79.680000000000007</v>
          </cell>
          <cell r="D189">
            <v>79.680000000000007</v>
          </cell>
        </row>
        <row r="190">
          <cell r="A190" t="str">
            <v>PGMU-LLPK1</v>
          </cell>
          <cell r="B190">
            <v>79.680000000000007</v>
          </cell>
          <cell r="C190">
            <v>79.680000000000007</v>
          </cell>
          <cell r="D190">
            <v>77.84</v>
          </cell>
        </row>
        <row r="191">
          <cell r="A191" t="str">
            <v>PGMU-LLPL1</v>
          </cell>
          <cell r="B191">
            <v>79.679999999999993</v>
          </cell>
          <cell r="C191">
            <v>79.679999999999993</v>
          </cell>
          <cell r="D191">
            <v>79.679999999999993</v>
          </cell>
        </row>
        <row r="192">
          <cell r="A192" t="str">
            <v>PGMU-LLRD1</v>
          </cell>
          <cell r="B192">
            <v>79.680000000000007</v>
          </cell>
          <cell r="C192">
            <v>79.680000000000007</v>
          </cell>
          <cell r="D192">
            <v>79.680000000000007</v>
          </cell>
        </row>
        <row r="193">
          <cell r="A193" t="str">
            <v>PGMU-LLRF1</v>
          </cell>
          <cell r="B193">
            <v>79.680000000000007</v>
          </cell>
          <cell r="C193">
            <v>77.84</v>
          </cell>
          <cell r="D193">
            <v>77.84</v>
          </cell>
        </row>
        <row r="194">
          <cell r="A194" t="str">
            <v>PGMU-LLRR1</v>
          </cell>
          <cell r="B194">
            <v>79.680000000000007</v>
          </cell>
          <cell r="C194">
            <v>79.680000000000007</v>
          </cell>
          <cell r="D194">
            <v>79.680000000000007</v>
          </cell>
        </row>
        <row r="195">
          <cell r="A195" t="str">
            <v>PGMU-LLSC1</v>
          </cell>
          <cell r="B195">
            <v>79.680000000000007</v>
          </cell>
          <cell r="C195">
            <v>79.680000000000007</v>
          </cell>
          <cell r="D195">
            <v>79.066666666666677</v>
          </cell>
        </row>
        <row r="196">
          <cell r="A196" t="str">
            <v>PGMU-LLSM1</v>
          </cell>
          <cell r="B196">
            <v>79.680000000000007</v>
          </cell>
          <cell r="C196">
            <v>79.066666666666677</v>
          </cell>
          <cell r="D196">
            <v>79.066666666666677</v>
          </cell>
        </row>
        <row r="197">
          <cell r="A197" t="str">
            <v>PGMU-LLSR1</v>
          </cell>
          <cell r="B197">
            <v>79.680000000000007</v>
          </cell>
          <cell r="C197">
            <v>79.680000000000007</v>
          </cell>
          <cell r="D197">
            <v>79.680000000000007</v>
          </cell>
        </row>
        <row r="198">
          <cell r="A198" t="str">
            <v>PGMU-LLSS1</v>
          </cell>
          <cell r="B198">
            <v>79.680000000000007</v>
          </cell>
          <cell r="C198">
            <v>79.680000000000007</v>
          </cell>
          <cell r="D198">
            <v>79.680000000000007</v>
          </cell>
        </row>
        <row r="199">
          <cell r="A199" t="str">
            <v>PGMU-LLTRS1</v>
          </cell>
          <cell r="B199">
            <v>79.680000000000007</v>
          </cell>
          <cell r="C199">
            <v>79.680000000000007</v>
          </cell>
          <cell r="D199">
            <v>77.84</v>
          </cell>
        </row>
        <row r="200">
          <cell r="A200" t="str">
            <v>PGMU-LLWS1</v>
          </cell>
          <cell r="B200">
            <v>79.680000000000007</v>
          </cell>
          <cell r="C200">
            <v>79.680000000000007</v>
          </cell>
          <cell r="D200">
            <v>78.760000000000005</v>
          </cell>
        </row>
        <row r="201">
          <cell r="A201" t="str">
            <v>PGMU-LLWT1</v>
          </cell>
          <cell r="B201">
            <v>79.680000000000007</v>
          </cell>
          <cell r="C201">
            <v>79.680000000000007</v>
          </cell>
          <cell r="D201">
            <v>79.680000000000007</v>
          </cell>
        </row>
        <row r="202">
          <cell r="A202" t="str">
            <v>PGMU-MCTM1</v>
          </cell>
          <cell r="B202">
            <v>90.089999999999989</v>
          </cell>
          <cell r="C202">
            <v>90.089999999999989</v>
          </cell>
          <cell r="D202">
            <v>90.089999999999989</v>
          </cell>
        </row>
        <row r="203">
          <cell r="A203" t="str">
            <v>PGMU-MEBB1</v>
          </cell>
          <cell r="B203">
            <v>50.4</v>
          </cell>
          <cell r="C203">
            <v>50.4</v>
          </cell>
          <cell r="D203">
            <v>50.4</v>
          </cell>
        </row>
        <row r="204">
          <cell r="A204" t="str">
            <v>PGMU-MEBR1</v>
          </cell>
          <cell r="B204">
            <v>63.22</v>
          </cell>
          <cell r="C204">
            <v>63.22</v>
          </cell>
          <cell r="D204">
            <v>63.22</v>
          </cell>
        </row>
        <row r="205">
          <cell r="A205" t="str">
            <v>PGMU-MEGE1</v>
          </cell>
          <cell r="B205">
            <v>53.64</v>
          </cell>
          <cell r="C205">
            <v>53.64</v>
          </cell>
          <cell r="D205">
            <v>53.64</v>
          </cell>
        </row>
        <row r="206">
          <cell r="A206" t="str">
            <v>PGMU-MLLAOT1</v>
          </cell>
          <cell r="B206">
            <v>129.18</v>
          </cell>
          <cell r="C206">
            <v>129.18</v>
          </cell>
          <cell r="D206">
            <v>129.18</v>
          </cell>
        </row>
        <row r="207">
          <cell r="A207" t="str">
            <v>PGMU-MLLBM1</v>
          </cell>
          <cell r="B207">
            <v>129.18</v>
          </cell>
          <cell r="C207">
            <v>129.18</v>
          </cell>
          <cell r="D207">
            <v>129.18</v>
          </cell>
        </row>
        <row r="208">
          <cell r="A208" t="str">
            <v>PGMU-MLLNT1</v>
          </cell>
          <cell r="B208">
            <v>129.18</v>
          </cell>
          <cell r="C208">
            <v>129.18</v>
          </cell>
          <cell r="D208">
            <v>129.18</v>
          </cell>
        </row>
        <row r="209">
          <cell r="A209" t="str">
            <v>PGMU-MLLTPS1</v>
          </cell>
          <cell r="B209">
            <v>129.18</v>
          </cell>
          <cell r="C209">
            <v>129.18</v>
          </cell>
          <cell r="D209">
            <v>129.18</v>
          </cell>
        </row>
        <row r="210">
          <cell r="A210" t="str">
            <v>PGMU-SFCN1</v>
          </cell>
          <cell r="B210">
            <v>114.81</v>
          </cell>
          <cell r="C210">
            <v>114.81</v>
          </cell>
          <cell r="D210">
            <v>114.80999999999999</v>
          </cell>
        </row>
        <row r="211">
          <cell r="A211" t="str">
            <v>PGMU-SFGB1</v>
          </cell>
          <cell r="B211">
            <v>114.81</v>
          </cell>
          <cell r="C211">
            <v>114.81</v>
          </cell>
          <cell r="D211">
            <v>114.80999999999999</v>
          </cell>
        </row>
        <row r="212">
          <cell r="A212" t="str">
            <v>PGMU-SFNA1</v>
          </cell>
          <cell r="B212">
            <v>114.81000000000002</v>
          </cell>
          <cell r="C212">
            <v>114.81000000000002</v>
          </cell>
          <cell r="D212">
            <v>114.81</v>
          </cell>
        </row>
        <row r="213">
          <cell r="A213" t="str">
            <v>PGMU-SFPI1</v>
          </cell>
          <cell r="B213">
            <v>114.81</v>
          </cell>
          <cell r="C213">
            <v>114.81</v>
          </cell>
          <cell r="D213">
            <v>114.81</v>
          </cell>
        </row>
        <row r="214">
          <cell r="A214" t="str">
            <v>PGMU-SFRC1</v>
          </cell>
          <cell r="B214">
            <v>114.81</v>
          </cell>
          <cell r="C214">
            <v>114.81</v>
          </cell>
          <cell r="D214">
            <v>114.81</v>
          </cell>
        </row>
        <row r="215">
          <cell r="A215" t="str">
            <v>PGMU-SFWM1</v>
          </cell>
          <cell r="B215">
            <v>114.81</v>
          </cell>
          <cell r="C215">
            <v>114.81</v>
          </cell>
          <cell r="D215">
            <v>114.81</v>
          </cell>
        </row>
        <row r="216">
          <cell r="A216" t="str">
            <v>PGMU-SFWS1</v>
          </cell>
          <cell r="B216">
            <v>114.81</v>
          </cell>
          <cell r="C216">
            <v>114.81</v>
          </cell>
          <cell r="D216">
            <v>114.81</v>
          </cell>
        </row>
        <row r="217">
          <cell r="A217" t="str">
            <v>PGMU-SRM1</v>
          </cell>
          <cell r="B217">
            <v>26</v>
          </cell>
          <cell r="C217">
            <v>26</v>
          </cell>
          <cell r="D217">
            <v>26</v>
          </cell>
        </row>
        <row r="218">
          <cell r="A218" t="str">
            <v>PGMU-TLP1</v>
          </cell>
          <cell r="B218">
            <v>91.39</v>
          </cell>
          <cell r="C218">
            <v>91.39</v>
          </cell>
          <cell r="D218">
            <v>91.39</v>
          </cell>
        </row>
        <row r="219">
          <cell r="A219" t="str">
            <v>PGPK-PBB1</v>
          </cell>
          <cell r="B219">
            <v>9.9625000000000004</v>
          </cell>
          <cell r="C219">
            <v>8.8800000000000008</v>
          </cell>
          <cell r="D219">
            <v>6.25</v>
          </cell>
        </row>
        <row r="220">
          <cell r="A220" t="str">
            <v>PGPK-PMB1</v>
          </cell>
          <cell r="B220">
            <v>6.8464285714285733</v>
          </cell>
          <cell r="C220">
            <v>6.535000000000001</v>
          </cell>
          <cell r="D220">
            <v>6.9774999999999991</v>
          </cell>
        </row>
        <row r="221">
          <cell r="A221" t="str">
            <v>PGPK-PMIB1</v>
          </cell>
          <cell r="B221">
            <v>3.2764705882352936</v>
          </cell>
          <cell r="C221">
            <v>3.0333333333333332</v>
          </cell>
          <cell r="D221">
            <v>2.8999999999999995</v>
          </cell>
        </row>
        <row r="222">
          <cell r="A222" t="str">
            <v>PGPK-POB1</v>
          </cell>
          <cell r="B222">
            <v>49.666666666666664</v>
          </cell>
          <cell r="C222">
            <v>46.583333333333336</v>
          </cell>
          <cell r="D222">
            <v>47.625</v>
          </cell>
        </row>
        <row r="223">
          <cell r="A223" t="str">
            <v>PGPK-PSB1</v>
          </cell>
          <cell r="B223">
            <v>4.2222222222222232</v>
          </cell>
          <cell r="C223">
            <v>3.9600000000000009</v>
          </cell>
          <cell r="D223">
            <v>3.9500000000000011</v>
          </cell>
        </row>
        <row r="224">
          <cell r="A224" t="str">
            <v>PG-PSMB1</v>
          </cell>
          <cell r="B224">
            <v>48</v>
          </cell>
          <cell r="C224">
            <v>48</v>
          </cell>
          <cell r="D224">
            <v>48</v>
          </cell>
        </row>
        <row r="225">
          <cell r="A225" t="str">
            <v>PG-RB1</v>
          </cell>
          <cell r="B225">
            <v>30</v>
          </cell>
          <cell r="C225">
            <v>30</v>
          </cell>
          <cell r="D225">
            <v>30</v>
          </cell>
        </row>
        <row r="226">
          <cell r="A226" t="str">
            <v>PG-RMB1</v>
          </cell>
          <cell r="B226">
            <v>50</v>
          </cell>
          <cell r="C226">
            <v>50</v>
          </cell>
          <cell r="D226">
            <v>50</v>
          </cell>
        </row>
        <row r="227">
          <cell r="A227" t="str">
            <v>PG-RMB2</v>
          </cell>
          <cell r="B227">
            <v>50</v>
          </cell>
          <cell r="C227">
            <v>50</v>
          </cell>
          <cell r="D227">
            <v>50</v>
          </cell>
        </row>
        <row r="228">
          <cell r="A228" t="str">
            <v>PGSAR-120HM1</v>
          </cell>
          <cell r="B228">
            <v>100.13</v>
          </cell>
          <cell r="C228">
            <v>100.13</v>
          </cell>
          <cell r="D228">
            <v>100.13</v>
          </cell>
        </row>
        <row r="229">
          <cell r="A229" t="str">
            <v>PGSAR-12HAS1</v>
          </cell>
          <cell r="B229">
            <v>105.05000000000001</v>
          </cell>
          <cell r="C229">
            <v>105.05000000000001</v>
          </cell>
          <cell r="D229">
            <v>105.05000000000001</v>
          </cell>
        </row>
        <row r="230">
          <cell r="A230" t="str">
            <v>PGSAR-HFW1</v>
          </cell>
          <cell r="B230">
            <v>48.72</v>
          </cell>
          <cell r="C230">
            <v>48.561999999999998</v>
          </cell>
          <cell r="D230">
            <v>48.72</v>
          </cell>
        </row>
        <row r="231">
          <cell r="A231" t="str">
            <v>PGSAR-HGT1</v>
          </cell>
          <cell r="B231">
            <v>50.129999999999995</v>
          </cell>
          <cell r="C231">
            <v>50.129999999999995</v>
          </cell>
          <cell r="D231">
            <v>50.08</v>
          </cell>
        </row>
        <row r="232">
          <cell r="A232" t="str">
            <v>PGSAR-OHC1</v>
          </cell>
          <cell r="B232">
            <v>96.77</v>
          </cell>
          <cell r="C232">
            <v>96.77</v>
          </cell>
          <cell r="D232">
            <v>96.77</v>
          </cell>
        </row>
        <row r="233">
          <cell r="A233" t="str">
            <v>PGSAR-PG1</v>
          </cell>
          <cell r="B233">
            <v>70.400000000000006</v>
          </cell>
          <cell r="C233">
            <v>70.400000000000006</v>
          </cell>
          <cell r="D233">
            <v>70.400000000000006</v>
          </cell>
        </row>
        <row r="234">
          <cell r="A234" t="str">
            <v>PG-SB1</v>
          </cell>
          <cell r="B234">
            <v>7.1</v>
          </cell>
          <cell r="C234">
            <v>7.1</v>
          </cell>
          <cell r="D234">
            <v>7.1</v>
          </cell>
        </row>
        <row r="235">
          <cell r="A235" t="str">
            <v>PGSFFWASH1</v>
          </cell>
          <cell r="B235">
            <v>60.15</v>
          </cell>
          <cell r="C235">
            <v>60.15</v>
          </cell>
          <cell r="D235">
            <v>61.48</v>
          </cell>
        </row>
        <row r="236">
          <cell r="A236" t="str">
            <v>PGSGCSERUM1</v>
          </cell>
          <cell r="B236">
            <v>65</v>
          </cell>
          <cell r="C236">
            <v>60.73</v>
          </cell>
          <cell r="D236">
            <v>60.73</v>
          </cell>
        </row>
        <row r="237">
          <cell r="A237" t="str">
            <v>PG-SGMB2</v>
          </cell>
          <cell r="B237">
            <v>83</v>
          </cell>
          <cell r="C237">
            <v>83</v>
          </cell>
          <cell r="D237">
            <v>83</v>
          </cell>
        </row>
        <row r="238">
          <cell r="A238" t="str">
            <v>PGSGMOISTURIZER1</v>
          </cell>
          <cell r="B238">
            <v>66.459999999999994</v>
          </cell>
          <cell r="C238">
            <v>66.533333333333346</v>
          </cell>
          <cell r="D238">
            <v>66.328461538461553</v>
          </cell>
        </row>
        <row r="239">
          <cell r="A239" t="str">
            <v>PGSGSMASK1</v>
          </cell>
          <cell r="B239">
            <v>70.53</v>
          </cell>
          <cell r="C239">
            <v>70.2</v>
          </cell>
          <cell r="D239">
            <v>70.2</v>
          </cell>
        </row>
        <row r="240">
          <cell r="A240" t="str">
            <v>PGSL-BLB1</v>
          </cell>
          <cell r="B240">
            <v>26.14</v>
          </cell>
          <cell r="C240">
            <v>26.27</v>
          </cell>
          <cell r="D240">
            <v>26.27</v>
          </cell>
        </row>
        <row r="241">
          <cell r="A241" t="str">
            <v>PGSL-BLS1</v>
          </cell>
          <cell r="B241">
            <v>31</v>
          </cell>
          <cell r="C241">
            <v>31</v>
          </cell>
          <cell r="D241">
            <v>31.31</v>
          </cell>
        </row>
        <row r="242">
          <cell r="A242" t="str">
            <v>PGSL-BLSC1</v>
          </cell>
          <cell r="B242">
            <v>27.09</v>
          </cell>
          <cell r="C242">
            <v>27.09</v>
          </cell>
          <cell r="D242">
            <v>26.914999999999996</v>
          </cell>
        </row>
        <row r="243">
          <cell r="A243" t="str">
            <v>PGSL-ELPRO1</v>
          </cell>
          <cell r="B243">
            <v>28.51</v>
          </cell>
          <cell r="C243">
            <v>28.51</v>
          </cell>
          <cell r="D243">
            <v>28.82</v>
          </cell>
        </row>
        <row r="244">
          <cell r="A244" t="str">
            <v>PGSL-PLS1</v>
          </cell>
          <cell r="B244">
            <v>31.06</v>
          </cell>
          <cell r="C244">
            <v>31.06</v>
          </cell>
          <cell r="D244">
            <v>31.06</v>
          </cell>
        </row>
        <row r="245">
          <cell r="A245" t="str">
            <v>PGSL-RRAAHS1</v>
          </cell>
          <cell r="B245">
            <v>72.040000000000006</v>
          </cell>
          <cell r="C245">
            <v>72.040000000000006</v>
          </cell>
          <cell r="D245">
            <v>71.81</v>
          </cell>
        </row>
        <row r="246">
          <cell r="A246" t="str">
            <v>PGSL-RWB1</v>
          </cell>
          <cell r="B246">
            <v>34.880000000000003</v>
          </cell>
          <cell r="C246">
            <v>34.880000000000003</v>
          </cell>
          <cell r="D246">
            <v>34.880000000000003</v>
          </cell>
        </row>
        <row r="247">
          <cell r="A247" t="str">
            <v>PGSL-SBLB1</v>
          </cell>
          <cell r="B247">
            <v>25.8</v>
          </cell>
          <cell r="C247">
            <v>26.052</v>
          </cell>
          <cell r="D247">
            <v>25.930000000000003</v>
          </cell>
        </row>
        <row r="248">
          <cell r="A248" t="str">
            <v>PGSL-SBLS1</v>
          </cell>
          <cell r="B248">
            <v>31.11</v>
          </cell>
          <cell r="C248">
            <v>31.11</v>
          </cell>
          <cell r="D248">
            <v>31.11</v>
          </cell>
        </row>
        <row r="249">
          <cell r="A249" t="str">
            <v>PGSL-SRAHC1</v>
          </cell>
          <cell r="B249">
            <v>49.23</v>
          </cell>
          <cell r="C249">
            <v>49.23</v>
          </cell>
          <cell r="D249">
            <v>49.06</v>
          </cell>
        </row>
        <row r="250">
          <cell r="A250" t="str">
            <v>PGSL-SRAHM1</v>
          </cell>
          <cell r="B250">
            <v>59.82</v>
          </cell>
          <cell r="C250">
            <v>59.82</v>
          </cell>
          <cell r="D250">
            <v>59.82</v>
          </cell>
        </row>
        <row r="251">
          <cell r="A251" t="str">
            <v>PGSL-SRAHS1</v>
          </cell>
          <cell r="B251">
            <v>50.6657894736842</v>
          </cell>
          <cell r="C251">
            <v>50.55</v>
          </cell>
          <cell r="D251">
            <v>50.854210526315775</v>
          </cell>
        </row>
        <row r="252">
          <cell r="A252" t="str">
            <v>PGSL-SREO1</v>
          </cell>
          <cell r="B252">
            <v>45.27</v>
          </cell>
          <cell r="C252">
            <v>45.27</v>
          </cell>
          <cell r="D252">
            <v>45.474000000000004</v>
          </cell>
        </row>
        <row r="253">
          <cell r="A253" t="str">
            <v>PGSL-SRHGO1</v>
          </cell>
          <cell r="B253">
            <v>62.05</v>
          </cell>
          <cell r="C253">
            <v>62.05</v>
          </cell>
          <cell r="D253">
            <v>61.997777777777777</v>
          </cell>
        </row>
        <row r="254">
          <cell r="A254" t="str">
            <v>PGS-NGSS50</v>
          </cell>
          <cell r="B254">
            <v>50.059999999999995</v>
          </cell>
          <cell r="C254">
            <v>50.06</v>
          </cell>
          <cell r="D254">
            <v>50.06</v>
          </cell>
        </row>
        <row r="255">
          <cell r="A255" t="str">
            <v>PGSROUESERUM1</v>
          </cell>
          <cell r="B255">
            <v>75.457999999999998</v>
          </cell>
          <cell r="C255">
            <v>75.81</v>
          </cell>
          <cell r="D255">
            <v>75.81</v>
          </cell>
        </row>
        <row r="256">
          <cell r="A256" t="str">
            <v>PGS-SGBL1</v>
          </cell>
          <cell r="B256">
            <v>91.35</v>
          </cell>
          <cell r="C256">
            <v>91.35</v>
          </cell>
          <cell r="D256">
            <v>91.35</v>
          </cell>
        </row>
        <row r="257">
          <cell r="A257" t="str">
            <v>PG-SSGFW1</v>
          </cell>
          <cell r="B257">
            <v>23.39</v>
          </cell>
          <cell r="C257">
            <v>23.39</v>
          </cell>
          <cell r="D257">
            <v>23.39</v>
          </cell>
        </row>
        <row r="258">
          <cell r="A258" t="str">
            <v>PGSS-UMSST1</v>
          </cell>
          <cell r="B258">
            <v>112.63</v>
          </cell>
          <cell r="C258">
            <v>112.63</v>
          </cell>
          <cell r="D258">
            <v>112.63</v>
          </cell>
        </row>
        <row r="259">
          <cell r="A259" t="str">
            <v>PG-STB1</v>
          </cell>
          <cell r="B259">
            <v>680</v>
          </cell>
          <cell r="C259">
            <v>680</v>
          </cell>
          <cell r="D259">
            <v>680</v>
          </cell>
        </row>
        <row r="260">
          <cell r="A260" t="str">
            <v>PGSTMIST1</v>
          </cell>
          <cell r="B260">
            <v>33</v>
          </cell>
          <cell r="C260">
            <v>33</v>
          </cell>
          <cell r="D260">
            <v>32.03</v>
          </cell>
        </row>
        <row r="261">
          <cell r="A261" t="str">
            <v>PGSUECREAM1</v>
          </cell>
          <cell r="B261">
            <v>69.61</v>
          </cell>
          <cell r="C261">
            <v>69.61</v>
          </cell>
          <cell r="D261">
            <v>69.61</v>
          </cell>
        </row>
        <row r="262">
          <cell r="A262" t="str">
            <v>PG-TSB-ES1</v>
          </cell>
          <cell r="B262">
            <v>203</v>
          </cell>
          <cell r="C262">
            <v>203</v>
          </cell>
          <cell r="D262">
            <v>203</v>
          </cell>
        </row>
        <row r="263">
          <cell r="A263" t="str">
            <v>PG-TSB-L1</v>
          </cell>
          <cell r="B263">
            <v>203</v>
          </cell>
          <cell r="C263">
            <v>203</v>
          </cell>
          <cell r="D263">
            <v>203</v>
          </cell>
        </row>
        <row r="264">
          <cell r="A264" t="str">
            <v>PG-TSB-M1</v>
          </cell>
          <cell r="B264">
            <v>203</v>
          </cell>
          <cell r="C264">
            <v>203</v>
          </cell>
          <cell r="D264">
            <v>203</v>
          </cell>
        </row>
        <row r="265">
          <cell r="A265" t="str">
            <v>PG-TSB-S1</v>
          </cell>
          <cell r="B265">
            <v>203</v>
          </cell>
          <cell r="C265">
            <v>203</v>
          </cell>
          <cell r="D265">
            <v>203</v>
          </cell>
        </row>
        <row r="266">
          <cell r="A266" t="str">
            <v>PG-TSB-XL1</v>
          </cell>
          <cell r="B266">
            <v>203</v>
          </cell>
          <cell r="C266">
            <v>203</v>
          </cell>
          <cell r="D266">
            <v>203</v>
          </cell>
        </row>
        <row r="267">
          <cell r="A267" t="str">
            <v>PG-TSE-ES1</v>
          </cell>
          <cell r="B267">
            <v>234</v>
          </cell>
          <cell r="C267">
            <v>234</v>
          </cell>
          <cell r="D267">
            <v>234</v>
          </cell>
        </row>
        <row r="268">
          <cell r="A268" t="str">
            <v>PG-TSE-L1</v>
          </cell>
          <cell r="B268">
            <v>234</v>
          </cell>
          <cell r="C268">
            <v>234</v>
          </cell>
          <cell r="D268">
            <v>234</v>
          </cell>
        </row>
        <row r="269">
          <cell r="A269" t="str">
            <v>PG-TSE-M1</v>
          </cell>
          <cell r="B269">
            <v>234</v>
          </cell>
          <cell r="C269">
            <v>234</v>
          </cell>
          <cell r="D269">
            <v>234</v>
          </cell>
        </row>
        <row r="270">
          <cell r="A270" t="str">
            <v>PG-TSE-S1</v>
          </cell>
          <cell r="B270">
            <v>234</v>
          </cell>
          <cell r="C270">
            <v>234</v>
          </cell>
          <cell r="D270">
            <v>234</v>
          </cell>
        </row>
        <row r="271">
          <cell r="A271" t="str">
            <v>PG-TSE-XL1</v>
          </cell>
          <cell r="B271">
            <v>234</v>
          </cell>
          <cell r="C271">
            <v>234</v>
          </cell>
          <cell r="D271">
            <v>234</v>
          </cell>
        </row>
        <row r="272">
          <cell r="A272" t="str">
            <v>PG-TSL-ES1</v>
          </cell>
          <cell r="B272">
            <v>234</v>
          </cell>
          <cell r="C272">
            <v>234</v>
          </cell>
          <cell r="D272">
            <v>234</v>
          </cell>
        </row>
        <row r="273">
          <cell r="A273" t="str">
            <v>PG-TSL-L1</v>
          </cell>
          <cell r="B273">
            <v>234</v>
          </cell>
          <cell r="C273">
            <v>234</v>
          </cell>
          <cell r="D273">
            <v>234</v>
          </cell>
        </row>
        <row r="274">
          <cell r="A274" t="str">
            <v>PG-TSL-M1</v>
          </cell>
          <cell r="B274">
            <v>234</v>
          </cell>
          <cell r="C274">
            <v>234</v>
          </cell>
          <cell r="D274">
            <v>234</v>
          </cell>
        </row>
        <row r="275">
          <cell r="A275" t="str">
            <v>PG-TSL-S1</v>
          </cell>
          <cell r="B275">
            <v>234</v>
          </cell>
          <cell r="C275">
            <v>234</v>
          </cell>
          <cell r="D275">
            <v>234</v>
          </cell>
        </row>
        <row r="276">
          <cell r="A276" t="str">
            <v>PG-TSL-XL1</v>
          </cell>
          <cell r="B276">
            <v>234</v>
          </cell>
          <cell r="C276">
            <v>234</v>
          </cell>
          <cell r="D276">
            <v>234</v>
          </cell>
        </row>
        <row r="277">
          <cell r="A277" t="str">
            <v>PGVFC1</v>
          </cell>
          <cell r="B277">
            <v>53.873333333333335</v>
          </cell>
          <cell r="C277">
            <v>52.94</v>
          </cell>
          <cell r="D277">
            <v>53.202222222222218</v>
          </cell>
        </row>
        <row r="278">
          <cell r="A278" t="str">
            <v>PGVFM1</v>
          </cell>
          <cell r="B278">
            <v>37.17</v>
          </cell>
          <cell r="C278">
            <v>37.17</v>
          </cell>
          <cell r="D278">
            <v>37.17</v>
          </cell>
        </row>
        <row r="279">
          <cell r="A279" t="str">
            <v>PGVFMT1</v>
          </cell>
          <cell r="B279">
            <v>26.28</v>
          </cell>
          <cell r="C279">
            <v>26.28</v>
          </cell>
          <cell r="D279">
            <v>25.264285714285712</v>
          </cell>
        </row>
        <row r="280">
          <cell r="A280" t="str">
            <v>PGV-FRVBL1</v>
          </cell>
          <cell r="B280">
            <v>79.760000000000005</v>
          </cell>
          <cell r="C280">
            <v>79.760000000000005</v>
          </cell>
          <cell r="D280">
            <v>79.760000000000005</v>
          </cell>
        </row>
        <row r="281">
          <cell r="A281" t="str">
            <v>PGVFS</v>
          </cell>
          <cell r="B281">
            <v>62.19</v>
          </cell>
          <cell r="C281">
            <v>62.19</v>
          </cell>
          <cell r="D281">
            <v>60.46</v>
          </cell>
        </row>
        <row r="282">
          <cell r="A282" t="str">
            <v>PGVFS1</v>
          </cell>
          <cell r="B282">
            <v>41.09</v>
          </cell>
          <cell r="C282">
            <v>41.09</v>
          </cell>
          <cell r="D282">
            <v>41.09</v>
          </cell>
        </row>
        <row r="283">
          <cell r="A283" t="str">
            <v>PGVFW1</v>
          </cell>
          <cell r="B283">
            <v>35.54</v>
          </cell>
          <cell r="C283">
            <v>35.085999999999999</v>
          </cell>
          <cell r="D283">
            <v>35.085999999999999</v>
          </cell>
        </row>
        <row r="284">
          <cell r="A284" t="str">
            <v>PG-VLAOCFW1</v>
          </cell>
          <cell r="B284">
            <v>23.68</v>
          </cell>
          <cell r="C284">
            <v>23.68</v>
          </cell>
          <cell r="D284">
            <v>23.39</v>
          </cell>
        </row>
        <row r="285">
          <cell r="A285" t="str">
            <v>PGVNGC1</v>
          </cell>
          <cell r="B285">
            <v>42.1</v>
          </cell>
          <cell r="C285">
            <v>42.1</v>
          </cell>
          <cell r="D285">
            <v>41.87</v>
          </cell>
        </row>
        <row r="286">
          <cell r="A286" t="str">
            <v>PGVUEC1</v>
          </cell>
          <cell r="B286">
            <v>40.089999999999996</v>
          </cell>
          <cell r="C286">
            <v>40.089999999999996</v>
          </cell>
          <cell r="D286">
            <v>40.090000000000003</v>
          </cell>
        </row>
        <row r="287">
          <cell r="A287" t="str">
            <v>PUMP-HGS50ml</v>
          </cell>
          <cell r="B287">
            <v>1.9</v>
          </cell>
          <cell r="C287">
            <v>1.9</v>
          </cell>
          <cell r="D287">
            <v>1.9</v>
          </cell>
        </row>
        <row r="288">
          <cell r="A288" t="str">
            <v>SAM-24KGFM1</v>
          </cell>
          <cell r="B288">
            <v>15.13</v>
          </cell>
          <cell r="C288">
            <v>15.13</v>
          </cell>
          <cell r="D288">
            <v>15.13</v>
          </cell>
        </row>
        <row r="289">
          <cell r="A289" t="str">
            <v>SAM-ABPPS1</v>
          </cell>
          <cell r="B289">
            <v>17.77</v>
          </cell>
          <cell r="C289">
            <v>16.07</v>
          </cell>
          <cell r="D289">
            <v>17.305</v>
          </cell>
        </row>
        <row r="290">
          <cell r="A290" t="str">
            <v>SAM-AVBS</v>
          </cell>
          <cell r="B290">
            <v>19.72</v>
          </cell>
          <cell r="C290">
            <v>19.899999999999999</v>
          </cell>
          <cell r="D290">
            <v>19.899999999999999</v>
          </cell>
        </row>
        <row r="291">
          <cell r="A291" t="str">
            <v>SAM-HAHSS</v>
          </cell>
          <cell r="B291">
            <v>18.05</v>
          </cell>
          <cell r="C291">
            <v>18.05</v>
          </cell>
          <cell r="D291">
            <v>18.564999999999998</v>
          </cell>
        </row>
        <row r="292">
          <cell r="A292" t="str">
            <v>SAM-NC1</v>
          </cell>
          <cell r="B292">
            <v>16.38</v>
          </cell>
          <cell r="C292">
            <v>16.38</v>
          </cell>
          <cell r="D292">
            <v>16.38</v>
          </cell>
        </row>
        <row r="293">
          <cell r="A293" t="str">
            <v>SAM-SGM8G</v>
          </cell>
          <cell r="B293">
            <v>15.830000000000002</v>
          </cell>
          <cell r="C293">
            <v>15.83</v>
          </cell>
          <cell r="D293">
            <v>15.920000000000002</v>
          </cell>
        </row>
        <row r="294">
          <cell r="A294" t="str">
            <v>SAM-VFC8G</v>
          </cell>
          <cell r="B294">
            <v>13.713333333333333</v>
          </cell>
          <cell r="C294">
            <v>13.56</v>
          </cell>
          <cell r="D294">
            <v>13.56</v>
          </cell>
        </row>
        <row r="295">
          <cell r="A295" t="str">
            <v>SAM-VNGC</v>
          </cell>
          <cell r="B295">
            <v>10</v>
          </cell>
          <cell r="C295">
            <v>11.69</v>
          </cell>
          <cell r="D295">
            <v>11.69</v>
          </cell>
        </row>
        <row r="296">
          <cell r="A296" t="str">
            <v>SAM-VFC</v>
          </cell>
          <cell r="B296">
            <v>0</v>
          </cell>
          <cell r="C296">
            <v>0</v>
          </cell>
          <cell r="D296">
            <v>11.96</v>
          </cell>
        </row>
        <row r="297">
          <cell r="A297" t="str">
            <v>PGA-VCBLGS60</v>
          </cell>
          <cell r="B297">
            <v>0</v>
          </cell>
          <cell r="C297">
            <v>0</v>
          </cell>
          <cell r="D297">
            <v>85.96</v>
          </cell>
        </row>
        <row r="298">
          <cell r="A298" t="str">
            <v>PGK-NOSLGS50</v>
          </cell>
          <cell r="B298">
            <v>0</v>
          </cell>
          <cell r="C298">
            <v>0</v>
          </cell>
          <cell r="D298">
            <v>87.59</v>
          </cell>
        </row>
        <row r="299">
          <cell r="A299" t="str">
            <v>PGAVC-DBFKPR1</v>
          </cell>
          <cell r="B299">
            <v>0</v>
          </cell>
          <cell r="C299">
            <v>0</v>
          </cell>
          <cell r="D299">
            <v>70.5</v>
          </cell>
        </row>
        <row r="300">
          <cell r="A300" t="str">
            <v>PGSL-BLSM1</v>
          </cell>
          <cell r="B300">
            <v>0</v>
          </cell>
          <cell r="C300">
            <v>0</v>
          </cell>
          <cell r="D300">
            <v>37.06</v>
          </cell>
        </row>
        <row r="301">
          <cell r="A301" t="str">
            <v>PGK-WLTS50</v>
          </cell>
          <cell r="B301">
            <v>0</v>
          </cell>
          <cell r="C301">
            <v>0</v>
          </cell>
          <cell r="D301">
            <v>91.25</v>
          </cell>
        </row>
        <row r="302">
          <cell r="A302" t="str">
            <v>PGK-ACFS50</v>
          </cell>
          <cell r="B302">
            <v>0</v>
          </cell>
          <cell r="C302">
            <v>0</v>
          </cell>
          <cell r="D302">
            <v>84.2</v>
          </cell>
        </row>
        <row r="303">
          <cell r="A303" t="str">
            <v>PG-GWP-RSV1</v>
          </cell>
          <cell r="B303">
            <v>0</v>
          </cell>
          <cell r="C303">
            <v>0</v>
          </cell>
          <cell r="D303">
            <v>110</v>
          </cell>
        </row>
        <row r="304">
          <cell r="A304" t="str">
            <v>‎PGKS-RAHC1</v>
          </cell>
          <cell r="B304">
            <v>0</v>
          </cell>
          <cell r="C304">
            <v>0</v>
          </cell>
          <cell r="D304">
            <v>53.67</v>
          </cell>
        </row>
        <row r="305">
          <cell r="A305" t="str">
            <v>PGGTM-SRAHS1</v>
          </cell>
          <cell r="B305">
            <v>0</v>
          </cell>
          <cell r="C305">
            <v>0</v>
          </cell>
          <cell r="D305">
            <v>52.39</v>
          </cell>
        </row>
        <row r="306">
          <cell r="A306" t="str">
            <v>PGSBSL-5NC</v>
          </cell>
          <cell r="B306">
            <v>0</v>
          </cell>
          <cell r="C306">
            <v>0</v>
          </cell>
          <cell r="D306">
            <v>66.42</v>
          </cell>
        </row>
        <row r="307">
          <cell r="A307" t="str">
            <v>PGKFFW1</v>
          </cell>
          <cell r="B307">
            <v>0</v>
          </cell>
          <cell r="C307">
            <v>0</v>
          </cell>
          <cell r="D307">
            <v>61.72</v>
          </cell>
        </row>
        <row r="308">
          <cell r="A308" t="str">
            <v>⁠PGK-HASSG50</v>
          </cell>
          <cell r="B308">
            <v>0</v>
          </cell>
          <cell r="C308">
            <v>0</v>
          </cell>
          <cell r="D308">
            <v>61.06</v>
          </cell>
        </row>
        <row r="309">
          <cell r="A309" t="str">
            <v>PGSBSL-5LGA</v>
          </cell>
          <cell r="B309">
            <v>0</v>
          </cell>
          <cell r="C309">
            <v>0</v>
          </cell>
          <cell r="D309">
            <v>66.42</v>
          </cell>
        </row>
        <row r="310">
          <cell r="A310" t="str">
            <v>PGK-DRS200</v>
          </cell>
          <cell r="B310">
            <v>0</v>
          </cell>
          <cell r="C310">
            <v>0</v>
          </cell>
          <cell r="D310">
            <v>40.409999999999997</v>
          </cell>
        </row>
        <row r="311">
          <cell r="A311" t="str">
            <v>SAM-SGM1</v>
          </cell>
          <cell r="B311">
            <v>0</v>
          </cell>
          <cell r="C311">
            <v>0</v>
          </cell>
          <cell r="D311">
            <v>16.47</v>
          </cell>
        </row>
        <row r="312">
          <cell r="A312" t="str">
            <v>PHD-10NS1</v>
          </cell>
          <cell r="B312">
            <v>0</v>
          </cell>
          <cell r="C312">
            <v>0</v>
          </cell>
          <cell r="D312">
            <v>87.7</v>
          </cell>
        </row>
        <row r="313">
          <cell r="A313" t="str">
            <v>PHD-2AADS1</v>
          </cell>
          <cell r="B313">
            <v>0</v>
          </cell>
          <cell r="C313">
            <v>0</v>
          </cell>
          <cell r="D313">
            <v>91.53</v>
          </cell>
        </row>
        <row r="314">
          <cell r="A314" t="str">
            <v>PHD-2SAAAS1</v>
          </cell>
          <cell r="B314">
            <v>0</v>
          </cell>
          <cell r="C314">
            <v>0</v>
          </cell>
          <cell r="D314">
            <v>86.13</v>
          </cell>
        </row>
        <row r="315">
          <cell r="A315" t="str">
            <v>PHD-PMIB1</v>
          </cell>
          <cell r="B315">
            <v>0</v>
          </cell>
          <cell r="C315">
            <v>0</v>
          </cell>
          <cell r="D315">
            <v>12.5</v>
          </cell>
        </row>
        <row r="316">
          <cell r="A316" t="str">
            <v>PHD-PSB1</v>
          </cell>
          <cell r="B316">
            <v>0</v>
          </cell>
          <cell r="C316">
            <v>0</v>
          </cell>
          <cell r="D316">
            <v>15.8</v>
          </cell>
        </row>
        <row r="317">
          <cell r="A317" t="str">
            <v>PHD-3NOFM1</v>
          </cell>
          <cell r="B317">
            <v>0</v>
          </cell>
          <cell r="C317">
            <v>0</v>
          </cell>
          <cell r="D317">
            <v>103.38</v>
          </cell>
        </row>
        <row r="318">
          <cell r="A318" t="str">
            <v>PHD-10VCBS1</v>
          </cell>
          <cell r="B318">
            <v>0</v>
          </cell>
          <cell r="C318">
            <v>0</v>
          </cell>
          <cell r="D318">
            <v>117.33</v>
          </cell>
        </row>
        <row r="319">
          <cell r="A319" t="str">
            <v>PHD-VCBM1</v>
          </cell>
          <cell r="B319">
            <v>0</v>
          </cell>
          <cell r="C319">
            <v>0</v>
          </cell>
          <cell r="D319">
            <v>99.01</v>
          </cell>
        </row>
        <row r="320">
          <cell r="A320" t="str">
            <v>PHD-2HAS1</v>
          </cell>
          <cell r="B320">
            <v>0</v>
          </cell>
          <cell r="C320">
            <v>0</v>
          </cell>
          <cell r="D320">
            <v>95.29</v>
          </cell>
        </row>
        <row r="321">
          <cell r="A321" t="str">
            <v>PGK-HGM50</v>
          </cell>
          <cell r="B321">
            <v>0</v>
          </cell>
          <cell r="C321">
            <v>0</v>
          </cell>
          <cell r="D321">
            <v>40.33</v>
          </cell>
        </row>
        <row r="322">
          <cell r="A322" t="str">
            <v>PGK-DRHM1</v>
          </cell>
          <cell r="B322">
            <v>0</v>
          </cell>
          <cell r="C322">
            <v>0</v>
          </cell>
          <cell r="D322">
            <v>65.53</v>
          </cell>
        </row>
        <row r="323">
          <cell r="A323" t="str">
            <v>PGK-DRS400</v>
          </cell>
          <cell r="B323">
            <v>0</v>
          </cell>
          <cell r="C323">
            <v>0</v>
          </cell>
          <cell r="D323">
            <v>67.865000000000009</v>
          </cell>
        </row>
        <row r="324">
          <cell r="A324" t="str">
            <v>PGK-DRC1</v>
          </cell>
          <cell r="B324">
            <v>0</v>
          </cell>
          <cell r="C324">
            <v>0</v>
          </cell>
          <cell r="D324">
            <v>62.03</v>
          </cell>
        </row>
        <row r="325">
          <cell r="A325" t="str">
            <v>PG-GWP-MVP1</v>
          </cell>
          <cell r="B325">
            <v>0</v>
          </cell>
          <cell r="C325">
            <v>0</v>
          </cell>
          <cell r="D325">
            <v>70</v>
          </cell>
        </row>
        <row r="326">
          <cell r="A326" t="str">
            <v>PGK-HGM100</v>
          </cell>
          <cell r="B326">
            <v>0</v>
          </cell>
          <cell r="C326">
            <v>0</v>
          </cell>
          <cell r="D326">
            <v>64.38</v>
          </cell>
        </row>
        <row r="327">
          <cell r="A327" t="str">
            <v>PGAVC-DBFK1</v>
          </cell>
          <cell r="B327">
            <v>0</v>
          </cell>
          <cell r="C327">
            <v>0</v>
          </cell>
          <cell r="D327">
            <v>297.47000000000003</v>
          </cell>
        </row>
        <row r="328">
          <cell r="A328" t="str">
            <v>PGSR-VCDC1</v>
          </cell>
          <cell r="B328">
            <v>0</v>
          </cell>
          <cell r="C328">
            <v>0</v>
          </cell>
          <cell r="D328">
            <v>119.51000000000002</v>
          </cell>
        </row>
        <row r="329">
          <cell r="A329" t="str">
            <v>PG-GWP-TFHB1</v>
          </cell>
          <cell r="B329">
            <v>0</v>
          </cell>
          <cell r="C329">
            <v>0</v>
          </cell>
          <cell r="D329">
            <v>55</v>
          </cell>
        </row>
        <row r="330">
          <cell r="A330" t="str">
            <v>PGSR-PBHT1</v>
          </cell>
          <cell r="B330">
            <v>0</v>
          </cell>
          <cell r="C330">
            <v>0</v>
          </cell>
          <cell r="D330">
            <v>1932.66</v>
          </cell>
        </row>
        <row r="331">
          <cell r="A331" t="str">
            <v>PGSR-PNHT1</v>
          </cell>
          <cell r="B331">
            <v>0</v>
          </cell>
          <cell r="C331">
            <v>0</v>
          </cell>
          <cell r="D331">
            <v>2532.66</v>
          </cell>
        </row>
        <row r="332">
          <cell r="A332" t="str">
            <v>PGSR-PSHM1</v>
          </cell>
          <cell r="B332">
            <v>0</v>
          </cell>
          <cell r="C332">
            <v>0</v>
          </cell>
          <cell r="D332">
            <v>133.82</v>
          </cell>
        </row>
        <row r="333">
          <cell r="A333" t="str">
            <v>PGSR-PSS1</v>
          </cell>
          <cell r="B333">
            <v>0</v>
          </cell>
          <cell r="C333">
            <v>0</v>
          </cell>
          <cell r="D333">
            <v>373.12</v>
          </cell>
        </row>
        <row r="334">
          <cell r="A334" t="str">
            <v>PHD-PRFS1</v>
          </cell>
          <cell r="B334">
            <v>0</v>
          </cell>
          <cell r="C334">
            <v>0</v>
          </cell>
          <cell r="D334">
            <v>89.7</v>
          </cell>
        </row>
        <row r="335">
          <cell r="A335" t="str">
            <v>PHD-PRCARD1</v>
          </cell>
          <cell r="B335">
            <v>0</v>
          </cell>
          <cell r="C335">
            <v>0</v>
          </cell>
          <cell r="D335">
            <v>6.5</v>
          </cell>
        </row>
        <row r="336">
          <cell r="A336" t="str">
            <v>PHD-PRBOX1</v>
          </cell>
          <cell r="B336">
            <v>0</v>
          </cell>
          <cell r="C336">
            <v>0</v>
          </cell>
          <cell r="D336">
            <v>175</v>
          </cell>
        </row>
        <row r="337">
          <cell r="A337" t="str">
            <v>PHD-BGB1</v>
          </cell>
          <cell r="B337">
            <v>0</v>
          </cell>
          <cell r="C337">
            <v>0</v>
          </cell>
          <cell r="D337">
            <v>91</v>
          </cell>
        </row>
        <row r="338">
          <cell r="A338" t="str">
            <v>PG-GWP-P1</v>
          </cell>
          <cell r="B338">
            <v>0</v>
          </cell>
          <cell r="C338">
            <v>0</v>
          </cell>
          <cell r="D338">
            <v>11.05</v>
          </cell>
        </row>
        <row r="339">
          <cell r="A339" t="str">
            <v>PG-DO1</v>
          </cell>
          <cell r="B339">
            <v>0</v>
          </cell>
          <cell r="C339">
            <v>0</v>
          </cell>
          <cell r="D339">
            <v>235</v>
          </cell>
        </row>
        <row r="340">
          <cell r="A340" t="str">
            <v>PGSR-VCFK1</v>
          </cell>
          <cell r="B340">
            <v>0</v>
          </cell>
          <cell r="C340">
            <v>0</v>
          </cell>
          <cell r="D340">
            <v>174.51</v>
          </cell>
        </row>
        <row r="341">
          <cell r="A341" t="str">
            <v>PGPK-PXLB1</v>
          </cell>
          <cell r="B341">
            <v>0</v>
          </cell>
          <cell r="C341">
            <v>0</v>
          </cell>
          <cell r="D341">
            <v>45</v>
          </cell>
        </row>
        <row r="342">
          <cell r="A342" t="str">
            <v>PHD-PMB1</v>
          </cell>
          <cell r="B342">
            <v>0</v>
          </cell>
          <cell r="C342">
            <v>0</v>
          </cell>
          <cell r="D342">
            <v>21.3</v>
          </cell>
        </row>
        <row r="343">
          <cell r="A343" t="str">
            <v>PGIS-BSCGK-BOX</v>
          </cell>
          <cell r="B343">
            <v>0</v>
          </cell>
          <cell r="C343">
            <v>0</v>
          </cell>
          <cell r="D343">
            <v>200</v>
          </cell>
        </row>
        <row r="344">
          <cell r="A344" t="str">
            <v>PGIS-DLNSK-BOX</v>
          </cell>
          <cell r="B344">
            <v>0</v>
          </cell>
          <cell r="C344">
            <v>0</v>
          </cell>
          <cell r="D344">
            <v>200</v>
          </cell>
        </row>
        <row r="345">
          <cell r="A345" t="str">
            <v>PGIS-DSGGK-BOX</v>
          </cell>
          <cell r="B345">
            <v>0</v>
          </cell>
          <cell r="C345">
            <v>0</v>
          </cell>
          <cell r="D345">
            <v>175</v>
          </cell>
        </row>
        <row r="346">
          <cell r="A346" t="str">
            <v>PGSKITBOX</v>
          </cell>
          <cell r="B346">
            <v>0</v>
          </cell>
          <cell r="C346">
            <v>0</v>
          </cell>
          <cell r="D346">
            <v>250</v>
          </cell>
        </row>
        <row r="347">
          <cell r="A347" t="str">
            <v>PGIS-DAGGK-BOX</v>
          </cell>
          <cell r="B347">
            <v>0</v>
          </cell>
          <cell r="C347">
            <v>0</v>
          </cell>
          <cell r="D347">
            <v>240</v>
          </cell>
        </row>
        <row r="348">
          <cell r="A348" t="str">
            <v>PGIS-DGGKK-BOX</v>
          </cell>
          <cell r="B348">
            <v>0</v>
          </cell>
          <cell r="C348">
            <v>0</v>
          </cell>
          <cell r="D348">
            <v>240</v>
          </cell>
        </row>
        <row r="349">
          <cell r="A349" t="str">
            <v>PG-AN1</v>
          </cell>
          <cell r="B349">
            <v>0</v>
          </cell>
          <cell r="C349">
            <v>0</v>
          </cell>
          <cell r="D349">
            <v>1.2</v>
          </cell>
        </row>
        <row r="350">
          <cell r="A350" t="str">
            <v>PGBB1</v>
          </cell>
          <cell r="B350">
            <v>0</v>
          </cell>
          <cell r="C350">
            <v>0</v>
          </cell>
          <cell r="D350">
            <v>94</v>
          </cell>
        </row>
        <row r="351">
          <cell r="A351" t="str">
            <v>PGK-AHBHPS60</v>
          </cell>
          <cell r="B351">
            <v>0</v>
          </cell>
          <cell r="C351">
            <v>0</v>
          </cell>
          <cell r="D351">
            <v>86.75</v>
          </cell>
        </row>
        <row r="352">
          <cell r="A352" t="str">
            <v>PGK-AHBHPS10</v>
          </cell>
          <cell r="B352">
            <v>0</v>
          </cell>
          <cell r="C352">
            <v>0</v>
          </cell>
          <cell r="D352">
            <v>27.16</v>
          </cell>
        </row>
        <row r="353">
          <cell r="A353" t="str">
            <v>PGA-15VCF10</v>
          </cell>
          <cell r="B353">
            <v>0</v>
          </cell>
          <cell r="C353">
            <v>0</v>
          </cell>
          <cell r="D353">
            <v>44.56</v>
          </cell>
        </row>
        <row r="354">
          <cell r="A354" t="str">
            <v>PHD-CHC1</v>
          </cell>
          <cell r="B354">
            <v>0</v>
          </cell>
          <cell r="C354">
            <v>0</v>
          </cell>
          <cell r="D354">
            <v>50.05</v>
          </cell>
        </row>
        <row r="355">
          <cell r="A355" t="str">
            <v>PHD-1CC1</v>
          </cell>
          <cell r="B355">
            <v>0</v>
          </cell>
          <cell r="C355">
            <v>0</v>
          </cell>
          <cell r="D355">
            <v>83.6</v>
          </cell>
        </row>
        <row r="356">
          <cell r="A356" t="str">
            <v>PGMU-PLLCC1</v>
          </cell>
          <cell r="B356">
            <v>0</v>
          </cell>
          <cell r="C356">
            <v>0</v>
          </cell>
          <cell r="D356">
            <v>149.82</v>
          </cell>
        </row>
        <row r="357">
          <cell r="A357" t="str">
            <v>PGMU-PLLCB1</v>
          </cell>
          <cell r="B357">
            <v>0</v>
          </cell>
          <cell r="C357">
            <v>0</v>
          </cell>
          <cell r="D357">
            <v>149.82</v>
          </cell>
        </row>
        <row r="358">
          <cell r="A358" t="str">
            <v>PGMU-PLLTM1</v>
          </cell>
          <cell r="B358">
            <v>0</v>
          </cell>
          <cell r="C358">
            <v>0</v>
          </cell>
          <cell r="D358">
            <v>149.82</v>
          </cell>
        </row>
        <row r="359">
          <cell r="A359" t="str">
            <v>PGMU-PLLRA1</v>
          </cell>
          <cell r="B359">
            <v>0</v>
          </cell>
          <cell r="C359">
            <v>0</v>
          </cell>
          <cell r="D359">
            <v>149.81999999999996</v>
          </cell>
        </row>
        <row r="360">
          <cell r="A360" t="str">
            <v>PGMU-PLLCM1</v>
          </cell>
          <cell r="B360">
            <v>0</v>
          </cell>
          <cell r="C360">
            <v>0</v>
          </cell>
          <cell r="D360">
            <v>149.82</v>
          </cell>
        </row>
        <row r="361">
          <cell r="A361" t="str">
            <v>PGMU-PLLRK1</v>
          </cell>
          <cell r="B361">
            <v>0</v>
          </cell>
          <cell r="C361">
            <v>0</v>
          </cell>
          <cell r="D361">
            <v>149.82</v>
          </cell>
        </row>
        <row r="362">
          <cell r="A362" t="str">
            <v>PGMU-PLLFR1</v>
          </cell>
          <cell r="B362">
            <v>0</v>
          </cell>
          <cell r="C362">
            <v>0</v>
          </cell>
          <cell r="D362">
            <v>149.82</v>
          </cell>
        </row>
        <row r="363">
          <cell r="A363" t="str">
            <v>PGMU-PLLRC1</v>
          </cell>
          <cell r="B363">
            <v>0</v>
          </cell>
          <cell r="C363">
            <v>0</v>
          </cell>
          <cell r="D363">
            <v>149.82</v>
          </cell>
        </row>
        <row r="364">
          <cell r="A364" t="str">
            <v>PGMU-PLLWS1</v>
          </cell>
          <cell r="B364">
            <v>0</v>
          </cell>
          <cell r="C364">
            <v>0</v>
          </cell>
          <cell r="D364">
            <v>149.82</v>
          </cell>
        </row>
        <row r="365">
          <cell r="A365" t="str">
            <v>PGMU-BHCSE1</v>
          </cell>
          <cell r="B365">
            <v>0</v>
          </cell>
          <cell r="C365">
            <v>0</v>
          </cell>
          <cell r="D365">
            <v>137.76</v>
          </cell>
        </row>
        <row r="366">
          <cell r="A366" t="str">
            <v>PGMU-BHCSR1</v>
          </cell>
          <cell r="B366">
            <v>0</v>
          </cell>
          <cell r="C366">
            <v>0</v>
          </cell>
          <cell r="D366">
            <v>137.76</v>
          </cell>
        </row>
        <row r="367">
          <cell r="A367" t="str">
            <v>PGMU-FSRW1</v>
          </cell>
          <cell r="B367">
            <v>0</v>
          </cell>
          <cell r="C367">
            <v>0</v>
          </cell>
          <cell r="D367">
            <v>147.47</v>
          </cell>
        </row>
        <row r="368">
          <cell r="A368" t="str">
            <v>PGMU-FSMS1</v>
          </cell>
          <cell r="B368">
            <v>0</v>
          </cell>
          <cell r="C368">
            <v>0</v>
          </cell>
          <cell r="D368">
            <v>147.47</v>
          </cell>
        </row>
        <row r="369">
          <cell r="A369" t="str">
            <v>PGMU-FSCN1</v>
          </cell>
          <cell r="B369">
            <v>0</v>
          </cell>
          <cell r="C369">
            <v>0</v>
          </cell>
          <cell r="D369">
            <v>147.47</v>
          </cell>
        </row>
        <row r="370">
          <cell r="A370" t="str">
            <v>PGMU-FSCA1</v>
          </cell>
          <cell r="B370">
            <v>0</v>
          </cell>
          <cell r="C370">
            <v>0</v>
          </cell>
          <cell r="D370">
            <v>147.47</v>
          </cell>
        </row>
        <row r="371">
          <cell r="A371" t="str">
            <v>PGMU-FSLB1</v>
          </cell>
          <cell r="B371">
            <v>0</v>
          </cell>
          <cell r="C371">
            <v>0</v>
          </cell>
          <cell r="D371">
            <v>147.47</v>
          </cell>
        </row>
        <row r="372">
          <cell r="A372" t="str">
            <v>PGMU-FSDM1</v>
          </cell>
          <cell r="B372">
            <v>0</v>
          </cell>
          <cell r="C372">
            <v>0</v>
          </cell>
          <cell r="D372">
            <v>147.47</v>
          </cell>
        </row>
        <row r="373">
          <cell r="A373" t="str">
            <v>PGMU-FSLV1</v>
          </cell>
          <cell r="B373">
            <v>0</v>
          </cell>
          <cell r="C373">
            <v>0</v>
          </cell>
          <cell r="D373">
            <v>147.47</v>
          </cell>
        </row>
        <row r="374">
          <cell r="A374" t="str">
            <v>PGMU-BHCBC1</v>
          </cell>
          <cell r="B374">
            <v>0</v>
          </cell>
          <cell r="C374">
            <v>0</v>
          </cell>
          <cell r="D374">
            <v>137.76</v>
          </cell>
        </row>
        <row r="375">
          <cell r="A375" t="str">
            <v>MINIS-10VCFS5</v>
          </cell>
          <cell r="B375">
            <v>0</v>
          </cell>
          <cell r="C375">
            <v>0</v>
          </cell>
          <cell r="D375">
            <v>20.990000000000002</v>
          </cell>
        </row>
        <row r="376">
          <cell r="A376" t="str">
            <v>MINIS-HGM8</v>
          </cell>
          <cell r="B376">
            <v>0</v>
          </cell>
          <cell r="C376">
            <v>0</v>
          </cell>
          <cell r="D376">
            <v>11.289999999999996</v>
          </cell>
        </row>
        <row r="377">
          <cell r="A377" t="str">
            <v>PHD-VCBM1</v>
          </cell>
          <cell r="B377">
            <v>0</v>
          </cell>
          <cell r="C377">
            <v>0</v>
          </cell>
          <cell r="D377">
            <v>99.01</v>
          </cell>
        </row>
        <row r="378">
          <cell r="A378" t="str">
            <v>PGSR-PB1</v>
          </cell>
          <cell r="D378">
            <v>19.850000000000001</v>
          </cell>
        </row>
        <row r="379">
          <cell r="A379" t="str">
            <v>PGSR-FRVFK1</v>
          </cell>
          <cell r="D379">
            <v>174.18999999999997</v>
          </cell>
        </row>
        <row r="380">
          <cell r="A380" t="str">
            <v>PGSR-24KGFK1</v>
          </cell>
          <cell r="D380">
            <v>174.09</v>
          </cell>
        </row>
        <row r="381">
          <cell r="A381" t="str">
            <v>PGSA-BO1</v>
          </cell>
          <cell r="D381">
            <v>24</v>
          </cell>
        </row>
        <row r="382">
          <cell r="A382" t="str">
            <v>PGSA-B1</v>
          </cell>
          <cell r="D382">
            <v>11</v>
          </cell>
        </row>
        <row r="383">
          <cell r="A383" t="str">
            <v>PGMU-PLLPA1</v>
          </cell>
          <cell r="D383">
            <v>149.82</v>
          </cell>
        </row>
        <row r="384">
          <cell r="A384" t="str">
            <v>PGMU-PLLNE1</v>
          </cell>
          <cell r="D384">
            <v>149.82</v>
          </cell>
        </row>
        <row r="385">
          <cell r="A385" t="str">
            <v>PGMU-PLLMA1</v>
          </cell>
          <cell r="D385">
            <v>149.82</v>
          </cell>
        </row>
        <row r="386">
          <cell r="A386" t="str">
            <v>PGMU-PLLBP1</v>
          </cell>
          <cell r="D386">
            <v>149.82</v>
          </cell>
        </row>
        <row r="387">
          <cell r="A387" t="str">
            <v>PGMU-PLLBD1</v>
          </cell>
          <cell r="D387">
            <v>149.82</v>
          </cell>
        </row>
        <row r="388">
          <cell r="A388" t="str">
            <v>PGMU-BHCBC1</v>
          </cell>
          <cell r="D388">
            <v>137.76</v>
          </cell>
        </row>
        <row r="389">
          <cell r="A389" t="str">
            <v>PG-GWP-RB1</v>
          </cell>
          <cell r="D389">
            <v>30</v>
          </cell>
        </row>
        <row r="390">
          <cell r="A390" t="str">
            <v>PGMU-LSBRC1</v>
          </cell>
          <cell r="D390">
            <v>107.63</v>
          </cell>
        </row>
        <row r="391">
          <cell r="A391" t="str">
            <v>PGMU-LSBRS1</v>
          </cell>
          <cell r="D391">
            <v>107.63</v>
          </cell>
        </row>
        <row r="392">
          <cell r="A392" t="str">
            <v>PGMU-LSBFC1</v>
          </cell>
          <cell r="D392">
            <v>107.63</v>
          </cell>
        </row>
        <row r="393">
          <cell r="A393" t="str">
            <v>PGMU-LSBMC1</v>
          </cell>
          <cell r="D393">
            <v>107.63</v>
          </cell>
        </row>
        <row r="394">
          <cell r="A394" t="str">
            <v>PGMU-LSBSM1</v>
          </cell>
          <cell r="D394">
            <v>107.63</v>
          </cell>
        </row>
        <row r="395">
          <cell r="A395" t="str">
            <v>PGMU-LSHSG1</v>
          </cell>
          <cell r="D395">
            <v>109.68</v>
          </cell>
        </row>
        <row r="396">
          <cell r="A396" t="str">
            <v>PGSR-VCMPK1</v>
          </cell>
          <cell r="D396">
            <v>163.02000000000001</v>
          </cell>
        </row>
        <row r="397">
          <cell r="A397" t="str">
            <v>PGSR-FRVMPK1</v>
          </cell>
          <cell r="D397">
            <v>161.91999999999999</v>
          </cell>
        </row>
        <row r="398">
          <cell r="A398" t="str">
            <v>PGMU-CLO1</v>
          </cell>
          <cell r="D398">
            <v>75.73</v>
          </cell>
        </row>
        <row r="399">
          <cell r="A399" t="str">
            <v>PGMU-BMW1</v>
          </cell>
          <cell r="D399">
            <v>82.91</v>
          </cell>
        </row>
        <row r="400">
          <cell r="A400" t="str">
            <v>PGK-DRHS1</v>
          </cell>
          <cell r="D400">
            <v>71.19</v>
          </cell>
        </row>
        <row r="401">
          <cell r="A401" t="str">
            <v>PG-TP1</v>
          </cell>
          <cell r="D401">
            <v>46.5</v>
          </cell>
        </row>
        <row r="402">
          <cell r="A402" t="str">
            <v>MINIS-ATTADS1</v>
          </cell>
          <cell r="D402">
            <v>10.029999999999999</v>
          </cell>
        </row>
        <row r="403">
          <cell r="A403" t="str">
            <v>MINIS-VCGFW1</v>
          </cell>
          <cell r="D403">
            <v>7.92</v>
          </cell>
        </row>
        <row r="404">
          <cell r="A404" t="str">
            <v>PGASS650</v>
          </cell>
          <cell r="D404">
            <v>250.51</v>
          </cell>
        </row>
        <row r="405">
          <cell r="A405" t="str">
            <v>PGATT-ADS650</v>
          </cell>
          <cell r="D405">
            <v>174.39</v>
          </cell>
        </row>
        <row r="406">
          <cell r="A406" t="str">
            <v>PGMU-18EP1</v>
          </cell>
          <cell r="D406">
            <v>417.21</v>
          </cell>
        </row>
        <row r="407">
          <cell r="A407" t="str">
            <v>PGASS100</v>
          </cell>
          <cell r="D407">
            <v>43.55</v>
          </cell>
        </row>
        <row r="408">
          <cell r="A408" t="str">
            <v>MINIS-DRS25</v>
          </cell>
          <cell r="D408">
            <v>7.7</v>
          </cell>
        </row>
        <row r="409">
          <cell r="A409" t="str">
            <v>MINIS-DRHM25</v>
          </cell>
          <cell r="D409">
            <v>9.9</v>
          </cell>
        </row>
        <row r="410">
          <cell r="A410" t="str">
            <v>MINIS-10NFS5</v>
          </cell>
          <cell r="D410">
            <v>14.550000000000008</v>
          </cell>
        </row>
        <row r="411">
          <cell r="A411" t="str">
            <v>PG-GWP-DTLB</v>
          </cell>
          <cell r="D411">
            <v>125.60526315789474</v>
          </cell>
        </row>
        <row r="412">
          <cell r="A412" t="str">
            <v>PG-GWP-DTP</v>
          </cell>
          <cell r="D412">
            <v>51.411764705882355</v>
          </cell>
        </row>
        <row r="413">
          <cell r="A413" t="str">
            <v>PG-GWP-TB</v>
          </cell>
          <cell r="D413">
            <v>53</v>
          </cell>
        </row>
        <row r="414">
          <cell r="A414" t="str">
            <v>PGSPRADCSERUM1</v>
          </cell>
          <cell r="D414">
            <v>72.67</v>
          </cell>
        </row>
        <row r="415">
          <cell r="A415" t="str">
            <v>POTB1</v>
          </cell>
          <cell r="D415">
            <v>100</v>
          </cell>
        </row>
        <row r="416">
          <cell r="A416" t="str">
            <v>PGMU-LCBN1</v>
          </cell>
          <cell r="D416">
            <v>174.11</v>
          </cell>
        </row>
        <row r="417">
          <cell r="A417" t="str">
            <v>PGMU-LCTN1</v>
          </cell>
          <cell r="D417">
            <v>174.11</v>
          </cell>
        </row>
        <row r="418">
          <cell r="A418" t="str">
            <v>PGMU-LCNC1</v>
          </cell>
          <cell r="D418">
            <v>174.11</v>
          </cell>
        </row>
        <row r="419">
          <cell r="A419" t="str">
            <v>PGMU-LCCA1</v>
          </cell>
          <cell r="D419">
            <v>174.11</v>
          </cell>
        </row>
        <row r="420">
          <cell r="A420" t="str">
            <v>PGMU-LCPF1</v>
          </cell>
          <cell r="D420">
            <v>174.11</v>
          </cell>
        </row>
        <row r="421">
          <cell r="A421" t="str">
            <v>PGMU-LCRP1</v>
          </cell>
          <cell r="D421">
            <v>174.11</v>
          </cell>
        </row>
        <row r="422">
          <cell r="A422" t="str">
            <v>PGMU-LCMM1</v>
          </cell>
          <cell r="D422">
            <v>174.11</v>
          </cell>
        </row>
        <row r="423">
          <cell r="A423" t="str">
            <v>PGMU-LCRR1</v>
          </cell>
          <cell r="D423">
            <v>174.11</v>
          </cell>
        </row>
        <row r="424">
          <cell r="A424" t="str">
            <v>PGMU-LCMMU1</v>
          </cell>
          <cell r="D424">
            <v>174.11</v>
          </cell>
        </row>
        <row r="425">
          <cell r="A425" t="str">
            <v>PGMU-LCPS1</v>
          </cell>
          <cell r="D425">
            <v>174.11</v>
          </cell>
        </row>
        <row r="426">
          <cell r="A426" t="str">
            <v>PGMU-LCML1</v>
          </cell>
          <cell r="D426">
            <v>174.11</v>
          </cell>
        </row>
        <row r="427">
          <cell r="A427" t="str">
            <v>PGMU-LCNW1</v>
          </cell>
          <cell r="D427">
            <v>174.11</v>
          </cell>
        </row>
        <row r="428">
          <cell r="A428" t="str">
            <v>PGMU-LCMO1</v>
          </cell>
          <cell r="D428">
            <v>174.11</v>
          </cell>
        </row>
        <row r="429">
          <cell r="A429" t="str">
            <v>PGMU-LCVB1</v>
          </cell>
          <cell r="D429">
            <v>174.11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178F-F2F2-45FE-998A-235BE1A6FDB7}">
  <dimension ref="A1:AS2782"/>
  <sheetViews>
    <sheetView tabSelected="1" topLeftCell="E1" workbookViewId="0">
      <selection activeCell="E10" sqref="A1:AS2780"/>
    </sheetView>
  </sheetViews>
  <sheetFormatPr defaultRowHeight="14.4" x14ac:dyDescent="0.3"/>
  <cols>
    <col min="1" max="1" width="15.33203125" bestFit="1" customWidth="1"/>
    <col min="2" max="2" width="16" bestFit="1" customWidth="1"/>
    <col min="3" max="3" width="50.5546875" bestFit="1" customWidth="1"/>
    <col min="4" max="4" width="90.109375" bestFit="1" customWidth="1"/>
    <col min="5" max="5" width="214.6640625" bestFit="1" customWidth="1"/>
    <col min="6" max="6" width="24.5546875" bestFit="1" customWidth="1"/>
    <col min="7" max="7" width="16.109375" bestFit="1" customWidth="1"/>
    <col min="8" max="8" width="20.6640625" bestFit="1" customWidth="1"/>
    <col min="9" max="9" width="8" bestFit="1" customWidth="1"/>
    <col min="10" max="10" width="12.33203125" bestFit="1" customWidth="1"/>
    <col min="11" max="11" width="12.21875" bestFit="1" customWidth="1"/>
    <col min="12" max="12" width="12.109375" bestFit="1" customWidth="1"/>
    <col min="13" max="13" width="11.5546875" bestFit="1" customWidth="1"/>
    <col min="14" max="14" width="10.5546875" bestFit="1" customWidth="1"/>
    <col min="15" max="15" width="21" bestFit="1" customWidth="1"/>
    <col min="16" max="16" width="17.6640625" bestFit="1" customWidth="1"/>
    <col min="17" max="17" width="10.88671875" bestFit="1" customWidth="1"/>
    <col min="18" max="18" width="14.77734375" bestFit="1" customWidth="1"/>
    <col min="19" max="19" width="8.44140625" bestFit="1" customWidth="1"/>
    <col min="20" max="20" width="11.77734375" bestFit="1" customWidth="1"/>
    <col min="21" max="21" width="16.21875" bestFit="1" customWidth="1"/>
    <col min="22" max="22" width="17.5546875" bestFit="1" customWidth="1"/>
    <col min="23" max="23" width="28" bestFit="1" customWidth="1"/>
    <col min="24" max="24" width="12.21875" bestFit="1" customWidth="1"/>
    <col min="25" max="25" width="21.44140625" bestFit="1" customWidth="1"/>
    <col min="26" max="26" width="31.44140625" bestFit="1" customWidth="1"/>
    <col min="27" max="27" width="12" bestFit="1" customWidth="1"/>
    <col min="28" max="28" width="11" bestFit="1" customWidth="1"/>
    <col min="29" max="29" width="12.5546875" bestFit="1" customWidth="1"/>
    <col min="30" max="30" width="11.88671875" bestFit="1" customWidth="1"/>
    <col min="31" max="31" width="7.88671875" bestFit="1" customWidth="1"/>
    <col min="32" max="32" width="10.77734375" bestFit="1" customWidth="1"/>
    <col min="33" max="33" width="13.88671875" bestFit="1" customWidth="1"/>
    <col min="34" max="34" width="17.44140625" bestFit="1" customWidth="1"/>
    <col min="35" max="35" width="16.33203125" bestFit="1" customWidth="1"/>
    <col min="36" max="36" width="15.44140625" bestFit="1" customWidth="1"/>
    <col min="37" max="37" width="12.77734375" bestFit="1" customWidth="1"/>
    <col min="38" max="38" width="17.5546875" bestFit="1" customWidth="1"/>
    <col min="39" max="39" width="18.33203125" bestFit="1" customWidth="1"/>
    <col min="40" max="40" width="27.44140625" bestFit="1" customWidth="1"/>
    <col min="41" max="41" width="21.6640625" bestFit="1" customWidth="1"/>
    <col min="42" max="42" width="10.6640625" bestFit="1" customWidth="1"/>
    <col min="43" max="43" width="12.33203125" bestFit="1" customWidth="1"/>
    <col min="44" max="44" width="17.77734375" bestFit="1" customWidth="1"/>
    <col min="45" max="45" width="15" bestFit="1" customWidth="1"/>
  </cols>
  <sheetData>
    <row r="1" spans="1:45" x14ac:dyDescent="0.3">
      <c r="A1" t="s">
        <v>2202</v>
      </c>
      <c r="B1" t="s">
        <v>0</v>
      </c>
      <c r="C1" t="s">
        <v>2203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4" t="s">
        <v>12</v>
      </c>
      <c r="P1" s="4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s="4" t="s">
        <v>19</v>
      </c>
      <c r="W1" t="s">
        <v>20</v>
      </c>
      <c r="X1" t="s">
        <v>21</v>
      </c>
      <c r="Y1" t="s">
        <v>22</v>
      </c>
      <c r="Z1" t="s">
        <v>23</v>
      </c>
      <c r="AA1" s="4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Q1" t="s">
        <v>2200</v>
      </c>
      <c r="AR1" s="5" t="str">
        <f>VLOOKUP(F1,'[1]Cost Sheet'!$C:$D,2,0)</f>
        <v>Cost Price- 100%</v>
      </c>
      <c r="AS1" t="s">
        <v>2201</v>
      </c>
    </row>
    <row r="2" spans="1:45" x14ac:dyDescent="0.3">
      <c r="A2" s="1">
        <v>45900.960416666669</v>
      </c>
      <c r="B2" t="s">
        <v>617</v>
      </c>
      <c r="C2" t="s">
        <v>618</v>
      </c>
      <c r="D2" t="s">
        <v>131</v>
      </c>
      <c r="F2" t="s">
        <v>1543</v>
      </c>
      <c r="G2" t="s">
        <v>132</v>
      </c>
      <c r="H2" t="s">
        <v>103</v>
      </c>
      <c r="I2" t="s">
        <v>43</v>
      </c>
      <c r="J2">
        <v>250</v>
      </c>
      <c r="K2">
        <v>19</v>
      </c>
      <c r="L2">
        <v>10</v>
      </c>
      <c r="M2">
        <v>11</v>
      </c>
      <c r="N2">
        <v>537572</v>
      </c>
      <c r="O2">
        <v>1155</v>
      </c>
      <c r="P2">
        <v>0</v>
      </c>
      <c r="Q2">
        <v>549</v>
      </c>
      <c r="R2">
        <v>15389</v>
      </c>
      <c r="S2" t="s">
        <v>44</v>
      </c>
      <c r="T2" t="s">
        <v>44</v>
      </c>
      <c r="U2" t="s">
        <v>44</v>
      </c>
      <c r="V2">
        <v>11098</v>
      </c>
      <c r="W2">
        <v>1526</v>
      </c>
      <c r="X2" t="s">
        <v>44</v>
      </c>
      <c r="Y2">
        <v>11072</v>
      </c>
      <c r="Z2" t="s">
        <v>44</v>
      </c>
      <c r="AA2">
        <v>30</v>
      </c>
      <c r="AB2">
        <v>0</v>
      </c>
      <c r="AC2">
        <v>0</v>
      </c>
      <c r="AD2">
        <v>0</v>
      </c>
      <c r="AE2">
        <v>52</v>
      </c>
      <c r="AF2">
        <v>33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s="2">
        <v>12283</v>
      </c>
      <c r="AQ2">
        <f t="shared" ref="AQ2:AQ11" si="0">O2+P2+V2+AA2</f>
        <v>12283</v>
      </c>
      <c r="AR2" s="5">
        <f>VLOOKUP(F2,'[2]SCP_24-25'!$A:$D,4,0)</f>
        <v>78.88</v>
      </c>
      <c r="AS2" s="5">
        <f>AQ2*AR2</f>
        <v>968883.03999999992</v>
      </c>
    </row>
    <row r="3" spans="1:45" x14ac:dyDescent="0.3">
      <c r="A3" s="1">
        <v>45900.960416666669</v>
      </c>
      <c r="B3" t="s">
        <v>617</v>
      </c>
      <c r="C3" t="s">
        <v>618</v>
      </c>
      <c r="D3" t="s">
        <v>141</v>
      </c>
      <c r="F3" t="s">
        <v>1548</v>
      </c>
      <c r="G3" t="s">
        <v>142</v>
      </c>
      <c r="H3" t="s">
        <v>66</v>
      </c>
      <c r="I3" t="s">
        <v>43</v>
      </c>
      <c r="J3">
        <v>121</v>
      </c>
      <c r="K3">
        <v>19</v>
      </c>
      <c r="L3">
        <v>9.5</v>
      </c>
      <c r="M3">
        <v>11</v>
      </c>
      <c r="N3">
        <v>260606</v>
      </c>
      <c r="O3">
        <v>241</v>
      </c>
      <c r="P3">
        <v>0</v>
      </c>
      <c r="Q3">
        <v>479</v>
      </c>
      <c r="R3">
        <v>12768</v>
      </c>
      <c r="S3" t="s">
        <v>44</v>
      </c>
      <c r="T3">
        <v>6</v>
      </c>
      <c r="U3" t="s">
        <v>44</v>
      </c>
      <c r="V3">
        <v>10824</v>
      </c>
      <c r="W3">
        <v>104</v>
      </c>
      <c r="X3" t="s">
        <v>44</v>
      </c>
      <c r="Y3">
        <v>10632</v>
      </c>
      <c r="Z3" t="s">
        <v>44</v>
      </c>
      <c r="AA3">
        <v>18</v>
      </c>
      <c r="AB3">
        <v>0</v>
      </c>
      <c r="AC3">
        <v>0</v>
      </c>
      <c r="AD3">
        <v>0</v>
      </c>
      <c r="AE3">
        <v>56</v>
      </c>
      <c r="AF3">
        <v>21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s="2">
        <v>11083</v>
      </c>
      <c r="AQ3">
        <f t="shared" si="0"/>
        <v>11083</v>
      </c>
      <c r="AR3" s="5">
        <f>VLOOKUP(F3,'[2]SCP_24-25'!$A:$D,4,0)</f>
        <v>38.68</v>
      </c>
      <c r="AS3" s="5">
        <f t="shared" ref="AS3:AS66" si="1">AQ3*AR3</f>
        <v>428690.44</v>
      </c>
    </row>
    <row r="4" spans="1:45" x14ac:dyDescent="0.3">
      <c r="A4" s="1">
        <v>45900.960416666669</v>
      </c>
      <c r="B4" t="s">
        <v>617</v>
      </c>
      <c r="C4" t="s">
        <v>618</v>
      </c>
      <c r="D4" t="s">
        <v>320</v>
      </c>
      <c r="E4" t="s">
        <v>321</v>
      </c>
      <c r="F4" t="s">
        <v>1623</v>
      </c>
      <c r="G4" t="s">
        <v>322</v>
      </c>
      <c r="H4" t="s">
        <v>66</v>
      </c>
      <c r="I4" t="s">
        <v>43</v>
      </c>
      <c r="J4">
        <v>50</v>
      </c>
      <c r="K4">
        <v>19</v>
      </c>
      <c r="L4">
        <v>11</v>
      </c>
      <c r="M4">
        <v>9.5</v>
      </c>
      <c r="N4">
        <v>114917</v>
      </c>
      <c r="O4">
        <v>0</v>
      </c>
      <c r="P4">
        <v>0</v>
      </c>
      <c r="Q4">
        <v>3</v>
      </c>
      <c r="R4">
        <v>70</v>
      </c>
      <c r="S4" t="s">
        <v>44</v>
      </c>
      <c r="T4" t="s">
        <v>44</v>
      </c>
      <c r="U4" t="s">
        <v>44</v>
      </c>
      <c r="V4">
        <v>10967</v>
      </c>
      <c r="W4" t="s">
        <v>44</v>
      </c>
      <c r="X4" t="s">
        <v>44</v>
      </c>
      <c r="Y4">
        <v>10967</v>
      </c>
      <c r="Z4" t="s">
        <v>44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s="2">
        <v>10967</v>
      </c>
      <c r="AQ4">
        <f t="shared" si="0"/>
        <v>10967</v>
      </c>
      <c r="AR4" s="5">
        <f>VLOOKUP(F4,'[2]SCP_24-25'!$A:$D,4,0)</f>
        <v>17.11</v>
      </c>
      <c r="AS4" s="5">
        <f t="shared" si="1"/>
        <v>187645.37</v>
      </c>
    </row>
    <row r="5" spans="1:45" x14ac:dyDescent="0.3">
      <c r="A5" s="1">
        <v>45900.960416666669</v>
      </c>
      <c r="B5" t="s">
        <v>617</v>
      </c>
      <c r="C5" t="s">
        <v>618</v>
      </c>
      <c r="D5" t="s">
        <v>340</v>
      </c>
      <c r="E5" t="s">
        <v>338</v>
      </c>
      <c r="F5" t="s">
        <v>1630</v>
      </c>
      <c r="G5" t="s">
        <v>341</v>
      </c>
      <c r="H5" t="s">
        <v>130</v>
      </c>
      <c r="I5" t="s">
        <v>43</v>
      </c>
      <c r="J5">
        <v>48.99</v>
      </c>
      <c r="K5">
        <v>19</v>
      </c>
      <c r="L5">
        <v>10</v>
      </c>
      <c r="M5">
        <v>11</v>
      </c>
      <c r="N5">
        <v>114249</v>
      </c>
      <c r="O5">
        <v>353</v>
      </c>
      <c r="P5">
        <v>0</v>
      </c>
      <c r="Q5">
        <v>72</v>
      </c>
      <c r="R5">
        <v>1463</v>
      </c>
      <c r="S5" t="s">
        <v>44</v>
      </c>
      <c r="T5" t="s">
        <v>44</v>
      </c>
      <c r="U5" t="s">
        <v>44</v>
      </c>
      <c r="V5">
        <v>11260</v>
      </c>
      <c r="W5">
        <v>28</v>
      </c>
      <c r="X5" t="s">
        <v>44</v>
      </c>
      <c r="Y5">
        <v>11212</v>
      </c>
      <c r="Z5" t="s">
        <v>44</v>
      </c>
      <c r="AA5">
        <v>8</v>
      </c>
      <c r="AB5">
        <v>0</v>
      </c>
      <c r="AC5">
        <v>0</v>
      </c>
      <c r="AD5">
        <v>0</v>
      </c>
      <c r="AE5">
        <v>10</v>
      </c>
      <c r="AF5">
        <v>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s="2">
        <v>11621</v>
      </c>
      <c r="AQ5">
        <f t="shared" si="0"/>
        <v>11621</v>
      </c>
      <c r="AR5" s="5">
        <f>VLOOKUP(F5,'[2]SCP_24-25'!$A:$D,4,0)</f>
        <v>63.836666666666673</v>
      </c>
      <c r="AS5" s="5">
        <f t="shared" si="1"/>
        <v>741845.90333333344</v>
      </c>
    </row>
    <row r="6" spans="1:45" x14ac:dyDescent="0.3">
      <c r="A6" s="1">
        <v>45900.960416666669</v>
      </c>
      <c r="B6" t="s">
        <v>617</v>
      </c>
      <c r="C6" t="s">
        <v>618</v>
      </c>
      <c r="D6" t="s">
        <v>121</v>
      </c>
      <c r="F6" t="s">
        <v>1539</v>
      </c>
      <c r="G6" t="s">
        <v>122</v>
      </c>
      <c r="H6" t="s">
        <v>103</v>
      </c>
      <c r="I6" t="s">
        <v>43</v>
      </c>
      <c r="J6">
        <v>216.02</v>
      </c>
      <c r="K6">
        <v>19</v>
      </c>
      <c r="L6">
        <v>10</v>
      </c>
      <c r="M6">
        <v>11</v>
      </c>
      <c r="N6">
        <v>319659</v>
      </c>
      <c r="O6">
        <v>5273</v>
      </c>
      <c r="P6">
        <v>0</v>
      </c>
      <c r="Q6">
        <v>627</v>
      </c>
      <c r="R6">
        <v>6166</v>
      </c>
      <c r="S6" t="s">
        <v>44</v>
      </c>
      <c r="T6" t="s">
        <v>44</v>
      </c>
      <c r="U6" t="s">
        <v>44</v>
      </c>
      <c r="V6">
        <v>10844</v>
      </c>
      <c r="W6">
        <v>130</v>
      </c>
      <c r="X6" t="s">
        <v>44</v>
      </c>
      <c r="Y6">
        <v>10844</v>
      </c>
      <c r="Z6" t="s">
        <v>44</v>
      </c>
      <c r="AA6">
        <v>67</v>
      </c>
      <c r="AB6">
        <v>0</v>
      </c>
      <c r="AC6">
        <v>0</v>
      </c>
      <c r="AD6">
        <v>0</v>
      </c>
      <c r="AE6">
        <v>0</v>
      </c>
      <c r="AF6">
        <v>56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s="2">
        <v>16184</v>
      </c>
      <c r="AQ6">
        <f t="shared" si="0"/>
        <v>16184</v>
      </c>
      <c r="AR6" s="5">
        <f>VLOOKUP(F6,'[2]SCP_24-25'!$A:$D,4,0)</f>
        <v>53.14</v>
      </c>
      <c r="AS6" s="5">
        <f t="shared" si="1"/>
        <v>860017.76</v>
      </c>
    </row>
    <row r="7" spans="1:45" x14ac:dyDescent="0.3">
      <c r="A7" s="1">
        <v>45900.960416666669</v>
      </c>
      <c r="B7" t="s">
        <v>617</v>
      </c>
      <c r="C7" t="s">
        <v>618</v>
      </c>
      <c r="D7" t="s">
        <v>407</v>
      </c>
      <c r="F7" t="s">
        <v>1661</v>
      </c>
      <c r="G7" t="s">
        <v>408</v>
      </c>
      <c r="H7" t="s">
        <v>66</v>
      </c>
      <c r="I7" t="s">
        <v>43</v>
      </c>
      <c r="J7">
        <v>90.08</v>
      </c>
      <c r="K7">
        <v>19</v>
      </c>
      <c r="L7">
        <v>10</v>
      </c>
      <c r="M7">
        <v>11</v>
      </c>
      <c r="N7">
        <v>912987</v>
      </c>
      <c r="O7">
        <v>11736</v>
      </c>
      <c r="P7">
        <v>0</v>
      </c>
      <c r="Q7">
        <v>860</v>
      </c>
      <c r="R7">
        <v>810</v>
      </c>
      <c r="S7" t="s">
        <v>44</v>
      </c>
      <c r="T7">
        <v>11592</v>
      </c>
      <c r="U7" t="s">
        <v>44</v>
      </c>
      <c r="V7">
        <v>11600</v>
      </c>
      <c r="W7">
        <v>385</v>
      </c>
      <c r="X7" t="s">
        <v>44</v>
      </c>
      <c r="Y7">
        <v>11600</v>
      </c>
      <c r="Z7">
        <v>2</v>
      </c>
      <c r="AA7">
        <v>149</v>
      </c>
      <c r="AB7">
        <v>0</v>
      </c>
      <c r="AC7">
        <v>0</v>
      </c>
      <c r="AD7">
        <v>0</v>
      </c>
      <c r="AE7">
        <v>0</v>
      </c>
      <c r="AF7">
        <v>141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s="2">
        <v>23485</v>
      </c>
      <c r="AQ7">
        <f t="shared" si="0"/>
        <v>23485</v>
      </c>
      <c r="AR7" s="5">
        <f>VLOOKUP(F7,'[2]SCP_24-25'!$A:$D,4,0)</f>
        <v>71.819000000000003</v>
      </c>
      <c r="AS7" s="5">
        <f t="shared" si="1"/>
        <v>1686669.2150000001</v>
      </c>
    </row>
    <row r="8" spans="1:45" x14ac:dyDescent="0.3">
      <c r="A8" s="1">
        <v>45900.960416666669</v>
      </c>
      <c r="B8" t="s">
        <v>617</v>
      </c>
      <c r="C8" t="s">
        <v>618</v>
      </c>
      <c r="D8" t="s">
        <v>487</v>
      </c>
      <c r="F8" t="s">
        <v>1698</v>
      </c>
      <c r="G8" t="s">
        <v>488</v>
      </c>
      <c r="H8" t="s">
        <v>130</v>
      </c>
      <c r="I8" t="s">
        <v>43</v>
      </c>
      <c r="J8">
        <v>24.02</v>
      </c>
      <c r="K8">
        <v>19</v>
      </c>
      <c r="L8">
        <v>10</v>
      </c>
      <c r="M8">
        <v>11</v>
      </c>
      <c r="N8">
        <v>43169</v>
      </c>
      <c r="O8">
        <v>19</v>
      </c>
      <c r="P8">
        <v>0</v>
      </c>
      <c r="Q8">
        <v>6</v>
      </c>
      <c r="R8" t="s">
        <v>44</v>
      </c>
      <c r="S8" t="s">
        <v>44</v>
      </c>
      <c r="T8" t="s">
        <v>44</v>
      </c>
      <c r="U8" t="s">
        <v>44</v>
      </c>
      <c r="V8">
        <v>10366</v>
      </c>
      <c r="W8">
        <v>137</v>
      </c>
      <c r="X8" t="s">
        <v>44</v>
      </c>
      <c r="Y8">
        <v>10366</v>
      </c>
      <c r="Z8" t="s">
        <v>44</v>
      </c>
      <c r="AA8">
        <v>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s="2">
        <v>10391</v>
      </c>
      <c r="AQ8">
        <f t="shared" si="0"/>
        <v>10391</v>
      </c>
      <c r="AR8" s="5">
        <f>VLOOKUP(F8,'[2]SCP_24-25'!$A:$D,4,0)</f>
        <v>79.680000000000007</v>
      </c>
      <c r="AS8" s="5">
        <f t="shared" si="1"/>
        <v>827954.88000000012</v>
      </c>
    </row>
    <row r="9" spans="1:45" x14ac:dyDescent="0.3">
      <c r="A9" s="1">
        <v>45900.960416666669</v>
      </c>
      <c r="B9" t="s">
        <v>617</v>
      </c>
      <c r="C9" t="s">
        <v>618</v>
      </c>
      <c r="D9" t="s">
        <v>467</v>
      </c>
      <c r="F9" t="s">
        <v>1688</v>
      </c>
      <c r="G9" t="s">
        <v>468</v>
      </c>
      <c r="H9" t="s">
        <v>66</v>
      </c>
      <c r="I9" t="s">
        <v>43</v>
      </c>
      <c r="J9">
        <v>459.02</v>
      </c>
      <c r="K9">
        <v>19</v>
      </c>
      <c r="L9">
        <v>11</v>
      </c>
      <c r="M9">
        <v>10</v>
      </c>
      <c r="N9">
        <v>77170</v>
      </c>
      <c r="O9">
        <v>423</v>
      </c>
      <c r="P9">
        <v>0</v>
      </c>
      <c r="Q9">
        <v>155</v>
      </c>
      <c r="R9">
        <v>12</v>
      </c>
      <c r="S9" t="s">
        <v>44</v>
      </c>
      <c r="T9" t="s">
        <v>44</v>
      </c>
      <c r="U9" t="s">
        <v>44</v>
      </c>
      <c r="V9">
        <v>10348</v>
      </c>
      <c r="W9">
        <v>212</v>
      </c>
      <c r="X9" t="s">
        <v>44</v>
      </c>
      <c r="Y9">
        <v>10348</v>
      </c>
      <c r="Z9" t="s">
        <v>44</v>
      </c>
      <c r="AA9">
        <v>6</v>
      </c>
      <c r="AB9">
        <v>0</v>
      </c>
      <c r="AC9">
        <v>0</v>
      </c>
      <c r="AD9">
        <v>0</v>
      </c>
      <c r="AE9">
        <v>0</v>
      </c>
      <c r="AF9">
        <v>8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4000</v>
      </c>
      <c r="AP9" s="2">
        <v>10777</v>
      </c>
      <c r="AQ9">
        <f t="shared" si="0"/>
        <v>10777</v>
      </c>
      <c r="AR9" s="5">
        <f>VLOOKUP(F9,'[2]SCP_24-25'!$A:$D,4,0)</f>
        <v>79.760000000000005</v>
      </c>
      <c r="AS9" s="5">
        <f t="shared" si="1"/>
        <v>859573.52</v>
      </c>
    </row>
    <row r="10" spans="1:45" x14ac:dyDescent="0.3">
      <c r="A10" s="1">
        <v>45900.960416666669</v>
      </c>
      <c r="B10" t="s">
        <v>617</v>
      </c>
      <c r="C10" t="s">
        <v>618</v>
      </c>
      <c r="D10" t="s">
        <v>469</v>
      </c>
      <c r="F10" t="s">
        <v>1689</v>
      </c>
      <c r="G10" t="s">
        <v>470</v>
      </c>
      <c r="H10" t="s">
        <v>66</v>
      </c>
      <c r="I10" t="s">
        <v>43</v>
      </c>
      <c r="J10">
        <v>459.02</v>
      </c>
      <c r="K10">
        <v>19</v>
      </c>
      <c r="L10">
        <v>11</v>
      </c>
      <c r="M10">
        <v>10</v>
      </c>
      <c r="N10">
        <v>92417</v>
      </c>
      <c r="O10">
        <v>269</v>
      </c>
      <c r="P10">
        <v>0</v>
      </c>
      <c r="Q10">
        <v>214</v>
      </c>
      <c r="R10">
        <v>31</v>
      </c>
      <c r="S10" t="s">
        <v>44</v>
      </c>
      <c r="T10" t="s">
        <v>44</v>
      </c>
      <c r="U10" t="s">
        <v>44</v>
      </c>
      <c r="V10">
        <v>11480</v>
      </c>
      <c r="W10">
        <v>638</v>
      </c>
      <c r="X10" t="s">
        <v>44</v>
      </c>
      <c r="Y10">
        <v>11481</v>
      </c>
      <c r="Z10" t="s">
        <v>44</v>
      </c>
      <c r="AA10">
        <v>1</v>
      </c>
      <c r="AB10">
        <v>0</v>
      </c>
      <c r="AC10">
        <v>0</v>
      </c>
      <c r="AD10">
        <v>0</v>
      </c>
      <c r="AE10">
        <v>6</v>
      </c>
      <c r="AF10">
        <v>13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4000</v>
      </c>
      <c r="AP10" s="2">
        <v>11750</v>
      </c>
      <c r="AQ10">
        <f t="shared" si="0"/>
        <v>11750</v>
      </c>
      <c r="AR10" s="5">
        <f>VLOOKUP(F10,'[2]SCP_24-25'!$A:$D,4,0)</f>
        <v>91.35</v>
      </c>
      <c r="AS10" s="5">
        <f t="shared" si="1"/>
        <v>1073362.5</v>
      </c>
    </row>
    <row r="11" spans="1:45" x14ac:dyDescent="0.3">
      <c r="A11" s="1">
        <v>45900.960416666669</v>
      </c>
      <c r="B11" t="s">
        <v>617</v>
      </c>
      <c r="C11" t="s">
        <v>618</v>
      </c>
      <c r="D11" t="s">
        <v>619</v>
      </c>
      <c r="F11" t="s">
        <v>1762</v>
      </c>
      <c r="G11" t="s">
        <v>620</v>
      </c>
      <c r="H11" t="s">
        <v>621</v>
      </c>
      <c r="I11" t="s">
        <v>43</v>
      </c>
      <c r="J11">
        <v>250</v>
      </c>
      <c r="K11">
        <v>126</v>
      </c>
      <c r="L11">
        <v>50</v>
      </c>
      <c r="M11">
        <v>126</v>
      </c>
      <c r="N11">
        <v>23708</v>
      </c>
      <c r="O11">
        <v>0</v>
      </c>
      <c r="P11">
        <v>0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>
        <v>10726</v>
      </c>
      <c r="W11" t="s">
        <v>44</v>
      </c>
      <c r="X11" t="s">
        <v>44</v>
      </c>
      <c r="Y11">
        <v>10726</v>
      </c>
      <c r="Z11" t="s">
        <v>44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2">
        <v>10726</v>
      </c>
      <c r="AQ11">
        <f t="shared" si="0"/>
        <v>10726</v>
      </c>
      <c r="AR11" s="5">
        <f>VLOOKUP(F11,'[2]SCP_24-25'!$A:$D,4,0)</f>
        <v>45</v>
      </c>
      <c r="AS11" s="5">
        <f t="shared" si="1"/>
        <v>482670</v>
      </c>
    </row>
    <row r="12" spans="1:45" x14ac:dyDescent="0.3">
      <c r="A12" s="1">
        <v>45900.960416666669</v>
      </c>
      <c r="B12" t="s">
        <v>617</v>
      </c>
      <c r="C12" t="s">
        <v>618</v>
      </c>
      <c r="D12" t="s">
        <v>153</v>
      </c>
      <c r="F12" t="s">
        <v>1554</v>
      </c>
      <c r="G12" t="s">
        <v>154</v>
      </c>
      <c r="H12" t="s">
        <v>66</v>
      </c>
      <c r="I12" t="s">
        <v>43</v>
      </c>
      <c r="J12">
        <v>92.91</v>
      </c>
      <c r="K12">
        <v>19</v>
      </c>
      <c r="L12">
        <v>9.5</v>
      </c>
      <c r="M12">
        <v>11</v>
      </c>
      <c r="N12">
        <v>109398</v>
      </c>
      <c r="O12">
        <v>197</v>
      </c>
      <c r="P12">
        <v>0</v>
      </c>
      <c r="Q12">
        <v>93</v>
      </c>
      <c r="R12">
        <v>6573</v>
      </c>
      <c r="S12" t="s">
        <v>44</v>
      </c>
      <c r="T12" t="s">
        <v>44</v>
      </c>
      <c r="U12" t="s">
        <v>44</v>
      </c>
      <c r="V12">
        <v>203</v>
      </c>
      <c r="W12">
        <v>761</v>
      </c>
      <c r="X12" t="s">
        <v>44</v>
      </c>
      <c r="Y12">
        <v>160</v>
      </c>
      <c r="Z12" t="s">
        <v>44</v>
      </c>
      <c r="AA12">
        <v>6</v>
      </c>
      <c r="AB12">
        <v>0</v>
      </c>
      <c r="AC12">
        <v>0</v>
      </c>
      <c r="AD12">
        <v>0</v>
      </c>
      <c r="AE12">
        <v>21</v>
      </c>
      <c r="AF12">
        <v>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406</v>
      </c>
      <c r="AQ12">
        <f t="shared" ref="AQ12:AQ75" si="2">O12+P12+V12+AA12</f>
        <v>406</v>
      </c>
      <c r="AR12" s="5">
        <f>VLOOKUP(F12,'[2]SCP_24-25'!$A:$D,4,0)</f>
        <v>41.09</v>
      </c>
      <c r="AS12" s="5">
        <f t="shared" si="1"/>
        <v>16682.54</v>
      </c>
    </row>
    <row r="13" spans="1:45" x14ac:dyDescent="0.3">
      <c r="A13" s="1">
        <v>45900.960416666669</v>
      </c>
      <c r="B13" t="s">
        <v>617</v>
      </c>
      <c r="C13" t="s">
        <v>618</v>
      </c>
      <c r="D13" t="s">
        <v>157</v>
      </c>
      <c r="F13" t="s">
        <v>1556</v>
      </c>
      <c r="G13" t="s">
        <v>158</v>
      </c>
      <c r="H13" t="s">
        <v>66</v>
      </c>
      <c r="I13" t="s">
        <v>43</v>
      </c>
      <c r="J13">
        <v>116</v>
      </c>
      <c r="K13">
        <v>19</v>
      </c>
      <c r="L13">
        <v>9.5</v>
      </c>
      <c r="M13">
        <v>11</v>
      </c>
      <c r="N13">
        <v>117851</v>
      </c>
      <c r="O13">
        <v>226</v>
      </c>
      <c r="P13">
        <v>0</v>
      </c>
      <c r="Q13">
        <v>95</v>
      </c>
      <c r="R13">
        <v>5606</v>
      </c>
      <c r="S13" t="s">
        <v>44</v>
      </c>
      <c r="T13" t="s">
        <v>44</v>
      </c>
      <c r="U13" t="s">
        <v>44</v>
      </c>
      <c r="V13">
        <v>866</v>
      </c>
      <c r="W13">
        <v>104</v>
      </c>
      <c r="X13" t="s">
        <v>44</v>
      </c>
      <c r="Y13">
        <v>835</v>
      </c>
      <c r="Z13" t="s">
        <v>44</v>
      </c>
      <c r="AA13">
        <v>1</v>
      </c>
      <c r="AB13">
        <v>0</v>
      </c>
      <c r="AC13">
        <v>0</v>
      </c>
      <c r="AD13">
        <v>0</v>
      </c>
      <c r="AE13">
        <v>123</v>
      </c>
      <c r="AF13">
        <v>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s="2">
        <v>1093</v>
      </c>
      <c r="AQ13">
        <f t="shared" si="2"/>
        <v>1093</v>
      </c>
      <c r="AR13" s="5">
        <f>VLOOKUP(F13,'[2]SCP_24-25'!$A:$D,4,0)</f>
        <v>37.17</v>
      </c>
      <c r="AS13" s="5">
        <f t="shared" si="1"/>
        <v>40626.810000000005</v>
      </c>
    </row>
    <row r="14" spans="1:45" x14ac:dyDescent="0.3">
      <c r="A14" s="1">
        <v>45900.960416666669</v>
      </c>
      <c r="B14" t="s">
        <v>617</v>
      </c>
      <c r="C14" t="s">
        <v>618</v>
      </c>
      <c r="D14" t="s">
        <v>167</v>
      </c>
      <c r="F14" t="s">
        <v>1561</v>
      </c>
      <c r="G14" t="s">
        <v>168</v>
      </c>
      <c r="H14" t="s">
        <v>103</v>
      </c>
      <c r="I14" t="s">
        <v>43</v>
      </c>
      <c r="J14">
        <v>228.22</v>
      </c>
      <c r="K14">
        <v>19</v>
      </c>
      <c r="L14">
        <v>11</v>
      </c>
      <c r="M14">
        <v>9.5</v>
      </c>
      <c r="N14">
        <v>253125</v>
      </c>
      <c r="O14">
        <v>307</v>
      </c>
      <c r="P14">
        <v>0</v>
      </c>
      <c r="Q14">
        <v>300</v>
      </c>
      <c r="R14">
        <v>39382</v>
      </c>
      <c r="S14" t="s">
        <v>44</v>
      </c>
      <c r="T14">
        <v>2</v>
      </c>
      <c r="U14" t="s">
        <v>44</v>
      </c>
      <c r="V14">
        <v>1279</v>
      </c>
      <c r="W14">
        <v>1181</v>
      </c>
      <c r="X14" t="s">
        <v>44</v>
      </c>
      <c r="Y14">
        <v>983</v>
      </c>
      <c r="Z14" t="s">
        <v>44</v>
      </c>
      <c r="AA14">
        <v>15</v>
      </c>
      <c r="AB14">
        <v>0</v>
      </c>
      <c r="AC14">
        <v>0</v>
      </c>
      <c r="AD14">
        <v>0</v>
      </c>
      <c r="AE14">
        <v>61</v>
      </c>
      <c r="AF14">
        <v>13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s="2">
        <v>1601</v>
      </c>
      <c r="AQ14">
        <f t="shared" si="2"/>
        <v>1601</v>
      </c>
      <c r="AR14" s="5">
        <f>VLOOKUP(F14,'[2]SCP_24-25'!$A:$D,4,0)</f>
        <v>75.010000000000005</v>
      </c>
      <c r="AS14" s="5">
        <f t="shared" si="1"/>
        <v>120091.01000000001</v>
      </c>
    </row>
    <row r="15" spans="1:45" x14ac:dyDescent="0.3">
      <c r="A15" s="1">
        <v>45900.960416666669</v>
      </c>
      <c r="B15" t="s">
        <v>617</v>
      </c>
      <c r="C15" t="s">
        <v>618</v>
      </c>
      <c r="D15" t="s">
        <v>622</v>
      </c>
      <c r="F15" t="s">
        <v>1763</v>
      </c>
      <c r="G15" t="s">
        <v>422</v>
      </c>
      <c r="H15" t="s">
        <v>120</v>
      </c>
      <c r="I15" t="s">
        <v>43</v>
      </c>
      <c r="J15">
        <v>20</v>
      </c>
      <c r="K15">
        <v>19</v>
      </c>
      <c r="L15">
        <v>9.5</v>
      </c>
      <c r="M15">
        <v>11</v>
      </c>
      <c r="N15">
        <v>4266</v>
      </c>
      <c r="O15">
        <v>0</v>
      </c>
      <c r="P15">
        <v>0</v>
      </c>
      <c r="Q15">
        <v>1</v>
      </c>
      <c r="R15">
        <v>4</v>
      </c>
      <c r="S15" t="s">
        <v>44</v>
      </c>
      <c r="T15" t="s">
        <v>44</v>
      </c>
      <c r="U15" t="s">
        <v>44</v>
      </c>
      <c r="V15">
        <v>117</v>
      </c>
      <c r="W15" t="s">
        <v>44</v>
      </c>
      <c r="X15" t="s">
        <v>44</v>
      </c>
      <c r="Y15">
        <v>117</v>
      </c>
      <c r="Z15" t="s">
        <v>44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122</v>
      </c>
      <c r="AQ15">
        <f t="shared" si="2"/>
        <v>122</v>
      </c>
      <c r="AR15" s="5">
        <f>VLOOKUP(F15,'[2]SCP_24-25'!$A:$D,4,0)</f>
        <v>94</v>
      </c>
      <c r="AS15" s="5">
        <f t="shared" si="1"/>
        <v>11468</v>
      </c>
    </row>
    <row r="16" spans="1:45" x14ac:dyDescent="0.3">
      <c r="A16" s="1">
        <v>45900.960416666669</v>
      </c>
      <c r="B16" t="s">
        <v>617</v>
      </c>
      <c r="C16" t="s">
        <v>618</v>
      </c>
      <c r="D16" t="s">
        <v>216</v>
      </c>
      <c r="F16" t="s">
        <v>1583</v>
      </c>
      <c r="G16" t="s">
        <v>217</v>
      </c>
      <c r="H16" t="s">
        <v>66</v>
      </c>
      <c r="I16" t="s">
        <v>43</v>
      </c>
      <c r="J16">
        <v>205</v>
      </c>
      <c r="K16">
        <v>19</v>
      </c>
      <c r="L16">
        <v>10</v>
      </c>
      <c r="M16">
        <v>11</v>
      </c>
      <c r="N16">
        <v>227874</v>
      </c>
      <c r="O16">
        <v>168</v>
      </c>
      <c r="P16">
        <v>0</v>
      </c>
      <c r="Q16">
        <v>325</v>
      </c>
      <c r="R16">
        <v>16717</v>
      </c>
      <c r="S16" t="s">
        <v>44</v>
      </c>
      <c r="T16" t="s">
        <v>44</v>
      </c>
      <c r="U16" t="s">
        <v>44</v>
      </c>
      <c r="V16">
        <v>608</v>
      </c>
      <c r="W16">
        <v>478</v>
      </c>
      <c r="X16" t="s">
        <v>44</v>
      </c>
      <c r="Y16">
        <v>518</v>
      </c>
      <c r="Z16" t="s">
        <v>44</v>
      </c>
      <c r="AA16">
        <v>1</v>
      </c>
      <c r="AB16">
        <v>0</v>
      </c>
      <c r="AC16">
        <v>0</v>
      </c>
      <c r="AD16">
        <v>0</v>
      </c>
      <c r="AE16">
        <v>129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777</v>
      </c>
      <c r="AQ16">
        <f t="shared" si="2"/>
        <v>777</v>
      </c>
      <c r="AR16" s="5">
        <f>VLOOKUP(F16,'[2]SCP_24-25'!$A:$D,4,0)</f>
        <v>61.48</v>
      </c>
      <c r="AS16" s="5">
        <f t="shared" si="1"/>
        <v>47769.96</v>
      </c>
    </row>
    <row r="17" spans="1:45" x14ac:dyDescent="0.3">
      <c r="A17" s="1">
        <v>45900.960416666669</v>
      </c>
      <c r="B17" t="s">
        <v>617</v>
      </c>
      <c r="C17" t="s">
        <v>618</v>
      </c>
      <c r="D17" t="s">
        <v>226</v>
      </c>
      <c r="F17" t="s">
        <v>1588</v>
      </c>
      <c r="G17" t="s">
        <v>227</v>
      </c>
      <c r="H17" t="s">
        <v>66</v>
      </c>
      <c r="I17" t="s">
        <v>43</v>
      </c>
      <c r="J17">
        <v>101</v>
      </c>
      <c r="K17">
        <v>19</v>
      </c>
      <c r="L17">
        <v>10</v>
      </c>
      <c r="M17">
        <v>11</v>
      </c>
      <c r="N17">
        <v>184226</v>
      </c>
      <c r="O17">
        <v>247</v>
      </c>
      <c r="P17">
        <v>0</v>
      </c>
      <c r="Q17">
        <v>177</v>
      </c>
      <c r="R17">
        <v>32949</v>
      </c>
      <c r="S17" t="s">
        <v>44</v>
      </c>
      <c r="T17" t="s">
        <v>44</v>
      </c>
      <c r="U17" t="s">
        <v>44</v>
      </c>
      <c r="V17">
        <v>861</v>
      </c>
      <c r="W17">
        <v>114</v>
      </c>
      <c r="X17" t="s">
        <v>44</v>
      </c>
      <c r="Y17">
        <v>701</v>
      </c>
      <c r="Z17" t="s">
        <v>44</v>
      </c>
      <c r="AA17">
        <v>5</v>
      </c>
      <c r="AB17">
        <v>0</v>
      </c>
      <c r="AC17">
        <v>0</v>
      </c>
      <c r="AD17">
        <v>0</v>
      </c>
      <c r="AE17">
        <v>141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2">
        <v>1113</v>
      </c>
      <c r="AQ17">
        <f t="shared" si="2"/>
        <v>1113</v>
      </c>
      <c r="AR17" s="5">
        <f>VLOOKUP(F17,'[2]SCP_24-25'!$A:$D,4,0)</f>
        <v>70.2</v>
      </c>
      <c r="AS17" s="5">
        <f t="shared" si="1"/>
        <v>78132.600000000006</v>
      </c>
    </row>
    <row r="18" spans="1:45" x14ac:dyDescent="0.3">
      <c r="A18" s="1">
        <v>45900.960416666669</v>
      </c>
      <c r="B18" t="s">
        <v>617</v>
      </c>
      <c r="C18" t="s">
        <v>618</v>
      </c>
      <c r="D18" t="s">
        <v>623</v>
      </c>
      <c r="F18" t="s">
        <v>1764</v>
      </c>
      <c r="G18" t="s">
        <v>422</v>
      </c>
      <c r="H18" t="s">
        <v>120</v>
      </c>
      <c r="I18" t="s">
        <v>43</v>
      </c>
      <c r="J18">
        <v>750</v>
      </c>
      <c r="K18">
        <v>29.5</v>
      </c>
      <c r="L18">
        <v>14</v>
      </c>
      <c r="M18">
        <v>18</v>
      </c>
      <c r="N18">
        <v>3857</v>
      </c>
      <c r="O18">
        <v>0</v>
      </c>
      <c r="P18">
        <v>0</v>
      </c>
      <c r="Q18" t="s">
        <v>44</v>
      </c>
      <c r="R18">
        <v>597</v>
      </c>
      <c r="S18" t="s">
        <v>44</v>
      </c>
      <c r="T18" t="s">
        <v>44</v>
      </c>
      <c r="U18" t="s">
        <v>44</v>
      </c>
      <c r="V18">
        <v>625</v>
      </c>
      <c r="W18" t="s">
        <v>44</v>
      </c>
      <c r="X18" t="s">
        <v>44</v>
      </c>
      <c r="Y18">
        <v>625</v>
      </c>
      <c r="Z18" t="s">
        <v>44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625</v>
      </c>
      <c r="AQ18">
        <f t="shared" si="2"/>
        <v>625</v>
      </c>
      <c r="AR18" s="5">
        <f>VLOOKUP(F18,'[2]SCP_24-25'!$A:$D,4,0)</f>
        <v>250</v>
      </c>
      <c r="AS18" s="5">
        <f t="shared" si="1"/>
        <v>156250</v>
      </c>
    </row>
    <row r="19" spans="1:45" x14ac:dyDescent="0.3">
      <c r="A19" s="1">
        <v>45900.960416666669</v>
      </c>
      <c r="B19" t="s">
        <v>617</v>
      </c>
      <c r="C19" t="s">
        <v>618</v>
      </c>
      <c r="D19" t="s">
        <v>269</v>
      </c>
      <c r="E19" t="s">
        <v>270</v>
      </c>
      <c r="F19" t="s">
        <v>1604</v>
      </c>
      <c r="G19" t="s">
        <v>271</v>
      </c>
      <c r="H19" t="s">
        <v>66</v>
      </c>
      <c r="I19" t="s">
        <v>43</v>
      </c>
      <c r="J19">
        <v>90</v>
      </c>
      <c r="K19">
        <v>19</v>
      </c>
      <c r="L19">
        <v>11</v>
      </c>
      <c r="M19">
        <v>9.5</v>
      </c>
      <c r="N19">
        <v>70097</v>
      </c>
      <c r="O19">
        <v>1</v>
      </c>
      <c r="P19">
        <v>0</v>
      </c>
      <c r="Q19">
        <v>106</v>
      </c>
      <c r="R19">
        <v>6780</v>
      </c>
      <c r="S19" t="s">
        <v>44</v>
      </c>
      <c r="T19" t="s">
        <v>44</v>
      </c>
      <c r="U19" t="s">
        <v>44</v>
      </c>
      <c r="V19">
        <v>1191</v>
      </c>
      <c r="W19">
        <v>111</v>
      </c>
      <c r="X19" t="s">
        <v>44</v>
      </c>
      <c r="Y19">
        <v>970</v>
      </c>
      <c r="Z19" t="s">
        <v>44</v>
      </c>
      <c r="AA19">
        <v>2</v>
      </c>
      <c r="AB19">
        <v>0</v>
      </c>
      <c r="AC19">
        <v>0</v>
      </c>
      <c r="AD19">
        <v>0</v>
      </c>
      <c r="AE19">
        <v>42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s="2">
        <v>1194</v>
      </c>
      <c r="AQ19">
        <f t="shared" si="2"/>
        <v>1194</v>
      </c>
      <c r="AR19" s="5">
        <f>VLOOKUP(F19,'[2]SCP_24-25'!$A:$D,4,0)</f>
        <v>52.11</v>
      </c>
      <c r="AS19" s="5">
        <f t="shared" si="1"/>
        <v>62219.34</v>
      </c>
    </row>
    <row r="20" spans="1:45" x14ac:dyDescent="0.3">
      <c r="A20" s="1">
        <v>45900.960416666669</v>
      </c>
      <c r="B20" t="s">
        <v>617</v>
      </c>
      <c r="C20" t="s">
        <v>618</v>
      </c>
      <c r="D20" t="s">
        <v>286</v>
      </c>
      <c r="E20" t="s">
        <v>287</v>
      </c>
      <c r="F20" t="s">
        <v>1610</v>
      </c>
      <c r="G20" t="s">
        <v>288</v>
      </c>
      <c r="H20" t="s">
        <v>66</v>
      </c>
      <c r="I20" t="s">
        <v>43</v>
      </c>
      <c r="J20">
        <v>122.02</v>
      </c>
      <c r="K20">
        <v>19</v>
      </c>
      <c r="L20">
        <v>9.5</v>
      </c>
      <c r="M20">
        <v>11</v>
      </c>
      <c r="N20">
        <v>108422</v>
      </c>
      <c r="O20">
        <v>85</v>
      </c>
      <c r="P20">
        <v>0</v>
      </c>
      <c r="Q20">
        <v>211</v>
      </c>
      <c r="R20">
        <v>23347</v>
      </c>
      <c r="S20" t="s">
        <v>44</v>
      </c>
      <c r="T20" t="s">
        <v>44</v>
      </c>
      <c r="U20" t="s">
        <v>44</v>
      </c>
      <c r="V20">
        <v>1263</v>
      </c>
      <c r="W20">
        <v>657</v>
      </c>
      <c r="X20" t="s">
        <v>44</v>
      </c>
      <c r="Y20">
        <v>678</v>
      </c>
      <c r="Z20" t="s">
        <v>44</v>
      </c>
      <c r="AA20">
        <v>3</v>
      </c>
      <c r="AB20">
        <v>0</v>
      </c>
      <c r="AC20">
        <v>0</v>
      </c>
      <c r="AD20">
        <v>0</v>
      </c>
      <c r="AE20">
        <v>75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2">
        <v>1351</v>
      </c>
      <c r="AQ20">
        <f t="shared" si="2"/>
        <v>1351</v>
      </c>
      <c r="AR20" s="5">
        <f>VLOOKUP(F20,'[2]SCP_24-25'!$A:$D,4,0)</f>
        <v>79.260000000000005</v>
      </c>
      <c r="AS20" s="5">
        <f t="shared" si="1"/>
        <v>107080.26000000001</v>
      </c>
    </row>
    <row r="21" spans="1:45" x14ac:dyDescent="0.3">
      <c r="A21" s="1">
        <v>45900.960416666669</v>
      </c>
      <c r="B21" t="s">
        <v>617</v>
      </c>
      <c r="C21" t="s">
        <v>618</v>
      </c>
      <c r="D21" t="s">
        <v>289</v>
      </c>
      <c r="E21" t="s">
        <v>290</v>
      </c>
      <c r="F21" t="s">
        <v>1611</v>
      </c>
      <c r="G21" t="s">
        <v>291</v>
      </c>
      <c r="H21" t="s">
        <v>103</v>
      </c>
      <c r="I21" t="s">
        <v>43</v>
      </c>
      <c r="J21">
        <v>138.99</v>
      </c>
      <c r="K21">
        <v>19</v>
      </c>
      <c r="L21">
        <v>9.5</v>
      </c>
      <c r="M21">
        <v>11</v>
      </c>
      <c r="N21">
        <v>91730</v>
      </c>
      <c r="O21">
        <v>189</v>
      </c>
      <c r="P21">
        <v>0</v>
      </c>
      <c r="Q21">
        <v>216</v>
      </c>
      <c r="R21">
        <v>15703</v>
      </c>
      <c r="S21" t="s">
        <v>44</v>
      </c>
      <c r="T21" t="s">
        <v>44</v>
      </c>
      <c r="U21" t="s">
        <v>44</v>
      </c>
      <c r="V21">
        <v>526</v>
      </c>
      <c r="W21">
        <v>478</v>
      </c>
      <c r="X21" t="s">
        <v>44</v>
      </c>
      <c r="Y21">
        <v>203</v>
      </c>
      <c r="Z21" t="s">
        <v>44</v>
      </c>
      <c r="AA21">
        <v>2</v>
      </c>
      <c r="AB21">
        <v>0</v>
      </c>
      <c r="AC21">
        <v>0</v>
      </c>
      <c r="AD21">
        <v>0</v>
      </c>
      <c r="AE21">
        <v>123</v>
      </c>
      <c r="AF21">
        <v>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717</v>
      </c>
      <c r="AQ21">
        <f t="shared" si="2"/>
        <v>717</v>
      </c>
      <c r="AR21" s="5">
        <f>VLOOKUP(F21,'[2]SCP_24-25'!$A:$D,4,0)</f>
        <v>99.63</v>
      </c>
      <c r="AS21" s="5">
        <f t="shared" si="1"/>
        <v>71434.709999999992</v>
      </c>
    </row>
    <row r="22" spans="1:45" x14ac:dyDescent="0.3">
      <c r="A22" s="1">
        <v>45900.960416666669</v>
      </c>
      <c r="B22" t="s">
        <v>617</v>
      </c>
      <c r="C22" t="s">
        <v>618</v>
      </c>
      <c r="D22" t="s">
        <v>299</v>
      </c>
      <c r="F22" t="s">
        <v>1615</v>
      </c>
      <c r="G22" t="s">
        <v>300</v>
      </c>
      <c r="H22" t="s">
        <v>66</v>
      </c>
      <c r="I22" t="s">
        <v>43</v>
      </c>
      <c r="J22">
        <v>30</v>
      </c>
      <c r="K22">
        <v>19</v>
      </c>
      <c r="L22">
        <v>9.5</v>
      </c>
      <c r="M22">
        <v>11</v>
      </c>
      <c r="N22">
        <v>66928</v>
      </c>
      <c r="O22">
        <v>182</v>
      </c>
      <c r="P22">
        <v>0</v>
      </c>
      <c r="Q22">
        <v>54</v>
      </c>
      <c r="R22">
        <v>5337</v>
      </c>
      <c r="S22" t="s">
        <v>44</v>
      </c>
      <c r="T22" t="s">
        <v>44</v>
      </c>
      <c r="U22" t="s">
        <v>44</v>
      </c>
      <c r="V22">
        <v>424</v>
      </c>
      <c r="W22">
        <v>28</v>
      </c>
      <c r="X22" t="s">
        <v>44</v>
      </c>
      <c r="Y22">
        <v>419</v>
      </c>
      <c r="Z22" t="s">
        <v>44</v>
      </c>
      <c r="AA22">
        <v>2</v>
      </c>
      <c r="AB22">
        <v>0</v>
      </c>
      <c r="AC22">
        <v>0</v>
      </c>
      <c r="AD22">
        <v>0</v>
      </c>
      <c r="AE22">
        <v>33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608</v>
      </c>
      <c r="AQ22">
        <f t="shared" si="2"/>
        <v>608</v>
      </c>
      <c r="AR22" s="5">
        <f>VLOOKUP(F22,'[2]SCP_24-25'!$A:$D,4,0)</f>
        <v>25.930000000000003</v>
      </c>
      <c r="AS22" s="5">
        <f t="shared" si="1"/>
        <v>15765.440000000002</v>
      </c>
    </row>
    <row r="23" spans="1:45" x14ac:dyDescent="0.3">
      <c r="A23" s="1">
        <v>45900.960416666669</v>
      </c>
      <c r="B23" t="s">
        <v>617</v>
      </c>
      <c r="C23" t="s">
        <v>618</v>
      </c>
      <c r="D23" t="s">
        <v>308</v>
      </c>
      <c r="E23" t="s">
        <v>309</v>
      </c>
      <c r="F23" t="s">
        <v>1619</v>
      </c>
      <c r="G23" t="s">
        <v>310</v>
      </c>
      <c r="H23" t="s">
        <v>66</v>
      </c>
      <c r="I23" t="s">
        <v>43</v>
      </c>
      <c r="J23">
        <v>120</v>
      </c>
      <c r="K23">
        <v>19</v>
      </c>
      <c r="L23">
        <v>11</v>
      </c>
      <c r="M23">
        <v>9.5</v>
      </c>
      <c r="N23">
        <v>111938</v>
      </c>
      <c r="O23">
        <v>267</v>
      </c>
      <c r="P23">
        <v>0</v>
      </c>
      <c r="Q23">
        <v>296</v>
      </c>
      <c r="R23">
        <v>14459</v>
      </c>
      <c r="S23" t="s">
        <v>44</v>
      </c>
      <c r="T23" t="s">
        <v>44</v>
      </c>
      <c r="U23" t="s">
        <v>44</v>
      </c>
      <c r="V23">
        <v>559</v>
      </c>
      <c r="W23">
        <v>49</v>
      </c>
      <c r="X23" t="s">
        <v>44</v>
      </c>
      <c r="Y23">
        <v>505</v>
      </c>
      <c r="Z23" t="s">
        <v>44</v>
      </c>
      <c r="AA23">
        <v>2</v>
      </c>
      <c r="AB23">
        <v>0</v>
      </c>
      <c r="AC23">
        <v>0</v>
      </c>
      <c r="AD23">
        <v>0</v>
      </c>
      <c r="AE23">
        <v>28</v>
      </c>
      <c r="AF23">
        <v>14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828</v>
      </c>
      <c r="AQ23">
        <f t="shared" si="2"/>
        <v>828</v>
      </c>
      <c r="AR23" s="5">
        <f>VLOOKUP(F23,'[2]SCP_24-25'!$A:$D,4,0)</f>
        <v>43.38</v>
      </c>
      <c r="AS23" s="5">
        <f t="shared" si="1"/>
        <v>35918.639999999999</v>
      </c>
    </row>
    <row r="24" spans="1:45" x14ac:dyDescent="0.3">
      <c r="A24" s="1">
        <v>45900.960416666669</v>
      </c>
      <c r="B24" t="s">
        <v>617</v>
      </c>
      <c r="C24" t="s">
        <v>618</v>
      </c>
      <c r="D24" t="s">
        <v>317</v>
      </c>
      <c r="E24" t="s">
        <v>318</v>
      </c>
      <c r="F24" t="s">
        <v>1622</v>
      </c>
      <c r="G24" t="s">
        <v>319</v>
      </c>
      <c r="H24" t="s">
        <v>66</v>
      </c>
      <c r="I24" t="s">
        <v>43</v>
      </c>
      <c r="J24">
        <v>170</v>
      </c>
      <c r="K24">
        <v>19</v>
      </c>
      <c r="L24">
        <v>11</v>
      </c>
      <c r="M24">
        <v>9.5</v>
      </c>
      <c r="N24">
        <v>85048</v>
      </c>
      <c r="O24">
        <v>378</v>
      </c>
      <c r="P24">
        <v>0</v>
      </c>
      <c r="Q24">
        <v>147</v>
      </c>
      <c r="R24">
        <v>6121</v>
      </c>
      <c r="S24" t="s">
        <v>44</v>
      </c>
      <c r="T24" t="s">
        <v>44</v>
      </c>
      <c r="U24" t="s">
        <v>44</v>
      </c>
      <c r="V24">
        <v>597</v>
      </c>
      <c r="W24">
        <v>81</v>
      </c>
      <c r="X24" t="s">
        <v>44</v>
      </c>
      <c r="Y24">
        <v>571</v>
      </c>
      <c r="Z24" t="s">
        <v>44</v>
      </c>
      <c r="AA24">
        <v>4</v>
      </c>
      <c r="AB24">
        <v>0</v>
      </c>
      <c r="AC24">
        <v>0</v>
      </c>
      <c r="AD24">
        <v>0</v>
      </c>
      <c r="AE24">
        <v>25</v>
      </c>
      <c r="AF24">
        <v>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979</v>
      </c>
      <c r="AQ24">
        <f t="shared" si="2"/>
        <v>979</v>
      </c>
      <c r="AR24" s="5">
        <f>VLOOKUP(F24,'[2]SCP_24-25'!$A:$D,4,0)</f>
        <v>67.69</v>
      </c>
      <c r="AS24" s="5">
        <f t="shared" si="1"/>
        <v>66268.509999999995</v>
      </c>
    </row>
    <row r="25" spans="1:45" x14ac:dyDescent="0.3">
      <c r="A25" s="1">
        <v>45900.960416666669</v>
      </c>
      <c r="B25" t="s">
        <v>617</v>
      </c>
      <c r="C25" t="s">
        <v>618</v>
      </c>
      <c r="D25" t="s">
        <v>48</v>
      </c>
      <c r="E25" t="s">
        <v>49</v>
      </c>
      <c r="F25" t="s">
        <v>1515</v>
      </c>
      <c r="G25" t="s">
        <v>50</v>
      </c>
      <c r="H25" t="s">
        <v>42</v>
      </c>
      <c r="I25" t="s">
        <v>43</v>
      </c>
      <c r="J25">
        <v>180</v>
      </c>
      <c r="K25">
        <v>19</v>
      </c>
      <c r="L25">
        <v>9.5</v>
      </c>
      <c r="M25">
        <v>11</v>
      </c>
      <c r="N25">
        <v>52772</v>
      </c>
      <c r="O25">
        <v>168</v>
      </c>
      <c r="P25">
        <v>0</v>
      </c>
      <c r="Q25">
        <v>549</v>
      </c>
      <c r="R25">
        <v>7940</v>
      </c>
      <c r="S25" t="s">
        <v>44</v>
      </c>
      <c r="T25">
        <v>21</v>
      </c>
      <c r="U25" t="s">
        <v>44</v>
      </c>
      <c r="V25">
        <v>556</v>
      </c>
      <c r="W25">
        <v>334</v>
      </c>
      <c r="X25" t="s">
        <v>44</v>
      </c>
      <c r="Y25">
        <v>556</v>
      </c>
      <c r="Z25" t="s">
        <v>44</v>
      </c>
      <c r="AA25">
        <v>3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727</v>
      </c>
      <c r="AQ25">
        <f t="shared" si="2"/>
        <v>727</v>
      </c>
      <c r="AR25" s="5">
        <f>VLOOKUP(F25,'[2]SCP_24-25'!$A:$D,4,0)</f>
        <v>57</v>
      </c>
      <c r="AS25" s="5">
        <f t="shared" si="1"/>
        <v>41439</v>
      </c>
    </row>
    <row r="26" spans="1:45" x14ac:dyDescent="0.3">
      <c r="A26" s="1">
        <v>45900.960416666669</v>
      </c>
      <c r="B26" t="s">
        <v>617</v>
      </c>
      <c r="C26" t="s">
        <v>618</v>
      </c>
      <c r="D26" t="s">
        <v>51</v>
      </c>
      <c r="E26" t="s">
        <v>52</v>
      </c>
      <c r="F26" t="s">
        <v>1516</v>
      </c>
      <c r="G26" t="s">
        <v>53</v>
      </c>
      <c r="H26" t="s">
        <v>42</v>
      </c>
      <c r="I26" t="s">
        <v>43</v>
      </c>
      <c r="J26">
        <v>200</v>
      </c>
      <c r="K26">
        <v>19</v>
      </c>
      <c r="L26">
        <v>9.5</v>
      </c>
      <c r="M26">
        <v>11</v>
      </c>
      <c r="N26">
        <v>69052</v>
      </c>
      <c r="O26">
        <v>251</v>
      </c>
      <c r="P26">
        <v>0</v>
      </c>
      <c r="Q26">
        <v>197</v>
      </c>
      <c r="R26">
        <v>11759</v>
      </c>
      <c r="S26" t="s">
        <v>44</v>
      </c>
      <c r="T26">
        <v>25</v>
      </c>
      <c r="U26" t="s">
        <v>44</v>
      </c>
      <c r="V26">
        <v>864</v>
      </c>
      <c r="W26">
        <v>414</v>
      </c>
      <c r="X26" t="s">
        <v>44</v>
      </c>
      <c r="Y26">
        <v>524</v>
      </c>
      <c r="Z26" t="s">
        <v>44</v>
      </c>
      <c r="AA26">
        <v>6</v>
      </c>
      <c r="AB26">
        <v>0</v>
      </c>
      <c r="AC26">
        <v>0</v>
      </c>
      <c r="AD26">
        <v>0</v>
      </c>
      <c r="AE26">
        <v>11</v>
      </c>
      <c r="AF26">
        <v>13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s="2">
        <v>1121</v>
      </c>
      <c r="AQ26">
        <f t="shared" si="2"/>
        <v>1121</v>
      </c>
      <c r="AR26" s="5">
        <f>VLOOKUP(F26,'[2]SCP_24-25'!$A:$D,4,0)</f>
        <v>106.31</v>
      </c>
      <c r="AS26" s="5">
        <f t="shared" si="1"/>
        <v>119173.51000000001</v>
      </c>
    </row>
    <row r="27" spans="1:45" x14ac:dyDescent="0.3">
      <c r="A27" s="1">
        <v>45900.960416666669</v>
      </c>
      <c r="B27" t="s">
        <v>617</v>
      </c>
      <c r="C27" t="s">
        <v>618</v>
      </c>
      <c r="D27" t="s">
        <v>54</v>
      </c>
      <c r="E27" t="s">
        <v>55</v>
      </c>
      <c r="F27" t="s">
        <v>1517</v>
      </c>
      <c r="G27" t="s">
        <v>56</v>
      </c>
      <c r="H27" t="s">
        <v>42</v>
      </c>
      <c r="I27" t="s">
        <v>43</v>
      </c>
      <c r="J27">
        <v>200</v>
      </c>
      <c r="K27">
        <v>19</v>
      </c>
      <c r="L27">
        <v>9.5</v>
      </c>
      <c r="M27">
        <v>11</v>
      </c>
      <c r="N27">
        <v>68381</v>
      </c>
      <c r="O27">
        <v>180</v>
      </c>
      <c r="P27">
        <v>0</v>
      </c>
      <c r="Q27">
        <v>252</v>
      </c>
      <c r="R27">
        <v>12585</v>
      </c>
      <c r="S27">
        <v>1</v>
      </c>
      <c r="T27">
        <v>47</v>
      </c>
      <c r="U27" t="s">
        <v>44</v>
      </c>
      <c r="V27">
        <v>409</v>
      </c>
      <c r="W27">
        <v>256</v>
      </c>
      <c r="X27" t="s">
        <v>44</v>
      </c>
      <c r="Y27">
        <v>392</v>
      </c>
      <c r="Z27" t="s">
        <v>44</v>
      </c>
      <c r="AA27">
        <v>19</v>
      </c>
      <c r="AB27">
        <v>0</v>
      </c>
      <c r="AC27">
        <v>0</v>
      </c>
      <c r="AD27">
        <v>0</v>
      </c>
      <c r="AE27">
        <v>22</v>
      </c>
      <c r="AF27">
        <v>18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608</v>
      </c>
      <c r="AQ27">
        <f t="shared" si="2"/>
        <v>608</v>
      </c>
      <c r="AR27" s="5">
        <f>VLOOKUP(F27,'[2]SCP_24-25'!$A:$D,4,0)</f>
        <v>116.69999999999999</v>
      </c>
      <c r="AS27" s="5">
        <f t="shared" si="1"/>
        <v>70953.599999999991</v>
      </c>
    </row>
    <row r="28" spans="1:45" x14ac:dyDescent="0.3">
      <c r="A28" s="1">
        <v>45900.960416666669</v>
      </c>
      <c r="B28" t="s">
        <v>617</v>
      </c>
      <c r="C28" t="s">
        <v>618</v>
      </c>
      <c r="D28" t="s">
        <v>79</v>
      </c>
      <c r="E28" t="s">
        <v>80</v>
      </c>
      <c r="F28" t="s">
        <v>1525</v>
      </c>
      <c r="G28" t="s">
        <v>81</v>
      </c>
      <c r="H28" t="s">
        <v>66</v>
      </c>
      <c r="I28" t="s">
        <v>43</v>
      </c>
      <c r="J28">
        <v>150</v>
      </c>
      <c r="K28">
        <v>19</v>
      </c>
      <c r="L28">
        <v>9.5</v>
      </c>
      <c r="M28">
        <v>11</v>
      </c>
      <c r="N28">
        <v>72264</v>
      </c>
      <c r="O28">
        <v>269</v>
      </c>
      <c r="P28">
        <v>0</v>
      </c>
      <c r="Q28">
        <v>20</v>
      </c>
      <c r="R28">
        <v>4985</v>
      </c>
      <c r="S28" t="s">
        <v>44</v>
      </c>
      <c r="T28" t="s">
        <v>44</v>
      </c>
      <c r="U28" t="s">
        <v>44</v>
      </c>
      <c r="V28">
        <v>992</v>
      </c>
      <c r="W28">
        <v>181</v>
      </c>
      <c r="X28" t="s">
        <v>44</v>
      </c>
      <c r="Y28">
        <v>990</v>
      </c>
      <c r="Z28" t="s">
        <v>44</v>
      </c>
      <c r="AA28">
        <v>5</v>
      </c>
      <c r="AB28">
        <v>0</v>
      </c>
      <c r="AC28">
        <v>0</v>
      </c>
      <c r="AD28">
        <v>0</v>
      </c>
      <c r="AE28">
        <v>8</v>
      </c>
      <c r="AF28">
        <v>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s="2">
        <v>1266</v>
      </c>
      <c r="AQ28">
        <f t="shared" si="2"/>
        <v>1266</v>
      </c>
      <c r="AR28" s="5">
        <f>VLOOKUP(F28,'[2]SCP_24-25'!$A:$D,4,0)</f>
        <v>48.72</v>
      </c>
      <c r="AS28" s="5">
        <f t="shared" si="1"/>
        <v>61679.519999999997</v>
      </c>
    </row>
    <row r="29" spans="1:45" x14ac:dyDescent="0.3">
      <c r="A29" s="1">
        <v>45900.960416666669</v>
      </c>
      <c r="B29" t="s">
        <v>617</v>
      </c>
      <c r="C29" t="s">
        <v>618</v>
      </c>
      <c r="D29" t="s">
        <v>85</v>
      </c>
      <c r="E29" t="s">
        <v>86</v>
      </c>
      <c r="F29" t="s">
        <v>1527</v>
      </c>
      <c r="G29" t="s">
        <v>87</v>
      </c>
      <c r="H29" t="s">
        <v>66</v>
      </c>
      <c r="I29" t="s">
        <v>43</v>
      </c>
      <c r="J29">
        <v>100</v>
      </c>
      <c r="K29">
        <v>19</v>
      </c>
      <c r="L29">
        <v>9.5</v>
      </c>
      <c r="M29">
        <v>11</v>
      </c>
      <c r="N29">
        <v>32428</v>
      </c>
      <c r="O29">
        <v>15</v>
      </c>
      <c r="P29">
        <v>0</v>
      </c>
      <c r="Q29">
        <v>121</v>
      </c>
      <c r="R29">
        <v>2067</v>
      </c>
      <c r="S29" t="s">
        <v>44</v>
      </c>
      <c r="T29" t="s">
        <v>44</v>
      </c>
      <c r="U29" t="s">
        <v>44</v>
      </c>
      <c r="V29">
        <v>317</v>
      </c>
      <c r="W29">
        <v>214</v>
      </c>
      <c r="X29" t="s">
        <v>44</v>
      </c>
      <c r="Y29">
        <v>203</v>
      </c>
      <c r="Z29" t="s">
        <v>44</v>
      </c>
      <c r="AA29">
        <v>0</v>
      </c>
      <c r="AB29">
        <v>0</v>
      </c>
      <c r="AC29">
        <v>0</v>
      </c>
      <c r="AD29">
        <v>0</v>
      </c>
      <c r="AE29">
        <v>419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332</v>
      </c>
      <c r="AQ29">
        <f t="shared" si="2"/>
        <v>332</v>
      </c>
      <c r="AR29" s="5">
        <f>VLOOKUP(F29,'[2]SCP_24-25'!$A:$D,4,0)</f>
        <v>105.05000000000001</v>
      </c>
      <c r="AS29" s="5">
        <f t="shared" si="1"/>
        <v>34876.600000000006</v>
      </c>
    </row>
    <row r="30" spans="1:45" x14ac:dyDescent="0.3">
      <c r="A30" s="1">
        <v>45900.960416666669</v>
      </c>
      <c r="B30" t="s">
        <v>617</v>
      </c>
      <c r="C30" t="s">
        <v>618</v>
      </c>
      <c r="D30" t="s">
        <v>88</v>
      </c>
      <c r="E30" t="s">
        <v>89</v>
      </c>
      <c r="F30" t="s">
        <v>1528</v>
      </c>
      <c r="G30" t="s">
        <v>90</v>
      </c>
      <c r="H30" t="s">
        <v>66</v>
      </c>
      <c r="I30" t="s">
        <v>43</v>
      </c>
      <c r="J30">
        <v>150</v>
      </c>
      <c r="K30">
        <v>19</v>
      </c>
      <c r="L30">
        <v>9.5</v>
      </c>
      <c r="M30">
        <v>11</v>
      </c>
      <c r="N30">
        <v>80557</v>
      </c>
      <c r="O30">
        <v>14</v>
      </c>
      <c r="P30">
        <v>0</v>
      </c>
      <c r="Q30">
        <v>74</v>
      </c>
      <c r="R30">
        <v>6285</v>
      </c>
      <c r="S30" t="s">
        <v>44</v>
      </c>
      <c r="T30" t="s">
        <v>44</v>
      </c>
      <c r="U30" t="s">
        <v>44</v>
      </c>
      <c r="V30">
        <v>509</v>
      </c>
      <c r="W30">
        <v>163</v>
      </c>
      <c r="X30" t="s">
        <v>44</v>
      </c>
      <c r="Y30">
        <v>486</v>
      </c>
      <c r="Z30" t="s">
        <v>44</v>
      </c>
      <c r="AA30">
        <v>7</v>
      </c>
      <c r="AB30">
        <v>0</v>
      </c>
      <c r="AC30">
        <v>0</v>
      </c>
      <c r="AD30">
        <v>0</v>
      </c>
      <c r="AE30">
        <v>20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530</v>
      </c>
      <c r="AQ30">
        <f t="shared" si="2"/>
        <v>530</v>
      </c>
      <c r="AR30" s="5">
        <f>VLOOKUP(F30,'[2]SCP_24-25'!$A:$D,4,0)</f>
        <v>100.13</v>
      </c>
      <c r="AS30" s="5">
        <f t="shared" si="1"/>
        <v>53068.899999999994</v>
      </c>
    </row>
    <row r="31" spans="1:45" x14ac:dyDescent="0.3">
      <c r="A31" s="1">
        <v>45900.960416666669</v>
      </c>
      <c r="B31" t="s">
        <v>617</v>
      </c>
      <c r="C31" t="s">
        <v>618</v>
      </c>
      <c r="D31" t="s">
        <v>91</v>
      </c>
      <c r="E31" t="s">
        <v>92</v>
      </c>
      <c r="F31" t="s">
        <v>1529</v>
      </c>
      <c r="G31" t="s">
        <v>93</v>
      </c>
      <c r="H31" t="s">
        <v>66</v>
      </c>
      <c r="I31" t="s">
        <v>43</v>
      </c>
      <c r="J31">
        <v>150</v>
      </c>
      <c r="K31">
        <v>19</v>
      </c>
      <c r="L31">
        <v>9.5</v>
      </c>
      <c r="M31">
        <v>11</v>
      </c>
      <c r="N31">
        <v>59757</v>
      </c>
      <c r="O31">
        <v>49</v>
      </c>
      <c r="P31">
        <v>0</v>
      </c>
      <c r="Q31">
        <v>74</v>
      </c>
      <c r="R31">
        <v>7042</v>
      </c>
      <c r="S31" t="s">
        <v>44</v>
      </c>
      <c r="T31" t="s">
        <v>44</v>
      </c>
      <c r="U31" t="s">
        <v>44</v>
      </c>
      <c r="V31">
        <v>248</v>
      </c>
      <c r="W31">
        <v>486</v>
      </c>
      <c r="X31" t="s">
        <v>44</v>
      </c>
      <c r="Y31">
        <v>142</v>
      </c>
      <c r="Z31" t="s">
        <v>44</v>
      </c>
      <c r="AA31">
        <v>0</v>
      </c>
      <c r="AB31">
        <v>0</v>
      </c>
      <c r="AC31">
        <v>0</v>
      </c>
      <c r="AD31">
        <v>0</v>
      </c>
      <c r="AE31">
        <v>61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297</v>
      </c>
      <c r="AQ31">
        <f t="shared" si="2"/>
        <v>297</v>
      </c>
      <c r="AR31" s="5">
        <f>VLOOKUP(F31,'[2]SCP_24-25'!$A:$D,4,0)</f>
        <v>96.77</v>
      </c>
      <c r="AS31" s="5">
        <f t="shared" si="1"/>
        <v>28740.69</v>
      </c>
    </row>
    <row r="32" spans="1:45" x14ac:dyDescent="0.3">
      <c r="A32" s="1">
        <v>45900.960416666669</v>
      </c>
      <c r="B32" t="s">
        <v>617</v>
      </c>
      <c r="C32" t="s">
        <v>618</v>
      </c>
      <c r="D32" t="s">
        <v>560</v>
      </c>
      <c r="E32" t="s">
        <v>345</v>
      </c>
      <c r="F32" t="s">
        <v>1734</v>
      </c>
      <c r="G32" t="s">
        <v>561</v>
      </c>
      <c r="H32" t="s">
        <v>130</v>
      </c>
      <c r="I32" t="s">
        <v>43</v>
      </c>
      <c r="J32">
        <v>112.62</v>
      </c>
      <c r="K32">
        <v>19</v>
      </c>
      <c r="L32">
        <v>10</v>
      </c>
      <c r="M32">
        <v>11</v>
      </c>
      <c r="N32">
        <v>36729</v>
      </c>
      <c r="O32">
        <v>38</v>
      </c>
      <c r="P32">
        <v>0</v>
      </c>
      <c r="Q32">
        <v>48</v>
      </c>
      <c r="R32">
        <v>4078</v>
      </c>
      <c r="S32" t="s">
        <v>44</v>
      </c>
      <c r="T32" t="s">
        <v>44</v>
      </c>
      <c r="U32" t="s">
        <v>44</v>
      </c>
      <c r="V32">
        <v>630</v>
      </c>
      <c r="W32">
        <v>638</v>
      </c>
      <c r="X32" t="s">
        <v>44</v>
      </c>
      <c r="Y32">
        <v>459</v>
      </c>
      <c r="Z32" t="s">
        <v>44</v>
      </c>
      <c r="AA32">
        <v>2</v>
      </c>
      <c r="AB32">
        <v>0</v>
      </c>
      <c r="AC32">
        <v>0</v>
      </c>
      <c r="AD32">
        <v>0</v>
      </c>
      <c r="AE32">
        <v>62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670</v>
      </c>
      <c r="AQ32">
        <f t="shared" si="2"/>
        <v>670</v>
      </c>
      <c r="AR32" s="5">
        <f>VLOOKUP(F32,'[2]SCP_24-25'!$A:$D,4,0)</f>
        <v>114.81</v>
      </c>
      <c r="AS32" s="5">
        <f t="shared" si="1"/>
        <v>76922.7</v>
      </c>
    </row>
    <row r="33" spans="1:45" x14ac:dyDescent="0.3">
      <c r="A33" s="1">
        <v>45900.960416666669</v>
      </c>
      <c r="B33" t="s">
        <v>617</v>
      </c>
      <c r="C33" t="s">
        <v>618</v>
      </c>
      <c r="D33" t="s">
        <v>355</v>
      </c>
      <c r="E33" t="s">
        <v>356</v>
      </c>
      <c r="F33" t="s">
        <v>1637</v>
      </c>
      <c r="G33" t="s">
        <v>357</v>
      </c>
      <c r="H33" t="s">
        <v>130</v>
      </c>
      <c r="I33" t="s">
        <v>43</v>
      </c>
      <c r="J33">
        <v>81.42</v>
      </c>
      <c r="K33">
        <v>19</v>
      </c>
      <c r="L33">
        <v>10</v>
      </c>
      <c r="M33">
        <v>11</v>
      </c>
      <c r="N33">
        <v>42624</v>
      </c>
      <c r="O33">
        <v>384</v>
      </c>
      <c r="P33">
        <v>0</v>
      </c>
      <c r="Q33">
        <v>107</v>
      </c>
      <c r="R33">
        <v>6688</v>
      </c>
      <c r="S33" t="s">
        <v>44</v>
      </c>
      <c r="T33" t="s">
        <v>44</v>
      </c>
      <c r="U33" t="s">
        <v>44</v>
      </c>
      <c r="V33">
        <v>121</v>
      </c>
      <c r="W33">
        <v>299</v>
      </c>
      <c r="X33" t="s">
        <v>44</v>
      </c>
      <c r="Y33">
        <v>121</v>
      </c>
      <c r="Z33" t="s">
        <v>44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506</v>
      </c>
      <c r="AQ33">
        <f t="shared" si="2"/>
        <v>506</v>
      </c>
      <c r="AR33" s="5">
        <f>VLOOKUP(F33,'[2]SCP_24-25'!$A:$D,4,0)</f>
        <v>83.14</v>
      </c>
      <c r="AS33" s="5">
        <f t="shared" si="1"/>
        <v>42068.840000000004</v>
      </c>
    </row>
    <row r="34" spans="1:45" x14ac:dyDescent="0.3">
      <c r="A34" s="1">
        <v>45900.960416666669</v>
      </c>
      <c r="B34" t="s">
        <v>617</v>
      </c>
      <c r="C34" t="s">
        <v>618</v>
      </c>
      <c r="D34" t="s">
        <v>518</v>
      </c>
      <c r="E34" t="s">
        <v>356</v>
      </c>
      <c r="F34" t="s">
        <v>1713</v>
      </c>
      <c r="G34" t="s">
        <v>519</v>
      </c>
      <c r="H34" t="s">
        <v>130</v>
      </c>
      <c r="I34" t="s">
        <v>43</v>
      </c>
      <c r="J34">
        <v>81.42</v>
      </c>
      <c r="K34">
        <v>19</v>
      </c>
      <c r="L34">
        <v>10</v>
      </c>
      <c r="M34">
        <v>11</v>
      </c>
      <c r="N34">
        <v>25237</v>
      </c>
      <c r="O34">
        <v>3</v>
      </c>
      <c r="P34">
        <v>0</v>
      </c>
      <c r="Q34">
        <v>203</v>
      </c>
      <c r="R34">
        <v>5982</v>
      </c>
      <c r="S34" t="s">
        <v>44</v>
      </c>
      <c r="T34" t="s">
        <v>44</v>
      </c>
      <c r="U34" t="s">
        <v>44</v>
      </c>
      <c r="V34">
        <v>127</v>
      </c>
      <c r="W34">
        <v>1164</v>
      </c>
      <c r="X34" t="s">
        <v>44</v>
      </c>
      <c r="Y34">
        <v>126</v>
      </c>
      <c r="Z34" t="s">
        <v>44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130</v>
      </c>
      <c r="AQ34">
        <f t="shared" si="2"/>
        <v>130</v>
      </c>
      <c r="AR34" s="5">
        <f>VLOOKUP(F34,'[2]SCP_24-25'!$A:$D,4,0)</f>
        <v>83.14</v>
      </c>
      <c r="AS34" s="5">
        <f t="shared" si="1"/>
        <v>10808.2</v>
      </c>
    </row>
    <row r="35" spans="1:45" x14ac:dyDescent="0.3">
      <c r="A35" s="1">
        <v>45900.960416666669</v>
      </c>
      <c r="B35" t="s">
        <v>617</v>
      </c>
      <c r="C35" t="s">
        <v>618</v>
      </c>
      <c r="D35" t="s">
        <v>392</v>
      </c>
      <c r="E35" t="s">
        <v>368</v>
      </c>
      <c r="F35" t="s">
        <v>1654</v>
      </c>
      <c r="G35" t="s">
        <v>393</v>
      </c>
      <c r="H35" t="s">
        <v>130</v>
      </c>
      <c r="I35" t="s">
        <v>43</v>
      </c>
      <c r="J35">
        <v>24.02</v>
      </c>
      <c r="K35">
        <v>19</v>
      </c>
      <c r="L35">
        <v>10</v>
      </c>
      <c r="M35">
        <v>11</v>
      </c>
      <c r="N35">
        <v>33069</v>
      </c>
      <c r="O35">
        <v>6</v>
      </c>
      <c r="P35">
        <v>0</v>
      </c>
      <c r="Q35">
        <v>56</v>
      </c>
      <c r="R35">
        <v>8017</v>
      </c>
      <c r="S35" t="s">
        <v>44</v>
      </c>
      <c r="T35" t="s">
        <v>44</v>
      </c>
      <c r="U35" t="s">
        <v>44</v>
      </c>
      <c r="V35">
        <v>1541</v>
      </c>
      <c r="W35">
        <v>1330</v>
      </c>
      <c r="X35" t="s">
        <v>44</v>
      </c>
      <c r="Y35">
        <v>973</v>
      </c>
      <c r="Z35" t="s">
        <v>44</v>
      </c>
      <c r="AA35">
        <v>1</v>
      </c>
      <c r="AB35">
        <v>0</v>
      </c>
      <c r="AC35">
        <v>0</v>
      </c>
      <c r="AD35">
        <v>0</v>
      </c>
      <c r="AE35">
        <v>40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s="2">
        <v>1548</v>
      </c>
      <c r="AQ35">
        <f t="shared" si="2"/>
        <v>1548</v>
      </c>
      <c r="AR35" s="5">
        <f>VLOOKUP(F35,'[2]SCP_24-25'!$A:$D,4,0)</f>
        <v>79.679999999999993</v>
      </c>
      <c r="AS35" s="5">
        <f t="shared" si="1"/>
        <v>123344.63999999998</v>
      </c>
    </row>
    <row r="36" spans="1:45" x14ac:dyDescent="0.3">
      <c r="A36" s="1">
        <v>45900.960416666669</v>
      </c>
      <c r="B36" t="s">
        <v>617</v>
      </c>
      <c r="C36" t="s">
        <v>618</v>
      </c>
      <c r="D36" t="s">
        <v>394</v>
      </c>
      <c r="E36" t="s">
        <v>395</v>
      </c>
      <c r="F36" t="s">
        <v>1655</v>
      </c>
      <c r="G36" t="s">
        <v>396</v>
      </c>
      <c r="H36" t="s">
        <v>130</v>
      </c>
      <c r="I36" t="s">
        <v>43</v>
      </c>
      <c r="J36">
        <v>24.22</v>
      </c>
      <c r="K36">
        <v>19</v>
      </c>
      <c r="L36">
        <v>10</v>
      </c>
      <c r="M36">
        <v>11</v>
      </c>
      <c r="N36">
        <v>38443</v>
      </c>
      <c r="O36">
        <v>77</v>
      </c>
      <c r="P36">
        <v>0</v>
      </c>
      <c r="Q36">
        <v>45</v>
      </c>
      <c r="R36">
        <v>4023</v>
      </c>
      <c r="S36" t="s">
        <v>44</v>
      </c>
      <c r="T36" t="s">
        <v>44</v>
      </c>
      <c r="U36" t="s">
        <v>44</v>
      </c>
      <c r="V36">
        <v>987</v>
      </c>
      <c r="W36">
        <v>273</v>
      </c>
      <c r="X36" t="s">
        <v>44</v>
      </c>
      <c r="Y36">
        <v>846</v>
      </c>
      <c r="Z36" t="s">
        <v>44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s="2">
        <v>1066</v>
      </c>
      <c r="AQ36">
        <f t="shared" si="2"/>
        <v>1066</v>
      </c>
      <c r="AR36" s="5">
        <f>VLOOKUP(F36,'[2]SCP_24-25'!$A:$D,4,0)</f>
        <v>87.9</v>
      </c>
      <c r="AS36" s="5">
        <f t="shared" si="1"/>
        <v>93701.400000000009</v>
      </c>
    </row>
    <row r="37" spans="1:45" x14ac:dyDescent="0.3">
      <c r="A37" s="1">
        <v>45900.960416666669</v>
      </c>
      <c r="B37" t="s">
        <v>617</v>
      </c>
      <c r="C37" t="s">
        <v>618</v>
      </c>
      <c r="D37" t="s">
        <v>624</v>
      </c>
      <c r="F37" t="s">
        <v>1765</v>
      </c>
      <c r="G37" t="s">
        <v>625</v>
      </c>
      <c r="H37" t="s">
        <v>66</v>
      </c>
      <c r="I37" t="s">
        <v>43</v>
      </c>
      <c r="J37">
        <v>61.92</v>
      </c>
      <c r="K37">
        <v>19</v>
      </c>
      <c r="L37">
        <v>10</v>
      </c>
      <c r="M37">
        <v>11</v>
      </c>
      <c r="N37">
        <v>30200</v>
      </c>
      <c r="O37">
        <v>3</v>
      </c>
      <c r="P37">
        <v>0</v>
      </c>
      <c r="Q37">
        <v>55</v>
      </c>
      <c r="R37">
        <v>2284</v>
      </c>
      <c r="S37" t="s">
        <v>44</v>
      </c>
      <c r="T37" t="s">
        <v>44</v>
      </c>
      <c r="U37" t="s">
        <v>44</v>
      </c>
      <c r="V37">
        <v>453</v>
      </c>
      <c r="W37">
        <v>2</v>
      </c>
      <c r="X37" t="s">
        <v>44</v>
      </c>
      <c r="Y37">
        <v>453</v>
      </c>
      <c r="Z37" t="s">
        <v>44</v>
      </c>
      <c r="AA37">
        <v>4</v>
      </c>
      <c r="AB37">
        <v>0</v>
      </c>
      <c r="AC37">
        <v>0</v>
      </c>
      <c r="AD37">
        <v>0</v>
      </c>
      <c r="AE37">
        <v>0</v>
      </c>
      <c r="AF37">
        <v>12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460</v>
      </c>
      <c r="AQ37">
        <f t="shared" si="2"/>
        <v>460</v>
      </c>
      <c r="AR37" s="5">
        <f>VLOOKUP(F37,'[2]SCP_24-25'!$A:$D,4,0)</f>
        <v>23.39</v>
      </c>
      <c r="AS37" s="5">
        <f t="shared" si="1"/>
        <v>10759.4</v>
      </c>
    </row>
    <row r="38" spans="1:45" x14ac:dyDescent="0.3">
      <c r="A38" s="1">
        <v>45900.960416666669</v>
      </c>
      <c r="B38" t="s">
        <v>617</v>
      </c>
      <c r="C38" t="s">
        <v>618</v>
      </c>
      <c r="D38" t="s">
        <v>626</v>
      </c>
      <c r="F38" t="s">
        <v>1766</v>
      </c>
      <c r="G38" t="s">
        <v>627</v>
      </c>
      <c r="H38" t="s">
        <v>66</v>
      </c>
      <c r="I38" t="s">
        <v>43</v>
      </c>
      <c r="J38">
        <v>61.92</v>
      </c>
      <c r="K38">
        <v>19</v>
      </c>
      <c r="L38">
        <v>10</v>
      </c>
      <c r="M38">
        <v>11</v>
      </c>
      <c r="N38">
        <v>30354</v>
      </c>
      <c r="O38">
        <v>1</v>
      </c>
      <c r="P38">
        <v>0</v>
      </c>
      <c r="Q38">
        <v>26</v>
      </c>
      <c r="R38">
        <v>2433</v>
      </c>
      <c r="S38" t="s">
        <v>44</v>
      </c>
      <c r="T38" t="s">
        <v>44</v>
      </c>
      <c r="U38" t="s">
        <v>44</v>
      </c>
      <c r="V38">
        <v>134</v>
      </c>
      <c r="W38">
        <v>1</v>
      </c>
      <c r="X38" t="s">
        <v>44</v>
      </c>
      <c r="Y38">
        <v>134</v>
      </c>
      <c r="Z38" t="s">
        <v>44</v>
      </c>
      <c r="AA38">
        <v>7</v>
      </c>
      <c r="AB38">
        <v>0</v>
      </c>
      <c r="AC38">
        <v>0</v>
      </c>
      <c r="AD38">
        <v>0</v>
      </c>
      <c r="AE38">
        <v>0</v>
      </c>
      <c r="AF38">
        <v>12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142</v>
      </c>
      <c r="AQ38">
        <f t="shared" si="2"/>
        <v>142</v>
      </c>
      <c r="AR38" s="5">
        <f>VLOOKUP(F38,'[2]SCP_24-25'!$A:$D,4,0)</f>
        <v>26.96</v>
      </c>
      <c r="AS38" s="5">
        <f t="shared" si="1"/>
        <v>3828.32</v>
      </c>
    </row>
    <row r="39" spans="1:45" x14ac:dyDescent="0.3">
      <c r="A39" s="1">
        <v>45900.960416666669</v>
      </c>
      <c r="B39" t="s">
        <v>617</v>
      </c>
      <c r="C39" t="s">
        <v>618</v>
      </c>
      <c r="D39" t="s">
        <v>611</v>
      </c>
      <c r="F39" t="s">
        <v>1759</v>
      </c>
      <c r="G39" t="s">
        <v>612</v>
      </c>
      <c r="H39" t="s">
        <v>130</v>
      </c>
      <c r="I39" t="s">
        <v>43</v>
      </c>
      <c r="J39">
        <v>70</v>
      </c>
      <c r="K39">
        <v>19</v>
      </c>
      <c r="L39">
        <v>11</v>
      </c>
      <c r="M39">
        <v>10</v>
      </c>
      <c r="N39">
        <v>29004</v>
      </c>
      <c r="O39">
        <v>38</v>
      </c>
      <c r="P39">
        <v>0</v>
      </c>
      <c r="Q39">
        <v>21</v>
      </c>
      <c r="R39">
        <v>2065</v>
      </c>
      <c r="S39" t="s">
        <v>44</v>
      </c>
      <c r="T39" t="s">
        <v>44</v>
      </c>
      <c r="U39" t="s">
        <v>44</v>
      </c>
      <c r="V39">
        <v>166</v>
      </c>
      <c r="W39">
        <v>698</v>
      </c>
      <c r="X39" t="s">
        <v>44</v>
      </c>
      <c r="Y39">
        <v>166</v>
      </c>
      <c r="Z39" t="s">
        <v>44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204</v>
      </c>
      <c r="AQ39">
        <f t="shared" si="2"/>
        <v>204</v>
      </c>
      <c r="AR39" s="5">
        <f>VLOOKUP(F39,'[2]SCP_24-25'!$A:$D,4,0)</f>
        <v>61.75</v>
      </c>
      <c r="AS39" s="5">
        <f t="shared" si="1"/>
        <v>12597</v>
      </c>
    </row>
    <row r="40" spans="1:45" x14ac:dyDescent="0.3">
      <c r="A40" s="1">
        <v>45900.960416666669</v>
      </c>
      <c r="B40" t="s">
        <v>617</v>
      </c>
      <c r="C40" t="s">
        <v>618</v>
      </c>
      <c r="D40" t="s">
        <v>128</v>
      </c>
      <c r="F40" t="s">
        <v>1542</v>
      </c>
      <c r="G40" t="s">
        <v>129</v>
      </c>
      <c r="H40" t="s">
        <v>130</v>
      </c>
      <c r="I40" t="s">
        <v>43</v>
      </c>
      <c r="J40">
        <v>80</v>
      </c>
      <c r="K40">
        <v>19</v>
      </c>
      <c r="L40">
        <v>11</v>
      </c>
      <c r="M40">
        <v>10</v>
      </c>
      <c r="N40">
        <v>50570</v>
      </c>
      <c r="O40">
        <v>109</v>
      </c>
      <c r="P40">
        <v>0</v>
      </c>
      <c r="Q40">
        <v>37</v>
      </c>
      <c r="R40">
        <v>4459</v>
      </c>
      <c r="S40" t="s">
        <v>44</v>
      </c>
      <c r="T40" t="s">
        <v>44</v>
      </c>
      <c r="U40" t="s">
        <v>44</v>
      </c>
      <c r="V40">
        <v>201</v>
      </c>
      <c r="W40">
        <v>230</v>
      </c>
      <c r="X40" t="s">
        <v>44</v>
      </c>
      <c r="Y40">
        <v>201</v>
      </c>
      <c r="Z40" t="s">
        <v>44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312</v>
      </c>
      <c r="AQ40">
        <f t="shared" si="2"/>
        <v>312</v>
      </c>
      <c r="AR40" s="5">
        <f>VLOOKUP(F40,'[2]SCP_24-25'!$A:$D,4,0)</f>
        <v>46.19</v>
      </c>
      <c r="AS40" s="5">
        <f t="shared" si="1"/>
        <v>14411.279999999999</v>
      </c>
    </row>
    <row r="41" spans="1:45" x14ac:dyDescent="0.3">
      <c r="A41" s="1">
        <v>45900.960416666669</v>
      </c>
      <c r="B41" t="s">
        <v>617</v>
      </c>
      <c r="C41" t="s">
        <v>618</v>
      </c>
      <c r="D41" t="s">
        <v>628</v>
      </c>
      <c r="F41" t="s">
        <v>1767</v>
      </c>
      <c r="G41" t="s">
        <v>123</v>
      </c>
      <c r="H41" t="s">
        <v>120</v>
      </c>
      <c r="I41" t="s">
        <v>43</v>
      </c>
      <c r="J41">
        <v>100</v>
      </c>
      <c r="K41">
        <v>19</v>
      </c>
      <c r="L41">
        <v>11</v>
      </c>
      <c r="M41">
        <v>10</v>
      </c>
      <c r="N41">
        <v>1773</v>
      </c>
      <c r="O41">
        <v>0</v>
      </c>
      <c r="P41">
        <v>0</v>
      </c>
      <c r="Q41" t="s">
        <v>44</v>
      </c>
      <c r="R41">
        <v>651</v>
      </c>
      <c r="S41" t="s">
        <v>44</v>
      </c>
      <c r="T41" t="s">
        <v>44</v>
      </c>
      <c r="U41" t="s">
        <v>44</v>
      </c>
      <c r="V41">
        <v>242</v>
      </c>
      <c r="W41" t="s">
        <v>44</v>
      </c>
      <c r="X41" t="s">
        <v>44</v>
      </c>
      <c r="Y41">
        <v>242</v>
      </c>
      <c r="Z41" t="s">
        <v>44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242</v>
      </c>
      <c r="AQ41">
        <f t="shared" si="2"/>
        <v>242</v>
      </c>
      <c r="AR41" s="5">
        <f>VLOOKUP(F41,'[1]Cost Sheet'!$C:$D,2,0)</f>
        <v>169</v>
      </c>
      <c r="AS41" s="5">
        <f t="shared" si="1"/>
        <v>40898</v>
      </c>
    </row>
    <row r="42" spans="1:45" x14ac:dyDescent="0.3">
      <c r="A42" s="1">
        <v>45900.960416666669</v>
      </c>
      <c r="B42" t="s">
        <v>617</v>
      </c>
      <c r="C42" t="s">
        <v>618</v>
      </c>
      <c r="D42" t="s">
        <v>629</v>
      </c>
      <c r="F42" t="s">
        <v>1768</v>
      </c>
      <c r="G42" t="s">
        <v>630</v>
      </c>
      <c r="H42" t="s">
        <v>120</v>
      </c>
      <c r="I42" t="s">
        <v>43</v>
      </c>
      <c r="J42">
        <v>200</v>
      </c>
      <c r="K42">
        <v>19</v>
      </c>
      <c r="L42">
        <v>10</v>
      </c>
      <c r="M42">
        <v>11</v>
      </c>
      <c r="N42">
        <v>3631</v>
      </c>
      <c r="O42">
        <v>0</v>
      </c>
      <c r="P42">
        <v>0</v>
      </c>
      <c r="Q42" t="s">
        <v>44</v>
      </c>
      <c r="R42">
        <v>2784</v>
      </c>
      <c r="S42" t="s">
        <v>44</v>
      </c>
      <c r="T42" t="s">
        <v>44</v>
      </c>
      <c r="U42" t="s">
        <v>44</v>
      </c>
      <c r="V42">
        <v>311</v>
      </c>
      <c r="W42" t="s">
        <v>44</v>
      </c>
      <c r="X42" t="s">
        <v>44</v>
      </c>
      <c r="Y42">
        <v>311</v>
      </c>
      <c r="Z42" t="s">
        <v>44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311</v>
      </c>
      <c r="AQ42">
        <f t="shared" si="2"/>
        <v>311</v>
      </c>
      <c r="AR42" s="5">
        <f>VLOOKUP(F42,'[1]Cost Sheet'!$C:$D,2,0)</f>
        <v>48</v>
      </c>
      <c r="AS42" s="5">
        <f t="shared" si="1"/>
        <v>14928</v>
      </c>
    </row>
    <row r="43" spans="1:45" x14ac:dyDescent="0.3">
      <c r="A43" s="1">
        <v>45900.960416666669</v>
      </c>
      <c r="B43" t="s">
        <v>617</v>
      </c>
      <c r="C43" t="s">
        <v>618</v>
      </c>
      <c r="D43" t="s">
        <v>631</v>
      </c>
      <c r="F43" t="s">
        <v>1769</v>
      </c>
      <c r="G43" t="s">
        <v>632</v>
      </c>
      <c r="H43" t="s">
        <v>120</v>
      </c>
      <c r="I43" t="s">
        <v>43</v>
      </c>
      <c r="J43">
        <v>200</v>
      </c>
      <c r="K43">
        <v>19</v>
      </c>
      <c r="L43">
        <v>10</v>
      </c>
      <c r="M43">
        <v>11</v>
      </c>
      <c r="N43">
        <v>4872</v>
      </c>
      <c r="O43">
        <v>0</v>
      </c>
      <c r="P43">
        <v>0</v>
      </c>
      <c r="Q43" t="s">
        <v>44</v>
      </c>
      <c r="R43">
        <v>3371</v>
      </c>
      <c r="S43" t="s">
        <v>44</v>
      </c>
      <c r="T43" t="s">
        <v>44</v>
      </c>
      <c r="U43" t="s">
        <v>44</v>
      </c>
      <c r="V43">
        <v>102</v>
      </c>
      <c r="W43" t="s">
        <v>44</v>
      </c>
      <c r="X43" t="s">
        <v>44</v>
      </c>
      <c r="Y43">
        <v>102</v>
      </c>
      <c r="Z43" t="s">
        <v>44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102</v>
      </c>
      <c r="AQ43">
        <f t="shared" si="2"/>
        <v>102</v>
      </c>
      <c r="AR43" s="5">
        <f>VLOOKUP(F43,'[1]Cost Sheet'!$C:$D,2,0)</f>
        <v>48</v>
      </c>
      <c r="AS43" s="5">
        <f t="shared" si="1"/>
        <v>4896</v>
      </c>
    </row>
    <row r="44" spans="1:45" x14ac:dyDescent="0.3">
      <c r="A44" s="1">
        <v>45900.960416666669</v>
      </c>
      <c r="B44" t="s">
        <v>617</v>
      </c>
      <c r="C44" t="s">
        <v>618</v>
      </c>
      <c r="D44" t="s">
        <v>425</v>
      </c>
      <c r="F44" t="s">
        <v>1669</v>
      </c>
      <c r="G44" t="s">
        <v>426</v>
      </c>
      <c r="H44" t="s">
        <v>66</v>
      </c>
      <c r="I44" t="s">
        <v>43</v>
      </c>
      <c r="J44">
        <v>46.59</v>
      </c>
      <c r="K44">
        <v>19</v>
      </c>
      <c r="L44">
        <v>10</v>
      </c>
      <c r="M44">
        <v>11</v>
      </c>
      <c r="N44">
        <v>105307</v>
      </c>
      <c r="O44">
        <v>34</v>
      </c>
      <c r="P44">
        <v>0</v>
      </c>
      <c r="Q44">
        <v>56</v>
      </c>
      <c r="R44">
        <v>11</v>
      </c>
      <c r="S44" t="s">
        <v>44</v>
      </c>
      <c r="T44" t="s">
        <v>44</v>
      </c>
      <c r="U44" t="s">
        <v>44</v>
      </c>
      <c r="V44">
        <v>722</v>
      </c>
      <c r="W44">
        <v>471</v>
      </c>
      <c r="X44" t="s">
        <v>44</v>
      </c>
      <c r="Y44">
        <v>722</v>
      </c>
      <c r="Z44" t="s">
        <v>44</v>
      </c>
      <c r="AA44">
        <v>31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787</v>
      </c>
      <c r="AQ44">
        <f t="shared" si="2"/>
        <v>787</v>
      </c>
      <c r="AR44" s="5">
        <f>VLOOKUP(F44,'[2]SCP_24-25'!$A:$D,4,0)</f>
        <v>37.46</v>
      </c>
      <c r="AS44" s="5">
        <f t="shared" si="1"/>
        <v>29481.02</v>
      </c>
    </row>
    <row r="45" spans="1:45" x14ac:dyDescent="0.3">
      <c r="A45" s="1">
        <v>45900.960416666669</v>
      </c>
      <c r="B45" t="s">
        <v>617</v>
      </c>
      <c r="C45" t="s">
        <v>618</v>
      </c>
      <c r="D45" t="s">
        <v>633</v>
      </c>
      <c r="E45" t="s">
        <v>633</v>
      </c>
      <c r="F45" t="s">
        <v>1770</v>
      </c>
      <c r="G45" t="s">
        <v>634</v>
      </c>
      <c r="H45" t="s">
        <v>635</v>
      </c>
      <c r="I45" t="s">
        <v>43</v>
      </c>
      <c r="N45">
        <v>2914</v>
      </c>
      <c r="O45">
        <v>0</v>
      </c>
      <c r="P45">
        <v>0</v>
      </c>
      <c r="Q45">
        <v>788</v>
      </c>
      <c r="R45" t="s">
        <v>44</v>
      </c>
      <c r="S45" t="s">
        <v>44</v>
      </c>
      <c r="T45" t="s">
        <v>44</v>
      </c>
      <c r="U45" t="s">
        <v>44</v>
      </c>
      <c r="V45">
        <v>437</v>
      </c>
      <c r="W45">
        <v>457</v>
      </c>
      <c r="X45" t="s">
        <v>44</v>
      </c>
      <c r="Y45">
        <v>437</v>
      </c>
      <c r="Z45" t="s">
        <v>44</v>
      </c>
      <c r="AA45">
        <v>0</v>
      </c>
      <c r="AB45">
        <v>0</v>
      </c>
      <c r="AC45">
        <v>0</v>
      </c>
      <c r="AD45">
        <v>0</v>
      </c>
      <c r="AE45">
        <v>29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437</v>
      </c>
      <c r="AQ45">
        <f t="shared" si="2"/>
        <v>437</v>
      </c>
      <c r="AR45" s="5">
        <f>VLOOKUP(F45,'[1]Cost Sheet'!$C:$D,2,0)</f>
        <v>27.66</v>
      </c>
      <c r="AS45" s="5">
        <f t="shared" si="1"/>
        <v>12087.42</v>
      </c>
    </row>
    <row r="46" spans="1:45" x14ac:dyDescent="0.3">
      <c r="A46" s="1">
        <v>45900.960416666669</v>
      </c>
      <c r="B46" t="s">
        <v>617</v>
      </c>
      <c r="C46" t="s">
        <v>618</v>
      </c>
      <c r="D46" t="s">
        <v>636</v>
      </c>
      <c r="E46" t="s">
        <v>636</v>
      </c>
      <c r="F46" t="s">
        <v>1771</v>
      </c>
      <c r="G46" t="s">
        <v>637</v>
      </c>
      <c r="H46" t="s">
        <v>635</v>
      </c>
      <c r="I46" t="s">
        <v>43</v>
      </c>
      <c r="N46">
        <v>1801</v>
      </c>
      <c r="O46">
        <v>0</v>
      </c>
      <c r="P46">
        <v>0</v>
      </c>
      <c r="Q46" t="s">
        <v>44</v>
      </c>
      <c r="R46">
        <v>60</v>
      </c>
      <c r="S46" t="s">
        <v>44</v>
      </c>
      <c r="T46" t="s">
        <v>44</v>
      </c>
      <c r="U46" t="s">
        <v>44</v>
      </c>
      <c r="V46">
        <v>339</v>
      </c>
      <c r="W46" t="s">
        <v>44</v>
      </c>
      <c r="X46" t="s">
        <v>44</v>
      </c>
      <c r="Y46">
        <v>339</v>
      </c>
      <c r="Z46" t="s">
        <v>44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339</v>
      </c>
      <c r="AQ46">
        <f t="shared" si="2"/>
        <v>339</v>
      </c>
      <c r="AR46" s="5">
        <f>VLOOKUP(F46,'[1]Cost Sheet'!$C:$D,2,0)</f>
        <v>42.19</v>
      </c>
      <c r="AS46" s="5">
        <f t="shared" si="1"/>
        <v>14302.41</v>
      </c>
    </row>
    <row r="47" spans="1:45" x14ac:dyDescent="0.3">
      <c r="A47" s="1">
        <v>45900.960416666669</v>
      </c>
      <c r="B47" t="s">
        <v>617</v>
      </c>
      <c r="C47" t="s">
        <v>618</v>
      </c>
      <c r="D47" t="s">
        <v>638</v>
      </c>
      <c r="E47" t="s">
        <v>638</v>
      </c>
      <c r="F47" t="s">
        <v>1772</v>
      </c>
      <c r="G47" t="s">
        <v>639</v>
      </c>
      <c r="H47" t="s">
        <v>635</v>
      </c>
      <c r="I47" t="s">
        <v>43</v>
      </c>
      <c r="N47">
        <v>1786</v>
      </c>
      <c r="O47">
        <v>0</v>
      </c>
      <c r="P47">
        <v>0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>
        <v>385</v>
      </c>
      <c r="W47" t="s">
        <v>44</v>
      </c>
      <c r="X47" t="s">
        <v>44</v>
      </c>
      <c r="Y47">
        <v>385</v>
      </c>
      <c r="Z47" t="s">
        <v>44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385</v>
      </c>
      <c r="AQ47">
        <f t="shared" si="2"/>
        <v>385</v>
      </c>
      <c r="AR47" s="5">
        <f>VLOOKUP(F47,'[1]Cost Sheet'!$C:$D,2,0)</f>
        <v>25.264285714285712</v>
      </c>
      <c r="AS47" s="5">
        <f t="shared" si="1"/>
        <v>9726.75</v>
      </c>
    </row>
    <row r="48" spans="1:45" x14ac:dyDescent="0.3">
      <c r="A48" s="1">
        <v>45900.960416666669</v>
      </c>
      <c r="B48" t="s">
        <v>617</v>
      </c>
      <c r="C48" t="s">
        <v>618</v>
      </c>
      <c r="D48" t="s">
        <v>640</v>
      </c>
      <c r="E48" t="s">
        <v>640</v>
      </c>
      <c r="F48" t="s">
        <v>1773</v>
      </c>
      <c r="G48" t="s">
        <v>641</v>
      </c>
      <c r="H48" t="s">
        <v>635</v>
      </c>
      <c r="I48" t="s">
        <v>43</v>
      </c>
      <c r="N48">
        <v>1005</v>
      </c>
      <c r="O48">
        <v>0</v>
      </c>
      <c r="P48">
        <v>0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>
        <v>156</v>
      </c>
      <c r="W48" t="s">
        <v>44</v>
      </c>
      <c r="X48" t="s">
        <v>44</v>
      </c>
      <c r="Y48">
        <v>156</v>
      </c>
      <c r="Z48" t="s">
        <v>44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156</v>
      </c>
      <c r="AQ48">
        <f t="shared" si="2"/>
        <v>156</v>
      </c>
      <c r="AR48" s="5">
        <f>VLOOKUP(F48,'[1]Cost Sheet'!$C:$D,2,0)</f>
        <v>41.87</v>
      </c>
      <c r="AS48" s="5">
        <f t="shared" si="1"/>
        <v>6531.7199999999993</v>
      </c>
    </row>
    <row r="49" spans="1:45" x14ac:dyDescent="0.3">
      <c r="A49" s="1">
        <v>45900.960416666669</v>
      </c>
      <c r="B49" t="s">
        <v>617</v>
      </c>
      <c r="C49" t="s">
        <v>618</v>
      </c>
      <c r="D49" t="s">
        <v>642</v>
      </c>
      <c r="E49" t="s">
        <v>642</v>
      </c>
      <c r="F49" t="s">
        <v>1774</v>
      </c>
      <c r="G49" t="s">
        <v>643</v>
      </c>
      <c r="H49" t="s">
        <v>635</v>
      </c>
      <c r="I49" t="s">
        <v>43</v>
      </c>
      <c r="N49">
        <v>979</v>
      </c>
      <c r="O49">
        <v>0</v>
      </c>
      <c r="P49">
        <v>0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>
        <v>170</v>
      </c>
      <c r="W49" t="s">
        <v>44</v>
      </c>
      <c r="X49" t="s">
        <v>44</v>
      </c>
      <c r="Y49">
        <v>170</v>
      </c>
      <c r="Z49" t="s">
        <v>44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170</v>
      </c>
      <c r="AQ49">
        <f t="shared" si="2"/>
        <v>170</v>
      </c>
      <c r="AR49" s="5">
        <f>VLOOKUP(F49,'[1]Cost Sheet'!$C:$D,2,0)</f>
        <v>40.090000000000003</v>
      </c>
      <c r="AS49" s="5">
        <f t="shared" si="1"/>
        <v>6815.3</v>
      </c>
    </row>
    <row r="50" spans="1:45" x14ac:dyDescent="0.3">
      <c r="A50" s="1">
        <v>45900.960416666669</v>
      </c>
      <c r="B50" t="s">
        <v>617</v>
      </c>
      <c r="C50" t="s">
        <v>618</v>
      </c>
      <c r="D50" t="s">
        <v>644</v>
      </c>
      <c r="E50" t="s">
        <v>644</v>
      </c>
      <c r="F50" t="s">
        <v>1775</v>
      </c>
      <c r="G50" t="s">
        <v>645</v>
      </c>
      <c r="H50" t="s">
        <v>635</v>
      </c>
      <c r="I50" t="s">
        <v>43</v>
      </c>
      <c r="N50">
        <v>1131</v>
      </c>
      <c r="O50">
        <v>0</v>
      </c>
      <c r="P50">
        <v>0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>
        <v>187</v>
      </c>
      <c r="W50" t="s">
        <v>44</v>
      </c>
      <c r="X50" t="s">
        <v>44</v>
      </c>
      <c r="Y50">
        <v>187</v>
      </c>
      <c r="Z50" t="s">
        <v>44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187</v>
      </c>
      <c r="AQ50">
        <f t="shared" si="2"/>
        <v>187</v>
      </c>
      <c r="AR50" s="5">
        <f>VLOOKUP(F50,'[1]Cost Sheet'!$C:$D,2,0)</f>
        <v>69.16</v>
      </c>
      <c r="AS50" s="5">
        <f t="shared" si="1"/>
        <v>12932.92</v>
      </c>
    </row>
    <row r="51" spans="1:45" x14ac:dyDescent="0.3">
      <c r="A51" s="1">
        <v>45900.960416666669</v>
      </c>
      <c r="B51" t="s">
        <v>617</v>
      </c>
      <c r="C51" t="s">
        <v>618</v>
      </c>
      <c r="D51" t="s">
        <v>646</v>
      </c>
      <c r="E51" t="s">
        <v>646</v>
      </c>
      <c r="F51" t="s">
        <v>1776</v>
      </c>
      <c r="G51" t="s">
        <v>647</v>
      </c>
      <c r="H51" t="s">
        <v>635</v>
      </c>
      <c r="I51" t="s">
        <v>43</v>
      </c>
      <c r="N51">
        <v>1663</v>
      </c>
      <c r="O51">
        <v>0</v>
      </c>
      <c r="P51">
        <v>0</v>
      </c>
      <c r="Q51" t="s">
        <v>44</v>
      </c>
      <c r="R51">
        <v>120</v>
      </c>
      <c r="S51" t="s">
        <v>44</v>
      </c>
      <c r="T51" t="s">
        <v>44</v>
      </c>
      <c r="U51" t="s">
        <v>44</v>
      </c>
      <c r="V51">
        <v>257</v>
      </c>
      <c r="W51" t="s">
        <v>44</v>
      </c>
      <c r="X51" t="s">
        <v>44</v>
      </c>
      <c r="Y51">
        <v>257</v>
      </c>
      <c r="Z51" t="s">
        <v>44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257</v>
      </c>
      <c r="AQ51">
        <f t="shared" si="2"/>
        <v>257</v>
      </c>
      <c r="AR51" s="5">
        <f>VLOOKUP(F51,'[1]Cost Sheet'!$C:$D,2,0)</f>
        <v>75.69</v>
      </c>
      <c r="AS51" s="5">
        <f t="shared" si="1"/>
        <v>19452.329999999998</v>
      </c>
    </row>
    <row r="52" spans="1:45" x14ac:dyDescent="0.3">
      <c r="A52" s="1">
        <v>45900.960416666669</v>
      </c>
      <c r="B52" t="s">
        <v>617</v>
      </c>
      <c r="C52" t="s">
        <v>618</v>
      </c>
      <c r="D52" t="s">
        <v>648</v>
      </c>
      <c r="E52" t="s">
        <v>648</v>
      </c>
      <c r="F52" t="s">
        <v>1777</v>
      </c>
      <c r="G52" t="s">
        <v>649</v>
      </c>
      <c r="H52" t="s">
        <v>635</v>
      </c>
      <c r="I52" t="s">
        <v>43</v>
      </c>
      <c r="N52">
        <v>1849</v>
      </c>
      <c r="O52">
        <v>0</v>
      </c>
      <c r="P52">
        <v>0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>
        <v>569</v>
      </c>
      <c r="W52" t="s">
        <v>44</v>
      </c>
      <c r="X52" t="s">
        <v>44</v>
      </c>
      <c r="Y52">
        <v>569</v>
      </c>
      <c r="Z52" t="s">
        <v>44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569</v>
      </c>
      <c r="AQ52">
        <f t="shared" si="2"/>
        <v>569</v>
      </c>
      <c r="AR52" s="5">
        <f>VLOOKUP(F52,'[1]Cost Sheet'!$C:$D,2,0)</f>
        <v>51.353999999999999</v>
      </c>
      <c r="AS52" s="5">
        <f t="shared" si="1"/>
        <v>29220.425999999999</v>
      </c>
    </row>
    <row r="53" spans="1:45" x14ac:dyDescent="0.3">
      <c r="A53" s="1">
        <v>45900.960416666669</v>
      </c>
      <c r="B53" t="s">
        <v>617</v>
      </c>
      <c r="C53" t="s">
        <v>618</v>
      </c>
      <c r="D53" t="s">
        <v>650</v>
      </c>
      <c r="E53" t="s">
        <v>650</v>
      </c>
      <c r="F53" t="s">
        <v>1778</v>
      </c>
      <c r="G53" t="s">
        <v>651</v>
      </c>
      <c r="H53" t="s">
        <v>635</v>
      </c>
      <c r="I53" t="s">
        <v>43</v>
      </c>
      <c r="N53">
        <v>1794</v>
      </c>
      <c r="O53">
        <v>0</v>
      </c>
      <c r="P53">
        <v>0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>
        <v>621</v>
      </c>
      <c r="W53" t="s">
        <v>44</v>
      </c>
      <c r="X53" t="s">
        <v>44</v>
      </c>
      <c r="Y53">
        <v>621</v>
      </c>
      <c r="Z53" t="s">
        <v>44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621</v>
      </c>
      <c r="AQ53">
        <f t="shared" si="2"/>
        <v>621</v>
      </c>
      <c r="AR53" s="5">
        <f>VLOOKUP(F53,'[1]Cost Sheet'!$C:$D,2,0)</f>
        <v>75.27</v>
      </c>
      <c r="AS53" s="5">
        <f t="shared" si="1"/>
        <v>46742.67</v>
      </c>
    </row>
    <row r="54" spans="1:45" x14ac:dyDescent="0.3">
      <c r="A54" s="1">
        <v>45900.960416666669</v>
      </c>
      <c r="B54" t="s">
        <v>617</v>
      </c>
      <c r="C54" t="s">
        <v>618</v>
      </c>
      <c r="D54" t="s">
        <v>652</v>
      </c>
      <c r="E54" t="s">
        <v>652</v>
      </c>
      <c r="F54" t="s">
        <v>1779</v>
      </c>
      <c r="G54" t="s">
        <v>653</v>
      </c>
      <c r="H54" t="s">
        <v>635</v>
      </c>
      <c r="I54" t="s">
        <v>43</v>
      </c>
      <c r="N54">
        <v>1346</v>
      </c>
      <c r="O54">
        <v>0</v>
      </c>
      <c r="P54">
        <v>0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>
        <v>110</v>
      </c>
      <c r="W54" t="s">
        <v>44</v>
      </c>
      <c r="X54" t="s">
        <v>44</v>
      </c>
      <c r="Y54">
        <v>110</v>
      </c>
      <c r="Z54" t="s">
        <v>44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110</v>
      </c>
      <c r="AQ54">
        <f t="shared" si="2"/>
        <v>110</v>
      </c>
      <c r="AR54" s="5">
        <f>VLOOKUP(F54,'[1]Cost Sheet'!$C:$D,2,0)</f>
        <v>76.619230769230754</v>
      </c>
      <c r="AS54" s="5">
        <f t="shared" si="1"/>
        <v>8428.1153846153829</v>
      </c>
    </row>
    <row r="55" spans="1:45" x14ac:dyDescent="0.3">
      <c r="A55" s="1">
        <v>45900.960416666669</v>
      </c>
      <c r="B55" t="s">
        <v>617</v>
      </c>
      <c r="C55" t="s">
        <v>618</v>
      </c>
      <c r="D55" t="s">
        <v>654</v>
      </c>
      <c r="E55" t="s">
        <v>654</v>
      </c>
      <c r="F55" t="s">
        <v>1780</v>
      </c>
      <c r="G55" t="s">
        <v>655</v>
      </c>
      <c r="H55" t="s">
        <v>635</v>
      </c>
      <c r="I55" t="s">
        <v>43</v>
      </c>
      <c r="N55">
        <v>2607</v>
      </c>
      <c r="O55">
        <v>0</v>
      </c>
      <c r="P55">
        <v>0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>
        <v>895</v>
      </c>
      <c r="W55" t="s">
        <v>44</v>
      </c>
      <c r="X55" t="s">
        <v>44</v>
      </c>
      <c r="Y55">
        <v>895</v>
      </c>
      <c r="Z55" t="s">
        <v>44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895</v>
      </c>
      <c r="AQ55">
        <f t="shared" si="2"/>
        <v>895</v>
      </c>
      <c r="AR55" s="5">
        <f>VLOOKUP(F55,'[1]Cost Sheet'!$C:$D,2,0)</f>
        <v>63.26</v>
      </c>
      <c r="AS55" s="5">
        <f t="shared" si="1"/>
        <v>56617.7</v>
      </c>
    </row>
    <row r="56" spans="1:45" x14ac:dyDescent="0.3">
      <c r="A56" s="1">
        <v>45900.960416666669</v>
      </c>
      <c r="B56" t="s">
        <v>617</v>
      </c>
      <c r="C56" t="s">
        <v>618</v>
      </c>
      <c r="D56" t="s">
        <v>656</v>
      </c>
      <c r="E56" t="s">
        <v>656</v>
      </c>
      <c r="F56" t="s">
        <v>1781</v>
      </c>
      <c r="G56" t="s">
        <v>657</v>
      </c>
      <c r="H56" t="s">
        <v>635</v>
      </c>
      <c r="I56" t="s">
        <v>43</v>
      </c>
      <c r="N56">
        <v>1292</v>
      </c>
      <c r="O56">
        <v>0</v>
      </c>
      <c r="P56">
        <v>0</v>
      </c>
      <c r="Q56" t="s">
        <v>44</v>
      </c>
      <c r="R56">
        <v>118</v>
      </c>
      <c r="S56" t="s">
        <v>44</v>
      </c>
      <c r="T56" t="s">
        <v>44</v>
      </c>
      <c r="U56" t="s">
        <v>44</v>
      </c>
      <c r="V56">
        <v>131</v>
      </c>
      <c r="W56" t="s">
        <v>44</v>
      </c>
      <c r="X56" t="s">
        <v>44</v>
      </c>
      <c r="Y56">
        <v>131</v>
      </c>
      <c r="Z56" t="s">
        <v>44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131</v>
      </c>
      <c r="AQ56">
        <f t="shared" si="2"/>
        <v>131</v>
      </c>
      <c r="AR56" s="5">
        <f>VLOOKUP(F56,'[1]Cost Sheet'!$C:$D,2,0)</f>
        <v>70.52</v>
      </c>
      <c r="AS56" s="5">
        <f t="shared" si="1"/>
        <v>9238.119999999999</v>
      </c>
    </row>
    <row r="57" spans="1:45" x14ac:dyDescent="0.3">
      <c r="A57" s="1">
        <v>45900.960416666669</v>
      </c>
      <c r="B57" t="s">
        <v>617</v>
      </c>
      <c r="C57" t="s">
        <v>618</v>
      </c>
      <c r="D57" t="s">
        <v>658</v>
      </c>
      <c r="E57" t="s">
        <v>658</v>
      </c>
      <c r="F57" t="s">
        <v>1782</v>
      </c>
      <c r="G57" t="s">
        <v>659</v>
      </c>
      <c r="H57" t="s">
        <v>635</v>
      </c>
      <c r="I57" t="s">
        <v>43</v>
      </c>
      <c r="N57">
        <v>2081</v>
      </c>
      <c r="O57">
        <v>0</v>
      </c>
      <c r="P57">
        <v>0</v>
      </c>
      <c r="Q57" t="s">
        <v>44</v>
      </c>
      <c r="R57">
        <v>30</v>
      </c>
      <c r="S57" t="s">
        <v>44</v>
      </c>
      <c r="T57" t="s">
        <v>44</v>
      </c>
      <c r="U57" t="s">
        <v>44</v>
      </c>
      <c r="V57">
        <v>326</v>
      </c>
      <c r="W57" t="s">
        <v>44</v>
      </c>
      <c r="X57" t="s">
        <v>44</v>
      </c>
      <c r="Y57">
        <v>326</v>
      </c>
      <c r="Z57" t="s">
        <v>44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326</v>
      </c>
      <c r="AQ57">
        <f t="shared" si="2"/>
        <v>326</v>
      </c>
      <c r="AR57" s="5">
        <f>VLOOKUP(F57,'[1]Cost Sheet'!$C:$D,2,0)</f>
        <v>66.328461538461553</v>
      </c>
      <c r="AS57" s="5">
        <f t="shared" si="1"/>
        <v>21623.078461538465</v>
      </c>
    </row>
    <row r="58" spans="1:45" x14ac:dyDescent="0.3">
      <c r="A58" s="1">
        <v>45900.960416666669</v>
      </c>
      <c r="B58" t="s">
        <v>617</v>
      </c>
      <c r="C58" t="s">
        <v>618</v>
      </c>
      <c r="D58" t="s">
        <v>660</v>
      </c>
      <c r="E58" t="s">
        <v>660</v>
      </c>
      <c r="F58" t="s">
        <v>1783</v>
      </c>
      <c r="G58" t="s">
        <v>661</v>
      </c>
      <c r="H58" t="s">
        <v>635</v>
      </c>
      <c r="I58" t="s">
        <v>43</v>
      </c>
      <c r="N58">
        <v>1060</v>
      </c>
      <c r="O58">
        <v>0</v>
      </c>
      <c r="P58">
        <v>0</v>
      </c>
      <c r="Q58" t="s">
        <v>44</v>
      </c>
      <c r="R58">
        <v>124</v>
      </c>
      <c r="S58" t="s">
        <v>44</v>
      </c>
      <c r="T58" t="s">
        <v>44</v>
      </c>
      <c r="U58" t="s">
        <v>44</v>
      </c>
      <c r="V58">
        <v>101</v>
      </c>
      <c r="W58" t="s">
        <v>44</v>
      </c>
      <c r="X58" t="s">
        <v>44</v>
      </c>
      <c r="Y58">
        <v>101</v>
      </c>
      <c r="Z58" t="s">
        <v>44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101</v>
      </c>
      <c r="AQ58">
        <f t="shared" si="2"/>
        <v>101</v>
      </c>
      <c r="AR58" s="5">
        <f>VLOOKUP(F58,'[1]Cost Sheet'!$C:$D,2,0)</f>
        <v>60.73</v>
      </c>
      <c r="AS58" s="5">
        <f t="shared" si="1"/>
        <v>6133.73</v>
      </c>
    </row>
    <row r="59" spans="1:45" x14ac:dyDescent="0.3">
      <c r="A59" s="1">
        <v>45900.960416666669</v>
      </c>
      <c r="B59" t="s">
        <v>617</v>
      </c>
      <c r="C59" t="s">
        <v>618</v>
      </c>
      <c r="D59" t="s">
        <v>662</v>
      </c>
      <c r="E59" t="s">
        <v>662</v>
      </c>
      <c r="F59" t="s">
        <v>1784</v>
      </c>
      <c r="G59" t="s">
        <v>663</v>
      </c>
      <c r="H59" t="s">
        <v>635</v>
      </c>
      <c r="I59" t="s">
        <v>43</v>
      </c>
      <c r="N59">
        <v>2631</v>
      </c>
      <c r="O59">
        <v>0</v>
      </c>
      <c r="P59">
        <v>0</v>
      </c>
      <c r="Q59" t="s">
        <v>44</v>
      </c>
      <c r="R59">
        <v>149</v>
      </c>
      <c r="S59" t="s">
        <v>44</v>
      </c>
      <c r="T59" t="s">
        <v>44</v>
      </c>
      <c r="U59" t="s">
        <v>44</v>
      </c>
      <c r="V59">
        <v>721</v>
      </c>
      <c r="W59" t="s">
        <v>44</v>
      </c>
      <c r="X59" t="s">
        <v>44</v>
      </c>
      <c r="Y59">
        <v>721</v>
      </c>
      <c r="Z59" t="s">
        <v>44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721</v>
      </c>
      <c r="AQ59">
        <f t="shared" si="2"/>
        <v>721</v>
      </c>
      <c r="AR59" s="5">
        <f>VLOOKUP(F59,'[1]Cost Sheet'!$C:$D,2,0)</f>
        <v>75.81</v>
      </c>
      <c r="AS59" s="5">
        <f t="shared" si="1"/>
        <v>54659.01</v>
      </c>
    </row>
    <row r="60" spans="1:45" x14ac:dyDescent="0.3">
      <c r="A60" s="1">
        <v>45900.960416666669</v>
      </c>
      <c r="B60" t="s">
        <v>617</v>
      </c>
      <c r="C60" t="s">
        <v>618</v>
      </c>
      <c r="D60" t="s">
        <v>664</v>
      </c>
      <c r="E60" t="s">
        <v>664</v>
      </c>
      <c r="F60" t="s">
        <v>1785</v>
      </c>
      <c r="G60" t="s">
        <v>665</v>
      </c>
      <c r="H60" t="s">
        <v>635</v>
      </c>
      <c r="I60" t="s">
        <v>43</v>
      </c>
      <c r="N60">
        <v>683</v>
      </c>
      <c r="O60">
        <v>0</v>
      </c>
      <c r="P60">
        <v>0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>
        <v>105</v>
      </c>
      <c r="W60" t="s">
        <v>44</v>
      </c>
      <c r="X60" t="s">
        <v>44</v>
      </c>
      <c r="Y60">
        <v>105</v>
      </c>
      <c r="Z60" t="s">
        <v>44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105</v>
      </c>
      <c r="AQ60">
        <f t="shared" si="2"/>
        <v>105</v>
      </c>
      <c r="AR60" s="5">
        <f>VLOOKUP(F60,'[1]Cost Sheet'!$C:$D,2,0)</f>
        <v>69.61</v>
      </c>
      <c r="AS60" s="5">
        <f t="shared" si="1"/>
        <v>7309.05</v>
      </c>
    </row>
    <row r="61" spans="1:45" x14ac:dyDescent="0.3">
      <c r="A61" s="1">
        <v>45900.960416666669</v>
      </c>
      <c r="B61" t="s">
        <v>617</v>
      </c>
      <c r="C61" t="s">
        <v>618</v>
      </c>
      <c r="D61" t="s">
        <v>666</v>
      </c>
      <c r="E61" t="s">
        <v>666</v>
      </c>
      <c r="F61" t="s">
        <v>1786</v>
      </c>
      <c r="G61" t="s">
        <v>667</v>
      </c>
      <c r="H61" t="s">
        <v>635</v>
      </c>
      <c r="I61" t="s">
        <v>43</v>
      </c>
      <c r="N61">
        <v>1606</v>
      </c>
      <c r="O61">
        <v>0</v>
      </c>
      <c r="P61">
        <v>0</v>
      </c>
      <c r="Q61" t="s">
        <v>44</v>
      </c>
      <c r="R61">
        <v>15</v>
      </c>
      <c r="S61" t="s">
        <v>44</v>
      </c>
      <c r="T61" t="s">
        <v>44</v>
      </c>
      <c r="U61" t="s">
        <v>44</v>
      </c>
      <c r="V61">
        <v>539</v>
      </c>
      <c r="W61" t="s">
        <v>44</v>
      </c>
      <c r="X61" t="s">
        <v>44</v>
      </c>
      <c r="Y61">
        <v>539</v>
      </c>
      <c r="Z61" t="s">
        <v>44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539</v>
      </c>
      <c r="AQ61">
        <f t="shared" si="2"/>
        <v>539</v>
      </c>
      <c r="AR61" s="5">
        <f>VLOOKUP(F61,'[1]Cost Sheet'!$C:$D,2,0)</f>
        <v>52.010000000000005</v>
      </c>
      <c r="AS61" s="5">
        <f t="shared" si="1"/>
        <v>28033.390000000003</v>
      </c>
    </row>
    <row r="62" spans="1:45" x14ac:dyDescent="0.3">
      <c r="A62" s="1">
        <v>45900.960416666669</v>
      </c>
      <c r="B62" t="s">
        <v>617</v>
      </c>
      <c r="C62" t="s">
        <v>618</v>
      </c>
      <c r="D62" t="s">
        <v>668</v>
      </c>
      <c r="E62" t="s">
        <v>668</v>
      </c>
      <c r="F62" t="s">
        <v>1787</v>
      </c>
      <c r="G62" t="s">
        <v>669</v>
      </c>
      <c r="H62" t="s">
        <v>635</v>
      </c>
      <c r="I62" t="s">
        <v>43</v>
      </c>
      <c r="N62">
        <v>1285</v>
      </c>
      <c r="O62">
        <v>0</v>
      </c>
      <c r="P62">
        <v>0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>
        <v>288</v>
      </c>
      <c r="W62" t="s">
        <v>44</v>
      </c>
      <c r="X62" t="s">
        <v>44</v>
      </c>
      <c r="Y62">
        <v>288</v>
      </c>
      <c r="Z62" t="s">
        <v>44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288</v>
      </c>
      <c r="AQ62">
        <f t="shared" si="2"/>
        <v>288</v>
      </c>
      <c r="AR62" s="5">
        <f>VLOOKUP(F62,'[1]Cost Sheet'!$C:$D,2,0)</f>
        <v>60</v>
      </c>
      <c r="AS62" s="5">
        <f t="shared" si="1"/>
        <v>17280</v>
      </c>
    </row>
    <row r="63" spans="1:45" x14ac:dyDescent="0.3">
      <c r="A63" s="1">
        <v>45900.960416666669</v>
      </c>
      <c r="B63" t="s">
        <v>617</v>
      </c>
      <c r="C63" t="s">
        <v>618</v>
      </c>
      <c r="D63" t="s">
        <v>670</v>
      </c>
      <c r="E63" t="s">
        <v>670</v>
      </c>
      <c r="F63" t="s">
        <v>1788</v>
      </c>
      <c r="G63" t="s">
        <v>671</v>
      </c>
      <c r="H63" t="s">
        <v>635</v>
      </c>
      <c r="I63" t="s">
        <v>43</v>
      </c>
      <c r="N63">
        <v>1121</v>
      </c>
      <c r="O63">
        <v>0</v>
      </c>
      <c r="P63">
        <v>0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>
        <v>262</v>
      </c>
      <c r="W63" t="s">
        <v>44</v>
      </c>
      <c r="X63" t="s">
        <v>44</v>
      </c>
      <c r="Y63">
        <v>262</v>
      </c>
      <c r="Z63" t="s">
        <v>44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262</v>
      </c>
      <c r="AQ63">
        <f t="shared" si="2"/>
        <v>262</v>
      </c>
      <c r="AR63" s="5">
        <f>VLOOKUP(F63,'[1]Cost Sheet'!$C:$D,2,0)</f>
        <v>31.31</v>
      </c>
      <c r="AS63" s="5">
        <f t="shared" si="1"/>
        <v>8203.2199999999993</v>
      </c>
    </row>
    <row r="64" spans="1:45" x14ac:dyDescent="0.3">
      <c r="A64" s="1">
        <v>45900.960416666669</v>
      </c>
      <c r="B64" t="s">
        <v>617</v>
      </c>
      <c r="C64" t="s">
        <v>618</v>
      </c>
      <c r="D64" t="s">
        <v>672</v>
      </c>
      <c r="E64" t="s">
        <v>672</v>
      </c>
      <c r="F64" t="s">
        <v>1789</v>
      </c>
      <c r="G64" t="s">
        <v>673</v>
      </c>
      <c r="H64" t="s">
        <v>635</v>
      </c>
      <c r="I64" t="s">
        <v>43</v>
      </c>
      <c r="N64">
        <v>815</v>
      </c>
      <c r="O64">
        <v>0</v>
      </c>
      <c r="P64">
        <v>0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>
        <v>116</v>
      </c>
      <c r="W64" t="s">
        <v>44</v>
      </c>
      <c r="X64" t="s">
        <v>44</v>
      </c>
      <c r="Y64">
        <v>116</v>
      </c>
      <c r="Z64" t="s">
        <v>44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116</v>
      </c>
      <c r="AQ64">
        <f t="shared" si="2"/>
        <v>116</v>
      </c>
      <c r="AR64" s="5">
        <f>VLOOKUP(F64,'[1]Cost Sheet'!$C:$D,2,0)</f>
        <v>26.27</v>
      </c>
      <c r="AS64" s="5">
        <f t="shared" si="1"/>
        <v>3047.32</v>
      </c>
    </row>
    <row r="65" spans="1:45" x14ac:dyDescent="0.3">
      <c r="A65" s="1">
        <v>45900.960416666669</v>
      </c>
      <c r="B65" t="s">
        <v>617</v>
      </c>
      <c r="C65" t="s">
        <v>618</v>
      </c>
      <c r="D65" t="s">
        <v>674</v>
      </c>
      <c r="E65" t="s">
        <v>674</v>
      </c>
      <c r="F65" t="s">
        <v>1790</v>
      </c>
      <c r="G65" t="s">
        <v>675</v>
      </c>
      <c r="H65" t="s">
        <v>635</v>
      </c>
      <c r="I65" t="s">
        <v>43</v>
      </c>
      <c r="N65">
        <v>1415</v>
      </c>
      <c r="O65">
        <v>0</v>
      </c>
      <c r="P65">
        <v>0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>
        <v>342</v>
      </c>
      <c r="W65" t="s">
        <v>44</v>
      </c>
      <c r="X65" t="s">
        <v>44</v>
      </c>
      <c r="Y65">
        <v>342</v>
      </c>
      <c r="Z65" t="s">
        <v>44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342</v>
      </c>
      <c r="AQ65">
        <f t="shared" si="2"/>
        <v>342</v>
      </c>
      <c r="AR65" s="5">
        <f>VLOOKUP(F65,'[1]Cost Sheet'!$C:$D,2,0)</f>
        <v>28.82</v>
      </c>
      <c r="AS65" s="5">
        <f t="shared" si="1"/>
        <v>9856.44</v>
      </c>
    </row>
    <row r="66" spans="1:45" x14ac:dyDescent="0.3">
      <c r="A66" s="1">
        <v>45900.960416666669</v>
      </c>
      <c r="B66" t="s">
        <v>617</v>
      </c>
      <c r="C66" t="s">
        <v>618</v>
      </c>
      <c r="D66" t="s">
        <v>676</v>
      </c>
      <c r="E66" t="s">
        <v>676</v>
      </c>
      <c r="F66" t="s">
        <v>1791</v>
      </c>
      <c r="G66" t="s">
        <v>677</v>
      </c>
      <c r="H66" t="s">
        <v>635</v>
      </c>
      <c r="I66" t="s">
        <v>43</v>
      </c>
      <c r="N66">
        <v>728</v>
      </c>
      <c r="O66">
        <v>0</v>
      </c>
      <c r="P66">
        <v>0</v>
      </c>
      <c r="Q66" t="s">
        <v>44</v>
      </c>
      <c r="R66">
        <v>75</v>
      </c>
      <c r="S66" t="s">
        <v>44</v>
      </c>
      <c r="T66" t="s">
        <v>44</v>
      </c>
      <c r="U66" t="s">
        <v>44</v>
      </c>
      <c r="V66">
        <v>107</v>
      </c>
      <c r="W66" t="s">
        <v>44</v>
      </c>
      <c r="X66" t="s">
        <v>44</v>
      </c>
      <c r="Y66">
        <v>107</v>
      </c>
      <c r="Z66" t="s">
        <v>44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107</v>
      </c>
      <c r="AQ66">
        <f t="shared" si="2"/>
        <v>107</v>
      </c>
      <c r="AR66" s="5">
        <f>VLOOKUP(F66,'[1]Cost Sheet'!$C:$D,2,0)</f>
        <v>79.260000000000005</v>
      </c>
      <c r="AS66" s="5">
        <f t="shared" si="1"/>
        <v>8480.82</v>
      </c>
    </row>
    <row r="67" spans="1:45" x14ac:dyDescent="0.3">
      <c r="A67" s="1">
        <v>45900.960416666669</v>
      </c>
      <c r="B67" t="s">
        <v>617</v>
      </c>
      <c r="C67" t="s">
        <v>618</v>
      </c>
      <c r="D67" t="s">
        <v>678</v>
      </c>
      <c r="E67" t="s">
        <v>678</v>
      </c>
      <c r="F67" t="s">
        <v>1792</v>
      </c>
      <c r="G67" t="s">
        <v>679</v>
      </c>
      <c r="H67" t="s">
        <v>635</v>
      </c>
      <c r="I67" t="s">
        <v>43</v>
      </c>
      <c r="N67">
        <v>559</v>
      </c>
      <c r="O67">
        <v>0</v>
      </c>
      <c r="P67">
        <v>0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>
        <v>112</v>
      </c>
      <c r="W67" t="s">
        <v>44</v>
      </c>
      <c r="X67" t="s">
        <v>44</v>
      </c>
      <c r="Y67">
        <v>112</v>
      </c>
      <c r="Z67" t="s">
        <v>44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112</v>
      </c>
      <c r="AQ67">
        <f t="shared" si="2"/>
        <v>112</v>
      </c>
      <c r="AR67" s="5">
        <f>VLOOKUP(F67,'[1]Cost Sheet'!$C:$D,2,0)</f>
        <v>70.400000000000006</v>
      </c>
      <c r="AS67" s="5">
        <f t="shared" ref="AS67:AS130" si="3">AQ67*AR67</f>
        <v>7884.8000000000011</v>
      </c>
    </row>
    <row r="68" spans="1:45" x14ac:dyDescent="0.3">
      <c r="A68" s="1">
        <v>45900.960416666669</v>
      </c>
      <c r="B68" t="s">
        <v>617</v>
      </c>
      <c r="C68" t="s">
        <v>618</v>
      </c>
      <c r="D68" t="s">
        <v>680</v>
      </c>
      <c r="E68" t="s">
        <v>680</v>
      </c>
      <c r="F68" t="s">
        <v>1793</v>
      </c>
      <c r="G68" t="s">
        <v>681</v>
      </c>
      <c r="H68" t="s">
        <v>635</v>
      </c>
      <c r="I68" t="s">
        <v>43</v>
      </c>
      <c r="N68">
        <v>1025</v>
      </c>
      <c r="O68">
        <v>0</v>
      </c>
      <c r="P68">
        <v>0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>
        <v>111</v>
      </c>
      <c r="W68" t="s">
        <v>44</v>
      </c>
      <c r="X68" t="s">
        <v>44</v>
      </c>
      <c r="Y68">
        <v>111</v>
      </c>
      <c r="Z68" t="s">
        <v>44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111</v>
      </c>
      <c r="AQ68">
        <f t="shared" si="2"/>
        <v>111</v>
      </c>
      <c r="AR68" s="5">
        <f>VLOOKUP(F68,'[1]Cost Sheet'!$C:$D,2,0)</f>
        <v>68.577500000000001</v>
      </c>
      <c r="AS68" s="5">
        <f t="shared" si="3"/>
        <v>7612.1025</v>
      </c>
    </row>
    <row r="69" spans="1:45" x14ac:dyDescent="0.3">
      <c r="A69" s="1">
        <v>45900.960416666669</v>
      </c>
      <c r="B69" t="s">
        <v>617</v>
      </c>
      <c r="C69" t="s">
        <v>618</v>
      </c>
      <c r="D69" t="s">
        <v>682</v>
      </c>
      <c r="E69" t="s">
        <v>682</v>
      </c>
      <c r="F69" t="s">
        <v>1794</v>
      </c>
      <c r="G69" t="s">
        <v>683</v>
      </c>
      <c r="H69" t="s">
        <v>635</v>
      </c>
      <c r="I69" t="s">
        <v>43</v>
      </c>
      <c r="N69">
        <v>688</v>
      </c>
      <c r="O69">
        <v>0</v>
      </c>
      <c r="P69">
        <v>0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>
        <v>145</v>
      </c>
      <c r="W69" t="s">
        <v>44</v>
      </c>
      <c r="X69" t="s">
        <v>44</v>
      </c>
      <c r="Y69">
        <v>145</v>
      </c>
      <c r="Z69" t="s">
        <v>44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145</v>
      </c>
      <c r="AQ69">
        <f t="shared" si="2"/>
        <v>145</v>
      </c>
      <c r="AR69" s="5">
        <f>VLOOKUP(F69,'[1]Cost Sheet'!$C:$D,2,0)</f>
        <v>83.14</v>
      </c>
      <c r="AS69" s="5">
        <f t="shared" si="3"/>
        <v>12055.3</v>
      </c>
    </row>
    <row r="70" spans="1:45" x14ac:dyDescent="0.3">
      <c r="A70" s="1">
        <v>45900.960416666669</v>
      </c>
      <c r="B70" t="s">
        <v>617</v>
      </c>
      <c r="C70" t="s">
        <v>618</v>
      </c>
      <c r="D70" t="s">
        <v>684</v>
      </c>
      <c r="E70" t="s">
        <v>684</v>
      </c>
      <c r="F70" t="s">
        <v>1795</v>
      </c>
      <c r="G70" t="s">
        <v>685</v>
      </c>
      <c r="H70" t="s">
        <v>635</v>
      </c>
      <c r="I70" t="s">
        <v>43</v>
      </c>
      <c r="N70">
        <v>758</v>
      </c>
      <c r="O70">
        <v>0</v>
      </c>
      <c r="P70">
        <v>0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>
        <v>134</v>
      </c>
      <c r="W70" t="s">
        <v>44</v>
      </c>
      <c r="X70" t="s">
        <v>44</v>
      </c>
      <c r="Y70">
        <v>134</v>
      </c>
      <c r="Z70" t="s">
        <v>44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134</v>
      </c>
      <c r="AQ70">
        <f t="shared" si="2"/>
        <v>134</v>
      </c>
      <c r="AR70" s="5">
        <f>VLOOKUP(F70,'[1]Cost Sheet'!$C:$D,2,0)</f>
        <v>83.14</v>
      </c>
      <c r="AS70" s="5">
        <f t="shared" si="3"/>
        <v>11140.76</v>
      </c>
    </row>
    <row r="71" spans="1:45" x14ac:dyDescent="0.3">
      <c r="A71" s="1">
        <v>45900.960416666669</v>
      </c>
      <c r="B71" t="s">
        <v>617</v>
      </c>
      <c r="C71" t="s">
        <v>618</v>
      </c>
      <c r="D71" t="s">
        <v>686</v>
      </c>
      <c r="E71" t="s">
        <v>686</v>
      </c>
      <c r="F71" t="s">
        <v>1796</v>
      </c>
      <c r="G71" t="s">
        <v>687</v>
      </c>
      <c r="H71" t="s">
        <v>635</v>
      </c>
      <c r="I71" t="s">
        <v>43</v>
      </c>
      <c r="N71">
        <v>837</v>
      </c>
      <c r="O71">
        <v>0</v>
      </c>
      <c r="P71">
        <v>0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>
        <v>122</v>
      </c>
      <c r="W71" t="s">
        <v>44</v>
      </c>
      <c r="X71" t="s">
        <v>44</v>
      </c>
      <c r="Y71">
        <v>122</v>
      </c>
      <c r="Z71" t="s">
        <v>44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122</v>
      </c>
      <c r="AQ71">
        <f t="shared" si="2"/>
        <v>122</v>
      </c>
      <c r="AR71" s="5">
        <f>VLOOKUP(F71,'[1]Cost Sheet'!$C:$D,2,0)</f>
        <v>77.84</v>
      </c>
      <c r="AS71" s="5">
        <f t="shared" si="3"/>
        <v>9496.48</v>
      </c>
    </row>
    <row r="72" spans="1:45" x14ac:dyDescent="0.3">
      <c r="A72" s="1">
        <v>45900.960416666669</v>
      </c>
      <c r="B72" t="s">
        <v>617</v>
      </c>
      <c r="C72" t="s">
        <v>618</v>
      </c>
      <c r="D72" t="s">
        <v>688</v>
      </c>
      <c r="E72" t="s">
        <v>688</v>
      </c>
      <c r="F72" t="s">
        <v>1797</v>
      </c>
      <c r="G72" t="s">
        <v>689</v>
      </c>
      <c r="H72" t="s">
        <v>635</v>
      </c>
      <c r="I72" t="s">
        <v>43</v>
      </c>
      <c r="N72">
        <v>675</v>
      </c>
      <c r="O72">
        <v>0</v>
      </c>
      <c r="P72">
        <v>0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>
        <v>118</v>
      </c>
      <c r="W72" t="s">
        <v>44</v>
      </c>
      <c r="X72" t="s">
        <v>44</v>
      </c>
      <c r="Y72">
        <v>118</v>
      </c>
      <c r="Z72" t="s">
        <v>44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118</v>
      </c>
      <c r="AQ72">
        <f t="shared" si="2"/>
        <v>118</v>
      </c>
      <c r="AR72" s="5">
        <f>VLOOKUP(F72,'[1]Cost Sheet'!$C:$D,2,0)</f>
        <v>78.760000000000005</v>
      </c>
      <c r="AS72" s="5">
        <f t="shared" si="3"/>
        <v>9293.68</v>
      </c>
    </row>
    <row r="73" spans="1:45" x14ac:dyDescent="0.3">
      <c r="A73" s="1">
        <v>45900.960416666669</v>
      </c>
      <c r="B73" t="s">
        <v>617</v>
      </c>
      <c r="C73" t="s">
        <v>618</v>
      </c>
      <c r="D73" t="s">
        <v>690</v>
      </c>
      <c r="E73" t="s">
        <v>690</v>
      </c>
      <c r="F73" t="s">
        <v>1798</v>
      </c>
      <c r="G73" t="s">
        <v>691</v>
      </c>
      <c r="H73" t="s">
        <v>635</v>
      </c>
      <c r="I73" t="s">
        <v>43</v>
      </c>
      <c r="N73">
        <v>824</v>
      </c>
      <c r="O73">
        <v>0</v>
      </c>
      <c r="P73">
        <v>0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>
        <v>113</v>
      </c>
      <c r="W73" t="s">
        <v>44</v>
      </c>
      <c r="X73" t="s">
        <v>44</v>
      </c>
      <c r="Y73">
        <v>113</v>
      </c>
      <c r="Z73" t="s">
        <v>44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113</v>
      </c>
      <c r="AQ73">
        <f t="shared" si="2"/>
        <v>113</v>
      </c>
      <c r="AR73" s="5">
        <f>VLOOKUP(F73,'[1]Cost Sheet'!$C:$D,2,0)</f>
        <v>77.84</v>
      </c>
      <c r="AS73" s="5">
        <f t="shared" si="3"/>
        <v>8795.92</v>
      </c>
    </row>
    <row r="74" spans="1:45" x14ac:dyDescent="0.3">
      <c r="A74" s="1">
        <v>45900.960416666669</v>
      </c>
      <c r="B74" t="s">
        <v>617</v>
      </c>
      <c r="C74" t="s">
        <v>618</v>
      </c>
      <c r="D74" t="s">
        <v>692</v>
      </c>
      <c r="E74" t="s">
        <v>692</v>
      </c>
      <c r="F74" t="s">
        <v>1799</v>
      </c>
      <c r="G74" t="s">
        <v>693</v>
      </c>
      <c r="H74" t="s">
        <v>635</v>
      </c>
      <c r="I74" t="s">
        <v>43</v>
      </c>
      <c r="J74">
        <v>120</v>
      </c>
      <c r="K74">
        <v>19</v>
      </c>
      <c r="L74">
        <v>10</v>
      </c>
      <c r="M74">
        <v>11</v>
      </c>
      <c r="N74">
        <v>690</v>
      </c>
      <c r="O74">
        <v>0</v>
      </c>
      <c r="P74">
        <v>0</v>
      </c>
      <c r="Q74" t="s">
        <v>44</v>
      </c>
      <c r="R74">
        <v>129</v>
      </c>
      <c r="S74" t="s">
        <v>44</v>
      </c>
      <c r="T74" t="s">
        <v>44</v>
      </c>
      <c r="U74" t="s">
        <v>44</v>
      </c>
      <c r="V74">
        <v>115</v>
      </c>
      <c r="W74" t="s">
        <v>44</v>
      </c>
      <c r="X74" t="s">
        <v>44</v>
      </c>
      <c r="Y74">
        <v>115</v>
      </c>
      <c r="Z74" t="s">
        <v>44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115</v>
      </c>
      <c r="AQ74">
        <f t="shared" si="2"/>
        <v>115</v>
      </c>
      <c r="AR74" s="5">
        <f>VLOOKUP(F74,'[1]Cost Sheet'!$C:$D,2,0)</f>
        <v>231.99</v>
      </c>
      <c r="AS74" s="5">
        <f t="shared" si="3"/>
        <v>26678.850000000002</v>
      </c>
    </row>
    <row r="75" spans="1:45" x14ac:dyDescent="0.3">
      <c r="A75" s="1">
        <v>45900.960416666669</v>
      </c>
      <c r="B75" t="s">
        <v>617</v>
      </c>
      <c r="C75" t="s">
        <v>618</v>
      </c>
      <c r="D75" t="s">
        <v>694</v>
      </c>
      <c r="E75" t="s">
        <v>694</v>
      </c>
      <c r="F75" t="s">
        <v>1800</v>
      </c>
      <c r="G75" t="s">
        <v>695</v>
      </c>
      <c r="H75" t="s">
        <v>635</v>
      </c>
      <c r="I75" t="s">
        <v>43</v>
      </c>
      <c r="J75">
        <v>15</v>
      </c>
      <c r="K75">
        <v>19</v>
      </c>
      <c r="L75">
        <v>10</v>
      </c>
      <c r="M75">
        <v>11</v>
      </c>
      <c r="N75">
        <v>1563</v>
      </c>
      <c r="O75">
        <v>0</v>
      </c>
      <c r="P75">
        <v>0</v>
      </c>
      <c r="Q75" t="s">
        <v>44</v>
      </c>
      <c r="R75">
        <v>228</v>
      </c>
      <c r="S75" t="s">
        <v>44</v>
      </c>
      <c r="T75" t="s">
        <v>44</v>
      </c>
      <c r="U75" t="s">
        <v>44</v>
      </c>
      <c r="V75">
        <v>311</v>
      </c>
      <c r="W75" t="s">
        <v>44</v>
      </c>
      <c r="X75" t="s">
        <v>44</v>
      </c>
      <c r="Y75">
        <v>311</v>
      </c>
      <c r="Z75" t="s">
        <v>44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311</v>
      </c>
      <c r="AQ75">
        <f t="shared" si="2"/>
        <v>311</v>
      </c>
      <c r="AR75" s="5">
        <f>VLOOKUP(F75,'[1]Cost Sheet'!$C:$D,2,0)</f>
        <v>28.199999999999996</v>
      </c>
      <c r="AS75" s="5">
        <f t="shared" si="3"/>
        <v>8770.1999999999989</v>
      </c>
    </row>
    <row r="76" spans="1:45" x14ac:dyDescent="0.3">
      <c r="A76" s="1">
        <v>45900.960416666669</v>
      </c>
      <c r="B76" t="s">
        <v>617</v>
      </c>
      <c r="C76" t="s">
        <v>618</v>
      </c>
      <c r="D76" t="s">
        <v>696</v>
      </c>
      <c r="E76" t="s">
        <v>696</v>
      </c>
      <c r="F76" t="s">
        <v>1801</v>
      </c>
      <c r="G76" t="s">
        <v>697</v>
      </c>
      <c r="H76" t="s">
        <v>635</v>
      </c>
      <c r="I76" t="s">
        <v>43</v>
      </c>
      <c r="J76">
        <v>15</v>
      </c>
      <c r="K76">
        <v>19</v>
      </c>
      <c r="L76">
        <v>10</v>
      </c>
      <c r="M76">
        <v>11</v>
      </c>
      <c r="N76">
        <v>1367</v>
      </c>
      <c r="O76">
        <v>0</v>
      </c>
      <c r="P76">
        <v>0</v>
      </c>
      <c r="Q76" t="s">
        <v>44</v>
      </c>
      <c r="R76">
        <v>238</v>
      </c>
      <c r="S76" t="s">
        <v>44</v>
      </c>
      <c r="T76" t="s">
        <v>44</v>
      </c>
      <c r="U76" t="s">
        <v>44</v>
      </c>
      <c r="V76">
        <v>301</v>
      </c>
      <c r="W76" t="s">
        <v>44</v>
      </c>
      <c r="X76" t="s">
        <v>44</v>
      </c>
      <c r="Y76">
        <v>301</v>
      </c>
      <c r="Z76" t="s">
        <v>44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301</v>
      </c>
      <c r="AQ76">
        <f t="shared" ref="AQ76:AQ139" si="4">O76+P76+V76+AA76</f>
        <v>301</v>
      </c>
      <c r="AR76" s="5">
        <f>VLOOKUP(F76,'[1]Cost Sheet'!$C:$D,2,0)</f>
        <v>29.02</v>
      </c>
      <c r="AS76" s="5">
        <f t="shared" si="3"/>
        <v>8735.02</v>
      </c>
    </row>
    <row r="77" spans="1:45" x14ac:dyDescent="0.3">
      <c r="A77" s="1">
        <v>45900.960416666669</v>
      </c>
      <c r="B77" t="s">
        <v>617</v>
      </c>
      <c r="C77" t="s">
        <v>618</v>
      </c>
      <c r="D77" t="s">
        <v>698</v>
      </c>
      <c r="E77" t="s">
        <v>698</v>
      </c>
      <c r="F77" t="s">
        <v>1802</v>
      </c>
      <c r="G77" t="s">
        <v>699</v>
      </c>
      <c r="H77" t="s">
        <v>635</v>
      </c>
      <c r="I77" t="s">
        <v>43</v>
      </c>
      <c r="J77">
        <v>15</v>
      </c>
      <c r="K77">
        <v>19</v>
      </c>
      <c r="L77">
        <v>10</v>
      </c>
      <c r="M77">
        <v>11</v>
      </c>
      <c r="N77">
        <v>955</v>
      </c>
      <c r="O77">
        <v>0</v>
      </c>
      <c r="P77">
        <v>0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>
        <v>227</v>
      </c>
      <c r="W77" t="s">
        <v>44</v>
      </c>
      <c r="X77" t="s">
        <v>44</v>
      </c>
      <c r="Y77">
        <v>227</v>
      </c>
      <c r="Z77" t="s">
        <v>44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227</v>
      </c>
      <c r="AQ77">
        <f t="shared" si="4"/>
        <v>227</v>
      </c>
      <c r="AR77" s="5">
        <f>VLOOKUP(F77,'[1]Cost Sheet'!$C:$D,2,0)</f>
        <v>34.455294117647057</v>
      </c>
      <c r="AS77" s="5">
        <f t="shared" si="3"/>
        <v>7821.3517647058816</v>
      </c>
    </row>
    <row r="78" spans="1:45" x14ac:dyDescent="0.3">
      <c r="A78" s="1">
        <v>45900.960416666669</v>
      </c>
      <c r="B78" t="s">
        <v>617</v>
      </c>
      <c r="C78" t="s">
        <v>618</v>
      </c>
      <c r="D78" t="s">
        <v>597</v>
      </c>
      <c r="F78" t="s">
        <v>1752</v>
      </c>
      <c r="G78" t="s">
        <v>598</v>
      </c>
      <c r="H78" t="s">
        <v>130</v>
      </c>
      <c r="I78" t="s">
        <v>43</v>
      </c>
      <c r="J78">
        <v>40</v>
      </c>
      <c r="K78">
        <v>19</v>
      </c>
      <c r="L78">
        <v>10</v>
      </c>
      <c r="M78">
        <v>11</v>
      </c>
      <c r="N78">
        <v>13978</v>
      </c>
      <c r="O78">
        <v>42</v>
      </c>
      <c r="P78">
        <v>0</v>
      </c>
      <c r="Q78">
        <v>7</v>
      </c>
      <c r="R78">
        <v>3</v>
      </c>
      <c r="S78" t="s">
        <v>44</v>
      </c>
      <c r="T78" t="s">
        <v>44</v>
      </c>
      <c r="U78" t="s">
        <v>44</v>
      </c>
      <c r="V78">
        <v>759</v>
      </c>
      <c r="W78">
        <v>38</v>
      </c>
      <c r="X78" t="s">
        <v>44</v>
      </c>
      <c r="Y78">
        <v>759</v>
      </c>
      <c r="Z78" t="s">
        <v>44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802</v>
      </c>
      <c r="AQ78">
        <f t="shared" si="4"/>
        <v>802</v>
      </c>
      <c r="AR78" s="5">
        <f>VLOOKUP(F78,'[2]SCP_24-25'!$A:$D,4,0)</f>
        <v>98.3</v>
      </c>
      <c r="AS78" s="5">
        <f t="shared" si="3"/>
        <v>78836.599999999991</v>
      </c>
    </row>
    <row r="79" spans="1:45" x14ac:dyDescent="0.3">
      <c r="A79" s="1">
        <v>45900.960416666669</v>
      </c>
      <c r="B79" t="s">
        <v>617</v>
      </c>
      <c r="C79" t="s">
        <v>618</v>
      </c>
      <c r="D79" t="s">
        <v>574</v>
      </c>
      <c r="F79" t="s">
        <v>1741</v>
      </c>
      <c r="G79" t="s">
        <v>575</v>
      </c>
      <c r="H79" t="s">
        <v>130</v>
      </c>
      <c r="I79" t="s">
        <v>43</v>
      </c>
      <c r="J79">
        <v>40.020000000000003</v>
      </c>
      <c r="K79">
        <v>19</v>
      </c>
      <c r="L79">
        <v>10</v>
      </c>
      <c r="M79">
        <v>11</v>
      </c>
      <c r="N79">
        <v>22965</v>
      </c>
      <c r="O79">
        <v>115</v>
      </c>
      <c r="P79">
        <v>0</v>
      </c>
      <c r="Q79">
        <v>9</v>
      </c>
      <c r="R79">
        <v>8</v>
      </c>
      <c r="S79" t="s">
        <v>44</v>
      </c>
      <c r="T79" t="s">
        <v>44</v>
      </c>
      <c r="U79" t="s">
        <v>44</v>
      </c>
      <c r="V79">
        <v>180</v>
      </c>
      <c r="W79">
        <v>6</v>
      </c>
      <c r="X79" t="s">
        <v>44</v>
      </c>
      <c r="Y79">
        <v>180</v>
      </c>
      <c r="Z79" t="s">
        <v>44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6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297</v>
      </c>
      <c r="AQ79">
        <f t="shared" si="4"/>
        <v>297</v>
      </c>
      <c r="AR79" s="5">
        <f>VLOOKUP(F79,'[2]SCP_24-25'!$A:$D,4,0)</f>
        <v>98.3</v>
      </c>
      <c r="AS79" s="5">
        <f t="shared" si="3"/>
        <v>29195.1</v>
      </c>
    </row>
    <row r="80" spans="1:45" x14ac:dyDescent="0.3">
      <c r="A80" s="1">
        <v>45900.960416666669</v>
      </c>
      <c r="B80" t="s">
        <v>617</v>
      </c>
      <c r="C80" t="s">
        <v>618</v>
      </c>
      <c r="D80" t="s">
        <v>607</v>
      </c>
      <c r="F80" t="s">
        <v>1757</v>
      </c>
      <c r="G80" t="s">
        <v>608</v>
      </c>
      <c r="H80" t="s">
        <v>130</v>
      </c>
      <c r="I80" t="s">
        <v>43</v>
      </c>
      <c r="J80">
        <v>40.020000000000003</v>
      </c>
      <c r="K80">
        <v>19</v>
      </c>
      <c r="L80">
        <v>10</v>
      </c>
      <c r="M80">
        <v>11</v>
      </c>
      <c r="N80">
        <v>12528</v>
      </c>
      <c r="O80">
        <v>61</v>
      </c>
      <c r="P80">
        <v>0</v>
      </c>
      <c r="Q80">
        <v>4</v>
      </c>
      <c r="R80">
        <v>7</v>
      </c>
      <c r="S80" t="s">
        <v>44</v>
      </c>
      <c r="T80" t="s">
        <v>44</v>
      </c>
      <c r="U80" t="s">
        <v>44</v>
      </c>
      <c r="V80">
        <v>305</v>
      </c>
      <c r="W80">
        <v>7</v>
      </c>
      <c r="X80" t="s">
        <v>44</v>
      </c>
      <c r="Y80">
        <v>305</v>
      </c>
      <c r="Z80" t="s">
        <v>44</v>
      </c>
      <c r="AA80">
        <v>7</v>
      </c>
      <c r="AB80">
        <v>0</v>
      </c>
      <c r="AC80">
        <v>0</v>
      </c>
      <c r="AD80">
        <v>0</v>
      </c>
      <c r="AE80">
        <v>0</v>
      </c>
      <c r="AF80">
        <v>5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373</v>
      </c>
      <c r="AQ80">
        <f t="shared" si="4"/>
        <v>373</v>
      </c>
      <c r="AR80" s="5">
        <f>VLOOKUP(F80,'[2]SCP_24-25'!$A:$D,4,0)</f>
        <v>98.3</v>
      </c>
      <c r="AS80" s="5">
        <f t="shared" si="3"/>
        <v>36665.9</v>
      </c>
    </row>
    <row r="81" spans="1:45" x14ac:dyDescent="0.3">
      <c r="A81" s="1">
        <v>45900.960416666669</v>
      </c>
      <c r="B81" t="s">
        <v>617</v>
      </c>
      <c r="C81" t="s">
        <v>618</v>
      </c>
      <c r="D81" t="s">
        <v>493</v>
      </c>
      <c r="F81" t="s">
        <v>1701</v>
      </c>
      <c r="G81" t="s">
        <v>494</v>
      </c>
      <c r="H81" t="s">
        <v>130</v>
      </c>
      <c r="I81" t="s">
        <v>43</v>
      </c>
      <c r="J81">
        <v>40.020000000000003</v>
      </c>
      <c r="K81">
        <v>19</v>
      </c>
      <c r="L81">
        <v>10</v>
      </c>
      <c r="M81">
        <v>11</v>
      </c>
      <c r="N81">
        <v>13488</v>
      </c>
      <c r="O81">
        <v>35</v>
      </c>
      <c r="P81">
        <v>0</v>
      </c>
      <c r="Q81">
        <v>10</v>
      </c>
      <c r="R81">
        <v>6</v>
      </c>
      <c r="S81" t="s">
        <v>44</v>
      </c>
      <c r="T81" t="s">
        <v>44</v>
      </c>
      <c r="U81" t="s">
        <v>44</v>
      </c>
      <c r="V81">
        <v>896</v>
      </c>
      <c r="W81">
        <v>1</v>
      </c>
      <c r="X81" t="s">
        <v>44</v>
      </c>
      <c r="Y81">
        <v>896</v>
      </c>
      <c r="Z81" t="s">
        <v>44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932</v>
      </c>
      <c r="AQ81">
        <f t="shared" si="4"/>
        <v>932</v>
      </c>
      <c r="AR81" s="5">
        <f>VLOOKUP(F81,'[2]SCP_24-25'!$A:$D,4,0)</f>
        <v>98.3</v>
      </c>
      <c r="AS81" s="5">
        <f t="shared" si="3"/>
        <v>91615.599999999991</v>
      </c>
    </row>
    <row r="82" spans="1:45" x14ac:dyDescent="0.3">
      <c r="A82" s="1">
        <v>45900.960416666669</v>
      </c>
      <c r="B82" t="s">
        <v>617</v>
      </c>
      <c r="C82" t="s">
        <v>618</v>
      </c>
      <c r="D82" t="s">
        <v>457</v>
      </c>
      <c r="F82" t="s">
        <v>1683</v>
      </c>
      <c r="G82" t="s">
        <v>458</v>
      </c>
      <c r="H82" t="s">
        <v>130</v>
      </c>
      <c r="I82" t="s">
        <v>43</v>
      </c>
      <c r="J82">
        <v>40.020000000000003</v>
      </c>
      <c r="K82">
        <v>19</v>
      </c>
      <c r="L82">
        <v>10</v>
      </c>
      <c r="M82">
        <v>11</v>
      </c>
      <c r="N82">
        <v>10856</v>
      </c>
      <c r="O82">
        <v>36</v>
      </c>
      <c r="P82">
        <v>0</v>
      </c>
      <c r="Q82">
        <v>4</v>
      </c>
      <c r="R82">
        <v>3</v>
      </c>
      <c r="S82" t="s">
        <v>44</v>
      </c>
      <c r="T82" t="s">
        <v>44</v>
      </c>
      <c r="U82" t="s">
        <v>44</v>
      </c>
      <c r="V82">
        <v>525</v>
      </c>
      <c r="W82">
        <v>2</v>
      </c>
      <c r="X82" t="s">
        <v>44</v>
      </c>
      <c r="Y82">
        <v>525</v>
      </c>
      <c r="Z82" t="s">
        <v>44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4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564</v>
      </c>
      <c r="AQ82">
        <f t="shared" si="4"/>
        <v>564</v>
      </c>
      <c r="AR82" s="5">
        <f>VLOOKUP(F82,'[2]SCP_24-25'!$A:$D,4,0)</f>
        <v>98.299999999999983</v>
      </c>
      <c r="AS82" s="5">
        <f t="shared" si="3"/>
        <v>55441.19999999999</v>
      </c>
    </row>
    <row r="83" spans="1:45" x14ac:dyDescent="0.3">
      <c r="A83" s="1">
        <v>45900.960416666669</v>
      </c>
      <c r="B83" t="s">
        <v>617</v>
      </c>
      <c r="C83" t="s">
        <v>618</v>
      </c>
      <c r="D83" t="s">
        <v>576</v>
      </c>
      <c r="F83" t="s">
        <v>1742</v>
      </c>
      <c r="G83" t="s">
        <v>577</v>
      </c>
      <c r="H83" t="s">
        <v>130</v>
      </c>
      <c r="I83" t="s">
        <v>43</v>
      </c>
      <c r="J83">
        <v>40.020000000000003</v>
      </c>
      <c r="K83">
        <v>19</v>
      </c>
      <c r="L83">
        <v>10</v>
      </c>
      <c r="M83">
        <v>11</v>
      </c>
      <c r="N83">
        <v>12118</v>
      </c>
      <c r="O83">
        <v>49</v>
      </c>
      <c r="P83">
        <v>0</v>
      </c>
      <c r="Q83">
        <v>3</v>
      </c>
      <c r="R83">
        <v>6</v>
      </c>
      <c r="S83" t="s">
        <v>44</v>
      </c>
      <c r="T83" t="s">
        <v>44</v>
      </c>
      <c r="U83" t="s">
        <v>44</v>
      </c>
      <c r="V83">
        <v>431</v>
      </c>
      <c r="W83">
        <v>5</v>
      </c>
      <c r="X83" t="s">
        <v>44</v>
      </c>
      <c r="Y83">
        <v>431</v>
      </c>
      <c r="Z83" t="s">
        <v>44</v>
      </c>
      <c r="AA83">
        <v>11</v>
      </c>
      <c r="AB83">
        <v>0</v>
      </c>
      <c r="AC83">
        <v>0</v>
      </c>
      <c r="AD83">
        <v>0</v>
      </c>
      <c r="AE83">
        <v>0</v>
      </c>
      <c r="AF83">
        <v>6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491</v>
      </c>
      <c r="AQ83">
        <f t="shared" si="4"/>
        <v>491</v>
      </c>
      <c r="AR83" s="5">
        <f>VLOOKUP(F83,'[2]SCP_24-25'!$A:$D,4,0)</f>
        <v>98.3</v>
      </c>
      <c r="AS83" s="5">
        <f t="shared" si="3"/>
        <v>48265.299999999996</v>
      </c>
    </row>
    <row r="84" spans="1:45" x14ac:dyDescent="0.3">
      <c r="A84" s="1">
        <v>45900.960416666669</v>
      </c>
      <c r="B84" t="s">
        <v>617</v>
      </c>
      <c r="C84" t="s">
        <v>618</v>
      </c>
      <c r="D84" t="s">
        <v>538</v>
      </c>
      <c r="F84" t="s">
        <v>1723</v>
      </c>
      <c r="G84" t="s">
        <v>539</v>
      </c>
      <c r="H84" t="s">
        <v>130</v>
      </c>
      <c r="I84" t="s">
        <v>43</v>
      </c>
      <c r="J84">
        <v>40.020000000000003</v>
      </c>
      <c r="K84">
        <v>19</v>
      </c>
      <c r="L84">
        <v>10</v>
      </c>
      <c r="M84">
        <v>11</v>
      </c>
      <c r="N84">
        <v>16427</v>
      </c>
      <c r="O84">
        <v>88</v>
      </c>
      <c r="P84">
        <v>0</v>
      </c>
      <c r="Q84">
        <v>7</v>
      </c>
      <c r="R84">
        <v>6</v>
      </c>
      <c r="S84" t="s">
        <v>44</v>
      </c>
      <c r="T84" t="s">
        <v>44</v>
      </c>
      <c r="U84" t="s">
        <v>44</v>
      </c>
      <c r="V84">
        <v>881</v>
      </c>
      <c r="W84">
        <v>2</v>
      </c>
      <c r="X84" t="s">
        <v>44</v>
      </c>
      <c r="Y84">
        <v>881</v>
      </c>
      <c r="Z84" t="s">
        <v>44</v>
      </c>
      <c r="AA84">
        <v>4</v>
      </c>
      <c r="AB84">
        <v>0</v>
      </c>
      <c r="AC84">
        <v>0</v>
      </c>
      <c r="AD84">
        <v>0</v>
      </c>
      <c r="AE84">
        <v>0</v>
      </c>
      <c r="AF84">
        <v>6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973</v>
      </c>
      <c r="AQ84">
        <f t="shared" si="4"/>
        <v>973</v>
      </c>
      <c r="AR84" s="5">
        <f>VLOOKUP(F84,'[2]SCP_24-25'!$A:$D,4,0)</f>
        <v>98.3</v>
      </c>
      <c r="AS84" s="5">
        <f t="shared" si="3"/>
        <v>95645.9</v>
      </c>
    </row>
    <row r="85" spans="1:45" x14ac:dyDescent="0.3">
      <c r="A85" s="1">
        <v>45900.960416666669</v>
      </c>
      <c r="B85" t="s">
        <v>617</v>
      </c>
      <c r="C85" t="s">
        <v>618</v>
      </c>
      <c r="D85" t="s">
        <v>540</v>
      </c>
      <c r="F85" t="s">
        <v>1724</v>
      </c>
      <c r="G85" t="s">
        <v>541</v>
      </c>
      <c r="H85" t="s">
        <v>130</v>
      </c>
      <c r="I85" t="s">
        <v>43</v>
      </c>
      <c r="J85">
        <v>53</v>
      </c>
      <c r="K85">
        <v>19</v>
      </c>
      <c r="L85">
        <v>10</v>
      </c>
      <c r="M85">
        <v>11</v>
      </c>
      <c r="N85">
        <v>7667</v>
      </c>
      <c r="O85">
        <v>1</v>
      </c>
      <c r="P85">
        <v>0</v>
      </c>
      <c r="Q85">
        <v>10</v>
      </c>
      <c r="R85" t="s">
        <v>44</v>
      </c>
      <c r="S85" t="s">
        <v>44</v>
      </c>
      <c r="T85" t="s">
        <v>44</v>
      </c>
      <c r="U85" t="s">
        <v>44</v>
      </c>
      <c r="V85">
        <v>679</v>
      </c>
      <c r="W85">
        <v>28</v>
      </c>
      <c r="X85" t="s">
        <v>44</v>
      </c>
      <c r="Y85">
        <v>679</v>
      </c>
      <c r="Z85" t="s">
        <v>44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680</v>
      </c>
      <c r="AQ85">
        <f t="shared" si="4"/>
        <v>680</v>
      </c>
      <c r="AR85" s="5">
        <f>VLOOKUP(F85,'[2]SCP_24-25'!$A:$D,4,0)</f>
        <v>51.74</v>
      </c>
      <c r="AS85" s="5">
        <f t="shared" si="3"/>
        <v>35183.200000000004</v>
      </c>
    </row>
    <row r="86" spans="1:45" x14ac:dyDescent="0.3">
      <c r="A86" s="1">
        <v>45900.960416666669</v>
      </c>
      <c r="B86" t="s">
        <v>617</v>
      </c>
      <c r="C86" t="s">
        <v>618</v>
      </c>
      <c r="D86" t="s">
        <v>700</v>
      </c>
      <c r="F86" t="s">
        <v>1803</v>
      </c>
      <c r="G86" t="s">
        <v>701</v>
      </c>
      <c r="H86" t="s">
        <v>120</v>
      </c>
      <c r="I86" t="s">
        <v>43</v>
      </c>
      <c r="J86">
        <v>50</v>
      </c>
      <c r="K86">
        <v>19</v>
      </c>
      <c r="L86">
        <v>11</v>
      </c>
      <c r="M86">
        <v>10</v>
      </c>
      <c r="N86">
        <v>6383</v>
      </c>
      <c r="O86">
        <v>534</v>
      </c>
      <c r="P86">
        <v>0</v>
      </c>
      <c r="Q86" t="s">
        <v>44</v>
      </c>
      <c r="R86">
        <v>5</v>
      </c>
      <c r="S86" t="s">
        <v>44</v>
      </c>
      <c r="T86" t="s">
        <v>44</v>
      </c>
      <c r="U86" t="s">
        <v>44</v>
      </c>
      <c r="V86">
        <v>328</v>
      </c>
      <c r="W86" t="s">
        <v>44</v>
      </c>
      <c r="X86" t="s">
        <v>44</v>
      </c>
      <c r="Y86">
        <v>328</v>
      </c>
      <c r="Z86" t="s">
        <v>44</v>
      </c>
      <c r="AA86">
        <v>4</v>
      </c>
      <c r="AB86">
        <v>0</v>
      </c>
      <c r="AC86">
        <v>0</v>
      </c>
      <c r="AD86">
        <v>0</v>
      </c>
      <c r="AE86">
        <v>0</v>
      </c>
      <c r="AF86">
        <v>7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866</v>
      </c>
      <c r="AQ86">
        <f t="shared" si="4"/>
        <v>866</v>
      </c>
      <c r="AR86" s="5">
        <f>VLOOKUP(F86,'[2]SCP_24-25'!$A:$D,4,0)</f>
        <v>30</v>
      </c>
      <c r="AS86" s="5">
        <f t="shared" si="3"/>
        <v>25980</v>
      </c>
    </row>
    <row r="87" spans="1:45" x14ac:dyDescent="0.3">
      <c r="A87" s="1">
        <v>45900.960416666669</v>
      </c>
      <c r="B87" t="s">
        <v>617</v>
      </c>
      <c r="C87" t="s">
        <v>618</v>
      </c>
      <c r="D87" t="s">
        <v>702</v>
      </c>
      <c r="E87" t="s">
        <v>702</v>
      </c>
      <c r="F87" t="s">
        <v>1804</v>
      </c>
      <c r="G87" t="s">
        <v>703</v>
      </c>
      <c r="H87" t="s">
        <v>635</v>
      </c>
      <c r="I87" t="s">
        <v>43</v>
      </c>
      <c r="J87">
        <v>100</v>
      </c>
      <c r="K87">
        <v>19</v>
      </c>
      <c r="L87">
        <v>10</v>
      </c>
      <c r="M87">
        <v>11</v>
      </c>
      <c r="N87">
        <v>734</v>
      </c>
      <c r="O87">
        <v>0</v>
      </c>
      <c r="P87">
        <v>0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>
        <v>202</v>
      </c>
      <c r="W87" t="s">
        <v>44</v>
      </c>
      <c r="X87" t="s">
        <v>44</v>
      </c>
      <c r="Y87">
        <v>202</v>
      </c>
      <c r="Z87" t="s">
        <v>44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202</v>
      </c>
      <c r="AQ87">
        <f t="shared" si="4"/>
        <v>202</v>
      </c>
      <c r="AR87" s="5">
        <f>VLOOKUP(F87,'[1]Cost Sheet'!$C:$D,2,0)</f>
        <v>120.58</v>
      </c>
      <c r="AS87" s="5">
        <f t="shared" si="3"/>
        <v>24357.16</v>
      </c>
    </row>
    <row r="88" spans="1:45" x14ac:dyDescent="0.3">
      <c r="A88" s="1">
        <v>45900.960416666669</v>
      </c>
      <c r="B88" t="s">
        <v>617</v>
      </c>
      <c r="C88" t="s">
        <v>618</v>
      </c>
      <c r="D88" t="s">
        <v>704</v>
      </c>
      <c r="E88" t="s">
        <v>704</v>
      </c>
      <c r="F88" t="s">
        <v>1805</v>
      </c>
      <c r="G88" t="s">
        <v>705</v>
      </c>
      <c r="H88" t="s">
        <v>635</v>
      </c>
      <c r="I88" t="s">
        <v>43</v>
      </c>
      <c r="J88">
        <v>100</v>
      </c>
      <c r="K88">
        <v>19</v>
      </c>
      <c r="L88">
        <v>10</v>
      </c>
      <c r="M88">
        <v>11</v>
      </c>
      <c r="N88">
        <v>1259</v>
      </c>
      <c r="O88">
        <v>0</v>
      </c>
      <c r="P88">
        <v>0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>
        <v>140</v>
      </c>
      <c r="W88" t="s">
        <v>44</v>
      </c>
      <c r="X88" t="s">
        <v>44</v>
      </c>
      <c r="Y88">
        <v>140</v>
      </c>
      <c r="Z88" t="s">
        <v>44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140</v>
      </c>
      <c r="AQ88">
        <f t="shared" si="4"/>
        <v>140</v>
      </c>
      <c r="AR88" s="5">
        <f>VLOOKUP(F88,'[1]Cost Sheet'!$C:$D,2,0)</f>
        <v>79.066666666666677</v>
      </c>
      <c r="AS88" s="5">
        <f t="shared" si="3"/>
        <v>11069.333333333334</v>
      </c>
    </row>
    <row r="89" spans="1:45" x14ac:dyDescent="0.3">
      <c r="A89" s="1">
        <v>45900.960416666669</v>
      </c>
      <c r="B89" t="s">
        <v>617</v>
      </c>
      <c r="C89" t="s">
        <v>618</v>
      </c>
      <c r="D89" t="s">
        <v>706</v>
      </c>
      <c r="E89" t="s">
        <v>706</v>
      </c>
      <c r="F89" t="s">
        <v>1806</v>
      </c>
      <c r="G89" t="s">
        <v>707</v>
      </c>
      <c r="H89" t="s">
        <v>635</v>
      </c>
      <c r="I89" t="s">
        <v>43</v>
      </c>
      <c r="J89">
        <v>100</v>
      </c>
      <c r="K89">
        <v>19</v>
      </c>
      <c r="L89">
        <v>10</v>
      </c>
      <c r="M89">
        <v>11</v>
      </c>
      <c r="N89">
        <v>1322</v>
      </c>
      <c r="O89">
        <v>0</v>
      </c>
      <c r="P89">
        <v>0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>
        <v>127</v>
      </c>
      <c r="W89" t="s">
        <v>44</v>
      </c>
      <c r="X89" t="s">
        <v>44</v>
      </c>
      <c r="Y89">
        <v>127</v>
      </c>
      <c r="Z89" t="s">
        <v>44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127</v>
      </c>
      <c r="AQ89">
        <f t="shared" si="4"/>
        <v>127</v>
      </c>
      <c r="AR89" s="5">
        <f>VLOOKUP(F89,'[1]Cost Sheet'!$C:$D,2,0)</f>
        <v>79.680000000000007</v>
      </c>
      <c r="AS89" s="5">
        <f t="shared" si="3"/>
        <v>10119.36</v>
      </c>
    </row>
    <row r="90" spans="1:45" x14ac:dyDescent="0.3">
      <c r="A90" s="1">
        <v>45900.960416666669</v>
      </c>
      <c r="B90" t="s">
        <v>617</v>
      </c>
      <c r="C90" t="s">
        <v>618</v>
      </c>
      <c r="D90" t="s">
        <v>708</v>
      </c>
      <c r="E90" t="s">
        <v>708</v>
      </c>
      <c r="F90" t="s">
        <v>1807</v>
      </c>
      <c r="G90" t="s">
        <v>709</v>
      </c>
      <c r="H90" t="s">
        <v>635</v>
      </c>
      <c r="I90" t="s">
        <v>43</v>
      </c>
      <c r="J90">
        <v>100</v>
      </c>
      <c r="K90">
        <v>19</v>
      </c>
      <c r="L90">
        <v>10</v>
      </c>
      <c r="M90">
        <v>11</v>
      </c>
      <c r="N90">
        <v>1752</v>
      </c>
      <c r="O90">
        <v>0</v>
      </c>
      <c r="P90">
        <v>0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>
        <v>349</v>
      </c>
      <c r="W90" t="s">
        <v>44</v>
      </c>
      <c r="X90" t="s">
        <v>44</v>
      </c>
      <c r="Y90">
        <v>349</v>
      </c>
      <c r="Z90" t="s">
        <v>44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349</v>
      </c>
      <c r="AQ90">
        <f t="shared" si="4"/>
        <v>349</v>
      </c>
      <c r="AR90" s="5">
        <f>VLOOKUP(F90,'[1]Cost Sheet'!$C:$D,2,0)</f>
        <v>79.680000000000007</v>
      </c>
      <c r="AS90" s="5">
        <f t="shared" si="3"/>
        <v>27808.320000000003</v>
      </c>
    </row>
    <row r="91" spans="1:45" x14ac:dyDescent="0.3">
      <c r="A91" s="1">
        <v>45900.960416666669</v>
      </c>
      <c r="B91" t="s">
        <v>617</v>
      </c>
      <c r="C91" t="s">
        <v>618</v>
      </c>
      <c r="D91" t="s">
        <v>710</v>
      </c>
      <c r="E91" t="s">
        <v>710</v>
      </c>
      <c r="F91" t="s">
        <v>1808</v>
      </c>
      <c r="G91" t="s">
        <v>711</v>
      </c>
      <c r="H91" t="s">
        <v>635</v>
      </c>
      <c r="I91" t="s">
        <v>43</v>
      </c>
      <c r="J91">
        <v>100</v>
      </c>
      <c r="K91">
        <v>19</v>
      </c>
      <c r="L91">
        <v>10</v>
      </c>
      <c r="M91">
        <v>11</v>
      </c>
      <c r="N91">
        <v>1139</v>
      </c>
      <c r="O91">
        <v>0</v>
      </c>
      <c r="P91">
        <v>0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>
        <v>113</v>
      </c>
      <c r="W91" t="s">
        <v>44</v>
      </c>
      <c r="X91" t="s">
        <v>44</v>
      </c>
      <c r="Y91">
        <v>113</v>
      </c>
      <c r="Z91" t="s">
        <v>44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113</v>
      </c>
      <c r="AQ91">
        <f t="shared" si="4"/>
        <v>113</v>
      </c>
      <c r="AR91" s="5">
        <f>VLOOKUP(F91,'[1]Cost Sheet'!$C:$D,2,0)</f>
        <v>79.680000000000007</v>
      </c>
      <c r="AS91" s="5">
        <f t="shared" si="3"/>
        <v>9003.84</v>
      </c>
    </row>
    <row r="92" spans="1:45" x14ac:dyDescent="0.3">
      <c r="A92" s="1">
        <v>45900.960416666669</v>
      </c>
      <c r="B92" t="s">
        <v>617</v>
      </c>
      <c r="C92" t="s">
        <v>618</v>
      </c>
      <c r="D92" t="s">
        <v>712</v>
      </c>
      <c r="E92" t="s">
        <v>712</v>
      </c>
      <c r="F92" t="s">
        <v>1809</v>
      </c>
      <c r="G92" t="s">
        <v>713</v>
      </c>
      <c r="H92" t="s">
        <v>635</v>
      </c>
      <c r="I92" t="s">
        <v>43</v>
      </c>
      <c r="J92">
        <v>100</v>
      </c>
      <c r="K92">
        <v>19</v>
      </c>
      <c r="L92">
        <v>10</v>
      </c>
      <c r="M92">
        <v>11</v>
      </c>
      <c r="N92">
        <v>1150</v>
      </c>
      <c r="O92">
        <v>0</v>
      </c>
      <c r="P92">
        <v>0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>
        <v>108</v>
      </c>
      <c r="W92" t="s">
        <v>44</v>
      </c>
      <c r="X92" t="s">
        <v>44</v>
      </c>
      <c r="Y92">
        <v>108</v>
      </c>
      <c r="Z92" t="s">
        <v>44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108</v>
      </c>
      <c r="AQ92">
        <f t="shared" si="4"/>
        <v>108</v>
      </c>
      <c r="AR92" s="5">
        <f>VLOOKUP(F92,'[1]Cost Sheet'!$C:$D,2,0)</f>
        <v>79.680000000000007</v>
      </c>
      <c r="AS92" s="5">
        <f t="shared" si="3"/>
        <v>8605.44</v>
      </c>
    </row>
    <row r="93" spans="1:45" x14ac:dyDescent="0.3">
      <c r="A93" s="1">
        <v>45900.960416666669</v>
      </c>
      <c r="B93" t="s">
        <v>617</v>
      </c>
      <c r="C93" t="s">
        <v>618</v>
      </c>
      <c r="D93" t="s">
        <v>714</v>
      </c>
      <c r="E93" t="s">
        <v>714</v>
      </c>
      <c r="F93" t="s">
        <v>1810</v>
      </c>
      <c r="G93" t="s">
        <v>715</v>
      </c>
      <c r="H93" t="s">
        <v>635</v>
      </c>
      <c r="I93" t="s">
        <v>43</v>
      </c>
      <c r="J93">
        <v>100</v>
      </c>
      <c r="K93">
        <v>19</v>
      </c>
      <c r="L93">
        <v>10</v>
      </c>
      <c r="M93">
        <v>11</v>
      </c>
      <c r="N93">
        <v>1225</v>
      </c>
      <c r="O93">
        <v>0</v>
      </c>
      <c r="P93">
        <v>0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>
        <v>140</v>
      </c>
      <c r="W93" t="s">
        <v>44</v>
      </c>
      <c r="X93" t="s">
        <v>44</v>
      </c>
      <c r="Y93">
        <v>140</v>
      </c>
      <c r="Z93" t="s">
        <v>44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140</v>
      </c>
      <c r="AQ93">
        <f t="shared" si="4"/>
        <v>140</v>
      </c>
      <c r="AR93" s="5">
        <f>VLOOKUP(F93,'[1]Cost Sheet'!$C:$D,2,0)</f>
        <v>79.680000000000007</v>
      </c>
      <c r="AS93" s="5">
        <f t="shared" si="3"/>
        <v>11155.2</v>
      </c>
    </row>
    <row r="94" spans="1:45" x14ac:dyDescent="0.3">
      <c r="A94" s="1">
        <v>45900.960416666669</v>
      </c>
      <c r="B94" t="s">
        <v>617</v>
      </c>
      <c r="C94" t="s">
        <v>618</v>
      </c>
      <c r="D94" t="s">
        <v>716</v>
      </c>
      <c r="E94" t="s">
        <v>716</v>
      </c>
      <c r="F94" t="s">
        <v>1811</v>
      </c>
      <c r="G94" t="s">
        <v>717</v>
      </c>
      <c r="H94" t="s">
        <v>635</v>
      </c>
      <c r="I94" t="s">
        <v>43</v>
      </c>
      <c r="J94">
        <v>100</v>
      </c>
      <c r="K94">
        <v>19</v>
      </c>
      <c r="L94">
        <v>10</v>
      </c>
      <c r="M94">
        <v>11</v>
      </c>
      <c r="N94">
        <v>826</v>
      </c>
      <c r="O94">
        <v>0</v>
      </c>
      <c r="P94">
        <v>0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>
        <v>102</v>
      </c>
      <c r="W94" t="s">
        <v>44</v>
      </c>
      <c r="X94" t="s">
        <v>44</v>
      </c>
      <c r="Y94">
        <v>102</v>
      </c>
      <c r="Z94" t="s">
        <v>44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102</v>
      </c>
      <c r="AQ94">
        <f t="shared" si="4"/>
        <v>102</v>
      </c>
      <c r="AR94" s="5">
        <f>VLOOKUP(F94,'[1]Cost Sheet'!$C:$D,2,0)</f>
        <v>98.3</v>
      </c>
      <c r="AS94" s="5">
        <f t="shared" si="3"/>
        <v>10026.6</v>
      </c>
    </row>
    <row r="95" spans="1:45" x14ac:dyDescent="0.3">
      <c r="A95" s="1">
        <v>45900.960416666669</v>
      </c>
      <c r="B95" t="s">
        <v>617</v>
      </c>
      <c r="C95" t="s">
        <v>618</v>
      </c>
      <c r="D95" t="s">
        <v>718</v>
      </c>
      <c r="E95" t="s">
        <v>718</v>
      </c>
      <c r="F95" t="s">
        <v>1812</v>
      </c>
      <c r="G95" t="s">
        <v>719</v>
      </c>
      <c r="H95" t="s">
        <v>635</v>
      </c>
      <c r="I95" t="s">
        <v>43</v>
      </c>
      <c r="J95">
        <v>100</v>
      </c>
      <c r="K95">
        <v>19</v>
      </c>
      <c r="L95">
        <v>10</v>
      </c>
      <c r="M95">
        <v>11</v>
      </c>
      <c r="N95">
        <v>787</v>
      </c>
      <c r="O95">
        <v>0</v>
      </c>
      <c r="P95">
        <v>0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>
        <v>136</v>
      </c>
      <c r="W95" t="s">
        <v>44</v>
      </c>
      <c r="X95" t="s">
        <v>44</v>
      </c>
      <c r="Y95">
        <v>136</v>
      </c>
      <c r="Z95" t="s">
        <v>44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136</v>
      </c>
      <c r="AQ95">
        <f t="shared" si="4"/>
        <v>136</v>
      </c>
      <c r="AR95" s="5">
        <f>VLOOKUP(F95,'[1]Cost Sheet'!$C:$D,2,0)</f>
        <v>98.3</v>
      </c>
      <c r="AS95" s="5">
        <f t="shared" si="3"/>
        <v>13368.8</v>
      </c>
    </row>
    <row r="96" spans="1:45" x14ac:dyDescent="0.3">
      <c r="A96" s="1">
        <v>45900.960416666669</v>
      </c>
      <c r="B96" t="s">
        <v>617</v>
      </c>
      <c r="C96" t="s">
        <v>618</v>
      </c>
      <c r="D96" t="s">
        <v>720</v>
      </c>
      <c r="F96" t="s">
        <v>1813</v>
      </c>
      <c r="G96" t="s">
        <v>721</v>
      </c>
      <c r="H96" t="s">
        <v>130</v>
      </c>
      <c r="I96" t="s">
        <v>43</v>
      </c>
      <c r="J96">
        <v>32.020000000000003</v>
      </c>
      <c r="K96">
        <v>19</v>
      </c>
      <c r="L96">
        <v>10</v>
      </c>
      <c r="M96">
        <v>11</v>
      </c>
      <c r="N96">
        <v>14227</v>
      </c>
      <c r="O96">
        <v>369</v>
      </c>
      <c r="P96">
        <v>0</v>
      </c>
      <c r="Q96">
        <v>20</v>
      </c>
      <c r="R96">
        <v>3</v>
      </c>
      <c r="S96" t="s">
        <v>44</v>
      </c>
      <c r="T96" t="s">
        <v>44</v>
      </c>
      <c r="U96" t="s">
        <v>44</v>
      </c>
      <c r="V96">
        <v>871</v>
      </c>
      <c r="W96">
        <v>14</v>
      </c>
      <c r="X96" t="s">
        <v>44</v>
      </c>
      <c r="Y96">
        <v>871</v>
      </c>
      <c r="Z96" t="s">
        <v>44</v>
      </c>
      <c r="AA96">
        <v>7</v>
      </c>
      <c r="AB96">
        <v>0</v>
      </c>
      <c r="AC96">
        <v>0</v>
      </c>
      <c r="AD96">
        <v>0</v>
      </c>
      <c r="AE96">
        <v>0</v>
      </c>
      <c r="AF96">
        <v>6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s="2">
        <v>1247</v>
      </c>
      <c r="AQ96">
        <f t="shared" si="4"/>
        <v>1247</v>
      </c>
      <c r="AR96" s="5">
        <f>VLOOKUP(F96,'[2]SCP_24-25'!$A:$D,4,0)</f>
        <v>96.2</v>
      </c>
      <c r="AS96" s="5">
        <f t="shared" si="3"/>
        <v>119961.40000000001</v>
      </c>
    </row>
    <row r="97" spans="1:45" x14ac:dyDescent="0.3">
      <c r="A97" s="1">
        <v>45900.960416666669</v>
      </c>
      <c r="B97" t="s">
        <v>617</v>
      </c>
      <c r="C97" t="s">
        <v>618</v>
      </c>
      <c r="D97" t="s">
        <v>722</v>
      </c>
      <c r="F97" t="s">
        <v>1814</v>
      </c>
      <c r="G97" t="s">
        <v>723</v>
      </c>
      <c r="H97" t="s">
        <v>120</v>
      </c>
      <c r="I97" t="s">
        <v>43</v>
      </c>
      <c r="J97">
        <v>100</v>
      </c>
      <c r="K97">
        <v>19</v>
      </c>
      <c r="L97">
        <v>10</v>
      </c>
      <c r="M97">
        <v>11</v>
      </c>
      <c r="N97">
        <v>791</v>
      </c>
      <c r="O97">
        <v>0</v>
      </c>
      <c r="P97">
        <v>0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>
        <v>151</v>
      </c>
      <c r="W97" t="s">
        <v>44</v>
      </c>
      <c r="X97" t="s">
        <v>44</v>
      </c>
      <c r="Y97">
        <v>151</v>
      </c>
      <c r="Z97" t="s">
        <v>44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151</v>
      </c>
      <c r="AQ97">
        <f t="shared" si="4"/>
        <v>151</v>
      </c>
      <c r="AR97" s="5">
        <f>VLOOKUP(F97,'[2]SCP_24-25'!$A:$D,4,0)</f>
        <v>11.05</v>
      </c>
      <c r="AS97" s="5">
        <f t="shared" si="3"/>
        <v>1668.5500000000002</v>
      </c>
    </row>
    <row r="98" spans="1:45" x14ac:dyDescent="0.3">
      <c r="A98" s="1">
        <v>45900.960416666669</v>
      </c>
      <c r="B98" t="s">
        <v>617</v>
      </c>
      <c r="C98" t="s">
        <v>618</v>
      </c>
      <c r="D98" t="s">
        <v>546</v>
      </c>
      <c r="F98" t="s">
        <v>1727</v>
      </c>
      <c r="G98" t="s">
        <v>547</v>
      </c>
      <c r="H98" t="s">
        <v>130</v>
      </c>
      <c r="I98" t="s">
        <v>43</v>
      </c>
      <c r="J98">
        <v>71.02</v>
      </c>
      <c r="K98">
        <v>19</v>
      </c>
      <c r="L98">
        <v>10</v>
      </c>
      <c r="M98">
        <v>11</v>
      </c>
      <c r="N98">
        <v>33385</v>
      </c>
      <c r="O98">
        <v>947</v>
      </c>
      <c r="P98">
        <v>0</v>
      </c>
      <c r="Q98">
        <v>13</v>
      </c>
      <c r="R98">
        <v>1360</v>
      </c>
      <c r="S98" t="s">
        <v>44</v>
      </c>
      <c r="T98" t="s">
        <v>44</v>
      </c>
      <c r="U98" t="s">
        <v>44</v>
      </c>
      <c r="V98">
        <v>739</v>
      </c>
      <c r="W98">
        <v>1</v>
      </c>
      <c r="X98" t="s">
        <v>44</v>
      </c>
      <c r="Y98">
        <v>739</v>
      </c>
      <c r="Z98" t="s">
        <v>44</v>
      </c>
      <c r="AA98">
        <v>6</v>
      </c>
      <c r="AB98">
        <v>0</v>
      </c>
      <c r="AC98">
        <v>0</v>
      </c>
      <c r="AD98">
        <v>0</v>
      </c>
      <c r="AE98">
        <v>0</v>
      </c>
      <c r="AF98">
        <v>3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s="2">
        <v>1692</v>
      </c>
      <c r="AQ98">
        <f t="shared" si="4"/>
        <v>1692</v>
      </c>
      <c r="AR98" s="5">
        <f>VLOOKUP(F98,'[2]SCP_24-25'!$A:$D,4,0)</f>
        <v>129.18</v>
      </c>
      <c r="AS98" s="5">
        <f t="shared" si="3"/>
        <v>218572.56</v>
      </c>
    </row>
    <row r="99" spans="1:45" x14ac:dyDescent="0.3">
      <c r="A99" s="1">
        <v>45900.960416666669</v>
      </c>
      <c r="B99" t="s">
        <v>617</v>
      </c>
      <c r="C99" t="s">
        <v>618</v>
      </c>
      <c r="D99" t="s">
        <v>548</v>
      </c>
      <c r="F99" t="s">
        <v>1728</v>
      </c>
      <c r="G99" t="s">
        <v>549</v>
      </c>
      <c r="H99" t="s">
        <v>130</v>
      </c>
      <c r="I99" t="s">
        <v>43</v>
      </c>
      <c r="J99">
        <v>63.02</v>
      </c>
      <c r="K99">
        <v>19</v>
      </c>
      <c r="L99">
        <v>10</v>
      </c>
      <c r="M99">
        <v>11</v>
      </c>
      <c r="N99">
        <v>18449</v>
      </c>
      <c r="O99">
        <v>104</v>
      </c>
      <c r="P99">
        <v>0</v>
      </c>
      <c r="Q99">
        <v>9</v>
      </c>
      <c r="R99">
        <v>6</v>
      </c>
      <c r="S99" t="s">
        <v>44</v>
      </c>
      <c r="T99" t="s">
        <v>44</v>
      </c>
      <c r="U99" t="s">
        <v>44</v>
      </c>
      <c r="V99">
        <v>424</v>
      </c>
      <c r="W99">
        <v>6</v>
      </c>
      <c r="X99" t="s">
        <v>44</v>
      </c>
      <c r="Y99">
        <v>424</v>
      </c>
      <c r="Z99" t="s">
        <v>44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529</v>
      </c>
      <c r="AQ99">
        <f t="shared" si="4"/>
        <v>529</v>
      </c>
      <c r="AR99" s="5">
        <f>VLOOKUP(F99,'[2]SCP_24-25'!$A:$D,4,0)</f>
        <v>91.39</v>
      </c>
      <c r="AS99" s="5">
        <f t="shared" si="3"/>
        <v>48345.31</v>
      </c>
    </row>
    <row r="100" spans="1:45" x14ac:dyDescent="0.3">
      <c r="A100" s="1">
        <v>45900.960416666669</v>
      </c>
      <c r="B100" t="s">
        <v>617</v>
      </c>
      <c r="C100" t="s">
        <v>618</v>
      </c>
      <c r="D100" t="s">
        <v>724</v>
      </c>
      <c r="F100" t="s">
        <v>1815</v>
      </c>
      <c r="G100" t="s">
        <v>725</v>
      </c>
      <c r="H100" t="s">
        <v>66</v>
      </c>
      <c r="I100" t="s">
        <v>43</v>
      </c>
      <c r="J100">
        <v>121</v>
      </c>
      <c r="K100">
        <v>19</v>
      </c>
      <c r="L100">
        <v>10</v>
      </c>
      <c r="M100">
        <v>11</v>
      </c>
      <c r="N100">
        <v>514</v>
      </c>
      <c r="O100">
        <v>0</v>
      </c>
      <c r="P100">
        <v>0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>
        <v>245</v>
      </c>
      <c r="W100" t="s">
        <v>44</v>
      </c>
      <c r="X100" t="s">
        <v>44</v>
      </c>
      <c r="Y100">
        <v>245</v>
      </c>
      <c r="Z100" t="s">
        <v>44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245</v>
      </c>
      <c r="AQ100">
        <f t="shared" si="4"/>
        <v>245</v>
      </c>
      <c r="AR100" s="5">
        <f>VLOOKUP(F100,'[1]Cost Sheet'!$C:$D,2,0)</f>
        <v>38.68</v>
      </c>
      <c r="AS100" s="5">
        <f t="shared" si="3"/>
        <v>9476.6</v>
      </c>
    </row>
    <row r="101" spans="1:45" x14ac:dyDescent="0.3">
      <c r="A101" s="1">
        <v>45900.960416666669</v>
      </c>
      <c r="B101" t="s">
        <v>617</v>
      </c>
      <c r="C101" t="s">
        <v>618</v>
      </c>
      <c r="D101" t="s">
        <v>726</v>
      </c>
      <c r="F101" t="s">
        <v>1816</v>
      </c>
      <c r="G101" t="s">
        <v>727</v>
      </c>
      <c r="H101" t="s">
        <v>103</v>
      </c>
      <c r="I101" t="s">
        <v>43</v>
      </c>
      <c r="J101">
        <v>300</v>
      </c>
      <c r="K101">
        <v>19</v>
      </c>
      <c r="L101">
        <v>10</v>
      </c>
      <c r="M101">
        <v>11</v>
      </c>
      <c r="N101">
        <v>415</v>
      </c>
      <c r="O101">
        <v>0</v>
      </c>
      <c r="P101">
        <v>0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>
        <v>213</v>
      </c>
      <c r="W101" t="s">
        <v>44</v>
      </c>
      <c r="X101" t="s">
        <v>44</v>
      </c>
      <c r="Y101">
        <v>213</v>
      </c>
      <c r="Z101" t="s">
        <v>44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213</v>
      </c>
      <c r="AQ101">
        <f t="shared" si="4"/>
        <v>213</v>
      </c>
      <c r="AR101" s="5">
        <f>VLOOKUP(F101,'[1]Cost Sheet'!$C:$D,2,0)</f>
        <v>102.91</v>
      </c>
      <c r="AS101" s="5">
        <f t="shared" si="3"/>
        <v>21919.829999999998</v>
      </c>
    </row>
    <row r="102" spans="1:45" x14ac:dyDescent="0.3">
      <c r="A102" s="1">
        <v>45900.960416666669</v>
      </c>
      <c r="B102" t="s">
        <v>617</v>
      </c>
      <c r="C102" t="s">
        <v>618</v>
      </c>
      <c r="D102" t="s">
        <v>728</v>
      </c>
      <c r="F102" t="s">
        <v>1817</v>
      </c>
      <c r="G102" t="s">
        <v>729</v>
      </c>
      <c r="H102" t="s">
        <v>66</v>
      </c>
      <c r="I102" t="s">
        <v>43</v>
      </c>
      <c r="J102">
        <v>130</v>
      </c>
      <c r="K102">
        <v>19</v>
      </c>
      <c r="L102">
        <v>10</v>
      </c>
      <c r="M102">
        <v>11</v>
      </c>
      <c r="N102">
        <v>906</v>
      </c>
      <c r="O102">
        <v>0</v>
      </c>
      <c r="P102">
        <v>0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>
        <v>443</v>
      </c>
      <c r="W102" t="s">
        <v>44</v>
      </c>
      <c r="X102" t="s">
        <v>44</v>
      </c>
      <c r="Y102">
        <v>443</v>
      </c>
      <c r="Z102" t="s">
        <v>44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443</v>
      </c>
      <c r="AQ102">
        <f t="shared" si="4"/>
        <v>443</v>
      </c>
      <c r="AR102" s="5">
        <f>VLOOKUP(F102,'[1]Cost Sheet'!$C:$D,2,0)</f>
        <v>35.085999999999999</v>
      </c>
      <c r="AS102" s="5">
        <f t="shared" si="3"/>
        <v>15543.098</v>
      </c>
    </row>
    <row r="103" spans="1:45" x14ac:dyDescent="0.3">
      <c r="A103" s="1">
        <v>45900.960416666669</v>
      </c>
      <c r="B103" t="s">
        <v>617</v>
      </c>
      <c r="C103" t="s">
        <v>618</v>
      </c>
      <c r="D103" t="s">
        <v>730</v>
      </c>
      <c r="F103" t="s">
        <v>1818</v>
      </c>
      <c r="G103" t="s">
        <v>731</v>
      </c>
      <c r="H103" t="s">
        <v>66</v>
      </c>
      <c r="I103" t="s">
        <v>43</v>
      </c>
      <c r="J103">
        <v>205</v>
      </c>
      <c r="K103">
        <v>19</v>
      </c>
      <c r="L103">
        <v>10</v>
      </c>
      <c r="M103">
        <v>11</v>
      </c>
      <c r="N103">
        <v>743</v>
      </c>
      <c r="O103">
        <v>0</v>
      </c>
      <c r="P103">
        <v>0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>
        <v>229</v>
      </c>
      <c r="W103" t="s">
        <v>44</v>
      </c>
      <c r="X103" t="s">
        <v>44</v>
      </c>
      <c r="Y103">
        <v>229</v>
      </c>
      <c r="Z103" t="s">
        <v>44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229</v>
      </c>
      <c r="AQ103">
        <f t="shared" si="4"/>
        <v>229</v>
      </c>
      <c r="AR103" s="5">
        <f>VLOOKUP(F103,'[1]Cost Sheet'!$C:$D,2,0)</f>
        <v>61.48</v>
      </c>
      <c r="AS103" s="5">
        <f t="shared" si="3"/>
        <v>14078.92</v>
      </c>
    </row>
    <row r="104" spans="1:45" x14ac:dyDescent="0.3">
      <c r="A104" s="1">
        <v>45900.960416666669</v>
      </c>
      <c r="B104" t="s">
        <v>617</v>
      </c>
      <c r="C104" t="s">
        <v>618</v>
      </c>
      <c r="D104" t="s">
        <v>732</v>
      </c>
      <c r="F104" t="s">
        <v>1819</v>
      </c>
      <c r="G104" t="s">
        <v>733</v>
      </c>
      <c r="H104" t="s">
        <v>130</v>
      </c>
      <c r="I104" t="s">
        <v>43</v>
      </c>
      <c r="J104">
        <v>4</v>
      </c>
      <c r="K104">
        <v>19</v>
      </c>
      <c r="L104">
        <v>10</v>
      </c>
      <c r="M104">
        <v>11</v>
      </c>
      <c r="N104">
        <v>692</v>
      </c>
      <c r="O104">
        <v>0</v>
      </c>
      <c r="P104">
        <v>0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>
        <v>141</v>
      </c>
      <c r="W104" t="s">
        <v>44</v>
      </c>
      <c r="X104" t="s">
        <v>44</v>
      </c>
      <c r="Y104">
        <v>141</v>
      </c>
      <c r="Z104" t="s">
        <v>44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141</v>
      </c>
      <c r="AQ104">
        <f t="shared" si="4"/>
        <v>141</v>
      </c>
      <c r="AR104" s="5">
        <f>VLOOKUP(F104,'[1]Cost Sheet'!$C:$D,2,0)</f>
        <v>129.18</v>
      </c>
      <c r="AS104" s="5">
        <f t="shared" si="3"/>
        <v>18214.38</v>
      </c>
    </row>
    <row r="105" spans="1:45" x14ac:dyDescent="0.3">
      <c r="A105" s="1">
        <v>45900.960416666669</v>
      </c>
      <c r="B105" t="s">
        <v>617</v>
      </c>
      <c r="C105" t="s">
        <v>618</v>
      </c>
      <c r="D105" t="s">
        <v>734</v>
      </c>
      <c r="F105" t="s">
        <v>1820</v>
      </c>
      <c r="G105" t="s">
        <v>735</v>
      </c>
      <c r="H105" t="s">
        <v>130</v>
      </c>
      <c r="I105" t="s">
        <v>43</v>
      </c>
      <c r="J105">
        <v>4</v>
      </c>
      <c r="K105">
        <v>19</v>
      </c>
      <c r="L105">
        <v>10</v>
      </c>
      <c r="M105">
        <v>11</v>
      </c>
      <c r="N105">
        <v>713</v>
      </c>
      <c r="O105">
        <v>0</v>
      </c>
      <c r="P105">
        <v>0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>
        <v>176</v>
      </c>
      <c r="W105" t="s">
        <v>44</v>
      </c>
      <c r="X105" t="s">
        <v>44</v>
      </c>
      <c r="Y105">
        <v>176</v>
      </c>
      <c r="Z105" t="s">
        <v>44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176</v>
      </c>
      <c r="AQ105">
        <f t="shared" si="4"/>
        <v>176</v>
      </c>
      <c r="AR105" s="5">
        <f>VLOOKUP(F105,'[1]Cost Sheet'!$C:$D,2,0)</f>
        <v>129.18</v>
      </c>
      <c r="AS105" s="5">
        <f t="shared" si="3"/>
        <v>22735.68</v>
      </c>
    </row>
    <row r="106" spans="1:45" x14ac:dyDescent="0.3">
      <c r="A106" s="1">
        <v>45900.960416666669</v>
      </c>
      <c r="B106" t="s">
        <v>617</v>
      </c>
      <c r="C106" t="s">
        <v>618</v>
      </c>
      <c r="D106" t="s">
        <v>736</v>
      </c>
      <c r="F106" t="s">
        <v>1821</v>
      </c>
      <c r="G106" t="s">
        <v>737</v>
      </c>
      <c r="H106" t="s">
        <v>130</v>
      </c>
      <c r="I106" t="s">
        <v>43</v>
      </c>
      <c r="J106">
        <v>4</v>
      </c>
      <c r="K106">
        <v>19</v>
      </c>
      <c r="L106">
        <v>10</v>
      </c>
      <c r="M106">
        <v>11</v>
      </c>
      <c r="N106">
        <v>771</v>
      </c>
      <c r="O106">
        <v>0</v>
      </c>
      <c r="P106">
        <v>0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>
        <v>170</v>
      </c>
      <c r="W106" t="s">
        <v>44</v>
      </c>
      <c r="X106" t="s">
        <v>44</v>
      </c>
      <c r="Y106">
        <v>170</v>
      </c>
      <c r="Z106" t="s">
        <v>44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170</v>
      </c>
      <c r="AQ106">
        <f t="shared" si="4"/>
        <v>170</v>
      </c>
      <c r="AR106" s="5">
        <f>VLOOKUP(F106,'[1]Cost Sheet'!$C:$D,2,0)</f>
        <v>129.18</v>
      </c>
      <c r="AS106" s="5">
        <f t="shared" si="3"/>
        <v>21960.600000000002</v>
      </c>
    </row>
    <row r="107" spans="1:45" x14ac:dyDescent="0.3">
      <c r="A107" s="1">
        <v>45900.960416666669</v>
      </c>
      <c r="B107" t="s">
        <v>617</v>
      </c>
      <c r="C107" t="s">
        <v>618</v>
      </c>
      <c r="D107" t="s">
        <v>738</v>
      </c>
      <c r="F107" t="s">
        <v>1822</v>
      </c>
      <c r="G107" t="s">
        <v>739</v>
      </c>
      <c r="H107" t="s">
        <v>130</v>
      </c>
      <c r="I107" t="s">
        <v>43</v>
      </c>
      <c r="J107">
        <v>4</v>
      </c>
      <c r="K107">
        <v>19</v>
      </c>
      <c r="L107">
        <v>10</v>
      </c>
      <c r="M107">
        <v>11</v>
      </c>
      <c r="N107">
        <v>1061</v>
      </c>
      <c r="O107">
        <v>0</v>
      </c>
      <c r="P107">
        <v>0</v>
      </c>
      <c r="Q107" t="s">
        <v>44</v>
      </c>
      <c r="R107">
        <v>432</v>
      </c>
      <c r="S107" t="s">
        <v>44</v>
      </c>
      <c r="T107" t="s">
        <v>44</v>
      </c>
      <c r="U107" t="s">
        <v>44</v>
      </c>
      <c r="V107">
        <v>138</v>
      </c>
      <c r="W107" t="s">
        <v>44</v>
      </c>
      <c r="X107" t="s">
        <v>44</v>
      </c>
      <c r="Y107">
        <v>138</v>
      </c>
      <c r="Z107" t="s">
        <v>44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138</v>
      </c>
      <c r="AQ107">
        <f t="shared" si="4"/>
        <v>138</v>
      </c>
      <c r="AR107" s="5">
        <f>VLOOKUP(F107,'[1]Cost Sheet'!$C:$D,2,0)</f>
        <v>129.18</v>
      </c>
      <c r="AS107" s="5">
        <f t="shared" si="3"/>
        <v>17826.84</v>
      </c>
    </row>
    <row r="108" spans="1:45" x14ac:dyDescent="0.3">
      <c r="A108" s="1">
        <v>45900.960416666669</v>
      </c>
      <c r="B108" t="s">
        <v>617</v>
      </c>
      <c r="C108" t="s">
        <v>618</v>
      </c>
      <c r="D108" t="s">
        <v>740</v>
      </c>
      <c r="F108" t="s">
        <v>1823</v>
      </c>
      <c r="G108" t="s">
        <v>741</v>
      </c>
      <c r="H108" t="s">
        <v>130</v>
      </c>
      <c r="I108" t="s">
        <v>43</v>
      </c>
      <c r="J108">
        <v>8</v>
      </c>
      <c r="K108">
        <v>19</v>
      </c>
      <c r="L108">
        <v>10</v>
      </c>
      <c r="M108">
        <v>11</v>
      </c>
      <c r="N108">
        <v>1364</v>
      </c>
      <c r="O108">
        <v>0</v>
      </c>
      <c r="P108">
        <v>0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>
        <v>283</v>
      </c>
      <c r="W108" t="s">
        <v>44</v>
      </c>
      <c r="X108" t="s">
        <v>44</v>
      </c>
      <c r="Y108">
        <v>283</v>
      </c>
      <c r="Z108" t="s">
        <v>44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283</v>
      </c>
      <c r="AQ108">
        <f t="shared" si="4"/>
        <v>283</v>
      </c>
      <c r="AR108" s="5">
        <f>VLOOKUP(F108,'[1]Cost Sheet'!$C:$D,2,0)</f>
        <v>91.39</v>
      </c>
      <c r="AS108" s="5">
        <f t="shared" si="3"/>
        <v>25863.37</v>
      </c>
    </row>
    <row r="109" spans="1:45" x14ac:dyDescent="0.3">
      <c r="A109" s="1">
        <v>45900.960416666669</v>
      </c>
      <c r="B109" t="s">
        <v>617</v>
      </c>
      <c r="C109" t="s">
        <v>618</v>
      </c>
      <c r="D109" t="s">
        <v>742</v>
      </c>
      <c r="F109" t="s">
        <v>1824</v>
      </c>
      <c r="G109" t="s">
        <v>743</v>
      </c>
      <c r="H109" t="s">
        <v>130</v>
      </c>
      <c r="I109" t="s">
        <v>43</v>
      </c>
      <c r="J109">
        <v>8</v>
      </c>
      <c r="K109">
        <v>19</v>
      </c>
      <c r="L109">
        <v>10</v>
      </c>
      <c r="M109">
        <v>11</v>
      </c>
      <c r="N109">
        <v>1255</v>
      </c>
      <c r="O109">
        <v>0</v>
      </c>
      <c r="P109">
        <v>0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>
        <v>318</v>
      </c>
      <c r="W109" t="s">
        <v>44</v>
      </c>
      <c r="X109" t="s">
        <v>44</v>
      </c>
      <c r="Y109">
        <v>318</v>
      </c>
      <c r="Z109" t="s">
        <v>44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318</v>
      </c>
      <c r="AQ109">
        <f t="shared" si="4"/>
        <v>318</v>
      </c>
      <c r="AR109" s="5">
        <f>VLOOKUP(F109,'[1]Cost Sheet'!$C:$D,2,0)</f>
        <v>91.39</v>
      </c>
      <c r="AS109" s="5">
        <f t="shared" si="3"/>
        <v>29062.02</v>
      </c>
    </row>
    <row r="110" spans="1:45" x14ac:dyDescent="0.3">
      <c r="A110" s="1">
        <v>45900.960416666669</v>
      </c>
      <c r="B110" t="s">
        <v>617</v>
      </c>
      <c r="C110" t="s">
        <v>618</v>
      </c>
      <c r="D110" t="s">
        <v>744</v>
      </c>
      <c r="F110" t="s">
        <v>1825</v>
      </c>
      <c r="G110" t="s">
        <v>745</v>
      </c>
      <c r="H110" t="s">
        <v>66</v>
      </c>
      <c r="I110" t="s">
        <v>43</v>
      </c>
      <c r="J110">
        <v>400</v>
      </c>
      <c r="K110">
        <v>19</v>
      </c>
      <c r="L110">
        <v>10</v>
      </c>
      <c r="M110">
        <v>11</v>
      </c>
      <c r="N110">
        <v>1749</v>
      </c>
      <c r="O110">
        <v>0</v>
      </c>
      <c r="P110">
        <v>0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>
        <v>221</v>
      </c>
      <c r="W110" t="s">
        <v>44</v>
      </c>
      <c r="X110" t="s">
        <v>44</v>
      </c>
      <c r="Y110">
        <v>221</v>
      </c>
      <c r="Z110" t="s">
        <v>44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221</v>
      </c>
      <c r="AQ110">
        <f t="shared" si="4"/>
        <v>221</v>
      </c>
      <c r="AR110" s="5">
        <f>VLOOKUP(F110,'[1]Cost Sheet'!$C:$D,2,0)</f>
        <v>79.760000000000005</v>
      </c>
      <c r="AS110" s="5">
        <f t="shared" si="3"/>
        <v>17626.960000000003</v>
      </c>
    </row>
    <row r="111" spans="1:45" x14ac:dyDescent="0.3">
      <c r="A111" s="1">
        <v>45900.960416666669</v>
      </c>
      <c r="B111" t="s">
        <v>617</v>
      </c>
      <c r="C111" t="s">
        <v>618</v>
      </c>
      <c r="D111" t="s">
        <v>746</v>
      </c>
      <c r="F111" t="s">
        <v>1826</v>
      </c>
      <c r="G111" t="s">
        <v>747</v>
      </c>
      <c r="H111" t="s">
        <v>66</v>
      </c>
      <c r="I111" t="s">
        <v>43</v>
      </c>
      <c r="J111">
        <v>400</v>
      </c>
      <c r="K111">
        <v>19</v>
      </c>
      <c r="L111">
        <v>10</v>
      </c>
      <c r="M111">
        <v>11</v>
      </c>
      <c r="N111">
        <v>1732</v>
      </c>
      <c r="O111">
        <v>0</v>
      </c>
      <c r="P111">
        <v>0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>
        <v>212</v>
      </c>
      <c r="W111" t="s">
        <v>44</v>
      </c>
      <c r="X111" t="s">
        <v>44</v>
      </c>
      <c r="Y111">
        <v>212</v>
      </c>
      <c r="Z111" t="s">
        <v>44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212</v>
      </c>
      <c r="AQ111">
        <f t="shared" si="4"/>
        <v>212</v>
      </c>
      <c r="AR111" s="5">
        <f>VLOOKUP(F111,'[1]Cost Sheet'!$C:$D,2,0)</f>
        <v>91.35</v>
      </c>
      <c r="AS111" s="5">
        <f t="shared" si="3"/>
        <v>19366.199999999997</v>
      </c>
    </row>
    <row r="112" spans="1:45" x14ac:dyDescent="0.3">
      <c r="A112" s="1">
        <v>45900.960416666669</v>
      </c>
      <c r="B112" t="s">
        <v>617</v>
      </c>
      <c r="C112" t="s">
        <v>618</v>
      </c>
      <c r="D112" t="s">
        <v>748</v>
      </c>
      <c r="F112" t="s">
        <v>1827</v>
      </c>
      <c r="G112" t="s">
        <v>749</v>
      </c>
      <c r="H112" t="s">
        <v>66</v>
      </c>
      <c r="I112" t="s">
        <v>43</v>
      </c>
      <c r="J112">
        <v>30</v>
      </c>
      <c r="K112">
        <v>19</v>
      </c>
      <c r="L112">
        <v>10</v>
      </c>
      <c r="M112">
        <v>11</v>
      </c>
      <c r="N112">
        <v>999</v>
      </c>
      <c r="O112">
        <v>0</v>
      </c>
      <c r="P112">
        <v>0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>
        <v>298</v>
      </c>
      <c r="W112" t="s">
        <v>44</v>
      </c>
      <c r="X112" t="s">
        <v>44</v>
      </c>
      <c r="Y112">
        <v>298</v>
      </c>
      <c r="Z112" t="s">
        <v>44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298</v>
      </c>
      <c r="AQ112">
        <f t="shared" si="4"/>
        <v>298</v>
      </c>
      <c r="AR112" s="5">
        <f>VLOOKUP(F112,'[1]Cost Sheet'!$C:$D,2,0)</f>
        <v>114.81</v>
      </c>
      <c r="AS112" s="5">
        <f t="shared" si="3"/>
        <v>34213.379999999997</v>
      </c>
    </row>
    <row r="113" spans="1:45" x14ac:dyDescent="0.3">
      <c r="A113" s="1">
        <v>45900.960416666669</v>
      </c>
      <c r="B113" t="s">
        <v>617</v>
      </c>
      <c r="C113" t="s">
        <v>618</v>
      </c>
      <c r="D113" t="s">
        <v>750</v>
      </c>
      <c r="F113" t="s">
        <v>1828</v>
      </c>
      <c r="G113" t="s">
        <v>751</v>
      </c>
      <c r="H113" t="s">
        <v>66</v>
      </c>
      <c r="I113" t="s">
        <v>43</v>
      </c>
      <c r="J113">
        <v>161.02000000000001</v>
      </c>
      <c r="K113">
        <v>19</v>
      </c>
      <c r="L113">
        <v>11</v>
      </c>
      <c r="M113">
        <v>10</v>
      </c>
      <c r="N113">
        <v>2461</v>
      </c>
      <c r="O113">
        <v>0</v>
      </c>
      <c r="P113">
        <v>0</v>
      </c>
      <c r="Q113" t="s">
        <v>44</v>
      </c>
      <c r="R113" t="s">
        <v>44</v>
      </c>
      <c r="S113" t="s">
        <v>44</v>
      </c>
      <c r="T113">
        <v>280</v>
      </c>
      <c r="U113" t="s">
        <v>44</v>
      </c>
      <c r="V113">
        <v>688</v>
      </c>
      <c r="W113" t="s">
        <v>44</v>
      </c>
      <c r="X113" t="s">
        <v>44</v>
      </c>
      <c r="Y113">
        <v>688</v>
      </c>
      <c r="Z113" t="s">
        <v>44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688</v>
      </c>
      <c r="AQ113">
        <f t="shared" si="4"/>
        <v>688</v>
      </c>
      <c r="AR113" s="5">
        <f>VLOOKUP(F113,'[2]SCP_24-25'!$A:$D,4,0)</f>
        <v>297.47000000000003</v>
      </c>
      <c r="AS113" s="5">
        <f t="shared" si="3"/>
        <v>204659.36000000002</v>
      </c>
    </row>
    <row r="114" spans="1:45" x14ac:dyDescent="0.3">
      <c r="A114" s="1">
        <v>45900.960416666669</v>
      </c>
      <c r="B114" t="s">
        <v>617</v>
      </c>
      <c r="C114" t="s">
        <v>618</v>
      </c>
      <c r="D114" t="s">
        <v>752</v>
      </c>
      <c r="F114" t="s">
        <v>1829</v>
      </c>
      <c r="G114" t="s">
        <v>753</v>
      </c>
      <c r="H114" t="s">
        <v>66</v>
      </c>
      <c r="I114" t="s">
        <v>415</v>
      </c>
      <c r="J114">
        <v>231</v>
      </c>
      <c r="K114">
        <v>19</v>
      </c>
      <c r="L114">
        <v>10</v>
      </c>
      <c r="M114">
        <v>11</v>
      </c>
      <c r="N114">
        <v>953</v>
      </c>
      <c r="O114">
        <v>0</v>
      </c>
      <c r="P114">
        <v>0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>
        <v>761</v>
      </c>
      <c r="W114" t="s">
        <v>44</v>
      </c>
      <c r="X114" t="s">
        <v>44</v>
      </c>
      <c r="Y114">
        <v>761</v>
      </c>
      <c r="Z114" t="s">
        <v>44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761</v>
      </c>
      <c r="AQ114">
        <f t="shared" si="4"/>
        <v>761</v>
      </c>
      <c r="AR114" s="5">
        <f>VLOOKUP(F114,'[2]SCP_24-25'!$A:$D,4,0)</f>
        <v>163.02000000000001</v>
      </c>
      <c r="AS114" s="5">
        <f t="shared" si="3"/>
        <v>124058.22</v>
      </c>
    </row>
    <row r="115" spans="1:45" x14ac:dyDescent="0.3">
      <c r="A115" s="1">
        <v>45900.960416666669</v>
      </c>
      <c r="B115" t="s">
        <v>617</v>
      </c>
      <c r="C115" t="s">
        <v>618</v>
      </c>
      <c r="D115" t="s">
        <v>754</v>
      </c>
      <c r="F115" t="s">
        <v>1830</v>
      </c>
      <c r="G115" t="s">
        <v>755</v>
      </c>
      <c r="H115" t="s">
        <v>66</v>
      </c>
      <c r="I115" t="s">
        <v>415</v>
      </c>
      <c r="J115">
        <v>231</v>
      </c>
      <c r="K115">
        <v>19</v>
      </c>
      <c r="L115">
        <v>10</v>
      </c>
      <c r="M115">
        <v>11</v>
      </c>
      <c r="N115">
        <v>996</v>
      </c>
      <c r="O115">
        <v>0</v>
      </c>
      <c r="P115">
        <v>0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>
        <v>804</v>
      </c>
      <c r="W115" t="s">
        <v>44</v>
      </c>
      <c r="X115" t="s">
        <v>44</v>
      </c>
      <c r="Y115">
        <v>804</v>
      </c>
      <c r="Z115" t="s">
        <v>44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804</v>
      </c>
      <c r="AQ115">
        <f t="shared" si="4"/>
        <v>804</v>
      </c>
      <c r="AR115" s="5">
        <f>VLOOKUP(F115,'[2]SCP_24-25'!$A:$D,4,0)</f>
        <v>161.91999999999999</v>
      </c>
      <c r="AS115" s="5">
        <f t="shared" si="3"/>
        <v>130183.67999999999</v>
      </c>
    </row>
    <row r="116" spans="1:45" x14ac:dyDescent="0.3">
      <c r="A116" s="1">
        <v>45900.960416666669</v>
      </c>
      <c r="B116" t="s">
        <v>617</v>
      </c>
      <c r="C116" t="s">
        <v>618</v>
      </c>
      <c r="D116" t="s">
        <v>756</v>
      </c>
      <c r="F116" t="s">
        <v>1831</v>
      </c>
      <c r="G116" t="s">
        <v>757</v>
      </c>
      <c r="H116" t="s">
        <v>103</v>
      </c>
      <c r="I116" t="s">
        <v>415</v>
      </c>
      <c r="J116">
        <v>450</v>
      </c>
      <c r="K116">
        <v>19</v>
      </c>
      <c r="L116">
        <v>10</v>
      </c>
      <c r="M116">
        <v>11</v>
      </c>
      <c r="N116">
        <v>538</v>
      </c>
      <c r="O116">
        <v>0</v>
      </c>
      <c r="P116">
        <v>0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>
        <v>148</v>
      </c>
      <c r="W116" t="s">
        <v>44</v>
      </c>
      <c r="X116" t="s">
        <v>44</v>
      </c>
      <c r="Y116">
        <v>148</v>
      </c>
      <c r="Z116" t="s">
        <v>44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148</v>
      </c>
      <c r="AQ116">
        <f t="shared" si="4"/>
        <v>148</v>
      </c>
      <c r="AR116" s="5">
        <f>VLOOKUP(F116,'[2]SCP_24-25'!$A:$D,4,0)</f>
        <v>133.82</v>
      </c>
      <c r="AS116" s="5">
        <f t="shared" si="3"/>
        <v>19805.36</v>
      </c>
    </row>
    <row r="117" spans="1:45" x14ac:dyDescent="0.3">
      <c r="A117" s="1">
        <v>45900.960416666669</v>
      </c>
      <c r="B117" t="s">
        <v>617</v>
      </c>
      <c r="C117" t="s">
        <v>618</v>
      </c>
      <c r="D117" t="s">
        <v>758</v>
      </c>
      <c r="F117" t="s">
        <v>1832</v>
      </c>
      <c r="G117" t="s">
        <v>759</v>
      </c>
      <c r="H117" t="s">
        <v>103</v>
      </c>
      <c r="I117" t="s">
        <v>415</v>
      </c>
      <c r="J117">
        <v>1000</v>
      </c>
      <c r="K117">
        <v>19</v>
      </c>
      <c r="L117">
        <v>10</v>
      </c>
      <c r="M117">
        <v>11</v>
      </c>
      <c r="N117">
        <v>495</v>
      </c>
      <c r="O117">
        <v>0</v>
      </c>
      <c r="P117">
        <v>0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>
        <v>300</v>
      </c>
      <c r="W117" t="s">
        <v>44</v>
      </c>
      <c r="X117" t="s">
        <v>44</v>
      </c>
      <c r="Y117">
        <v>300</v>
      </c>
      <c r="Z117" t="s">
        <v>44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300</v>
      </c>
      <c r="AQ117">
        <f t="shared" si="4"/>
        <v>300</v>
      </c>
      <c r="AR117" s="5">
        <f>VLOOKUP(F117,'[2]SCP_24-25'!$A:$D,4,0)</f>
        <v>2532.66</v>
      </c>
      <c r="AS117" s="5">
        <f t="shared" si="3"/>
        <v>759798</v>
      </c>
    </row>
    <row r="118" spans="1:45" x14ac:dyDescent="0.3">
      <c r="A118" s="1">
        <v>45900.960416666669</v>
      </c>
      <c r="B118" t="s">
        <v>617</v>
      </c>
      <c r="C118" t="s">
        <v>618</v>
      </c>
      <c r="D118" t="s">
        <v>760</v>
      </c>
      <c r="F118" t="s">
        <v>1833</v>
      </c>
      <c r="G118" t="s">
        <v>761</v>
      </c>
      <c r="H118" t="s">
        <v>103</v>
      </c>
      <c r="I118" t="s">
        <v>415</v>
      </c>
      <c r="J118">
        <v>1000</v>
      </c>
      <c r="K118">
        <v>19</v>
      </c>
      <c r="L118">
        <v>10</v>
      </c>
      <c r="M118">
        <v>11</v>
      </c>
      <c r="N118">
        <v>507</v>
      </c>
      <c r="O118">
        <v>0</v>
      </c>
      <c r="P118">
        <v>0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>
        <v>396</v>
      </c>
      <c r="W118" t="s">
        <v>44</v>
      </c>
      <c r="X118" t="s">
        <v>44</v>
      </c>
      <c r="Y118">
        <v>396</v>
      </c>
      <c r="Z118" t="s">
        <v>44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396</v>
      </c>
      <c r="AQ118">
        <f t="shared" si="4"/>
        <v>396</v>
      </c>
      <c r="AR118" s="5">
        <f>VLOOKUP(F118,'[2]SCP_24-25'!$A:$D,4,0)</f>
        <v>1932.66</v>
      </c>
      <c r="AS118" s="5">
        <f t="shared" si="3"/>
        <v>765333.36</v>
      </c>
    </row>
    <row r="119" spans="1:45" x14ac:dyDescent="0.3">
      <c r="A119" s="1">
        <v>45900.960416666669</v>
      </c>
      <c r="B119" t="s">
        <v>617</v>
      </c>
      <c r="C119" t="s">
        <v>618</v>
      </c>
      <c r="D119" t="s">
        <v>431</v>
      </c>
      <c r="F119" t="s">
        <v>1672</v>
      </c>
      <c r="G119" t="s">
        <v>432</v>
      </c>
      <c r="H119" t="s">
        <v>433</v>
      </c>
      <c r="I119" t="s">
        <v>434</v>
      </c>
      <c r="J119">
        <v>110.3</v>
      </c>
      <c r="K119">
        <v>6</v>
      </c>
      <c r="L119">
        <v>3.4</v>
      </c>
      <c r="M119">
        <v>12</v>
      </c>
      <c r="N119">
        <v>1056</v>
      </c>
      <c r="O119">
        <v>15</v>
      </c>
      <c r="P119">
        <v>0</v>
      </c>
      <c r="Q119">
        <v>2</v>
      </c>
      <c r="R119" t="s">
        <v>44</v>
      </c>
      <c r="S119" t="s">
        <v>44</v>
      </c>
      <c r="T119" t="s">
        <v>44</v>
      </c>
      <c r="U119" t="s">
        <v>44</v>
      </c>
      <c r="V119">
        <v>709</v>
      </c>
      <c r="W119" t="s">
        <v>44</v>
      </c>
      <c r="X119" t="s">
        <v>44</v>
      </c>
      <c r="Y119">
        <v>709</v>
      </c>
      <c r="Z119" t="s">
        <v>44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725</v>
      </c>
      <c r="AQ119">
        <f t="shared" si="4"/>
        <v>725</v>
      </c>
      <c r="AR119" s="5">
        <f>VLOOKUP(F119,'[2]SCP_24-25'!$A:$D,4,0)</f>
        <v>117.33</v>
      </c>
      <c r="AS119" s="5">
        <f t="shared" si="3"/>
        <v>85064.25</v>
      </c>
    </row>
    <row r="120" spans="1:45" x14ac:dyDescent="0.3">
      <c r="A120" s="1">
        <v>45900.960416666669</v>
      </c>
      <c r="B120" t="s">
        <v>617</v>
      </c>
      <c r="C120" t="s">
        <v>618</v>
      </c>
      <c r="D120" t="s">
        <v>552</v>
      </c>
      <c r="F120" t="s">
        <v>1730</v>
      </c>
      <c r="G120" t="s">
        <v>553</v>
      </c>
      <c r="H120" t="s">
        <v>433</v>
      </c>
      <c r="I120" t="s">
        <v>434</v>
      </c>
      <c r="J120">
        <v>255</v>
      </c>
      <c r="K120">
        <v>8</v>
      </c>
      <c r="L120">
        <v>8</v>
      </c>
      <c r="M120">
        <v>6.3</v>
      </c>
      <c r="N120">
        <v>1224</v>
      </c>
      <c r="O120">
        <v>13</v>
      </c>
      <c r="P120">
        <v>0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>
        <v>896</v>
      </c>
      <c r="W120" t="s">
        <v>44</v>
      </c>
      <c r="X120" t="s">
        <v>44</v>
      </c>
      <c r="Y120">
        <v>896</v>
      </c>
      <c r="Z120" t="s">
        <v>44</v>
      </c>
      <c r="AA120">
        <v>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914</v>
      </c>
      <c r="AQ120">
        <f t="shared" si="4"/>
        <v>914</v>
      </c>
      <c r="AR120" s="5">
        <f>VLOOKUP(F120,'[2]SCP_24-25'!$A:$D,4,0)</f>
        <v>99.01</v>
      </c>
      <c r="AS120" s="5">
        <f t="shared" si="3"/>
        <v>90495.14</v>
      </c>
    </row>
    <row r="121" spans="1:45" x14ac:dyDescent="0.3">
      <c r="A121" s="1">
        <v>45900.960416666669</v>
      </c>
      <c r="B121" t="s">
        <v>617</v>
      </c>
      <c r="C121" t="s">
        <v>618</v>
      </c>
      <c r="D121" t="s">
        <v>435</v>
      </c>
      <c r="F121" t="s">
        <v>1673</v>
      </c>
      <c r="G121" t="s">
        <v>436</v>
      </c>
      <c r="H121" t="s">
        <v>433</v>
      </c>
      <c r="I121" t="s">
        <v>434</v>
      </c>
      <c r="J121">
        <v>110.9</v>
      </c>
      <c r="K121">
        <v>6</v>
      </c>
      <c r="L121">
        <v>3.4</v>
      </c>
      <c r="M121">
        <v>12</v>
      </c>
      <c r="N121">
        <v>1008</v>
      </c>
      <c r="O121">
        <v>9</v>
      </c>
      <c r="P121">
        <v>0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>
        <v>484</v>
      </c>
      <c r="W121" t="s">
        <v>44</v>
      </c>
      <c r="X121" t="s">
        <v>44</v>
      </c>
      <c r="Y121">
        <v>484</v>
      </c>
      <c r="Z121" t="s">
        <v>44</v>
      </c>
      <c r="AA121">
        <v>10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503</v>
      </c>
      <c r="AQ121">
        <f t="shared" si="4"/>
        <v>503</v>
      </c>
      <c r="AR121" s="5">
        <f>VLOOKUP(F121,'[2]SCP_24-25'!$A:$D,4,0)</f>
        <v>91.53</v>
      </c>
      <c r="AS121" s="5">
        <f t="shared" si="3"/>
        <v>46039.590000000004</v>
      </c>
    </row>
    <row r="122" spans="1:45" x14ac:dyDescent="0.3">
      <c r="A122" s="1">
        <v>45900.960416666669</v>
      </c>
      <c r="B122" t="s">
        <v>617</v>
      </c>
      <c r="C122" t="s">
        <v>618</v>
      </c>
      <c r="D122" t="s">
        <v>554</v>
      </c>
      <c r="F122" t="s">
        <v>1731</v>
      </c>
      <c r="G122" t="s">
        <v>555</v>
      </c>
      <c r="H122" t="s">
        <v>433</v>
      </c>
      <c r="I122" t="s">
        <v>434</v>
      </c>
      <c r="J122">
        <v>110.9</v>
      </c>
      <c r="K122">
        <v>6</v>
      </c>
      <c r="L122">
        <v>3.4</v>
      </c>
      <c r="M122">
        <v>12</v>
      </c>
      <c r="N122">
        <v>576</v>
      </c>
      <c r="O122">
        <v>1</v>
      </c>
      <c r="P122">
        <v>0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>
        <v>334</v>
      </c>
      <c r="W122" t="s">
        <v>44</v>
      </c>
      <c r="X122" t="s">
        <v>44</v>
      </c>
      <c r="Y122">
        <v>334</v>
      </c>
      <c r="Z122" t="s">
        <v>44</v>
      </c>
      <c r="AA122">
        <v>15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350</v>
      </c>
      <c r="AQ122">
        <f t="shared" si="4"/>
        <v>350</v>
      </c>
      <c r="AR122" s="5">
        <f>VLOOKUP(F122,'[2]SCP_24-25'!$A:$D,4,0)</f>
        <v>95.29</v>
      </c>
      <c r="AS122" s="5">
        <f t="shared" si="3"/>
        <v>33351.5</v>
      </c>
    </row>
    <row r="123" spans="1:45" x14ac:dyDescent="0.3">
      <c r="A123" s="1">
        <v>45900.960416666669</v>
      </c>
      <c r="B123" t="s">
        <v>617</v>
      </c>
      <c r="C123" t="s">
        <v>618</v>
      </c>
      <c r="D123" t="s">
        <v>556</v>
      </c>
      <c r="F123" t="s">
        <v>1732</v>
      </c>
      <c r="G123" t="s">
        <v>557</v>
      </c>
      <c r="H123" t="s">
        <v>433</v>
      </c>
      <c r="I123" t="s">
        <v>434</v>
      </c>
      <c r="J123">
        <v>256.39999999999998</v>
      </c>
      <c r="K123">
        <v>8</v>
      </c>
      <c r="L123">
        <v>8</v>
      </c>
      <c r="M123">
        <v>6.3</v>
      </c>
      <c r="N123">
        <v>528</v>
      </c>
      <c r="O123">
        <v>5</v>
      </c>
      <c r="P123">
        <v>0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>
        <v>220</v>
      </c>
      <c r="W123" t="s">
        <v>44</v>
      </c>
      <c r="X123" t="s">
        <v>44</v>
      </c>
      <c r="Y123">
        <v>220</v>
      </c>
      <c r="Z123" t="s">
        <v>44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226</v>
      </c>
      <c r="AQ123">
        <f t="shared" si="4"/>
        <v>226</v>
      </c>
      <c r="AR123" s="5">
        <f>VLOOKUP(F123,'[2]SCP_24-25'!$A:$D,4,0)</f>
        <v>103.38</v>
      </c>
      <c r="AS123" s="5">
        <f t="shared" si="3"/>
        <v>23363.879999999997</v>
      </c>
    </row>
    <row r="124" spans="1:45" x14ac:dyDescent="0.3">
      <c r="A124" s="1">
        <v>45900.960416666669</v>
      </c>
      <c r="B124" t="s">
        <v>617</v>
      </c>
      <c r="C124" t="s">
        <v>618</v>
      </c>
      <c r="D124" t="s">
        <v>477</v>
      </c>
      <c r="F124" t="s">
        <v>1693</v>
      </c>
      <c r="G124" t="s">
        <v>478</v>
      </c>
      <c r="H124" t="s">
        <v>433</v>
      </c>
      <c r="I124" t="s">
        <v>434</v>
      </c>
      <c r="J124">
        <v>110</v>
      </c>
      <c r="K124">
        <v>6</v>
      </c>
      <c r="L124">
        <v>3.4</v>
      </c>
      <c r="M124">
        <v>11</v>
      </c>
      <c r="N124">
        <v>624</v>
      </c>
      <c r="O124">
        <v>3</v>
      </c>
      <c r="P124">
        <v>0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>
        <v>404</v>
      </c>
      <c r="W124" t="s">
        <v>44</v>
      </c>
      <c r="X124" t="s">
        <v>44</v>
      </c>
      <c r="Y124">
        <v>404</v>
      </c>
      <c r="Z124" t="s">
        <v>44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407</v>
      </c>
      <c r="AQ124">
        <f t="shared" si="4"/>
        <v>407</v>
      </c>
      <c r="AR124" s="5">
        <f>VLOOKUP(F124,'[2]SCP_24-25'!$A:$D,4,0)</f>
        <v>86.13</v>
      </c>
      <c r="AS124" s="5">
        <f t="shared" si="3"/>
        <v>35054.909999999996</v>
      </c>
    </row>
    <row r="125" spans="1:45" x14ac:dyDescent="0.3">
      <c r="A125" s="1">
        <v>45900.960416666669</v>
      </c>
      <c r="B125" t="s">
        <v>617</v>
      </c>
      <c r="C125" t="s">
        <v>618</v>
      </c>
      <c r="D125" t="s">
        <v>762</v>
      </c>
      <c r="F125" t="s">
        <v>1834</v>
      </c>
      <c r="G125" t="s">
        <v>763</v>
      </c>
      <c r="H125" t="s">
        <v>433</v>
      </c>
      <c r="I125" t="s">
        <v>434</v>
      </c>
      <c r="J125">
        <v>58</v>
      </c>
      <c r="K125">
        <v>3.5</v>
      </c>
      <c r="L125">
        <v>12.4</v>
      </c>
      <c r="M125">
        <v>3.5</v>
      </c>
      <c r="N125">
        <v>500</v>
      </c>
      <c r="O125">
        <v>0</v>
      </c>
      <c r="P125">
        <v>0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>
        <v>363</v>
      </c>
      <c r="W125" t="s">
        <v>44</v>
      </c>
      <c r="X125" t="s">
        <v>44</v>
      </c>
      <c r="Y125">
        <v>363</v>
      </c>
      <c r="Z125" t="s">
        <v>44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364</v>
      </c>
      <c r="AQ125">
        <f t="shared" si="4"/>
        <v>364</v>
      </c>
      <c r="AR125" s="5">
        <f>VLOOKUP(F125,'[2]SCP_24-25'!$A:$D,4,0)</f>
        <v>83.6</v>
      </c>
      <c r="AS125" s="5">
        <f t="shared" si="3"/>
        <v>30430.399999999998</v>
      </c>
    </row>
    <row r="126" spans="1:45" x14ac:dyDescent="0.3">
      <c r="A126" s="1">
        <v>45900.960416666669</v>
      </c>
      <c r="B126" t="s">
        <v>617</v>
      </c>
      <c r="C126" t="s">
        <v>618</v>
      </c>
      <c r="D126" t="s">
        <v>479</v>
      </c>
      <c r="F126" t="s">
        <v>1694</v>
      </c>
      <c r="G126" t="s">
        <v>480</v>
      </c>
      <c r="H126" t="s">
        <v>433</v>
      </c>
      <c r="I126" t="s">
        <v>434</v>
      </c>
      <c r="J126">
        <v>30</v>
      </c>
      <c r="K126">
        <v>6</v>
      </c>
      <c r="L126">
        <v>12</v>
      </c>
      <c r="M126">
        <v>3.4</v>
      </c>
      <c r="N126">
        <v>402</v>
      </c>
      <c r="O126">
        <v>3</v>
      </c>
      <c r="P126">
        <v>0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>
        <v>284</v>
      </c>
      <c r="W126" t="s">
        <v>44</v>
      </c>
      <c r="X126" t="s">
        <v>44</v>
      </c>
      <c r="Y126">
        <v>284</v>
      </c>
      <c r="Z126" t="s">
        <v>44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287</v>
      </c>
      <c r="AQ126">
        <f t="shared" si="4"/>
        <v>287</v>
      </c>
      <c r="AR126" s="5">
        <f>VLOOKUP(F126,'[2]SCP_24-25'!$A:$D,4,0)</f>
        <v>89.7</v>
      </c>
      <c r="AS126" s="5">
        <f t="shared" si="3"/>
        <v>25743.9</v>
      </c>
    </row>
    <row r="127" spans="1:45" x14ac:dyDescent="0.3">
      <c r="A127" s="1">
        <v>45900.960416666669</v>
      </c>
      <c r="B127" t="s">
        <v>617</v>
      </c>
      <c r="C127" t="s">
        <v>618</v>
      </c>
      <c r="D127" t="s">
        <v>764</v>
      </c>
      <c r="F127" t="s">
        <v>1835</v>
      </c>
      <c r="G127" t="s">
        <v>765</v>
      </c>
      <c r="H127" t="s">
        <v>766</v>
      </c>
      <c r="I127" t="s">
        <v>434</v>
      </c>
      <c r="J127">
        <v>139.30000000000001</v>
      </c>
      <c r="K127">
        <v>1</v>
      </c>
      <c r="L127">
        <v>7.62</v>
      </c>
      <c r="M127">
        <v>17.7</v>
      </c>
      <c r="N127">
        <v>300</v>
      </c>
      <c r="O127">
        <v>0</v>
      </c>
      <c r="P127">
        <v>0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>
        <v>266</v>
      </c>
      <c r="W127" t="s">
        <v>44</v>
      </c>
      <c r="X127" t="s">
        <v>44</v>
      </c>
      <c r="Y127">
        <v>266</v>
      </c>
      <c r="Z127" t="s">
        <v>44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266</v>
      </c>
      <c r="AQ127">
        <f t="shared" si="4"/>
        <v>266</v>
      </c>
      <c r="AR127" s="5">
        <f>VLOOKUP(F127,'[2]SCP_24-25'!$A:$D,4,0)</f>
        <v>21.3</v>
      </c>
      <c r="AS127" s="5">
        <f t="shared" si="3"/>
        <v>5665.8</v>
      </c>
    </row>
    <row r="128" spans="1:45" x14ac:dyDescent="0.3">
      <c r="A128" s="1">
        <v>45900.960416666669</v>
      </c>
      <c r="B128" t="s">
        <v>617</v>
      </c>
      <c r="C128" t="s">
        <v>618</v>
      </c>
      <c r="D128" t="s">
        <v>767</v>
      </c>
      <c r="F128" t="s">
        <v>1836</v>
      </c>
      <c r="G128" t="s">
        <v>768</v>
      </c>
      <c r="H128" t="s">
        <v>766</v>
      </c>
      <c r="I128" t="s">
        <v>434</v>
      </c>
      <c r="J128">
        <v>228.4</v>
      </c>
      <c r="K128">
        <v>31.1</v>
      </c>
      <c r="L128">
        <v>10</v>
      </c>
      <c r="M128">
        <v>18.5</v>
      </c>
      <c r="N128">
        <v>300</v>
      </c>
      <c r="O128">
        <v>0</v>
      </c>
      <c r="P128">
        <v>0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>
        <v>300</v>
      </c>
      <c r="W128" t="s">
        <v>44</v>
      </c>
      <c r="X128" t="s">
        <v>44</v>
      </c>
      <c r="Y128">
        <v>300</v>
      </c>
      <c r="Z128" t="s">
        <v>44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300</v>
      </c>
      <c r="AQ128">
        <f t="shared" si="4"/>
        <v>300</v>
      </c>
      <c r="AR128" s="5">
        <f>VLOOKUP(F128,'[1]Cost Sheet'!$C:$D,2,0)</f>
        <v>25.3</v>
      </c>
      <c r="AS128" s="5">
        <f t="shared" si="3"/>
        <v>7590</v>
      </c>
    </row>
    <row r="129" spans="1:45" x14ac:dyDescent="0.3">
      <c r="A129" s="1">
        <v>45900.960416666669</v>
      </c>
      <c r="B129" t="s">
        <v>617</v>
      </c>
      <c r="C129" t="s">
        <v>618</v>
      </c>
      <c r="D129" t="s">
        <v>769</v>
      </c>
      <c r="F129" t="s">
        <v>1837</v>
      </c>
      <c r="G129" t="s">
        <v>770</v>
      </c>
      <c r="H129" t="s">
        <v>130</v>
      </c>
      <c r="I129" t="s">
        <v>415</v>
      </c>
      <c r="J129">
        <v>12</v>
      </c>
      <c r="K129">
        <v>19</v>
      </c>
      <c r="L129">
        <v>10</v>
      </c>
      <c r="M129">
        <v>11</v>
      </c>
      <c r="N129">
        <v>1784</v>
      </c>
      <c r="O129">
        <v>56</v>
      </c>
      <c r="P129">
        <v>0</v>
      </c>
      <c r="Q129" t="s">
        <v>44</v>
      </c>
      <c r="R129">
        <v>1</v>
      </c>
      <c r="S129" t="s">
        <v>44</v>
      </c>
      <c r="T129" t="s">
        <v>44</v>
      </c>
      <c r="U129" t="s">
        <v>44</v>
      </c>
      <c r="V129">
        <v>730</v>
      </c>
      <c r="W129" t="s">
        <v>44</v>
      </c>
      <c r="X129" t="s">
        <v>44</v>
      </c>
      <c r="Y129">
        <v>730</v>
      </c>
      <c r="Z129" t="s">
        <v>44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787</v>
      </c>
      <c r="AQ129">
        <f t="shared" si="4"/>
        <v>787</v>
      </c>
      <c r="AR129" s="5">
        <f>VLOOKUP(F129,'[2]SCP_24-25'!$A:$D,4,0)</f>
        <v>137.76</v>
      </c>
      <c r="AS129" s="5">
        <f t="shared" si="3"/>
        <v>108417.12</v>
      </c>
    </row>
    <row r="130" spans="1:45" x14ac:dyDescent="0.3">
      <c r="A130" s="1">
        <v>45900.960416666669</v>
      </c>
      <c r="B130" t="s">
        <v>617</v>
      </c>
      <c r="C130" t="s">
        <v>618</v>
      </c>
      <c r="D130" t="s">
        <v>771</v>
      </c>
      <c r="F130" t="s">
        <v>1838</v>
      </c>
      <c r="G130" t="s">
        <v>772</v>
      </c>
      <c r="H130" t="s">
        <v>103</v>
      </c>
      <c r="I130" t="s">
        <v>43</v>
      </c>
      <c r="J130">
        <v>200</v>
      </c>
      <c r="K130">
        <v>19</v>
      </c>
      <c r="L130">
        <v>11</v>
      </c>
      <c r="M130">
        <v>10</v>
      </c>
      <c r="N130">
        <v>21168</v>
      </c>
      <c r="O130">
        <v>0</v>
      </c>
      <c r="P130">
        <v>0</v>
      </c>
      <c r="Q130" t="s">
        <v>44</v>
      </c>
      <c r="R130">
        <v>21000</v>
      </c>
      <c r="S130" t="s">
        <v>44</v>
      </c>
      <c r="T130" t="s">
        <v>44</v>
      </c>
      <c r="U130" t="s">
        <v>44</v>
      </c>
      <c r="V130">
        <v>168</v>
      </c>
      <c r="W130" t="s">
        <v>44</v>
      </c>
      <c r="X130" t="s">
        <v>44</v>
      </c>
      <c r="Y130">
        <v>168</v>
      </c>
      <c r="Z130" t="s">
        <v>44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168</v>
      </c>
      <c r="AQ130">
        <f t="shared" si="4"/>
        <v>168</v>
      </c>
      <c r="AR130" s="5">
        <f>VLOOKUP(F130,'[1]Cost Sheet'!$C:$D,2,0)</f>
        <v>92.44</v>
      </c>
      <c r="AS130" s="5">
        <f t="shared" si="3"/>
        <v>15529.92</v>
      </c>
    </row>
    <row r="131" spans="1:45" x14ac:dyDescent="0.3">
      <c r="A131" s="1">
        <v>45900.960416666669</v>
      </c>
      <c r="B131" t="s">
        <v>617</v>
      </c>
      <c r="C131" t="s">
        <v>618</v>
      </c>
      <c r="D131" t="s">
        <v>773</v>
      </c>
      <c r="F131" t="s">
        <v>1839</v>
      </c>
      <c r="G131" t="s">
        <v>774</v>
      </c>
      <c r="H131" t="s">
        <v>120</v>
      </c>
      <c r="I131" t="s">
        <v>43</v>
      </c>
      <c r="J131">
        <v>100</v>
      </c>
      <c r="K131">
        <v>19</v>
      </c>
      <c r="L131">
        <v>11</v>
      </c>
      <c r="M131">
        <v>10</v>
      </c>
      <c r="N131">
        <v>800</v>
      </c>
      <c r="O131">
        <v>0</v>
      </c>
      <c r="P131">
        <v>0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>
        <v>800</v>
      </c>
      <c r="W131" t="s">
        <v>44</v>
      </c>
      <c r="X131" t="s">
        <v>44</v>
      </c>
      <c r="Y131">
        <v>800</v>
      </c>
      <c r="Z131" t="s">
        <v>44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800</v>
      </c>
      <c r="AQ131">
        <f t="shared" si="4"/>
        <v>800</v>
      </c>
      <c r="AR131" s="5">
        <f>VLOOKUP(F131,'[1]Cost Sheet'!$C:$D,2,0)</f>
        <v>130</v>
      </c>
      <c r="AS131" s="5">
        <f t="shared" ref="AS131:AS194" si="5">AQ131*AR131</f>
        <v>104000</v>
      </c>
    </row>
    <row r="132" spans="1:45" x14ac:dyDescent="0.3">
      <c r="A132" s="1">
        <v>45900.960416666669</v>
      </c>
      <c r="B132" t="s">
        <v>617</v>
      </c>
      <c r="C132" t="s">
        <v>618</v>
      </c>
      <c r="D132" t="s">
        <v>775</v>
      </c>
      <c r="F132" t="s">
        <v>1840</v>
      </c>
      <c r="G132" t="s">
        <v>776</v>
      </c>
      <c r="H132" t="s">
        <v>120</v>
      </c>
      <c r="I132" t="s">
        <v>43</v>
      </c>
      <c r="J132">
        <v>100</v>
      </c>
      <c r="K132">
        <v>19</v>
      </c>
      <c r="L132">
        <v>11</v>
      </c>
      <c r="M132">
        <v>10</v>
      </c>
      <c r="N132">
        <v>500</v>
      </c>
      <c r="O132">
        <v>0</v>
      </c>
      <c r="P132">
        <v>0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>
        <v>358</v>
      </c>
      <c r="W132" t="s">
        <v>44</v>
      </c>
      <c r="X132" t="s">
        <v>44</v>
      </c>
      <c r="Y132">
        <v>358</v>
      </c>
      <c r="Z132" t="s">
        <v>44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358</v>
      </c>
      <c r="AQ132">
        <f t="shared" si="4"/>
        <v>358</v>
      </c>
      <c r="AR132" s="5">
        <f>VLOOKUP(F132,'[2]SCP_24-25'!$A:$D,4,0)</f>
        <v>53</v>
      </c>
      <c r="AS132" s="5">
        <f t="shared" si="5"/>
        <v>18974</v>
      </c>
    </row>
    <row r="133" spans="1:45" x14ac:dyDescent="0.3">
      <c r="A133" s="1">
        <v>45900.961111111108</v>
      </c>
      <c r="B133" t="s">
        <v>617</v>
      </c>
      <c r="C133" t="s">
        <v>618</v>
      </c>
      <c r="D133" t="s">
        <v>139</v>
      </c>
      <c r="F133" t="s">
        <v>1547</v>
      </c>
      <c r="G133" t="s">
        <v>140</v>
      </c>
      <c r="H133" t="s">
        <v>66</v>
      </c>
      <c r="I133" t="s">
        <v>43</v>
      </c>
      <c r="J133">
        <v>176</v>
      </c>
      <c r="K133">
        <v>11</v>
      </c>
      <c r="L133">
        <v>19</v>
      </c>
      <c r="M133">
        <v>10</v>
      </c>
      <c r="N133">
        <v>159046</v>
      </c>
      <c r="O133">
        <v>168</v>
      </c>
      <c r="P133">
        <v>0</v>
      </c>
      <c r="Q133">
        <v>129</v>
      </c>
      <c r="R133">
        <v>12472</v>
      </c>
      <c r="S133" t="s">
        <v>44</v>
      </c>
      <c r="T133" t="s">
        <v>44</v>
      </c>
      <c r="U133" t="s">
        <v>44</v>
      </c>
      <c r="V133">
        <v>2760</v>
      </c>
      <c r="W133">
        <v>437</v>
      </c>
      <c r="X133" t="s">
        <v>44</v>
      </c>
      <c r="Y133">
        <v>2677</v>
      </c>
      <c r="Z133" t="s">
        <v>44</v>
      </c>
      <c r="AA133">
        <v>5</v>
      </c>
      <c r="AB133">
        <v>0</v>
      </c>
      <c r="AC133">
        <v>0</v>
      </c>
      <c r="AD133">
        <v>0</v>
      </c>
      <c r="AE133">
        <v>38</v>
      </c>
      <c r="AF133">
        <v>12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s="2">
        <v>2933</v>
      </c>
      <c r="AQ133">
        <f t="shared" si="4"/>
        <v>2933</v>
      </c>
      <c r="AR133" s="5">
        <f>VLOOKUP(F133,'[2]SCP_24-25'!$A:$D,4,0)</f>
        <v>60.54</v>
      </c>
      <c r="AS133" s="5">
        <f t="shared" si="5"/>
        <v>177563.82</v>
      </c>
    </row>
    <row r="134" spans="1:45" x14ac:dyDescent="0.3">
      <c r="A134" s="1">
        <v>45900.961111111108</v>
      </c>
      <c r="B134" t="s">
        <v>617</v>
      </c>
      <c r="C134" t="s">
        <v>618</v>
      </c>
      <c r="D134" t="s">
        <v>159</v>
      </c>
      <c r="F134" t="s">
        <v>1557</v>
      </c>
      <c r="G134" t="s">
        <v>160</v>
      </c>
      <c r="H134" t="s">
        <v>66</v>
      </c>
      <c r="I134" t="s">
        <v>43</v>
      </c>
      <c r="J134">
        <v>73.209999999999994</v>
      </c>
      <c r="K134">
        <v>19</v>
      </c>
      <c r="L134">
        <v>9.5</v>
      </c>
      <c r="M134">
        <v>11</v>
      </c>
      <c r="N134">
        <v>139469</v>
      </c>
      <c r="O134">
        <v>72</v>
      </c>
      <c r="P134">
        <v>0</v>
      </c>
      <c r="Q134">
        <v>194</v>
      </c>
      <c r="R134">
        <v>13443</v>
      </c>
      <c r="S134" t="s">
        <v>44</v>
      </c>
      <c r="T134" t="s">
        <v>44</v>
      </c>
      <c r="U134" t="s">
        <v>44</v>
      </c>
      <c r="V134">
        <v>1972</v>
      </c>
      <c r="W134">
        <v>634</v>
      </c>
      <c r="X134" t="s">
        <v>44</v>
      </c>
      <c r="Y134">
        <v>1645</v>
      </c>
      <c r="Z134" t="s">
        <v>44</v>
      </c>
      <c r="AA134">
        <v>4</v>
      </c>
      <c r="AB134">
        <v>0</v>
      </c>
      <c r="AC134">
        <v>0</v>
      </c>
      <c r="AD134">
        <v>0</v>
      </c>
      <c r="AE134">
        <v>49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s="2">
        <v>2048</v>
      </c>
      <c r="AQ134">
        <f t="shared" si="4"/>
        <v>2048</v>
      </c>
      <c r="AR134" s="5">
        <f>VLOOKUP(F134,'[2]SCP_24-25'!$A:$D,4,0)</f>
        <v>40.090000000000003</v>
      </c>
      <c r="AS134" s="5">
        <f t="shared" si="5"/>
        <v>82104.320000000007</v>
      </c>
    </row>
    <row r="135" spans="1:45" x14ac:dyDescent="0.3">
      <c r="A135" s="1">
        <v>45900.961111111108</v>
      </c>
      <c r="B135" t="s">
        <v>617</v>
      </c>
      <c r="C135" t="s">
        <v>618</v>
      </c>
      <c r="D135" t="s">
        <v>187</v>
      </c>
      <c r="F135" t="s">
        <v>1571</v>
      </c>
      <c r="G135" t="s">
        <v>188</v>
      </c>
      <c r="H135" t="s">
        <v>66</v>
      </c>
      <c r="I135" t="s">
        <v>43</v>
      </c>
      <c r="J135">
        <v>102</v>
      </c>
      <c r="K135">
        <v>19</v>
      </c>
      <c r="L135">
        <v>9.5</v>
      </c>
      <c r="M135">
        <v>11</v>
      </c>
      <c r="N135">
        <v>218974</v>
      </c>
      <c r="O135">
        <v>400</v>
      </c>
      <c r="P135">
        <v>0</v>
      </c>
      <c r="Q135">
        <v>320</v>
      </c>
      <c r="R135">
        <v>31625</v>
      </c>
      <c r="S135" t="s">
        <v>44</v>
      </c>
      <c r="T135" t="s">
        <v>44</v>
      </c>
      <c r="U135" t="s">
        <v>44</v>
      </c>
      <c r="V135">
        <v>4046</v>
      </c>
      <c r="W135">
        <v>927</v>
      </c>
      <c r="X135" t="s">
        <v>44</v>
      </c>
      <c r="Y135">
        <v>3746</v>
      </c>
      <c r="Z135" t="s">
        <v>44</v>
      </c>
      <c r="AA135">
        <v>10</v>
      </c>
      <c r="AB135">
        <v>0</v>
      </c>
      <c r="AC135">
        <v>0</v>
      </c>
      <c r="AD135">
        <v>0</v>
      </c>
      <c r="AE135">
        <v>186</v>
      </c>
      <c r="AF135">
        <v>4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s="2">
        <v>4456</v>
      </c>
      <c r="AQ135">
        <f t="shared" si="4"/>
        <v>4456</v>
      </c>
      <c r="AR135" s="5">
        <f>VLOOKUP(F135,'[2]SCP_24-25'!$A:$D,4,0)</f>
        <v>65.349999999999994</v>
      </c>
      <c r="AS135" s="5">
        <f t="shared" si="5"/>
        <v>291199.59999999998</v>
      </c>
    </row>
    <row r="136" spans="1:45" x14ac:dyDescent="0.3">
      <c r="A136" s="1">
        <v>45900.961111111108</v>
      </c>
      <c r="B136" t="s">
        <v>617</v>
      </c>
      <c r="C136" t="s">
        <v>618</v>
      </c>
      <c r="D136" t="s">
        <v>195</v>
      </c>
      <c r="F136" t="s">
        <v>1575</v>
      </c>
      <c r="G136" t="s">
        <v>196</v>
      </c>
      <c r="H136" t="s">
        <v>66</v>
      </c>
      <c r="I136" t="s">
        <v>43</v>
      </c>
      <c r="J136">
        <v>82</v>
      </c>
      <c r="K136">
        <v>19</v>
      </c>
      <c r="L136">
        <v>9.5</v>
      </c>
      <c r="M136">
        <v>11</v>
      </c>
      <c r="N136">
        <v>137779</v>
      </c>
      <c r="O136">
        <v>48</v>
      </c>
      <c r="P136">
        <v>0</v>
      </c>
      <c r="Q136">
        <v>258</v>
      </c>
      <c r="R136">
        <v>15279</v>
      </c>
      <c r="S136" t="s">
        <v>44</v>
      </c>
      <c r="T136" t="s">
        <v>44</v>
      </c>
      <c r="U136" t="s">
        <v>44</v>
      </c>
      <c r="V136">
        <v>2332</v>
      </c>
      <c r="W136">
        <v>368</v>
      </c>
      <c r="X136" t="s">
        <v>44</v>
      </c>
      <c r="Y136">
        <v>2266</v>
      </c>
      <c r="Z136" t="s">
        <v>44</v>
      </c>
      <c r="AA136">
        <v>0</v>
      </c>
      <c r="AB136">
        <v>0</v>
      </c>
      <c r="AC136">
        <v>0</v>
      </c>
      <c r="AD136">
        <v>0</v>
      </c>
      <c r="AE136">
        <v>30</v>
      </c>
      <c r="AF136">
        <v>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s="2">
        <v>2380</v>
      </c>
      <c r="AQ136">
        <f t="shared" si="4"/>
        <v>2380</v>
      </c>
      <c r="AR136" s="5">
        <f>VLOOKUP(F136,'[2]SCP_24-25'!$A:$D,4,0)</f>
        <v>99.42</v>
      </c>
      <c r="AS136" s="5">
        <f t="shared" si="5"/>
        <v>236619.6</v>
      </c>
    </row>
    <row r="137" spans="1:45" x14ac:dyDescent="0.3">
      <c r="A137" s="1">
        <v>45900.961111111108</v>
      </c>
      <c r="B137" t="s">
        <v>617</v>
      </c>
      <c r="C137" t="s">
        <v>618</v>
      </c>
      <c r="D137" t="s">
        <v>228</v>
      </c>
      <c r="F137" t="s">
        <v>1589</v>
      </c>
      <c r="G137" t="s">
        <v>229</v>
      </c>
      <c r="H137" t="s">
        <v>66</v>
      </c>
      <c r="I137" t="s">
        <v>43</v>
      </c>
      <c r="J137">
        <v>79</v>
      </c>
      <c r="K137">
        <v>19</v>
      </c>
      <c r="L137">
        <v>10</v>
      </c>
      <c r="M137">
        <v>11</v>
      </c>
      <c r="N137">
        <v>89780</v>
      </c>
      <c r="O137">
        <v>163</v>
      </c>
      <c r="P137">
        <v>0</v>
      </c>
      <c r="Q137">
        <v>153</v>
      </c>
      <c r="R137">
        <v>2375</v>
      </c>
      <c r="S137" t="s">
        <v>44</v>
      </c>
      <c r="T137" t="s">
        <v>44</v>
      </c>
      <c r="U137" t="s">
        <v>44</v>
      </c>
      <c r="V137">
        <v>3411</v>
      </c>
      <c r="W137">
        <v>279</v>
      </c>
      <c r="X137" t="s">
        <v>44</v>
      </c>
      <c r="Y137">
        <v>3371</v>
      </c>
      <c r="Z137" t="s">
        <v>44</v>
      </c>
      <c r="AA137">
        <v>6</v>
      </c>
      <c r="AB137">
        <v>0</v>
      </c>
      <c r="AC137">
        <v>0</v>
      </c>
      <c r="AD137">
        <v>0</v>
      </c>
      <c r="AE137">
        <v>134</v>
      </c>
      <c r="AF137">
        <v>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s="2">
        <v>3580</v>
      </c>
      <c r="AQ137">
        <f t="shared" si="4"/>
        <v>3580</v>
      </c>
      <c r="AR137" s="5">
        <f>VLOOKUP(F137,'[2]SCP_24-25'!$A:$D,4,0)</f>
        <v>69.61</v>
      </c>
      <c r="AS137" s="5">
        <f t="shared" si="5"/>
        <v>249203.8</v>
      </c>
    </row>
    <row r="138" spans="1:45" x14ac:dyDescent="0.3">
      <c r="A138" s="1">
        <v>45900.961111111108</v>
      </c>
      <c r="B138" t="s">
        <v>617</v>
      </c>
      <c r="C138" t="s">
        <v>618</v>
      </c>
      <c r="D138" t="s">
        <v>230</v>
      </c>
      <c r="F138" t="s">
        <v>1590</v>
      </c>
      <c r="G138" t="s">
        <v>231</v>
      </c>
      <c r="H138" t="s">
        <v>66</v>
      </c>
      <c r="I138" t="s">
        <v>43</v>
      </c>
      <c r="J138">
        <v>47</v>
      </c>
      <c r="K138">
        <v>19</v>
      </c>
      <c r="L138">
        <v>10</v>
      </c>
      <c r="M138">
        <v>11</v>
      </c>
      <c r="N138">
        <v>366231</v>
      </c>
      <c r="O138">
        <v>337</v>
      </c>
      <c r="P138">
        <v>0</v>
      </c>
      <c r="Q138">
        <v>235</v>
      </c>
      <c r="R138">
        <v>64575</v>
      </c>
      <c r="S138" t="s">
        <v>44</v>
      </c>
      <c r="T138" t="s">
        <v>44</v>
      </c>
      <c r="U138" t="s">
        <v>44</v>
      </c>
      <c r="V138">
        <v>2809</v>
      </c>
      <c r="W138">
        <v>226</v>
      </c>
      <c r="X138" t="s">
        <v>44</v>
      </c>
      <c r="Y138">
        <v>2605</v>
      </c>
      <c r="Z138" t="s">
        <v>44</v>
      </c>
      <c r="AA138">
        <v>9</v>
      </c>
      <c r="AB138">
        <v>0</v>
      </c>
      <c r="AC138">
        <v>0</v>
      </c>
      <c r="AD138">
        <v>0</v>
      </c>
      <c r="AE138">
        <v>604</v>
      </c>
      <c r="AF138">
        <v>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2">
        <v>3155</v>
      </c>
      <c r="AQ138">
        <f t="shared" si="4"/>
        <v>3155</v>
      </c>
      <c r="AR138" s="5">
        <f>VLOOKUP(F138,'[2]SCP_24-25'!$A:$D,4,0)</f>
        <v>75.81</v>
      </c>
      <c r="AS138" s="5">
        <f t="shared" si="5"/>
        <v>239180.55000000002</v>
      </c>
    </row>
    <row r="139" spans="1:45" x14ac:dyDescent="0.3">
      <c r="A139" s="1">
        <v>45900.961111111108</v>
      </c>
      <c r="B139" t="s">
        <v>617</v>
      </c>
      <c r="C139" t="s">
        <v>618</v>
      </c>
      <c r="D139" t="s">
        <v>239</v>
      </c>
      <c r="E139" t="s">
        <v>240</v>
      </c>
      <c r="F139" t="s">
        <v>1594</v>
      </c>
      <c r="G139" t="s">
        <v>241</v>
      </c>
      <c r="H139" t="s">
        <v>66</v>
      </c>
      <c r="I139" t="s">
        <v>43</v>
      </c>
      <c r="J139">
        <v>35</v>
      </c>
      <c r="K139">
        <v>19</v>
      </c>
      <c r="L139">
        <v>11</v>
      </c>
      <c r="M139">
        <v>9.5</v>
      </c>
      <c r="N139">
        <v>159237</v>
      </c>
      <c r="O139">
        <v>86</v>
      </c>
      <c r="P139">
        <v>0</v>
      </c>
      <c r="Q139">
        <v>206</v>
      </c>
      <c r="R139">
        <v>16720</v>
      </c>
      <c r="S139" t="s">
        <v>44</v>
      </c>
      <c r="T139">
        <v>25</v>
      </c>
      <c r="U139" t="s">
        <v>44</v>
      </c>
      <c r="V139">
        <v>3063</v>
      </c>
      <c r="W139">
        <v>835</v>
      </c>
      <c r="X139" t="s">
        <v>44</v>
      </c>
      <c r="Y139">
        <v>2928</v>
      </c>
      <c r="Z139" t="s">
        <v>44</v>
      </c>
      <c r="AA139">
        <v>2</v>
      </c>
      <c r="AB139">
        <v>0</v>
      </c>
      <c r="AC139">
        <v>0</v>
      </c>
      <c r="AD139">
        <v>0</v>
      </c>
      <c r="AE139">
        <v>135</v>
      </c>
      <c r="AF139">
        <v>4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s="2">
        <v>3151</v>
      </c>
      <c r="AQ139">
        <f t="shared" si="4"/>
        <v>3151</v>
      </c>
      <c r="AR139" s="5">
        <f>VLOOKUP(F139,'[2]SCP_24-25'!$A:$D,4,0)</f>
        <v>31.31</v>
      </c>
      <c r="AS139" s="5">
        <f t="shared" si="5"/>
        <v>98657.81</v>
      </c>
    </row>
    <row r="140" spans="1:45" x14ac:dyDescent="0.3">
      <c r="A140" s="1">
        <v>45900.961111111108</v>
      </c>
      <c r="B140" t="s">
        <v>617</v>
      </c>
      <c r="C140" t="s">
        <v>618</v>
      </c>
      <c r="D140" t="s">
        <v>248</v>
      </c>
      <c r="E140" t="s">
        <v>249</v>
      </c>
      <c r="F140" t="s">
        <v>1597</v>
      </c>
      <c r="G140" t="s">
        <v>250</v>
      </c>
      <c r="H140" t="s">
        <v>66</v>
      </c>
      <c r="I140" t="s">
        <v>43</v>
      </c>
      <c r="J140">
        <v>35</v>
      </c>
      <c r="K140">
        <v>19</v>
      </c>
      <c r="L140">
        <v>11</v>
      </c>
      <c r="M140">
        <v>9.5</v>
      </c>
      <c r="N140">
        <v>75258</v>
      </c>
      <c r="O140">
        <v>71</v>
      </c>
      <c r="P140">
        <v>0</v>
      </c>
      <c r="Q140">
        <v>101</v>
      </c>
      <c r="R140">
        <v>4879</v>
      </c>
      <c r="S140" t="s">
        <v>44</v>
      </c>
      <c r="T140" t="s">
        <v>44</v>
      </c>
      <c r="U140" t="s">
        <v>44</v>
      </c>
      <c r="V140">
        <v>1294</v>
      </c>
      <c r="W140">
        <v>207</v>
      </c>
      <c r="X140" t="s">
        <v>44</v>
      </c>
      <c r="Y140">
        <v>1274</v>
      </c>
      <c r="Z140" t="s">
        <v>44</v>
      </c>
      <c r="AA140">
        <v>0</v>
      </c>
      <c r="AB140">
        <v>0</v>
      </c>
      <c r="AC140">
        <v>0</v>
      </c>
      <c r="AD140">
        <v>0</v>
      </c>
      <c r="AE140">
        <v>38</v>
      </c>
      <c r="AF140">
        <v>5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s="2">
        <v>1365</v>
      </c>
      <c r="AQ140">
        <f t="shared" ref="AQ140:AQ203" si="6">O140+P140+V140+AA140</f>
        <v>1365</v>
      </c>
      <c r="AR140" s="5">
        <f>VLOOKUP(F140,'[2]SCP_24-25'!$A:$D,4,0)</f>
        <v>26.914999999999996</v>
      </c>
      <c r="AS140" s="5">
        <f t="shared" si="5"/>
        <v>36738.974999999991</v>
      </c>
    </row>
    <row r="141" spans="1:45" x14ac:dyDescent="0.3">
      <c r="A141" s="1">
        <v>45900.961111111108</v>
      </c>
      <c r="B141" t="s">
        <v>617</v>
      </c>
      <c r="C141" t="s">
        <v>618</v>
      </c>
      <c r="D141" t="s">
        <v>257</v>
      </c>
      <c r="E141" t="s">
        <v>258</v>
      </c>
      <c r="F141" t="s">
        <v>1600</v>
      </c>
      <c r="G141" t="s">
        <v>259</v>
      </c>
      <c r="H141" t="s">
        <v>66</v>
      </c>
      <c r="I141" t="s">
        <v>43</v>
      </c>
      <c r="J141">
        <v>200</v>
      </c>
      <c r="K141">
        <v>19</v>
      </c>
      <c r="L141">
        <v>11</v>
      </c>
      <c r="M141">
        <v>9.5</v>
      </c>
      <c r="N141">
        <v>113172</v>
      </c>
      <c r="O141">
        <v>162</v>
      </c>
      <c r="P141">
        <v>0</v>
      </c>
      <c r="Q141">
        <v>520</v>
      </c>
      <c r="R141">
        <v>7323</v>
      </c>
      <c r="S141" t="s">
        <v>44</v>
      </c>
      <c r="T141">
        <v>1</v>
      </c>
      <c r="U141" t="s">
        <v>44</v>
      </c>
      <c r="V141">
        <v>2540</v>
      </c>
      <c r="W141">
        <v>33</v>
      </c>
      <c r="X141" t="s">
        <v>44</v>
      </c>
      <c r="Y141">
        <v>2521</v>
      </c>
      <c r="Z141" t="s">
        <v>44</v>
      </c>
      <c r="AA141">
        <v>6</v>
      </c>
      <c r="AB141">
        <v>0</v>
      </c>
      <c r="AC141">
        <v>0</v>
      </c>
      <c r="AD141">
        <v>0</v>
      </c>
      <c r="AE141">
        <v>20</v>
      </c>
      <c r="AF141">
        <v>7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s="2">
        <v>2708</v>
      </c>
      <c r="AQ141">
        <f t="shared" si="6"/>
        <v>2708</v>
      </c>
      <c r="AR141" s="5">
        <f>VLOOKUP(F141,'[2]SCP_24-25'!$A:$D,4,0)</f>
        <v>62.99</v>
      </c>
      <c r="AS141" s="5">
        <f t="shared" si="5"/>
        <v>170576.92</v>
      </c>
    </row>
    <row r="142" spans="1:45" x14ac:dyDescent="0.3">
      <c r="A142" s="1">
        <v>45900.961111111108</v>
      </c>
      <c r="B142" t="s">
        <v>617</v>
      </c>
      <c r="C142" t="s">
        <v>618</v>
      </c>
      <c r="D142" t="s">
        <v>263</v>
      </c>
      <c r="E142" t="s">
        <v>264</v>
      </c>
      <c r="F142" t="s">
        <v>1602</v>
      </c>
      <c r="G142" t="s">
        <v>265</v>
      </c>
      <c r="H142" t="s">
        <v>66</v>
      </c>
      <c r="I142" t="s">
        <v>43</v>
      </c>
      <c r="J142">
        <v>150</v>
      </c>
      <c r="K142">
        <v>19</v>
      </c>
      <c r="L142">
        <v>11</v>
      </c>
      <c r="M142">
        <v>9.5</v>
      </c>
      <c r="N142">
        <v>160898</v>
      </c>
      <c r="O142">
        <v>408</v>
      </c>
      <c r="P142">
        <v>0</v>
      </c>
      <c r="Q142">
        <v>1683</v>
      </c>
      <c r="R142">
        <v>11441</v>
      </c>
      <c r="S142" t="s">
        <v>44</v>
      </c>
      <c r="T142" t="s">
        <v>44</v>
      </c>
      <c r="U142" t="s">
        <v>44</v>
      </c>
      <c r="V142">
        <v>1799</v>
      </c>
      <c r="W142">
        <v>362</v>
      </c>
      <c r="X142" t="s">
        <v>44</v>
      </c>
      <c r="Y142">
        <v>1786</v>
      </c>
      <c r="Z142" t="s">
        <v>44</v>
      </c>
      <c r="AA142">
        <v>23</v>
      </c>
      <c r="AB142">
        <v>0</v>
      </c>
      <c r="AC142">
        <v>0</v>
      </c>
      <c r="AD142">
        <v>0</v>
      </c>
      <c r="AE142">
        <v>19</v>
      </c>
      <c r="AF142">
        <v>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s="2">
        <v>2230</v>
      </c>
      <c r="AQ142">
        <f t="shared" si="6"/>
        <v>2230</v>
      </c>
      <c r="AR142" s="5">
        <f>VLOOKUP(F142,'[2]SCP_24-25'!$A:$D,4,0)</f>
        <v>31.706666666666667</v>
      </c>
      <c r="AS142" s="5">
        <f t="shared" si="5"/>
        <v>70705.866666666669</v>
      </c>
    </row>
    <row r="143" spans="1:45" x14ac:dyDescent="0.3">
      <c r="A143" s="1">
        <v>45900.961111111108</v>
      </c>
      <c r="B143" t="s">
        <v>617</v>
      </c>
      <c r="C143" t="s">
        <v>618</v>
      </c>
      <c r="D143" t="s">
        <v>305</v>
      </c>
      <c r="E143" t="s">
        <v>306</v>
      </c>
      <c r="F143" t="s">
        <v>1618</v>
      </c>
      <c r="G143" t="s">
        <v>307</v>
      </c>
      <c r="H143" t="s">
        <v>66</v>
      </c>
      <c r="I143" t="s">
        <v>43</v>
      </c>
      <c r="J143">
        <v>120</v>
      </c>
      <c r="K143">
        <v>19</v>
      </c>
      <c r="L143">
        <v>11</v>
      </c>
      <c r="M143">
        <v>9.5</v>
      </c>
      <c r="N143">
        <v>349252</v>
      </c>
      <c r="O143">
        <v>2875</v>
      </c>
      <c r="P143">
        <v>0</v>
      </c>
      <c r="Q143">
        <v>124</v>
      </c>
      <c r="R143">
        <v>14251</v>
      </c>
      <c r="S143" t="s">
        <v>44</v>
      </c>
      <c r="T143" t="s">
        <v>44</v>
      </c>
      <c r="U143" t="s">
        <v>44</v>
      </c>
      <c r="V143">
        <v>2882</v>
      </c>
      <c r="W143">
        <v>33</v>
      </c>
      <c r="X143" t="s">
        <v>44</v>
      </c>
      <c r="Y143">
        <v>2878</v>
      </c>
      <c r="Z143" t="s">
        <v>44</v>
      </c>
      <c r="AA143">
        <v>59</v>
      </c>
      <c r="AB143">
        <v>0</v>
      </c>
      <c r="AC143">
        <v>0</v>
      </c>
      <c r="AD143">
        <v>0</v>
      </c>
      <c r="AE143">
        <v>12</v>
      </c>
      <c r="AF143">
        <v>84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s="2">
        <v>5816</v>
      </c>
      <c r="AQ143">
        <f t="shared" si="6"/>
        <v>5816</v>
      </c>
      <c r="AR143" s="5">
        <f>VLOOKUP(F143,'[2]SCP_24-25'!$A:$D,4,0)</f>
        <v>44.312857142857141</v>
      </c>
      <c r="AS143" s="5">
        <f t="shared" si="5"/>
        <v>257723.57714285713</v>
      </c>
    </row>
    <row r="144" spans="1:45" x14ac:dyDescent="0.3">
      <c r="A144" s="1">
        <v>45900.961111111108</v>
      </c>
      <c r="B144" t="s">
        <v>617</v>
      </c>
      <c r="C144" t="s">
        <v>618</v>
      </c>
      <c r="D144" t="s">
        <v>777</v>
      </c>
      <c r="E144" t="s">
        <v>778</v>
      </c>
      <c r="F144" t="s">
        <v>1841</v>
      </c>
      <c r="G144" t="s">
        <v>779</v>
      </c>
      <c r="H144" t="s">
        <v>66</v>
      </c>
      <c r="I144" t="s">
        <v>43</v>
      </c>
      <c r="J144">
        <v>50</v>
      </c>
      <c r="K144">
        <v>19</v>
      </c>
      <c r="L144">
        <v>11</v>
      </c>
      <c r="M144">
        <v>9.5</v>
      </c>
      <c r="N144">
        <v>114480</v>
      </c>
      <c r="O144">
        <v>0</v>
      </c>
      <c r="P144">
        <v>0</v>
      </c>
      <c r="Q144">
        <v>132</v>
      </c>
      <c r="R144">
        <v>10524</v>
      </c>
      <c r="S144" t="s">
        <v>44</v>
      </c>
      <c r="T144" t="s">
        <v>44</v>
      </c>
      <c r="U144" t="s">
        <v>44</v>
      </c>
      <c r="V144">
        <v>3619</v>
      </c>
      <c r="W144">
        <v>4690</v>
      </c>
      <c r="X144" t="s">
        <v>44</v>
      </c>
      <c r="Y144">
        <v>3619</v>
      </c>
      <c r="Z144" t="s">
        <v>44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s="2">
        <v>3619</v>
      </c>
      <c r="AQ144">
        <f t="shared" si="6"/>
        <v>3619</v>
      </c>
      <c r="AR144" s="5">
        <f>VLOOKUP(F144,'[2]SCP_24-25'!$A:$D,4,0)</f>
        <v>13.06</v>
      </c>
      <c r="AS144" s="5">
        <f t="shared" si="5"/>
        <v>47264.14</v>
      </c>
    </row>
    <row r="145" spans="1:45" x14ac:dyDescent="0.3">
      <c r="A145" s="1">
        <v>45900.961111111108</v>
      </c>
      <c r="B145" t="s">
        <v>617</v>
      </c>
      <c r="C145" t="s">
        <v>618</v>
      </c>
      <c r="D145" t="s">
        <v>67</v>
      </c>
      <c r="E145" t="s">
        <v>68</v>
      </c>
      <c r="F145" t="s">
        <v>1521</v>
      </c>
      <c r="G145" t="s">
        <v>69</v>
      </c>
      <c r="H145" t="s">
        <v>66</v>
      </c>
      <c r="I145" t="s">
        <v>43</v>
      </c>
      <c r="J145">
        <v>110</v>
      </c>
      <c r="K145">
        <v>19</v>
      </c>
      <c r="L145">
        <v>9.5</v>
      </c>
      <c r="M145">
        <v>11</v>
      </c>
      <c r="N145">
        <v>209141</v>
      </c>
      <c r="O145">
        <v>1037</v>
      </c>
      <c r="P145">
        <v>0</v>
      </c>
      <c r="Q145">
        <v>39</v>
      </c>
      <c r="R145">
        <v>12303</v>
      </c>
      <c r="S145" t="s">
        <v>44</v>
      </c>
      <c r="T145" t="s">
        <v>44</v>
      </c>
      <c r="U145" t="s">
        <v>44</v>
      </c>
      <c r="V145">
        <v>2592</v>
      </c>
      <c r="W145">
        <v>748</v>
      </c>
      <c r="X145" t="s">
        <v>44</v>
      </c>
      <c r="Y145">
        <v>2578</v>
      </c>
      <c r="Z145" t="s">
        <v>44</v>
      </c>
      <c r="AA145">
        <v>12</v>
      </c>
      <c r="AB145">
        <v>0</v>
      </c>
      <c r="AC145">
        <v>0</v>
      </c>
      <c r="AD145">
        <v>0</v>
      </c>
      <c r="AE145">
        <v>20</v>
      </c>
      <c r="AF145">
        <v>29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s="2">
        <v>3641</v>
      </c>
      <c r="AQ145">
        <f t="shared" si="6"/>
        <v>3641</v>
      </c>
      <c r="AR145" s="5">
        <f>VLOOKUP(F145,'[2]SCP_24-25'!$A:$D,4,0)</f>
        <v>53.91</v>
      </c>
      <c r="AS145" s="5">
        <f t="shared" si="5"/>
        <v>196286.31</v>
      </c>
    </row>
    <row r="146" spans="1:45" x14ac:dyDescent="0.3">
      <c r="A146" s="1">
        <v>45900.961111111108</v>
      </c>
      <c r="B146" t="s">
        <v>617</v>
      </c>
      <c r="C146" t="s">
        <v>618</v>
      </c>
      <c r="D146" t="s">
        <v>97</v>
      </c>
      <c r="E146" t="s">
        <v>98</v>
      </c>
      <c r="F146" t="s">
        <v>1531</v>
      </c>
      <c r="G146" t="s">
        <v>99</v>
      </c>
      <c r="H146" t="s">
        <v>66</v>
      </c>
      <c r="I146" t="s">
        <v>43</v>
      </c>
      <c r="J146">
        <v>100</v>
      </c>
      <c r="K146">
        <v>19</v>
      </c>
      <c r="L146">
        <v>9.5</v>
      </c>
      <c r="M146">
        <v>11</v>
      </c>
      <c r="N146">
        <v>94867</v>
      </c>
      <c r="O146">
        <v>102</v>
      </c>
      <c r="P146">
        <v>0</v>
      </c>
      <c r="Q146">
        <v>30</v>
      </c>
      <c r="R146">
        <v>3235</v>
      </c>
      <c r="S146" t="s">
        <v>44</v>
      </c>
      <c r="T146" t="s">
        <v>44</v>
      </c>
      <c r="U146" t="s">
        <v>44</v>
      </c>
      <c r="V146">
        <v>3087</v>
      </c>
      <c r="W146">
        <v>625</v>
      </c>
      <c r="X146" t="s">
        <v>44</v>
      </c>
      <c r="Y146">
        <v>3066</v>
      </c>
      <c r="Z146" t="s">
        <v>44</v>
      </c>
      <c r="AA146">
        <v>3</v>
      </c>
      <c r="AB146">
        <v>0</v>
      </c>
      <c r="AC146">
        <v>0</v>
      </c>
      <c r="AD146">
        <v>0</v>
      </c>
      <c r="AE146">
        <v>1</v>
      </c>
      <c r="AF146">
        <v>10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s="2">
        <v>3192</v>
      </c>
      <c r="AQ146">
        <f t="shared" si="6"/>
        <v>3192</v>
      </c>
      <c r="AR146" s="5">
        <f>VLOOKUP(F146,'[2]SCP_24-25'!$A:$D,4,0)</f>
        <v>132.01</v>
      </c>
      <c r="AS146" s="5">
        <f t="shared" si="5"/>
        <v>421375.92</v>
      </c>
    </row>
    <row r="147" spans="1:45" x14ac:dyDescent="0.3">
      <c r="A147" s="1">
        <v>45900.961111111108</v>
      </c>
      <c r="B147" t="s">
        <v>617</v>
      </c>
      <c r="C147" t="s">
        <v>618</v>
      </c>
      <c r="D147" t="s">
        <v>110</v>
      </c>
      <c r="E147" t="s">
        <v>111</v>
      </c>
      <c r="F147" t="s">
        <v>1535</v>
      </c>
      <c r="G147" t="s">
        <v>112</v>
      </c>
      <c r="H147" t="s">
        <v>66</v>
      </c>
      <c r="I147" t="s">
        <v>43</v>
      </c>
      <c r="J147">
        <v>50</v>
      </c>
      <c r="K147">
        <v>19</v>
      </c>
      <c r="L147">
        <v>10</v>
      </c>
      <c r="M147">
        <v>11</v>
      </c>
      <c r="N147">
        <v>104664</v>
      </c>
      <c r="O147">
        <v>118</v>
      </c>
      <c r="P147">
        <v>0</v>
      </c>
      <c r="Q147">
        <v>83</v>
      </c>
      <c r="R147">
        <v>22386</v>
      </c>
      <c r="S147" t="s">
        <v>44</v>
      </c>
      <c r="T147" t="s">
        <v>44</v>
      </c>
      <c r="U147" t="s">
        <v>44</v>
      </c>
      <c r="V147">
        <v>1911</v>
      </c>
      <c r="W147">
        <v>1564</v>
      </c>
      <c r="X147" t="s">
        <v>44</v>
      </c>
      <c r="Y147">
        <v>1886</v>
      </c>
      <c r="Z147" t="s">
        <v>44</v>
      </c>
      <c r="AA147">
        <v>6</v>
      </c>
      <c r="AB147">
        <v>0</v>
      </c>
      <c r="AC147">
        <v>0</v>
      </c>
      <c r="AD147">
        <v>0</v>
      </c>
      <c r="AE147">
        <v>16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s="2">
        <v>2035</v>
      </c>
      <c r="AQ147">
        <f t="shared" si="6"/>
        <v>2035</v>
      </c>
      <c r="AR147" s="5">
        <f>VLOOKUP(F147,'[2]SCP_24-25'!$A:$D,4,0)</f>
        <v>45.474000000000004</v>
      </c>
      <c r="AS147" s="5">
        <f t="shared" si="5"/>
        <v>92539.590000000011</v>
      </c>
    </row>
    <row r="148" spans="1:45" x14ac:dyDescent="0.3">
      <c r="A148" s="1">
        <v>45900.961111111108</v>
      </c>
      <c r="B148" t="s">
        <v>617</v>
      </c>
      <c r="C148" t="s">
        <v>618</v>
      </c>
      <c r="D148" t="s">
        <v>780</v>
      </c>
      <c r="E148" t="s">
        <v>781</v>
      </c>
      <c r="F148" t="s">
        <v>1842</v>
      </c>
      <c r="G148" t="s">
        <v>782</v>
      </c>
      <c r="H148" t="s">
        <v>66</v>
      </c>
      <c r="I148" t="s">
        <v>43</v>
      </c>
      <c r="J148">
        <v>415</v>
      </c>
      <c r="K148">
        <v>23</v>
      </c>
      <c r="L148">
        <v>18</v>
      </c>
      <c r="M148">
        <v>8</v>
      </c>
      <c r="N148">
        <v>5861</v>
      </c>
      <c r="O148">
        <v>0</v>
      </c>
      <c r="P148">
        <v>0</v>
      </c>
      <c r="Q148">
        <v>1</v>
      </c>
      <c r="R148">
        <v>667</v>
      </c>
      <c r="S148" t="s">
        <v>44</v>
      </c>
      <c r="T148" t="s">
        <v>44</v>
      </c>
      <c r="U148" t="s">
        <v>44</v>
      </c>
      <c r="V148">
        <v>3690</v>
      </c>
      <c r="W148" t="s">
        <v>44</v>
      </c>
      <c r="X148" t="s">
        <v>44</v>
      </c>
      <c r="Y148">
        <v>3690</v>
      </c>
      <c r="Z148" t="s">
        <v>44</v>
      </c>
      <c r="AA148">
        <v>2</v>
      </c>
      <c r="AB148">
        <v>0</v>
      </c>
      <c r="AC148">
        <v>0</v>
      </c>
      <c r="AD148">
        <v>0</v>
      </c>
      <c r="AE148">
        <v>4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s="2">
        <v>3692</v>
      </c>
      <c r="AQ148">
        <f t="shared" si="6"/>
        <v>3692</v>
      </c>
      <c r="AR148" s="5">
        <f>VLOOKUP(F148,'[1]Cost Sheet'!$C:$D,2,0)</f>
        <v>338.61</v>
      </c>
      <c r="AS148" s="5">
        <f t="shared" si="5"/>
        <v>1250148.1200000001</v>
      </c>
    </row>
    <row r="149" spans="1:45" x14ac:dyDescent="0.3">
      <c r="A149" s="1">
        <v>45900.961111111108</v>
      </c>
      <c r="B149" t="s">
        <v>617</v>
      </c>
      <c r="C149" t="s">
        <v>618</v>
      </c>
      <c r="D149" t="s">
        <v>353</v>
      </c>
      <c r="E149" t="s">
        <v>345</v>
      </c>
      <c r="F149" t="s">
        <v>1636</v>
      </c>
      <c r="G149" t="s">
        <v>354</v>
      </c>
      <c r="H149" t="s">
        <v>130</v>
      </c>
      <c r="I149" t="s">
        <v>43</v>
      </c>
      <c r="J149">
        <v>112.62</v>
      </c>
      <c r="K149">
        <v>19</v>
      </c>
      <c r="L149">
        <v>10</v>
      </c>
      <c r="M149">
        <v>11</v>
      </c>
      <c r="N149">
        <v>61203</v>
      </c>
      <c r="O149">
        <v>96</v>
      </c>
      <c r="P149">
        <v>0</v>
      </c>
      <c r="Q149">
        <v>51</v>
      </c>
      <c r="R149">
        <v>2428</v>
      </c>
      <c r="S149" t="s">
        <v>44</v>
      </c>
      <c r="T149" t="s">
        <v>44</v>
      </c>
      <c r="U149" t="s">
        <v>44</v>
      </c>
      <c r="V149">
        <v>3081</v>
      </c>
      <c r="W149">
        <v>49</v>
      </c>
      <c r="X149" t="s">
        <v>44</v>
      </c>
      <c r="Y149">
        <v>2973</v>
      </c>
      <c r="Z149" t="s">
        <v>44</v>
      </c>
      <c r="AA149">
        <v>6</v>
      </c>
      <c r="AB149">
        <v>0</v>
      </c>
      <c r="AC149">
        <v>0</v>
      </c>
      <c r="AD149">
        <v>0</v>
      </c>
      <c r="AE149">
        <v>23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s="2">
        <v>3183</v>
      </c>
      <c r="AQ149">
        <f t="shared" si="6"/>
        <v>3183</v>
      </c>
      <c r="AR149" s="5">
        <f>VLOOKUP(F149,'[2]SCP_24-25'!$A:$D,4,0)</f>
        <v>114.81</v>
      </c>
      <c r="AS149" s="5">
        <f t="shared" si="5"/>
        <v>365440.23</v>
      </c>
    </row>
    <row r="150" spans="1:45" x14ac:dyDescent="0.3">
      <c r="A150" s="1">
        <v>45900.961111111108</v>
      </c>
      <c r="B150" t="s">
        <v>617</v>
      </c>
      <c r="C150" t="s">
        <v>618</v>
      </c>
      <c r="D150" t="s">
        <v>372</v>
      </c>
      <c r="E150" t="s">
        <v>368</v>
      </c>
      <c r="F150" t="s">
        <v>1644</v>
      </c>
      <c r="G150" t="s">
        <v>373</v>
      </c>
      <c r="H150" t="s">
        <v>130</v>
      </c>
      <c r="I150" t="s">
        <v>43</v>
      </c>
      <c r="J150">
        <v>24.02</v>
      </c>
      <c r="K150">
        <v>19</v>
      </c>
      <c r="L150">
        <v>10</v>
      </c>
      <c r="M150">
        <v>11</v>
      </c>
      <c r="N150">
        <v>91898</v>
      </c>
      <c r="O150">
        <v>91</v>
      </c>
      <c r="P150">
        <v>0</v>
      </c>
      <c r="Q150">
        <v>45</v>
      </c>
      <c r="R150">
        <v>2984</v>
      </c>
      <c r="S150" t="s">
        <v>44</v>
      </c>
      <c r="T150" t="s">
        <v>44</v>
      </c>
      <c r="U150" t="s">
        <v>44</v>
      </c>
      <c r="V150">
        <v>3228</v>
      </c>
      <c r="W150">
        <v>206</v>
      </c>
      <c r="X150" t="s">
        <v>44</v>
      </c>
      <c r="Y150">
        <v>3213</v>
      </c>
      <c r="Z150" t="s">
        <v>44</v>
      </c>
      <c r="AA150">
        <v>6</v>
      </c>
      <c r="AB150">
        <v>0</v>
      </c>
      <c r="AC150">
        <v>0</v>
      </c>
      <c r="AD150">
        <v>0</v>
      </c>
      <c r="AE150">
        <v>4</v>
      </c>
      <c r="AF150">
        <v>2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s="2">
        <v>3325</v>
      </c>
      <c r="AQ150">
        <f t="shared" si="6"/>
        <v>3325</v>
      </c>
      <c r="AR150" s="5">
        <f>VLOOKUP(F150,'[2]SCP_24-25'!$A:$D,4,0)</f>
        <v>78.575999999999993</v>
      </c>
      <c r="AS150" s="5">
        <f t="shared" si="5"/>
        <v>261265.19999999998</v>
      </c>
    </row>
    <row r="151" spans="1:45" x14ac:dyDescent="0.3">
      <c r="A151" s="1">
        <v>45900.961111111108</v>
      </c>
      <c r="B151" t="s">
        <v>617</v>
      </c>
      <c r="C151" t="s">
        <v>618</v>
      </c>
      <c r="D151" t="s">
        <v>376</v>
      </c>
      <c r="E151" t="s">
        <v>368</v>
      </c>
      <c r="F151" t="s">
        <v>1646</v>
      </c>
      <c r="G151" t="s">
        <v>377</v>
      </c>
      <c r="H151" t="s">
        <v>130</v>
      </c>
      <c r="I151" t="s">
        <v>43</v>
      </c>
      <c r="J151">
        <v>24.02</v>
      </c>
      <c r="K151">
        <v>19</v>
      </c>
      <c r="L151">
        <v>10</v>
      </c>
      <c r="M151">
        <v>11</v>
      </c>
      <c r="N151">
        <v>65059</v>
      </c>
      <c r="O151">
        <v>124</v>
      </c>
      <c r="P151">
        <v>0</v>
      </c>
      <c r="Q151">
        <v>35</v>
      </c>
      <c r="R151">
        <v>6536</v>
      </c>
      <c r="S151" t="s">
        <v>44</v>
      </c>
      <c r="T151" t="s">
        <v>44</v>
      </c>
      <c r="U151" t="s">
        <v>44</v>
      </c>
      <c r="V151">
        <v>1380</v>
      </c>
      <c r="W151">
        <v>225</v>
      </c>
      <c r="X151" t="s">
        <v>44</v>
      </c>
      <c r="Y151">
        <v>1269</v>
      </c>
      <c r="Z151" t="s">
        <v>44</v>
      </c>
      <c r="AA151">
        <v>7</v>
      </c>
      <c r="AB151">
        <v>0</v>
      </c>
      <c r="AC151">
        <v>0</v>
      </c>
      <c r="AD151">
        <v>0</v>
      </c>
      <c r="AE151">
        <v>3</v>
      </c>
      <c r="AF151">
        <v>2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s="2">
        <v>1511</v>
      </c>
      <c r="AQ151">
        <f t="shared" si="6"/>
        <v>1511</v>
      </c>
      <c r="AR151" s="5">
        <f>VLOOKUP(F151,'[2]SCP_24-25'!$A:$D,4,0)</f>
        <v>78.760000000000005</v>
      </c>
      <c r="AS151" s="5">
        <f t="shared" si="5"/>
        <v>119006.36</v>
      </c>
    </row>
    <row r="152" spans="1:45" x14ac:dyDescent="0.3">
      <c r="A152" s="1">
        <v>45900.961111111108</v>
      </c>
      <c r="B152" t="s">
        <v>617</v>
      </c>
      <c r="C152" t="s">
        <v>618</v>
      </c>
      <c r="D152" t="s">
        <v>382</v>
      </c>
      <c r="E152" t="s">
        <v>368</v>
      </c>
      <c r="F152" t="s">
        <v>1649</v>
      </c>
      <c r="G152" t="s">
        <v>383</v>
      </c>
      <c r="H152" t="s">
        <v>130</v>
      </c>
      <c r="I152" t="s">
        <v>43</v>
      </c>
      <c r="J152">
        <v>24.02</v>
      </c>
      <c r="K152">
        <v>19</v>
      </c>
      <c r="L152">
        <v>10</v>
      </c>
      <c r="M152">
        <v>11</v>
      </c>
      <c r="N152">
        <v>66911</v>
      </c>
      <c r="O152">
        <v>70</v>
      </c>
      <c r="P152">
        <v>0</v>
      </c>
      <c r="Q152">
        <v>47</v>
      </c>
      <c r="R152">
        <v>11537</v>
      </c>
      <c r="S152" t="s">
        <v>44</v>
      </c>
      <c r="T152" t="s">
        <v>44</v>
      </c>
      <c r="U152" t="s">
        <v>44</v>
      </c>
      <c r="V152">
        <v>2231</v>
      </c>
      <c r="W152">
        <v>527</v>
      </c>
      <c r="X152" t="s">
        <v>44</v>
      </c>
      <c r="Y152">
        <v>2156</v>
      </c>
      <c r="Z152" t="s">
        <v>44</v>
      </c>
      <c r="AA152">
        <v>5</v>
      </c>
      <c r="AB152">
        <v>0</v>
      </c>
      <c r="AC152">
        <v>0</v>
      </c>
      <c r="AD152">
        <v>0</v>
      </c>
      <c r="AE152">
        <v>29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s="2">
        <v>2306</v>
      </c>
      <c r="AQ152">
        <f t="shared" si="6"/>
        <v>2306</v>
      </c>
      <c r="AR152" s="5">
        <f>VLOOKUP(F152,'[2]SCP_24-25'!$A:$D,4,0)</f>
        <v>77.84</v>
      </c>
      <c r="AS152" s="5">
        <f t="shared" si="5"/>
        <v>179499.04</v>
      </c>
    </row>
    <row r="153" spans="1:45" x14ac:dyDescent="0.3">
      <c r="A153" s="1">
        <v>45900.961111111108</v>
      </c>
      <c r="B153" t="s">
        <v>617</v>
      </c>
      <c r="C153" t="s">
        <v>618</v>
      </c>
      <c r="D153" t="s">
        <v>384</v>
      </c>
      <c r="E153" t="s">
        <v>368</v>
      </c>
      <c r="F153" t="s">
        <v>1650</v>
      </c>
      <c r="G153" t="s">
        <v>385</v>
      </c>
      <c r="H153" t="s">
        <v>130</v>
      </c>
      <c r="I153" t="s">
        <v>43</v>
      </c>
      <c r="J153">
        <v>24</v>
      </c>
      <c r="K153">
        <v>19</v>
      </c>
      <c r="L153">
        <v>10</v>
      </c>
      <c r="M153">
        <v>11</v>
      </c>
      <c r="N153">
        <v>46278</v>
      </c>
      <c r="O153">
        <v>48</v>
      </c>
      <c r="P153">
        <v>0</v>
      </c>
      <c r="Q153">
        <v>76</v>
      </c>
      <c r="R153">
        <v>6323</v>
      </c>
      <c r="S153" t="s">
        <v>44</v>
      </c>
      <c r="T153" t="s">
        <v>44</v>
      </c>
      <c r="U153" t="s">
        <v>44</v>
      </c>
      <c r="V153">
        <v>3157</v>
      </c>
      <c r="W153">
        <v>1166</v>
      </c>
      <c r="X153" t="s">
        <v>44</v>
      </c>
      <c r="Y153">
        <v>2973</v>
      </c>
      <c r="Z153" t="s">
        <v>44</v>
      </c>
      <c r="AA153">
        <v>10</v>
      </c>
      <c r="AB153">
        <v>0</v>
      </c>
      <c r="AC153">
        <v>0</v>
      </c>
      <c r="AD153">
        <v>0</v>
      </c>
      <c r="AE153">
        <v>35</v>
      </c>
      <c r="AF153">
        <v>3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s="2">
        <v>3215</v>
      </c>
      <c r="AQ153">
        <f t="shared" si="6"/>
        <v>3215</v>
      </c>
      <c r="AR153" s="5">
        <f>VLOOKUP(F153,'[2]SCP_24-25'!$A:$D,4,0)</f>
        <v>79.066666666666677</v>
      </c>
      <c r="AS153" s="5">
        <f t="shared" si="5"/>
        <v>254199.33333333337</v>
      </c>
    </row>
    <row r="154" spans="1:45" x14ac:dyDescent="0.3">
      <c r="A154" s="1">
        <v>45900.961111111108</v>
      </c>
      <c r="B154" t="s">
        <v>617</v>
      </c>
      <c r="C154" t="s">
        <v>618</v>
      </c>
      <c r="D154" t="s">
        <v>388</v>
      </c>
      <c r="E154" t="s">
        <v>368</v>
      </c>
      <c r="F154" t="s">
        <v>1652</v>
      </c>
      <c r="G154" t="s">
        <v>389</v>
      </c>
      <c r="H154" t="s">
        <v>130</v>
      </c>
      <c r="I154" t="s">
        <v>43</v>
      </c>
      <c r="J154">
        <v>24</v>
      </c>
      <c r="K154">
        <v>19</v>
      </c>
      <c r="L154">
        <v>10</v>
      </c>
      <c r="M154">
        <v>11</v>
      </c>
      <c r="N154">
        <v>44178</v>
      </c>
      <c r="O154">
        <v>41</v>
      </c>
      <c r="P154">
        <v>0</v>
      </c>
      <c r="Q154">
        <v>103</v>
      </c>
      <c r="R154">
        <v>5133</v>
      </c>
      <c r="S154" t="s">
        <v>44</v>
      </c>
      <c r="T154" t="s">
        <v>44</v>
      </c>
      <c r="U154" t="s">
        <v>44</v>
      </c>
      <c r="V154">
        <v>2641</v>
      </c>
      <c r="W154">
        <v>842</v>
      </c>
      <c r="X154" t="s">
        <v>44</v>
      </c>
      <c r="Y154">
        <v>2490</v>
      </c>
      <c r="Z154" t="s">
        <v>44</v>
      </c>
      <c r="AA154">
        <v>2</v>
      </c>
      <c r="AB154">
        <v>0</v>
      </c>
      <c r="AC154">
        <v>0</v>
      </c>
      <c r="AD154">
        <v>0</v>
      </c>
      <c r="AE154">
        <v>40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s="2">
        <v>2684</v>
      </c>
      <c r="AQ154">
        <f t="shared" si="6"/>
        <v>2684</v>
      </c>
      <c r="AR154" s="5">
        <f>VLOOKUP(F154,'[2]SCP_24-25'!$A:$D,4,0)</f>
        <v>78.760000000000005</v>
      </c>
      <c r="AS154" s="5">
        <f t="shared" si="5"/>
        <v>211391.84000000003</v>
      </c>
    </row>
    <row r="155" spans="1:45" x14ac:dyDescent="0.3">
      <c r="A155" s="1">
        <v>45900.961111111108</v>
      </c>
      <c r="B155" t="s">
        <v>617</v>
      </c>
      <c r="C155" t="s">
        <v>618</v>
      </c>
      <c r="D155" t="s">
        <v>390</v>
      </c>
      <c r="E155" t="s">
        <v>368</v>
      </c>
      <c r="F155" t="s">
        <v>1653</v>
      </c>
      <c r="G155" t="s">
        <v>391</v>
      </c>
      <c r="H155" t="s">
        <v>130</v>
      </c>
      <c r="I155" t="s">
        <v>43</v>
      </c>
      <c r="J155">
        <v>24.02</v>
      </c>
      <c r="K155">
        <v>19</v>
      </c>
      <c r="L155">
        <v>10</v>
      </c>
      <c r="M155">
        <v>11</v>
      </c>
      <c r="N155">
        <v>53503</v>
      </c>
      <c r="O155">
        <v>410</v>
      </c>
      <c r="P155">
        <v>0</v>
      </c>
      <c r="Q155">
        <v>48</v>
      </c>
      <c r="R155">
        <v>5482</v>
      </c>
      <c r="S155" t="s">
        <v>44</v>
      </c>
      <c r="T155">
        <v>13</v>
      </c>
      <c r="U155" t="s">
        <v>44</v>
      </c>
      <c r="V155">
        <v>1342</v>
      </c>
      <c r="W155">
        <v>612</v>
      </c>
      <c r="X155" t="s">
        <v>44</v>
      </c>
      <c r="Y155">
        <v>1293</v>
      </c>
      <c r="Z155" t="s">
        <v>44</v>
      </c>
      <c r="AA155">
        <v>4</v>
      </c>
      <c r="AB155">
        <v>0</v>
      </c>
      <c r="AC155">
        <v>0</v>
      </c>
      <c r="AD155">
        <v>0</v>
      </c>
      <c r="AE155">
        <v>23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s="2">
        <v>1756</v>
      </c>
      <c r="AQ155">
        <f t="shared" si="6"/>
        <v>1756</v>
      </c>
      <c r="AR155" s="5">
        <f>VLOOKUP(F155,'[2]SCP_24-25'!$A:$D,4,0)</f>
        <v>77.84</v>
      </c>
      <c r="AS155" s="5">
        <f t="shared" si="5"/>
        <v>136687.04000000001</v>
      </c>
    </row>
    <row r="156" spans="1:45" x14ac:dyDescent="0.3">
      <c r="A156" s="1">
        <v>45900.961111111108</v>
      </c>
      <c r="B156" t="s">
        <v>617</v>
      </c>
      <c r="C156" t="s">
        <v>618</v>
      </c>
      <c r="D156" t="s">
        <v>397</v>
      </c>
      <c r="E156" t="s">
        <v>395</v>
      </c>
      <c r="F156" t="s">
        <v>1656</v>
      </c>
      <c r="G156" t="s">
        <v>398</v>
      </c>
      <c r="H156" t="s">
        <v>130</v>
      </c>
      <c r="I156" t="s">
        <v>43</v>
      </c>
      <c r="J156">
        <v>24.22</v>
      </c>
      <c r="K156">
        <v>19</v>
      </c>
      <c r="L156">
        <v>10</v>
      </c>
      <c r="M156">
        <v>11</v>
      </c>
      <c r="N156">
        <v>38937</v>
      </c>
      <c r="O156">
        <v>69</v>
      </c>
      <c r="P156">
        <v>0</v>
      </c>
      <c r="Q156">
        <v>37</v>
      </c>
      <c r="R156">
        <v>5310</v>
      </c>
      <c r="S156" t="s">
        <v>44</v>
      </c>
      <c r="T156" t="s">
        <v>44</v>
      </c>
      <c r="U156" t="s">
        <v>44</v>
      </c>
      <c r="V156">
        <v>2554</v>
      </c>
      <c r="W156">
        <v>467</v>
      </c>
      <c r="X156" t="s">
        <v>44</v>
      </c>
      <c r="Y156">
        <v>2375</v>
      </c>
      <c r="Z156" t="s">
        <v>44</v>
      </c>
      <c r="AA156">
        <v>15</v>
      </c>
      <c r="AB156">
        <v>0</v>
      </c>
      <c r="AC156">
        <v>0</v>
      </c>
      <c r="AD156">
        <v>0</v>
      </c>
      <c r="AE156">
        <v>0</v>
      </c>
      <c r="AF156">
        <v>2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s="2">
        <v>2638</v>
      </c>
      <c r="AQ156">
        <f t="shared" si="6"/>
        <v>2638</v>
      </c>
      <c r="AR156" s="5">
        <f>VLOOKUP(F156,'[2]SCP_24-25'!$A:$D,4,0)</f>
        <v>87.9</v>
      </c>
      <c r="AS156" s="5">
        <f t="shared" si="5"/>
        <v>231880.2</v>
      </c>
    </row>
    <row r="157" spans="1:45" x14ac:dyDescent="0.3">
      <c r="A157" s="1">
        <v>45900.961111111108</v>
      </c>
      <c r="B157" t="s">
        <v>617</v>
      </c>
      <c r="C157" t="s">
        <v>618</v>
      </c>
      <c r="D157" t="s">
        <v>613</v>
      </c>
      <c r="E157" t="s">
        <v>395</v>
      </c>
      <c r="F157" t="s">
        <v>1760</v>
      </c>
      <c r="G157" t="s">
        <v>614</v>
      </c>
      <c r="H157" t="s">
        <v>130</v>
      </c>
      <c r="I157" t="s">
        <v>43</v>
      </c>
      <c r="J157">
        <v>24.22</v>
      </c>
      <c r="K157">
        <v>19</v>
      </c>
      <c r="L157">
        <v>10</v>
      </c>
      <c r="M157">
        <v>11</v>
      </c>
      <c r="N157">
        <v>33654</v>
      </c>
      <c r="O157">
        <v>15</v>
      </c>
      <c r="P157">
        <v>0</v>
      </c>
      <c r="Q157">
        <v>32</v>
      </c>
      <c r="R157">
        <v>7076</v>
      </c>
      <c r="S157" t="s">
        <v>44</v>
      </c>
      <c r="T157" t="s">
        <v>44</v>
      </c>
      <c r="U157" t="s">
        <v>44</v>
      </c>
      <c r="V157">
        <v>3421</v>
      </c>
      <c r="W157">
        <v>754</v>
      </c>
      <c r="X157" t="s">
        <v>44</v>
      </c>
      <c r="Y157">
        <v>3318</v>
      </c>
      <c r="Z157" t="s">
        <v>44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s="2">
        <v>3436</v>
      </c>
      <c r="AQ157">
        <f t="shared" si="6"/>
        <v>3436</v>
      </c>
      <c r="AR157" s="5">
        <f>VLOOKUP(F157,'[2]SCP_24-25'!$A:$D,4,0)</f>
        <v>87.899999999999991</v>
      </c>
      <c r="AS157" s="5">
        <f t="shared" si="5"/>
        <v>302024.39999999997</v>
      </c>
    </row>
    <row r="158" spans="1:45" x14ac:dyDescent="0.3">
      <c r="A158" s="1">
        <v>45900.961111111108</v>
      </c>
      <c r="B158" t="s">
        <v>617</v>
      </c>
      <c r="C158" t="s">
        <v>618</v>
      </c>
      <c r="D158" t="s">
        <v>115</v>
      </c>
      <c r="E158" t="s">
        <v>116</v>
      </c>
      <c r="F158" t="s">
        <v>1537</v>
      </c>
      <c r="G158" t="s">
        <v>117</v>
      </c>
      <c r="H158" t="s">
        <v>66</v>
      </c>
      <c r="I158" t="s">
        <v>43</v>
      </c>
      <c r="J158">
        <v>60</v>
      </c>
      <c r="K158">
        <v>19</v>
      </c>
      <c r="L158">
        <v>11</v>
      </c>
      <c r="M158">
        <v>10</v>
      </c>
      <c r="N158">
        <v>102546</v>
      </c>
      <c r="O158">
        <v>91</v>
      </c>
      <c r="P158">
        <v>0</v>
      </c>
      <c r="Q158">
        <v>249</v>
      </c>
      <c r="R158">
        <v>1536</v>
      </c>
      <c r="S158" t="s">
        <v>44</v>
      </c>
      <c r="T158" t="s">
        <v>44</v>
      </c>
      <c r="U158" t="s">
        <v>44</v>
      </c>
      <c r="V158">
        <v>2985</v>
      </c>
      <c r="W158">
        <v>614</v>
      </c>
      <c r="X158" t="s">
        <v>44</v>
      </c>
      <c r="Y158">
        <v>2935</v>
      </c>
      <c r="Z158" t="s">
        <v>44</v>
      </c>
      <c r="AA158">
        <v>4</v>
      </c>
      <c r="AB158">
        <v>0</v>
      </c>
      <c r="AC158">
        <v>0</v>
      </c>
      <c r="AD158">
        <v>0</v>
      </c>
      <c r="AE158">
        <v>64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s="2">
        <v>3080</v>
      </c>
      <c r="AQ158">
        <f t="shared" si="6"/>
        <v>3080</v>
      </c>
      <c r="AR158" s="5">
        <f>VLOOKUP(F158,'[2]SCP_24-25'!$A:$D,4,0)</f>
        <v>94.559999999999988</v>
      </c>
      <c r="AS158" s="5">
        <f t="shared" si="5"/>
        <v>291244.79999999999</v>
      </c>
    </row>
    <row r="159" spans="1:45" x14ac:dyDescent="0.3">
      <c r="A159" s="1">
        <v>45900.961111111108</v>
      </c>
      <c r="B159" t="s">
        <v>617</v>
      </c>
      <c r="C159" t="s">
        <v>618</v>
      </c>
      <c r="D159" t="s">
        <v>783</v>
      </c>
      <c r="E159" t="s">
        <v>783</v>
      </c>
      <c r="F159" t="s">
        <v>1843</v>
      </c>
      <c r="G159" t="s">
        <v>784</v>
      </c>
      <c r="H159" t="s">
        <v>103</v>
      </c>
      <c r="I159" t="s">
        <v>43</v>
      </c>
      <c r="J159">
        <v>10</v>
      </c>
      <c r="K159">
        <v>19</v>
      </c>
      <c r="L159">
        <v>10</v>
      </c>
      <c r="M159">
        <v>9</v>
      </c>
      <c r="N159">
        <v>14877</v>
      </c>
      <c r="O159">
        <v>0</v>
      </c>
      <c r="P159">
        <v>0</v>
      </c>
      <c r="Q159" t="s">
        <v>44</v>
      </c>
      <c r="R159">
        <v>4000</v>
      </c>
      <c r="S159" t="s">
        <v>44</v>
      </c>
      <c r="T159" t="s">
        <v>44</v>
      </c>
      <c r="U159" t="s">
        <v>44</v>
      </c>
      <c r="V159">
        <v>3282</v>
      </c>
      <c r="W159" t="s">
        <v>44</v>
      </c>
      <c r="X159" t="s">
        <v>44</v>
      </c>
      <c r="Y159">
        <v>3282</v>
      </c>
      <c r="Z159" t="s">
        <v>44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s="2">
        <v>3282</v>
      </c>
      <c r="AQ159">
        <f t="shared" si="6"/>
        <v>3282</v>
      </c>
      <c r="AR159" s="5">
        <f>VLOOKUP(F159,'[1]Cost Sheet'!$C:$D,2,0)</f>
        <v>32.5</v>
      </c>
      <c r="AS159" s="5">
        <f t="shared" si="5"/>
        <v>106665</v>
      </c>
    </row>
    <row r="160" spans="1:45" x14ac:dyDescent="0.3">
      <c r="A160" s="1">
        <v>45900.961111111108</v>
      </c>
      <c r="B160" t="s">
        <v>617</v>
      </c>
      <c r="C160" t="s">
        <v>618</v>
      </c>
      <c r="D160" t="s">
        <v>785</v>
      </c>
      <c r="F160" t="s">
        <v>1844</v>
      </c>
      <c r="G160" t="s">
        <v>786</v>
      </c>
      <c r="H160" t="s">
        <v>66</v>
      </c>
      <c r="I160" t="s">
        <v>43</v>
      </c>
      <c r="J160">
        <v>61.92</v>
      </c>
      <c r="K160">
        <v>19</v>
      </c>
      <c r="L160">
        <v>10</v>
      </c>
      <c r="M160">
        <v>11</v>
      </c>
      <c r="N160">
        <v>40547</v>
      </c>
      <c r="O160">
        <v>16</v>
      </c>
      <c r="P160">
        <v>0</v>
      </c>
      <c r="Q160">
        <v>30</v>
      </c>
      <c r="R160">
        <v>1966</v>
      </c>
      <c r="S160" t="s">
        <v>44</v>
      </c>
      <c r="T160" t="s">
        <v>44</v>
      </c>
      <c r="U160" t="s">
        <v>44</v>
      </c>
      <c r="V160">
        <v>3065</v>
      </c>
      <c r="W160">
        <v>3</v>
      </c>
      <c r="X160" t="s">
        <v>44</v>
      </c>
      <c r="Y160">
        <v>3065</v>
      </c>
      <c r="Z160" t="s">
        <v>44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12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s="2">
        <v>3083</v>
      </c>
      <c r="AQ160">
        <f t="shared" si="6"/>
        <v>3083</v>
      </c>
      <c r="AR160" s="5">
        <f>VLOOKUP(F160,'[2]SCP_24-25'!$A:$D,4,0)</f>
        <v>23.39</v>
      </c>
      <c r="AS160" s="5">
        <f t="shared" si="5"/>
        <v>72111.37</v>
      </c>
    </row>
    <row r="161" spans="1:45" x14ac:dyDescent="0.3">
      <c r="A161" s="1">
        <v>45900.961111111108</v>
      </c>
      <c r="B161" t="s">
        <v>617</v>
      </c>
      <c r="C161" t="s">
        <v>618</v>
      </c>
      <c r="D161" t="s">
        <v>787</v>
      </c>
      <c r="F161" t="s">
        <v>1845</v>
      </c>
      <c r="G161" t="s">
        <v>788</v>
      </c>
      <c r="H161" t="s">
        <v>66</v>
      </c>
      <c r="I161" t="s">
        <v>43</v>
      </c>
      <c r="J161">
        <v>61.92</v>
      </c>
      <c r="K161">
        <v>19</v>
      </c>
      <c r="L161">
        <v>10</v>
      </c>
      <c r="M161">
        <v>11</v>
      </c>
      <c r="N161">
        <v>35703</v>
      </c>
      <c r="O161">
        <v>8</v>
      </c>
      <c r="P161">
        <v>0</v>
      </c>
      <c r="Q161">
        <v>16</v>
      </c>
      <c r="R161">
        <v>2155</v>
      </c>
      <c r="S161" t="s">
        <v>44</v>
      </c>
      <c r="T161" t="s">
        <v>44</v>
      </c>
      <c r="U161" t="s">
        <v>44</v>
      </c>
      <c r="V161">
        <v>3331</v>
      </c>
      <c r="W161">
        <v>1</v>
      </c>
      <c r="X161" t="s">
        <v>44</v>
      </c>
      <c r="Y161">
        <v>3331</v>
      </c>
      <c r="Z161" t="s">
        <v>44</v>
      </c>
      <c r="AA161">
        <v>3</v>
      </c>
      <c r="AB161">
        <v>0</v>
      </c>
      <c r="AC161">
        <v>0</v>
      </c>
      <c r="AD161">
        <v>0</v>
      </c>
      <c r="AE161">
        <v>0</v>
      </c>
      <c r="AF161">
        <v>12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s="2">
        <v>3342</v>
      </c>
      <c r="AQ161">
        <f t="shared" si="6"/>
        <v>3342</v>
      </c>
      <c r="AR161" s="5">
        <f>VLOOKUP(F161,'[2]SCP_24-25'!$A:$D,4,0)</f>
        <v>23.39</v>
      </c>
      <c r="AS161" s="5">
        <f t="shared" si="5"/>
        <v>78169.38</v>
      </c>
    </row>
    <row r="162" spans="1:45" x14ac:dyDescent="0.3">
      <c r="A162" s="1">
        <v>45900.961111111108</v>
      </c>
      <c r="B162" t="s">
        <v>617</v>
      </c>
      <c r="C162" t="s">
        <v>618</v>
      </c>
      <c r="D162" t="s">
        <v>789</v>
      </c>
      <c r="F162" t="s">
        <v>1846</v>
      </c>
      <c r="G162" t="s">
        <v>790</v>
      </c>
      <c r="H162" t="s">
        <v>66</v>
      </c>
      <c r="I162" t="s">
        <v>43</v>
      </c>
      <c r="J162">
        <v>61.92</v>
      </c>
      <c r="K162">
        <v>19</v>
      </c>
      <c r="L162">
        <v>10</v>
      </c>
      <c r="M162">
        <v>11</v>
      </c>
      <c r="N162">
        <v>42045</v>
      </c>
      <c r="O162">
        <v>27</v>
      </c>
      <c r="P162">
        <v>0</v>
      </c>
      <c r="Q162">
        <v>31</v>
      </c>
      <c r="R162">
        <v>2382</v>
      </c>
      <c r="S162" t="s">
        <v>44</v>
      </c>
      <c r="T162" t="s">
        <v>44</v>
      </c>
      <c r="U162" t="s">
        <v>44</v>
      </c>
      <c r="V162">
        <v>1765</v>
      </c>
      <c r="W162">
        <v>2</v>
      </c>
      <c r="X162" t="s">
        <v>44</v>
      </c>
      <c r="Y162">
        <v>1765</v>
      </c>
      <c r="Z162" t="s">
        <v>44</v>
      </c>
      <c r="AA162">
        <v>13</v>
      </c>
      <c r="AB162">
        <v>0</v>
      </c>
      <c r="AC162">
        <v>0</v>
      </c>
      <c r="AD162">
        <v>0</v>
      </c>
      <c r="AE162">
        <v>0</v>
      </c>
      <c r="AF162">
        <v>13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s="2">
        <v>1805</v>
      </c>
      <c r="AQ162">
        <f t="shared" si="6"/>
        <v>1805</v>
      </c>
      <c r="AR162" s="5">
        <f>VLOOKUP(F162,'[2]SCP_24-25'!$A:$D,4,0)</f>
        <v>23.39</v>
      </c>
      <c r="AS162" s="5">
        <f t="shared" si="5"/>
        <v>42218.950000000004</v>
      </c>
    </row>
    <row r="163" spans="1:45" x14ac:dyDescent="0.3">
      <c r="A163" s="1">
        <v>45900.961111111108</v>
      </c>
      <c r="B163" t="s">
        <v>617</v>
      </c>
      <c r="C163" t="s">
        <v>618</v>
      </c>
      <c r="D163" t="s">
        <v>124</v>
      </c>
      <c r="F163" t="s">
        <v>1540</v>
      </c>
      <c r="G163" t="s">
        <v>125</v>
      </c>
      <c r="H163" t="s">
        <v>66</v>
      </c>
      <c r="I163" t="s">
        <v>43</v>
      </c>
      <c r="J163">
        <v>90.08</v>
      </c>
      <c r="K163">
        <v>19</v>
      </c>
      <c r="L163">
        <v>11</v>
      </c>
      <c r="M163">
        <v>10</v>
      </c>
      <c r="N163">
        <v>140922</v>
      </c>
      <c r="O163">
        <v>136</v>
      </c>
      <c r="P163">
        <v>0</v>
      </c>
      <c r="Q163">
        <v>140</v>
      </c>
      <c r="R163">
        <v>664</v>
      </c>
      <c r="S163">
        <v>1</v>
      </c>
      <c r="T163" t="s">
        <v>44</v>
      </c>
      <c r="U163" t="s">
        <v>44</v>
      </c>
      <c r="V163">
        <v>1243</v>
      </c>
      <c r="W163">
        <v>1873</v>
      </c>
      <c r="X163" t="s">
        <v>44</v>
      </c>
      <c r="Y163">
        <v>1243</v>
      </c>
      <c r="Z163" t="s">
        <v>44</v>
      </c>
      <c r="AA163">
        <v>6</v>
      </c>
      <c r="AB163">
        <v>0</v>
      </c>
      <c r="AC163">
        <v>0</v>
      </c>
      <c r="AD163">
        <v>0</v>
      </c>
      <c r="AE163">
        <v>1</v>
      </c>
      <c r="AF163">
        <v>13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s="2">
        <v>1385</v>
      </c>
      <c r="AQ163">
        <f t="shared" si="6"/>
        <v>1385</v>
      </c>
      <c r="AR163" s="5">
        <f>VLOOKUP(F163,'[2]SCP_24-25'!$A:$D,4,0)</f>
        <v>45.74</v>
      </c>
      <c r="AS163" s="5">
        <f t="shared" si="5"/>
        <v>63349.9</v>
      </c>
    </row>
    <row r="164" spans="1:45" x14ac:dyDescent="0.3">
      <c r="A164" s="1">
        <v>45900.961111111108</v>
      </c>
      <c r="B164" t="s">
        <v>617</v>
      </c>
      <c r="C164" t="s">
        <v>618</v>
      </c>
      <c r="D164" t="s">
        <v>126</v>
      </c>
      <c r="F164" t="s">
        <v>1541</v>
      </c>
      <c r="G164" t="s">
        <v>127</v>
      </c>
      <c r="H164" t="s">
        <v>42</v>
      </c>
      <c r="I164" t="s">
        <v>43</v>
      </c>
      <c r="J164">
        <v>51</v>
      </c>
      <c r="K164">
        <v>19</v>
      </c>
      <c r="L164">
        <v>11</v>
      </c>
      <c r="M164">
        <v>9.5</v>
      </c>
      <c r="N164">
        <v>60416</v>
      </c>
      <c r="O164">
        <v>145</v>
      </c>
      <c r="P164">
        <v>0</v>
      </c>
      <c r="Q164">
        <v>52</v>
      </c>
      <c r="R164">
        <v>6698</v>
      </c>
      <c r="S164" t="s">
        <v>44</v>
      </c>
      <c r="T164">
        <v>18</v>
      </c>
      <c r="U164" t="s">
        <v>44</v>
      </c>
      <c r="V164">
        <v>2326</v>
      </c>
      <c r="W164">
        <v>1912</v>
      </c>
      <c r="X164" t="s">
        <v>44</v>
      </c>
      <c r="Y164">
        <v>2326</v>
      </c>
      <c r="Z164" t="s">
        <v>44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s="2">
        <v>2473</v>
      </c>
      <c r="AQ164">
        <f t="shared" si="6"/>
        <v>2473</v>
      </c>
      <c r="AR164" s="5">
        <f>VLOOKUP(F164,'[2]SCP_24-25'!$A:$D,4,0)</f>
        <v>150.74</v>
      </c>
      <c r="AS164" s="5">
        <f t="shared" si="5"/>
        <v>372780.02</v>
      </c>
    </row>
    <row r="165" spans="1:45" x14ac:dyDescent="0.3">
      <c r="A165" s="1">
        <v>45900.961111111108</v>
      </c>
      <c r="B165" t="s">
        <v>617</v>
      </c>
      <c r="C165" t="s">
        <v>618</v>
      </c>
      <c r="D165" t="s">
        <v>791</v>
      </c>
      <c r="F165" t="s">
        <v>1847</v>
      </c>
      <c r="G165" t="s">
        <v>792</v>
      </c>
      <c r="H165" t="s">
        <v>120</v>
      </c>
      <c r="I165" t="s">
        <v>43</v>
      </c>
      <c r="J165">
        <v>200</v>
      </c>
      <c r="K165">
        <v>19</v>
      </c>
      <c r="L165">
        <v>10</v>
      </c>
      <c r="M165">
        <v>11</v>
      </c>
      <c r="N165">
        <v>7977</v>
      </c>
      <c r="O165">
        <v>0</v>
      </c>
      <c r="P165">
        <v>0</v>
      </c>
      <c r="Q165" t="s">
        <v>44</v>
      </c>
      <c r="R165">
        <v>2267</v>
      </c>
      <c r="S165" t="s">
        <v>44</v>
      </c>
      <c r="T165" t="s">
        <v>44</v>
      </c>
      <c r="U165" t="s">
        <v>44</v>
      </c>
      <c r="V165">
        <v>1056</v>
      </c>
      <c r="W165" t="s">
        <v>44</v>
      </c>
      <c r="X165" t="s">
        <v>44</v>
      </c>
      <c r="Y165">
        <v>1056</v>
      </c>
      <c r="Z165" t="s">
        <v>44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s="2">
        <v>1056</v>
      </c>
      <c r="AQ165">
        <f t="shared" si="6"/>
        <v>1056</v>
      </c>
      <c r="AR165" s="5">
        <f>VLOOKUP(F165,'[2]SCP_24-25'!$A:$D,4,0)</f>
        <v>48</v>
      </c>
      <c r="AS165" s="5">
        <f t="shared" si="5"/>
        <v>50688</v>
      </c>
    </row>
    <row r="166" spans="1:45" x14ac:dyDescent="0.3">
      <c r="A166" s="1">
        <v>45900.961111111108</v>
      </c>
      <c r="B166" t="s">
        <v>617</v>
      </c>
      <c r="C166" t="s">
        <v>618</v>
      </c>
      <c r="D166" t="s">
        <v>481</v>
      </c>
      <c r="F166" t="s">
        <v>1695</v>
      </c>
      <c r="G166" t="s">
        <v>482</v>
      </c>
      <c r="H166" t="s">
        <v>103</v>
      </c>
      <c r="I166" t="s">
        <v>43</v>
      </c>
      <c r="J166">
        <v>236</v>
      </c>
      <c r="K166">
        <v>19</v>
      </c>
      <c r="L166">
        <v>10</v>
      </c>
      <c r="M166">
        <v>11</v>
      </c>
      <c r="N166">
        <v>69557</v>
      </c>
      <c r="O166">
        <v>370</v>
      </c>
      <c r="P166">
        <v>0</v>
      </c>
      <c r="Q166">
        <v>34</v>
      </c>
      <c r="R166">
        <v>16</v>
      </c>
      <c r="S166" t="s">
        <v>44</v>
      </c>
      <c r="T166" t="s">
        <v>44</v>
      </c>
      <c r="U166" t="s">
        <v>44</v>
      </c>
      <c r="V166">
        <v>3659</v>
      </c>
      <c r="W166">
        <v>340</v>
      </c>
      <c r="X166" t="s">
        <v>44</v>
      </c>
      <c r="Y166">
        <v>3659</v>
      </c>
      <c r="Z166" t="s">
        <v>44</v>
      </c>
      <c r="AA166">
        <v>13</v>
      </c>
      <c r="AB166">
        <v>0</v>
      </c>
      <c r="AC166">
        <v>0</v>
      </c>
      <c r="AD166">
        <v>0</v>
      </c>
      <c r="AE166">
        <v>0</v>
      </c>
      <c r="AF166">
        <v>6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 s="2">
        <v>4042</v>
      </c>
      <c r="AQ166">
        <f t="shared" si="6"/>
        <v>4042</v>
      </c>
      <c r="AR166" s="5">
        <f>VLOOKUP(F166,'[2]SCP_24-25'!$A:$D,4,0)</f>
        <v>60.9</v>
      </c>
      <c r="AS166" s="5">
        <f t="shared" si="5"/>
        <v>246157.8</v>
      </c>
    </row>
    <row r="167" spans="1:45" x14ac:dyDescent="0.3">
      <c r="A167" s="1">
        <v>45900.961111111108</v>
      </c>
      <c r="B167" t="s">
        <v>617</v>
      </c>
      <c r="C167" t="s">
        <v>618</v>
      </c>
      <c r="D167" t="s">
        <v>403</v>
      </c>
      <c r="F167" t="s">
        <v>1659</v>
      </c>
      <c r="G167" t="s">
        <v>404</v>
      </c>
      <c r="H167" t="s">
        <v>103</v>
      </c>
      <c r="I167" t="s">
        <v>43</v>
      </c>
      <c r="J167">
        <v>272.02</v>
      </c>
      <c r="K167">
        <v>19</v>
      </c>
      <c r="L167">
        <v>11</v>
      </c>
      <c r="M167">
        <v>10</v>
      </c>
      <c r="N167">
        <v>153257</v>
      </c>
      <c r="O167">
        <v>1040</v>
      </c>
      <c r="P167">
        <v>0</v>
      </c>
      <c r="Q167">
        <v>223</v>
      </c>
      <c r="R167">
        <v>56</v>
      </c>
      <c r="S167" t="s">
        <v>44</v>
      </c>
      <c r="T167">
        <v>901</v>
      </c>
      <c r="U167" t="s">
        <v>44</v>
      </c>
      <c r="V167">
        <v>2053</v>
      </c>
      <c r="W167">
        <v>267</v>
      </c>
      <c r="X167" t="s">
        <v>44</v>
      </c>
      <c r="Y167">
        <v>2053</v>
      </c>
      <c r="Z167" t="s">
        <v>44</v>
      </c>
      <c r="AA167">
        <v>21</v>
      </c>
      <c r="AB167">
        <v>0</v>
      </c>
      <c r="AC167">
        <v>0</v>
      </c>
      <c r="AD167">
        <v>0</v>
      </c>
      <c r="AE167">
        <v>0</v>
      </c>
      <c r="AF167">
        <v>17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s="2">
        <v>3114</v>
      </c>
      <c r="AQ167">
        <f t="shared" si="6"/>
        <v>3114</v>
      </c>
      <c r="AR167" s="5">
        <f>VLOOKUP(F167,'[2]SCP_24-25'!$A:$D,4,0)</f>
        <v>231.99</v>
      </c>
      <c r="AS167" s="5">
        <f t="shared" si="5"/>
        <v>722416.86</v>
      </c>
    </row>
    <row r="168" spans="1:45" x14ac:dyDescent="0.3">
      <c r="A168" s="1">
        <v>45900.961111111108</v>
      </c>
      <c r="B168" t="s">
        <v>617</v>
      </c>
      <c r="C168" t="s">
        <v>618</v>
      </c>
      <c r="D168" t="s">
        <v>793</v>
      </c>
      <c r="F168" t="s">
        <v>1848</v>
      </c>
      <c r="G168" t="s">
        <v>794</v>
      </c>
      <c r="H168" t="s">
        <v>120</v>
      </c>
      <c r="I168" t="s">
        <v>43</v>
      </c>
      <c r="J168">
        <v>10</v>
      </c>
      <c r="K168">
        <v>19</v>
      </c>
      <c r="L168">
        <v>11</v>
      </c>
      <c r="M168">
        <v>10</v>
      </c>
      <c r="N168">
        <v>10069</v>
      </c>
      <c r="O168">
        <v>0</v>
      </c>
      <c r="P168">
        <v>0</v>
      </c>
      <c r="Q168" t="s">
        <v>44</v>
      </c>
      <c r="R168" t="s">
        <v>44</v>
      </c>
      <c r="S168" t="s">
        <v>44</v>
      </c>
      <c r="T168">
        <v>1</v>
      </c>
      <c r="U168" t="s">
        <v>44</v>
      </c>
      <c r="V168">
        <v>2098</v>
      </c>
      <c r="W168" t="s">
        <v>44</v>
      </c>
      <c r="X168" t="s">
        <v>44</v>
      </c>
      <c r="Y168">
        <v>2098</v>
      </c>
      <c r="Z168" t="s">
        <v>44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s="2">
        <v>2098</v>
      </c>
      <c r="AQ168">
        <f t="shared" si="6"/>
        <v>2098</v>
      </c>
      <c r="AR168" s="5">
        <f>VLOOKUP(F168,'[2]SCP_24-25'!$A:$D,4,0)</f>
        <v>7.1</v>
      </c>
      <c r="AS168" s="5">
        <f t="shared" si="5"/>
        <v>14895.8</v>
      </c>
    </row>
    <row r="169" spans="1:45" x14ac:dyDescent="0.3">
      <c r="A169" s="1">
        <v>45900.961111111108</v>
      </c>
      <c r="B169" t="s">
        <v>617</v>
      </c>
      <c r="C169" t="s">
        <v>618</v>
      </c>
      <c r="D169" t="s">
        <v>795</v>
      </c>
      <c r="E169" t="s">
        <v>795</v>
      </c>
      <c r="F169" t="s">
        <v>1849</v>
      </c>
      <c r="G169" t="s">
        <v>796</v>
      </c>
      <c r="H169" t="s">
        <v>635</v>
      </c>
      <c r="I169" t="s">
        <v>43</v>
      </c>
      <c r="N169">
        <v>3528</v>
      </c>
      <c r="O169">
        <v>0</v>
      </c>
      <c r="P169">
        <v>0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>
        <v>1420</v>
      </c>
      <c r="W169" t="s">
        <v>44</v>
      </c>
      <c r="X169" t="s">
        <v>44</v>
      </c>
      <c r="Y169">
        <v>1420</v>
      </c>
      <c r="Z169" t="s">
        <v>44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s="2">
        <v>1420</v>
      </c>
      <c r="AQ169">
        <f t="shared" si="6"/>
        <v>1420</v>
      </c>
      <c r="AR169" s="5">
        <f>VLOOKUP(F169,'[1]Cost Sheet'!$C:$D,2,0)</f>
        <v>121.49</v>
      </c>
      <c r="AS169" s="5">
        <f t="shared" si="5"/>
        <v>172515.8</v>
      </c>
    </row>
    <row r="170" spans="1:45" x14ac:dyDescent="0.3">
      <c r="A170" s="1">
        <v>45900.961111111108</v>
      </c>
      <c r="B170" t="s">
        <v>617</v>
      </c>
      <c r="C170" t="s">
        <v>618</v>
      </c>
      <c r="D170" t="s">
        <v>797</v>
      </c>
      <c r="E170" t="s">
        <v>797</v>
      </c>
      <c r="F170" t="s">
        <v>1850</v>
      </c>
      <c r="G170" t="s">
        <v>798</v>
      </c>
      <c r="H170" t="s">
        <v>635</v>
      </c>
      <c r="I170" t="s">
        <v>43</v>
      </c>
      <c r="N170">
        <v>4111</v>
      </c>
      <c r="O170">
        <v>0</v>
      </c>
      <c r="P170">
        <v>0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>
        <v>1045</v>
      </c>
      <c r="W170" t="s">
        <v>44</v>
      </c>
      <c r="X170" t="s">
        <v>44</v>
      </c>
      <c r="Y170">
        <v>1045</v>
      </c>
      <c r="Z170" t="s">
        <v>44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2">
        <v>1045</v>
      </c>
      <c r="AQ170">
        <f t="shared" si="6"/>
        <v>1045</v>
      </c>
      <c r="AR170" s="5">
        <f>VLOOKUP(F170,'[1]Cost Sheet'!$C:$D,2,0)</f>
        <v>130.39230769230767</v>
      </c>
      <c r="AS170" s="5">
        <f t="shared" si="5"/>
        <v>136259.9615384615</v>
      </c>
    </row>
    <row r="171" spans="1:45" x14ac:dyDescent="0.3">
      <c r="A171" s="1">
        <v>45900.961111111108</v>
      </c>
      <c r="B171" t="s">
        <v>617</v>
      </c>
      <c r="C171" t="s">
        <v>618</v>
      </c>
      <c r="D171" t="s">
        <v>799</v>
      </c>
      <c r="F171" t="s">
        <v>1851</v>
      </c>
      <c r="G171" t="s">
        <v>800</v>
      </c>
      <c r="H171" t="s">
        <v>103</v>
      </c>
      <c r="I171" t="s">
        <v>43</v>
      </c>
      <c r="J171">
        <v>217</v>
      </c>
      <c r="K171">
        <v>19</v>
      </c>
      <c r="L171">
        <v>10</v>
      </c>
      <c r="M171">
        <v>11</v>
      </c>
      <c r="N171">
        <v>129598</v>
      </c>
      <c r="O171">
        <v>2089</v>
      </c>
      <c r="P171">
        <v>0</v>
      </c>
      <c r="Q171">
        <v>33</v>
      </c>
      <c r="R171">
        <v>37</v>
      </c>
      <c r="S171" t="s">
        <v>44</v>
      </c>
      <c r="T171">
        <v>24</v>
      </c>
      <c r="U171" t="s">
        <v>44</v>
      </c>
      <c r="V171">
        <v>1460</v>
      </c>
      <c r="W171">
        <v>1495</v>
      </c>
      <c r="X171" t="s">
        <v>44</v>
      </c>
      <c r="Y171">
        <v>1460</v>
      </c>
      <c r="Z171" t="s">
        <v>44</v>
      </c>
      <c r="AA171">
        <v>27</v>
      </c>
      <c r="AB171">
        <v>0</v>
      </c>
      <c r="AC171">
        <v>0</v>
      </c>
      <c r="AD171">
        <v>0</v>
      </c>
      <c r="AE171">
        <v>0</v>
      </c>
      <c r="AF171">
        <v>19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s="2">
        <v>3576</v>
      </c>
      <c r="AQ171">
        <f t="shared" si="6"/>
        <v>3576</v>
      </c>
      <c r="AR171" s="5">
        <f>VLOOKUP(F171,'[2]SCP_24-25'!$A:$D,4,0)</f>
        <v>41.552</v>
      </c>
      <c r="AS171" s="5">
        <f t="shared" si="5"/>
        <v>148589.95199999999</v>
      </c>
    </row>
    <row r="172" spans="1:45" x14ac:dyDescent="0.3">
      <c r="A172" s="1">
        <v>45900.961111111108</v>
      </c>
      <c r="B172" t="s">
        <v>617</v>
      </c>
      <c r="C172" t="s">
        <v>618</v>
      </c>
      <c r="D172" t="s">
        <v>522</v>
      </c>
      <c r="E172" t="s">
        <v>445</v>
      </c>
      <c r="F172" t="s">
        <v>1715</v>
      </c>
      <c r="G172" t="s">
        <v>523</v>
      </c>
      <c r="H172" t="s">
        <v>130</v>
      </c>
      <c r="I172" t="s">
        <v>43</v>
      </c>
      <c r="J172">
        <v>60.02</v>
      </c>
      <c r="K172">
        <v>19</v>
      </c>
      <c r="L172">
        <v>10</v>
      </c>
      <c r="M172">
        <v>11</v>
      </c>
      <c r="N172">
        <v>13356</v>
      </c>
      <c r="O172">
        <v>26</v>
      </c>
      <c r="P172">
        <v>0</v>
      </c>
      <c r="Q172">
        <v>7</v>
      </c>
      <c r="R172">
        <v>1</v>
      </c>
      <c r="S172" t="s">
        <v>44</v>
      </c>
      <c r="T172" t="s">
        <v>44</v>
      </c>
      <c r="U172" t="s">
        <v>44</v>
      </c>
      <c r="V172">
        <v>3457</v>
      </c>
      <c r="W172">
        <v>3</v>
      </c>
      <c r="X172" t="s">
        <v>44</v>
      </c>
      <c r="Y172">
        <v>3457</v>
      </c>
      <c r="Z172" t="s">
        <v>44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s="2">
        <v>3483</v>
      </c>
      <c r="AQ172">
        <f t="shared" si="6"/>
        <v>3483</v>
      </c>
      <c r="AR172" s="5">
        <f>VLOOKUP(F172,'[2]SCP_24-25'!$A:$D,4,0)</f>
        <v>86.699999999999989</v>
      </c>
      <c r="AS172" s="5">
        <f t="shared" si="5"/>
        <v>301976.09999999998</v>
      </c>
    </row>
    <row r="173" spans="1:45" x14ac:dyDescent="0.3">
      <c r="A173" s="1">
        <v>45900.961111111108</v>
      </c>
      <c r="B173" t="s">
        <v>617</v>
      </c>
      <c r="C173" t="s">
        <v>618</v>
      </c>
      <c r="D173" t="s">
        <v>444</v>
      </c>
      <c r="E173" t="s">
        <v>445</v>
      </c>
      <c r="F173" t="s">
        <v>1677</v>
      </c>
      <c r="G173" t="s">
        <v>446</v>
      </c>
      <c r="H173" t="s">
        <v>130</v>
      </c>
      <c r="I173" t="s">
        <v>43</v>
      </c>
      <c r="J173">
        <v>60.02</v>
      </c>
      <c r="K173">
        <v>19</v>
      </c>
      <c r="L173">
        <v>10</v>
      </c>
      <c r="M173">
        <v>11</v>
      </c>
      <c r="N173">
        <v>12119</v>
      </c>
      <c r="O173">
        <v>15</v>
      </c>
      <c r="P173">
        <v>0</v>
      </c>
      <c r="Q173">
        <v>26</v>
      </c>
      <c r="R173">
        <v>1</v>
      </c>
      <c r="S173" t="s">
        <v>44</v>
      </c>
      <c r="T173" t="s">
        <v>44</v>
      </c>
      <c r="U173" t="s">
        <v>44</v>
      </c>
      <c r="V173">
        <v>2530</v>
      </c>
      <c r="W173">
        <v>6</v>
      </c>
      <c r="X173" t="s">
        <v>44</v>
      </c>
      <c r="Y173">
        <v>2530</v>
      </c>
      <c r="Z173" t="s">
        <v>44</v>
      </c>
      <c r="AA173">
        <v>3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s="2">
        <v>2548</v>
      </c>
      <c r="AQ173">
        <f t="shared" si="6"/>
        <v>2548</v>
      </c>
      <c r="AR173" s="5">
        <f>VLOOKUP(F173,'[2]SCP_24-25'!$A:$D,4,0)</f>
        <v>86.7</v>
      </c>
      <c r="AS173" s="5">
        <f t="shared" si="5"/>
        <v>220911.6</v>
      </c>
    </row>
    <row r="174" spans="1:45" x14ac:dyDescent="0.3">
      <c r="A174" s="1">
        <v>45900.961111111108</v>
      </c>
      <c r="B174" t="s">
        <v>617</v>
      </c>
      <c r="C174" t="s">
        <v>618</v>
      </c>
      <c r="D174" t="s">
        <v>524</v>
      </c>
      <c r="E174" t="s">
        <v>445</v>
      </c>
      <c r="F174" t="s">
        <v>1716</v>
      </c>
      <c r="G174" t="s">
        <v>525</v>
      </c>
      <c r="H174" t="s">
        <v>130</v>
      </c>
      <c r="I174" t="s">
        <v>43</v>
      </c>
      <c r="J174">
        <v>60.02</v>
      </c>
      <c r="K174">
        <v>19</v>
      </c>
      <c r="L174">
        <v>10</v>
      </c>
      <c r="M174">
        <v>11</v>
      </c>
      <c r="N174">
        <v>10426</v>
      </c>
      <c r="O174">
        <v>27</v>
      </c>
      <c r="P174">
        <v>0</v>
      </c>
      <c r="Q174">
        <v>26</v>
      </c>
      <c r="R174" t="s">
        <v>44</v>
      </c>
      <c r="S174" t="s">
        <v>44</v>
      </c>
      <c r="T174" t="s">
        <v>44</v>
      </c>
      <c r="U174" t="s">
        <v>44</v>
      </c>
      <c r="V174">
        <v>1580</v>
      </c>
      <c r="W174">
        <v>1</v>
      </c>
      <c r="X174" t="s">
        <v>44</v>
      </c>
      <c r="Y174">
        <v>1580</v>
      </c>
      <c r="Z174" t="s">
        <v>44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s="2">
        <v>1608</v>
      </c>
      <c r="AQ174">
        <f t="shared" si="6"/>
        <v>1608</v>
      </c>
      <c r="AR174" s="5">
        <f>VLOOKUP(F174,'[2]SCP_24-25'!$A:$D,4,0)</f>
        <v>86.7</v>
      </c>
      <c r="AS174" s="5">
        <f t="shared" si="5"/>
        <v>139413.6</v>
      </c>
    </row>
    <row r="175" spans="1:45" x14ac:dyDescent="0.3">
      <c r="A175" s="1">
        <v>45900.961111111108</v>
      </c>
      <c r="B175" t="s">
        <v>617</v>
      </c>
      <c r="C175" t="s">
        <v>618</v>
      </c>
      <c r="D175" t="s">
        <v>594</v>
      </c>
      <c r="E175" t="s">
        <v>595</v>
      </c>
      <c r="F175" t="s">
        <v>1751</v>
      </c>
      <c r="G175" t="s">
        <v>596</v>
      </c>
      <c r="H175" t="s">
        <v>130</v>
      </c>
      <c r="I175" t="s">
        <v>43</v>
      </c>
      <c r="J175">
        <v>60.02</v>
      </c>
      <c r="K175">
        <v>19</v>
      </c>
      <c r="L175">
        <v>10</v>
      </c>
      <c r="M175">
        <v>11</v>
      </c>
      <c r="N175">
        <v>19498</v>
      </c>
      <c r="O175">
        <v>55</v>
      </c>
      <c r="P175">
        <v>0</v>
      </c>
      <c r="Q175">
        <v>52</v>
      </c>
      <c r="R175">
        <v>6</v>
      </c>
      <c r="S175" t="s">
        <v>44</v>
      </c>
      <c r="T175" t="s">
        <v>44</v>
      </c>
      <c r="U175" t="s">
        <v>44</v>
      </c>
      <c r="V175">
        <v>4093</v>
      </c>
      <c r="W175">
        <v>2</v>
      </c>
      <c r="X175" t="s">
        <v>44</v>
      </c>
      <c r="Y175">
        <v>4093</v>
      </c>
      <c r="Z175" t="s">
        <v>44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s="2">
        <v>4148</v>
      </c>
      <c r="AQ175">
        <f t="shared" si="6"/>
        <v>4148</v>
      </c>
      <c r="AR175" s="5">
        <f>VLOOKUP(F175,'[2]SCP_24-25'!$A:$D,4,0)</f>
        <v>120.58</v>
      </c>
      <c r="AS175" s="5">
        <f t="shared" si="5"/>
        <v>500165.83999999997</v>
      </c>
    </row>
    <row r="176" spans="1:45" x14ac:dyDescent="0.3">
      <c r="A176" s="1">
        <v>45900.961111111108</v>
      </c>
      <c r="B176" t="s">
        <v>617</v>
      </c>
      <c r="C176" t="s">
        <v>618</v>
      </c>
      <c r="D176" t="s">
        <v>447</v>
      </c>
      <c r="F176" t="s">
        <v>1678</v>
      </c>
      <c r="G176" t="s">
        <v>448</v>
      </c>
      <c r="H176" t="s">
        <v>130</v>
      </c>
      <c r="I176" t="s">
        <v>43</v>
      </c>
      <c r="J176">
        <v>24</v>
      </c>
      <c r="K176">
        <v>19</v>
      </c>
      <c r="L176">
        <v>10</v>
      </c>
      <c r="M176">
        <v>11</v>
      </c>
      <c r="N176">
        <v>32490</v>
      </c>
      <c r="O176">
        <v>10</v>
      </c>
      <c r="P176">
        <v>0</v>
      </c>
      <c r="Q176">
        <v>1</v>
      </c>
      <c r="R176">
        <v>2</v>
      </c>
      <c r="S176" t="s">
        <v>44</v>
      </c>
      <c r="T176" t="s">
        <v>44</v>
      </c>
      <c r="U176" t="s">
        <v>44</v>
      </c>
      <c r="V176">
        <v>4040</v>
      </c>
      <c r="W176">
        <v>166</v>
      </c>
      <c r="X176" t="s">
        <v>44</v>
      </c>
      <c r="Y176">
        <v>4040</v>
      </c>
      <c r="Z176" t="s">
        <v>44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s="2">
        <v>4051</v>
      </c>
      <c r="AQ176">
        <f t="shared" si="6"/>
        <v>4051</v>
      </c>
      <c r="AR176" s="5">
        <f>VLOOKUP(F176,'[2]SCP_24-25'!$A:$D,4,0)</f>
        <v>79.680000000000007</v>
      </c>
      <c r="AS176" s="5">
        <f t="shared" si="5"/>
        <v>322783.68000000005</v>
      </c>
    </row>
    <row r="177" spans="1:45" x14ac:dyDescent="0.3">
      <c r="A177" s="1">
        <v>45900.961111111108</v>
      </c>
      <c r="B177" t="s">
        <v>617</v>
      </c>
      <c r="C177" t="s">
        <v>618</v>
      </c>
      <c r="D177" t="s">
        <v>599</v>
      </c>
      <c r="F177" t="s">
        <v>1753</v>
      </c>
      <c r="G177" t="s">
        <v>600</v>
      </c>
      <c r="H177" t="s">
        <v>130</v>
      </c>
      <c r="I177" t="s">
        <v>43</v>
      </c>
      <c r="J177">
        <v>24.02</v>
      </c>
      <c r="K177">
        <v>19</v>
      </c>
      <c r="L177">
        <v>10</v>
      </c>
      <c r="M177">
        <v>11</v>
      </c>
      <c r="N177">
        <v>33249</v>
      </c>
      <c r="O177">
        <v>104</v>
      </c>
      <c r="P177">
        <v>0</v>
      </c>
      <c r="Q177">
        <v>31</v>
      </c>
      <c r="R177">
        <v>1</v>
      </c>
      <c r="S177" t="s">
        <v>44</v>
      </c>
      <c r="T177" t="s">
        <v>44</v>
      </c>
      <c r="U177" t="s">
        <v>44</v>
      </c>
      <c r="V177">
        <v>2432</v>
      </c>
      <c r="W177">
        <v>99</v>
      </c>
      <c r="X177" t="s">
        <v>44</v>
      </c>
      <c r="Y177">
        <v>2432</v>
      </c>
      <c r="Z177" t="s">
        <v>44</v>
      </c>
      <c r="AA177">
        <v>4</v>
      </c>
      <c r="AB177">
        <v>0</v>
      </c>
      <c r="AC177">
        <v>0</v>
      </c>
      <c r="AD177">
        <v>0</v>
      </c>
      <c r="AE177">
        <v>0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s="2">
        <v>2540</v>
      </c>
      <c r="AQ177">
        <f t="shared" si="6"/>
        <v>2540</v>
      </c>
      <c r="AR177" s="5">
        <f>VLOOKUP(F177,'[2]SCP_24-25'!$A:$D,4,0)</f>
        <v>79.680000000000007</v>
      </c>
      <c r="AS177" s="5">
        <f t="shared" si="5"/>
        <v>202387.20000000001</v>
      </c>
    </row>
    <row r="178" spans="1:45" x14ac:dyDescent="0.3">
      <c r="A178" s="1">
        <v>45900.961111111108</v>
      </c>
      <c r="B178" t="s">
        <v>617</v>
      </c>
      <c r="C178" t="s">
        <v>618</v>
      </c>
      <c r="D178" t="s">
        <v>449</v>
      </c>
      <c r="F178" t="s">
        <v>1679</v>
      </c>
      <c r="G178" t="s">
        <v>450</v>
      </c>
      <c r="H178" t="s">
        <v>130</v>
      </c>
      <c r="I178" t="s">
        <v>43</v>
      </c>
      <c r="J178">
        <v>125</v>
      </c>
      <c r="K178">
        <v>19</v>
      </c>
      <c r="L178">
        <v>10</v>
      </c>
      <c r="M178">
        <v>11</v>
      </c>
      <c r="N178">
        <v>15737</v>
      </c>
      <c r="O178">
        <v>39</v>
      </c>
      <c r="P178">
        <v>0</v>
      </c>
      <c r="Q178">
        <v>47</v>
      </c>
      <c r="R178" t="s">
        <v>44</v>
      </c>
      <c r="S178" t="s">
        <v>44</v>
      </c>
      <c r="T178" t="s">
        <v>44</v>
      </c>
      <c r="U178" t="s">
        <v>44</v>
      </c>
      <c r="V178">
        <v>1565</v>
      </c>
      <c r="W178">
        <v>10</v>
      </c>
      <c r="X178" t="s">
        <v>44</v>
      </c>
      <c r="Y178">
        <v>1565</v>
      </c>
      <c r="Z178" t="s">
        <v>44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s="2">
        <v>1605</v>
      </c>
      <c r="AQ178">
        <f t="shared" si="6"/>
        <v>1605</v>
      </c>
      <c r="AR178" s="5">
        <f>VLOOKUP(F178,'[2]SCP_24-25'!$A:$D,4,0)</f>
        <v>168.55</v>
      </c>
      <c r="AS178" s="5">
        <f t="shared" si="5"/>
        <v>270522.75</v>
      </c>
    </row>
    <row r="179" spans="1:45" x14ac:dyDescent="0.3">
      <c r="A179" s="1">
        <v>45900.961111111108</v>
      </c>
      <c r="B179" t="s">
        <v>617</v>
      </c>
      <c r="C179" t="s">
        <v>618</v>
      </c>
      <c r="D179" t="s">
        <v>451</v>
      </c>
      <c r="F179" t="s">
        <v>1680</v>
      </c>
      <c r="G179" t="s">
        <v>452</v>
      </c>
      <c r="H179" t="s">
        <v>130</v>
      </c>
      <c r="I179" t="s">
        <v>43</v>
      </c>
      <c r="J179">
        <v>125.02</v>
      </c>
      <c r="K179">
        <v>19</v>
      </c>
      <c r="L179">
        <v>10</v>
      </c>
      <c r="M179">
        <v>11</v>
      </c>
      <c r="N179">
        <v>16724</v>
      </c>
      <c r="O179">
        <v>12</v>
      </c>
      <c r="P179">
        <v>0</v>
      </c>
      <c r="Q179">
        <v>40</v>
      </c>
      <c r="R179">
        <v>1</v>
      </c>
      <c r="S179" t="s">
        <v>44</v>
      </c>
      <c r="T179" t="s">
        <v>44</v>
      </c>
      <c r="U179" t="s">
        <v>44</v>
      </c>
      <c r="V179">
        <v>3305</v>
      </c>
      <c r="W179">
        <v>1</v>
      </c>
      <c r="X179" t="s">
        <v>44</v>
      </c>
      <c r="Y179">
        <v>3305</v>
      </c>
      <c r="Z179" t="s">
        <v>44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s="2">
        <v>3317</v>
      </c>
      <c r="AQ179">
        <f t="shared" si="6"/>
        <v>3317</v>
      </c>
      <c r="AR179" s="5">
        <f>VLOOKUP(F179,'[2]SCP_24-25'!$A:$D,4,0)</f>
        <v>168.55</v>
      </c>
      <c r="AS179" s="5">
        <f t="shared" si="5"/>
        <v>559080.35000000009</v>
      </c>
    </row>
    <row r="180" spans="1:45" x14ac:dyDescent="0.3">
      <c r="A180" s="1">
        <v>45900.961111111108</v>
      </c>
      <c r="B180" t="s">
        <v>617</v>
      </c>
      <c r="C180" t="s">
        <v>618</v>
      </c>
      <c r="D180" t="s">
        <v>455</v>
      </c>
      <c r="F180" t="s">
        <v>1682</v>
      </c>
      <c r="G180" t="s">
        <v>456</v>
      </c>
      <c r="H180" t="s">
        <v>130</v>
      </c>
      <c r="I180" t="s">
        <v>43</v>
      </c>
      <c r="J180">
        <v>40.020000000000003</v>
      </c>
      <c r="K180">
        <v>19</v>
      </c>
      <c r="L180">
        <v>10</v>
      </c>
      <c r="M180">
        <v>11</v>
      </c>
      <c r="N180">
        <v>14245</v>
      </c>
      <c r="O180">
        <v>40</v>
      </c>
      <c r="P180">
        <v>0</v>
      </c>
      <c r="Q180">
        <v>3</v>
      </c>
      <c r="R180">
        <v>4</v>
      </c>
      <c r="S180" t="s">
        <v>44</v>
      </c>
      <c r="T180" t="s">
        <v>44</v>
      </c>
      <c r="U180" t="s">
        <v>44</v>
      </c>
      <c r="V180">
        <v>3044</v>
      </c>
      <c r="W180">
        <v>4</v>
      </c>
      <c r="X180" t="s">
        <v>44</v>
      </c>
      <c r="Y180">
        <v>3044</v>
      </c>
      <c r="Z180" t="s">
        <v>44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3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s="2">
        <v>3086</v>
      </c>
      <c r="AQ180">
        <f t="shared" si="6"/>
        <v>3086</v>
      </c>
      <c r="AR180" s="5">
        <f>VLOOKUP(F180,'[2]SCP_24-25'!$A:$D,4,0)</f>
        <v>98.299999999999983</v>
      </c>
      <c r="AS180" s="5">
        <f t="shared" si="5"/>
        <v>303353.79999999993</v>
      </c>
    </row>
    <row r="181" spans="1:45" x14ac:dyDescent="0.3">
      <c r="A181" s="1">
        <v>45900.961111111108</v>
      </c>
      <c r="B181" t="s">
        <v>617</v>
      </c>
      <c r="C181" t="s">
        <v>618</v>
      </c>
      <c r="D181" t="s">
        <v>536</v>
      </c>
      <c r="F181" t="s">
        <v>1722</v>
      </c>
      <c r="G181" t="s">
        <v>537</v>
      </c>
      <c r="H181" t="s">
        <v>130</v>
      </c>
      <c r="I181" t="s">
        <v>43</v>
      </c>
      <c r="J181">
        <v>40.020000000000003</v>
      </c>
      <c r="K181">
        <v>19</v>
      </c>
      <c r="L181">
        <v>10</v>
      </c>
      <c r="M181">
        <v>11</v>
      </c>
      <c r="N181">
        <v>11464</v>
      </c>
      <c r="O181">
        <v>47</v>
      </c>
      <c r="P181">
        <v>0</v>
      </c>
      <c r="Q181">
        <v>1</v>
      </c>
      <c r="R181">
        <v>4</v>
      </c>
      <c r="S181" t="s">
        <v>44</v>
      </c>
      <c r="T181" t="s">
        <v>44</v>
      </c>
      <c r="U181" t="s">
        <v>44</v>
      </c>
      <c r="V181">
        <v>1487</v>
      </c>
      <c r="W181">
        <v>2</v>
      </c>
      <c r="X181" t="s">
        <v>44</v>
      </c>
      <c r="Y181">
        <v>1487</v>
      </c>
      <c r="Z181" t="s">
        <v>44</v>
      </c>
      <c r="AA181">
        <v>4</v>
      </c>
      <c r="AB181">
        <v>0</v>
      </c>
      <c r="AC181">
        <v>0</v>
      </c>
      <c r="AD181">
        <v>0</v>
      </c>
      <c r="AE181">
        <v>0</v>
      </c>
      <c r="AF181">
        <v>2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s="2">
        <v>1538</v>
      </c>
      <c r="AQ181">
        <f t="shared" si="6"/>
        <v>1538</v>
      </c>
      <c r="AR181" s="5">
        <f>VLOOKUP(F181,'[2]SCP_24-25'!$A:$D,4,0)</f>
        <v>98.3</v>
      </c>
      <c r="AS181" s="5">
        <f t="shared" si="5"/>
        <v>151185.4</v>
      </c>
    </row>
    <row r="182" spans="1:45" x14ac:dyDescent="0.3">
      <c r="A182" s="1">
        <v>45900.961111111108</v>
      </c>
      <c r="B182" t="s">
        <v>617</v>
      </c>
      <c r="C182" t="s">
        <v>618</v>
      </c>
      <c r="D182" t="s">
        <v>578</v>
      </c>
      <c r="F182" t="s">
        <v>1743</v>
      </c>
      <c r="G182" t="s">
        <v>579</v>
      </c>
      <c r="H182" t="s">
        <v>130</v>
      </c>
      <c r="I182" t="s">
        <v>43</v>
      </c>
      <c r="J182">
        <v>40.020000000000003</v>
      </c>
      <c r="K182">
        <v>19</v>
      </c>
      <c r="L182">
        <v>10</v>
      </c>
      <c r="M182">
        <v>11</v>
      </c>
      <c r="N182">
        <v>16478</v>
      </c>
      <c r="O182">
        <v>61</v>
      </c>
      <c r="P182">
        <v>0</v>
      </c>
      <c r="Q182">
        <v>13</v>
      </c>
      <c r="R182">
        <v>147</v>
      </c>
      <c r="S182" t="s">
        <v>44</v>
      </c>
      <c r="T182" t="s">
        <v>44</v>
      </c>
      <c r="U182" t="s">
        <v>44</v>
      </c>
      <c r="V182">
        <v>4107</v>
      </c>
      <c r="W182">
        <v>20</v>
      </c>
      <c r="X182" t="s">
        <v>44</v>
      </c>
      <c r="Y182">
        <v>4107</v>
      </c>
      <c r="Z182" t="s">
        <v>44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s="2">
        <v>4168</v>
      </c>
      <c r="AQ182">
        <f t="shared" si="6"/>
        <v>4168</v>
      </c>
      <c r="AR182" s="5">
        <f>VLOOKUP(F182,'[2]SCP_24-25'!$A:$D,4,0)</f>
        <v>98.3</v>
      </c>
      <c r="AS182" s="5">
        <f t="shared" si="5"/>
        <v>409714.39999999997</v>
      </c>
    </row>
    <row r="183" spans="1:45" x14ac:dyDescent="0.3">
      <c r="A183" s="1">
        <v>45900.961111111108</v>
      </c>
      <c r="B183" t="s">
        <v>617</v>
      </c>
      <c r="C183" t="s">
        <v>618</v>
      </c>
      <c r="D183" t="s">
        <v>459</v>
      </c>
      <c r="F183" t="s">
        <v>1684</v>
      </c>
      <c r="G183" t="s">
        <v>460</v>
      </c>
      <c r="H183" t="s">
        <v>130</v>
      </c>
      <c r="I183" t="s">
        <v>43</v>
      </c>
      <c r="J183">
        <v>40.020000000000003</v>
      </c>
      <c r="K183">
        <v>19</v>
      </c>
      <c r="L183">
        <v>10</v>
      </c>
      <c r="M183">
        <v>11</v>
      </c>
      <c r="N183">
        <v>43531</v>
      </c>
      <c r="O183">
        <v>179</v>
      </c>
      <c r="P183">
        <v>0</v>
      </c>
      <c r="Q183">
        <v>16</v>
      </c>
      <c r="R183">
        <v>11</v>
      </c>
      <c r="S183" t="s">
        <v>44</v>
      </c>
      <c r="T183" t="s">
        <v>44</v>
      </c>
      <c r="U183" t="s">
        <v>44</v>
      </c>
      <c r="V183">
        <v>1584</v>
      </c>
      <c r="W183">
        <v>1</v>
      </c>
      <c r="X183" t="s">
        <v>44</v>
      </c>
      <c r="Y183">
        <v>1584</v>
      </c>
      <c r="Z183" t="s">
        <v>44</v>
      </c>
      <c r="AA183">
        <v>2</v>
      </c>
      <c r="AB183">
        <v>0</v>
      </c>
      <c r="AC183">
        <v>0</v>
      </c>
      <c r="AD183">
        <v>0</v>
      </c>
      <c r="AE183">
        <v>0</v>
      </c>
      <c r="AF183">
        <v>4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s="2">
        <v>1765</v>
      </c>
      <c r="AQ183">
        <f t="shared" si="6"/>
        <v>1765</v>
      </c>
      <c r="AR183" s="5">
        <f>VLOOKUP(F183,'[2]SCP_24-25'!$A:$D,4,0)</f>
        <v>98.299999999999983</v>
      </c>
      <c r="AS183" s="5">
        <f t="shared" si="5"/>
        <v>173499.49999999997</v>
      </c>
    </row>
    <row r="184" spans="1:45" x14ac:dyDescent="0.3">
      <c r="A184" s="1">
        <v>45900.961111111108</v>
      </c>
      <c r="B184" t="s">
        <v>617</v>
      </c>
      <c r="C184" t="s">
        <v>618</v>
      </c>
      <c r="D184" t="s">
        <v>580</v>
      </c>
      <c r="F184" t="s">
        <v>1744</v>
      </c>
      <c r="G184" t="s">
        <v>581</v>
      </c>
      <c r="H184" t="s">
        <v>130</v>
      </c>
      <c r="I184" t="s">
        <v>43</v>
      </c>
      <c r="J184">
        <v>40.020000000000003</v>
      </c>
      <c r="K184">
        <v>19</v>
      </c>
      <c r="L184">
        <v>10</v>
      </c>
      <c r="M184">
        <v>11</v>
      </c>
      <c r="N184">
        <v>17677</v>
      </c>
      <c r="O184">
        <v>31</v>
      </c>
      <c r="P184">
        <v>0</v>
      </c>
      <c r="Q184">
        <v>6</v>
      </c>
      <c r="R184">
        <v>2</v>
      </c>
      <c r="S184" t="s">
        <v>44</v>
      </c>
      <c r="T184" t="s">
        <v>44</v>
      </c>
      <c r="U184" t="s">
        <v>44</v>
      </c>
      <c r="V184">
        <v>3924</v>
      </c>
      <c r="W184">
        <v>2</v>
      </c>
      <c r="X184" t="s">
        <v>44</v>
      </c>
      <c r="Y184">
        <v>3924</v>
      </c>
      <c r="Z184" t="s">
        <v>44</v>
      </c>
      <c r="AA184">
        <v>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s="2">
        <v>3960</v>
      </c>
      <c r="AQ184">
        <f t="shared" si="6"/>
        <v>3960</v>
      </c>
      <c r="AR184" s="5">
        <f>VLOOKUP(F184,'[2]SCP_24-25'!$A:$D,4,0)</f>
        <v>98.3</v>
      </c>
      <c r="AS184" s="5">
        <f t="shared" si="5"/>
        <v>389268</v>
      </c>
    </row>
    <row r="185" spans="1:45" x14ac:dyDescent="0.3">
      <c r="A185" s="1">
        <v>45900.961111111108</v>
      </c>
      <c r="B185" t="s">
        <v>617</v>
      </c>
      <c r="C185" t="s">
        <v>618</v>
      </c>
      <c r="D185" t="s">
        <v>420</v>
      </c>
      <c r="F185" t="s">
        <v>1667</v>
      </c>
      <c r="G185" t="s">
        <v>421</v>
      </c>
      <c r="H185" t="s">
        <v>130</v>
      </c>
      <c r="I185" t="s">
        <v>43</v>
      </c>
      <c r="J185">
        <v>40.020000000000003</v>
      </c>
      <c r="K185">
        <v>19</v>
      </c>
      <c r="L185">
        <v>10</v>
      </c>
      <c r="M185">
        <v>11</v>
      </c>
      <c r="N185">
        <v>17669</v>
      </c>
      <c r="O185">
        <v>24</v>
      </c>
      <c r="P185">
        <v>0</v>
      </c>
      <c r="Q185">
        <v>2</v>
      </c>
      <c r="R185">
        <v>4</v>
      </c>
      <c r="S185" t="s">
        <v>44</v>
      </c>
      <c r="T185" t="s">
        <v>44</v>
      </c>
      <c r="U185" t="s">
        <v>44</v>
      </c>
      <c r="V185">
        <v>3514</v>
      </c>
      <c r="W185">
        <v>9</v>
      </c>
      <c r="X185" t="s">
        <v>44</v>
      </c>
      <c r="Y185">
        <v>3514</v>
      </c>
      <c r="Z185" t="s">
        <v>44</v>
      </c>
      <c r="AA185">
        <v>6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s="2">
        <v>3544</v>
      </c>
      <c r="AQ185">
        <f t="shared" si="6"/>
        <v>3544</v>
      </c>
      <c r="AR185" s="5">
        <f>VLOOKUP(F185,'[2]SCP_24-25'!$A:$D,4,0)</f>
        <v>98.3</v>
      </c>
      <c r="AS185" s="5">
        <f t="shared" si="5"/>
        <v>348375.2</v>
      </c>
    </row>
    <row r="186" spans="1:45" x14ac:dyDescent="0.3">
      <c r="A186" s="1">
        <v>45900.961111111108</v>
      </c>
      <c r="B186" t="s">
        <v>617</v>
      </c>
      <c r="C186" t="s">
        <v>618</v>
      </c>
      <c r="D186" t="s">
        <v>461</v>
      </c>
      <c r="F186" t="s">
        <v>1685</v>
      </c>
      <c r="G186" t="s">
        <v>462</v>
      </c>
      <c r="H186" t="s">
        <v>130</v>
      </c>
      <c r="I186" t="s">
        <v>43</v>
      </c>
      <c r="J186">
        <v>53.02</v>
      </c>
      <c r="K186">
        <v>19</v>
      </c>
      <c r="L186">
        <v>10</v>
      </c>
      <c r="M186">
        <v>11</v>
      </c>
      <c r="N186">
        <v>7221</v>
      </c>
      <c r="O186">
        <v>0</v>
      </c>
      <c r="P186">
        <v>0</v>
      </c>
      <c r="Q186">
        <v>14</v>
      </c>
      <c r="R186" t="s">
        <v>44</v>
      </c>
      <c r="S186" t="s">
        <v>44</v>
      </c>
      <c r="T186" t="s">
        <v>44</v>
      </c>
      <c r="U186" t="s">
        <v>44</v>
      </c>
      <c r="V186">
        <v>1744</v>
      </c>
      <c r="W186" t="s">
        <v>44</v>
      </c>
      <c r="X186" t="s">
        <v>44</v>
      </c>
      <c r="Y186">
        <v>1744</v>
      </c>
      <c r="Z186" t="s">
        <v>44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s="2">
        <v>1744</v>
      </c>
      <c r="AQ186">
        <f t="shared" si="6"/>
        <v>1744</v>
      </c>
      <c r="AR186" s="5">
        <f>VLOOKUP(F186,'[2]SCP_24-25'!$A:$D,4,0)</f>
        <v>51.74</v>
      </c>
      <c r="AS186" s="5">
        <f t="shared" si="5"/>
        <v>90234.559999999998</v>
      </c>
    </row>
    <row r="187" spans="1:45" x14ac:dyDescent="0.3">
      <c r="A187" s="1">
        <v>45900.961111111108</v>
      </c>
      <c r="B187" t="s">
        <v>617</v>
      </c>
      <c r="C187" t="s">
        <v>618</v>
      </c>
      <c r="D187" t="s">
        <v>463</v>
      </c>
      <c r="F187" t="s">
        <v>1686</v>
      </c>
      <c r="G187" t="s">
        <v>464</v>
      </c>
      <c r="H187" t="s">
        <v>130</v>
      </c>
      <c r="I187" t="s">
        <v>43</v>
      </c>
      <c r="J187">
        <v>53.02</v>
      </c>
      <c r="K187">
        <v>19</v>
      </c>
      <c r="L187">
        <v>10</v>
      </c>
      <c r="M187">
        <v>11</v>
      </c>
      <c r="N187">
        <v>7720</v>
      </c>
      <c r="O187">
        <v>0</v>
      </c>
      <c r="P187">
        <v>0</v>
      </c>
      <c r="Q187">
        <v>5</v>
      </c>
      <c r="R187" t="s">
        <v>44</v>
      </c>
      <c r="S187" t="s">
        <v>44</v>
      </c>
      <c r="T187" t="s">
        <v>44</v>
      </c>
      <c r="U187" t="s">
        <v>44</v>
      </c>
      <c r="V187">
        <v>1916</v>
      </c>
      <c r="W187">
        <v>4</v>
      </c>
      <c r="X187" t="s">
        <v>44</v>
      </c>
      <c r="Y187">
        <v>1916</v>
      </c>
      <c r="Z187" t="s">
        <v>44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s="2">
        <v>1916</v>
      </c>
      <c r="AQ187">
        <f t="shared" si="6"/>
        <v>1916</v>
      </c>
      <c r="AR187" s="5">
        <f>VLOOKUP(F187,'[2]SCP_24-25'!$A:$D,4,0)</f>
        <v>51.74</v>
      </c>
      <c r="AS187" s="5">
        <f t="shared" si="5"/>
        <v>99133.840000000011</v>
      </c>
    </row>
    <row r="188" spans="1:45" x14ac:dyDescent="0.3">
      <c r="A188" s="1">
        <v>45900.961111111108</v>
      </c>
      <c r="B188" t="s">
        <v>617</v>
      </c>
      <c r="C188" t="s">
        <v>618</v>
      </c>
      <c r="D188" t="s">
        <v>801</v>
      </c>
      <c r="F188" t="s">
        <v>1852</v>
      </c>
      <c r="G188" t="s">
        <v>802</v>
      </c>
      <c r="H188" t="s">
        <v>130</v>
      </c>
      <c r="I188" t="s">
        <v>43</v>
      </c>
      <c r="J188">
        <v>32.020000000000003</v>
      </c>
      <c r="K188">
        <v>19</v>
      </c>
      <c r="L188">
        <v>10</v>
      </c>
      <c r="M188">
        <v>11</v>
      </c>
      <c r="N188">
        <v>14220</v>
      </c>
      <c r="O188">
        <v>17</v>
      </c>
      <c r="P188">
        <v>0</v>
      </c>
      <c r="Q188">
        <v>19</v>
      </c>
      <c r="R188" t="s">
        <v>44</v>
      </c>
      <c r="S188" t="s">
        <v>44</v>
      </c>
      <c r="T188" t="s">
        <v>44</v>
      </c>
      <c r="U188" t="s">
        <v>44</v>
      </c>
      <c r="V188">
        <v>1364</v>
      </c>
      <c r="W188">
        <v>37</v>
      </c>
      <c r="X188" t="s">
        <v>44</v>
      </c>
      <c r="Y188">
        <v>1364</v>
      </c>
      <c r="Z188" t="s">
        <v>44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s="2">
        <v>1382</v>
      </c>
      <c r="AQ188">
        <f t="shared" si="6"/>
        <v>1382</v>
      </c>
      <c r="AR188" s="5">
        <f>VLOOKUP(F188,'[2]SCP_24-25'!$A:$D,4,0)</f>
        <v>96.2</v>
      </c>
      <c r="AS188" s="5">
        <f t="shared" si="5"/>
        <v>132948.4</v>
      </c>
    </row>
    <row r="189" spans="1:45" x14ac:dyDescent="0.3">
      <c r="A189" s="1">
        <v>45900.961111111108</v>
      </c>
      <c r="B189" t="s">
        <v>617</v>
      </c>
      <c r="C189" t="s">
        <v>618</v>
      </c>
      <c r="D189" t="s">
        <v>586</v>
      </c>
      <c r="F189" t="s">
        <v>1747</v>
      </c>
      <c r="G189" t="s">
        <v>587</v>
      </c>
      <c r="H189" t="s">
        <v>130</v>
      </c>
      <c r="I189" t="s">
        <v>43</v>
      </c>
      <c r="J189">
        <v>32.020000000000003</v>
      </c>
      <c r="K189">
        <v>19</v>
      </c>
      <c r="L189">
        <v>10</v>
      </c>
      <c r="M189">
        <v>11</v>
      </c>
      <c r="N189">
        <v>17286</v>
      </c>
      <c r="O189">
        <v>111</v>
      </c>
      <c r="P189">
        <v>0</v>
      </c>
      <c r="Q189">
        <v>33</v>
      </c>
      <c r="R189">
        <v>4</v>
      </c>
      <c r="S189" t="s">
        <v>44</v>
      </c>
      <c r="T189" t="s">
        <v>44</v>
      </c>
      <c r="U189" t="s">
        <v>44</v>
      </c>
      <c r="V189">
        <v>1079</v>
      </c>
      <c r="W189">
        <v>23</v>
      </c>
      <c r="X189" t="s">
        <v>44</v>
      </c>
      <c r="Y189">
        <v>1079</v>
      </c>
      <c r="Z189" t="s">
        <v>44</v>
      </c>
      <c r="AA189">
        <v>11</v>
      </c>
      <c r="AB189">
        <v>0</v>
      </c>
      <c r="AC189">
        <v>0</v>
      </c>
      <c r="AD189">
        <v>0</v>
      </c>
      <c r="AE189">
        <v>0</v>
      </c>
      <c r="AF189">
        <v>7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s="2">
        <v>1201</v>
      </c>
      <c r="AQ189">
        <f t="shared" si="6"/>
        <v>1201</v>
      </c>
      <c r="AR189" s="5">
        <f>VLOOKUP(F189,'[2]SCP_24-25'!$A:$D,4,0)</f>
        <v>96.2</v>
      </c>
      <c r="AS189" s="5">
        <f t="shared" si="5"/>
        <v>115536.2</v>
      </c>
    </row>
    <row r="190" spans="1:45" x14ac:dyDescent="0.3">
      <c r="A190" s="1">
        <v>45900.961111111108</v>
      </c>
      <c r="B190" t="s">
        <v>617</v>
      </c>
      <c r="C190" t="s">
        <v>618</v>
      </c>
      <c r="D190" t="s">
        <v>501</v>
      </c>
      <c r="F190" t="s">
        <v>1705</v>
      </c>
      <c r="G190" t="s">
        <v>502</v>
      </c>
      <c r="H190" t="s">
        <v>130</v>
      </c>
      <c r="I190" t="s">
        <v>43</v>
      </c>
      <c r="J190">
        <v>71</v>
      </c>
      <c r="K190">
        <v>19</v>
      </c>
      <c r="L190">
        <v>10</v>
      </c>
      <c r="M190">
        <v>11</v>
      </c>
      <c r="N190">
        <v>36840</v>
      </c>
      <c r="O190">
        <v>761</v>
      </c>
      <c r="P190">
        <v>0</v>
      </c>
      <c r="Q190">
        <v>23</v>
      </c>
      <c r="R190">
        <v>1403</v>
      </c>
      <c r="S190" t="s">
        <v>44</v>
      </c>
      <c r="T190" t="s">
        <v>44</v>
      </c>
      <c r="U190" t="s">
        <v>44</v>
      </c>
      <c r="V190">
        <v>2891</v>
      </c>
      <c r="W190">
        <v>1</v>
      </c>
      <c r="X190" t="s">
        <v>44</v>
      </c>
      <c r="Y190">
        <v>2891</v>
      </c>
      <c r="Z190" t="s">
        <v>44</v>
      </c>
      <c r="AA190">
        <v>2</v>
      </c>
      <c r="AB190">
        <v>0</v>
      </c>
      <c r="AC190">
        <v>0</v>
      </c>
      <c r="AD190">
        <v>0</v>
      </c>
      <c r="AE190">
        <v>0</v>
      </c>
      <c r="AF190">
        <v>2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s="2">
        <v>3654</v>
      </c>
      <c r="AQ190">
        <f t="shared" si="6"/>
        <v>3654</v>
      </c>
      <c r="AR190" s="5">
        <f>VLOOKUP(F190,'[2]SCP_24-25'!$A:$D,4,0)</f>
        <v>129.18</v>
      </c>
      <c r="AS190" s="5">
        <f t="shared" si="5"/>
        <v>472023.72000000003</v>
      </c>
    </row>
    <row r="191" spans="1:45" x14ac:dyDescent="0.3">
      <c r="A191" s="1">
        <v>45900.961111111108</v>
      </c>
      <c r="B191" t="s">
        <v>617</v>
      </c>
      <c r="C191" t="s">
        <v>618</v>
      </c>
      <c r="D191" t="s">
        <v>603</v>
      </c>
      <c r="F191" t="s">
        <v>1755</v>
      </c>
      <c r="G191" t="s">
        <v>604</v>
      </c>
      <c r="H191" t="s">
        <v>130</v>
      </c>
      <c r="I191" t="s">
        <v>43</v>
      </c>
      <c r="J191">
        <v>71.02</v>
      </c>
      <c r="K191">
        <v>19</v>
      </c>
      <c r="L191">
        <v>10</v>
      </c>
      <c r="M191">
        <v>11</v>
      </c>
      <c r="N191">
        <v>30364</v>
      </c>
      <c r="O191">
        <v>735</v>
      </c>
      <c r="P191">
        <v>0</v>
      </c>
      <c r="Q191">
        <v>5</v>
      </c>
      <c r="R191">
        <v>1785</v>
      </c>
      <c r="S191" t="s">
        <v>44</v>
      </c>
      <c r="T191" t="s">
        <v>44</v>
      </c>
      <c r="U191" t="s">
        <v>44</v>
      </c>
      <c r="V191">
        <v>1471</v>
      </c>
      <c r="W191" t="s">
        <v>44</v>
      </c>
      <c r="X191" t="s">
        <v>44</v>
      </c>
      <c r="Y191">
        <v>1471</v>
      </c>
      <c r="Z191" t="s">
        <v>44</v>
      </c>
      <c r="AA191">
        <v>7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s="2">
        <v>2213</v>
      </c>
      <c r="AQ191">
        <f t="shared" si="6"/>
        <v>2213</v>
      </c>
      <c r="AR191" s="5">
        <f>VLOOKUP(F191,'[2]SCP_24-25'!$A:$D,4,0)</f>
        <v>129.18</v>
      </c>
      <c r="AS191" s="5">
        <f t="shared" si="5"/>
        <v>285875.34000000003</v>
      </c>
    </row>
    <row r="192" spans="1:45" x14ac:dyDescent="0.3">
      <c r="A192" s="1">
        <v>45900.961111111108</v>
      </c>
      <c r="B192" t="s">
        <v>617</v>
      </c>
      <c r="C192" t="s">
        <v>618</v>
      </c>
      <c r="D192" t="s">
        <v>803</v>
      </c>
      <c r="F192" t="s">
        <v>1853</v>
      </c>
      <c r="G192" t="s">
        <v>804</v>
      </c>
      <c r="H192" t="s">
        <v>130</v>
      </c>
      <c r="I192" t="s">
        <v>43</v>
      </c>
      <c r="J192">
        <v>63.02</v>
      </c>
      <c r="K192">
        <v>19</v>
      </c>
      <c r="L192">
        <v>10</v>
      </c>
      <c r="M192">
        <v>11</v>
      </c>
      <c r="N192">
        <v>23270</v>
      </c>
      <c r="O192">
        <v>104</v>
      </c>
      <c r="P192">
        <v>0</v>
      </c>
      <c r="Q192">
        <v>1</v>
      </c>
      <c r="R192">
        <v>1</v>
      </c>
      <c r="S192" t="s">
        <v>44</v>
      </c>
      <c r="T192" t="s">
        <v>44</v>
      </c>
      <c r="U192" t="s">
        <v>44</v>
      </c>
      <c r="V192">
        <v>2194</v>
      </c>
      <c r="W192">
        <v>6</v>
      </c>
      <c r="X192" t="s">
        <v>44</v>
      </c>
      <c r="Y192">
        <v>2194</v>
      </c>
      <c r="Z192" t="s">
        <v>44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s="2">
        <v>2299</v>
      </c>
      <c r="AQ192">
        <f t="shared" si="6"/>
        <v>2299</v>
      </c>
      <c r="AR192" s="5">
        <f>VLOOKUP(F192,'[2]SCP_24-25'!$A:$D,4,0)</f>
        <v>91.39</v>
      </c>
      <c r="AS192" s="5">
        <f t="shared" si="5"/>
        <v>210105.61000000002</v>
      </c>
    </row>
    <row r="193" spans="1:45" x14ac:dyDescent="0.3">
      <c r="A193" s="1">
        <v>45900.961111111108</v>
      </c>
      <c r="B193" t="s">
        <v>617</v>
      </c>
      <c r="C193" t="s">
        <v>618</v>
      </c>
      <c r="D193" t="s">
        <v>805</v>
      </c>
      <c r="F193" t="s">
        <v>1854</v>
      </c>
      <c r="G193" t="s">
        <v>806</v>
      </c>
      <c r="H193" t="s">
        <v>130</v>
      </c>
      <c r="I193" t="s">
        <v>43</v>
      </c>
      <c r="J193">
        <v>112.62</v>
      </c>
      <c r="K193">
        <v>19</v>
      </c>
      <c r="L193">
        <v>11</v>
      </c>
      <c r="M193">
        <v>10</v>
      </c>
      <c r="N193">
        <v>18115</v>
      </c>
      <c r="O193">
        <v>8</v>
      </c>
      <c r="P193">
        <v>0</v>
      </c>
      <c r="Q193">
        <v>1</v>
      </c>
      <c r="R193" t="s">
        <v>44</v>
      </c>
      <c r="S193" t="s">
        <v>44</v>
      </c>
      <c r="T193" t="s">
        <v>44</v>
      </c>
      <c r="U193" t="s">
        <v>44</v>
      </c>
      <c r="V193">
        <v>1397</v>
      </c>
      <c r="W193" t="s">
        <v>44</v>
      </c>
      <c r="X193" t="s">
        <v>44</v>
      </c>
      <c r="Y193">
        <v>1397</v>
      </c>
      <c r="Z193" t="s">
        <v>44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s="2">
        <v>1407</v>
      </c>
      <c r="AQ193">
        <f t="shared" si="6"/>
        <v>1407</v>
      </c>
      <c r="AR193" s="5">
        <f>VLOOKUP(F193,'[2]SCP_24-25'!$A:$D,4,0)</f>
        <v>114.81</v>
      </c>
      <c r="AS193" s="5">
        <f t="shared" si="5"/>
        <v>161537.67000000001</v>
      </c>
    </row>
    <row r="194" spans="1:45" x14ac:dyDescent="0.3">
      <c r="A194" s="1">
        <v>45900.961111111108</v>
      </c>
      <c r="B194" t="s">
        <v>617</v>
      </c>
      <c r="C194" t="s">
        <v>618</v>
      </c>
      <c r="D194" t="s">
        <v>807</v>
      </c>
      <c r="F194" t="s">
        <v>1855</v>
      </c>
      <c r="G194" t="s">
        <v>808</v>
      </c>
      <c r="H194" t="s">
        <v>120</v>
      </c>
      <c r="I194" t="s">
        <v>43</v>
      </c>
      <c r="J194">
        <v>100</v>
      </c>
      <c r="K194">
        <v>19</v>
      </c>
      <c r="L194">
        <v>11</v>
      </c>
      <c r="M194">
        <v>10</v>
      </c>
      <c r="N194">
        <v>6579</v>
      </c>
      <c r="O194">
        <v>0</v>
      </c>
      <c r="P194">
        <v>0</v>
      </c>
      <c r="Q194">
        <v>1</v>
      </c>
      <c r="R194">
        <v>1</v>
      </c>
      <c r="S194" t="s">
        <v>44</v>
      </c>
      <c r="T194" t="s">
        <v>44</v>
      </c>
      <c r="U194" t="s">
        <v>44</v>
      </c>
      <c r="V194">
        <v>1615</v>
      </c>
      <c r="W194" t="s">
        <v>44</v>
      </c>
      <c r="X194" t="s">
        <v>44</v>
      </c>
      <c r="Y194">
        <v>1615</v>
      </c>
      <c r="Z194" t="s">
        <v>44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5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s="2">
        <v>1615</v>
      </c>
      <c r="AQ194">
        <f t="shared" si="6"/>
        <v>1615</v>
      </c>
      <c r="AR194" s="5">
        <f>VLOOKUP(F194,'[2]SCP_24-25'!$A:$D,4,0)</f>
        <v>48</v>
      </c>
      <c r="AS194" s="5">
        <f t="shared" si="5"/>
        <v>77520</v>
      </c>
    </row>
    <row r="195" spans="1:45" x14ac:dyDescent="0.3">
      <c r="A195" s="1">
        <v>45900.961111111108</v>
      </c>
      <c r="B195" t="s">
        <v>617</v>
      </c>
      <c r="C195" t="s">
        <v>618</v>
      </c>
      <c r="D195" t="s">
        <v>473</v>
      </c>
      <c r="F195" t="s">
        <v>1691</v>
      </c>
      <c r="G195" t="s">
        <v>474</v>
      </c>
      <c r="H195" t="s">
        <v>103</v>
      </c>
      <c r="I195" t="s">
        <v>415</v>
      </c>
      <c r="J195">
        <v>200</v>
      </c>
      <c r="K195">
        <v>19</v>
      </c>
      <c r="L195">
        <v>10</v>
      </c>
      <c r="M195">
        <v>11</v>
      </c>
      <c r="N195">
        <v>100880</v>
      </c>
      <c r="O195">
        <v>1908</v>
      </c>
      <c r="P195">
        <v>0</v>
      </c>
      <c r="Q195">
        <v>82</v>
      </c>
      <c r="R195">
        <v>29</v>
      </c>
      <c r="S195" t="s">
        <v>44</v>
      </c>
      <c r="T195">
        <v>56</v>
      </c>
      <c r="U195" t="s">
        <v>44</v>
      </c>
      <c r="V195">
        <v>2873</v>
      </c>
      <c r="W195" t="s">
        <v>44</v>
      </c>
      <c r="X195" t="s">
        <v>44</v>
      </c>
      <c r="Y195">
        <v>2873</v>
      </c>
      <c r="Z195" t="s">
        <v>44</v>
      </c>
      <c r="AA195">
        <v>39</v>
      </c>
      <c r="AB195">
        <v>0</v>
      </c>
      <c r="AC195">
        <v>0</v>
      </c>
      <c r="AD195">
        <v>0</v>
      </c>
      <c r="AE195">
        <v>0</v>
      </c>
      <c r="AF195">
        <v>13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s="2">
        <v>4820</v>
      </c>
      <c r="AQ195">
        <f t="shared" si="6"/>
        <v>4820</v>
      </c>
      <c r="AR195" s="5">
        <f>VLOOKUP(F195,'[2]SCP_24-25'!$A:$D,4,0)</f>
        <v>40.409999999999997</v>
      </c>
      <c r="AS195" s="5">
        <f t="shared" ref="AS195:AS258" si="7">AQ195*AR195</f>
        <v>194776.19999999998</v>
      </c>
    </row>
    <row r="196" spans="1:45" x14ac:dyDescent="0.3">
      <c r="A196" s="1">
        <v>45900.961111111108</v>
      </c>
      <c r="B196" t="s">
        <v>617</v>
      </c>
      <c r="C196" t="s">
        <v>618</v>
      </c>
      <c r="D196" t="s">
        <v>475</v>
      </c>
      <c r="F196" t="s">
        <v>1692</v>
      </c>
      <c r="G196" t="s">
        <v>476</v>
      </c>
      <c r="H196" t="s">
        <v>103</v>
      </c>
      <c r="I196" t="s">
        <v>415</v>
      </c>
      <c r="J196">
        <v>200</v>
      </c>
      <c r="K196">
        <v>19</v>
      </c>
      <c r="L196">
        <v>10</v>
      </c>
      <c r="M196">
        <v>11</v>
      </c>
      <c r="N196">
        <v>42272</v>
      </c>
      <c r="O196">
        <v>4910</v>
      </c>
      <c r="P196">
        <v>0</v>
      </c>
      <c r="Q196">
        <v>12</v>
      </c>
      <c r="R196">
        <v>9</v>
      </c>
      <c r="S196" t="s">
        <v>44</v>
      </c>
      <c r="T196" t="s">
        <v>44</v>
      </c>
      <c r="U196" t="s">
        <v>44</v>
      </c>
      <c r="V196">
        <v>1312</v>
      </c>
      <c r="W196" t="s">
        <v>44</v>
      </c>
      <c r="X196" t="s">
        <v>44</v>
      </c>
      <c r="Y196">
        <v>1312</v>
      </c>
      <c r="Z196" t="s">
        <v>44</v>
      </c>
      <c r="AA196">
        <v>11</v>
      </c>
      <c r="AB196">
        <v>0</v>
      </c>
      <c r="AC196">
        <v>0</v>
      </c>
      <c r="AD196">
        <v>0</v>
      </c>
      <c r="AE196">
        <v>0</v>
      </c>
      <c r="AF196">
        <v>3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s="2">
        <v>6233</v>
      </c>
      <c r="AQ196">
        <f t="shared" si="6"/>
        <v>6233</v>
      </c>
      <c r="AR196" s="5">
        <f>VLOOKUP(F196,'[2]SCP_24-25'!$A:$D,4,0)</f>
        <v>62.03</v>
      </c>
      <c r="AS196" s="5">
        <f t="shared" si="7"/>
        <v>386632.99</v>
      </c>
    </row>
    <row r="197" spans="1:45" x14ac:dyDescent="0.3">
      <c r="A197" s="1">
        <v>45900.961111111108</v>
      </c>
      <c r="B197" t="s">
        <v>617</v>
      </c>
      <c r="C197" t="s">
        <v>618</v>
      </c>
      <c r="D197" t="s">
        <v>809</v>
      </c>
      <c r="F197" t="s">
        <v>1856</v>
      </c>
      <c r="G197" t="s">
        <v>810</v>
      </c>
      <c r="H197" t="s">
        <v>66</v>
      </c>
      <c r="I197" t="s">
        <v>415</v>
      </c>
      <c r="J197">
        <v>450</v>
      </c>
      <c r="K197">
        <v>19</v>
      </c>
      <c r="L197">
        <v>10</v>
      </c>
      <c r="M197">
        <v>11</v>
      </c>
      <c r="N197">
        <v>2509</v>
      </c>
      <c r="O197">
        <v>0</v>
      </c>
      <c r="P197">
        <v>0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>
        <v>1362</v>
      </c>
      <c r="W197" t="s">
        <v>44</v>
      </c>
      <c r="X197" t="s">
        <v>44</v>
      </c>
      <c r="Y197">
        <v>1362</v>
      </c>
      <c r="Z197" t="s">
        <v>44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s="2">
        <v>1362</v>
      </c>
      <c r="AQ197">
        <f t="shared" si="6"/>
        <v>1362</v>
      </c>
      <c r="AR197" s="5">
        <f>VLOOKUP(F197,'[2]SCP_24-25'!$A:$D,4,0)</f>
        <v>119.51000000000002</v>
      </c>
      <c r="AS197" s="5">
        <f t="shared" si="7"/>
        <v>162772.62000000002</v>
      </c>
    </row>
    <row r="198" spans="1:45" x14ac:dyDescent="0.3">
      <c r="A198" s="1">
        <v>45900.961111111108</v>
      </c>
      <c r="B198" t="s">
        <v>617</v>
      </c>
      <c r="C198" t="s">
        <v>618</v>
      </c>
      <c r="D198" t="s">
        <v>811</v>
      </c>
      <c r="F198" t="s">
        <v>1857</v>
      </c>
      <c r="G198" t="s">
        <v>812</v>
      </c>
      <c r="H198" t="s">
        <v>130</v>
      </c>
      <c r="I198" t="s">
        <v>415</v>
      </c>
      <c r="J198">
        <v>3.5</v>
      </c>
      <c r="K198">
        <v>19</v>
      </c>
      <c r="L198">
        <v>10</v>
      </c>
      <c r="M198">
        <v>11</v>
      </c>
      <c r="N198">
        <v>3168</v>
      </c>
      <c r="O198">
        <v>9</v>
      </c>
      <c r="P198">
        <v>0</v>
      </c>
      <c r="Q198" t="s">
        <v>44</v>
      </c>
      <c r="R198" t="s">
        <v>44</v>
      </c>
      <c r="S198" t="s">
        <v>44</v>
      </c>
      <c r="T198">
        <v>96</v>
      </c>
      <c r="U198" t="s">
        <v>44</v>
      </c>
      <c r="V198">
        <v>2233</v>
      </c>
      <c r="W198" t="s">
        <v>44</v>
      </c>
      <c r="X198" t="s">
        <v>44</v>
      </c>
      <c r="Y198">
        <v>2233</v>
      </c>
      <c r="Z198" t="s">
        <v>44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2">
        <v>2243</v>
      </c>
      <c r="AQ198">
        <f t="shared" si="6"/>
        <v>2243</v>
      </c>
      <c r="AR198" s="5">
        <f>VLOOKUP(F198,'[2]SCP_24-25'!$A:$D,4,0)</f>
        <v>149.82</v>
      </c>
      <c r="AS198" s="5">
        <f t="shared" si="7"/>
        <v>336046.26</v>
      </c>
    </row>
    <row r="199" spans="1:45" x14ac:dyDescent="0.3">
      <c r="A199" s="1">
        <v>45900.961111111108</v>
      </c>
      <c r="B199" t="s">
        <v>617</v>
      </c>
      <c r="C199" t="s">
        <v>618</v>
      </c>
      <c r="D199" t="s">
        <v>813</v>
      </c>
      <c r="F199" t="s">
        <v>1858</v>
      </c>
      <c r="G199" t="s">
        <v>814</v>
      </c>
      <c r="H199" t="s">
        <v>130</v>
      </c>
      <c r="I199" t="s">
        <v>415</v>
      </c>
      <c r="J199">
        <v>3.5</v>
      </c>
      <c r="K199">
        <v>19</v>
      </c>
      <c r="L199">
        <v>10</v>
      </c>
      <c r="M199">
        <v>11</v>
      </c>
      <c r="N199">
        <v>3648</v>
      </c>
      <c r="O199">
        <v>6</v>
      </c>
      <c r="P199">
        <v>0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>
        <v>2734</v>
      </c>
      <c r="W199" t="s">
        <v>44</v>
      </c>
      <c r="X199" t="s">
        <v>44</v>
      </c>
      <c r="Y199">
        <v>2734</v>
      </c>
      <c r="Z199" t="s">
        <v>44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s="2">
        <v>2740</v>
      </c>
      <c r="AQ199">
        <f t="shared" si="6"/>
        <v>2740</v>
      </c>
      <c r="AR199" s="5">
        <f>VLOOKUP(F199,'[2]SCP_24-25'!$A:$D,4,0)</f>
        <v>149.81999999999996</v>
      </c>
      <c r="AS199" s="5">
        <f t="shared" si="7"/>
        <v>410506.79999999993</v>
      </c>
    </row>
    <row r="200" spans="1:45" x14ac:dyDescent="0.3">
      <c r="A200" s="1">
        <v>45900.961111111108</v>
      </c>
      <c r="B200" t="s">
        <v>617</v>
      </c>
      <c r="C200" t="s">
        <v>618</v>
      </c>
      <c r="D200" t="s">
        <v>815</v>
      </c>
      <c r="F200" t="s">
        <v>1859</v>
      </c>
      <c r="G200" t="s">
        <v>816</v>
      </c>
      <c r="H200" t="s">
        <v>130</v>
      </c>
      <c r="I200" t="s">
        <v>415</v>
      </c>
      <c r="J200">
        <v>3.5</v>
      </c>
      <c r="K200">
        <v>19</v>
      </c>
      <c r="L200">
        <v>10</v>
      </c>
      <c r="M200">
        <v>11</v>
      </c>
      <c r="N200">
        <v>3744</v>
      </c>
      <c r="O200">
        <v>6</v>
      </c>
      <c r="P200">
        <v>0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>
        <v>2829</v>
      </c>
      <c r="W200" t="s">
        <v>44</v>
      </c>
      <c r="X200" t="s">
        <v>44</v>
      </c>
      <c r="Y200">
        <v>2829</v>
      </c>
      <c r="Z200" t="s">
        <v>44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s="2">
        <v>2835</v>
      </c>
      <c r="AQ200">
        <f t="shared" si="6"/>
        <v>2835</v>
      </c>
      <c r="AR200" s="5">
        <f>VLOOKUP(F200,'[2]SCP_24-25'!$A:$D,4,0)</f>
        <v>149.82</v>
      </c>
      <c r="AS200" s="5">
        <f t="shared" si="7"/>
        <v>424739.69999999995</v>
      </c>
    </row>
    <row r="201" spans="1:45" x14ac:dyDescent="0.3">
      <c r="A201" s="1">
        <v>45900.961111111108</v>
      </c>
      <c r="B201" t="s">
        <v>617</v>
      </c>
      <c r="C201" t="s">
        <v>618</v>
      </c>
      <c r="D201" t="s">
        <v>817</v>
      </c>
      <c r="F201" t="s">
        <v>1860</v>
      </c>
      <c r="G201" t="s">
        <v>818</v>
      </c>
      <c r="H201" t="s">
        <v>130</v>
      </c>
      <c r="I201" t="s">
        <v>415</v>
      </c>
      <c r="J201">
        <v>3.5</v>
      </c>
      <c r="K201">
        <v>19</v>
      </c>
      <c r="L201">
        <v>10</v>
      </c>
      <c r="M201">
        <v>11</v>
      </c>
      <c r="N201">
        <v>3648</v>
      </c>
      <c r="O201">
        <v>6</v>
      </c>
      <c r="P201">
        <v>0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>
        <v>2583</v>
      </c>
      <c r="W201" t="s">
        <v>44</v>
      </c>
      <c r="X201" t="s">
        <v>44</v>
      </c>
      <c r="Y201">
        <v>2583</v>
      </c>
      <c r="Z201" t="s">
        <v>44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2">
        <v>2589</v>
      </c>
      <c r="AQ201">
        <f t="shared" si="6"/>
        <v>2589</v>
      </c>
      <c r="AR201" s="5">
        <f>VLOOKUP(F201,'[2]SCP_24-25'!$A:$D,4,0)</f>
        <v>149.82</v>
      </c>
      <c r="AS201" s="5">
        <f t="shared" si="7"/>
        <v>387883.98</v>
      </c>
    </row>
    <row r="202" spans="1:45" x14ac:dyDescent="0.3">
      <c r="A202" s="1">
        <v>45900.961111111108</v>
      </c>
      <c r="B202" t="s">
        <v>617</v>
      </c>
      <c r="C202" t="s">
        <v>618</v>
      </c>
      <c r="D202" t="s">
        <v>819</v>
      </c>
      <c r="F202" t="s">
        <v>1861</v>
      </c>
      <c r="G202" t="s">
        <v>820</v>
      </c>
      <c r="H202" t="s">
        <v>130</v>
      </c>
      <c r="I202" t="s">
        <v>415</v>
      </c>
      <c r="J202">
        <v>3.5</v>
      </c>
      <c r="K202">
        <v>19</v>
      </c>
      <c r="L202">
        <v>10</v>
      </c>
      <c r="M202">
        <v>11</v>
      </c>
      <c r="N202">
        <v>3552</v>
      </c>
      <c r="O202">
        <v>1</v>
      </c>
      <c r="P202">
        <v>0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>
        <v>2642</v>
      </c>
      <c r="W202" t="s">
        <v>44</v>
      </c>
      <c r="X202" t="s">
        <v>44</v>
      </c>
      <c r="Y202">
        <v>2642</v>
      </c>
      <c r="Z202" t="s">
        <v>44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s="2">
        <v>2643</v>
      </c>
      <c r="AQ202">
        <f t="shared" si="6"/>
        <v>2643</v>
      </c>
      <c r="AR202" s="5">
        <f>VLOOKUP(F202,'[2]SCP_24-25'!$A:$D,4,0)</f>
        <v>149.82</v>
      </c>
      <c r="AS202" s="5">
        <f t="shared" si="7"/>
        <v>395974.26</v>
      </c>
    </row>
    <row r="203" spans="1:45" x14ac:dyDescent="0.3">
      <c r="A203" s="1">
        <v>45900.961111111108</v>
      </c>
      <c r="B203" t="s">
        <v>617</v>
      </c>
      <c r="C203" t="s">
        <v>618</v>
      </c>
      <c r="D203" t="s">
        <v>821</v>
      </c>
      <c r="F203" t="s">
        <v>1862</v>
      </c>
      <c r="G203" t="s">
        <v>822</v>
      </c>
      <c r="H203" t="s">
        <v>130</v>
      </c>
      <c r="I203" t="s">
        <v>415</v>
      </c>
      <c r="J203">
        <v>3.5</v>
      </c>
      <c r="K203">
        <v>19</v>
      </c>
      <c r="L203">
        <v>10</v>
      </c>
      <c r="M203">
        <v>11</v>
      </c>
      <c r="N203">
        <v>2916</v>
      </c>
      <c r="O203">
        <v>3</v>
      </c>
      <c r="P203">
        <v>0</v>
      </c>
      <c r="Q203" t="s">
        <v>44</v>
      </c>
      <c r="R203" t="s">
        <v>44</v>
      </c>
      <c r="S203" t="s">
        <v>44</v>
      </c>
      <c r="T203">
        <v>24</v>
      </c>
      <c r="U203" t="s">
        <v>44</v>
      </c>
      <c r="V203">
        <v>1050</v>
      </c>
      <c r="W203" t="s">
        <v>44</v>
      </c>
      <c r="X203" t="s">
        <v>44</v>
      </c>
      <c r="Y203">
        <v>1050</v>
      </c>
      <c r="Z203" t="s">
        <v>44</v>
      </c>
      <c r="AA203">
        <v>36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s="2">
        <v>1089</v>
      </c>
      <c r="AQ203">
        <f t="shared" si="6"/>
        <v>1089</v>
      </c>
      <c r="AR203" s="5">
        <f>VLOOKUP(F203,'[2]SCP_24-25'!$A:$D,4,0)</f>
        <v>149.82</v>
      </c>
      <c r="AS203" s="5">
        <f t="shared" si="7"/>
        <v>163153.97999999998</v>
      </c>
    </row>
    <row r="204" spans="1:45" x14ac:dyDescent="0.3">
      <c r="A204" s="1">
        <v>45900.961111111108</v>
      </c>
      <c r="B204" t="s">
        <v>617</v>
      </c>
      <c r="C204" t="s">
        <v>618</v>
      </c>
      <c r="D204" t="s">
        <v>823</v>
      </c>
      <c r="F204" t="s">
        <v>1863</v>
      </c>
      <c r="G204" t="s">
        <v>824</v>
      </c>
      <c r="H204" t="s">
        <v>130</v>
      </c>
      <c r="I204" t="s">
        <v>415</v>
      </c>
      <c r="J204">
        <v>3.5</v>
      </c>
      <c r="K204">
        <v>19</v>
      </c>
      <c r="L204">
        <v>10</v>
      </c>
      <c r="M204">
        <v>11</v>
      </c>
      <c r="N204">
        <v>3360</v>
      </c>
      <c r="O204">
        <v>5</v>
      </c>
      <c r="P204">
        <v>0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>
        <v>2450</v>
      </c>
      <c r="W204" t="s">
        <v>44</v>
      </c>
      <c r="X204" t="s">
        <v>44</v>
      </c>
      <c r="Y204">
        <v>2450</v>
      </c>
      <c r="Z204" t="s">
        <v>44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s="2">
        <v>2455</v>
      </c>
      <c r="AQ204">
        <f t="shared" ref="AQ204:AQ248" si="8">O204+P204+V204+AA204</f>
        <v>2455</v>
      </c>
      <c r="AR204" s="5">
        <f>VLOOKUP(F204,'[2]SCP_24-25'!$A:$D,4,0)</f>
        <v>149.82</v>
      </c>
      <c r="AS204" s="5">
        <f t="shared" si="7"/>
        <v>367808.1</v>
      </c>
    </row>
    <row r="205" spans="1:45" x14ac:dyDescent="0.3">
      <c r="A205" s="1">
        <v>45900.961111111108</v>
      </c>
      <c r="B205" t="s">
        <v>617</v>
      </c>
      <c r="C205" t="s">
        <v>618</v>
      </c>
      <c r="D205" t="s">
        <v>825</v>
      </c>
      <c r="F205" t="s">
        <v>1864</v>
      </c>
      <c r="G205" t="s">
        <v>826</v>
      </c>
      <c r="H205" t="s">
        <v>130</v>
      </c>
      <c r="I205" t="s">
        <v>415</v>
      </c>
      <c r="J205">
        <v>3.5</v>
      </c>
      <c r="K205">
        <v>19</v>
      </c>
      <c r="L205">
        <v>10</v>
      </c>
      <c r="M205">
        <v>11</v>
      </c>
      <c r="N205">
        <v>3648</v>
      </c>
      <c r="O205">
        <v>4</v>
      </c>
      <c r="P205">
        <v>0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>
        <v>2595</v>
      </c>
      <c r="W205" t="s">
        <v>44</v>
      </c>
      <c r="X205" t="s">
        <v>44</v>
      </c>
      <c r="Y205">
        <v>2595</v>
      </c>
      <c r="Z205" t="s">
        <v>44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s="2">
        <v>2599</v>
      </c>
      <c r="AQ205">
        <f t="shared" si="8"/>
        <v>2599</v>
      </c>
      <c r="AR205" s="5">
        <f>VLOOKUP(F205,'[2]SCP_24-25'!$A:$D,4,0)</f>
        <v>149.82</v>
      </c>
      <c r="AS205" s="5">
        <f t="shared" si="7"/>
        <v>389382.18</v>
      </c>
    </row>
    <row r="206" spans="1:45" x14ac:dyDescent="0.3">
      <c r="A206" s="1">
        <v>45900.961111111108</v>
      </c>
      <c r="B206" t="s">
        <v>617</v>
      </c>
      <c r="C206" t="s">
        <v>618</v>
      </c>
      <c r="D206" t="s">
        <v>827</v>
      </c>
      <c r="F206" t="s">
        <v>1865</v>
      </c>
      <c r="G206" t="s">
        <v>828</v>
      </c>
      <c r="H206" t="s">
        <v>130</v>
      </c>
      <c r="I206" t="s">
        <v>415</v>
      </c>
      <c r="J206">
        <v>3.5</v>
      </c>
      <c r="K206">
        <v>19</v>
      </c>
      <c r="L206">
        <v>10</v>
      </c>
      <c r="M206">
        <v>11</v>
      </c>
      <c r="N206">
        <v>3648</v>
      </c>
      <c r="O206">
        <v>0</v>
      </c>
      <c r="P206">
        <v>0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>
        <v>1835</v>
      </c>
      <c r="W206" t="s">
        <v>44</v>
      </c>
      <c r="X206" t="s">
        <v>44</v>
      </c>
      <c r="Y206">
        <v>1835</v>
      </c>
      <c r="Z206" t="s">
        <v>44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2">
        <v>1835</v>
      </c>
      <c r="AQ206">
        <f t="shared" si="8"/>
        <v>1835</v>
      </c>
      <c r="AR206" s="5">
        <f>VLOOKUP(F206,'[2]SCP_24-25'!$A:$D,4,0)</f>
        <v>149.82</v>
      </c>
      <c r="AS206" s="5">
        <f t="shared" si="7"/>
        <v>274919.7</v>
      </c>
    </row>
    <row r="207" spans="1:45" x14ac:dyDescent="0.3">
      <c r="A207" s="1">
        <v>45900.961111111108</v>
      </c>
      <c r="B207" t="s">
        <v>617</v>
      </c>
      <c r="C207" t="s">
        <v>618</v>
      </c>
      <c r="D207" t="s">
        <v>829</v>
      </c>
      <c r="F207" t="s">
        <v>1866</v>
      </c>
      <c r="G207" t="s">
        <v>830</v>
      </c>
      <c r="H207" t="s">
        <v>130</v>
      </c>
      <c r="I207" t="s">
        <v>415</v>
      </c>
      <c r="J207">
        <v>3.5</v>
      </c>
      <c r="K207">
        <v>19</v>
      </c>
      <c r="L207">
        <v>10</v>
      </c>
      <c r="M207">
        <v>11</v>
      </c>
      <c r="N207">
        <v>3648</v>
      </c>
      <c r="O207">
        <v>1</v>
      </c>
      <c r="P207">
        <v>0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>
        <v>2755</v>
      </c>
      <c r="W207" t="s">
        <v>44</v>
      </c>
      <c r="X207" t="s">
        <v>44</v>
      </c>
      <c r="Y207">
        <v>2755</v>
      </c>
      <c r="Z207" t="s">
        <v>44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s="2">
        <v>2756</v>
      </c>
      <c r="AQ207">
        <f t="shared" si="8"/>
        <v>2756</v>
      </c>
      <c r="AR207" s="5">
        <f>VLOOKUP(F207,'[2]SCP_24-25'!$A:$D,4,0)</f>
        <v>149.82</v>
      </c>
      <c r="AS207" s="5">
        <f t="shared" si="7"/>
        <v>412903.92</v>
      </c>
    </row>
    <row r="208" spans="1:45" x14ac:dyDescent="0.3">
      <c r="A208" s="1">
        <v>45900.961111111108</v>
      </c>
      <c r="B208" t="s">
        <v>617</v>
      </c>
      <c r="C208" t="s">
        <v>618</v>
      </c>
      <c r="D208" t="s">
        <v>831</v>
      </c>
      <c r="F208" t="s">
        <v>1867</v>
      </c>
      <c r="G208" t="s">
        <v>832</v>
      </c>
      <c r="H208" t="s">
        <v>130</v>
      </c>
      <c r="I208" t="s">
        <v>415</v>
      </c>
      <c r="J208">
        <v>3.5</v>
      </c>
      <c r="K208">
        <v>19</v>
      </c>
      <c r="L208">
        <v>10</v>
      </c>
      <c r="M208">
        <v>11</v>
      </c>
      <c r="N208">
        <v>4392</v>
      </c>
      <c r="O208">
        <v>6</v>
      </c>
      <c r="P208">
        <v>0</v>
      </c>
      <c r="Q208" t="s">
        <v>44</v>
      </c>
      <c r="R208" t="s">
        <v>44</v>
      </c>
      <c r="S208" t="s">
        <v>44</v>
      </c>
      <c r="T208">
        <v>24</v>
      </c>
      <c r="U208" t="s">
        <v>44</v>
      </c>
      <c r="V208">
        <v>2204</v>
      </c>
      <c r="W208" t="s">
        <v>44</v>
      </c>
      <c r="X208" t="s">
        <v>44</v>
      </c>
      <c r="Y208">
        <v>2204</v>
      </c>
      <c r="Z208" t="s">
        <v>44</v>
      </c>
      <c r="AA208">
        <v>31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 s="2">
        <v>2241</v>
      </c>
      <c r="AQ208">
        <f t="shared" si="8"/>
        <v>2241</v>
      </c>
      <c r="AR208" s="5">
        <f>VLOOKUP(F208,'[2]SCP_24-25'!$A:$D,4,0)</f>
        <v>149.82</v>
      </c>
      <c r="AS208" s="5">
        <f t="shared" si="7"/>
        <v>335746.62</v>
      </c>
    </row>
    <row r="209" spans="1:45" x14ac:dyDescent="0.3">
      <c r="A209" s="1">
        <v>45900.961111111108</v>
      </c>
      <c r="B209" t="s">
        <v>617</v>
      </c>
      <c r="C209" t="s">
        <v>618</v>
      </c>
      <c r="D209" t="s">
        <v>833</v>
      </c>
      <c r="F209" t="s">
        <v>1868</v>
      </c>
      <c r="G209" t="s">
        <v>834</v>
      </c>
      <c r="H209" t="s">
        <v>130</v>
      </c>
      <c r="I209" t="s">
        <v>415</v>
      </c>
      <c r="J209">
        <v>3.5</v>
      </c>
      <c r="K209">
        <v>19</v>
      </c>
      <c r="L209">
        <v>10</v>
      </c>
      <c r="M209">
        <v>11</v>
      </c>
      <c r="N209">
        <v>4099</v>
      </c>
      <c r="O209">
        <v>2</v>
      </c>
      <c r="P209">
        <v>0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>
        <v>4024</v>
      </c>
      <c r="W209" t="s">
        <v>44</v>
      </c>
      <c r="X209" t="s">
        <v>44</v>
      </c>
      <c r="Y209">
        <v>4024</v>
      </c>
      <c r="Z209" t="s">
        <v>44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s="2">
        <v>4026</v>
      </c>
      <c r="AQ209">
        <f t="shared" si="8"/>
        <v>4026</v>
      </c>
      <c r="AR209" s="5">
        <f>VLOOKUP(F209,'[2]SCP_24-25'!$A:$D,4,0)</f>
        <v>149.82</v>
      </c>
      <c r="AS209" s="5">
        <f t="shared" si="7"/>
        <v>603175.31999999995</v>
      </c>
    </row>
    <row r="210" spans="1:45" x14ac:dyDescent="0.3">
      <c r="A210" s="1">
        <v>45900.961111111108</v>
      </c>
      <c r="B210" t="s">
        <v>617</v>
      </c>
      <c r="C210" t="s">
        <v>618</v>
      </c>
      <c r="D210" t="s">
        <v>835</v>
      </c>
      <c r="F210" t="s">
        <v>1869</v>
      </c>
      <c r="G210" t="s">
        <v>836</v>
      </c>
      <c r="H210" t="s">
        <v>130</v>
      </c>
      <c r="I210" t="s">
        <v>415</v>
      </c>
      <c r="J210">
        <v>3.5</v>
      </c>
      <c r="K210">
        <v>19</v>
      </c>
      <c r="L210">
        <v>10</v>
      </c>
      <c r="M210">
        <v>11</v>
      </c>
      <c r="N210">
        <v>4416</v>
      </c>
      <c r="O210">
        <v>2</v>
      </c>
      <c r="P210">
        <v>0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>
        <v>2221</v>
      </c>
      <c r="W210" t="s">
        <v>44</v>
      </c>
      <c r="X210" t="s">
        <v>44</v>
      </c>
      <c r="Y210">
        <v>2221</v>
      </c>
      <c r="Z210" t="s">
        <v>44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2">
        <v>2224</v>
      </c>
      <c r="AQ210">
        <f t="shared" si="8"/>
        <v>2224</v>
      </c>
      <c r="AR210" s="5">
        <f>VLOOKUP(F210,'[2]SCP_24-25'!$A:$D,4,0)</f>
        <v>149.82</v>
      </c>
      <c r="AS210" s="5">
        <f t="shared" si="7"/>
        <v>333199.68</v>
      </c>
    </row>
    <row r="211" spans="1:45" x14ac:dyDescent="0.3">
      <c r="A211" s="1">
        <v>45900.961111111108</v>
      </c>
      <c r="B211" t="s">
        <v>617</v>
      </c>
      <c r="C211" t="s">
        <v>618</v>
      </c>
      <c r="D211" t="s">
        <v>837</v>
      </c>
      <c r="F211" t="s">
        <v>1870</v>
      </c>
      <c r="G211" t="s">
        <v>838</v>
      </c>
      <c r="H211" t="s">
        <v>130</v>
      </c>
      <c r="I211" t="s">
        <v>415</v>
      </c>
      <c r="J211">
        <v>3.5</v>
      </c>
      <c r="K211">
        <v>19</v>
      </c>
      <c r="L211">
        <v>10</v>
      </c>
      <c r="M211">
        <v>11</v>
      </c>
      <c r="N211">
        <v>3552</v>
      </c>
      <c r="O211">
        <v>9</v>
      </c>
      <c r="P211">
        <v>0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>
        <v>2627</v>
      </c>
      <c r="W211" t="s">
        <v>44</v>
      </c>
      <c r="X211" t="s">
        <v>44</v>
      </c>
      <c r="Y211">
        <v>2627</v>
      </c>
      <c r="Z211" t="s">
        <v>44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s="2">
        <v>2636</v>
      </c>
      <c r="AQ211">
        <f t="shared" si="8"/>
        <v>2636</v>
      </c>
      <c r="AR211" s="5">
        <f>VLOOKUP(F211,'[2]SCP_24-25'!$A:$D,4,0)</f>
        <v>149.82</v>
      </c>
      <c r="AS211" s="5">
        <f t="shared" si="7"/>
        <v>394925.51999999996</v>
      </c>
    </row>
    <row r="212" spans="1:45" x14ac:dyDescent="0.3">
      <c r="A212" s="1">
        <v>45900.961111111108</v>
      </c>
      <c r="B212" t="s">
        <v>617</v>
      </c>
      <c r="C212" t="s">
        <v>618</v>
      </c>
      <c r="D212" t="s">
        <v>839</v>
      </c>
      <c r="F212" t="s">
        <v>1871</v>
      </c>
      <c r="G212" t="s">
        <v>840</v>
      </c>
      <c r="H212" t="s">
        <v>130</v>
      </c>
      <c r="I212" t="s">
        <v>415</v>
      </c>
      <c r="J212">
        <v>12</v>
      </c>
      <c r="K212">
        <v>19</v>
      </c>
      <c r="L212">
        <v>10</v>
      </c>
      <c r="M212">
        <v>11</v>
      </c>
      <c r="N212">
        <v>3036</v>
      </c>
      <c r="O212">
        <v>28</v>
      </c>
      <c r="P212">
        <v>0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>
        <v>2142</v>
      </c>
      <c r="W212" t="s">
        <v>44</v>
      </c>
      <c r="X212" t="s">
        <v>44</v>
      </c>
      <c r="Y212">
        <v>2142</v>
      </c>
      <c r="Z212" t="s">
        <v>44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s="2">
        <v>2170</v>
      </c>
      <c r="AQ212">
        <f t="shared" si="8"/>
        <v>2170</v>
      </c>
      <c r="AR212" s="5">
        <f>VLOOKUP(F212,'[2]SCP_24-25'!$A:$D,4,0)</f>
        <v>137.76</v>
      </c>
      <c r="AS212" s="5">
        <f t="shared" si="7"/>
        <v>298939.19999999995</v>
      </c>
    </row>
    <row r="213" spans="1:45" x14ac:dyDescent="0.3">
      <c r="A213" s="1">
        <v>45900.961111111108</v>
      </c>
      <c r="B213" t="s">
        <v>617</v>
      </c>
      <c r="C213" t="s">
        <v>618</v>
      </c>
      <c r="D213" t="s">
        <v>841</v>
      </c>
      <c r="F213" t="s">
        <v>1872</v>
      </c>
      <c r="G213" t="s">
        <v>842</v>
      </c>
      <c r="H213" t="s">
        <v>130</v>
      </c>
      <c r="I213" t="s">
        <v>415</v>
      </c>
      <c r="J213">
        <v>12</v>
      </c>
      <c r="K213">
        <v>19</v>
      </c>
      <c r="L213">
        <v>10</v>
      </c>
      <c r="M213">
        <v>11</v>
      </c>
      <c r="N213">
        <v>3128</v>
      </c>
      <c r="O213">
        <v>9</v>
      </c>
      <c r="P213">
        <v>0</v>
      </c>
      <c r="Q213" t="s">
        <v>44</v>
      </c>
      <c r="R213" t="s">
        <v>44</v>
      </c>
      <c r="S213" t="s">
        <v>44</v>
      </c>
      <c r="T213" t="s">
        <v>44</v>
      </c>
      <c r="U213" t="s">
        <v>44</v>
      </c>
      <c r="V213">
        <v>2269</v>
      </c>
      <c r="W213" t="s">
        <v>44</v>
      </c>
      <c r="X213" t="s">
        <v>44</v>
      </c>
      <c r="Y213">
        <v>2269</v>
      </c>
      <c r="Z213" t="s">
        <v>44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s="2">
        <v>2278</v>
      </c>
      <c r="AQ213">
        <f t="shared" si="8"/>
        <v>2278</v>
      </c>
      <c r="AR213" s="5">
        <f>VLOOKUP(F213,'[2]SCP_24-25'!$A:$D,4,0)</f>
        <v>137.76</v>
      </c>
      <c r="AS213" s="5">
        <f t="shared" si="7"/>
        <v>313817.27999999997</v>
      </c>
    </row>
    <row r="214" spans="1:45" x14ac:dyDescent="0.3">
      <c r="A214" s="1">
        <v>45900.961111111108</v>
      </c>
      <c r="B214" t="s">
        <v>617</v>
      </c>
      <c r="C214" t="s">
        <v>618</v>
      </c>
      <c r="D214" t="s">
        <v>843</v>
      </c>
      <c r="F214" t="s">
        <v>1873</v>
      </c>
      <c r="G214" t="s">
        <v>844</v>
      </c>
      <c r="H214" t="s">
        <v>130</v>
      </c>
      <c r="I214" t="s">
        <v>415</v>
      </c>
      <c r="J214">
        <v>10</v>
      </c>
      <c r="K214">
        <v>19</v>
      </c>
      <c r="L214">
        <v>10</v>
      </c>
      <c r="M214">
        <v>11</v>
      </c>
      <c r="N214">
        <v>3240</v>
      </c>
      <c r="O214">
        <v>50</v>
      </c>
      <c r="P214">
        <v>0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>
        <v>2225</v>
      </c>
      <c r="W214" t="s">
        <v>44</v>
      </c>
      <c r="X214" t="s">
        <v>44</v>
      </c>
      <c r="Y214">
        <v>2225</v>
      </c>
      <c r="Z214" t="s">
        <v>44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s="2">
        <v>2278</v>
      </c>
      <c r="AQ214">
        <f t="shared" si="8"/>
        <v>2278</v>
      </c>
      <c r="AR214" s="5">
        <f>VLOOKUP(F214,'[2]SCP_24-25'!$A:$D,4,0)</f>
        <v>147.47</v>
      </c>
      <c r="AS214" s="5">
        <f t="shared" si="7"/>
        <v>335936.66</v>
      </c>
    </row>
    <row r="215" spans="1:45" x14ac:dyDescent="0.3">
      <c r="A215" s="1">
        <v>45900.961111111108</v>
      </c>
      <c r="B215" t="s">
        <v>617</v>
      </c>
      <c r="C215" t="s">
        <v>618</v>
      </c>
      <c r="D215" t="s">
        <v>845</v>
      </c>
      <c r="F215" t="s">
        <v>1874</v>
      </c>
      <c r="G215" t="s">
        <v>846</v>
      </c>
      <c r="H215" t="s">
        <v>130</v>
      </c>
      <c r="I215" t="s">
        <v>415</v>
      </c>
      <c r="J215">
        <v>10</v>
      </c>
      <c r="K215">
        <v>19</v>
      </c>
      <c r="L215">
        <v>10</v>
      </c>
      <c r="M215">
        <v>11</v>
      </c>
      <c r="N215">
        <v>3240</v>
      </c>
      <c r="O215">
        <v>65</v>
      </c>
      <c r="P215">
        <v>0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>
        <v>2157</v>
      </c>
      <c r="W215" t="s">
        <v>44</v>
      </c>
      <c r="X215" t="s">
        <v>44</v>
      </c>
      <c r="Y215">
        <v>2157</v>
      </c>
      <c r="Z215" t="s">
        <v>44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s="2">
        <v>2223</v>
      </c>
      <c r="AQ215">
        <f t="shared" si="8"/>
        <v>2223</v>
      </c>
      <c r="AR215" s="5">
        <f>VLOOKUP(F215,'[2]SCP_24-25'!$A:$D,4,0)</f>
        <v>147.47</v>
      </c>
      <c r="AS215" s="5">
        <f t="shared" si="7"/>
        <v>327825.81</v>
      </c>
    </row>
    <row r="216" spans="1:45" x14ac:dyDescent="0.3">
      <c r="A216" s="1">
        <v>45900.961111111108</v>
      </c>
      <c r="B216" t="s">
        <v>617</v>
      </c>
      <c r="C216" t="s">
        <v>618</v>
      </c>
      <c r="D216" t="s">
        <v>847</v>
      </c>
      <c r="F216" t="s">
        <v>1875</v>
      </c>
      <c r="G216" t="s">
        <v>848</v>
      </c>
      <c r="H216" t="s">
        <v>130</v>
      </c>
      <c r="I216" t="s">
        <v>415</v>
      </c>
      <c r="J216">
        <v>10</v>
      </c>
      <c r="K216">
        <v>19</v>
      </c>
      <c r="L216">
        <v>10</v>
      </c>
      <c r="M216">
        <v>11</v>
      </c>
      <c r="N216">
        <v>3240</v>
      </c>
      <c r="O216">
        <v>30</v>
      </c>
      <c r="P216">
        <v>0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>
        <v>2318</v>
      </c>
      <c r="W216" t="s">
        <v>44</v>
      </c>
      <c r="X216" t="s">
        <v>44</v>
      </c>
      <c r="Y216">
        <v>2318</v>
      </c>
      <c r="Z216" t="s">
        <v>44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s="2">
        <v>2350</v>
      </c>
      <c r="AQ216">
        <f t="shared" si="8"/>
        <v>2350</v>
      </c>
      <c r="AR216" s="5">
        <f>VLOOKUP(F216,'[2]SCP_24-25'!$A:$D,4,0)</f>
        <v>147.47</v>
      </c>
      <c r="AS216" s="5">
        <f t="shared" si="7"/>
        <v>346554.5</v>
      </c>
    </row>
    <row r="217" spans="1:45" x14ac:dyDescent="0.3">
      <c r="A217" s="1">
        <v>45900.961111111108</v>
      </c>
      <c r="B217" t="s">
        <v>617</v>
      </c>
      <c r="C217" t="s">
        <v>618</v>
      </c>
      <c r="D217" t="s">
        <v>849</v>
      </c>
      <c r="F217" t="s">
        <v>1876</v>
      </c>
      <c r="G217" t="s">
        <v>850</v>
      </c>
      <c r="H217" t="s">
        <v>130</v>
      </c>
      <c r="I217" t="s">
        <v>415</v>
      </c>
      <c r="J217">
        <v>10</v>
      </c>
      <c r="K217">
        <v>19</v>
      </c>
      <c r="L217">
        <v>10</v>
      </c>
      <c r="M217">
        <v>11</v>
      </c>
      <c r="N217">
        <v>3240</v>
      </c>
      <c r="O217">
        <v>7</v>
      </c>
      <c r="P217">
        <v>0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>
        <v>2411</v>
      </c>
      <c r="W217" t="s">
        <v>44</v>
      </c>
      <c r="X217" t="s">
        <v>44</v>
      </c>
      <c r="Y217">
        <v>2411</v>
      </c>
      <c r="Z217" t="s">
        <v>44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s="2">
        <v>2418</v>
      </c>
      <c r="AQ217">
        <f t="shared" si="8"/>
        <v>2418</v>
      </c>
      <c r="AR217" s="5">
        <f>VLOOKUP(F217,'[2]SCP_24-25'!$A:$D,4,0)</f>
        <v>147.47</v>
      </c>
      <c r="AS217" s="5">
        <f t="shared" si="7"/>
        <v>356582.46</v>
      </c>
    </row>
    <row r="218" spans="1:45" x14ac:dyDescent="0.3">
      <c r="A218" s="1">
        <v>45900.961111111108</v>
      </c>
      <c r="B218" t="s">
        <v>617</v>
      </c>
      <c r="C218" t="s">
        <v>618</v>
      </c>
      <c r="D218" t="s">
        <v>851</v>
      </c>
      <c r="F218" t="s">
        <v>1877</v>
      </c>
      <c r="G218" t="s">
        <v>852</v>
      </c>
      <c r="H218" t="s">
        <v>130</v>
      </c>
      <c r="I218" t="s">
        <v>415</v>
      </c>
      <c r="J218">
        <v>10</v>
      </c>
      <c r="K218">
        <v>19</v>
      </c>
      <c r="L218">
        <v>10</v>
      </c>
      <c r="M218">
        <v>11</v>
      </c>
      <c r="N218">
        <v>3240</v>
      </c>
      <c r="O218">
        <v>7</v>
      </c>
      <c r="P218">
        <v>0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>
        <v>2532</v>
      </c>
      <c r="W218" t="s">
        <v>44</v>
      </c>
      <c r="X218" t="s">
        <v>44</v>
      </c>
      <c r="Y218">
        <v>2532</v>
      </c>
      <c r="Z218" t="s">
        <v>44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s="2">
        <v>2540</v>
      </c>
      <c r="AQ218">
        <f t="shared" si="8"/>
        <v>2540</v>
      </c>
      <c r="AR218" s="5">
        <f>VLOOKUP(F218,'[2]SCP_24-25'!$A:$D,4,0)</f>
        <v>147.47</v>
      </c>
      <c r="AS218" s="5">
        <f t="shared" si="7"/>
        <v>374573.8</v>
      </c>
    </row>
    <row r="219" spans="1:45" x14ac:dyDescent="0.3">
      <c r="A219" s="1">
        <v>45900.961111111108</v>
      </c>
      <c r="B219" t="s">
        <v>617</v>
      </c>
      <c r="C219" t="s">
        <v>618</v>
      </c>
      <c r="D219" t="s">
        <v>853</v>
      </c>
      <c r="F219" t="s">
        <v>1878</v>
      </c>
      <c r="G219" t="s">
        <v>854</v>
      </c>
      <c r="H219" t="s">
        <v>130</v>
      </c>
      <c r="I219" t="s">
        <v>415</v>
      </c>
      <c r="J219">
        <v>10</v>
      </c>
      <c r="K219">
        <v>19</v>
      </c>
      <c r="L219">
        <v>10</v>
      </c>
      <c r="M219">
        <v>11</v>
      </c>
      <c r="N219">
        <v>3240</v>
      </c>
      <c r="O219">
        <v>3</v>
      </c>
      <c r="P219">
        <v>0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>
        <v>3046</v>
      </c>
      <c r="W219" t="s">
        <v>44</v>
      </c>
      <c r="X219" t="s">
        <v>44</v>
      </c>
      <c r="Y219">
        <v>3046</v>
      </c>
      <c r="Z219" t="s">
        <v>44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s="2">
        <v>3049</v>
      </c>
      <c r="AQ219">
        <f t="shared" si="8"/>
        <v>3049</v>
      </c>
      <c r="AR219" s="5">
        <f>VLOOKUP(F219,'[2]SCP_24-25'!$A:$D,4,0)</f>
        <v>147.47</v>
      </c>
      <c r="AS219" s="5">
        <f t="shared" si="7"/>
        <v>449636.02999999997</v>
      </c>
    </row>
    <row r="220" spans="1:45" x14ac:dyDescent="0.3">
      <c r="A220" s="1">
        <v>45900.961111111108</v>
      </c>
      <c r="B220" t="s">
        <v>617</v>
      </c>
      <c r="C220" t="s">
        <v>618</v>
      </c>
      <c r="D220" t="s">
        <v>855</v>
      </c>
      <c r="F220" t="s">
        <v>1879</v>
      </c>
      <c r="G220" t="s">
        <v>856</v>
      </c>
      <c r="H220" t="s">
        <v>130</v>
      </c>
      <c r="I220" t="s">
        <v>415</v>
      </c>
      <c r="J220">
        <v>10</v>
      </c>
      <c r="K220">
        <v>19</v>
      </c>
      <c r="L220">
        <v>10</v>
      </c>
      <c r="M220">
        <v>11</v>
      </c>
      <c r="N220">
        <v>3240</v>
      </c>
      <c r="O220">
        <v>0</v>
      </c>
      <c r="P220">
        <v>0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>
        <v>3072</v>
      </c>
      <c r="W220" t="s">
        <v>44</v>
      </c>
      <c r="X220" t="s">
        <v>44</v>
      </c>
      <c r="Y220">
        <v>3072</v>
      </c>
      <c r="Z220" t="s">
        <v>44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s="2">
        <v>3072</v>
      </c>
      <c r="AQ220">
        <f t="shared" si="8"/>
        <v>3072</v>
      </c>
      <c r="AR220" s="5">
        <f>VLOOKUP(F220,'[2]SCP_24-25'!$A:$D,4,0)</f>
        <v>147.47</v>
      </c>
      <c r="AS220" s="5">
        <f t="shared" si="7"/>
        <v>453027.83999999997</v>
      </c>
    </row>
    <row r="221" spans="1:45" x14ac:dyDescent="0.3">
      <c r="A221" s="1">
        <v>45900.961111111108</v>
      </c>
      <c r="B221" t="s">
        <v>617</v>
      </c>
      <c r="C221" t="s">
        <v>618</v>
      </c>
      <c r="D221" t="s">
        <v>857</v>
      </c>
      <c r="F221" t="s">
        <v>1880</v>
      </c>
      <c r="G221" t="s">
        <v>858</v>
      </c>
      <c r="H221" t="s">
        <v>120</v>
      </c>
      <c r="I221" t="s">
        <v>43</v>
      </c>
      <c r="J221">
        <v>100</v>
      </c>
      <c r="K221">
        <v>19</v>
      </c>
      <c r="L221">
        <v>11</v>
      </c>
      <c r="M221">
        <v>10</v>
      </c>
      <c r="N221">
        <v>3750</v>
      </c>
      <c r="O221">
        <v>0</v>
      </c>
      <c r="P221">
        <v>0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>
        <v>3709</v>
      </c>
      <c r="W221" t="s">
        <v>44</v>
      </c>
      <c r="X221" t="s">
        <v>44</v>
      </c>
      <c r="Y221">
        <v>3709</v>
      </c>
      <c r="Z221" t="s">
        <v>44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s="2">
        <v>3709</v>
      </c>
      <c r="AQ221">
        <f t="shared" si="8"/>
        <v>3709</v>
      </c>
      <c r="AR221" s="5">
        <f>VLOOKUP(F221,'[2]SCP_24-25'!$A:$D,4,0)</f>
        <v>125.60526315789474</v>
      </c>
      <c r="AS221" s="5">
        <f t="shared" si="7"/>
        <v>465869.92105263157</v>
      </c>
    </row>
    <row r="222" spans="1:45" x14ac:dyDescent="0.3">
      <c r="A222" s="1">
        <v>45900.961111111108</v>
      </c>
      <c r="B222" t="s">
        <v>617</v>
      </c>
      <c r="C222" t="s">
        <v>618</v>
      </c>
      <c r="D222" t="s">
        <v>859</v>
      </c>
      <c r="F222" t="s">
        <v>1881</v>
      </c>
      <c r="G222" t="s">
        <v>860</v>
      </c>
      <c r="H222" t="s">
        <v>130</v>
      </c>
      <c r="I222" t="s">
        <v>43</v>
      </c>
      <c r="J222">
        <v>4</v>
      </c>
      <c r="K222">
        <v>19</v>
      </c>
      <c r="L222">
        <v>11</v>
      </c>
      <c r="M222">
        <v>10</v>
      </c>
      <c r="N222">
        <v>4800</v>
      </c>
      <c r="O222">
        <v>0</v>
      </c>
      <c r="P222">
        <v>0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>
        <v>1050</v>
      </c>
      <c r="W222" t="s">
        <v>44</v>
      </c>
      <c r="X222" t="s">
        <v>44</v>
      </c>
      <c r="Y222">
        <v>1050</v>
      </c>
      <c r="Z222" t="s">
        <v>44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s="2">
        <v>1050</v>
      </c>
      <c r="AQ222">
        <f t="shared" si="8"/>
        <v>1050</v>
      </c>
      <c r="AR222" s="5">
        <v>129.18</v>
      </c>
      <c r="AS222" s="5">
        <f t="shared" si="7"/>
        <v>135639</v>
      </c>
    </row>
    <row r="223" spans="1:45" x14ac:dyDescent="0.3">
      <c r="A223" s="1">
        <v>45900.961111111108</v>
      </c>
      <c r="B223" t="s">
        <v>617</v>
      </c>
      <c r="C223" t="s">
        <v>618</v>
      </c>
      <c r="D223" t="s">
        <v>861</v>
      </c>
      <c r="F223" t="s">
        <v>1882</v>
      </c>
      <c r="G223" t="s">
        <v>862</v>
      </c>
      <c r="H223" t="s">
        <v>130</v>
      </c>
      <c r="I223" t="s">
        <v>415</v>
      </c>
      <c r="J223">
        <v>7.3</v>
      </c>
      <c r="K223">
        <v>19</v>
      </c>
      <c r="L223">
        <v>10</v>
      </c>
      <c r="M223">
        <v>11</v>
      </c>
      <c r="N223">
        <v>5946</v>
      </c>
      <c r="O223">
        <v>0</v>
      </c>
      <c r="P223">
        <v>0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>
        <v>3593</v>
      </c>
      <c r="W223" t="s">
        <v>44</v>
      </c>
      <c r="X223" t="s">
        <v>44</v>
      </c>
      <c r="Y223">
        <v>3593</v>
      </c>
      <c r="Z223" t="s">
        <v>44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s="2">
        <v>3593</v>
      </c>
      <c r="AQ223">
        <f t="shared" si="8"/>
        <v>3593</v>
      </c>
      <c r="AR223" s="5">
        <f>VLOOKUP(F223,'[2]SCP_24-25'!$A:$D,4,0)</f>
        <v>75.73</v>
      </c>
      <c r="AS223" s="5">
        <f t="shared" si="7"/>
        <v>272097.89</v>
      </c>
    </row>
    <row r="224" spans="1:45" x14ac:dyDescent="0.3">
      <c r="A224" s="1">
        <v>45900.961111111108</v>
      </c>
      <c r="B224" t="s">
        <v>617</v>
      </c>
      <c r="C224" t="s">
        <v>618</v>
      </c>
      <c r="D224" t="s">
        <v>863</v>
      </c>
      <c r="F224" t="s">
        <v>1883</v>
      </c>
      <c r="G224" t="s">
        <v>864</v>
      </c>
      <c r="H224" t="s">
        <v>130</v>
      </c>
      <c r="I224" t="s">
        <v>415</v>
      </c>
      <c r="J224">
        <v>5.5</v>
      </c>
      <c r="K224">
        <v>19</v>
      </c>
      <c r="L224">
        <v>10</v>
      </c>
      <c r="M224">
        <v>11</v>
      </c>
      <c r="N224">
        <v>2016</v>
      </c>
      <c r="O224">
        <v>35</v>
      </c>
      <c r="P224">
        <v>0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>
        <v>1836</v>
      </c>
      <c r="W224" t="s">
        <v>44</v>
      </c>
      <c r="X224" t="s">
        <v>44</v>
      </c>
      <c r="Y224">
        <v>1836</v>
      </c>
      <c r="Z224" t="s">
        <v>44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2">
        <v>1871</v>
      </c>
      <c r="AQ224">
        <f t="shared" si="8"/>
        <v>1871</v>
      </c>
      <c r="AR224" s="5">
        <f>VLOOKUP(F224,'[2]SCP_24-25'!$A:$D,4,0)</f>
        <v>107.63</v>
      </c>
      <c r="AS224" s="5">
        <f t="shared" si="7"/>
        <v>201375.72999999998</v>
      </c>
    </row>
    <row r="225" spans="1:45" x14ac:dyDescent="0.3">
      <c r="A225" s="1">
        <v>45900.961111111108</v>
      </c>
      <c r="B225" t="s">
        <v>617</v>
      </c>
      <c r="C225" t="s">
        <v>618</v>
      </c>
      <c r="D225" t="s">
        <v>865</v>
      </c>
      <c r="F225" t="s">
        <v>1884</v>
      </c>
      <c r="G225" t="s">
        <v>866</v>
      </c>
      <c r="H225" t="s">
        <v>130</v>
      </c>
      <c r="I225" t="s">
        <v>415</v>
      </c>
      <c r="J225">
        <v>5.5</v>
      </c>
      <c r="K225">
        <v>19</v>
      </c>
      <c r="L225">
        <v>10</v>
      </c>
      <c r="M225">
        <v>11</v>
      </c>
      <c r="N225">
        <v>2016</v>
      </c>
      <c r="O225">
        <v>8</v>
      </c>
      <c r="P225">
        <v>0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>
        <v>1887</v>
      </c>
      <c r="W225" t="s">
        <v>44</v>
      </c>
      <c r="X225" t="s">
        <v>44</v>
      </c>
      <c r="Y225">
        <v>1887</v>
      </c>
      <c r="Z225" t="s">
        <v>44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s="2">
        <v>1895</v>
      </c>
      <c r="AQ225">
        <f t="shared" si="8"/>
        <v>1895</v>
      </c>
      <c r="AR225" s="5">
        <f>VLOOKUP(F225,'[2]SCP_24-25'!$A:$D,4,0)</f>
        <v>107.63</v>
      </c>
      <c r="AS225" s="5">
        <f t="shared" si="7"/>
        <v>203958.85</v>
      </c>
    </row>
    <row r="226" spans="1:45" x14ac:dyDescent="0.3">
      <c r="A226" s="1">
        <v>45900.961111111108</v>
      </c>
      <c r="B226" t="s">
        <v>617</v>
      </c>
      <c r="C226" t="s">
        <v>618</v>
      </c>
      <c r="D226" t="s">
        <v>867</v>
      </c>
      <c r="F226" t="s">
        <v>1885</v>
      </c>
      <c r="G226" t="s">
        <v>868</v>
      </c>
      <c r="H226" t="s">
        <v>130</v>
      </c>
      <c r="I226" t="s">
        <v>415</v>
      </c>
      <c r="J226">
        <v>5.5</v>
      </c>
      <c r="K226">
        <v>19</v>
      </c>
      <c r="L226">
        <v>10</v>
      </c>
      <c r="M226">
        <v>11</v>
      </c>
      <c r="N226">
        <v>2016</v>
      </c>
      <c r="O226">
        <v>8</v>
      </c>
      <c r="P226">
        <v>0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>
        <v>1890</v>
      </c>
      <c r="W226" t="s">
        <v>44</v>
      </c>
      <c r="X226" t="s">
        <v>44</v>
      </c>
      <c r="Y226">
        <v>1890</v>
      </c>
      <c r="Z226" t="s">
        <v>44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s="2">
        <v>1898</v>
      </c>
      <c r="AQ226">
        <f t="shared" si="8"/>
        <v>1898</v>
      </c>
      <c r="AR226" s="5">
        <f>VLOOKUP(F226,'[2]SCP_24-25'!$A:$D,4,0)</f>
        <v>107.63</v>
      </c>
      <c r="AS226" s="5">
        <f t="shared" si="7"/>
        <v>204281.74</v>
      </c>
    </row>
    <row r="227" spans="1:45" x14ac:dyDescent="0.3">
      <c r="A227" s="1">
        <v>45900.961111111108</v>
      </c>
      <c r="B227" t="s">
        <v>617</v>
      </c>
      <c r="C227" t="s">
        <v>618</v>
      </c>
      <c r="D227" t="s">
        <v>869</v>
      </c>
      <c r="F227" t="s">
        <v>1886</v>
      </c>
      <c r="G227" t="s">
        <v>870</v>
      </c>
      <c r="H227" t="s">
        <v>130</v>
      </c>
      <c r="I227" t="s">
        <v>415</v>
      </c>
      <c r="J227">
        <v>5.5</v>
      </c>
      <c r="K227">
        <v>19</v>
      </c>
      <c r="L227">
        <v>10</v>
      </c>
      <c r="M227">
        <v>11</v>
      </c>
      <c r="N227">
        <v>2016</v>
      </c>
      <c r="O227">
        <v>7</v>
      </c>
      <c r="P227">
        <v>0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>
        <v>1894</v>
      </c>
      <c r="W227" t="s">
        <v>44</v>
      </c>
      <c r="X227" t="s">
        <v>44</v>
      </c>
      <c r="Y227">
        <v>1894</v>
      </c>
      <c r="Z227" t="s">
        <v>44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 s="2">
        <v>1901</v>
      </c>
      <c r="AQ227">
        <f t="shared" si="8"/>
        <v>1901</v>
      </c>
      <c r="AR227" s="5">
        <f>VLOOKUP(F227,'[2]SCP_24-25'!$A:$D,4,0)</f>
        <v>107.63</v>
      </c>
      <c r="AS227" s="5">
        <f t="shared" si="7"/>
        <v>204604.63</v>
      </c>
    </row>
    <row r="228" spans="1:45" x14ac:dyDescent="0.3">
      <c r="A228" s="1">
        <v>45900.961111111108</v>
      </c>
      <c r="B228" t="s">
        <v>617</v>
      </c>
      <c r="C228" t="s">
        <v>618</v>
      </c>
      <c r="D228" t="s">
        <v>871</v>
      </c>
      <c r="F228" t="s">
        <v>1887</v>
      </c>
      <c r="G228" t="s">
        <v>872</v>
      </c>
      <c r="H228" t="s">
        <v>130</v>
      </c>
      <c r="I228" t="s">
        <v>415</v>
      </c>
      <c r="J228">
        <v>5.5</v>
      </c>
      <c r="K228">
        <v>19</v>
      </c>
      <c r="L228">
        <v>10</v>
      </c>
      <c r="M228">
        <v>11</v>
      </c>
      <c r="N228">
        <v>2016</v>
      </c>
      <c r="O228">
        <v>12</v>
      </c>
      <c r="P228">
        <v>0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>
        <v>1888</v>
      </c>
      <c r="W228" t="s">
        <v>44</v>
      </c>
      <c r="X228" t="s">
        <v>44</v>
      </c>
      <c r="Y228">
        <v>1888</v>
      </c>
      <c r="Z228" t="s">
        <v>44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s="2">
        <v>1900</v>
      </c>
      <c r="AQ228">
        <f t="shared" si="8"/>
        <v>1900</v>
      </c>
      <c r="AR228" s="5">
        <f>VLOOKUP(F228,'[2]SCP_24-25'!$A:$D,4,0)</f>
        <v>107.63</v>
      </c>
      <c r="AS228" s="5">
        <f t="shared" si="7"/>
        <v>204497</v>
      </c>
    </row>
    <row r="229" spans="1:45" x14ac:dyDescent="0.3">
      <c r="A229" s="1">
        <v>45900.961111111108</v>
      </c>
      <c r="B229" t="s">
        <v>617</v>
      </c>
      <c r="C229" t="s">
        <v>618</v>
      </c>
      <c r="D229" t="s">
        <v>873</v>
      </c>
      <c r="F229" t="s">
        <v>1888</v>
      </c>
      <c r="G229" t="s">
        <v>874</v>
      </c>
      <c r="H229" t="s">
        <v>130</v>
      </c>
      <c r="I229" t="s">
        <v>415</v>
      </c>
      <c r="J229">
        <v>5.3</v>
      </c>
      <c r="K229">
        <v>19</v>
      </c>
      <c r="L229">
        <v>10</v>
      </c>
      <c r="M229">
        <v>11</v>
      </c>
      <c r="N229">
        <v>2016</v>
      </c>
      <c r="O229">
        <v>17</v>
      </c>
      <c r="P229">
        <v>0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>
        <v>1897</v>
      </c>
      <c r="W229" t="s">
        <v>44</v>
      </c>
      <c r="X229" t="s">
        <v>44</v>
      </c>
      <c r="Y229">
        <v>1897</v>
      </c>
      <c r="Z229" t="s">
        <v>44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2">
        <v>1914</v>
      </c>
      <c r="AQ229">
        <f t="shared" si="8"/>
        <v>1914</v>
      </c>
      <c r="AR229" s="5">
        <f>VLOOKUP(F229,'[2]SCP_24-25'!$A:$D,4,0)</f>
        <v>109.68</v>
      </c>
      <c r="AS229" s="5">
        <f t="shared" si="7"/>
        <v>209927.52000000002</v>
      </c>
    </row>
    <row r="230" spans="1:45" x14ac:dyDescent="0.3">
      <c r="A230" s="1">
        <v>45900.961111111108</v>
      </c>
      <c r="B230" t="s">
        <v>617</v>
      </c>
      <c r="C230" t="s">
        <v>618</v>
      </c>
      <c r="D230" t="s">
        <v>875</v>
      </c>
      <c r="F230" t="s">
        <v>1889</v>
      </c>
      <c r="G230" t="s">
        <v>876</v>
      </c>
      <c r="H230" t="s">
        <v>130</v>
      </c>
      <c r="I230" t="s">
        <v>415</v>
      </c>
      <c r="J230">
        <v>400</v>
      </c>
      <c r="K230">
        <v>19</v>
      </c>
      <c r="L230">
        <v>10</v>
      </c>
      <c r="M230">
        <v>11</v>
      </c>
      <c r="N230">
        <v>1584</v>
      </c>
      <c r="O230">
        <v>0</v>
      </c>
      <c r="P230">
        <v>0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>
        <v>1467</v>
      </c>
      <c r="W230" t="s">
        <v>44</v>
      </c>
      <c r="X230" t="s">
        <v>44</v>
      </c>
      <c r="Y230">
        <v>1467</v>
      </c>
      <c r="Z230" t="s">
        <v>44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s="2">
        <v>1467</v>
      </c>
      <c r="AQ230">
        <f t="shared" si="8"/>
        <v>1467</v>
      </c>
      <c r="AR230" s="5">
        <f>VLOOKUP(F230,'[2]SCP_24-25'!$A:$D,4,0)</f>
        <v>82.91</v>
      </c>
      <c r="AS230" s="5">
        <f t="shared" si="7"/>
        <v>121628.97</v>
      </c>
    </row>
    <row r="231" spans="1:45" x14ac:dyDescent="0.3">
      <c r="A231" s="1">
        <v>45900.961111111108</v>
      </c>
      <c r="B231" t="s">
        <v>617</v>
      </c>
      <c r="C231" t="s">
        <v>618</v>
      </c>
      <c r="D231" t="s">
        <v>877</v>
      </c>
      <c r="F231" t="s">
        <v>1890</v>
      </c>
      <c r="G231" t="s">
        <v>878</v>
      </c>
      <c r="H231" t="s">
        <v>103</v>
      </c>
      <c r="I231" t="s">
        <v>415</v>
      </c>
      <c r="J231">
        <v>100</v>
      </c>
      <c r="K231">
        <v>19</v>
      </c>
      <c r="L231">
        <v>10</v>
      </c>
      <c r="M231">
        <v>11</v>
      </c>
      <c r="N231">
        <v>4320</v>
      </c>
      <c r="O231">
        <v>402</v>
      </c>
      <c r="P231">
        <v>0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>
        <v>1443</v>
      </c>
      <c r="W231" t="s">
        <v>44</v>
      </c>
      <c r="X231" t="s">
        <v>44</v>
      </c>
      <c r="Y231">
        <v>1443</v>
      </c>
      <c r="Z231" t="s">
        <v>44</v>
      </c>
      <c r="AA231">
        <v>8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s="2">
        <v>1853</v>
      </c>
      <c r="AQ231">
        <f t="shared" si="8"/>
        <v>1853</v>
      </c>
      <c r="AR231" s="5">
        <f>VLOOKUP(F231,'[2]SCP_24-25'!$A:$D,4,0)</f>
        <v>71.19</v>
      </c>
      <c r="AS231" s="5">
        <f t="shared" si="7"/>
        <v>131915.07</v>
      </c>
    </row>
    <row r="232" spans="1:45" x14ac:dyDescent="0.3">
      <c r="A232" s="1">
        <v>45900.961111111108</v>
      </c>
      <c r="B232" t="s">
        <v>617</v>
      </c>
      <c r="C232" t="s">
        <v>618</v>
      </c>
      <c r="D232" t="s">
        <v>879</v>
      </c>
      <c r="F232" t="s">
        <v>1891</v>
      </c>
      <c r="G232" t="s">
        <v>880</v>
      </c>
      <c r="H232" t="s">
        <v>120</v>
      </c>
      <c r="I232" t="s">
        <v>43</v>
      </c>
      <c r="J232">
        <v>100</v>
      </c>
      <c r="K232">
        <v>19</v>
      </c>
      <c r="L232">
        <v>11</v>
      </c>
      <c r="M232">
        <v>10</v>
      </c>
      <c r="N232">
        <v>5250</v>
      </c>
      <c r="O232">
        <v>1209</v>
      </c>
      <c r="P232">
        <v>0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>
        <v>1401</v>
      </c>
      <c r="W232" t="s">
        <v>44</v>
      </c>
      <c r="X232" t="s">
        <v>44</v>
      </c>
      <c r="Y232">
        <v>1401</v>
      </c>
      <c r="Z232" t="s">
        <v>44</v>
      </c>
      <c r="AA232">
        <v>15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s="2">
        <v>2625</v>
      </c>
      <c r="AQ232">
        <f t="shared" si="8"/>
        <v>2625</v>
      </c>
      <c r="AR232" s="5">
        <f>VLOOKUP(F232,'[2]SCP_24-25'!$A:$D,4,0)</f>
        <v>46.5</v>
      </c>
      <c r="AS232" s="5">
        <f t="shared" si="7"/>
        <v>122062.5</v>
      </c>
    </row>
    <row r="233" spans="1:45" x14ac:dyDescent="0.3">
      <c r="A233" s="1">
        <v>45900.961111111108</v>
      </c>
      <c r="B233" t="s">
        <v>617</v>
      </c>
      <c r="C233" t="s">
        <v>618</v>
      </c>
      <c r="D233" t="s">
        <v>135</v>
      </c>
      <c r="F233" t="s">
        <v>1545</v>
      </c>
      <c r="G233" t="s">
        <v>136</v>
      </c>
      <c r="H233" t="s">
        <v>66</v>
      </c>
      <c r="I233" t="s">
        <v>43</v>
      </c>
      <c r="J233">
        <v>85</v>
      </c>
      <c r="K233">
        <v>19</v>
      </c>
      <c r="L233">
        <v>10</v>
      </c>
      <c r="M233">
        <v>11</v>
      </c>
      <c r="N233">
        <v>341398</v>
      </c>
      <c r="O233">
        <v>0</v>
      </c>
      <c r="P233">
        <v>0</v>
      </c>
      <c r="Q233">
        <v>1155</v>
      </c>
      <c r="R233">
        <v>37847</v>
      </c>
      <c r="S233" t="s">
        <v>44</v>
      </c>
      <c r="T233" t="s">
        <v>44</v>
      </c>
      <c r="U233" t="s">
        <v>44</v>
      </c>
      <c r="V233">
        <v>51</v>
      </c>
      <c r="W233">
        <v>312</v>
      </c>
      <c r="X233" t="s">
        <v>44</v>
      </c>
      <c r="Y233" t="s">
        <v>44</v>
      </c>
      <c r="Z233" t="s">
        <v>44</v>
      </c>
      <c r="AA233">
        <v>2</v>
      </c>
      <c r="AB233">
        <v>0</v>
      </c>
      <c r="AC233">
        <v>0</v>
      </c>
      <c r="AD233">
        <v>0</v>
      </c>
      <c r="AE233">
        <v>232</v>
      </c>
      <c r="AF233">
        <v>11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53</v>
      </c>
      <c r="AQ233">
        <f t="shared" si="8"/>
        <v>53</v>
      </c>
      <c r="AR233" s="5">
        <f>VLOOKUP(F233,'[2]SCP_24-25'!$A:$D,4,0)</f>
        <v>42.19</v>
      </c>
      <c r="AS233" s="5">
        <f t="shared" si="7"/>
        <v>2236.0699999999997</v>
      </c>
    </row>
    <row r="234" spans="1:45" x14ac:dyDescent="0.3">
      <c r="A234" s="1">
        <v>45900.961111111108</v>
      </c>
      <c r="B234" t="s">
        <v>617</v>
      </c>
      <c r="C234" t="s">
        <v>618</v>
      </c>
      <c r="D234" t="s">
        <v>163</v>
      </c>
      <c r="F234" t="s">
        <v>1559</v>
      </c>
      <c r="G234" t="s">
        <v>164</v>
      </c>
      <c r="H234" t="s">
        <v>66</v>
      </c>
      <c r="I234" t="s">
        <v>43</v>
      </c>
      <c r="J234">
        <v>75.400000000000006</v>
      </c>
      <c r="K234">
        <v>19</v>
      </c>
      <c r="L234">
        <v>11</v>
      </c>
      <c r="M234">
        <v>9.5</v>
      </c>
      <c r="N234">
        <v>151815</v>
      </c>
      <c r="O234">
        <v>936</v>
      </c>
      <c r="P234">
        <v>0</v>
      </c>
      <c r="Q234">
        <v>167</v>
      </c>
      <c r="R234">
        <v>14279</v>
      </c>
      <c r="S234" t="s">
        <v>44</v>
      </c>
      <c r="T234" t="s">
        <v>44</v>
      </c>
      <c r="U234" t="s">
        <v>44</v>
      </c>
      <c r="V234">
        <v>365</v>
      </c>
      <c r="W234">
        <v>127</v>
      </c>
      <c r="X234" t="s">
        <v>44</v>
      </c>
      <c r="Y234">
        <v>2</v>
      </c>
      <c r="Z234" t="s">
        <v>44</v>
      </c>
      <c r="AA234">
        <v>2</v>
      </c>
      <c r="AB234">
        <v>0</v>
      </c>
      <c r="AC234">
        <v>0</v>
      </c>
      <c r="AD234">
        <v>0</v>
      </c>
      <c r="AE234">
        <v>156</v>
      </c>
      <c r="AF234">
        <v>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s="2">
        <v>1303</v>
      </c>
      <c r="AQ234">
        <f t="shared" si="8"/>
        <v>1303</v>
      </c>
      <c r="AR234" s="5">
        <f>VLOOKUP(F234,'[2]SCP_24-25'!$A:$D,4,0)</f>
        <v>63.65</v>
      </c>
      <c r="AS234" s="5">
        <f t="shared" si="7"/>
        <v>82935.95</v>
      </c>
    </row>
    <row r="235" spans="1:45" x14ac:dyDescent="0.3">
      <c r="A235" s="1">
        <v>45900.961111111108</v>
      </c>
      <c r="B235" t="s">
        <v>617</v>
      </c>
      <c r="C235" t="s">
        <v>618</v>
      </c>
      <c r="D235" t="s">
        <v>181</v>
      </c>
      <c r="F235" t="s">
        <v>1568</v>
      </c>
      <c r="G235" t="s">
        <v>182</v>
      </c>
      <c r="H235" t="s">
        <v>66</v>
      </c>
      <c r="I235" t="s">
        <v>43</v>
      </c>
      <c r="J235">
        <v>206</v>
      </c>
      <c r="K235">
        <v>19</v>
      </c>
      <c r="L235">
        <v>9.5</v>
      </c>
      <c r="M235">
        <v>11</v>
      </c>
      <c r="N235">
        <v>143573</v>
      </c>
      <c r="O235">
        <v>52</v>
      </c>
      <c r="P235">
        <v>0</v>
      </c>
      <c r="Q235">
        <v>744</v>
      </c>
      <c r="R235">
        <v>11723</v>
      </c>
      <c r="S235" t="s">
        <v>44</v>
      </c>
      <c r="T235" t="s">
        <v>44</v>
      </c>
      <c r="U235" t="s">
        <v>44</v>
      </c>
      <c r="V235">
        <v>109</v>
      </c>
      <c r="W235">
        <v>429</v>
      </c>
      <c r="X235" t="s">
        <v>44</v>
      </c>
      <c r="Y235">
        <v>34</v>
      </c>
      <c r="Z235" t="s">
        <v>44</v>
      </c>
      <c r="AA235">
        <v>1</v>
      </c>
      <c r="AB235">
        <v>0</v>
      </c>
      <c r="AC235">
        <v>0</v>
      </c>
      <c r="AD235">
        <v>0</v>
      </c>
      <c r="AE235">
        <v>139</v>
      </c>
      <c r="AF235">
        <v>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162</v>
      </c>
      <c r="AQ235">
        <f t="shared" si="8"/>
        <v>162</v>
      </c>
      <c r="AR235" s="5">
        <f>VLOOKUP(F235,'[2]SCP_24-25'!$A:$D,4,0)</f>
        <v>61.72</v>
      </c>
      <c r="AS235" s="5">
        <f t="shared" si="7"/>
        <v>9998.64</v>
      </c>
    </row>
    <row r="236" spans="1:45" x14ac:dyDescent="0.3">
      <c r="A236" s="1">
        <v>45900.961111111108</v>
      </c>
      <c r="B236" t="s">
        <v>617</v>
      </c>
      <c r="C236" t="s">
        <v>618</v>
      </c>
      <c r="D236" t="s">
        <v>881</v>
      </c>
      <c r="E236" t="s">
        <v>881</v>
      </c>
      <c r="F236" t="s">
        <v>1892</v>
      </c>
      <c r="G236" t="s">
        <v>882</v>
      </c>
      <c r="H236" t="s">
        <v>66</v>
      </c>
      <c r="I236" t="s">
        <v>43</v>
      </c>
      <c r="J236">
        <v>206</v>
      </c>
      <c r="K236">
        <v>19</v>
      </c>
      <c r="L236">
        <v>9.5</v>
      </c>
      <c r="M236">
        <v>11</v>
      </c>
      <c r="N236">
        <v>20789</v>
      </c>
      <c r="O236">
        <v>0</v>
      </c>
      <c r="P236">
        <v>0</v>
      </c>
      <c r="Q236" t="s">
        <v>44</v>
      </c>
      <c r="R236">
        <v>2</v>
      </c>
      <c r="S236" t="s">
        <v>44</v>
      </c>
      <c r="T236" t="s">
        <v>44</v>
      </c>
      <c r="U236" t="s">
        <v>44</v>
      </c>
      <c r="V236">
        <v>0</v>
      </c>
      <c r="W236" t="s">
        <v>44</v>
      </c>
      <c r="X236" t="s">
        <v>44</v>
      </c>
      <c r="Y236" t="s">
        <v>44</v>
      </c>
      <c r="Z236" t="s">
        <v>44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2</v>
      </c>
      <c r="AQ236">
        <f t="shared" si="8"/>
        <v>2</v>
      </c>
      <c r="AR236" s="5">
        <f>VLOOKUP(F236,'[1]Cost Sheet'!$C:$D,2,0)</f>
        <v>72.22</v>
      </c>
      <c r="AS236" s="5">
        <f t="shared" si="7"/>
        <v>144.44</v>
      </c>
    </row>
    <row r="237" spans="1:45" x14ac:dyDescent="0.3">
      <c r="A237" s="1">
        <v>45900.961111111108</v>
      </c>
      <c r="B237" t="s">
        <v>617</v>
      </c>
      <c r="C237" t="s">
        <v>618</v>
      </c>
      <c r="D237" t="s">
        <v>218</v>
      </c>
      <c r="F237" t="s">
        <v>1584</v>
      </c>
      <c r="G237" t="s">
        <v>219</v>
      </c>
      <c r="H237" t="s">
        <v>66</v>
      </c>
      <c r="I237" t="s">
        <v>43</v>
      </c>
      <c r="J237">
        <v>133</v>
      </c>
      <c r="K237">
        <v>19</v>
      </c>
      <c r="L237">
        <v>10</v>
      </c>
      <c r="M237">
        <v>11</v>
      </c>
      <c r="N237">
        <v>135761</v>
      </c>
      <c r="O237">
        <v>175</v>
      </c>
      <c r="P237">
        <v>0</v>
      </c>
      <c r="Q237">
        <v>466</v>
      </c>
      <c r="R237">
        <v>3823</v>
      </c>
      <c r="S237" t="s">
        <v>44</v>
      </c>
      <c r="T237">
        <v>1</v>
      </c>
      <c r="U237" t="s">
        <v>44</v>
      </c>
      <c r="V237">
        <v>36</v>
      </c>
      <c r="W237">
        <v>408</v>
      </c>
      <c r="X237" t="s">
        <v>44</v>
      </c>
      <c r="Y237">
        <v>25</v>
      </c>
      <c r="Z237" t="s">
        <v>44</v>
      </c>
      <c r="AA237">
        <v>11</v>
      </c>
      <c r="AB237">
        <v>0</v>
      </c>
      <c r="AC237">
        <v>0</v>
      </c>
      <c r="AD237">
        <v>0</v>
      </c>
      <c r="AE237">
        <v>36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222</v>
      </c>
      <c r="AQ237">
        <f t="shared" si="8"/>
        <v>222</v>
      </c>
      <c r="AR237" s="5">
        <f>VLOOKUP(F237,'[2]SCP_24-25'!$A:$D,4,0)</f>
        <v>32.03</v>
      </c>
      <c r="AS237" s="5">
        <f t="shared" si="7"/>
        <v>7110.66</v>
      </c>
    </row>
    <row r="238" spans="1:45" x14ac:dyDescent="0.3">
      <c r="A238" s="1">
        <v>45900.961111111108</v>
      </c>
      <c r="B238" t="s">
        <v>617</v>
      </c>
      <c r="C238" t="s">
        <v>618</v>
      </c>
      <c r="D238" t="s">
        <v>220</v>
      </c>
      <c r="F238" t="s">
        <v>1585</v>
      </c>
      <c r="G238" t="s">
        <v>221</v>
      </c>
      <c r="H238" t="s">
        <v>66</v>
      </c>
      <c r="I238" t="s">
        <v>43</v>
      </c>
      <c r="J238">
        <v>91</v>
      </c>
      <c r="K238">
        <v>19</v>
      </c>
      <c r="L238">
        <v>10</v>
      </c>
      <c r="M238">
        <v>11</v>
      </c>
      <c r="N238">
        <v>30989</v>
      </c>
      <c r="O238">
        <v>0</v>
      </c>
      <c r="P238">
        <v>0</v>
      </c>
      <c r="Q238" t="s">
        <v>44</v>
      </c>
      <c r="R238">
        <v>2</v>
      </c>
      <c r="S238" t="s">
        <v>44</v>
      </c>
      <c r="T238" t="s">
        <v>44</v>
      </c>
      <c r="U238" t="s">
        <v>44</v>
      </c>
      <c r="V238">
        <v>0</v>
      </c>
      <c r="W238" t="s">
        <v>44</v>
      </c>
      <c r="X238" t="s">
        <v>44</v>
      </c>
      <c r="Y238" t="s">
        <v>44</v>
      </c>
      <c r="Z238" t="s">
        <v>44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f t="shared" si="8"/>
        <v>1</v>
      </c>
      <c r="AR238" s="5">
        <f>VLOOKUP(F238,'[2]SCP_24-25'!$A:$D,4,0)</f>
        <v>72.67</v>
      </c>
      <c r="AS238" s="5">
        <f t="shared" si="7"/>
        <v>72.67</v>
      </c>
    </row>
    <row r="239" spans="1:45" x14ac:dyDescent="0.3">
      <c r="A239" s="1">
        <v>45900.961111111108</v>
      </c>
      <c r="B239" t="s">
        <v>617</v>
      </c>
      <c r="C239" t="s">
        <v>618</v>
      </c>
      <c r="D239" t="s">
        <v>222</v>
      </c>
      <c r="F239" t="s">
        <v>1586</v>
      </c>
      <c r="G239" t="s">
        <v>223</v>
      </c>
      <c r="H239" t="s">
        <v>66</v>
      </c>
      <c r="I239" t="s">
        <v>43</v>
      </c>
      <c r="J239">
        <v>91</v>
      </c>
      <c r="K239">
        <v>19</v>
      </c>
      <c r="L239">
        <v>10</v>
      </c>
      <c r="M239">
        <v>11</v>
      </c>
      <c r="N239">
        <v>167098</v>
      </c>
      <c r="O239">
        <v>48</v>
      </c>
      <c r="P239">
        <v>0</v>
      </c>
      <c r="Q239">
        <v>295</v>
      </c>
      <c r="R239">
        <v>17910</v>
      </c>
      <c r="S239" t="s">
        <v>44</v>
      </c>
      <c r="T239" t="s">
        <v>44</v>
      </c>
      <c r="U239" t="s">
        <v>44</v>
      </c>
      <c r="V239">
        <v>104</v>
      </c>
      <c r="W239">
        <v>306</v>
      </c>
      <c r="X239" t="s">
        <v>44</v>
      </c>
      <c r="Y239">
        <v>75</v>
      </c>
      <c r="Z239" t="s">
        <v>44</v>
      </c>
      <c r="AA239">
        <v>3</v>
      </c>
      <c r="AB239">
        <v>0</v>
      </c>
      <c r="AC239">
        <v>0</v>
      </c>
      <c r="AD239">
        <v>0</v>
      </c>
      <c r="AE239">
        <v>138</v>
      </c>
      <c r="AF239">
        <v>6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155</v>
      </c>
      <c r="AQ239">
        <f t="shared" si="8"/>
        <v>155</v>
      </c>
      <c r="AR239" s="5">
        <f>VLOOKUP(F239,'[2]SCP_24-25'!$A:$D,4,0)</f>
        <v>60.73</v>
      </c>
      <c r="AS239" s="5">
        <f t="shared" si="7"/>
        <v>9413.15</v>
      </c>
    </row>
    <row r="240" spans="1:45" x14ac:dyDescent="0.3">
      <c r="A240" s="1">
        <v>45900.961111111108</v>
      </c>
      <c r="B240" t="s">
        <v>617</v>
      </c>
      <c r="C240" t="s">
        <v>618</v>
      </c>
      <c r="D240" t="s">
        <v>883</v>
      </c>
      <c r="E240" t="s">
        <v>884</v>
      </c>
      <c r="F240" t="s">
        <v>1893</v>
      </c>
      <c r="G240" t="s">
        <v>885</v>
      </c>
      <c r="H240" t="s">
        <v>66</v>
      </c>
      <c r="I240" t="s">
        <v>43</v>
      </c>
      <c r="J240">
        <v>100</v>
      </c>
      <c r="K240">
        <v>19</v>
      </c>
      <c r="L240">
        <v>9.5</v>
      </c>
      <c r="M240">
        <v>11</v>
      </c>
      <c r="N240">
        <v>337</v>
      </c>
      <c r="O240">
        <v>0</v>
      </c>
      <c r="P240">
        <v>0</v>
      </c>
      <c r="Q240" t="s">
        <v>44</v>
      </c>
      <c r="R240">
        <v>35</v>
      </c>
      <c r="S240" t="s">
        <v>44</v>
      </c>
      <c r="T240" t="s">
        <v>44</v>
      </c>
      <c r="U240" t="s">
        <v>44</v>
      </c>
      <c r="V240">
        <v>55</v>
      </c>
      <c r="W240" t="s">
        <v>44</v>
      </c>
      <c r="X240" t="s">
        <v>44</v>
      </c>
      <c r="Y240">
        <v>55</v>
      </c>
      <c r="Z240" t="s">
        <v>44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55</v>
      </c>
      <c r="AQ240">
        <f t="shared" si="8"/>
        <v>55</v>
      </c>
      <c r="AR240" s="5">
        <f>VLOOKUP(F240,'[1]Cost Sheet'!$C:$D,2,0)</f>
        <v>250</v>
      </c>
      <c r="AS240" s="5">
        <f t="shared" si="7"/>
        <v>13750</v>
      </c>
    </row>
    <row r="241" spans="1:45" x14ac:dyDescent="0.3">
      <c r="A241" s="1">
        <v>45900.961111111108</v>
      </c>
      <c r="B241" t="s">
        <v>617</v>
      </c>
      <c r="C241" t="s">
        <v>618</v>
      </c>
      <c r="D241" t="s">
        <v>886</v>
      </c>
      <c r="F241" t="s">
        <v>1894</v>
      </c>
      <c r="G241" t="s">
        <v>887</v>
      </c>
      <c r="H241" t="s">
        <v>103</v>
      </c>
      <c r="I241" t="s">
        <v>43</v>
      </c>
      <c r="J241">
        <v>100</v>
      </c>
      <c r="K241">
        <v>19</v>
      </c>
      <c r="L241">
        <v>9.5</v>
      </c>
      <c r="M241">
        <v>11</v>
      </c>
      <c r="N241">
        <v>2771</v>
      </c>
      <c r="O241">
        <v>0</v>
      </c>
      <c r="P241">
        <v>0</v>
      </c>
      <c r="Q241" t="s">
        <v>44</v>
      </c>
      <c r="R241">
        <v>379</v>
      </c>
      <c r="S241" t="s">
        <v>44</v>
      </c>
      <c r="T241" t="s">
        <v>44</v>
      </c>
      <c r="U241" t="s">
        <v>44</v>
      </c>
      <c r="V241">
        <v>36</v>
      </c>
      <c r="W241" t="s">
        <v>44</v>
      </c>
      <c r="X241" t="s">
        <v>44</v>
      </c>
      <c r="Y241">
        <v>36</v>
      </c>
      <c r="Z241" t="s">
        <v>44</v>
      </c>
      <c r="AA241">
        <v>3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39</v>
      </c>
      <c r="AQ241">
        <f t="shared" si="8"/>
        <v>39</v>
      </c>
      <c r="AR241" s="5">
        <f>VLOOKUP(F241,'[1]Cost Sheet'!$C:$D,2,0)</f>
        <v>250</v>
      </c>
      <c r="AS241" s="5">
        <f t="shared" si="7"/>
        <v>9750</v>
      </c>
    </row>
    <row r="242" spans="1:45" x14ac:dyDescent="0.3">
      <c r="A242" s="1">
        <v>45900.961111111108</v>
      </c>
      <c r="B242" t="s">
        <v>617</v>
      </c>
      <c r="C242" t="s">
        <v>618</v>
      </c>
      <c r="D242" t="s">
        <v>235</v>
      </c>
      <c r="F242" t="s">
        <v>1592</v>
      </c>
      <c r="G242" t="s">
        <v>236</v>
      </c>
      <c r="H242" t="s">
        <v>66</v>
      </c>
      <c r="I242" t="s">
        <v>43</v>
      </c>
      <c r="J242">
        <v>90</v>
      </c>
      <c r="K242">
        <v>19</v>
      </c>
      <c r="L242">
        <v>9.5</v>
      </c>
      <c r="M242">
        <v>11</v>
      </c>
      <c r="N242">
        <v>74243</v>
      </c>
      <c r="O242">
        <v>0</v>
      </c>
      <c r="P242">
        <v>0</v>
      </c>
      <c r="Q242">
        <v>259</v>
      </c>
      <c r="R242">
        <v>7873</v>
      </c>
      <c r="S242" t="s">
        <v>44</v>
      </c>
      <c r="T242" t="s">
        <v>44</v>
      </c>
      <c r="U242" t="s">
        <v>44</v>
      </c>
      <c r="V242">
        <v>433</v>
      </c>
      <c r="W242">
        <v>1103</v>
      </c>
      <c r="X242" t="s">
        <v>44</v>
      </c>
      <c r="Y242" t="s">
        <v>44</v>
      </c>
      <c r="Z242" t="s">
        <v>44</v>
      </c>
      <c r="AA242">
        <v>1</v>
      </c>
      <c r="AB242">
        <v>0</v>
      </c>
      <c r="AC242">
        <v>0</v>
      </c>
      <c r="AD242">
        <v>0</v>
      </c>
      <c r="AE242">
        <v>229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434</v>
      </c>
      <c r="AQ242">
        <f t="shared" si="8"/>
        <v>434</v>
      </c>
      <c r="AR242" s="5">
        <f>VLOOKUP(F242,'[2]SCP_24-25'!$A:$D,4,0)</f>
        <v>52.010000000000005</v>
      </c>
      <c r="AS242" s="5">
        <f t="shared" si="7"/>
        <v>22572.340000000004</v>
      </c>
    </row>
    <row r="243" spans="1:45" x14ac:dyDescent="0.3">
      <c r="A243" s="1">
        <v>45900.961111111108</v>
      </c>
      <c r="B243" t="s">
        <v>617</v>
      </c>
      <c r="C243" t="s">
        <v>618</v>
      </c>
      <c r="D243" t="s">
        <v>237</v>
      </c>
      <c r="F243" t="s">
        <v>1593</v>
      </c>
      <c r="G243" t="s">
        <v>238</v>
      </c>
      <c r="H243" t="s">
        <v>66</v>
      </c>
      <c r="I243" t="s">
        <v>43</v>
      </c>
      <c r="J243">
        <v>90</v>
      </c>
      <c r="K243">
        <v>19</v>
      </c>
      <c r="L243">
        <v>9.5</v>
      </c>
      <c r="M243">
        <v>11</v>
      </c>
      <c r="N243">
        <v>179473</v>
      </c>
      <c r="O243">
        <v>32</v>
      </c>
      <c r="P243">
        <v>0</v>
      </c>
      <c r="Q243">
        <v>382</v>
      </c>
      <c r="R243">
        <v>14444</v>
      </c>
      <c r="S243" t="s">
        <v>44</v>
      </c>
      <c r="T243" t="s">
        <v>44</v>
      </c>
      <c r="U243" t="s">
        <v>44</v>
      </c>
      <c r="V243">
        <v>573</v>
      </c>
      <c r="W243">
        <v>569</v>
      </c>
      <c r="X243" t="s">
        <v>44</v>
      </c>
      <c r="Y243">
        <v>27</v>
      </c>
      <c r="Z243" t="s">
        <v>44</v>
      </c>
      <c r="AA243">
        <v>2</v>
      </c>
      <c r="AB243">
        <v>0</v>
      </c>
      <c r="AC243">
        <v>0</v>
      </c>
      <c r="AD243">
        <v>0</v>
      </c>
      <c r="AE243">
        <v>433</v>
      </c>
      <c r="AF243">
        <v>8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607</v>
      </c>
      <c r="AQ243">
        <f t="shared" si="8"/>
        <v>607</v>
      </c>
      <c r="AR243" s="5">
        <f>VLOOKUP(F243,'[2]SCP_24-25'!$A:$D,4,0)</f>
        <v>60</v>
      </c>
      <c r="AS243" s="5">
        <f t="shared" si="7"/>
        <v>36420</v>
      </c>
    </row>
    <row r="244" spans="1:45" x14ac:dyDescent="0.3">
      <c r="A244" s="1">
        <v>45900.961111111108</v>
      </c>
      <c r="B244" t="s">
        <v>617</v>
      </c>
      <c r="C244" t="s">
        <v>618</v>
      </c>
      <c r="D244" t="s">
        <v>242</v>
      </c>
      <c r="E244" t="s">
        <v>243</v>
      </c>
      <c r="F244" t="s">
        <v>1595</v>
      </c>
      <c r="G244" t="s">
        <v>244</v>
      </c>
      <c r="H244" t="s">
        <v>66</v>
      </c>
      <c r="I244" t="s">
        <v>43</v>
      </c>
      <c r="J244">
        <v>35</v>
      </c>
      <c r="K244">
        <v>19</v>
      </c>
      <c r="L244">
        <v>11</v>
      </c>
      <c r="M244">
        <v>9.5</v>
      </c>
      <c r="N244">
        <v>59445</v>
      </c>
      <c r="O244">
        <v>0</v>
      </c>
      <c r="P244">
        <v>0</v>
      </c>
      <c r="Q244">
        <v>162</v>
      </c>
      <c r="R244">
        <v>5138</v>
      </c>
      <c r="S244" t="s">
        <v>44</v>
      </c>
      <c r="T244" t="s">
        <v>44</v>
      </c>
      <c r="U244" t="s">
        <v>44</v>
      </c>
      <c r="V244">
        <v>229</v>
      </c>
      <c r="W244">
        <v>473</v>
      </c>
      <c r="X244" t="s">
        <v>44</v>
      </c>
      <c r="Y244">
        <v>5</v>
      </c>
      <c r="Z244" t="s">
        <v>44</v>
      </c>
      <c r="AA244">
        <v>1</v>
      </c>
      <c r="AB244">
        <v>0</v>
      </c>
      <c r="AC244">
        <v>0</v>
      </c>
      <c r="AD244">
        <v>0</v>
      </c>
      <c r="AE244">
        <v>38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230</v>
      </c>
      <c r="AQ244">
        <f t="shared" si="8"/>
        <v>230</v>
      </c>
      <c r="AR244" s="5">
        <f>VLOOKUP(F244,'[2]SCP_24-25'!$A:$D,4,0)</f>
        <v>31.06</v>
      </c>
      <c r="AS244" s="5">
        <f t="shared" si="7"/>
        <v>7143.7999999999993</v>
      </c>
    </row>
    <row r="245" spans="1:45" x14ac:dyDescent="0.3">
      <c r="A245" s="1">
        <v>45900.961111111108</v>
      </c>
      <c r="B245" t="s">
        <v>617</v>
      </c>
      <c r="C245" t="s">
        <v>618</v>
      </c>
      <c r="D245" t="s">
        <v>245</v>
      </c>
      <c r="E245" t="s">
        <v>246</v>
      </c>
      <c r="F245" t="s">
        <v>1596</v>
      </c>
      <c r="G245" t="s">
        <v>247</v>
      </c>
      <c r="H245" t="s">
        <v>66</v>
      </c>
      <c r="I245" t="s">
        <v>43</v>
      </c>
      <c r="J245">
        <v>35</v>
      </c>
      <c r="K245">
        <v>19</v>
      </c>
      <c r="L245">
        <v>11</v>
      </c>
      <c r="M245">
        <v>9.5</v>
      </c>
      <c r="N245">
        <v>73280</v>
      </c>
      <c r="O245">
        <v>1</v>
      </c>
      <c r="P245">
        <v>0</v>
      </c>
      <c r="Q245">
        <v>81</v>
      </c>
      <c r="R245">
        <v>5643</v>
      </c>
      <c r="S245" t="s">
        <v>44</v>
      </c>
      <c r="T245" t="s">
        <v>44</v>
      </c>
      <c r="U245" t="s">
        <v>44</v>
      </c>
      <c r="V245">
        <v>18</v>
      </c>
      <c r="W245">
        <v>237</v>
      </c>
      <c r="X245" t="s">
        <v>44</v>
      </c>
      <c r="Y245" t="s">
        <v>44</v>
      </c>
      <c r="Z245" t="s">
        <v>44</v>
      </c>
      <c r="AA245">
        <v>8</v>
      </c>
      <c r="AB245">
        <v>0</v>
      </c>
      <c r="AC245">
        <v>0</v>
      </c>
      <c r="AD245">
        <v>0</v>
      </c>
      <c r="AE245">
        <v>85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27</v>
      </c>
      <c r="AQ245">
        <f t="shared" si="8"/>
        <v>27</v>
      </c>
      <c r="AR245" s="5">
        <f>VLOOKUP(F245,'[2]SCP_24-25'!$A:$D,4,0)</f>
        <v>26.27</v>
      </c>
      <c r="AS245" s="5">
        <f t="shared" si="7"/>
        <v>709.29</v>
      </c>
    </row>
    <row r="246" spans="1:45" x14ac:dyDescent="0.3">
      <c r="A246" s="1">
        <v>45900.961111111108</v>
      </c>
      <c r="B246" t="s">
        <v>617</v>
      </c>
      <c r="C246" t="s">
        <v>618</v>
      </c>
      <c r="D246" t="s">
        <v>888</v>
      </c>
      <c r="E246" t="s">
        <v>889</v>
      </c>
      <c r="F246" t="s">
        <v>1895</v>
      </c>
      <c r="G246" t="s">
        <v>890</v>
      </c>
      <c r="H246" t="s">
        <v>66</v>
      </c>
      <c r="I246" t="s">
        <v>43</v>
      </c>
      <c r="J246">
        <v>35</v>
      </c>
      <c r="K246">
        <v>19</v>
      </c>
      <c r="L246">
        <v>11</v>
      </c>
      <c r="M246">
        <v>9.5</v>
      </c>
      <c r="N246">
        <v>28545</v>
      </c>
      <c r="O246">
        <v>0</v>
      </c>
      <c r="P246">
        <v>0</v>
      </c>
      <c r="Q246">
        <v>115</v>
      </c>
      <c r="R246">
        <v>2335</v>
      </c>
      <c r="S246" t="s">
        <v>44</v>
      </c>
      <c r="T246" t="s">
        <v>44</v>
      </c>
      <c r="U246" t="s">
        <v>44</v>
      </c>
      <c r="V246">
        <v>103</v>
      </c>
      <c r="W246">
        <v>169</v>
      </c>
      <c r="X246" t="s">
        <v>44</v>
      </c>
      <c r="Y246" t="s">
        <v>44</v>
      </c>
      <c r="Z246" t="s">
        <v>44</v>
      </c>
      <c r="AA246">
        <v>0</v>
      </c>
      <c r="AB246">
        <v>0</v>
      </c>
      <c r="AC246">
        <v>0</v>
      </c>
      <c r="AD246">
        <v>0</v>
      </c>
      <c r="AE246">
        <v>68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103</v>
      </c>
      <c r="AQ246">
        <f t="shared" si="8"/>
        <v>103</v>
      </c>
      <c r="AR246" s="5">
        <f>VLOOKUP(F246,'[2]SCP_24-25'!$A:$D,4,0)</f>
        <v>37.06</v>
      </c>
      <c r="AS246" s="5">
        <f t="shared" si="7"/>
        <v>3817.1800000000003</v>
      </c>
    </row>
    <row r="247" spans="1:45" x14ac:dyDescent="0.3">
      <c r="A247" s="1">
        <v>45900.961111111108</v>
      </c>
      <c r="B247" t="s">
        <v>617</v>
      </c>
      <c r="C247" t="s">
        <v>618</v>
      </c>
      <c r="D247" t="s">
        <v>251</v>
      </c>
      <c r="E247" t="s">
        <v>252</v>
      </c>
      <c r="F247" t="s">
        <v>1598</v>
      </c>
      <c r="G247" t="s">
        <v>253</v>
      </c>
      <c r="H247" t="s">
        <v>66</v>
      </c>
      <c r="I247" t="s">
        <v>43</v>
      </c>
      <c r="J247">
        <v>35</v>
      </c>
      <c r="K247">
        <v>19</v>
      </c>
      <c r="L247">
        <v>11</v>
      </c>
      <c r="M247">
        <v>9.5</v>
      </c>
      <c r="N247">
        <v>123555</v>
      </c>
      <c r="O247">
        <v>0</v>
      </c>
      <c r="P247">
        <v>0</v>
      </c>
      <c r="Q247">
        <v>356</v>
      </c>
      <c r="R247">
        <v>11036</v>
      </c>
      <c r="S247" t="s">
        <v>44</v>
      </c>
      <c r="T247">
        <v>2</v>
      </c>
      <c r="U247" t="s">
        <v>44</v>
      </c>
      <c r="V247">
        <v>0</v>
      </c>
      <c r="W247">
        <v>5</v>
      </c>
      <c r="X247" t="s">
        <v>44</v>
      </c>
      <c r="Y247" t="s">
        <v>44</v>
      </c>
      <c r="Z247" t="s">
        <v>44</v>
      </c>
      <c r="AA247">
        <v>1</v>
      </c>
      <c r="AB247">
        <v>0</v>
      </c>
      <c r="AC247">
        <v>0</v>
      </c>
      <c r="AD247">
        <v>0</v>
      </c>
      <c r="AE247">
        <v>346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f t="shared" si="8"/>
        <v>1</v>
      </c>
      <c r="AR247" s="5">
        <f>VLOOKUP(F247,'[2]SCP_24-25'!$A:$D,4,0)</f>
        <v>28.82</v>
      </c>
      <c r="AS247" s="5">
        <f t="shared" si="7"/>
        <v>28.82</v>
      </c>
    </row>
    <row r="248" spans="1:45" x14ac:dyDescent="0.3">
      <c r="A248" s="1">
        <v>45900.961111111108</v>
      </c>
      <c r="B248" t="s">
        <v>617</v>
      </c>
      <c r="C248" t="s">
        <v>618</v>
      </c>
      <c r="D248" t="s">
        <v>260</v>
      </c>
      <c r="E248" t="s">
        <v>261</v>
      </c>
      <c r="F248" t="s">
        <v>1601</v>
      </c>
      <c r="G248" t="s">
        <v>262</v>
      </c>
      <c r="H248" t="s">
        <v>66</v>
      </c>
      <c r="I248" t="s">
        <v>43</v>
      </c>
      <c r="J248">
        <v>150</v>
      </c>
      <c r="K248">
        <v>19</v>
      </c>
      <c r="L248">
        <v>11</v>
      </c>
      <c r="M248">
        <v>9.5</v>
      </c>
      <c r="N248">
        <v>244470</v>
      </c>
      <c r="O248">
        <v>2181</v>
      </c>
      <c r="P248">
        <v>0</v>
      </c>
      <c r="Q248">
        <v>77</v>
      </c>
      <c r="R248">
        <v>11356</v>
      </c>
      <c r="S248" t="s">
        <v>44</v>
      </c>
      <c r="T248" t="s">
        <v>44</v>
      </c>
      <c r="U248" t="s">
        <v>44</v>
      </c>
      <c r="V248">
        <v>62</v>
      </c>
      <c r="W248">
        <v>29</v>
      </c>
      <c r="X248" t="s">
        <v>44</v>
      </c>
      <c r="Y248">
        <v>55</v>
      </c>
      <c r="Z248" t="s">
        <v>44</v>
      </c>
      <c r="AA248">
        <v>6</v>
      </c>
      <c r="AB248">
        <v>0</v>
      </c>
      <c r="AC248">
        <v>0</v>
      </c>
      <c r="AD248">
        <v>0</v>
      </c>
      <c r="AE248">
        <v>46</v>
      </c>
      <c r="AF248">
        <v>9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s="2">
        <v>2249</v>
      </c>
      <c r="AQ248">
        <f t="shared" si="8"/>
        <v>2249</v>
      </c>
      <c r="AR248" s="5">
        <f>VLOOKUP(F248,'[2]SCP_24-25'!$A:$D,4,0)</f>
        <v>40.29</v>
      </c>
      <c r="AS248" s="5">
        <f t="shared" si="7"/>
        <v>90612.209999999992</v>
      </c>
    </row>
    <row r="249" spans="1:45" x14ac:dyDescent="0.3">
      <c r="A249" s="1">
        <v>45900.961111111108</v>
      </c>
      <c r="B249" t="s">
        <v>617</v>
      </c>
      <c r="C249" t="s">
        <v>618</v>
      </c>
      <c r="D249" t="s">
        <v>266</v>
      </c>
      <c r="E249" t="s">
        <v>267</v>
      </c>
      <c r="F249" t="s">
        <v>1603</v>
      </c>
      <c r="G249" t="s">
        <v>268</v>
      </c>
      <c r="H249" t="s">
        <v>66</v>
      </c>
      <c r="I249" t="s">
        <v>43</v>
      </c>
      <c r="J249">
        <v>120</v>
      </c>
      <c r="K249">
        <v>19</v>
      </c>
      <c r="L249">
        <v>11</v>
      </c>
      <c r="M249">
        <v>9.5</v>
      </c>
      <c r="N249">
        <v>193680</v>
      </c>
      <c r="O249">
        <v>30</v>
      </c>
      <c r="P249">
        <v>0</v>
      </c>
      <c r="Q249">
        <v>317</v>
      </c>
      <c r="R249">
        <v>25241</v>
      </c>
      <c r="S249" t="s">
        <v>44</v>
      </c>
      <c r="T249" t="s">
        <v>44</v>
      </c>
      <c r="U249" t="s">
        <v>44</v>
      </c>
      <c r="V249">
        <v>7</v>
      </c>
      <c r="W249">
        <v>66</v>
      </c>
      <c r="X249" t="s">
        <v>44</v>
      </c>
      <c r="Y249" t="s">
        <v>44</v>
      </c>
      <c r="Z249" t="s">
        <v>44</v>
      </c>
      <c r="AA249">
        <v>26</v>
      </c>
      <c r="AB249">
        <v>0</v>
      </c>
      <c r="AC249">
        <v>0</v>
      </c>
      <c r="AD249">
        <v>0</v>
      </c>
      <c r="AE249">
        <v>154</v>
      </c>
      <c r="AF249">
        <v>10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63</v>
      </c>
      <c r="AQ249">
        <f t="shared" ref="AQ249:AQ284" si="9">O249+P249+V249+AA249</f>
        <v>63</v>
      </c>
      <c r="AR249" s="5">
        <f>VLOOKUP(F249,'[2]SCP_24-25'!$A:$D,4,0)</f>
        <v>43.71</v>
      </c>
      <c r="AS249" s="5">
        <f t="shared" si="7"/>
        <v>2753.73</v>
      </c>
    </row>
    <row r="250" spans="1:45" x14ac:dyDescent="0.3">
      <c r="A250" s="1">
        <v>45900.961111111108</v>
      </c>
      <c r="B250" t="s">
        <v>617</v>
      </c>
      <c r="C250" t="s">
        <v>618</v>
      </c>
      <c r="D250" t="s">
        <v>894</v>
      </c>
      <c r="F250" t="s">
        <v>1897</v>
      </c>
      <c r="G250" t="s">
        <v>422</v>
      </c>
      <c r="H250" t="s">
        <v>120</v>
      </c>
      <c r="I250" t="s">
        <v>43</v>
      </c>
      <c r="J250">
        <v>50</v>
      </c>
      <c r="K250">
        <v>19</v>
      </c>
      <c r="L250">
        <v>9.5</v>
      </c>
      <c r="M250">
        <v>11</v>
      </c>
      <c r="N250">
        <v>2669</v>
      </c>
      <c r="O250">
        <v>0</v>
      </c>
      <c r="P250">
        <v>0</v>
      </c>
      <c r="Q250" t="s">
        <v>44</v>
      </c>
      <c r="R250">
        <v>15</v>
      </c>
      <c r="S250" t="s">
        <v>44</v>
      </c>
      <c r="T250" t="s">
        <v>44</v>
      </c>
      <c r="U250" t="s">
        <v>44</v>
      </c>
      <c r="V250">
        <v>28</v>
      </c>
      <c r="W250" t="s">
        <v>44</v>
      </c>
      <c r="X250" t="s">
        <v>44</v>
      </c>
      <c r="Y250">
        <v>28</v>
      </c>
      <c r="Z250" t="s">
        <v>44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28</v>
      </c>
      <c r="AQ250">
        <f t="shared" si="9"/>
        <v>28</v>
      </c>
      <c r="AR250" s="5">
        <f>VLOOKUP(F250,'[1]Cost Sheet'!$C:$D,2,0)</f>
        <v>65</v>
      </c>
      <c r="AS250" s="5">
        <f t="shared" si="7"/>
        <v>1820</v>
      </c>
    </row>
    <row r="251" spans="1:45" x14ac:dyDescent="0.3">
      <c r="A251" s="1">
        <v>45900.961111111108</v>
      </c>
      <c r="B251" t="s">
        <v>617</v>
      </c>
      <c r="C251" t="s">
        <v>618</v>
      </c>
      <c r="D251" t="s">
        <v>272</v>
      </c>
      <c r="F251" t="s">
        <v>1605</v>
      </c>
      <c r="G251" t="s">
        <v>273</v>
      </c>
      <c r="H251" t="s">
        <v>66</v>
      </c>
      <c r="I251" t="s">
        <v>43</v>
      </c>
      <c r="J251">
        <v>200</v>
      </c>
      <c r="K251">
        <v>19</v>
      </c>
      <c r="L251">
        <v>9.5</v>
      </c>
      <c r="M251">
        <v>11</v>
      </c>
      <c r="N251">
        <v>24669</v>
      </c>
      <c r="O251">
        <v>0</v>
      </c>
      <c r="P251">
        <v>0</v>
      </c>
      <c r="Q251">
        <v>26</v>
      </c>
      <c r="R251">
        <v>142</v>
      </c>
      <c r="S251" t="s">
        <v>44</v>
      </c>
      <c r="T251" t="s">
        <v>44</v>
      </c>
      <c r="U251" t="s">
        <v>44</v>
      </c>
      <c r="V251">
        <v>7</v>
      </c>
      <c r="W251">
        <v>28</v>
      </c>
      <c r="X251" t="s">
        <v>44</v>
      </c>
      <c r="Y251" t="s">
        <v>44</v>
      </c>
      <c r="Z251" t="s">
        <v>44</v>
      </c>
      <c r="AA251">
        <v>0</v>
      </c>
      <c r="AB251">
        <v>0</v>
      </c>
      <c r="AC251">
        <v>0</v>
      </c>
      <c r="AD251">
        <v>0</v>
      </c>
      <c r="AE251">
        <v>8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7</v>
      </c>
      <c r="AQ251">
        <f t="shared" si="9"/>
        <v>7</v>
      </c>
      <c r="AR251" s="5">
        <f>VLOOKUP(F251,'[2]SCP_24-25'!$A:$D,4,0)</f>
        <v>66.42</v>
      </c>
      <c r="AS251" s="5">
        <f t="shared" si="7"/>
        <v>464.94</v>
      </c>
    </row>
    <row r="252" spans="1:45" x14ac:dyDescent="0.3">
      <c r="A252" s="1">
        <v>45900.961111111108</v>
      </c>
      <c r="B252" t="s">
        <v>617</v>
      </c>
      <c r="C252" t="s">
        <v>618</v>
      </c>
      <c r="D252" t="s">
        <v>292</v>
      </c>
      <c r="E252" t="s">
        <v>293</v>
      </c>
      <c r="F252" t="s">
        <v>1612</v>
      </c>
      <c r="G252" t="s">
        <v>294</v>
      </c>
      <c r="H252" t="s">
        <v>103</v>
      </c>
      <c r="I252" t="s">
        <v>43</v>
      </c>
      <c r="J252">
        <v>125.02</v>
      </c>
      <c r="K252">
        <v>19</v>
      </c>
      <c r="L252">
        <v>9.5</v>
      </c>
      <c r="M252">
        <v>11</v>
      </c>
      <c r="N252">
        <v>81973</v>
      </c>
      <c r="O252">
        <v>0</v>
      </c>
      <c r="P252">
        <v>0</v>
      </c>
      <c r="Q252">
        <v>163</v>
      </c>
      <c r="R252">
        <v>13382</v>
      </c>
      <c r="S252" t="s">
        <v>44</v>
      </c>
      <c r="T252" t="s">
        <v>44</v>
      </c>
      <c r="U252" t="s">
        <v>44</v>
      </c>
      <c r="V252">
        <v>66</v>
      </c>
      <c r="W252">
        <v>297</v>
      </c>
      <c r="X252" t="s">
        <v>44</v>
      </c>
      <c r="Y252" t="s">
        <v>44</v>
      </c>
      <c r="Z252" t="s">
        <v>44</v>
      </c>
      <c r="AA252">
        <v>1</v>
      </c>
      <c r="AB252">
        <v>0</v>
      </c>
      <c r="AC252">
        <v>0</v>
      </c>
      <c r="AD252">
        <v>0</v>
      </c>
      <c r="AE252">
        <v>83</v>
      </c>
      <c r="AF252">
        <v>6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67</v>
      </c>
      <c r="AQ252">
        <f t="shared" si="9"/>
        <v>67</v>
      </c>
      <c r="AR252" s="5">
        <f>VLOOKUP(F252,'[2]SCP_24-25'!$A:$D,4,0)</f>
        <v>67.05</v>
      </c>
      <c r="AS252" s="5">
        <f t="shared" si="7"/>
        <v>4492.3499999999995</v>
      </c>
    </row>
    <row r="253" spans="1:45" x14ac:dyDescent="0.3">
      <c r="A253" s="1">
        <v>45900.961111111108</v>
      </c>
      <c r="B253" t="s">
        <v>617</v>
      </c>
      <c r="C253" t="s">
        <v>618</v>
      </c>
      <c r="D253" t="s">
        <v>295</v>
      </c>
      <c r="F253" t="s">
        <v>1613</v>
      </c>
      <c r="G253" t="s">
        <v>296</v>
      </c>
      <c r="H253" t="s">
        <v>103</v>
      </c>
      <c r="I253" t="s">
        <v>43</v>
      </c>
      <c r="J253">
        <v>150</v>
      </c>
      <c r="K253">
        <v>19</v>
      </c>
      <c r="L253">
        <v>9.5</v>
      </c>
      <c r="M253">
        <v>11</v>
      </c>
      <c r="N253">
        <v>91245</v>
      </c>
      <c r="O253">
        <v>205</v>
      </c>
      <c r="P253">
        <v>0</v>
      </c>
      <c r="Q253">
        <v>111</v>
      </c>
      <c r="R253">
        <v>16376</v>
      </c>
      <c r="S253" t="s">
        <v>44</v>
      </c>
      <c r="T253" t="s">
        <v>44</v>
      </c>
      <c r="U253" t="s">
        <v>44</v>
      </c>
      <c r="V253">
        <v>278</v>
      </c>
      <c r="W253">
        <v>425</v>
      </c>
      <c r="X253" t="s">
        <v>44</v>
      </c>
      <c r="Y253" t="s">
        <v>44</v>
      </c>
      <c r="Z253" t="s">
        <v>44</v>
      </c>
      <c r="AA253">
        <v>2</v>
      </c>
      <c r="AB253">
        <v>0</v>
      </c>
      <c r="AC253">
        <v>0</v>
      </c>
      <c r="AD253">
        <v>0</v>
      </c>
      <c r="AE253">
        <v>41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485</v>
      </c>
      <c r="AQ253">
        <f t="shared" si="9"/>
        <v>485</v>
      </c>
      <c r="AR253" s="5">
        <f>VLOOKUP(F253,'[2]SCP_24-25'!$A:$D,4,0)</f>
        <v>45.01</v>
      </c>
      <c r="AS253" s="5">
        <f t="shared" si="7"/>
        <v>21829.85</v>
      </c>
    </row>
    <row r="254" spans="1:45" x14ac:dyDescent="0.3">
      <c r="A254" s="1">
        <v>45900.961111111108</v>
      </c>
      <c r="B254" t="s">
        <v>617</v>
      </c>
      <c r="C254" t="s">
        <v>618</v>
      </c>
      <c r="D254" t="s">
        <v>297</v>
      </c>
      <c r="F254" t="s">
        <v>1614</v>
      </c>
      <c r="G254" t="s">
        <v>298</v>
      </c>
      <c r="H254" t="s">
        <v>66</v>
      </c>
      <c r="I254" t="s">
        <v>43</v>
      </c>
      <c r="J254">
        <v>30</v>
      </c>
      <c r="K254">
        <v>19</v>
      </c>
      <c r="L254">
        <v>9.5</v>
      </c>
      <c r="M254">
        <v>11</v>
      </c>
      <c r="N254">
        <v>35099</v>
      </c>
      <c r="O254">
        <v>0</v>
      </c>
      <c r="P254">
        <v>0</v>
      </c>
      <c r="Q254">
        <v>38</v>
      </c>
      <c r="R254">
        <v>3317</v>
      </c>
      <c r="S254" t="s">
        <v>44</v>
      </c>
      <c r="T254" t="s">
        <v>44</v>
      </c>
      <c r="U254" t="s">
        <v>44</v>
      </c>
      <c r="V254">
        <v>4</v>
      </c>
      <c r="W254">
        <v>243</v>
      </c>
      <c r="X254" t="s">
        <v>44</v>
      </c>
      <c r="Y254" t="s">
        <v>44</v>
      </c>
      <c r="Z254" t="s">
        <v>44</v>
      </c>
      <c r="AA254">
        <v>0</v>
      </c>
      <c r="AB254">
        <v>0</v>
      </c>
      <c r="AC254">
        <v>0</v>
      </c>
      <c r="AD254">
        <v>0</v>
      </c>
      <c r="AE254">
        <v>20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4</v>
      </c>
      <c r="AQ254">
        <f t="shared" si="9"/>
        <v>4</v>
      </c>
      <c r="AR254" s="5">
        <f>VLOOKUP(F254,'[2]SCP_24-25'!$A:$D,4,0)</f>
        <v>31.11</v>
      </c>
      <c r="AS254" s="5">
        <f t="shared" si="7"/>
        <v>124.44</v>
      </c>
    </row>
    <row r="255" spans="1:45" x14ac:dyDescent="0.3">
      <c r="A255" s="1">
        <v>45900.961111111108</v>
      </c>
      <c r="B255" t="s">
        <v>617</v>
      </c>
      <c r="C255" t="s">
        <v>618</v>
      </c>
      <c r="D255" t="s">
        <v>311</v>
      </c>
      <c r="E255" t="s">
        <v>312</v>
      </c>
      <c r="F255" t="s">
        <v>1620</v>
      </c>
      <c r="G255" t="s">
        <v>313</v>
      </c>
      <c r="H255" t="s">
        <v>66</v>
      </c>
      <c r="I255" t="s">
        <v>43</v>
      </c>
      <c r="J255">
        <v>50</v>
      </c>
      <c r="K255">
        <v>19</v>
      </c>
      <c r="L255">
        <v>11</v>
      </c>
      <c r="M255">
        <v>9.5</v>
      </c>
      <c r="N255">
        <v>41126</v>
      </c>
      <c r="O255">
        <v>0</v>
      </c>
      <c r="P255">
        <v>0</v>
      </c>
      <c r="Q255">
        <v>104</v>
      </c>
      <c r="R255">
        <v>4634</v>
      </c>
      <c r="S255" t="s">
        <v>44</v>
      </c>
      <c r="T255" t="s">
        <v>44</v>
      </c>
      <c r="U255" t="s">
        <v>44</v>
      </c>
      <c r="V255">
        <v>61</v>
      </c>
      <c r="W255">
        <v>441</v>
      </c>
      <c r="X255" t="s">
        <v>44</v>
      </c>
      <c r="Y255" t="s">
        <v>44</v>
      </c>
      <c r="Z255" t="s">
        <v>44</v>
      </c>
      <c r="AA255">
        <v>3</v>
      </c>
      <c r="AB255">
        <v>0</v>
      </c>
      <c r="AC255">
        <v>0</v>
      </c>
      <c r="AD255">
        <v>0</v>
      </c>
      <c r="AE255">
        <v>71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64</v>
      </c>
      <c r="AQ255">
        <f t="shared" si="9"/>
        <v>64</v>
      </c>
      <c r="AR255" s="5">
        <f>VLOOKUP(F255,'[2]SCP_24-25'!$A:$D,4,0)</f>
        <v>131.68</v>
      </c>
      <c r="AS255" s="5">
        <f t="shared" si="7"/>
        <v>8427.52</v>
      </c>
    </row>
    <row r="256" spans="1:45" x14ac:dyDescent="0.3">
      <c r="A256" s="1">
        <v>45900.961111111108</v>
      </c>
      <c r="B256" t="s">
        <v>617</v>
      </c>
      <c r="C256" t="s">
        <v>618</v>
      </c>
      <c r="D256" t="s">
        <v>39</v>
      </c>
      <c r="E256" t="s">
        <v>40</v>
      </c>
      <c r="F256" t="s">
        <v>1513</v>
      </c>
      <c r="G256" t="s">
        <v>41</v>
      </c>
      <c r="H256" t="s">
        <v>42</v>
      </c>
      <c r="I256" t="s">
        <v>43</v>
      </c>
      <c r="J256">
        <v>180</v>
      </c>
      <c r="K256">
        <v>19</v>
      </c>
      <c r="L256">
        <v>9.5</v>
      </c>
      <c r="M256">
        <v>11</v>
      </c>
      <c r="N256">
        <v>66577</v>
      </c>
      <c r="O256">
        <v>8</v>
      </c>
      <c r="P256">
        <v>0</v>
      </c>
      <c r="Q256">
        <v>638</v>
      </c>
      <c r="R256">
        <v>11042</v>
      </c>
      <c r="S256" t="s">
        <v>44</v>
      </c>
      <c r="T256" t="s">
        <v>44</v>
      </c>
      <c r="U256" t="s">
        <v>44</v>
      </c>
      <c r="V256">
        <v>52</v>
      </c>
      <c r="W256">
        <v>1</v>
      </c>
      <c r="X256" t="s">
        <v>44</v>
      </c>
      <c r="Y256">
        <v>52</v>
      </c>
      <c r="Z256" t="s">
        <v>44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3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62</v>
      </c>
      <c r="AQ256">
        <f t="shared" si="9"/>
        <v>62</v>
      </c>
      <c r="AR256" s="5">
        <f>VLOOKUP(F256,'[2]SCP_24-25'!$A:$D,4,0)</f>
        <v>61.93</v>
      </c>
      <c r="AS256" s="5">
        <f t="shared" si="7"/>
        <v>3839.66</v>
      </c>
    </row>
    <row r="257" spans="1:45" x14ac:dyDescent="0.3">
      <c r="A257" s="1">
        <v>45900.961111111108</v>
      </c>
      <c r="B257" t="s">
        <v>617</v>
      </c>
      <c r="C257" t="s">
        <v>618</v>
      </c>
      <c r="D257" t="s">
        <v>45</v>
      </c>
      <c r="E257" t="s">
        <v>46</v>
      </c>
      <c r="F257" t="s">
        <v>1514</v>
      </c>
      <c r="G257" t="s">
        <v>47</v>
      </c>
      <c r="H257" t="s">
        <v>42</v>
      </c>
      <c r="I257" t="s">
        <v>43</v>
      </c>
      <c r="J257">
        <v>180</v>
      </c>
      <c r="K257">
        <v>19</v>
      </c>
      <c r="L257">
        <v>9.5</v>
      </c>
      <c r="M257">
        <v>11</v>
      </c>
      <c r="N257">
        <v>52776</v>
      </c>
      <c r="O257">
        <v>1</v>
      </c>
      <c r="P257">
        <v>0</v>
      </c>
      <c r="Q257">
        <v>416</v>
      </c>
      <c r="R257">
        <v>9920</v>
      </c>
      <c r="S257" t="s">
        <v>44</v>
      </c>
      <c r="T257" t="s">
        <v>44</v>
      </c>
      <c r="U257" t="s">
        <v>44</v>
      </c>
      <c r="V257">
        <v>12</v>
      </c>
      <c r="W257">
        <v>140</v>
      </c>
      <c r="X257" t="s">
        <v>44</v>
      </c>
      <c r="Y257">
        <v>12</v>
      </c>
      <c r="Z257" t="s">
        <v>44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14</v>
      </c>
      <c r="AQ257">
        <f t="shared" si="9"/>
        <v>14</v>
      </c>
      <c r="AR257" s="5">
        <f>VLOOKUP(F257,'[2]SCP_24-25'!$A:$D,4,0)</f>
        <v>61.45</v>
      </c>
      <c r="AS257" s="5">
        <f t="shared" si="7"/>
        <v>860.30000000000007</v>
      </c>
    </row>
    <row r="258" spans="1:45" x14ac:dyDescent="0.3">
      <c r="A258" s="1">
        <v>45900.961111111108</v>
      </c>
      <c r="B258" t="s">
        <v>617</v>
      </c>
      <c r="C258" t="s">
        <v>618</v>
      </c>
      <c r="D258" t="s">
        <v>57</v>
      </c>
      <c r="E258" t="s">
        <v>58</v>
      </c>
      <c r="F258" t="s">
        <v>1518</v>
      </c>
      <c r="G258" t="s">
        <v>59</v>
      </c>
      <c r="H258" t="s">
        <v>42</v>
      </c>
      <c r="I258" t="s">
        <v>43</v>
      </c>
      <c r="J258">
        <v>200</v>
      </c>
      <c r="K258">
        <v>19</v>
      </c>
      <c r="L258">
        <v>9.5</v>
      </c>
      <c r="M258">
        <v>11</v>
      </c>
      <c r="N258">
        <v>62519</v>
      </c>
      <c r="O258">
        <v>0</v>
      </c>
      <c r="P258">
        <v>0</v>
      </c>
      <c r="Q258">
        <v>184</v>
      </c>
      <c r="R258">
        <v>9474</v>
      </c>
      <c r="S258" t="s">
        <v>44</v>
      </c>
      <c r="T258" t="s">
        <v>44</v>
      </c>
      <c r="U258" t="s">
        <v>44</v>
      </c>
      <c r="V258">
        <v>292</v>
      </c>
      <c r="W258">
        <v>283</v>
      </c>
      <c r="X258" t="s">
        <v>44</v>
      </c>
      <c r="Y258" t="s">
        <v>44</v>
      </c>
      <c r="Z258" t="s">
        <v>44</v>
      </c>
      <c r="AA258">
        <v>11</v>
      </c>
      <c r="AB258">
        <v>0</v>
      </c>
      <c r="AC258">
        <v>0</v>
      </c>
      <c r="AD258">
        <v>0</v>
      </c>
      <c r="AE258">
        <v>3</v>
      </c>
      <c r="AF258">
        <v>14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303</v>
      </c>
      <c r="AQ258">
        <f t="shared" si="9"/>
        <v>303</v>
      </c>
      <c r="AR258" s="5">
        <f>VLOOKUP(F258,'[2]SCP_24-25'!$A:$D,4,0)</f>
        <v>106.44999999999999</v>
      </c>
      <c r="AS258" s="5">
        <f t="shared" si="7"/>
        <v>32254.349999999995</v>
      </c>
    </row>
    <row r="259" spans="1:45" x14ac:dyDescent="0.3">
      <c r="A259" s="1">
        <v>45900.961111111108</v>
      </c>
      <c r="B259" t="s">
        <v>617</v>
      </c>
      <c r="C259" t="s">
        <v>618</v>
      </c>
      <c r="D259" t="s">
        <v>60</v>
      </c>
      <c r="E259" t="s">
        <v>61</v>
      </c>
      <c r="F259" t="s">
        <v>1519</v>
      </c>
      <c r="G259" t="s">
        <v>62</v>
      </c>
      <c r="H259" t="s">
        <v>42</v>
      </c>
      <c r="I259" t="s">
        <v>43</v>
      </c>
      <c r="J259">
        <v>200</v>
      </c>
      <c r="K259">
        <v>19</v>
      </c>
      <c r="L259">
        <v>9.5</v>
      </c>
      <c r="M259">
        <v>11</v>
      </c>
      <c r="N259">
        <v>313861</v>
      </c>
      <c r="O259">
        <v>29</v>
      </c>
      <c r="P259">
        <v>0</v>
      </c>
      <c r="Q259">
        <v>431</v>
      </c>
      <c r="R259">
        <v>134666</v>
      </c>
      <c r="S259" t="s">
        <v>44</v>
      </c>
      <c r="T259" t="s">
        <v>44</v>
      </c>
      <c r="U259" t="s">
        <v>44</v>
      </c>
      <c r="V259">
        <v>36</v>
      </c>
      <c r="W259">
        <v>1955</v>
      </c>
      <c r="X259" t="s">
        <v>44</v>
      </c>
      <c r="Y259">
        <v>33</v>
      </c>
      <c r="Z259" t="s">
        <v>44</v>
      </c>
      <c r="AA259">
        <v>14</v>
      </c>
      <c r="AB259">
        <v>0</v>
      </c>
      <c r="AC259">
        <v>0</v>
      </c>
      <c r="AD259">
        <v>0</v>
      </c>
      <c r="AE259">
        <v>0</v>
      </c>
      <c r="AF259">
        <v>10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79</v>
      </c>
      <c r="AQ259">
        <f t="shared" si="9"/>
        <v>79</v>
      </c>
      <c r="AR259" s="5">
        <f>VLOOKUP(F259,'[2]SCP_24-25'!$A:$D,4,0)</f>
        <v>152.38000000000002</v>
      </c>
      <c r="AS259" s="5">
        <f t="shared" ref="AS259:AS322" si="10">AQ259*AR259</f>
        <v>12038.020000000002</v>
      </c>
    </row>
    <row r="260" spans="1:45" x14ac:dyDescent="0.3">
      <c r="A260" s="1">
        <v>45900.961111111108</v>
      </c>
      <c r="B260" t="s">
        <v>617</v>
      </c>
      <c r="C260" t="s">
        <v>618</v>
      </c>
      <c r="D260" t="s">
        <v>63</v>
      </c>
      <c r="E260" t="s">
        <v>64</v>
      </c>
      <c r="F260" t="s">
        <v>1520</v>
      </c>
      <c r="G260" t="s">
        <v>65</v>
      </c>
      <c r="H260" t="s">
        <v>66</v>
      </c>
      <c r="I260" t="s">
        <v>43</v>
      </c>
      <c r="J260">
        <v>150</v>
      </c>
      <c r="K260">
        <v>19</v>
      </c>
      <c r="L260">
        <v>9.5</v>
      </c>
      <c r="M260">
        <v>11</v>
      </c>
      <c r="N260">
        <v>25878</v>
      </c>
      <c r="O260">
        <v>0</v>
      </c>
      <c r="P260">
        <v>0</v>
      </c>
      <c r="Q260">
        <v>162</v>
      </c>
      <c r="R260">
        <v>1427</v>
      </c>
      <c r="S260" t="s">
        <v>44</v>
      </c>
      <c r="T260" t="s">
        <v>44</v>
      </c>
      <c r="U260" t="s">
        <v>44</v>
      </c>
      <c r="V260">
        <v>1</v>
      </c>
      <c r="W260">
        <v>912</v>
      </c>
      <c r="X260" t="s">
        <v>44</v>
      </c>
      <c r="Y260" t="s">
        <v>44</v>
      </c>
      <c r="Z260" t="s">
        <v>44</v>
      </c>
      <c r="AA260">
        <v>0</v>
      </c>
      <c r="AB260">
        <v>0</v>
      </c>
      <c r="AC260">
        <v>0</v>
      </c>
      <c r="AD260">
        <v>0</v>
      </c>
      <c r="AE260">
        <v>33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f t="shared" si="9"/>
        <v>1</v>
      </c>
      <c r="AR260" s="5">
        <f>VLOOKUP(F260,'[2]SCP_24-25'!$A:$D,4,0)</f>
        <v>89.66</v>
      </c>
      <c r="AS260" s="5">
        <f t="shared" si="10"/>
        <v>89.66</v>
      </c>
    </row>
    <row r="261" spans="1:45" x14ac:dyDescent="0.3">
      <c r="A261" s="1">
        <v>45900.961111111108</v>
      </c>
      <c r="B261" t="s">
        <v>617</v>
      </c>
      <c r="C261" t="s">
        <v>618</v>
      </c>
      <c r="D261" t="s">
        <v>73</v>
      </c>
      <c r="E261" t="s">
        <v>74</v>
      </c>
      <c r="F261" t="s">
        <v>1523</v>
      </c>
      <c r="G261" t="s">
        <v>75</v>
      </c>
      <c r="H261" t="s">
        <v>66</v>
      </c>
      <c r="I261" t="s">
        <v>43</v>
      </c>
      <c r="J261">
        <v>50</v>
      </c>
      <c r="K261">
        <v>19</v>
      </c>
      <c r="L261">
        <v>9.5</v>
      </c>
      <c r="M261">
        <v>11</v>
      </c>
      <c r="N261">
        <v>26088</v>
      </c>
      <c r="O261">
        <v>38</v>
      </c>
      <c r="P261">
        <v>0</v>
      </c>
      <c r="Q261">
        <v>57</v>
      </c>
      <c r="R261">
        <v>2072</v>
      </c>
      <c r="S261" t="s">
        <v>44</v>
      </c>
      <c r="T261" t="s">
        <v>44</v>
      </c>
      <c r="U261" t="s">
        <v>44</v>
      </c>
      <c r="V261">
        <v>68</v>
      </c>
      <c r="W261">
        <v>374</v>
      </c>
      <c r="X261" t="s">
        <v>44</v>
      </c>
      <c r="Y261">
        <v>21</v>
      </c>
      <c r="Z261" t="s">
        <v>44</v>
      </c>
      <c r="AA261">
        <v>2</v>
      </c>
      <c r="AB261">
        <v>0</v>
      </c>
      <c r="AC261">
        <v>0</v>
      </c>
      <c r="AD261">
        <v>0</v>
      </c>
      <c r="AE261">
        <v>135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108</v>
      </c>
      <c r="AQ261">
        <f t="shared" si="9"/>
        <v>108</v>
      </c>
      <c r="AR261" s="5">
        <f>VLOOKUP(F261,'[2]SCP_24-25'!$A:$D,4,0)</f>
        <v>36.78</v>
      </c>
      <c r="AS261" s="5">
        <f t="shared" si="10"/>
        <v>3972.2400000000002</v>
      </c>
    </row>
    <row r="262" spans="1:45" x14ac:dyDescent="0.3">
      <c r="A262" s="1">
        <v>45900.961111111108</v>
      </c>
      <c r="B262" t="s">
        <v>617</v>
      </c>
      <c r="C262" t="s">
        <v>618</v>
      </c>
      <c r="D262" t="s">
        <v>76</v>
      </c>
      <c r="E262" t="s">
        <v>77</v>
      </c>
      <c r="F262" t="s">
        <v>1524</v>
      </c>
      <c r="G262" t="s">
        <v>78</v>
      </c>
      <c r="H262" t="s">
        <v>66</v>
      </c>
      <c r="I262" t="s">
        <v>43</v>
      </c>
      <c r="J262">
        <v>50</v>
      </c>
      <c r="K262">
        <v>19</v>
      </c>
      <c r="L262">
        <v>9.5</v>
      </c>
      <c r="M262">
        <v>11</v>
      </c>
      <c r="N262">
        <v>47326</v>
      </c>
      <c r="O262">
        <v>0</v>
      </c>
      <c r="P262">
        <v>0</v>
      </c>
      <c r="Q262">
        <v>19</v>
      </c>
      <c r="R262">
        <v>1822</v>
      </c>
      <c r="S262" t="s">
        <v>44</v>
      </c>
      <c r="T262" t="s">
        <v>44</v>
      </c>
      <c r="U262" t="s">
        <v>44</v>
      </c>
      <c r="V262">
        <v>20</v>
      </c>
      <c r="W262">
        <v>69</v>
      </c>
      <c r="X262" t="s">
        <v>44</v>
      </c>
      <c r="Y262">
        <v>4</v>
      </c>
      <c r="Z262" t="s">
        <v>44</v>
      </c>
      <c r="AA262">
        <v>12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32</v>
      </c>
      <c r="AQ262">
        <f t="shared" si="9"/>
        <v>32</v>
      </c>
      <c r="AR262" s="5">
        <f>VLOOKUP(F262,'[2]SCP_24-25'!$A:$D,4,0)</f>
        <v>28.3</v>
      </c>
      <c r="AS262" s="5">
        <f t="shared" si="10"/>
        <v>905.6</v>
      </c>
    </row>
    <row r="263" spans="1:45" x14ac:dyDescent="0.3">
      <c r="A263" s="1">
        <v>45900.961111111108</v>
      </c>
      <c r="B263" t="s">
        <v>617</v>
      </c>
      <c r="C263" t="s">
        <v>618</v>
      </c>
      <c r="D263" t="s">
        <v>82</v>
      </c>
      <c r="E263" t="s">
        <v>83</v>
      </c>
      <c r="F263" t="s">
        <v>1526</v>
      </c>
      <c r="G263" t="s">
        <v>84</v>
      </c>
      <c r="H263" t="s">
        <v>66</v>
      </c>
      <c r="I263" t="s">
        <v>43</v>
      </c>
      <c r="J263">
        <v>150</v>
      </c>
      <c r="K263">
        <v>19</v>
      </c>
      <c r="L263">
        <v>9.5</v>
      </c>
      <c r="M263">
        <v>11</v>
      </c>
      <c r="N263">
        <v>49289</v>
      </c>
      <c r="O263">
        <v>0</v>
      </c>
      <c r="P263">
        <v>0</v>
      </c>
      <c r="Q263">
        <v>217</v>
      </c>
      <c r="R263">
        <v>10932</v>
      </c>
      <c r="S263" t="s">
        <v>44</v>
      </c>
      <c r="T263" t="s">
        <v>44</v>
      </c>
      <c r="U263" t="s">
        <v>44</v>
      </c>
      <c r="V263">
        <v>252</v>
      </c>
      <c r="W263">
        <v>366</v>
      </c>
      <c r="X263" t="s">
        <v>44</v>
      </c>
      <c r="Y263" t="s">
        <v>44</v>
      </c>
      <c r="Z263" t="s">
        <v>44</v>
      </c>
      <c r="AA263">
        <v>1</v>
      </c>
      <c r="AB263">
        <v>0</v>
      </c>
      <c r="AC263">
        <v>0</v>
      </c>
      <c r="AD263">
        <v>0</v>
      </c>
      <c r="AE263">
        <v>102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253</v>
      </c>
      <c r="AQ263">
        <f t="shared" si="9"/>
        <v>253</v>
      </c>
      <c r="AR263" s="5">
        <f>VLOOKUP(F263,'[2]SCP_24-25'!$A:$D,4,0)</f>
        <v>50.08</v>
      </c>
      <c r="AS263" s="5">
        <f t="shared" si="10"/>
        <v>12670.24</v>
      </c>
    </row>
    <row r="264" spans="1:45" x14ac:dyDescent="0.3">
      <c r="A264" s="1">
        <v>45900.961111111108</v>
      </c>
      <c r="B264" t="s">
        <v>617</v>
      </c>
      <c r="C264" t="s">
        <v>618</v>
      </c>
      <c r="D264" t="s">
        <v>94</v>
      </c>
      <c r="E264" t="s">
        <v>95</v>
      </c>
      <c r="F264" t="s">
        <v>1530</v>
      </c>
      <c r="G264" t="s">
        <v>96</v>
      </c>
      <c r="H264" t="s">
        <v>66</v>
      </c>
      <c r="I264" t="s">
        <v>43</v>
      </c>
      <c r="J264">
        <v>100</v>
      </c>
      <c r="K264">
        <v>19</v>
      </c>
      <c r="L264">
        <v>9.5</v>
      </c>
      <c r="M264">
        <v>11</v>
      </c>
      <c r="N264">
        <v>23072</v>
      </c>
      <c r="O264">
        <v>0</v>
      </c>
      <c r="P264">
        <v>0</v>
      </c>
      <c r="Q264">
        <v>79</v>
      </c>
      <c r="R264">
        <v>1454</v>
      </c>
      <c r="S264" t="s">
        <v>44</v>
      </c>
      <c r="T264" t="s">
        <v>44</v>
      </c>
      <c r="U264" t="s">
        <v>44</v>
      </c>
      <c r="V264">
        <v>104</v>
      </c>
      <c r="W264">
        <v>333</v>
      </c>
      <c r="X264" t="s">
        <v>44</v>
      </c>
      <c r="Y264" t="s">
        <v>44</v>
      </c>
      <c r="Z264" t="s">
        <v>44</v>
      </c>
      <c r="AA264">
        <v>0</v>
      </c>
      <c r="AB264">
        <v>0</v>
      </c>
      <c r="AC264">
        <v>0</v>
      </c>
      <c r="AD264">
        <v>0</v>
      </c>
      <c r="AE264">
        <v>54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104</v>
      </c>
      <c r="AQ264">
        <f t="shared" si="9"/>
        <v>104</v>
      </c>
      <c r="AR264" s="5">
        <f>VLOOKUP(F264,'[2]SCP_24-25'!$A:$D,4,0)</f>
        <v>70.400000000000006</v>
      </c>
      <c r="AS264" s="5">
        <f t="shared" si="10"/>
        <v>7321.6</v>
      </c>
    </row>
    <row r="265" spans="1:45" x14ac:dyDescent="0.3">
      <c r="A265" s="1">
        <v>45900.961111111108</v>
      </c>
      <c r="B265" t="s">
        <v>617</v>
      </c>
      <c r="C265" t="s">
        <v>618</v>
      </c>
      <c r="D265" t="s">
        <v>100</v>
      </c>
      <c r="E265" t="s">
        <v>101</v>
      </c>
      <c r="F265" t="s">
        <v>1532</v>
      </c>
      <c r="G265" t="s">
        <v>102</v>
      </c>
      <c r="H265" t="s">
        <v>103</v>
      </c>
      <c r="I265" t="s">
        <v>43</v>
      </c>
      <c r="J265">
        <v>250</v>
      </c>
      <c r="K265">
        <v>19</v>
      </c>
      <c r="L265">
        <v>10</v>
      </c>
      <c r="M265">
        <v>11</v>
      </c>
      <c r="N265">
        <v>618833</v>
      </c>
      <c r="O265">
        <v>698</v>
      </c>
      <c r="P265">
        <v>0</v>
      </c>
      <c r="Q265">
        <v>857</v>
      </c>
      <c r="R265">
        <v>21944</v>
      </c>
      <c r="S265" t="s">
        <v>44</v>
      </c>
      <c r="T265">
        <v>29261</v>
      </c>
      <c r="U265" t="s">
        <v>44</v>
      </c>
      <c r="V265">
        <v>1</v>
      </c>
      <c r="W265">
        <v>123</v>
      </c>
      <c r="X265" t="s">
        <v>44</v>
      </c>
      <c r="Y265" t="s">
        <v>44</v>
      </c>
      <c r="Z265" t="s">
        <v>44</v>
      </c>
      <c r="AA265">
        <v>13</v>
      </c>
      <c r="AB265">
        <v>0</v>
      </c>
      <c r="AC265">
        <v>0</v>
      </c>
      <c r="AD265">
        <v>0</v>
      </c>
      <c r="AE265">
        <v>8</v>
      </c>
      <c r="AF265">
        <v>86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712</v>
      </c>
      <c r="AQ265">
        <f t="shared" si="9"/>
        <v>712</v>
      </c>
      <c r="AR265" s="5">
        <f>VLOOKUP(F265,'[2]SCP_24-25'!$A:$D,4,0)</f>
        <v>50.854210526315775</v>
      </c>
      <c r="AS265" s="5">
        <f t="shared" si="10"/>
        <v>36208.197894736833</v>
      </c>
    </row>
    <row r="266" spans="1:45" x14ac:dyDescent="0.3">
      <c r="A266" s="1">
        <v>45900.961111111108</v>
      </c>
      <c r="B266" t="s">
        <v>617</v>
      </c>
      <c r="C266" t="s">
        <v>618</v>
      </c>
      <c r="D266" t="s">
        <v>104</v>
      </c>
      <c r="E266" t="s">
        <v>105</v>
      </c>
      <c r="F266" t="s">
        <v>1533</v>
      </c>
      <c r="G266" t="s">
        <v>106</v>
      </c>
      <c r="H266" t="s">
        <v>103</v>
      </c>
      <c r="I266" t="s">
        <v>43</v>
      </c>
      <c r="J266">
        <v>250</v>
      </c>
      <c r="K266">
        <v>19</v>
      </c>
      <c r="L266">
        <v>10</v>
      </c>
      <c r="M266">
        <v>11</v>
      </c>
      <c r="N266">
        <v>258548</v>
      </c>
      <c r="O266">
        <v>626</v>
      </c>
      <c r="P266">
        <v>0</v>
      </c>
      <c r="Q266">
        <v>470</v>
      </c>
      <c r="R266">
        <v>40036</v>
      </c>
      <c r="S266" t="s">
        <v>44</v>
      </c>
      <c r="T266">
        <v>2304</v>
      </c>
      <c r="U266" t="s">
        <v>44</v>
      </c>
      <c r="V266">
        <v>10</v>
      </c>
      <c r="W266">
        <v>1690</v>
      </c>
      <c r="X266" t="s">
        <v>44</v>
      </c>
      <c r="Y266" t="s">
        <v>44</v>
      </c>
      <c r="Z266" t="s">
        <v>44</v>
      </c>
      <c r="AA266">
        <v>30</v>
      </c>
      <c r="AB266">
        <v>0</v>
      </c>
      <c r="AC266">
        <v>0</v>
      </c>
      <c r="AD266">
        <v>0</v>
      </c>
      <c r="AE266">
        <v>25</v>
      </c>
      <c r="AF266">
        <v>46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666</v>
      </c>
      <c r="AQ266">
        <f t="shared" si="9"/>
        <v>666</v>
      </c>
      <c r="AR266" s="5">
        <f>VLOOKUP(F266,'[2]SCP_24-25'!$A:$D,4,0)</f>
        <v>49.06</v>
      </c>
      <c r="AS266" s="5">
        <f t="shared" si="10"/>
        <v>32673.960000000003</v>
      </c>
    </row>
    <row r="267" spans="1:45" x14ac:dyDescent="0.3">
      <c r="A267" s="1">
        <v>45900.961111111108</v>
      </c>
      <c r="B267" t="s">
        <v>617</v>
      </c>
      <c r="C267" t="s">
        <v>618</v>
      </c>
      <c r="D267" t="s">
        <v>895</v>
      </c>
      <c r="E267" t="s">
        <v>332</v>
      </c>
      <c r="F267" t="s">
        <v>1898</v>
      </c>
      <c r="G267" t="s">
        <v>896</v>
      </c>
      <c r="H267" t="s">
        <v>130</v>
      </c>
      <c r="I267" t="s">
        <v>43</v>
      </c>
      <c r="J267">
        <v>12.92</v>
      </c>
      <c r="K267">
        <v>19</v>
      </c>
      <c r="L267">
        <v>10</v>
      </c>
      <c r="M267">
        <v>11</v>
      </c>
      <c r="N267">
        <v>32348</v>
      </c>
      <c r="O267">
        <v>1</v>
      </c>
      <c r="P267">
        <v>0</v>
      </c>
      <c r="Q267">
        <v>79</v>
      </c>
      <c r="R267">
        <v>5410</v>
      </c>
      <c r="S267" t="s">
        <v>44</v>
      </c>
      <c r="T267" t="s">
        <v>44</v>
      </c>
      <c r="U267" t="s">
        <v>44</v>
      </c>
      <c r="V267">
        <v>252</v>
      </c>
      <c r="W267">
        <v>1078</v>
      </c>
      <c r="X267" t="s">
        <v>44</v>
      </c>
      <c r="Y267" t="s">
        <v>44</v>
      </c>
      <c r="Z267" t="s">
        <v>44</v>
      </c>
      <c r="AA267">
        <v>2</v>
      </c>
      <c r="AB267">
        <v>0</v>
      </c>
      <c r="AC267">
        <v>0</v>
      </c>
      <c r="AD267">
        <v>0</v>
      </c>
      <c r="AE267">
        <v>25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255</v>
      </c>
      <c r="AQ267">
        <f t="shared" si="9"/>
        <v>255</v>
      </c>
      <c r="AR267" s="5">
        <f>VLOOKUP(F267,'[2]SCP_24-25'!$A:$D,4,0)</f>
        <v>50.4</v>
      </c>
      <c r="AS267" s="5">
        <f t="shared" si="10"/>
        <v>12852</v>
      </c>
    </row>
    <row r="268" spans="1:45" x14ac:dyDescent="0.3">
      <c r="A268" s="1">
        <v>45900.961111111108</v>
      </c>
      <c r="B268" t="s">
        <v>617</v>
      </c>
      <c r="C268" t="s">
        <v>618</v>
      </c>
      <c r="D268" t="s">
        <v>331</v>
      </c>
      <c r="E268" t="s">
        <v>332</v>
      </c>
      <c r="F268" t="s">
        <v>1627</v>
      </c>
      <c r="G268" t="s">
        <v>333</v>
      </c>
      <c r="H268" t="s">
        <v>130</v>
      </c>
      <c r="I268" t="s">
        <v>43</v>
      </c>
      <c r="J268">
        <v>12</v>
      </c>
      <c r="K268">
        <v>19</v>
      </c>
      <c r="L268">
        <v>10</v>
      </c>
      <c r="M268">
        <v>11</v>
      </c>
      <c r="N268">
        <v>38841</v>
      </c>
      <c r="O268">
        <v>9</v>
      </c>
      <c r="P268">
        <v>0</v>
      </c>
      <c r="Q268">
        <v>54</v>
      </c>
      <c r="R268">
        <v>8371</v>
      </c>
      <c r="S268" t="s">
        <v>44</v>
      </c>
      <c r="T268" t="s">
        <v>44</v>
      </c>
      <c r="U268" t="s">
        <v>44</v>
      </c>
      <c r="V268">
        <v>183</v>
      </c>
      <c r="W268">
        <v>842</v>
      </c>
      <c r="X268" t="s">
        <v>44</v>
      </c>
      <c r="Y268">
        <v>1</v>
      </c>
      <c r="Z268" t="s">
        <v>44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192</v>
      </c>
      <c r="AQ268">
        <f t="shared" si="9"/>
        <v>192</v>
      </c>
      <c r="AR268" s="5">
        <f>VLOOKUP(F268,'[2]SCP_24-25'!$A:$D,4,0)</f>
        <v>63.22</v>
      </c>
      <c r="AS268" s="5">
        <f t="shared" si="10"/>
        <v>12138.24</v>
      </c>
    </row>
    <row r="269" spans="1:45" x14ac:dyDescent="0.3">
      <c r="A269" s="1">
        <v>45900.961111111108</v>
      </c>
      <c r="B269" t="s">
        <v>617</v>
      </c>
      <c r="C269" t="s">
        <v>618</v>
      </c>
      <c r="D269" t="s">
        <v>358</v>
      </c>
      <c r="E269" t="s">
        <v>356</v>
      </c>
      <c r="F269" t="s">
        <v>1638</v>
      </c>
      <c r="G269" t="s">
        <v>359</v>
      </c>
      <c r="H269" t="s">
        <v>130</v>
      </c>
      <c r="I269" t="s">
        <v>43</v>
      </c>
      <c r="J269">
        <v>81</v>
      </c>
      <c r="K269">
        <v>19</v>
      </c>
      <c r="L269">
        <v>10</v>
      </c>
      <c r="M269">
        <v>11</v>
      </c>
      <c r="N269">
        <v>42641</v>
      </c>
      <c r="O269">
        <v>20</v>
      </c>
      <c r="P269">
        <v>0</v>
      </c>
      <c r="Q269">
        <v>135</v>
      </c>
      <c r="R269">
        <v>4813</v>
      </c>
      <c r="S269" t="s">
        <v>44</v>
      </c>
      <c r="T269" t="s">
        <v>44</v>
      </c>
      <c r="U269" t="s">
        <v>44</v>
      </c>
      <c r="V269">
        <v>0</v>
      </c>
      <c r="W269">
        <v>47</v>
      </c>
      <c r="X269" t="s">
        <v>44</v>
      </c>
      <c r="Y269" t="s">
        <v>44</v>
      </c>
      <c r="Z269" t="s">
        <v>44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20</v>
      </c>
      <c r="AQ269">
        <f t="shared" si="9"/>
        <v>20</v>
      </c>
      <c r="AR269" s="5">
        <f>VLOOKUP(F269,'[2]SCP_24-25'!$A:$D,4,0)</f>
        <v>83.14</v>
      </c>
      <c r="AS269" s="5">
        <f t="shared" si="10"/>
        <v>1662.8</v>
      </c>
    </row>
    <row r="270" spans="1:45" x14ac:dyDescent="0.3">
      <c r="A270" s="1">
        <v>45900.961111111108</v>
      </c>
      <c r="B270" t="s">
        <v>617</v>
      </c>
      <c r="C270" t="s">
        <v>618</v>
      </c>
      <c r="D270" t="s">
        <v>360</v>
      </c>
      <c r="E270" t="s">
        <v>356</v>
      </c>
      <c r="F270" t="s">
        <v>1639</v>
      </c>
      <c r="G270" t="s">
        <v>361</v>
      </c>
      <c r="H270" t="s">
        <v>130</v>
      </c>
      <c r="I270" t="s">
        <v>43</v>
      </c>
      <c r="J270">
        <v>81.42</v>
      </c>
      <c r="K270">
        <v>19</v>
      </c>
      <c r="L270">
        <v>10</v>
      </c>
      <c r="M270">
        <v>11</v>
      </c>
      <c r="N270">
        <v>48946</v>
      </c>
      <c r="O270">
        <v>38</v>
      </c>
      <c r="P270">
        <v>0</v>
      </c>
      <c r="Q270">
        <v>104</v>
      </c>
      <c r="R270">
        <v>5601</v>
      </c>
      <c r="S270" t="s">
        <v>44</v>
      </c>
      <c r="T270" t="s">
        <v>44</v>
      </c>
      <c r="U270" t="s">
        <v>44</v>
      </c>
      <c r="V270">
        <v>50</v>
      </c>
      <c r="W270">
        <v>533</v>
      </c>
      <c r="X270" t="s">
        <v>44</v>
      </c>
      <c r="Y270">
        <v>50</v>
      </c>
      <c r="Z270" t="s">
        <v>44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3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90</v>
      </c>
      <c r="AQ270">
        <f t="shared" si="9"/>
        <v>90</v>
      </c>
      <c r="AR270" s="5">
        <f>VLOOKUP(F270,'[2]SCP_24-25'!$A:$D,4,0)</f>
        <v>83.14</v>
      </c>
      <c r="AS270" s="5">
        <f t="shared" si="10"/>
        <v>7482.6</v>
      </c>
    </row>
    <row r="271" spans="1:45" x14ac:dyDescent="0.3">
      <c r="A271" s="1">
        <v>45900.961111111108</v>
      </c>
      <c r="B271" t="s">
        <v>617</v>
      </c>
      <c r="C271" t="s">
        <v>618</v>
      </c>
      <c r="D271" t="s">
        <v>362</v>
      </c>
      <c r="E271" t="s">
        <v>356</v>
      </c>
      <c r="F271" t="s">
        <v>1640</v>
      </c>
      <c r="G271" t="s">
        <v>363</v>
      </c>
      <c r="H271" t="s">
        <v>130</v>
      </c>
      <c r="I271" t="s">
        <v>43</v>
      </c>
      <c r="J271">
        <v>81.42</v>
      </c>
      <c r="K271">
        <v>19</v>
      </c>
      <c r="L271">
        <v>10</v>
      </c>
      <c r="M271">
        <v>11</v>
      </c>
      <c r="N271">
        <v>33247</v>
      </c>
      <c r="O271">
        <v>79</v>
      </c>
      <c r="P271">
        <v>0</v>
      </c>
      <c r="Q271">
        <v>161</v>
      </c>
      <c r="R271">
        <v>5897</v>
      </c>
      <c r="S271" t="s">
        <v>44</v>
      </c>
      <c r="T271" t="s">
        <v>44</v>
      </c>
      <c r="U271" t="s">
        <v>44</v>
      </c>
      <c r="V271">
        <v>67</v>
      </c>
      <c r="W271">
        <v>919</v>
      </c>
      <c r="X271" t="s">
        <v>44</v>
      </c>
      <c r="Y271">
        <v>67</v>
      </c>
      <c r="Z271" t="s">
        <v>44</v>
      </c>
      <c r="AA271">
        <v>2</v>
      </c>
      <c r="AB271">
        <v>0</v>
      </c>
      <c r="AC271">
        <v>0</v>
      </c>
      <c r="AD271">
        <v>0</v>
      </c>
      <c r="AE271">
        <v>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148</v>
      </c>
      <c r="AQ271">
        <f t="shared" si="9"/>
        <v>148</v>
      </c>
      <c r="AR271" s="5">
        <f>VLOOKUP(F271,'[2]SCP_24-25'!$A:$D,4,0)</f>
        <v>83.14</v>
      </c>
      <c r="AS271" s="5">
        <f t="shared" si="10"/>
        <v>12304.72</v>
      </c>
    </row>
    <row r="272" spans="1:45" x14ac:dyDescent="0.3">
      <c r="A272" s="1">
        <v>45900.961111111108</v>
      </c>
      <c r="B272" t="s">
        <v>617</v>
      </c>
      <c r="C272" t="s">
        <v>618</v>
      </c>
      <c r="D272" t="s">
        <v>378</v>
      </c>
      <c r="E272" t="s">
        <v>368</v>
      </c>
      <c r="F272" t="s">
        <v>1647</v>
      </c>
      <c r="G272" t="s">
        <v>379</v>
      </c>
      <c r="H272" t="s">
        <v>130</v>
      </c>
      <c r="I272" t="s">
        <v>43</v>
      </c>
      <c r="J272">
        <v>24</v>
      </c>
      <c r="K272">
        <v>19</v>
      </c>
      <c r="L272">
        <v>10</v>
      </c>
      <c r="M272">
        <v>11</v>
      </c>
      <c r="N272">
        <v>49192</v>
      </c>
      <c r="O272">
        <v>75</v>
      </c>
      <c r="P272">
        <v>0</v>
      </c>
      <c r="Q272">
        <v>39</v>
      </c>
      <c r="R272">
        <v>4003</v>
      </c>
      <c r="S272" t="s">
        <v>44</v>
      </c>
      <c r="T272">
        <v>6</v>
      </c>
      <c r="U272" t="s">
        <v>44</v>
      </c>
      <c r="V272">
        <v>256</v>
      </c>
      <c r="W272">
        <v>819</v>
      </c>
      <c r="X272" t="s">
        <v>44</v>
      </c>
      <c r="Y272" t="s">
        <v>44</v>
      </c>
      <c r="Z272" t="s">
        <v>44</v>
      </c>
      <c r="AA272">
        <v>2</v>
      </c>
      <c r="AB272">
        <v>0</v>
      </c>
      <c r="AC272">
        <v>0</v>
      </c>
      <c r="AD272">
        <v>0</v>
      </c>
      <c r="AE272">
        <v>47</v>
      </c>
      <c r="AF272">
        <v>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333</v>
      </c>
      <c r="AQ272">
        <f t="shared" si="9"/>
        <v>333</v>
      </c>
      <c r="AR272" s="5">
        <f>VLOOKUP(F272,'[2]SCP_24-25'!$A:$D,4,0)</f>
        <v>79.066666666666677</v>
      </c>
      <c r="AS272" s="5">
        <f t="shared" si="10"/>
        <v>26329.200000000004</v>
      </c>
    </row>
    <row r="273" spans="1:45" x14ac:dyDescent="0.3">
      <c r="A273" s="1">
        <v>45900.961111111108</v>
      </c>
      <c r="B273" t="s">
        <v>617</v>
      </c>
      <c r="C273" t="s">
        <v>618</v>
      </c>
      <c r="D273" t="s">
        <v>380</v>
      </c>
      <c r="E273" t="s">
        <v>368</v>
      </c>
      <c r="F273" t="s">
        <v>1648</v>
      </c>
      <c r="G273" t="s">
        <v>381</v>
      </c>
      <c r="H273" t="s">
        <v>130</v>
      </c>
      <c r="I273" t="s">
        <v>43</v>
      </c>
      <c r="J273">
        <v>24.02</v>
      </c>
      <c r="K273">
        <v>19</v>
      </c>
      <c r="L273">
        <v>10</v>
      </c>
      <c r="M273">
        <v>11</v>
      </c>
      <c r="N273">
        <v>45814</v>
      </c>
      <c r="O273">
        <v>23</v>
      </c>
      <c r="P273">
        <v>0</v>
      </c>
      <c r="Q273">
        <v>72</v>
      </c>
      <c r="R273">
        <v>5228</v>
      </c>
      <c r="S273" t="s">
        <v>44</v>
      </c>
      <c r="T273" t="s">
        <v>44</v>
      </c>
      <c r="U273" t="s">
        <v>44</v>
      </c>
      <c r="V273">
        <v>155</v>
      </c>
      <c r="W273">
        <v>871</v>
      </c>
      <c r="X273" t="s">
        <v>44</v>
      </c>
      <c r="Y273">
        <v>12</v>
      </c>
      <c r="Z273" t="s">
        <v>44</v>
      </c>
      <c r="AA273">
        <v>5</v>
      </c>
      <c r="AB273">
        <v>0</v>
      </c>
      <c r="AC273">
        <v>0</v>
      </c>
      <c r="AD273">
        <v>0</v>
      </c>
      <c r="AE273">
        <v>38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183</v>
      </c>
      <c r="AQ273">
        <f t="shared" si="9"/>
        <v>183</v>
      </c>
      <c r="AR273" s="5">
        <f>VLOOKUP(F273,'[2]SCP_24-25'!$A:$D,4,0)</f>
        <v>77.84</v>
      </c>
      <c r="AS273" s="5">
        <f t="shared" si="10"/>
        <v>14244.720000000001</v>
      </c>
    </row>
    <row r="274" spans="1:45" x14ac:dyDescent="0.3">
      <c r="A274" s="1">
        <v>45900.961111111108</v>
      </c>
      <c r="B274" t="s">
        <v>617</v>
      </c>
      <c r="C274" t="s">
        <v>618</v>
      </c>
      <c r="D274" t="s">
        <v>386</v>
      </c>
      <c r="E274" t="s">
        <v>368</v>
      </c>
      <c r="F274" t="s">
        <v>1651</v>
      </c>
      <c r="G274" t="s">
        <v>387</v>
      </c>
      <c r="H274" t="s">
        <v>130</v>
      </c>
      <c r="I274" t="s">
        <v>43</v>
      </c>
      <c r="J274">
        <v>24.02</v>
      </c>
      <c r="K274">
        <v>19</v>
      </c>
      <c r="L274">
        <v>10</v>
      </c>
      <c r="M274">
        <v>11</v>
      </c>
      <c r="N274">
        <v>43740</v>
      </c>
      <c r="O274">
        <v>221</v>
      </c>
      <c r="P274">
        <v>0</v>
      </c>
      <c r="Q274">
        <v>29</v>
      </c>
      <c r="R274">
        <v>836</v>
      </c>
      <c r="S274" t="s">
        <v>44</v>
      </c>
      <c r="T274">
        <v>13</v>
      </c>
      <c r="U274" t="s">
        <v>44</v>
      </c>
      <c r="V274">
        <v>134</v>
      </c>
      <c r="W274">
        <v>870</v>
      </c>
      <c r="X274" t="s">
        <v>44</v>
      </c>
      <c r="Y274" t="s">
        <v>44</v>
      </c>
      <c r="Z274" t="s">
        <v>44</v>
      </c>
      <c r="AA274">
        <v>6</v>
      </c>
      <c r="AB274">
        <v>0</v>
      </c>
      <c r="AC274">
        <v>0</v>
      </c>
      <c r="AD274">
        <v>0</v>
      </c>
      <c r="AE274">
        <v>25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361</v>
      </c>
      <c r="AQ274">
        <f t="shared" si="9"/>
        <v>361</v>
      </c>
      <c r="AR274" s="5">
        <f>VLOOKUP(F274,'[2]SCP_24-25'!$A:$D,4,0)</f>
        <v>77.84</v>
      </c>
      <c r="AS274" s="5">
        <f t="shared" si="10"/>
        <v>28100.240000000002</v>
      </c>
    </row>
    <row r="275" spans="1:45" x14ac:dyDescent="0.3">
      <c r="A275" s="1">
        <v>45900.961111111108</v>
      </c>
      <c r="B275" t="s">
        <v>617</v>
      </c>
      <c r="C275" t="s">
        <v>618</v>
      </c>
      <c r="D275" t="s">
        <v>897</v>
      </c>
      <c r="F275" t="s">
        <v>1899</v>
      </c>
      <c r="G275" t="s">
        <v>898</v>
      </c>
      <c r="H275" t="s">
        <v>130</v>
      </c>
      <c r="I275" t="s">
        <v>43</v>
      </c>
      <c r="J275">
        <v>35.020000000000003</v>
      </c>
      <c r="K275">
        <v>19</v>
      </c>
      <c r="L275">
        <v>11</v>
      </c>
      <c r="M275">
        <v>10</v>
      </c>
      <c r="N275">
        <v>22085</v>
      </c>
      <c r="O275">
        <v>2</v>
      </c>
      <c r="P275">
        <v>0</v>
      </c>
      <c r="Q275">
        <v>14</v>
      </c>
      <c r="R275">
        <v>24</v>
      </c>
      <c r="S275" t="s">
        <v>44</v>
      </c>
      <c r="T275">
        <v>10080</v>
      </c>
      <c r="U275" t="s">
        <v>44</v>
      </c>
      <c r="V275">
        <v>221</v>
      </c>
      <c r="W275">
        <v>2</v>
      </c>
      <c r="X275" t="s">
        <v>44</v>
      </c>
      <c r="Y275">
        <v>2</v>
      </c>
      <c r="Z275" t="s">
        <v>44</v>
      </c>
      <c r="AA275">
        <v>0</v>
      </c>
      <c r="AB275">
        <v>0</v>
      </c>
      <c r="AC275">
        <v>0</v>
      </c>
      <c r="AD275">
        <v>0</v>
      </c>
      <c r="AE275">
        <v>9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223</v>
      </c>
      <c r="AQ275">
        <f t="shared" si="9"/>
        <v>223</v>
      </c>
      <c r="AR275" s="5">
        <f>VLOOKUP(F275,'[2]SCP_24-25'!$A:$D,4,0)</f>
        <v>26</v>
      </c>
      <c r="AS275" s="5">
        <f t="shared" si="10"/>
        <v>5798</v>
      </c>
    </row>
    <row r="276" spans="1:45" x14ac:dyDescent="0.3">
      <c r="A276" s="1">
        <v>45900.961111111108</v>
      </c>
      <c r="B276" t="s">
        <v>617</v>
      </c>
      <c r="C276" t="s">
        <v>618</v>
      </c>
      <c r="D276" t="s">
        <v>902</v>
      </c>
      <c r="E276" t="s">
        <v>903</v>
      </c>
      <c r="F276" t="s">
        <v>1901</v>
      </c>
      <c r="G276" t="s">
        <v>904</v>
      </c>
      <c r="H276" t="s">
        <v>621</v>
      </c>
      <c r="I276" t="s">
        <v>43</v>
      </c>
      <c r="J276">
        <v>228.4</v>
      </c>
      <c r="K276">
        <v>31.1</v>
      </c>
      <c r="L276">
        <v>10</v>
      </c>
      <c r="M276">
        <v>18.5</v>
      </c>
      <c r="N276">
        <v>141889</v>
      </c>
      <c r="O276">
        <v>0</v>
      </c>
      <c r="P276">
        <v>0</v>
      </c>
      <c r="Q276" t="s">
        <v>44</v>
      </c>
      <c r="R276">
        <v>5510</v>
      </c>
      <c r="S276" t="s">
        <v>44</v>
      </c>
      <c r="T276" t="s">
        <v>44</v>
      </c>
      <c r="U276" t="s">
        <v>44</v>
      </c>
      <c r="V276">
        <v>3</v>
      </c>
      <c r="W276" t="s">
        <v>44</v>
      </c>
      <c r="X276" t="s">
        <v>44</v>
      </c>
      <c r="Y276" t="s">
        <v>44</v>
      </c>
      <c r="Z276" t="s">
        <v>44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3</v>
      </c>
      <c r="AQ276">
        <f t="shared" si="9"/>
        <v>3</v>
      </c>
      <c r="AR276" s="5">
        <f>VLOOKUP(F276,'[2]SCP_24-25'!$A:$D,4,0)</f>
        <v>6.25</v>
      </c>
      <c r="AS276" s="5">
        <f t="shared" si="10"/>
        <v>18.75</v>
      </c>
    </row>
    <row r="277" spans="1:45" x14ac:dyDescent="0.3">
      <c r="A277" s="1">
        <v>45900.961111111108</v>
      </c>
      <c r="B277" t="s">
        <v>617</v>
      </c>
      <c r="C277" t="s">
        <v>618</v>
      </c>
      <c r="D277" t="s">
        <v>562</v>
      </c>
      <c r="F277" t="s">
        <v>1735</v>
      </c>
      <c r="G277" t="s">
        <v>563</v>
      </c>
      <c r="H277" t="s">
        <v>66</v>
      </c>
      <c r="I277" t="s">
        <v>43</v>
      </c>
      <c r="J277">
        <v>44.99</v>
      </c>
      <c r="K277">
        <v>19</v>
      </c>
      <c r="L277">
        <v>11</v>
      </c>
      <c r="M277">
        <v>10</v>
      </c>
      <c r="N277">
        <v>43597</v>
      </c>
      <c r="O277">
        <v>141</v>
      </c>
      <c r="P277">
        <v>0</v>
      </c>
      <c r="Q277">
        <v>62</v>
      </c>
      <c r="R277">
        <v>7</v>
      </c>
      <c r="S277" t="s">
        <v>44</v>
      </c>
      <c r="T277" t="s">
        <v>44</v>
      </c>
      <c r="U277" t="s">
        <v>44</v>
      </c>
      <c r="V277">
        <v>19</v>
      </c>
      <c r="W277">
        <v>5</v>
      </c>
      <c r="X277" t="s">
        <v>44</v>
      </c>
      <c r="Y277">
        <v>19</v>
      </c>
      <c r="Z277" t="s">
        <v>44</v>
      </c>
      <c r="AA277">
        <v>8</v>
      </c>
      <c r="AB277">
        <v>0</v>
      </c>
      <c r="AC277">
        <v>0</v>
      </c>
      <c r="AD277">
        <v>0</v>
      </c>
      <c r="AE277">
        <v>0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168</v>
      </c>
      <c r="AQ277">
        <f t="shared" si="9"/>
        <v>168</v>
      </c>
      <c r="AR277" s="5">
        <f>VLOOKUP(F277,'[2]SCP_24-25'!$A:$D,4,0)</f>
        <v>40.44</v>
      </c>
      <c r="AS277" s="5">
        <f t="shared" si="10"/>
        <v>6793.92</v>
      </c>
    </row>
    <row r="278" spans="1:45" x14ac:dyDescent="0.3">
      <c r="A278" s="1">
        <v>45900.961111111108</v>
      </c>
      <c r="B278" t="s">
        <v>617</v>
      </c>
      <c r="C278" t="s">
        <v>618</v>
      </c>
      <c r="D278" t="s">
        <v>923</v>
      </c>
      <c r="E278" t="s">
        <v>923</v>
      </c>
      <c r="F278" t="s">
        <v>1911</v>
      </c>
      <c r="G278" t="s">
        <v>924</v>
      </c>
      <c r="H278" t="s">
        <v>120</v>
      </c>
      <c r="I278" t="s">
        <v>43</v>
      </c>
      <c r="J278">
        <v>70</v>
      </c>
      <c r="K278">
        <v>19</v>
      </c>
      <c r="L278">
        <v>11</v>
      </c>
      <c r="M278">
        <v>9</v>
      </c>
      <c r="N278">
        <v>3900</v>
      </c>
      <c r="O278">
        <v>0</v>
      </c>
      <c r="P278">
        <v>0</v>
      </c>
      <c r="Q278" t="s">
        <v>44</v>
      </c>
      <c r="R278">
        <v>379</v>
      </c>
      <c r="S278" t="s">
        <v>44</v>
      </c>
      <c r="T278" t="s">
        <v>44</v>
      </c>
      <c r="U278" t="s">
        <v>44</v>
      </c>
      <c r="V278">
        <v>65</v>
      </c>
      <c r="W278" t="s">
        <v>44</v>
      </c>
      <c r="X278" t="s">
        <v>44</v>
      </c>
      <c r="Y278">
        <v>65</v>
      </c>
      <c r="Z278" t="s">
        <v>44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65</v>
      </c>
      <c r="AQ278">
        <f t="shared" si="9"/>
        <v>65</v>
      </c>
      <c r="AR278" s="5">
        <f>VLOOKUP(F278,'[2]SCP_24-25'!$A:$D,4,0)</f>
        <v>50</v>
      </c>
      <c r="AS278" s="5">
        <f t="shared" si="10"/>
        <v>3250</v>
      </c>
    </row>
    <row r="279" spans="1:45" x14ac:dyDescent="0.3">
      <c r="A279" s="1">
        <v>45900.961111111108</v>
      </c>
      <c r="B279" t="s">
        <v>617</v>
      </c>
      <c r="C279" t="s">
        <v>618</v>
      </c>
      <c r="D279" t="s">
        <v>927</v>
      </c>
      <c r="F279" t="s">
        <v>1913</v>
      </c>
      <c r="G279" t="s">
        <v>928</v>
      </c>
      <c r="H279" t="s">
        <v>103</v>
      </c>
      <c r="I279" t="s">
        <v>43</v>
      </c>
      <c r="J279">
        <v>217</v>
      </c>
      <c r="K279">
        <v>19</v>
      </c>
      <c r="L279">
        <v>10</v>
      </c>
      <c r="M279">
        <v>11</v>
      </c>
      <c r="N279">
        <v>74355</v>
      </c>
      <c r="O279">
        <v>8</v>
      </c>
      <c r="P279">
        <v>0</v>
      </c>
      <c r="Q279">
        <v>11</v>
      </c>
      <c r="R279">
        <v>29</v>
      </c>
      <c r="S279" t="s">
        <v>44</v>
      </c>
      <c r="T279" t="s">
        <v>44</v>
      </c>
      <c r="U279" t="s">
        <v>44</v>
      </c>
      <c r="V279">
        <v>0</v>
      </c>
      <c r="W279" t="s">
        <v>44</v>
      </c>
      <c r="X279" t="s">
        <v>44</v>
      </c>
      <c r="Y279" t="s">
        <v>44</v>
      </c>
      <c r="Z279" t="s">
        <v>44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8</v>
      </c>
      <c r="AQ279">
        <f t="shared" si="9"/>
        <v>8</v>
      </c>
      <c r="AR279" s="5">
        <f>VLOOKUP(F279,'[2]SCP_24-25'!$A:$D,4,0)</f>
        <v>53.669999999999995</v>
      </c>
      <c r="AS279" s="5">
        <f t="shared" si="10"/>
        <v>429.35999999999996</v>
      </c>
    </row>
    <row r="280" spans="1:45" x14ac:dyDescent="0.3">
      <c r="A280" s="1">
        <v>45900.961111111108</v>
      </c>
      <c r="B280" t="s">
        <v>617</v>
      </c>
      <c r="C280" t="s">
        <v>618</v>
      </c>
      <c r="D280" t="s">
        <v>564</v>
      </c>
      <c r="F280" t="s">
        <v>1736</v>
      </c>
      <c r="G280" t="s">
        <v>565</v>
      </c>
      <c r="H280" t="s">
        <v>103</v>
      </c>
      <c r="I280" t="s">
        <v>43</v>
      </c>
      <c r="J280">
        <v>236.02</v>
      </c>
      <c r="K280">
        <v>19</v>
      </c>
      <c r="L280">
        <v>10</v>
      </c>
      <c r="M280">
        <v>11</v>
      </c>
      <c r="N280">
        <v>57302</v>
      </c>
      <c r="O280">
        <v>99</v>
      </c>
      <c r="P280">
        <v>0</v>
      </c>
      <c r="Q280">
        <v>14</v>
      </c>
      <c r="R280">
        <v>14</v>
      </c>
      <c r="S280" t="s">
        <v>44</v>
      </c>
      <c r="T280" t="s">
        <v>44</v>
      </c>
      <c r="U280" t="s">
        <v>44</v>
      </c>
      <c r="V280">
        <v>0</v>
      </c>
      <c r="W280">
        <v>1260</v>
      </c>
      <c r="X280" t="s">
        <v>44</v>
      </c>
      <c r="Y280" t="s">
        <v>44</v>
      </c>
      <c r="Z280" t="s">
        <v>44</v>
      </c>
      <c r="AA280">
        <v>18</v>
      </c>
      <c r="AB280">
        <v>0</v>
      </c>
      <c r="AC280">
        <v>0</v>
      </c>
      <c r="AD280">
        <v>0</v>
      </c>
      <c r="AE280">
        <v>0</v>
      </c>
      <c r="AF280">
        <v>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117</v>
      </c>
      <c r="AQ280">
        <f t="shared" si="9"/>
        <v>117</v>
      </c>
      <c r="AR280" s="5">
        <f>VLOOKUP(F280,'[2]SCP_24-25'!$A:$D,4,0)</f>
        <v>59.82</v>
      </c>
      <c r="AS280" s="5">
        <f t="shared" si="10"/>
        <v>6998.94</v>
      </c>
    </row>
    <row r="281" spans="1:45" x14ac:dyDescent="0.3">
      <c r="A281" s="1">
        <v>45900.961111111108</v>
      </c>
      <c r="B281" t="s">
        <v>617</v>
      </c>
      <c r="C281" t="s">
        <v>618</v>
      </c>
      <c r="D281" t="s">
        <v>929</v>
      </c>
      <c r="F281" t="s">
        <v>1914</v>
      </c>
      <c r="G281" t="s">
        <v>930</v>
      </c>
      <c r="H281" t="s">
        <v>120</v>
      </c>
      <c r="I281" t="s">
        <v>43</v>
      </c>
      <c r="J281">
        <v>200</v>
      </c>
      <c r="K281">
        <v>19</v>
      </c>
      <c r="L281">
        <v>11</v>
      </c>
      <c r="M281">
        <v>10</v>
      </c>
      <c r="N281">
        <v>2110</v>
      </c>
      <c r="O281">
        <v>0</v>
      </c>
      <c r="P281">
        <v>0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>
        <v>3</v>
      </c>
      <c r="W281" t="s">
        <v>44</v>
      </c>
      <c r="X281" t="s">
        <v>44</v>
      </c>
      <c r="Y281">
        <v>3</v>
      </c>
      <c r="Z281" t="s">
        <v>44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3</v>
      </c>
      <c r="AQ281">
        <f t="shared" si="9"/>
        <v>3</v>
      </c>
      <c r="AR281" s="5">
        <f>VLOOKUP(F281,'[2]SCP_24-25'!$A:$D,4,0)</f>
        <v>50</v>
      </c>
      <c r="AS281" s="5">
        <f t="shared" si="10"/>
        <v>150</v>
      </c>
    </row>
    <row r="282" spans="1:45" x14ac:dyDescent="0.3">
      <c r="A282" s="1">
        <v>45900.961111111108</v>
      </c>
      <c r="B282" t="s">
        <v>617</v>
      </c>
      <c r="C282" t="s">
        <v>618</v>
      </c>
      <c r="D282" t="s">
        <v>605</v>
      </c>
      <c r="F282" t="s">
        <v>1756</v>
      </c>
      <c r="G282" t="s">
        <v>606</v>
      </c>
      <c r="H282" t="s">
        <v>66</v>
      </c>
      <c r="I282" t="s">
        <v>43</v>
      </c>
      <c r="J282">
        <v>46.59</v>
      </c>
      <c r="K282">
        <v>19</v>
      </c>
      <c r="L282">
        <v>10</v>
      </c>
      <c r="M282">
        <v>11</v>
      </c>
      <c r="N282">
        <v>82323</v>
      </c>
      <c r="O282">
        <v>0</v>
      </c>
      <c r="P282">
        <v>0</v>
      </c>
      <c r="Q282">
        <v>56</v>
      </c>
      <c r="R282">
        <v>15</v>
      </c>
      <c r="S282" t="s">
        <v>44</v>
      </c>
      <c r="T282" t="s">
        <v>44</v>
      </c>
      <c r="U282" t="s">
        <v>44</v>
      </c>
      <c r="V282">
        <v>0</v>
      </c>
      <c r="W282">
        <v>44</v>
      </c>
      <c r="X282" t="s">
        <v>44</v>
      </c>
      <c r="Y282" t="s">
        <v>44</v>
      </c>
      <c r="Z282">
        <v>1</v>
      </c>
      <c r="AA282">
        <v>45</v>
      </c>
      <c r="AB282">
        <v>0</v>
      </c>
      <c r="AC282">
        <v>0</v>
      </c>
      <c r="AD282">
        <v>0</v>
      </c>
      <c r="AE282">
        <v>0</v>
      </c>
      <c r="AF282">
        <v>4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45</v>
      </c>
      <c r="AQ282">
        <f t="shared" si="9"/>
        <v>45</v>
      </c>
      <c r="AR282" s="5">
        <f>VLOOKUP(F282,'[2]SCP_24-25'!$A:$D,4,0)</f>
        <v>29.02</v>
      </c>
      <c r="AS282" s="5">
        <f t="shared" si="10"/>
        <v>1305.9000000000001</v>
      </c>
    </row>
    <row r="283" spans="1:45" x14ac:dyDescent="0.3">
      <c r="A283" s="1">
        <v>45900.961111111108</v>
      </c>
      <c r="B283" t="s">
        <v>617</v>
      </c>
      <c r="C283" t="s">
        <v>618</v>
      </c>
      <c r="D283" t="s">
        <v>931</v>
      </c>
      <c r="E283" t="s">
        <v>931</v>
      </c>
      <c r="F283" t="s">
        <v>1915</v>
      </c>
      <c r="G283" t="s">
        <v>932</v>
      </c>
      <c r="H283" t="s">
        <v>635</v>
      </c>
      <c r="I283" t="s">
        <v>43</v>
      </c>
      <c r="N283">
        <v>878</v>
      </c>
      <c r="O283">
        <v>0</v>
      </c>
      <c r="P283">
        <v>0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>
        <v>43</v>
      </c>
      <c r="W283" t="s">
        <v>44</v>
      </c>
      <c r="X283" t="s">
        <v>44</v>
      </c>
      <c r="Y283">
        <v>43</v>
      </c>
      <c r="Z283" t="s">
        <v>44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43</v>
      </c>
      <c r="AQ283">
        <f t="shared" si="9"/>
        <v>43</v>
      </c>
      <c r="AR283" s="5">
        <f>VLOOKUP(F283,'[1]Cost Sheet'!$C:$D,2,0)</f>
        <v>60.54</v>
      </c>
      <c r="AS283" s="5">
        <f t="shared" si="10"/>
        <v>2603.2199999999998</v>
      </c>
    </row>
    <row r="284" spans="1:45" x14ac:dyDescent="0.3">
      <c r="A284" s="1">
        <v>45900.961111111108</v>
      </c>
      <c r="B284" t="s">
        <v>617</v>
      </c>
      <c r="C284" t="s">
        <v>618</v>
      </c>
      <c r="D284" t="s">
        <v>933</v>
      </c>
      <c r="E284" t="s">
        <v>933</v>
      </c>
      <c r="F284" t="s">
        <v>1916</v>
      </c>
      <c r="G284" t="s">
        <v>934</v>
      </c>
      <c r="H284" t="s">
        <v>635</v>
      </c>
      <c r="I284" t="s">
        <v>43</v>
      </c>
      <c r="N284">
        <v>1251</v>
      </c>
      <c r="O284">
        <v>0</v>
      </c>
      <c r="P284">
        <v>0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>
        <v>73</v>
      </c>
      <c r="W284" t="s">
        <v>44</v>
      </c>
      <c r="X284" t="s">
        <v>44</v>
      </c>
      <c r="Y284">
        <v>73</v>
      </c>
      <c r="Z284" t="s">
        <v>44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73</v>
      </c>
      <c r="AQ284">
        <f t="shared" si="9"/>
        <v>73</v>
      </c>
      <c r="AR284" s="5">
        <f>VLOOKUP(F284,'[1]Cost Sheet'!$C:$D,2,0)</f>
        <v>94.530000000000015</v>
      </c>
      <c r="AS284" s="5">
        <f t="shared" si="10"/>
        <v>6900.6900000000014</v>
      </c>
    </row>
    <row r="285" spans="1:45" x14ac:dyDescent="0.3">
      <c r="A285" s="1">
        <v>45900.961111111108</v>
      </c>
      <c r="B285" t="s">
        <v>617</v>
      </c>
      <c r="C285" t="s">
        <v>618</v>
      </c>
      <c r="D285" t="s">
        <v>935</v>
      </c>
      <c r="E285" t="s">
        <v>935</v>
      </c>
      <c r="F285" t="s">
        <v>1917</v>
      </c>
      <c r="G285" t="s">
        <v>936</v>
      </c>
      <c r="H285" t="s">
        <v>635</v>
      </c>
      <c r="I285" t="s">
        <v>43</v>
      </c>
      <c r="N285">
        <v>659</v>
      </c>
      <c r="O285">
        <v>0</v>
      </c>
      <c r="P285">
        <v>0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>
        <v>54</v>
      </c>
      <c r="W285" t="s">
        <v>44</v>
      </c>
      <c r="X285" t="s">
        <v>44</v>
      </c>
      <c r="Y285">
        <v>54</v>
      </c>
      <c r="Z285" t="s">
        <v>44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54</v>
      </c>
      <c r="AQ285">
        <f t="shared" ref="AQ285:AQ348" si="11">O285+P285+V285+AA285</f>
        <v>54</v>
      </c>
      <c r="AR285" s="5">
        <f>VLOOKUP(F285,'[1]Cost Sheet'!$C:$D,2,0)</f>
        <v>100.66</v>
      </c>
      <c r="AS285" s="5">
        <f t="shared" si="10"/>
        <v>5435.6399999999994</v>
      </c>
    </row>
    <row r="286" spans="1:45" x14ac:dyDescent="0.3">
      <c r="A286" s="1">
        <v>45900.961111111108</v>
      </c>
      <c r="B286" t="s">
        <v>617</v>
      </c>
      <c r="C286" t="s">
        <v>618</v>
      </c>
      <c r="D286" t="s">
        <v>937</v>
      </c>
      <c r="E286" t="s">
        <v>937</v>
      </c>
      <c r="F286" t="s">
        <v>1918</v>
      </c>
      <c r="G286" t="s">
        <v>938</v>
      </c>
      <c r="H286" t="s">
        <v>635</v>
      </c>
      <c r="I286" t="s">
        <v>43</v>
      </c>
      <c r="N286">
        <v>1142</v>
      </c>
      <c r="O286">
        <v>0</v>
      </c>
      <c r="P286">
        <v>0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>
        <v>82</v>
      </c>
      <c r="W286" t="s">
        <v>44</v>
      </c>
      <c r="X286" t="s">
        <v>44</v>
      </c>
      <c r="Y286">
        <v>82</v>
      </c>
      <c r="Z286" t="s">
        <v>44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82</v>
      </c>
      <c r="AQ286">
        <f t="shared" si="11"/>
        <v>82</v>
      </c>
      <c r="AR286" s="5">
        <f>VLOOKUP(F286,'[1]Cost Sheet'!$C:$D,2,0)</f>
        <v>53.202222222222218</v>
      </c>
      <c r="AS286" s="5">
        <f t="shared" si="10"/>
        <v>4362.5822222222223</v>
      </c>
    </row>
    <row r="287" spans="1:45" x14ac:dyDescent="0.3">
      <c r="A287" s="1">
        <v>45900.961111111108</v>
      </c>
      <c r="B287" t="s">
        <v>617</v>
      </c>
      <c r="C287" t="s">
        <v>618</v>
      </c>
      <c r="D287" t="s">
        <v>939</v>
      </c>
      <c r="E287" t="s">
        <v>939</v>
      </c>
      <c r="F287" t="s">
        <v>1919</v>
      </c>
      <c r="G287" t="s">
        <v>940</v>
      </c>
      <c r="H287" t="s">
        <v>635</v>
      </c>
      <c r="I287" t="s">
        <v>43</v>
      </c>
      <c r="N287">
        <v>842</v>
      </c>
      <c r="O287">
        <v>0</v>
      </c>
      <c r="P287">
        <v>0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>
        <v>68</v>
      </c>
      <c r="W287" t="s">
        <v>44</v>
      </c>
      <c r="X287" t="s">
        <v>44</v>
      </c>
      <c r="Y287">
        <v>68</v>
      </c>
      <c r="Z287" t="s">
        <v>44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68</v>
      </c>
      <c r="AQ287">
        <f t="shared" si="11"/>
        <v>68</v>
      </c>
      <c r="AR287" s="5">
        <f>VLOOKUP(F287,'[1]Cost Sheet'!$C:$D,2,0)</f>
        <v>37.17</v>
      </c>
      <c r="AS287" s="5">
        <f t="shared" si="10"/>
        <v>2527.56</v>
      </c>
    </row>
    <row r="288" spans="1:45" x14ac:dyDescent="0.3">
      <c r="A288" s="1">
        <v>45900.961111111108</v>
      </c>
      <c r="B288" t="s">
        <v>617</v>
      </c>
      <c r="C288" t="s">
        <v>618</v>
      </c>
      <c r="D288" t="s">
        <v>941</v>
      </c>
      <c r="E288" t="s">
        <v>941</v>
      </c>
      <c r="F288" t="s">
        <v>1920</v>
      </c>
      <c r="G288" t="s">
        <v>942</v>
      </c>
      <c r="H288" t="s">
        <v>635</v>
      </c>
      <c r="I288" t="s">
        <v>43</v>
      </c>
      <c r="N288">
        <v>877</v>
      </c>
      <c r="O288">
        <v>0</v>
      </c>
      <c r="P288">
        <v>0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>
        <v>80</v>
      </c>
      <c r="W288" t="s">
        <v>44</v>
      </c>
      <c r="X288" t="s">
        <v>44</v>
      </c>
      <c r="Y288">
        <v>80</v>
      </c>
      <c r="Z288" t="s">
        <v>44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80</v>
      </c>
      <c r="AQ288">
        <f t="shared" si="11"/>
        <v>80</v>
      </c>
      <c r="AR288" s="5">
        <f>VLOOKUP(F288,'[1]Cost Sheet'!$C:$D,2,0)</f>
        <v>41.09</v>
      </c>
      <c r="AS288" s="5">
        <f t="shared" si="10"/>
        <v>3287.2000000000003</v>
      </c>
    </row>
    <row r="289" spans="1:45" x14ac:dyDescent="0.3">
      <c r="A289" s="1">
        <v>45900.961111111108</v>
      </c>
      <c r="B289" t="s">
        <v>617</v>
      </c>
      <c r="C289" t="s">
        <v>618</v>
      </c>
      <c r="D289" t="s">
        <v>943</v>
      </c>
      <c r="E289" t="s">
        <v>943</v>
      </c>
      <c r="F289" t="s">
        <v>1921</v>
      </c>
      <c r="G289" t="s">
        <v>944</v>
      </c>
      <c r="H289" t="s">
        <v>635</v>
      </c>
      <c r="I289" t="s">
        <v>43</v>
      </c>
      <c r="N289">
        <v>1027</v>
      </c>
      <c r="O289">
        <v>0</v>
      </c>
      <c r="P289">
        <v>0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>
        <v>57</v>
      </c>
      <c r="W289" t="s">
        <v>44</v>
      </c>
      <c r="X289" t="s">
        <v>44</v>
      </c>
      <c r="Y289">
        <v>57</v>
      </c>
      <c r="Z289" t="s">
        <v>44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57</v>
      </c>
      <c r="AQ289">
        <f t="shared" si="11"/>
        <v>57</v>
      </c>
      <c r="AR289" s="5">
        <f>VLOOKUP(F289,'[1]Cost Sheet'!$C:$D,2,0)</f>
        <v>51.841111111111118</v>
      </c>
      <c r="AS289" s="5">
        <f t="shared" si="10"/>
        <v>2954.9433333333336</v>
      </c>
    </row>
    <row r="290" spans="1:45" x14ac:dyDescent="0.3">
      <c r="A290" s="1">
        <v>45900.961111111108</v>
      </c>
      <c r="B290" t="s">
        <v>617</v>
      </c>
      <c r="C290" t="s">
        <v>618</v>
      </c>
      <c r="D290" t="s">
        <v>945</v>
      </c>
      <c r="E290" t="s">
        <v>945</v>
      </c>
      <c r="F290" t="s">
        <v>1922</v>
      </c>
      <c r="G290" t="s">
        <v>946</v>
      </c>
      <c r="H290" t="s">
        <v>635</v>
      </c>
      <c r="I290" t="s">
        <v>43</v>
      </c>
      <c r="N290">
        <v>611</v>
      </c>
      <c r="O290">
        <v>0</v>
      </c>
      <c r="P290">
        <v>0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>
        <v>33</v>
      </c>
      <c r="W290" t="s">
        <v>44</v>
      </c>
      <c r="X290" t="s">
        <v>44</v>
      </c>
      <c r="Y290">
        <v>33</v>
      </c>
      <c r="Z290" t="s">
        <v>44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33</v>
      </c>
      <c r="AQ290">
        <f t="shared" si="11"/>
        <v>33</v>
      </c>
      <c r="AR290" s="5">
        <f>VLOOKUP(F290,'[1]Cost Sheet'!$C:$D,2,0)</f>
        <v>63.65</v>
      </c>
      <c r="AS290" s="5">
        <f t="shared" si="10"/>
        <v>2100.4499999999998</v>
      </c>
    </row>
    <row r="291" spans="1:45" x14ac:dyDescent="0.3">
      <c r="A291" s="1">
        <v>45900.961111111108</v>
      </c>
      <c r="B291" t="s">
        <v>617</v>
      </c>
      <c r="C291" t="s">
        <v>618</v>
      </c>
      <c r="D291" t="s">
        <v>947</v>
      </c>
      <c r="E291" t="s">
        <v>947</v>
      </c>
      <c r="F291" t="s">
        <v>1923</v>
      </c>
      <c r="G291" t="s">
        <v>948</v>
      </c>
      <c r="H291" t="s">
        <v>635</v>
      </c>
      <c r="I291" t="s">
        <v>43</v>
      </c>
      <c r="N291">
        <v>835</v>
      </c>
      <c r="O291">
        <v>0</v>
      </c>
      <c r="P291">
        <v>0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>
        <v>88</v>
      </c>
      <c r="W291" t="s">
        <v>44</v>
      </c>
      <c r="X291" t="s">
        <v>44</v>
      </c>
      <c r="Y291">
        <v>88</v>
      </c>
      <c r="Z291" t="s">
        <v>44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88</v>
      </c>
      <c r="AQ291">
        <f t="shared" si="11"/>
        <v>88</v>
      </c>
      <c r="AR291" s="5">
        <f>VLOOKUP(F291,'[1]Cost Sheet'!$C:$D,2,0)</f>
        <v>50.46</v>
      </c>
      <c r="AS291" s="5">
        <f t="shared" si="10"/>
        <v>4440.4800000000005</v>
      </c>
    </row>
    <row r="292" spans="1:45" x14ac:dyDescent="0.3">
      <c r="A292" s="1">
        <v>45900.961111111108</v>
      </c>
      <c r="B292" t="s">
        <v>617</v>
      </c>
      <c r="C292" t="s">
        <v>618</v>
      </c>
      <c r="D292" t="s">
        <v>949</v>
      </c>
      <c r="E292" t="s">
        <v>949</v>
      </c>
      <c r="F292" t="s">
        <v>1924</v>
      </c>
      <c r="G292" t="s">
        <v>950</v>
      </c>
      <c r="H292" t="s">
        <v>635</v>
      </c>
      <c r="I292" t="s">
        <v>43</v>
      </c>
      <c r="N292">
        <v>1047</v>
      </c>
      <c r="O292">
        <v>0</v>
      </c>
      <c r="P292">
        <v>0</v>
      </c>
      <c r="Q292" t="s">
        <v>44</v>
      </c>
      <c r="R292">
        <v>88</v>
      </c>
      <c r="S292" t="s">
        <v>44</v>
      </c>
      <c r="T292" t="s">
        <v>44</v>
      </c>
      <c r="U292" t="s">
        <v>44</v>
      </c>
      <c r="V292">
        <v>77</v>
      </c>
      <c r="W292" t="s">
        <v>44</v>
      </c>
      <c r="X292" t="s">
        <v>44</v>
      </c>
      <c r="Y292">
        <v>77</v>
      </c>
      <c r="Z292" t="s">
        <v>44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77</v>
      </c>
      <c r="AQ292">
        <f t="shared" si="11"/>
        <v>77</v>
      </c>
      <c r="AR292" s="5">
        <f>VLOOKUP(F292,'[1]Cost Sheet'!$C:$D,2,0)</f>
        <v>65.349999999999994</v>
      </c>
      <c r="AS292" s="5">
        <f t="shared" si="10"/>
        <v>5031.95</v>
      </c>
    </row>
    <row r="293" spans="1:45" x14ac:dyDescent="0.3">
      <c r="A293" s="1">
        <v>45900.961111111108</v>
      </c>
      <c r="B293" t="s">
        <v>617</v>
      </c>
      <c r="C293" t="s">
        <v>618</v>
      </c>
      <c r="D293" t="s">
        <v>951</v>
      </c>
      <c r="E293" t="s">
        <v>951</v>
      </c>
      <c r="F293" t="s">
        <v>1925</v>
      </c>
      <c r="G293" t="s">
        <v>952</v>
      </c>
      <c r="H293" t="s">
        <v>635</v>
      </c>
      <c r="I293" t="s">
        <v>43</v>
      </c>
      <c r="N293">
        <v>1099</v>
      </c>
      <c r="O293">
        <v>0</v>
      </c>
      <c r="P293">
        <v>0</v>
      </c>
      <c r="Q293" t="s">
        <v>44</v>
      </c>
      <c r="R293">
        <v>92</v>
      </c>
      <c r="S293" t="s">
        <v>44</v>
      </c>
      <c r="T293" t="s">
        <v>44</v>
      </c>
      <c r="U293" t="s">
        <v>44</v>
      </c>
      <c r="V293">
        <v>90</v>
      </c>
      <c r="W293" t="s">
        <v>44</v>
      </c>
      <c r="X293" t="s">
        <v>44</v>
      </c>
      <c r="Y293">
        <v>90</v>
      </c>
      <c r="Z293" t="s">
        <v>44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90</v>
      </c>
      <c r="AQ293">
        <f t="shared" si="11"/>
        <v>90</v>
      </c>
      <c r="AR293" s="5">
        <f>VLOOKUP(F293,'[1]Cost Sheet'!$C:$D,2,0)</f>
        <v>72.599999999999994</v>
      </c>
      <c r="AS293" s="5">
        <f t="shared" si="10"/>
        <v>6533.9999999999991</v>
      </c>
    </row>
    <row r="294" spans="1:45" x14ac:dyDescent="0.3">
      <c r="A294" s="1">
        <v>45900.961111111108</v>
      </c>
      <c r="B294" t="s">
        <v>617</v>
      </c>
      <c r="C294" t="s">
        <v>618</v>
      </c>
      <c r="D294" t="s">
        <v>953</v>
      </c>
      <c r="E294" t="s">
        <v>953</v>
      </c>
      <c r="F294" t="s">
        <v>1926</v>
      </c>
      <c r="G294" t="s">
        <v>954</v>
      </c>
      <c r="H294" t="s">
        <v>635</v>
      </c>
      <c r="I294" t="s">
        <v>43</v>
      </c>
      <c r="N294">
        <v>1065</v>
      </c>
      <c r="O294">
        <v>0</v>
      </c>
      <c r="P294">
        <v>0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>
        <v>11</v>
      </c>
      <c r="W294" t="s">
        <v>44</v>
      </c>
      <c r="X294" t="s">
        <v>44</v>
      </c>
      <c r="Y294">
        <v>11</v>
      </c>
      <c r="Z294" t="s">
        <v>44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11</v>
      </c>
      <c r="AQ294">
        <f t="shared" si="11"/>
        <v>11</v>
      </c>
      <c r="AR294" s="5">
        <f>VLOOKUP(F294,'[1]Cost Sheet'!$C:$D,2,0)</f>
        <v>47.03</v>
      </c>
      <c r="AS294" s="5">
        <f t="shared" si="10"/>
        <v>517.33000000000004</v>
      </c>
    </row>
    <row r="295" spans="1:45" x14ac:dyDescent="0.3">
      <c r="A295" s="1">
        <v>45900.961111111108</v>
      </c>
      <c r="B295" t="s">
        <v>617</v>
      </c>
      <c r="C295" t="s">
        <v>618</v>
      </c>
      <c r="D295" t="s">
        <v>955</v>
      </c>
      <c r="E295" t="s">
        <v>955</v>
      </c>
      <c r="F295" t="s">
        <v>1927</v>
      </c>
      <c r="G295" t="s">
        <v>956</v>
      </c>
      <c r="H295" t="s">
        <v>635</v>
      </c>
      <c r="I295" t="s">
        <v>43</v>
      </c>
      <c r="N295">
        <v>826</v>
      </c>
      <c r="O295">
        <v>0</v>
      </c>
      <c r="P295">
        <v>0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>
        <v>54</v>
      </c>
      <c r="W295" t="s">
        <v>44</v>
      </c>
      <c r="X295" t="s">
        <v>44</v>
      </c>
      <c r="Y295">
        <v>54</v>
      </c>
      <c r="Z295" t="s">
        <v>44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54</v>
      </c>
      <c r="AQ295">
        <f t="shared" si="11"/>
        <v>54</v>
      </c>
      <c r="AR295" s="5">
        <f>VLOOKUP(F295,'[1]Cost Sheet'!$C:$D,2,0)</f>
        <v>99.42</v>
      </c>
      <c r="AS295" s="5">
        <f t="shared" si="10"/>
        <v>5368.68</v>
      </c>
    </row>
    <row r="296" spans="1:45" x14ac:dyDescent="0.3">
      <c r="A296" s="1">
        <v>45900.961111111108</v>
      </c>
      <c r="B296" t="s">
        <v>617</v>
      </c>
      <c r="C296" t="s">
        <v>618</v>
      </c>
      <c r="D296" t="s">
        <v>957</v>
      </c>
      <c r="E296" t="s">
        <v>957</v>
      </c>
      <c r="F296" t="s">
        <v>1928</v>
      </c>
      <c r="G296" t="s">
        <v>958</v>
      </c>
      <c r="H296" t="s">
        <v>635</v>
      </c>
      <c r="I296" t="s">
        <v>43</v>
      </c>
      <c r="N296">
        <v>1308</v>
      </c>
      <c r="O296">
        <v>0</v>
      </c>
      <c r="P296">
        <v>0</v>
      </c>
      <c r="Q296" t="s">
        <v>44</v>
      </c>
      <c r="R296">
        <v>166</v>
      </c>
      <c r="S296" t="s">
        <v>44</v>
      </c>
      <c r="T296" t="s">
        <v>44</v>
      </c>
      <c r="U296" t="s">
        <v>44</v>
      </c>
      <c r="V296">
        <v>54</v>
      </c>
      <c r="W296" t="s">
        <v>44</v>
      </c>
      <c r="X296" t="s">
        <v>44</v>
      </c>
      <c r="Y296">
        <v>54</v>
      </c>
      <c r="Z296" t="s">
        <v>44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54</v>
      </c>
      <c r="AQ296">
        <f t="shared" si="11"/>
        <v>54</v>
      </c>
      <c r="AR296" s="5">
        <f>VLOOKUP(F296,'[1]Cost Sheet'!$C:$D,2,0)</f>
        <v>60.46</v>
      </c>
      <c r="AS296" s="5">
        <f t="shared" si="10"/>
        <v>3264.84</v>
      </c>
    </row>
    <row r="297" spans="1:45" x14ac:dyDescent="0.3">
      <c r="A297" s="1">
        <v>45900.961111111108</v>
      </c>
      <c r="B297" t="s">
        <v>617</v>
      </c>
      <c r="C297" t="s">
        <v>618</v>
      </c>
      <c r="D297" t="s">
        <v>959</v>
      </c>
      <c r="E297" t="s">
        <v>959</v>
      </c>
      <c r="F297" t="s">
        <v>1929</v>
      </c>
      <c r="G297" t="s">
        <v>960</v>
      </c>
      <c r="H297" t="s">
        <v>635</v>
      </c>
      <c r="I297" t="s">
        <v>43</v>
      </c>
      <c r="N297">
        <v>945</v>
      </c>
      <c r="O297">
        <v>0</v>
      </c>
      <c r="P297">
        <v>0</v>
      </c>
      <c r="Q297" t="s">
        <v>44</v>
      </c>
      <c r="R297">
        <v>146</v>
      </c>
      <c r="S297" t="s">
        <v>44</v>
      </c>
      <c r="T297" t="s">
        <v>44</v>
      </c>
      <c r="U297" t="s">
        <v>44</v>
      </c>
      <c r="V297">
        <v>31</v>
      </c>
      <c r="W297" t="s">
        <v>44</v>
      </c>
      <c r="X297" t="s">
        <v>44</v>
      </c>
      <c r="Y297">
        <v>31</v>
      </c>
      <c r="Z297" t="s">
        <v>44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31</v>
      </c>
      <c r="AQ297">
        <f t="shared" si="11"/>
        <v>31</v>
      </c>
      <c r="AR297" s="5">
        <f>VLOOKUP(F297,'[1]Cost Sheet'!$C:$D,2,0)</f>
        <v>70.2</v>
      </c>
      <c r="AS297" s="5">
        <f t="shared" si="10"/>
        <v>2176.2000000000003</v>
      </c>
    </row>
    <row r="298" spans="1:45" x14ac:dyDescent="0.3">
      <c r="A298" s="1">
        <v>45900.961111111108</v>
      </c>
      <c r="B298" t="s">
        <v>617</v>
      </c>
      <c r="C298" t="s">
        <v>618</v>
      </c>
      <c r="D298" t="s">
        <v>961</v>
      </c>
      <c r="E298" t="s">
        <v>961</v>
      </c>
      <c r="F298" t="s">
        <v>1930</v>
      </c>
      <c r="G298" t="s">
        <v>962</v>
      </c>
      <c r="H298" t="s">
        <v>635</v>
      </c>
      <c r="I298" t="s">
        <v>43</v>
      </c>
      <c r="N298">
        <v>776</v>
      </c>
      <c r="O298">
        <v>0</v>
      </c>
      <c r="P298">
        <v>0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>
        <v>58</v>
      </c>
      <c r="W298" t="s">
        <v>44</v>
      </c>
      <c r="X298" t="s">
        <v>44</v>
      </c>
      <c r="Y298">
        <v>58</v>
      </c>
      <c r="Z298" t="s">
        <v>44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58</v>
      </c>
      <c r="AQ298">
        <f t="shared" si="11"/>
        <v>58</v>
      </c>
      <c r="AR298" s="5">
        <f>VLOOKUP(F298,'[1]Cost Sheet'!$C:$D,2,0)</f>
        <v>32.03</v>
      </c>
      <c r="AS298" s="5">
        <f t="shared" si="10"/>
        <v>1857.74</v>
      </c>
    </row>
    <row r="299" spans="1:45" x14ac:dyDescent="0.3">
      <c r="A299" s="1">
        <v>45900.961111111108</v>
      </c>
      <c r="B299" t="s">
        <v>617</v>
      </c>
      <c r="C299" t="s">
        <v>618</v>
      </c>
      <c r="D299" t="s">
        <v>963</v>
      </c>
      <c r="E299" t="s">
        <v>963</v>
      </c>
      <c r="F299" t="s">
        <v>1931</v>
      </c>
      <c r="G299" t="s">
        <v>964</v>
      </c>
      <c r="H299" t="s">
        <v>635</v>
      </c>
      <c r="I299" t="s">
        <v>43</v>
      </c>
      <c r="N299">
        <v>696</v>
      </c>
      <c r="O299">
        <v>0</v>
      </c>
      <c r="P299">
        <v>0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>
        <v>85</v>
      </c>
      <c r="W299" t="s">
        <v>44</v>
      </c>
      <c r="X299" t="s">
        <v>44</v>
      </c>
      <c r="Y299">
        <v>85</v>
      </c>
      <c r="Z299" t="s">
        <v>44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85</v>
      </c>
      <c r="AQ299">
        <f t="shared" si="11"/>
        <v>85</v>
      </c>
      <c r="AR299" s="5">
        <f>VLOOKUP(F299,'[1]Cost Sheet'!$C:$D,2,0)</f>
        <v>31.06</v>
      </c>
      <c r="AS299" s="5">
        <f t="shared" si="10"/>
        <v>2640.1</v>
      </c>
    </row>
    <row r="300" spans="1:45" x14ac:dyDescent="0.3">
      <c r="A300" s="1">
        <v>45900.961111111108</v>
      </c>
      <c r="B300" t="s">
        <v>617</v>
      </c>
      <c r="C300" t="s">
        <v>618</v>
      </c>
      <c r="D300" t="s">
        <v>965</v>
      </c>
      <c r="E300" t="s">
        <v>965</v>
      </c>
      <c r="F300" t="s">
        <v>1932</v>
      </c>
      <c r="G300" t="s">
        <v>966</v>
      </c>
      <c r="H300" t="s">
        <v>635</v>
      </c>
      <c r="I300" t="s">
        <v>43</v>
      </c>
      <c r="N300">
        <v>597</v>
      </c>
      <c r="O300">
        <v>0</v>
      </c>
      <c r="P300">
        <v>0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>
        <v>43</v>
      </c>
      <c r="W300" t="s">
        <v>44</v>
      </c>
      <c r="X300" t="s">
        <v>44</v>
      </c>
      <c r="Y300">
        <v>43</v>
      </c>
      <c r="Z300" t="s">
        <v>44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43</v>
      </c>
      <c r="AQ300">
        <f t="shared" si="11"/>
        <v>43</v>
      </c>
      <c r="AR300" s="5">
        <f>VLOOKUP(F300,'[1]Cost Sheet'!$C:$D,2,0)</f>
        <v>26.914999999999996</v>
      </c>
      <c r="AS300" s="5">
        <f t="shared" si="10"/>
        <v>1157.3449999999998</v>
      </c>
    </row>
    <row r="301" spans="1:45" x14ac:dyDescent="0.3">
      <c r="A301" s="1">
        <v>45900.961111111108</v>
      </c>
      <c r="B301" t="s">
        <v>617</v>
      </c>
      <c r="C301" t="s">
        <v>618</v>
      </c>
      <c r="D301" t="s">
        <v>967</v>
      </c>
      <c r="E301" t="s">
        <v>967</v>
      </c>
      <c r="F301" t="s">
        <v>1933</v>
      </c>
      <c r="G301" t="s">
        <v>968</v>
      </c>
      <c r="H301" t="s">
        <v>635</v>
      </c>
      <c r="I301" t="s">
        <v>43</v>
      </c>
      <c r="N301">
        <v>222</v>
      </c>
      <c r="O301">
        <v>0</v>
      </c>
      <c r="P301">
        <v>0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>
        <v>8</v>
      </c>
      <c r="W301" t="s">
        <v>44</v>
      </c>
      <c r="X301" t="s">
        <v>44</v>
      </c>
      <c r="Y301">
        <v>8</v>
      </c>
      <c r="Z301" t="s">
        <v>44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8</v>
      </c>
      <c r="AQ301">
        <f t="shared" si="11"/>
        <v>8</v>
      </c>
      <c r="AR301" s="5">
        <f>VLOOKUP(F301,'[1]Cost Sheet'!$C:$D,2,0)</f>
        <v>37.06</v>
      </c>
      <c r="AS301" s="5">
        <f t="shared" si="10"/>
        <v>296.48</v>
      </c>
    </row>
    <row r="302" spans="1:45" x14ac:dyDescent="0.3">
      <c r="A302" s="1">
        <v>45900.961111111108</v>
      </c>
      <c r="B302" t="s">
        <v>617</v>
      </c>
      <c r="C302" t="s">
        <v>618</v>
      </c>
      <c r="D302" t="s">
        <v>969</v>
      </c>
      <c r="E302" t="s">
        <v>969</v>
      </c>
      <c r="F302" t="s">
        <v>1934</v>
      </c>
      <c r="G302" t="s">
        <v>970</v>
      </c>
      <c r="H302" t="s">
        <v>635</v>
      </c>
      <c r="I302" t="s">
        <v>43</v>
      </c>
      <c r="N302">
        <v>864</v>
      </c>
      <c r="O302">
        <v>0</v>
      </c>
      <c r="P302">
        <v>0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>
        <v>25</v>
      </c>
      <c r="W302" t="s">
        <v>44</v>
      </c>
      <c r="X302" t="s">
        <v>44</v>
      </c>
      <c r="Y302">
        <v>25</v>
      </c>
      <c r="Z302" t="s">
        <v>44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25</v>
      </c>
      <c r="AQ302">
        <f t="shared" si="11"/>
        <v>25</v>
      </c>
      <c r="AR302" s="5">
        <f>VLOOKUP(F302,'[1]Cost Sheet'!$C:$D,2,0)</f>
        <v>31.706666666666667</v>
      </c>
      <c r="AS302" s="5">
        <f t="shared" si="10"/>
        <v>792.66666666666663</v>
      </c>
    </row>
    <row r="303" spans="1:45" x14ac:dyDescent="0.3">
      <c r="A303" s="1">
        <v>45900.961111111108</v>
      </c>
      <c r="B303" t="s">
        <v>617</v>
      </c>
      <c r="C303" t="s">
        <v>618</v>
      </c>
      <c r="D303" t="s">
        <v>971</v>
      </c>
      <c r="E303" t="s">
        <v>971</v>
      </c>
      <c r="F303" t="s">
        <v>1935</v>
      </c>
      <c r="G303" t="s">
        <v>972</v>
      </c>
      <c r="H303" t="s">
        <v>635</v>
      </c>
      <c r="I303" t="s">
        <v>43</v>
      </c>
      <c r="N303">
        <v>820</v>
      </c>
      <c r="O303">
        <v>0</v>
      </c>
      <c r="P303">
        <v>0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>
        <v>27</v>
      </c>
      <c r="W303" t="s">
        <v>44</v>
      </c>
      <c r="X303" t="s">
        <v>44</v>
      </c>
      <c r="Y303">
        <v>27</v>
      </c>
      <c r="Z303" t="s">
        <v>44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27</v>
      </c>
      <c r="AQ303">
        <f t="shared" si="11"/>
        <v>27</v>
      </c>
      <c r="AR303" s="5">
        <f>VLOOKUP(F303,'[1]Cost Sheet'!$C:$D,2,0)</f>
        <v>43.71</v>
      </c>
      <c r="AS303" s="5">
        <f t="shared" si="10"/>
        <v>1180.17</v>
      </c>
    </row>
    <row r="304" spans="1:45" x14ac:dyDescent="0.3">
      <c r="A304" s="1">
        <v>45900.961111111108</v>
      </c>
      <c r="B304" t="s">
        <v>617</v>
      </c>
      <c r="C304" t="s">
        <v>618</v>
      </c>
      <c r="D304" t="s">
        <v>973</v>
      </c>
      <c r="E304" t="s">
        <v>973</v>
      </c>
      <c r="F304" t="s">
        <v>1936</v>
      </c>
      <c r="G304" t="s">
        <v>974</v>
      </c>
      <c r="H304" t="s">
        <v>635</v>
      </c>
      <c r="I304" t="s">
        <v>43</v>
      </c>
      <c r="N304">
        <v>544</v>
      </c>
      <c r="O304">
        <v>0</v>
      </c>
      <c r="P304">
        <v>0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>
        <v>64</v>
      </c>
      <c r="W304" t="s">
        <v>44</v>
      </c>
      <c r="X304" t="s">
        <v>44</v>
      </c>
      <c r="Y304">
        <v>64</v>
      </c>
      <c r="Z304" t="s">
        <v>44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64</v>
      </c>
      <c r="AQ304">
        <f t="shared" si="11"/>
        <v>64</v>
      </c>
      <c r="AR304" s="5">
        <f>VLOOKUP(F304,'[1]Cost Sheet'!$C:$D,2,0)</f>
        <v>52.11</v>
      </c>
      <c r="AS304" s="5">
        <f t="shared" si="10"/>
        <v>3335.04</v>
      </c>
    </row>
    <row r="305" spans="1:45" x14ac:dyDescent="0.3">
      <c r="A305" s="1">
        <v>45900.961111111108</v>
      </c>
      <c r="B305" t="s">
        <v>617</v>
      </c>
      <c r="C305" t="s">
        <v>618</v>
      </c>
      <c r="D305" t="s">
        <v>975</v>
      </c>
      <c r="E305" t="s">
        <v>975</v>
      </c>
      <c r="F305" t="s">
        <v>1937</v>
      </c>
      <c r="G305" t="s">
        <v>976</v>
      </c>
      <c r="H305" t="s">
        <v>635</v>
      </c>
      <c r="I305" t="s">
        <v>43</v>
      </c>
      <c r="N305">
        <v>762</v>
      </c>
      <c r="O305">
        <v>0</v>
      </c>
      <c r="P305">
        <v>0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>
        <v>76</v>
      </c>
      <c r="W305" t="s">
        <v>44</v>
      </c>
      <c r="X305" t="s">
        <v>44</v>
      </c>
      <c r="Y305">
        <v>76</v>
      </c>
      <c r="Z305" t="s">
        <v>44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76</v>
      </c>
      <c r="AQ305">
        <f t="shared" si="11"/>
        <v>76</v>
      </c>
      <c r="AR305" s="5">
        <f>VLOOKUP(F305,'[1]Cost Sheet'!$C:$D,2,0)</f>
        <v>113.26</v>
      </c>
      <c r="AS305" s="5">
        <f t="shared" si="10"/>
        <v>8607.76</v>
      </c>
    </row>
    <row r="306" spans="1:45" x14ac:dyDescent="0.3">
      <c r="A306" s="1">
        <v>45900.961111111108</v>
      </c>
      <c r="B306" t="s">
        <v>617</v>
      </c>
      <c r="C306" t="s">
        <v>618</v>
      </c>
      <c r="D306" t="s">
        <v>977</v>
      </c>
      <c r="E306" t="s">
        <v>977</v>
      </c>
      <c r="F306" t="s">
        <v>1938</v>
      </c>
      <c r="G306" t="s">
        <v>978</v>
      </c>
      <c r="H306" t="s">
        <v>635</v>
      </c>
      <c r="I306" t="s">
        <v>43</v>
      </c>
      <c r="N306">
        <v>729</v>
      </c>
      <c r="O306">
        <v>0</v>
      </c>
      <c r="P306">
        <v>0</v>
      </c>
      <c r="Q306" t="s">
        <v>44</v>
      </c>
      <c r="R306">
        <v>127</v>
      </c>
      <c r="S306" t="s">
        <v>44</v>
      </c>
      <c r="T306" t="s">
        <v>44</v>
      </c>
      <c r="U306" t="s">
        <v>44</v>
      </c>
      <c r="V306">
        <v>46</v>
      </c>
      <c r="W306" t="s">
        <v>44</v>
      </c>
      <c r="X306" t="s">
        <v>44</v>
      </c>
      <c r="Y306">
        <v>46</v>
      </c>
      <c r="Z306" t="s">
        <v>44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46</v>
      </c>
      <c r="AQ306">
        <f t="shared" si="11"/>
        <v>46</v>
      </c>
      <c r="AR306" s="5">
        <f>VLOOKUP(F306,'[1]Cost Sheet'!$C:$D,2,0)</f>
        <v>99.63</v>
      </c>
      <c r="AS306" s="5">
        <f t="shared" si="10"/>
        <v>4582.9799999999996</v>
      </c>
    </row>
    <row r="307" spans="1:45" x14ac:dyDescent="0.3">
      <c r="A307" s="1">
        <v>45900.961111111108</v>
      </c>
      <c r="B307" t="s">
        <v>617</v>
      </c>
      <c r="C307" t="s">
        <v>618</v>
      </c>
      <c r="D307" t="s">
        <v>979</v>
      </c>
      <c r="E307" t="s">
        <v>979</v>
      </c>
      <c r="F307" t="s">
        <v>1939</v>
      </c>
      <c r="G307" t="s">
        <v>980</v>
      </c>
      <c r="H307" t="s">
        <v>635</v>
      </c>
      <c r="I307" t="s">
        <v>43</v>
      </c>
      <c r="N307">
        <v>455</v>
      </c>
      <c r="O307">
        <v>0</v>
      </c>
      <c r="P307">
        <v>0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>
        <v>28</v>
      </c>
      <c r="W307" t="s">
        <v>44</v>
      </c>
      <c r="X307" t="s">
        <v>44</v>
      </c>
      <c r="Y307">
        <v>28</v>
      </c>
      <c r="Z307" t="s">
        <v>44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28</v>
      </c>
      <c r="AQ307">
        <f t="shared" si="11"/>
        <v>28</v>
      </c>
      <c r="AR307" s="5">
        <f>VLOOKUP(F307,'[1]Cost Sheet'!$C:$D,2,0)</f>
        <v>67.05</v>
      </c>
      <c r="AS307" s="5">
        <f t="shared" si="10"/>
        <v>1877.3999999999999</v>
      </c>
    </row>
    <row r="308" spans="1:45" x14ac:dyDescent="0.3">
      <c r="A308" s="1">
        <v>45900.961111111108</v>
      </c>
      <c r="B308" t="s">
        <v>617</v>
      </c>
      <c r="C308" t="s">
        <v>618</v>
      </c>
      <c r="D308" t="s">
        <v>981</v>
      </c>
      <c r="E308" t="s">
        <v>981</v>
      </c>
      <c r="F308" t="s">
        <v>1940</v>
      </c>
      <c r="G308" t="s">
        <v>982</v>
      </c>
      <c r="H308" t="s">
        <v>635</v>
      </c>
      <c r="I308" t="s">
        <v>43</v>
      </c>
      <c r="N308">
        <v>586</v>
      </c>
      <c r="O308">
        <v>0</v>
      </c>
      <c r="P308">
        <v>0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>
        <v>26</v>
      </c>
      <c r="W308" t="s">
        <v>44</v>
      </c>
      <c r="X308" t="s">
        <v>44</v>
      </c>
      <c r="Y308">
        <v>26</v>
      </c>
      <c r="Z308" t="s">
        <v>44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26</v>
      </c>
      <c r="AQ308">
        <f t="shared" si="11"/>
        <v>26</v>
      </c>
      <c r="AR308" s="5">
        <f>VLOOKUP(F308,'[1]Cost Sheet'!$C:$D,2,0)</f>
        <v>25.930000000000003</v>
      </c>
      <c r="AS308" s="5">
        <f t="shared" si="10"/>
        <v>674.18000000000006</v>
      </c>
    </row>
    <row r="309" spans="1:45" x14ac:dyDescent="0.3">
      <c r="A309" s="1">
        <v>45900.961111111108</v>
      </c>
      <c r="B309" t="s">
        <v>617</v>
      </c>
      <c r="C309" t="s">
        <v>618</v>
      </c>
      <c r="D309" t="s">
        <v>983</v>
      </c>
      <c r="E309" t="s">
        <v>983</v>
      </c>
      <c r="F309" t="s">
        <v>1941</v>
      </c>
      <c r="G309" t="s">
        <v>984</v>
      </c>
      <c r="H309" t="s">
        <v>635</v>
      </c>
      <c r="I309" t="s">
        <v>43</v>
      </c>
      <c r="N309">
        <v>869</v>
      </c>
      <c r="O309">
        <v>0</v>
      </c>
      <c r="P309">
        <v>0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>
        <v>22</v>
      </c>
      <c r="W309" t="s">
        <v>44</v>
      </c>
      <c r="X309" t="s">
        <v>44</v>
      </c>
      <c r="Y309">
        <v>22</v>
      </c>
      <c r="Z309" t="s">
        <v>44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22</v>
      </c>
      <c r="AQ309">
        <f t="shared" si="11"/>
        <v>22</v>
      </c>
      <c r="AR309" s="5">
        <f>VLOOKUP(F309,'[1]Cost Sheet'!$C:$D,2,0)</f>
        <v>43.38</v>
      </c>
      <c r="AS309" s="5">
        <f t="shared" si="10"/>
        <v>954.36</v>
      </c>
    </row>
    <row r="310" spans="1:45" x14ac:dyDescent="0.3">
      <c r="A310" s="1">
        <v>45900.961111111108</v>
      </c>
      <c r="B310" t="s">
        <v>617</v>
      </c>
      <c r="C310" t="s">
        <v>618</v>
      </c>
      <c r="D310" t="s">
        <v>985</v>
      </c>
      <c r="E310" t="s">
        <v>985</v>
      </c>
      <c r="F310" t="s">
        <v>1942</v>
      </c>
      <c r="G310" t="s">
        <v>986</v>
      </c>
      <c r="H310" t="s">
        <v>635</v>
      </c>
      <c r="I310" t="s">
        <v>43</v>
      </c>
      <c r="N310">
        <v>573</v>
      </c>
      <c r="O310">
        <v>0</v>
      </c>
      <c r="P310">
        <v>0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>
        <v>13</v>
      </c>
      <c r="W310" t="s">
        <v>44</v>
      </c>
      <c r="X310" t="s">
        <v>44</v>
      </c>
      <c r="Y310">
        <v>13</v>
      </c>
      <c r="Z310" t="s">
        <v>44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13</v>
      </c>
      <c r="AQ310">
        <f t="shared" si="11"/>
        <v>13</v>
      </c>
      <c r="AR310" s="5">
        <f>VLOOKUP(F310,'[1]Cost Sheet'!$C:$D,2,0)</f>
        <v>131.68</v>
      </c>
      <c r="AS310" s="5">
        <f t="shared" si="10"/>
        <v>1711.8400000000001</v>
      </c>
    </row>
    <row r="311" spans="1:45" x14ac:dyDescent="0.3">
      <c r="A311" s="1">
        <v>45900.961111111108</v>
      </c>
      <c r="B311" t="s">
        <v>617</v>
      </c>
      <c r="C311" t="s">
        <v>618</v>
      </c>
      <c r="D311" t="s">
        <v>987</v>
      </c>
      <c r="E311" t="s">
        <v>987</v>
      </c>
      <c r="F311" t="s">
        <v>1943</v>
      </c>
      <c r="G311" t="s">
        <v>988</v>
      </c>
      <c r="H311" t="s">
        <v>635</v>
      </c>
      <c r="I311" t="s">
        <v>43</v>
      </c>
      <c r="N311">
        <v>806</v>
      </c>
      <c r="O311">
        <v>0</v>
      </c>
      <c r="P311">
        <v>0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>
        <v>42</v>
      </c>
      <c r="W311" t="s">
        <v>44</v>
      </c>
      <c r="X311" t="s">
        <v>44</v>
      </c>
      <c r="Y311">
        <v>42</v>
      </c>
      <c r="Z311" t="s">
        <v>44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42</v>
      </c>
      <c r="AQ311">
        <f t="shared" si="11"/>
        <v>42</v>
      </c>
      <c r="AR311" s="5">
        <f>VLOOKUP(F311,'[1]Cost Sheet'!$C:$D,2,0)</f>
        <v>67.69</v>
      </c>
      <c r="AS311" s="5">
        <f t="shared" si="10"/>
        <v>2842.98</v>
      </c>
    </row>
    <row r="312" spans="1:45" x14ac:dyDescent="0.3">
      <c r="A312" s="1">
        <v>45900.961111111108</v>
      </c>
      <c r="B312" t="s">
        <v>617</v>
      </c>
      <c r="C312" t="s">
        <v>618</v>
      </c>
      <c r="D312" t="s">
        <v>989</v>
      </c>
      <c r="E312" t="s">
        <v>989</v>
      </c>
      <c r="F312" t="s">
        <v>1944</v>
      </c>
      <c r="G312" t="s">
        <v>990</v>
      </c>
      <c r="H312" t="s">
        <v>635</v>
      </c>
      <c r="I312" t="s">
        <v>43</v>
      </c>
      <c r="N312">
        <v>319</v>
      </c>
      <c r="O312">
        <v>0</v>
      </c>
      <c r="P312">
        <v>0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>
        <v>45</v>
      </c>
      <c r="W312" t="s">
        <v>44</v>
      </c>
      <c r="X312" t="s">
        <v>44</v>
      </c>
      <c r="Y312">
        <v>45</v>
      </c>
      <c r="Z312" t="s">
        <v>44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45</v>
      </c>
      <c r="AQ312">
        <f t="shared" si="11"/>
        <v>45</v>
      </c>
      <c r="AR312" s="5">
        <f>VLOOKUP(F312,'[1]Cost Sheet'!$C:$D,2,0)</f>
        <v>61.93</v>
      </c>
      <c r="AS312" s="5">
        <f t="shared" si="10"/>
        <v>2786.85</v>
      </c>
    </row>
    <row r="313" spans="1:45" x14ac:dyDescent="0.3">
      <c r="A313" s="1">
        <v>45900.961111111108</v>
      </c>
      <c r="B313" t="s">
        <v>617</v>
      </c>
      <c r="C313" t="s">
        <v>618</v>
      </c>
      <c r="D313" t="s">
        <v>991</v>
      </c>
      <c r="E313" t="s">
        <v>991</v>
      </c>
      <c r="F313" t="s">
        <v>1945</v>
      </c>
      <c r="G313" t="s">
        <v>992</v>
      </c>
      <c r="H313" t="s">
        <v>635</v>
      </c>
      <c r="I313" t="s">
        <v>43</v>
      </c>
      <c r="N313">
        <v>302</v>
      </c>
      <c r="O313">
        <v>0</v>
      </c>
      <c r="P313">
        <v>0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>
        <v>38</v>
      </c>
      <c r="W313" t="s">
        <v>44</v>
      </c>
      <c r="X313" t="s">
        <v>44</v>
      </c>
      <c r="Y313">
        <v>38</v>
      </c>
      <c r="Z313" t="s">
        <v>44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38</v>
      </c>
      <c r="AQ313">
        <f t="shared" si="11"/>
        <v>38</v>
      </c>
      <c r="AR313" s="5">
        <f>VLOOKUP(F313,'[1]Cost Sheet'!$C:$D,2,0)</f>
        <v>61.45</v>
      </c>
      <c r="AS313" s="5">
        <f t="shared" si="10"/>
        <v>2335.1</v>
      </c>
    </row>
    <row r="314" spans="1:45" x14ac:dyDescent="0.3">
      <c r="A314" s="1">
        <v>45900.961111111108</v>
      </c>
      <c r="B314" t="s">
        <v>617</v>
      </c>
      <c r="C314" t="s">
        <v>618</v>
      </c>
      <c r="D314" t="s">
        <v>993</v>
      </c>
      <c r="E314" t="s">
        <v>993</v>
      </c>
      <c r="F314" t="s">
        <v>1946</v>
      </c>
      <c r="G314" t="s">
        <v>994</v>
      </c>
      <c r="H314" t="s">
        <v>635</v>
      </c>
      <c r="I314" t="s">
        <v>43</v>
      </c>
      <c r="N314">
        <v>414</v>
      </c>
      <c r="O314">
        <v>0</v>
      </c>
      <c r="P314">
        <v>0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>
        <v>79</v>
      </c>
      <c r="W314" t="s">
        <v>44</v>
      </c>
      <c r="X314" t="s">
        <v>44</v>
      </c>
      <c r="Y314">
        <v>79</v>
      </c>
      <c r="Z314" t="s">
        <v>44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79</v>
      </c>
      <c r="AQ314">
        <f t="shared" si="11"/>
        <v>79</v>
      </c>
      <c r="AR314" s="5">
        <f>VLOOKUP(F314,'[1]Cost Sheet'!$C:$D,2,0)</f>
        <v>57</v>
      </c>
      <c r="AS314" s="5">
        <f t="shared" si="10"/>
        <v>4503</v>
      </c>
    </row>
    <row r="315" spans="1:45" x14ac:dyDescent="0.3">
      <c r="A315" s="1">
        <v>45900.961111111108</v>
      </c>
      <c r="B315" t="s">
        <v>617</v>
      </c>
      <c r="C315" t="s">
        <v>618</v>
      </c>
      <c r="D315" t="s">
        <v>995</v>
      </c>
      <c r="E315" t="s">
        <v>995</v>
      </c>
      <c r="F315" t="s">
        <v>1947</v>
      </c>
      <c r="G315" t="s">
        <v>996</v>
      </c>
      <c r="H315" t="s">
        <v>635</v>
      </c>
      <c r="I315" t="s">
        <v>43</v>
      </c>
      <c r="N315">
        <v>427</v>
      </c>
      <c r="O315">
        <v>0</v>
      </c>
      <c r="P315">
        <v>0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>
        <v>30</v>
      </c>
      <c r="W315" t="s">
        <v>44</v>
      </c>
      <c r="X315" t="s">
        <v>44</v>
      </c>
      <c r="Y315">
        <v>30</v>
      </c>
      <c r="Z315" t="s">
        <v>44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30</v>
      </c>
      <c r="AQ315">
        <f t="shared" si="11"/>
        <v>30</v>
      </c>
      <c r="AR315" s="5">
        <f>VLOOKUP(F315,'[1]Cost Sheet'!$C:$D,2,0)</f>
        <v>106.31</v>
      </c>
      <c r="AS315" s="5">
        <f t="shared" si="10"/>
        <v>3189.3</v>
      </c>
    </row>
    <row r="316" spans="1:45" x14ac:dyDescent="0.3">
      <c r="A316" s="1">
        <v>45900.961111111108</v>
      </c>
      <c r="B316" t="s">
        <v>617</v>
      </c>
      <c r="C316" t="s">
        <v>618</v>
      </c>
      <c r="D316" t="s">
        <v>997</v>
      </c>
      <c r="E316" t="s">
        <v>997</v>
      </c>
      <c r="F316" t="s">
        <v>1948</v>
      </c>
      <c r="G316" t="s">
        <v>998</v>
      </c>
      <c r="H316" t="s">
        <v>635</v>
      </c>
      <c r="I316" t="s">
        <v>43</v>
      </c>
      <c r="N316">
        <v>532</v>
      </c>
      <c r="O316">
        <v>0</v>
      </c>
      <c r="P316">
        <v>0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>
        <v>35</v>
      </c>
      <c r="W316" t="s">
        <v>44</v>
      </c>
      <c r="X316" t="s">
        <v>44</v>
      </c>
      <c r="Y316">
        <v>35</v>
      </c>
      <c r="Z316" t="s">
        <v>44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35</v>
      </c>
      <c r="AQ316">
        <f t="shared" si="11"/>
        <v>35</v>
      </c>
      <c r="AR316" s="5">
        <f>VLOOKUP(F316,'[1]Cost Sheet'!$C:$D,2,0)</f>
        <v>116.69999999999999</v>
      </c>
      <c r="AS316" s="5">
        <f t="shared" si="10"/>
        <v>4084.4999999999995</v>
      </c>
    </row>
    <row r="317" spans="1:45" x14ac:dyDescent="0.3">
      <c r="A317" s="1">
        <v>45900.961111111108</v>
      </c>
      <c r="B317" t="s">
        <v>617</v>
      </c>
      <c r="C317" t="s">
        <v>618</v>
      </c>
      <c r="D317" t="s">
        <v>999</v>
      </c>
      <c r="E317" t="s">
        <v>999</v>
      </c>
      <c r="F317" t="s">
        <v>1949</v>
      </c>
      <c r="G317" t="s">
        <v>1000</v>
      </c>
      <c r="H317" t="s">
        <v>635</v>
      </c>
      <c r="I317" t="s">
        <v>43</v>
      </c>
      <c r="N317">
        <v>476</v>
      </c>
      <c r="O317">
        <v>0</v>
      </c>
      <c r="P317">
        <v>0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>
        <v>34</v>
      </c>
      <c r="W317" t="s">
        <v>44</v>
      </c>
      <c r="X317" t="s">
        <v>44</v>
      </c>
      <c r="Y317">
        <v>34</v>
      </c>
      <c r="Z317" t="s">
        <v>44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34</v>
      </c>
      <c r="AQ317">
        <f t="shared" si="11"/>
        <v>34</v>
      </c>
      <c r="AR317" s="5">
        <f>VLOOKUP(F317,'[1]Cost Sheet'!$C:$D,2,0)</f>
        <v>106.44999999999999</v>
      </c>
      <c r="AS317" s="5">
        <f t="shared" si="10"/>
        <v>3619.2999999999997</v>
      </c>
    </row>
    <row r="318" spans="1:45" x14ac:dyDescent="0.3">
      <c r="A318" s="1">
        <v>45900.961111111108</v>
      </c>
      <c r="B318" t="s">
        <v>617</v>
      </c>
      <c r="C318" t="s">
        <v>618</v>
      </c>
      <c r="D318" t="s">
        <v>1001</v>
      </c>
      <c r="E318" t="s">
        <v>1001</v>
      </c>
      <c r="F318" t="s">
        <v>1950</v>
      </c>
      <c r="G318" t="s">
        <v>1002</v>
      </c>
      <c r="H318" t="s">
        <v>635</v>
      </c>
      <c r="I318" t="s">
        <v>43</v>
      </c>
      <c r="N318">
        <v>710</v>
      </c>
      <c r="O318">
        <v>0</v>
      </c>
      <c r="P318">
        <v>0</v>
      </c>
      <c r="Q318" t="s">
        <v>44</v>
      </c>
      <c r="R318">
        <v>57</v>
      </c>
      <c r="S318" t="s">
        <v>44</v>
      </c>
      <c r="T318" t="s">
        <v>44</v>
      </c>
      <c r="U318" t="s">
        <v>44</v>
      </c>
      <c r="V318">
        <v>34</v>
      </c>
      <c r="W318" t="s">
        <v>44</v>
      </c>
      <c r="X318" t="s">
        <v>44</v>
      </c>
      <c r="Y318">
        <v>34</v>
      </c>
      <c r="Z318" t="s">
        <v>44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34</v>
      </c>
      <c r="AQ318">
        <f t="shared" si="11"/>
        <v>34</v>
      </c>
      <c r="AR318" s="5">
        <f>VLOOKUP(F318,'[1]Cost Sheet'!$C:$D,2,0)</f>
        <v>152.38000000000002</v>
      </c>
      <c r="AS318" s="5">
        <f t="shared" si="10"/>
        <v>5180.920000000001</v>
      </c>
    </row>
    <row r="319" spans="1:45" x14ac:dyDescent="0.3">
      <c r="A319" s="1">
        <v>45900.961111111108</v>
      </c>
      <c r="B319" t="s">
        <v>617</v>
      </c>
      <c r="C319" t="s">
        <v>618</v>
      </c>
      <c r="D319" t="s">
        <v>1003</v>
      </c>
      <c r="E319" t="s">
        <v>1003</v>
      </c>
      <c r="F319" t="s">
        <v>1951</v>
      </c>
      <c r="G319" t="s">
        <v>1004</v>
      </c>
      <c r="H319" t="s">
        <v>635</v>
      </c>
      <c r="I319" t="s">
        <v>43</v>
      </c>
      <c r="N319">
        <v>489</v>
      </c>
      <c r="O319">
        <v>0</v>
      </c>
      <c r="P319">
        <v>0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>
        <v>76</v>
      </c>
      <c r="W319" t="s">
        <v>44</v>
      </c>
      <c r="X319" t="s">
        <v>44</v>
      </c>
      <c r="Y319">
        <v>76</v>
      </c>
      <c r="Z319" t="s">
        <v>44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76</v>
      </c>
      <c r="AQ319">
        <f t="shared" si="11"/>
        <v>76</v>
      </c>
      <c r="AR319" s="5">
        <f>VLOOKUP(F319,'[1]Cost Sheet'!$C:$D,2,0)</f>
        <v>36.78</v>
      </c>
      <c r="AS319" s="5">
        <f t="shared" si="10"/>
        <v>2795.28</v>
      </c>
    </row>
    <row r="320" spans="1:45" x14ac:dyDescent="0.3">
      <c r="A320" s="1">
        <v>45900.961111111108</v>
      </c>
      <c r="B320" t="s">
        <v>617</v>
      </c>
      <c r="C320" t="s">
        <v>618</v>
      </c>
      <c r="D320" t="s">
        <v>1005</v>
      </c>
      <c r="E320" t="s">
        <v>1005</v>
      </c>
      <c r="F320" t="s">
        <v>1952</v>
      </c>
      <c r="G320" t="s">
        <v>1006</v>
      </c>
      <c r="H320" t="s">
        <v>635</v>
      </c>
      <c r="I320" t="s">
        <v>43</v>
      </c>
      <c r="N320">
        <v>395</v>
      </c>
      <c r="O320">
        <v>0</v>
      </c>
      <c r="P320">
        <v>0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>
        <v>34</v>
      </c>
      <c r="W320" t="s">
        <v>44</v>
      </c>
      <c r="X320" t="s">
        <v>44</v>
      </c>
      <c r="Y320">
        <v>34</v>
      </c>
      <c r="Z320" t="s">
        <v>44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34</v>
      </c>
      <c r="AQ320">
        <f t="shared" si="11"/>
        <v>34</v>
      </c>
      <c r="AR320" s="5">
        <f>VLOOKUP(F320,'[1]Cost Sheet'!$C:$D,2,0)</f>
        <v>28.3</v>
      </c>
      <c r="AS320" s="5">
        <f t="shared" si="10"/>
        <v>962.2</v>
      </c>
    </row>
    <row r="321" spans="1:45" x14ac:dyDescent="0.3">
      <c r="A321" s="1">
        <v>45900.961111111108</v>
      </c>
      <c r="B321" t="s">
        <v>617</v>
      </c>
      <c r="C321" t="s">
        <v>618</v>
      </c>
      <c r="D321" t="s">
        <v>1007</v>
      </c>
      <c r="E321" t="s">
        <v>1007</v>
      </c>
      <c r="F321" t="s">
        <v>1953</v>
      </c>
      <c r="G321" t="s">
        <v>1008</v>
      </c>
      <c r="H321" t="s">
        <v>635</v>
      </c>
      <c r="I321" t="s">
        <v>43</v>
      </c>
      <c r="N321">
        <v>866</v>
      </c>
      <c r="O321">
        <v>0</v>
      </c>
      <c r="P321">
        <v>0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>
        <v>71</v>
      </c>
      <c r="W321" t="s">
        <v>44</v>
      </c>
      <c r="X321" t="s">
        <v>44</v>
      </c>
      <c r="Y321">
        <v>71</v>
      </c>
      <c r="Z321" t="s">
        <v>44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71</v>
      </c>
      <c r="AQ321">
        <f t="shared" si="11"/>
        <v>71</v>
      </c>
      <c r="AR321" s="5">
        <f>VLOOKUP(F321,'[1]Cost Sheet'!$C:$D,2,0)</f>
        <v>103.36</v>
      </c>
      <c r="AS321" s="5">
        <f t="shared" si="10"/>
        <v>7338.56</v>
      </c>
    </row>
    <row r="322" spans="1:45" x14ac:dyDescent="0.3">
      <c r="A322" s="1">
        <v>45900.961111111108</v>
      </c>
      <c r="B322" t="s">
        <v>617</v>
      </c>
      <c r="C322" t="s">
        <v>618</v>
      </c>
      <c r="D322" t="s">
        <v>1009</v>
      </c>
      <c r="E322" t="s">
        <v>1009</v>
      </c>
      <c r="F322" t="s">
        <v>1954</v>
      </c>
      <c r="G322" t="s">
        <v>1010</v>
      </c>
      <c r="H322" t="s">
        <v>635</v>
      </c>
      <c r="I322" t="s">
        <v>43</v>
      </c>
      <c r="N322">
        <v>603</v>
      </c>
      <c r="O322">
        <v>0</v>
      </c>
      <c r="P322">
        <v>0</v>
      </c>
      <c r="Q322" t="s">
        <v>44</v>
      </c>
      <c r="R322">
        <v>13</v>
      </c>
      <c r="S322" t="s">
        <v>44</v>
      </c>
      <c r="T322" t="s">
        <v>44</v>
      </c>
      <c r="U322" t="s">
        <v>44</v>
      </c>
      <c r="V322">
        <v>17</v>
      </c>
      <c r="W322" t="s">
        <v>44</v>
      </c>
      <c r="X322" t="s">
        <v>44</v>
      </c>
      <c r="Y322">
        <v>17</v>
      </c>
      <c r="Z322" t="s">
        <v>44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17</v>
      </c>
      <c r="AQ322">
        <f t="shared" si="11"/>
        <v>17</v>
      </c>
      <c r="AR322" s="5">
        <f>VLOOKUP(F322,'[1]Cost Sheet'!$C:$D,2,0)</f>
        <v>50.08</v>
      </c>
      <c r="AS322" s="5">
        <f t="shared" si="10"/>
        <v>851.36</v>
      </c>
    </row>
    <row r="323" spans="1:45" x14ac:dyDescent="0.3">
      <c r="A323" s="1">
        <v>45900.961111111108</v>
      </c>
      <c r="B323" t="s">
        <v>617</v>
      </c>
      <c r="C323" t="s">
        <v>618</v>
      </c>
      <c r="D323" t="s">
        <v>1011</v>
      </c>
      <c r="E323" t="s">
        <v>1011</v>
      </c>
      <c r="F323" t="s">
        <v>1955</v>
      </c>
      <c r="G323" t="s">
        <v>1012</v>
      </c>
      <c r="H323" t="s">
        <v>635</v>
      </c>
      <c r="I323" t="s">
        <v>43</v>
      </c>
      <c r="N323">
        <v>597</v>
      </c>
      <c r="O323">
        <v>0</v>
      </c>
      <c r="P323">
        <v>0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>
        <v>52</v>
      </c>
      <c r="W323" t="s">
        <v>44</v>
      </c>
      <c r="X323" t="s">
        <v>44</v>
      </c>
      <c r="Y323">
        <v>52</v>
      </c>
      <c r="Z323" t="s">
        <v>44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52</v>
      </c>
      <c r="AQ323">
        <f t="shared" si="11"/>
        <v>52</v>
      </c>
      <c r="AR323" s="5">
        <f>VLOOKUP(F323,'[1]Cost Sheet'!$C:$D,2,0)</f>
        <v>105.05000000000001</v>
      </c>
      <c r="AS323" s="5">
        <f t="shared" ref="AS323:AS386" si="12">AQ323*AR323</f>
        <v>5462.6</v>
      </c>
    </row>
    <row r="324" spans="1:45" x14ac:dyDescent="0.3">
      <c r="A324" s="1">
        <v>45900.961111111108</v>
      </c>
      <c r="B324" t="s">
        <v>617</v>
      </c>
      <c r="C324" t="s">
        <v>618</v>
      </c>
      <c r="D324" t="s">
        <v>1013</v>
      </c>
      <c r="E324" t="s">
        <v>1013</v>
      </c>
      <c r="F324" t="s">
        <v>1956</v>
      </c>
      <c r="G324" t="s">
        <v>1014</v>
      </c>
      <c r="H324" t="s">
        <v>635</v>
      </c>
      <c r="I324" t="s">
        <v>43</v>
      </c>
      <c r="N324">
        <v>765</v>
      </c>
      <c r="O324">
        <v>0</v>
      </c>
      <c r="P324">
        <v>0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>
        <v>24</v>
      </c>
      <c r="W324" t="s">
        <v>44</v>
      </c>
      <c r="X324" t="s">
        <v>44</v>
      </c>
      <c r="Y324">
        <v>24</v>
      </c>
      <c r="Z324" t="s">
        <v>44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24</v>
      </c>
      <c r="AQ324">
        <f t="shared" si="11"/>
        <v>24</v>
      </c>
      <c r="AR324" s="5">
        <f>VLOOKUP(F324,'[1]Cost Sheet'!$C:$D,2,0)</f>
        <v>100.13</v>
      </c>
      <c r="AS324" s="5">
        <f t="shared" si="12"/>
        <v>2403.12</v>
      </c>
    </row>
    <row r="325" spans="1:45" x14ac:dyDescent="0.3">
      <c r="A325" s="1">
        <v>45900.961111111108</v>
      </c>
      <c r="B325" t="s">
        <v>617</v>
      </c>
      <c r="C325" t="s">
        <v>618</v>
      </c>
      <c r="D325" t="s">
        <v>1015</v>
      </c>
      <c r="E325" t="s">
        <v>1015</v>
      </c>
      <c r="F325" t="s">
        <v>1957</v>
      </c>
      <c r="G325" t="s">
        <v>1016</v>
      </c>
      <c r="H325" t="s">
        <v>635</v>
      </c>
      <c r="I325" t="s">
        <v>43</v>
      </c>
      <c r="N325">
        <v>663</v>
      </c>
      <c r="O325">
        <v>0</v>
      </c>
      <c r="P325">
        <v>0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>
        <v>56</v>
      </c>
      <c r="W325" t="s">
        <v>44</v>
      </c>
      <c r="X325" t="s">
        <v>44</v>
      </c>
      <c r="Y325">
        <v>56</v>
      </c>
      <c r="Z325" t="s">
        <v>44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56</v>
      </c>
      <c r="AQ325">
        <f t="shared" si="11"/>
        <v>56</v>
      </c>
      <c r="AR325" s="5">
        <f>VLOOKUP(F325,'[1]Cost Sheet'!$C:$D,2,0)</f>
        <v>96.77</v>
      </c>
      <c r="AS325" s="5">
        <f t="shared" si="12"/>
        <v>5419.12</v>
      </c>
    </row>
    <row r="326" spans="1:45" x14ac:dyDescent="0.3">
      <c r="A326" s="1">
        <v>45900.961111111108</v>
      </c>
      <c r="B326" t="s">
        <v>617</v>
      </c>
      <c r="C326" t="s">
        <v>618</v>
      </c>
      <c r="D326" t="s">
        <v>1017</v>
      </c>
      <c r="E326" t="s">
        <v>1017</v>
      </c>
      <c r="F326" t="s">
        <v>1958</v>
      </c>
      <c r="G326" t="s">
        <v>1018</v>
      </c>
      <c r="H326" t="s">
        <v>635</v>
      </c>
      <c r="I326" t="s">
        <v>43</v>
      </c>
      <c r="N326">
        <v>930</v>
      </c>
      <c r="O326">
        <v>0</v>
      </c>
      <c r="P326">
        <v>0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>
        <v>83</v>
      </c>
      <c r="W326" t="s">
        <v>44</v>
      </c>
      <c r="X326" t="s">
        <v>44</v>
      </c>
      <c r="Y326">
        <v>83</v>
      </c>
      <c r="Z326" t="s">
        <v>44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83</v>
      </c>
      <c r="AQ326">
        <f t="shared" si="11"/>
        <v>83</v>
      </c>
      <c r="AR326" s="5">
        <f>VLOOKUP(F326,'[1]Cost Sheet'!$C:$D,2,0)</f>
        <v>61.997777777777777</v>
      </c>
      <c r="AS326" s="5">
        <f t="shared" si="12"/>
        <v>5145.8155555555559</v>
      </c>
    </row>
    <row r="327" spans="1:45" x14ac:dyDescent="0.3">
      <c r="A327" s="1">
        <v>45900.961111111108</v>
      </c>
      <c r="B327" t="s">
        <v>617</v>
      </c>
      <c r="C327" t="s">
        <v>618</v>
      </c>
      <c r="D327" t="s">
        <v>1019</v>
      </c>
      <c r="E327" t="s">
        <v>1019</v>
      </c>
      <c r="F327" t="s">
        <v>1959</v>
      </c>
      <c r="G327" t="s">
        <v>1020</v>
      </c>
      <c r="H327" t="s">
        <v>635</v>
      </c>
      <c r="I327" t="s">
        <v>43</v>
      </c>
      <c r="N327">
        <v>633</v>
      </c>
      <c r="O327">
        <v>0</v>
      </c>
      <c r="P327">
        <v>0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>
        <v>46</v>
      </c>
      <c r="W327" t="s">
        <v>44</v>
      </c>
      <c r="X327" t="s">
        <v>44</v>
      </c>
      <c r="Y327">
        <v>46</v>
      </c>
      <c r="Z327" t="s">
        <v>44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46</v>
      </c>
      <c r="AQ327">
        <f t="shared" si="11"/>
        <v>46</v>
      </c>
      <c r="AR327" s="5">
        <f>VLOOKUP(F327,'[1]Cost Sheet'!$C:$D,2,0)</f>
        <v>45.474000000000004</v>
      </c>
      <c r="AS327" s="5">
        <f t="shared" si="12"/>
        <v>2091.8040000000001</v>
      </c>
    </row>
    <row r="328" spans="1:45" x14ac:dyDescent="0.3">
      <c r="A328" s="1">
        <v>45900.961111111108</v>
      </c>
      <c r="B328" t="s">
        <v>617</v>
      </c>
      <c r="C328" t="s">
        <v>618</v>
      </c>
      <c r="D328" t="s">
        <v>1021</v>
      </c>
      <c r="E328" t="s">
        <v>1021</v>
      </c>
      <c r="F328" t="s">
        <v>1960</v>
      </c>
      <c r="G328" t="s">
        <v>1022</v>
      </c>
      <c r="H328" t="s">
        <v>635</v>
      </c>
      <c r="I328" t="s">
        <v>43</v>
      </c>
      <c r="N328">
        <v>1257</v>
      </c>
      <c r="O328">
        <v>0</v>
      </c>
      <c r="P328">
        <v>0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>
        <v>28</v>
      </c>
      <c r="W328" t="s">
        <v>44</v>
      </c>
      <c r="X328" t="s">
        <v>44</v>
      </c>
      <c r="Y328">
        <v>28</v>
      </c>
      <c r="Z328" t="s">
        <v>44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28</v>
      </c>
      <c r="AQ328">
        <f t="shared" si="11"/>
        <v>28</v>
      </c>
      <c r="AR328" s="5">
        <f>VLOOKUP(F328,'[1]Cost Sheet'!$C:$D,2,0)</f>
        <v>49.01</v>
      </c>
      <c r="AS328" s="5">
        <f t="shared" si="12"/>
        <v>1372.28</v>
      </c>
    </row>
    <row r="329" spans="1:45" x14ac:dyDescent="0.3">
      <c r="A329" s="1">
        <v>45900.961111111108</v>
      </c>
      <c r="B329" t="s">
        <v>617</v>
      </c>
      <c r="C329" t="s">
        <v>618</v>
      </c>
      <c r="D329" t="s">
        <v>1023</v>
      </c>
      <c r="E329" t="s">
        <v>1023</v>
      </c>
      <c r="F329" t="s">
        <v>1961</v>
      </c>
      <c r="G329" t="s">
        <v>1024</v>
      </c>
      <c r="H329" t="s">
        <v>635</v>
      </c>
      <c r="I329" t="s">
        <v>43</v>
      </c>
      <c r="N329">
        <v>1082</v>
      </c>
      <c r="O329">
        <v>0</v>
      </c>
      <c r="P329">
        <v>0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>
        <v>4</v>
      </c>
      <c r="W329" t="s">
        <v>44</v>
      </c>
      <c r="X329" t="s">
        <v>44</v>
      </c>
      <c r="Y329">
        <v>4</v>
      </c>
      <c r="Z329" t="s">
        <v>44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4</v>
      </c>
      <c r="AQ329">
        <f t="shared" si="11"/>
        <v>4</v>
      </c>
      <c r="AR329" s="5">
        <f>VLOOKUP(F329,'[1]Cost Sheet'!$C:$D,2,0)</f>
        <v>51.93</v>
      </c>
      <c r="AS329" s="5">
        <f t="shared" si="12"/>
        <v>207.72</v>
      </c>
    </row>
    <row r="330" spans="1:45" x14ac:dyDescent="0.3">
      <c r="A330" s="1">
        <v>45900.961111111108</v>
      </c>
      <c r="B330" t="s">
        <v>617</v>
      </c>
      <c r="C330" t="s">
        <v>618</v>
      </c>
      <c r="D330" t="s">
        <v>1025</v>
      </c>
      <c r="E330" t="s">
        <v>1025</v>
      </c>
      <c r="F330" t="s">
        <v>1962</v>
      </c>
      <c r="G330" t="s">
        <v>1026</v>
      </c>
      <c r="H330" t="s">
        <v>635</v>
      </c>
      <c r="I330" t="s">
        <v>43</v>
      </c>
      <c r="N330">
        <v>417</v>
      </c>
      <c r="O330">
        <v>0</v>
      </c>
      <c r="P330">
        <v>0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>
        <v>48</v>
      </c>
      <c r="W330" t="s">
        <v>44</v>
      </c>
      <c r="X330" t="s">
        <v>44</v>
      </c>
      <c r="Y330">
        <v>48</v>
      </c>
      <c r="Z330" t="s">
        <v>44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48</v>
      </c>
      <c r="AQ330">
        <f t="shared" si="11"/>
        <v>48</v>
      </c>
      <c r="AR330" s="5">
        <f>VLOOKUP(F330,'[1]Cost Sheet'!$C:$D,2,0)</f>
        <v>50.4</v>
      </c>
      <c r="AS330" s="5">
        <f t="shared" si="12"/>
        <v>2419.1999999999998</v>
      </c>
    </row>
    <row r="331" spans="1:45" x14ac:dyDescent="0.3">
      <c r="A331" s="1">
        <v>45900.961111111108</v>
      </c>
      <c r="B331" t="s">
        <v>617</v>
      </c>
      <c r="C331" t="s">
        <v>618</v>
      </c>
      <c r="D331" t="s">
        <v>1027</v>
      </c>
      <c r="E331" t="s">
        <v>1027</v>
      </c>
      <c r="F331" t="s">
        <v>1963</v>
      </c>
      <c r="G331" t="s">
        <v>1028</v>
      </c>
      <c r="H331" t="s">
        <v>635</v>
      </c>
      <c r="I331" t="s">
        <v>43</v>
      </c>
      <c r="N331">
        <v>496</v>
      </c>
      <c r="O331">
        <v>0</v>
      </c>
      <c r="P331">
        <v>0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>
        <v>65</v>
      </c>
      <c r="W331" t="s">
        <v>44</v>
      </c>
      <c r="X331" t="s">
        <v>44</v>
      </c>
      <c r="Y331">
        <v>65</v>
      </c>
      <c r="Z331" t="s">
        <v>44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65</v>
      </c>
      <c r="AQ331">
        <f t="shared" si="11"/>
        <v>65</v>
      </c>
      <c r="AR331" s="5">
        <f>VLOOKUP(F331,'[1]Cost Sheet'!$C:$D,2,0)</f>
        <v>63.22</v>
      </c>
      <c r="AS331" s="5">
        <f t="shared" si="12"/>
        <v>4109.3</v>
      </c>
    </row>
    <row r="332" spans="1:45" x14ac:dyDescent="0.3">
      <c r="A332" s="1">
        <v>45900.961111111108</v>
      </c>
      <c r="B332" t="s">
        <v>617</v>
      </c>
      <c r="C332" t="s">
        <v>618</v>
      </c>
      <c r="D332" t="s">
        <v>1029</v>
      </c>
      <c r="E332" t="s">
        <v>1029</v>
      </c>
      <c r="F332" t="s">
        <v>1964</v>
      </c>
      <c r="G332" t="s">
        <v>1030</v>
      </c>
      <c r="H332" t="s">
        <v>635</v>
      </c>
      <c r="I332" t="s">
        <v>43</v>
      </c>
      <c r="N332">
        <v>353</v>
      </c>
      <c r="O332">
        <v>0</v>
      </c>
      <c r="P332">
        <v>0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>
        <v>28</v>
      </c>
      <c r="W332" t="s">
        <v>44</v>
      </c>
      <c r="X332" t="s">
        <v>44</v>
      </c>
      <c r="Y332">
        <v>28</v>
      </c>
      <c r="Z332" t="s">
        <v>44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28</v>
      </c>
      <c r="AQ332">
        <f t="shared" si="11"/>
        <v>28</v>
      </c>
      <c r="AR332" s="5">
        <f>VLOOKUP(F332,'[1]Cost Sheet'!$C:$D,2,0)</f>
        <v>53.64</v>
      </c>
      <c r="AS332" s="5">
        <f t="shared" si="12"/>
        <v>1501.92</v>
      </c>
    </row>
    <row r="333" spans="1:45" x14ac:dyDescent="0.3">
      <c r="A333" s="1">
        <v>45900.961111111108</v>
      </c>
      <c r="B333" t="s">
        <v>617</v>
      </c>
      <c r="C333" t="s">
        <v>618</v>
      </c>
      <c r="D333" t="s">
        <v>1031</v>
      </c>
      <c r="E333" t="s">
        <v>1031</v>
      </c>
      <c r="F333" t="s">
        <v>1965</v>
      </c>
      <c r="G333" t="s">
        <v>1032</v>
      </c>
      <c r="H333" t="s">
        <v>635</v>
      </c>
      <c r="I333" t="s">
        <v>43</v>
      </c>
      <c r="N333">
        <v>758</v>
      </c>
      <c r="O333">
        <v>0</v>
      </c>
      <c r="P333">
        <v>0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>
        <v>22</v>
      </c>
      <c r="W333" t="s">
        <v>44</v>
      </c>
      <c r="X333" t="s">
        <v>44</v>
      </c>
      <c r="Y333">
        <v>22</v>
      </c>
      <c r="Z333" t="s">
        <v>44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22</v>
      </c>
      <c r="AQ333">
        <f t="shared" si="11"/>
        <v>22</v>
      </c>
      <c r="AR333" s="5">
        <f>VLOOKUP(F333,'[1]Cost Sheet'!$C:$D,2,0)</f>
        <v>64.540000000000006</v>
      </c>
      <c r="AS333" s="5">
        <f t="shared" si="12"/>
        <v>1419.88</v>
      </c>
    </row>
    <row r="334" spans="1:45" x14ac:dyDescent="0.3">
      <c r="A334" s="1">
        <v>45900.961111111108</v>
      </c>
      <c r="B334" t="s">
        <v>617</v>
      </c>
      <c r="C334" t="s">
        <v>618</v>
      </c>
      <c r="D334" t="s">
        <v>1033</v>
      </c>
      <c r="E334" t="s">
        <v>1033</v>
      </c>
      <c r="F334" t="s">
        <v>1966</v>
      </c>
      <c r="G334" t="s">
        <v>1034</v>
      </c>
      <c r="H334" t="s">
        <v>635</v>
      </c>
      <c r="I334" t="s">
        <v>43</v>
      </c>
      <c r="N334">
        <v>645</v>
      </c>
      <c r="O334">
        <v>0</v>
      </c>
      <c r="P334">
        <v>0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>
        <v>9</v>
      </c>
      <c r="W334" t="s">
        <v>44</v>
      </c>
      <c r="X334" t="s">
        <v>44</v>
      </c>
      <c r="Y334">
        <v>9</v>
      </c>
      <c r="Z334" t="s">
        <v>44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9</v>
      </c>
      <c r="AQ334">
        <f t="shared" si="11"/>
        <v>9</v>
      </c>
      <c r="AR334" s="5">
        <f>VLOOKUP(F334,'[1]Cost Sheet'!$C:$D,2,0)</f>
        <v>64.540000000000006</v>
      </c>
      <c r="AS334" s="5">
        <f t="shared" si="12"/>
        <v>580.86</v>
      </c>
    </row>
    <row r="335" spans="1:45" x14ac:dyDescent="0.3">
      <c r="A335" s="1">
        <v>45900.961111111108</v>
      </c>
      <c r="B335" t="s">
        <v>617</v>
      </c>
      <c r="C335" t="s">
        <v>618</v>
      </c>
      <c r="D335" t="s">
        <v>1035</v>
      </c>
      <c r="E335" t="s">
        <v>1035</v>
      </c>
      <c r="F335" t="s">
        <v>1967</v>
      </c>
      <c r="G335" t="s">
        <v>1036</v>
      </c>
      <c r="H335" t="s">
        <v>635</v>
      </c>
      <c r="I335" t="s">
        <v>43</v>
      </c>
      <c r="N335">
        <v>654</v>
      </c>
      <c r="O335">
        <v>0</v>
      </c>
      <c r="P335">
        <v>0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>
        <v>43</v>
      </c>
      <c r="W335" t="s">
        <v>44</v>
      </c>
      <c r="X335" t="s">
        <v>44</v>
      </c>
      <c r="Y335">
        <v>43</v>
      </c>
      <c r="Z335" t="s">
        <v>44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43</v>
      </c>
      <c r="AQ335">
        <f t="shared" si="11"/>
        <v>43</v>
      </c>
      <c r="AR335" s="5">
        <f>VLOOKUP(F335,'[1]Cost Sheet'!$C:$D,2,0)</f>
        <v>114.81</v>
      </c>
      <c r="AS335" s="5">
        <f t="shared" si="12"/>
        <v>4936.83</v>
      </c>
    </row>
    <row r="336" spans="1:45" x14ac:dyDescent="0.3">
      <c r="A336" s="1">
        <v>45900.961111111108</v>
      </c>
      <c r="B336" t="s">
        <v>617</v>
      </c>
      <c r="C336" t="s">
        <v>618</v>
      </c>
      <c r="D336" t="s">
        <v>1037</v>
      </c>
      <c r="E336" t="s">
        <v>1037</v>
      </c>
      <c r="F336" t="s">
        <v>1968</v>
      </c>
      <c r="G336" t="s">
        <v>1038</v>
      </c>
      <c r="H336" t="s">
        <v>635</v>
      </c>
      <c r="I336" t="s">
        <v>43</v>
      </c>
      <c r="N336">
        <v>704</v>
      </c>
      <c r="O336">
        <v>0</v>
      </c>
      <c r="P336">
        <v>0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>
        <v>54</v>
      </c>
      <c r="W336" t="s">
        <v>44</v>
      </c>
      <c r="X336" t="s">
        <v>44</v>
      </c>
      <c r="Y336">
        <v>54</v>
      </c>
      <c r="Z336" t="s">
        <v>44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54</v>
      </c>
      <c r="AQ336">
        <f t="shared" si="11"/>
        <v>54</v>
      </c>
      <c r="AR336" s="5">
        <f>VLOOKUP(F336,'[1]Cost Sheet'!$C:$D,2,0)</f>
        <v>114.80999999999999</v>
      </c>
      <c r="AS336" s="5">
        <f t="shared" si="12"/>
        <v>6199.74</v>
      </c>
    </row>
    <row r="337" spans="1:45" x14ac:dyDescent="0.3">
      <c r="A337" s="1">
        <v>45900.961111111108</v>
      </c>
      <c r="B337" t="s">
        <v>617</v>
      </c>
      <c r="C337" t="s">
        <v>618</v>
      </c>
      <c r="D337" t="s">
        <v>1039</v>
      </c>
      <c r="E337" t="s">
        <v>1039</v>
      </c>
      <c r="F337" t="s">
        <v>1969</v>
      </c>
      <c r="G337" t="s">
        <v>1040</v>
      </c>
      <c r="H337" t="s">
        <v>635</v>
      </c>
      <c r="I337" t="s">
        <v>43</v>
      </c>
      <c r="N337">
        <v>723</v>
      </c>
      <c r="O337">
        <v>0</v>
      </c>
      <c r="P337">
        <v>0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>
        <v>84</v>
      </c>
      <c r="W337" t="s">
        <v>44</v>
      </c>
      <c r="X337" t="s">
        <v>44</v>
      </c>
      <c r="Y337">
        <v>84</v>
      </c>
      <c r="Z337" t="s">
        <v>44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84</v>
      </c>
      <c r="AQ337">
        <f t="shared" si="11"/>
        <v>84</v>
      </c>
      <c r="AR337" s="5">
        <f>VLOOKUP(F337,'[1]Cost Sheet'!$C:$D,2,0)</f>
        <v>114.80999999999999</v>
      </c>
      <c r="AS337" s="5">
        <f t="shared" si="12"/>
        <v>9644.0399999999991</v>
      </c>
    </row>
    <row r="338" spans="1:45" x14ac:dyDescent="0.3">
      <c r="A338" s="1">
        <v>45900.961111111108</v>
      </c>
      <c r="B338" t="s">
        <v>617</v>
      </c>
      <c r="C338" t="s">
        <v>618</v>
      </c>
      <c r="D338" t="s">
        <v>1041</v>
      </c>
      <c r="E338" t="s">
        <v>1041</v>
      </c>
      <c r="F338" t="s">
        <v>1970</v>
      </c>
      <c r="G338" t="s">
        <v>1042</v>
      </c>
      <c r="H338" t="s">
        <v>635</v>
      </c>
      <c r="I338" t="s">
        <v>43</v>
      </c>
      <c r="N338">
        <v>596</v>
      </c>
      <c r="O338">
        <v>0</v>
      </c>
      <c r="P338">
        <v>0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>
        <v>28</v>
      </c>
      <c r="W338" t="s">
        <v>44</v>
      </c>
      <c r="X338" t="s">
        <v>44</v>
      </c>
      <c r="Y338">
        <v>28</v>
      </c>
      <c r="Z338" t="s">
        <v>44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28</v>
      </c>
      <c r="AQ338">
        <f t="shared" si="11"/>
        <v>28</v>
      </c>
      <c r="AR338" s="5">
        <f>VLOOKUP(F338,'[1]Cost Sheet'!$C:$D,2,0)</f>
        <v>114.81</v>
      </c>
      <c r="AS338" s="5">
        <f t="shared" si="12"/>
        <v>3214.6800000000003</v>
      </c>
    </row>
    <row r="339" spans="1:45" x14ac:dyDescent="0.3">
      <c r="A339" s="1">
        <v>45900.961111111108</v>
      </c>
      <c r="B339" t="s">
        <v>617</v>
      </c>
      <c r="C339" t="s">
        <v>618</v>
      </c>
      <c r="D339" t="s">
        <v>1043</v>
      </c>
      <c r="E339" t="s">
        <v>1043</v>
      </c>
      <c r="F339" t="s">
        <v>1971</v>
      </c>
      <c r="G339" t="s">
        <v>1044</v>
      </c>
      <c r="H339" t="s">
        <v>635</v>
      </c>
      <c r="I339" t="s">
        <v>43</v>
      </c>
      <c r="N339">
        <v>632</v>
      </c>
      <c r="O339">
        <v>0</v>
      </c>
      <c r="P339">
        <v>0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>
        <v>55</v>
      </c>
      <c r="W339" t="s">
        <v>44</v>
      </c>
      <c r="X339" t="s">
        <v>44</v>
      </c>
      <c r="Y339">
        <v>55</v>
      </c>
      <c r="Z339" t="s">
        <v>44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55</v>
      </c>
      <c r="AQ339">
        <f t="shared" si="11"/>
        <v>55</v>
      </c>
      <c r="AR339" s="5">
        <f>VLOOKUP(F339,'[1]Cost Sheet'!$C:$D,2,0)</f>
        <v>114.81</v>
      </c>
      <c r="AS339" s="5">
        <f t="shared" si="12"/>
        <v>6314.55</v>
      </c>
    </row>
    <row r="340" spans="1:45" x14ac:dyDescent="0.3">
      <c r="A340" s="1">
        <v>45900.961111111108</v>
      </c>
      <c r="B340" t="s">
        <v>617</v>
      </c>
      <c r="C340" t="s">
        <v>618</v>
      </c>
      <c r="D340" t="s">
        <v>1045</v>
      </c>
      <c r="E340" t="s">
        <v>1045</v>
      </c>
      <c r="F340" t="s">
        <v>1972</v>
      </c>
      <c r="G340" t="s">
        <v>1046</v>
      </c>
      <c r="H340" t="s">
        <v>635</v>
      </c>
      <c r="I340" t="s">
        <v>43</v>
      </c>
      <c r="N340">
        <v>561</v>
      </c>
      <c r="O340">
        <v>0</v>
      </c>
      <c r="P340">
        <v>0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>
        <v>67</v>
      </c>
      <c r="W340" t="s">
        <v>44</v>
      </c>
      <c r="X340" t="s">
        <v>44</v>
      </c>
      <c r="Y340">
        <v>67</v>
      </c>
      <c r="Z340" t="s">
        <v>44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67</v>
      </c>
      <c r="AQ340">
        <f t="shared" si="11"/>
        <v>67</v>
      </c>
      <c r="AR340" s="5">
        <f>VLOOKUP(F340,'[1]Cost Sheet'!$C:$D,2,0)</f>
        <v>114.81</v>
      </c>
      <c r="AS340" s="5">
        <f t="shared" si="12"/>
        <v>7692.27</v>
      </c>
    </row>
    <row r="341" spans="1:45" x14ac:dyDescent="0.3">
      <c r="A341" s="1">
        <v>45900.961111111108</v>
      </c>
      <c r="B341" t="s">
        <v>617</v>
      </c>
      <c r="C341" t="s">
        <v>618</v>
      </c>
      <c r="D341" t="s">
        <v>1047</v>
      </c>
      <c r="E341" t="s">
        <v>1047</v>
      </c>
      <c r="F341" t="s">
        <v>1973</v>
      </c>
      <c r="G341" t="s">
        <v>1048</v>
      </c>
      <c r="H341" t="s">
        <v>635</v>
      </c>
      <c r="I341" t="s">
        <v>43</v>
      </c>
      <c r="N341">
        <v>774</v>
      </c>
      <c r="O341">
        <v>0</v>
      </c>
      <c r="P341">
        <v>0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>
        <v>70</v>
      </c>
      <c r="W341" t="s">
        <v>44</v>
      </c>
      <c r="X341" t="s">
        <v>44</v>
      </c>
      <c r="Y341">
        <v>70</v>
      </c>
      <c r="Z341" t="s">
        <v>44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70</v>
      </c>
      <c r="AQ341">
        <f t="shared" si="11"/>
        <v>70</v>
      </c>
      <c r="AR341" s="5">
        <f>VLOOKUP(F341,'[1]Cost Sheet'!$C:$D,2,0)</f>
        <v>83.14</v>
      </c>
      <c r="AS341" s="5">
        <f t="shared" si="12"/>
        <v>5819.8</v>
      </c>
    </row>
    <row r="342" spans="1:45" x14ac:dyDescent="0.3">
      <c r="A342" s="1">
        <v>45900.961111111108</v>
      </c>
      <c r="B342" t="s">
        <v>617</v>
      </c>
      <c r="C342" t="s">
        <v>618</v>
      </c>
      <c r="D342" t="s">
        <v>1049</v>
      </c>
      <c r="E342" t="s">
        <v>1049</v>
      </c>
      <c r="F342" t="s">
        <v>1974</v>
      </c>
      <c r="G342" t="s">
        <v>1050</v>
      </c>
      <c r="H342" t="s">
        <v>635</v>
      </c>
      <c r="I342" t="s">
        <v>43</v>
      </c>
      <c r="N342">
        <v>615</v>
      </c>
      <c r="O342">
        <v>0</v>
      </c>
      <c r="P342">
        <v>0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>
        <v>27</v>
      </c>
      <c r="W342" t="s">
        <v>44</v>
      </c>
      <c r="X342" t="s">
        <v>44</v>
      </c>
      <c r="Y342">
        <v>27</v>
      </c>
      <c r="Z342" t="s">
        <v>44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27</v>
      </c>
      <c r="AQ342">
        <f t="shared" si="11"/>
        <v>27</v>
      </c>
      <c r="AR342" s="5">
        <f>VLOOKUP(F342,'[1]Cost Sheet'!$C:$D,2,0)</f>
        <v>83.14</v>
      </c>
      <c r="AS342" s="5">
        <f t="shared" si="12"/>
        <v>2244.7800000000002</v>
      </c>
    </row>
    <row r="343" spans="1:45" x14ac:dyDescent="0.3">
      <c r="A343" s="1">
        <v>45900.961111111108</v>
      </c>
      <c r="B343" t="s">
        <v>617</v>
      </c>
      <c r="C343" t="s">
        <v>618</v>
      </c>
      <c r="D343" t="s">
        <v>1051</v>
      </c>
      <c r="E343" t="s">
        <v>1051</v>
      </c>
      <c r="F343" t="s">
        <v>1975</v>
      </c>
      <c r="G343" t="s">
        <v>1052</v>
      </c>
      <c r="H343" t="s">
        <v>635</v>
      </c>
      <c r="I343" t="s">
        <v>43</v>
      </c>
      <c r="N343">
        <v>774</v>
      </c>
      <c r="O343">
        <v>0</v>
      </c>
      <c r="P343">
        <v>0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>
        <v>43</v>
      </c>
      <c r="W343" t="s">
        <v>44</v>
      </c>
      <c r="X343" t="s">
        <v>44</v>
      </c>
      <c r="Y343">
        <v>43</v>
      </c>
      <c r="Z343" t="s">
        <v>44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43</v>
      </c>
      <c r="AQ343">
        <f t="shared" si="11"/>
        <v>43</v>
      </c>
      <c r="AR343" s="5">
        <f>VLOOKUP(F343,'[1]Cost Sheet'!$C:$D,2,0)</f>
        <v>83.14</v>
      </c>
      <c r="AS343" s="5">
        <f t="shared" si="12"/>
        <v>3575.02</v>
      </c>
    </row>
    <row r="344" spans="1:45" x14ac:dyDescent="0.3">
      <c r="A344" s="1">
        <v>45900.961111111108</v>
      </c>
      <c r="B344" t="s">
        <v>617</v>
      </c>
      <c r="C344" t="s">
        <v>618</v>
      </c>
      <c r="D344" t="s">
        <v>1053</v>
      </c>
      <c r="E344" t="s">
        <v>1053</v>
      </c>
      <c r="F344" t="s">
        <v>1976</v>
      </c>
      <c r="G344" t="s">
        <v>1054</v>
      </c>
      <c r="H344" t="s">
        <v>635</v>
      </c>
      <c r="I344" t="s">
        <v>43</v>
      </c>
      <c r="N344">
        <v>853</v>
      </c>
      <c r="O344">
        <v>0</v>
      </c>
      <c r="P344">
        <v>0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>
        <v>54</v>
      </c>
      <c r="W344" t="s">
        <v>44</v>
      </c>
      <c r="X344" t="s">
        <v>44</v>
      </c>
      <c r="Y344">
        <v>54</v>
      </c>
      <c r="Z344" t="s">
        <v>44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54</v>
      </c>
      <c r="AQ344">
        <f t="shared" si="11"/>
        <v>54</v>
      </c>
      <c r="AR344" s="5">
        <f>VLOOKUP(F344,'[1]Cost Sheet'!$C:$D,2,0)</f>
        <v>61.98</v>
      </c>
      <c r="AS344" s="5">
        <f t="shared" si="12"/>
        <v>3346.9199999999996</v>
      </c>
    </row>
    <row r="345" spans="1:45" x14ac:dyDescent="0.3">
      <c r="A345" s="1">
        <v>45900.961111111108</v>
      </c>
      <c r="B345" t="s">
        <v>617</v>
      </c>
      <c r="C345" t="s">
        <v>618</v>
      </c>
      <c r="D345" t="s">
        <v>1055</v>
      </c>
      <c r="E345" t="s">
        <v>1055</v>
      </c>
      <c r="F345" t="s">
        <v>1977</v>
      </c>
      <c r="G345" t="s">
        <v>1056</v>
      </c>
      <c r="H345" t="s">
        <v>635</v>
      </c>
      <c r="I345" t="s">
        <v>43</v>
      </c>
      <c r="N345">
        <v>655</v>
      </c>
      <c r="O345">
        <v>0</v>
      </c>
      <c r="P345">
        <v>0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>
        <v>45</v>
      </c>
      <c r="W345" t="s">
        <v>44</v>
      </c>
      <c r="X345" t="s">
        <v>44</v>
      </c>
      <c r="Y345">
        <v>45</v>
      </c>
      <c r="Z345" t="s">
        <v>44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45</v>
      </c>
      <c r="AQ345">
        <f t="shared" si="11"/>
        <v>45</v>
      </c>
      <c r="AR345" s="5">
        <f>VLOOKUP(F345,'[1]Cost Sheet'!$C:$D,2,0)</f>
        <v>77.84</v>
      </c>
      <c r="AS345" s="5">
        <f t="shared" si="12"/>
        <v>3502.8</v>
      </c>
    </row>
    <row r="346" spans="1:45" x14ac:dyDescent="0.3">
      <c r="A346" s="1">
        <v>45900.961111111108</v>
      </c>
      <c r="B346" t="s">
        <v>617</v>
      </c>
      <c r="C346" t="s">
        <v>618</v>
      </c>
      <c r="D346" t="s">
        <v>1057</v>
      </c>
      <c r="E346" t="s">
        <v>1057</v>
      </c>
      <c r="F346" t="s">
        <v>1978</v>
      </c>
      <c r="G346" t="s">
        <v>1058</v>
      </c>
      <c r="H346" t="s">
        <v>635</v>
      </c>
      <c r="I346" t="s">
        <v>43</v>
      </c>
      <c r="N346">
        <v>823</v>
      </c>
      <c r="O346">
        <v>0</v>
      </c>
      <c r="P346">
        <v>0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>
        <v>62</v>
      </c>
      <c r="W346" t="s">
        <v>44</v>
      </c>
      <c r="X346" t="s">
        <v>44</v>
      </c>
      <c r="Y346">
        <v>62</v>
      </c>
      <c r="Z346" t="s">
        <v>44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62</v>
      </c>
      <c r="AQ346">
        <f t="shared" si="11"/>
        <v>62</v>
      </c>
      <c r="AR346" s="5">
        <f>VLOOKUP(F346,'[1]Cost Sheet'!$C:$D,2,0)</f>
        <v>78.575999999999993</v>
      </c>
      <c r="AS346" s="5">
        <f t="shared" si="12"/>
        <v>4871.7119999999995</v>
      </c>
    </row>
    <row r="347" spans="1:45" x14ac:dyDescent="0.3">
      <c r="A347" s="1">
        <v>45900.961111111108</v>
      </c>
      <c r="B347" t="s">
        <v>617</v>
      </c>
      <c r="C347" t="s">
        <v>618</v>
      </c>
      <c r="D347" t="s">
        <v>1059</v>
      </c>
      <c r="E347" t="s">
        <v>1059</v>
      </c>
      <c r="F347" t="s">
        <v>1979</v>
      </c>
      <c r="G347" t="s">
        <v>1060</v>
      </c>
      <c r="H347" t="s">
        <v>635</v>
      </c>
      <c r="I347" t="s">
        <v>43</v>
      </c>
      <c r="N347">
        <v>765</v>
      </c>
      <c r="O347">
        <v>0</v>
      </c>
      <c r="P347">
        <v>0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>
        <v>82</v>
      </c>
      <c r="W347" t="s">
        <v>44</v>
      </c>
      <c r="X347" t="s">
        <v>44</v>
      </c>
      <c r="Y347">
        <v>82</v>
      </c>
      <c r="Z347" t="s">
        <v>44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82</v>
      </c>
      <c r="AQ347">
        <f t="shared" si="11"/>
        <v>82</v>
      </c>
      <c r="AR347" s="5">
        <f>VLOOKUP(F347,'[1]Cost Sheet'!$C:$D,2,0)</f>
        <v>78.453333333333333</v>
      </c>
      <c r="AS347" s="5">
        <f t="shared" si="12"/>
        <v>6433.1733333333332</v>
      </c>
    </row>
    <row r="348" spans="1:45" x14ac:dyDescent="0.3">
      <c r="A348" s="1">
        <v>45900.961111111108</v>
      </c>
      <c r="B348" t="s">
        <v>617</v>
      </c>
      <c r="C348" t="s">
        <v>618</v>
      </c>
      <c r="D348" t="s">
        <v>1061</v>
      </c>
      <c r="E348" t="s">
        <v>1061</v>
      </c>
      <c r="F348" t="s">
        <v>1980</v>
      </c>
      <c r="G348" t="s">
        <v>1062</v>
      </c>
      <c r="H348" t="s">
        <v>635</v>
      </c>
      <c r="I348" t="s">
        <v>43</v>
      </c>
      <c r="N348">
        <v>821</v>
      </c>
      <c r="O348">
        <v>0</v>
      </c>
      <c r="P348">
        <v>0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>
        <v>93</v>
      </c>
      <c r="W348" t="s">
        <v>44</v>
      </c>
      <c r="X348" t="s">
        <v>44</v>
      </c>
      <c r="Y348">
        <v>93</v>
      </c>
      <c r="Z348" t="s">
        <v>44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93</v>
      </c>
      <c r="AQ348">
        <f t="shared" si="11"/>
        <v>93</v>
      </c>
      <c r="AR348" s="5">
        <f>VLOOKUP(F348,'[1]Cost Sheet'!$C:$D,2,0)</f>
        <v>79.066666666666677</v>
      </c>
      <c r="AS348" s="5">
        <f t="shared" si="12"/>
        <v>7353.2000000000007</v>
      </c>
    </row>
    <row r="349" spans="1:45" x14ac:dyDescent="0.3">
      <c r="A349" s="1">
        <v>45900.961111111108</v>
      </c>
      <c r="B349" t="s">
        <v>617</v>
      </c>
      <c r="C349" t="s">
        <v>618</v>
      </c>
      <c r="D349" t="s">
        <v>1063</v>
      </c>
      <c r="E349" t="s">
        <v>1063</v>
      </c>
      <c r="F349" t="s">
        <v>1981</v>
      </c>
      <c r="G349" t="s">
        <v>1064</v>
      </c>
      <c r="H349" t="s">
        <v>635</v>
      </c>
      <c r="I349" t="s">
        <v>43</v>
      </c>
      <c r="N349">
        <v>675</v>
      </c>
      <c r="O349">
        <v>0</v>
      </c>
      <c r="P349">
        <v>0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>
        <v>85</v>
      </c>
      <c r="W349" t="s">
        <v>44</v>
      </c>
      <c r="X349" t="s">
        <v>44</v>
      </c>
      <c r="Y349">
        <v>85</v>
      </c>
      <c r="Z349" t="s">
        <v>44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85</v>
      </c>
      <c r="AQ349">
        <f t="shared" ref="AQ349:AQ410" si="13">O349+P349+V349+AA349</f>
        <v>85</v>
      </c>
      <c r="AR349" s="5">
        <f>VLOOKUP(F349,'[1]Cost Sheet'!$C:$D,2,0)</f>
        <v>77.84</v>
      </c>
      <c r="AS349" s="5">
        <f t="shared" si="12"/>
        <v>6616.4000000000005</v>
      </c>
    </row>
    <row r="350" spans="1:45" x14ac:dyDescent="0.3">
      <c r="A350" s="1">
        <v>45900.961111111108</v>
      </c>
      <c r="B350" t="s">
        <v>617</v>
      </c>
      <c r="C350" t="s">
        <v>618</v>
      </c>
      <c r="D350" t="s">
        <v>1065</v>
      </c>
      <c r="E350" t="s">
        <v>1065</v>
      </c>
      <c r="F350" t="s">
        <v>1982</v>
      </c>
      <c r="G350" t="s">
        <v>1066</v>
      </c>
      <c r="H350" t="s">
        <v>635</v>
      </c>
      <c r="I350" t="s">
        <v>43</v>
      </c>
      <c r="N350">
        <v>766</v>
      </c>
      <c r="O350">
        <v>0</v>
      </c>
      <c r="P350">
        <v>0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>
        <v>79</v>
      </c>
      <c r="W350" t="s">
        <v>44</v>
      </c>
      <c r="X350" t="s">
        <v>44</v>
      </c>
      <c r="Y350">
        <v>79</v>
      </c>
      <c r="Z350" t="s">
        <v>44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79</v>
      </c>
      <c r="AQ350">
        <f t="shared" si="13"/>
        <v>79</v>
      </c>
      <c r="AR350" s="5">
        <f>VLOOKUP(F350,'[1]Cost Sheet'!$C:$D,2,0)</f>
        <v>79.066666666666677</v>
      </c>
      <c r="AS350" s="5">
        <f t="shared" si="12"/>
        <v>6246.2666666666673</v>
      </c>
    </row>
    <row r="351" spans="1:45" x14ac:dyDescent="0.3">
      <c r="A351" s="1">
        <v>45900.961111111108</v>
      </c>
      <c r="B351" t="s">
        <v>617</v>
      </c>
      <c r="C351" t="s">
        <v>618</v>
      </c>
      <c r="D351" t="s">
        <v>1067</v>
      </c>
      <c r="E351" t="s">
        <v>1067</v>
      </c>
      <c r="F351" t="s">
        <v>1983</v>
      </c>
      <c r="G351" t="s">
        <v>1068</v>
      </c>
      <c r="H351" t="s">
        <v>635</v>
      </c>
      <c r="I351" t="s">
        <v>43</v>
      </c>
      <c r="N351">
        <v>742</v>
      </c>
      <c r="O351">
        <v>0</v>
      </c>
      <c r="P351">
        <v>0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>
        <v>59</v>
      </c>
      <c r="W351" t="s">
        <v>44</v>
      </c>
      <c r="X351" t="s">
        <v>44</v>
      </c>
      <c r="Y351">
        <v>59</v>
      </c>
      <c r="Z351" t="s">
        <v>44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59</v>
      </c>
      <c r="AQ351">
        <f t="shared" si="13"/>
        <v>59</v>
      </c>
      <c r="AR351" s="5">
        <f>VLOOKUP(F351,'[1]Cost Sheet'!$C:$D,2,0)</f>
        <v>77.84</v>
      </c>
      <c r="AS351" s="5">
        <f t="shared" si="12"/>
        <v>4592.5600000000004</v>
      </c>
    </row>
    <row r="352" spans="1:45" x14ac:dyDescent="0.3">
      <c r="A352" s="1">
        <v>45900.961111111108</v>
      </c>
      <c r="B352" t="s">
        <v>617</v>
      </c>
      <c r="C352" t="s">
        <v>618</v>
      </c>
      <c r="D352" t="s">
        <v>1069</v>
      </c>
      <c r="E352" t="s">
        <v>1069</v>
      </c>
      <c r="F352" t="s">
        <v>1984</v>
      </c>
      <c r="G352" t="s">
        <v>1070</v>
      </c>
      <c r="H352" t="s">
        <v>635</v>
      </c>
      <c r="I352" t="s">
        <v>43</v>
      </c>
      <c r="N352">
        <v>543</v>
      </c>
      <c r="O352">
        <v>0</v>
      </c>
      <c r="P352">
        <v>0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>
        <v>41</v>
      </c>
      <c r="W352" t="s">
        <v>44</v>
      </c>
      <c r="X352" t="s">
        <v>44</v>
      </c>
      <c r="Y352">
        <v>41</v>
      </c>
      <c r="Z352" t="s">
        <v>44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41</v>
      </c>
      <c r="AQ352">
        <f t="shared" si="13"/>
        <v>41</v>
      </c>
      <c r="AR352" s="5">
        <f>VLOOKUP(F352,'[1]Cost Sheet'!$C:$D,2,0)</f>
        <v>78.760000000000005</v>
      </c>
      <c r="AS352" s="5">
        <f t="shared" si="12"/>
        <v>3229.1600000000003</v>
      </c>
    </row>
    <row r="353" spans="1:45" x14ac:dyDescent="0.3">
      <c r="A353" s="1">
        <v>45900.961111111108</v>
      </c>
      <c r="B353" t="s">
        <v>617</v>
      </c>
      <c r="C353" t="s">
        <v>618</v>
      </c>
      <c r="D353" t="s">
        <v>1071</v>
      </c>
      <c r="E353" t="s">
        <v>1071</v>
      </c>
      <c r="F353" t="s">
        <v>1985</v>
      </c>
      <c r="G353" t="s">
        <v>1072</v>
      </c>
      <c r="H353" t="s">
        <v>635</v>
      </c>
      <c r="I353" t="s">
        <v>43</v>
      </c>
      <c r="N353">
        <v>736</v>
      </c>
      <c r="O353">
        <v>0</v>
      </c>
      <c r="P353">
        <v>0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>
        <v>80</v>
      </c>
      <c r="W353" t="s">
        <v>44</v>
      </c>
      <c r="X353" t="s">
        <v>44</v>
      </c>
      <c r="Y353">
        <v>80</v>
      </c>
      <c r="Z353" t="s">
        <v>44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80</v>
      </c>
      <c r="AQ353">
        <f t="shared" si="13"/>
        <v>80</v>
      </c>
      <c r="AR353" s="5">
        <f>VLOOKUP(F353,'[1]Cost Sheet'!$C:$D,2,0)</f>
        <v>77.84</v>
      </c>
      <c r="AS353" s="5">
        <f t="shared" si="12"/>
        <v>6227.2000000000007</v>
      </c>
    </row>
    <row r="354" spans="1:45" x14ac:dyDescent="0.3">
      <c r="A354" s="1">
        <v>45900.961111111108</v>
      </c>
      <c r="B354" t="s">
        <v>617</v>
      </c>
      <c r="C354" t="s">
        <v>618</v>
      </c>
      <c r="D354" t="s">
        <v>1073</v>
      </c>
      <c r="E354" t="s">
        <v>1073</v>
      </c>
      <c r="F354" t="s">
        <v>1986</v>
      </c>
      <c r="G354" t="s">
        <v>1074</v>
      </c>
      <c r="H354" t="s">
        <v>635</v>
      </c>
      <c r="I354" t="s">
        <v>43</v>
      </c>
      <c r="N354">
        <v>627</v>
      </c>
      <c r="O354">
        <v>0</v>
      </c>
      <c r="P354">
        <v>0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>
        <v>44</v>
      </c>
      <c r="W354" t="s">
        <v>44</v>
      </c>
      <c r="X354" t="s">
        <v>44</v>
      </c>
      <c r="Y354">
        <v>44</v>
      </c>
      <c r="Z354" t="s">
        <v>44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44</v>
      </c>
      <c r="AQ354">
        <f t="shared" si="13"/>
        <v>44</v>
      </c>
      <c r="AR354" s="5">
        <f>VLOOKUP(F354,'[1]Cost Sheet'!$C:$D,2,0)</f>
        <v>79.679999999999993</v>
      </c>
      <c r="AS354" s="5">
        <f t="shared" si="12"/>
        <v>3505.9199999999996</v>
      </c>
    </row>
    <row r="355" spans="1:45" x14ac:dyDescent="0.3">
      <c r="A355" s="1">
        <v>45900.961111111108</v>
      </c>
      <c r="B355" t="s">
        <v>617</v>
      </c>
      <c r="C355" t="s">
        <v>618</v>
      </c>
      <c r="D355" t="s">
        <v>1075</v>
      </c>
      <c r="E355" t="s">
        <v>1075</v>
      </c>
      <c r="F355" t="s">
        <v>1987</v>
      </c>
      <c r="G355" t="s">
        <v>1076</v>
      </c>
      <c r="H355" t="s">
        <v>635</v>
      </c>
      <c r="I355" t="s">
        <v>43</v>
      </c>
      <c r="N355">
        <v>708</v>
      </c>
      <c r="O355">
        <v>0</v>
      </c>
      <c r="P355">
        <v>0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>
        <v>51</v>
      </c>
      <c r="W355" t="s">
        <v>44</v>
      </c>
      <c r="X355" t="s">
        <v>44</v>
      </c>
      <c r="Y355">
        <v>51</v>
      </c>
      <c r="Z355" t="s">
        <v>44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51</v>
      </c>
      <c r="AQ355">
        <f t="shared" si="13"/>
        <v>51</v>
      </c>
      <c r="AR355" s="5">
        <f>VLOOKUP(F355,'[1]Cost Sheet'!$C:$D,2,0)</f>
        <v>87.9</v>
      </c>
      <c r="AS355" s="5">
        <f t="shared" si="12"/>
        <v>4482.9000000000005</v>
      </c>
    </row>
    <row r="356" spans="1:45" x14ac:dyDescent="0.3">
      <c r="A356" s="1">
        <v>45900.961111111108</v>
      </c>
      <c r="B356" t="s">
        <v>617</v>
      </c>
      <c r="C356" t="s">
        <v>618</v>
      </c>
      <c r="D356" t="s">
        <v>1077</v>
      </c>
      <c r="E356" t="s">
        <v>1077</v>
      </c>
      <c r="F356" t="s">
        <v>1988</v>
      </c>
      <c r="G356" t="s">
        <v>1078</v>
      </c>
      <c r="H356" t="s">
        <v>635</v>
      </c>
      <c r="I356" t="s">
        <v>43</v>
      </c>
      <c r="N356">
        <v>613</v>
      </c>
      <c r="O356">
        <v>0</v>
      </c>
      <c r="P356">
        <v>0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>
        <v>65</v>
      </c>
      <c r="W356" t="s">
        <v>44</v>
      </c>
      <c r="X356" t="s">
        <v>44</v>
      </c>
      <c r="Y356">
        <v>65</v>
      </c>
      <c r="Z356" t="s">
        <v>44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65</v>
      </c>
      <c r="AQ356">
        <f t="shared" si="13"/>
        <v>65</v>
      </c>
      <c r="AR356" s="5">
        <f>VLOOKUP(F356,'[1]Cost Sheet'!$C:$D,2,0)</f>
        <v>87.9</v>
      </c>
      <c r="AS356" s="5">
        <f t="shared" si="12"/>
        <v>5713.5</v>
      </c>
    </row>
    <row r="357" spans="1:45" x14ac:dyDescent="0.3">
      <c r="A357" s="1">
        <v>45900.961111111108</v>
      </c>
      <c r="B357" t="s">
        <v>617</v>
      </c>
      <c r="C357" t="s">
        <v>618</v>
      </c>
      <c r="D357" t="s">
        <v>1079</v>
      </c>
      <c r="E357" t="s">
        <v>1079</v>
      </c>
      <c r="F357" t="s">
        <v>1989</v>
      </c>
      <c r="G357" t="s">
        <v>1080</v>
      </c>
      <c r="H357" t="s">
        <v>635</v>
      </c>
      <c r="I357" t="s">
        <v>43</v>
      </c>
      <c r="N357">
        <v>786</v>
      </c>
      <c r="O357">
        <v>0</v>
      </c>
      <c r="P357">
        <v>0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>
        <v>68</v>
      </c>
      <c r="W357" t="s">
        <v>44</v>
      </c>
      <c r="X357" t="s">
        <v>44</v>
      </c>
      <c r="Y357">
        <v>68</v>
      </c>
      <c r="Z357" t="s">
        <v>44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68</v>
      </c>
      <c r="AQ357">
        <f t="shared" si="13"/>
        <v>68</v>
      </c>
      <c r="AR357" s="5">
        <f>VLOOKUP(F357,'[1]Cost Sheet'!$C:$D,2,0)</f>
        <v>87.899999999999991</v>
      </c>
      <c r="AS357" s="5">
        <f t="shared" si="12"/>
        <v>5977.2</v>
      </c>
    </row>
    <row r="358" spans="1:45" x14ac:dyDescent="0.3">
      <c r="A358" s="1">
        <v>45900.961111111108</v>
      </c>
      <c r="B358" t="s">
        <v>617</v>
      </c>
      <c r="C358" t="s">
        <v>618</v>
      </c>
      <c r="D358" t="s">
        <v>1081</v>
      </c>
      <c r="E358" t="s">
        <v>1081</v>
      </c>
      <c r="F358" t="s">
        <v>1990</v>
      </c>
      <c r="G358" t="s">
        <v>1082</v>
      </c>
      <c r="H358" t="s">
        <v>635</v>
      </c>
      <c r="I358" t="s">
        <v>43</v>
      </c>
      <c r="N358">
        <v>349</v>
      </c>
      <c r="O358">
        <v>0</v>
      </c>
      <c r="P358">
        <v>0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>
        <v>22</v>
      </c>
      <c r="W358" t="s">
        <v>44</v>
      </c>
      <c r="X358" t="s">
        <v>44</v>
      </c>
      <c r="Y358">
        <v>22</v>
      </c>
      <c r="Z358" t="s">
        <v>44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22</v>
      </c>
      <c r="AQ358">
        <f t="shared" si="13"/>
        <v>22</v>
      </c>
      <c r="AR358" s="5">
        <f>VLOOKUP(F358,'[1]Cost Sheet'!$C:$D,2,0)</f>
        <v>26</v>
      </c>
      <c r="AS358" s="5">
        <f t="shared" si="12"/>
        <v>572</v>
      </c>
    </row>
    <row r="359" spans="1:45" x14ac:dyDescent="0.3">
      <c r="A359" s="1">
        <v>45900.961111111108</v>
      </c>
      <c r="B359" t="s">
        <v>617</v>
      </c>
      <c r="C359" t="s">
        <v>618</v>
      </c>
      <c r="D359" t="s">
        <v>1083</v>
      </c>
      <c r="E359" t="s">
        <v>1083</v>
      </c>
      <c r="F359" t="s">
        <v>1991</v>
      </c>
      <c r="G359" t="s">
        <v>1084</v>
      </c>
      <c r="H359" t="s">
        <v>635</v>
      </c>
      <c r="I359" t="s">
        <v>43</v>
      </c>
      <c r="N359">
        <v>714</v>
      </c>
      <c r="O359">
        <v>0</v>
      </c>
      <c r="P359">
        <v>0</v>
      </c>
      <c r="Q359" t="s">
        <v>44</v>
      </c>
      <c r="R359">
        <v>17</v>
      </c>
      <c r="S359" t="s">
        <v>44</v>
      </c>
      <c r="T359" t="s">
        <v>44</v>
      </c>
      <c r="U359" t="s">
        <v>44</v>
      </c>
      <c r="V359">
        <v>96</v>
      </c>
      <c r="W359" t="s">
        <v>44</v>
      </c>
      <c r="X359" t="s">
        <v>44</v>
      </c>
      <c r="Y359">
        <v>96</v>
      </c>
      <c r="Z359" t="s">
        <v>44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96</v>
      </c>
      <c r="AQ359">
        <f t="shared" si="13"/>
        <v>96</v>
      </c>
      <c r="AR359" s="5">
        <f>VLOOKUP(F359,'[1]Cost Sheet'!$C:$D,2,0)</f>
        <v>94.559999999999988</v>
      </c>
      <c r="AS359" s="5">
        <f t="shared" si="12"/>
        <v>9077.7599999999984</v>
      </c>
    </row>
    <row r="360" spans="1:45" x14ac:dyDescent="0.3">
      <c r="A360" s="1">
        <v>45900.961111111108</v>
      </c>
      <c r="B360" t="s">
        <v>617</v>
      </c>
      <c r="C360" t="s">
        <v>618</v>
      </c>
      <c r="D360" t="s">
        <v>1085</v>
      </c>
      <c r="E360" t="s">
        <v>1085</v>
      </c>
      <c r="F360" t="s">
        <v>1992</v>
      </c>
      <c r="G360" t="s">
        <v>1086</v>
      </c>
      <c r="H360" t="s">
        <v>635</v>
      </c>
      <c r="I360" t="s">
        <v>43</v>
      </c>
      <c r="N360">
        <v>951</v>
      </c>
      <c r="O360">
        <v>0</v>
      </c>
      <c r="P360">
        <v>0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>
        <v>53</v>
      </c>
      <c r="W360" t="s">
        <v>44</v>
      </c>
      <c r="X360" t="s">
        <v>44</v>
      </c>
      <c r="Y360">
        <v>53</v>
      </c>
      <c r="Z360" t="s">
        <v>44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53</v>
      </c>
      <c r="AQ360">
        <f t="shared" si="13"/>
        <v>53</v>
      </c>
      <c r="AR360" s="5">
        <f>VLOOKUP(F360,'[1]Cost Sheet'!$C:$D,2,0)</f>
        <v>83.794500000000028</v>
      </c>
      <c r="AS360" s="5">
        <f t="shared" si="12"/>
        <v>4441.1085000000012</v>
      </c>
    </row>
    <row r="361" spans="1:45" x14ac:dyDescent="0.3">
      <c r="A361" s="1">
        <v>45900.961111111108</v>
      </c>
      <c r="B361" t="s">
        <v>617</v>
      </c>
      <c r="C361" t="s">
        <v>618</v>
      </c>
      <c r="D361" t="s">
        <v>1087</v>
      </c>
      <c r="E361" t="s">
        <v>1087</v>
      </c>
      <c r="F361" t="s">
        <v>1993</v>
      </c>
      <c r="G361" t="s">
        <v>1088</v>
      </c>
      <c r="H361" t="s">
        <v>635</v>
      </c>
      <c r="I361" t="s">
        <v>43</v>
      </c>
      <c r="N361">
        <v>789</v>
      </c>
      <c r="O361">
        <v>0</v>
      </c>
      <c r="P361">
        <v>0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>
        <v>73</v>
      </c>
      <c r="W361" t="s">
        <v>44</v>
      </c>
      <c r="X361" t="s">
        <v>44</v>
      </c>
      <c r="Y361">
        <v>73</v>
      </c>
      <c r="Z361" t="s">
        <v>44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73</v>
      </c>
      <c r="AQ361">
        <f t="shared" si="13"/>
        <v>73</v>
      </c>
      <c r="AR361" s="5">
        <f>VLOOKUP(F361,'[1]Cost Sheet'!$C:$D,2,0)</f>
        <v>45.74</v>
      </c>
      <c r="AS361" s="5">
        <f t="shared" si="12"/>
        <v>3339.02</v>
      </c>
    </row>
    <row r="362" spans="1:45" x14ac:dyDescent="0.3">
      <c r="A362" s="1">
        <v>45900.961111111108</v>
      </c>
      <c r="B362" t="s">
        <v>617</v>
      </c>
      <c r="C362" t="s">
        <v>618</v>
      </c>
      <c r="D362" t="s">
        <v>1089</v>
      </c>
      <c r="E362" t="s">
        <v>1089</v>
      </c>
      <c r="F362" t="s">
        <v>1994</v>
      </c>
      <c r="G362" t="s">
        <v>1090</v>
      </c>
      <c r="H362" t="s">
        <v>635</v>
      </c>
      <c r="I362" t="s">
        <v>43</v>
      </c>
      <c r="N362">
        <v>618</v>
      </c>
      <c r="O362">
        <v>0</v>
      </c>
      <c r="P362">
        <v>0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>
        <v>50</v>
      </c>
      <c r="W362" t="s">
        <v>44</v>
      </c>
      <c r="X362" t="s">
        <v>44</v>
      </c>
      <c r="Y362">
        <v>50</v>
      </c>
      <c r="Z362" t="s">
        <v>44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50</v>
      </c>
      <c r="AQ362">
        <f t="shared" si="13"/>
        <v>50</v>
      </c>
      <c r="AR362" s="5">
        <f>VLOOKUP(F362,'[1]Cost Sheet'!$C:$D,2,0)</f>
        <v>40.44</v>
      </c>
      <c r="AS362" s="5">
        <f t="shared" si="12"/>
        <v>2022</v>
      </c>
    </row>
    <row r="363" spans="1:45" x14ac:dyDescent="0.3">
      <c r="A363" s="1">
        <v>45900.961111111108</v>
      </c>
      <c r="B363" t="s">
        <v>617</v>
      </c>
      <c r="C363" t="s">
        <v>618</v>
      </c>
      <c r="D363" t="s">
        <v>1091</v>
      </c>
      <c r="E363" t="s">
        <v>1091</v>
      </c>
      <c r="F363" t="s">
        <v>1995</v>
      </c>
      <c r="G363" t="s">
        <v>1092</v>
      </c>
      <c r="H363" t="s">
        <v>635</v>
      </c>
      <c r="I363" t="s">
        <v>43</v>
      </c>
      <c r="N363">
        <v>681</v>
      </c>
      <c r="O363">
        <v>0</v>
      </c>
      <c r="P363">
        <v>0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>
        <v>13</v>
      </c>
      <c r="W363" t="s">
        <v>44</v>
      </c>
      <c r="X363" t="s">
        <v>44</v>
      </c>
      <c r="Y363">
        <v>13</v>
      </c>
      <c r="Z363" t="s">
        <v>44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13</v>
      </c>
      <c r="AQ363">
        <f t="shared" si="13"/>
        <v>13</v>
      </c>
      <c r="AR363" s="5">
        <f>VLOOKUP(F363,'[1]Cost Sheet'!$C:$D,2,0)</f>
        <v>61.75</v>
      </c>
      <c r="AS363" s="5">
        <f t="shared" si="12"/>
        <v>802.75</v>
      </c>
    </row>
    <row r="364" spans="1:45" x14ac:dyDescent="0.3">
      <c r="A364" s="1">
        <v>45900.961111111108</v>
      </c>
      <c r="B364" t="s">
        <v>617</v>
      </c>
      <c r="C364" t="s">
        <v>618</v>
      </c>
      <c r="D364" t="s">
        <v>1093</v>
      </c>
      <c r="E364" t="s">
        <v>1093</v>
      </c>
      <c r="F364" t="s">
        <v>1996</v>
      </c>
      <c r="G364" t="s">
        <v>1094</v>
      </c>
      <c r="H364" t="s">
        <v>635</v>
      </c>
      <c r="I364" t="s">
        <v>43</v>
      </c>
      <c r="N364">
        <v>635</v>
      </c>
      <c r="O364">
        <v>0</v>
      </c>
      <c r="P364">
        <v>0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>
        <v>15</v>
      </c>
      <c r="W364" t="s">
        <v>44</v>
      </c>
      <c r="X364" t="s">
        <v>44</v>
      </c>
      <c r="Y364">
        <v>15</v>
      </c>
      <c r="Z364" t="s">
        <v>44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15</v>
      </c>
      <c r="AQ364">
        <f t="shared" si="13"/>
        <v>15</v>
      </c>
      <c r="AR364" s="5">
        <f>VLOOKUP(F364,'[1]Cost Sheet'!$C:$D,2,0)</f>
        <v>46.19</v>
      </c>
      <c r="AS364" s="5">
        <f t="shared" si="12"/>
        <v>692.84999999999991</v>
      </c>
    </row>
    <row r="365" spans="1:45" x14ac:dyDescent="0.3">
      <c r="A365" s="1">
        <v>45900.961111111108</v>
      </c>
      <c r="B365" t="s">
        <v>617</v>
      </c>
      <c r="C365" t="s">
        <v>618</v>
      </c>
      <c r="D365" t="s">
        <v>1095</v>
      </c>
      <c r="E365" t="s">
        <v>1095</v>
      </c>
      <c r="F365" t="s">
        <v>1997</v>
      </c>
      <c r="G365" t="s">
        <v>1096</v>
      </c>
      <c r="H365" t="s">
        <v>635</v>
      </c>
      <c r="I365" t="s">
        <v>43</v>
      </c>
      <c r="N365">
        <v>839</v>
      </c>
      <c r="O365">
        <v>0</v>
      </c>
      <c r="P365">
        <v>0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>
        <v>7</v>
      </c>
      <c r="W365" t="s">
        <v>44</v>
      </c>
      <c r="X365" t="s">
        <v>44</v>
      </c>
      <c r="Y365">
        <v>7</v>
      </c>
      <c r="Z365" t="s">
        <v>44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7</v>
      </c>
      <c r="AQ365">
        <f t="shared" si="13"/>
        <v>7</v>
      </c>
      <c r="AR365" s="5">
        <f>VLOOKUP(F365,'[1]Cost Sheet'!$C:$D,2,0)</f>
        <v>50.06</v>
      </c>
      <c r="AS365" s="5">
        <f t="shared" si="12"/>
        <v>350.42</v>
      </c>
    </row>
    <row r="366" spans="1:45" x14ac:dyDescent="0.3">
      <c r="A366" s="1">
        <v>45900.961111111108</v>
      </c>
      <c r="B366" t="s">
        <v>617</v>
      </c>
      <c r="C366" t="s">
        <v>618</v>
      </c>
      <c r="D366" t="s">
        <v>1097</v>
      </c>
      <c r="E366" t="s">
        <v>1097</v>
      </c>
      <c r="F366" t="s">
        <v>1998</v>
      </c>
      <c r="G366" t="s">
        <v>1098</v>
      </c>
      <c r="H366" t="s">
        <v>635</v>
      </c>
      <c r="I366" t="s">
        <v>43</v>
      </c>
      <c r="N366">
        <v>454</v>
      </c>
      <c r="O366">
        <v>0</v>
      </c>
      <c r="P366">
        <v>0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>
        <v>63</v>
      </c>
      <c r="W366" t="s">
        <v>44</v>
      </c>
      <c r="X366" t="s">
        <v>44</v>
      </c>
      <c r="Y366">
        <v>63</v>
      </c>
      <c r="Z366" t="s">
        <v>44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63</v>
      </c>
      <c r="AQ366">
        <f t="shared" si="13"/>
        <v>63</v>
      </c>
      <c r="AR366" s="5">
        <f>VLOOKUP(F366,'[1]Cost Sheet'!$C:$D,2,0)</f>
        <v>90.48</v>
      </c>
      <c r="AS366" s="5">
        <f t="shared" si="12"/>
        <v>5700.2400000000007</v>
      </c>
    </row>
    <row r="367" spans="1:45" x14ac:dyDescent="0.3">
      <c r="A367" s="1">
        <v>45900.961111111108</v>
      </c>
      <c r="B367" t="s">
        <v>617</v>
      </c>
      <c r="C367" t="s">
        <v>618</v>
      </c>
      <c r="D367" t="s">
        <v>1099</v>
      </c>
      <c r="E367" t="s">
        <v>1099</v>
      </c>
      <c r="F367" t="s">
        <v>1999</v>
      </c>
      <c r="G367" t="s">
        <v>1100</v>
      </c>
      <c r="H367" t="s">
        <v>635</v>
      </c>
      <c r="I367" t="s">
        <v>43</v>
      </c>
      <c r="J367">
        <v>15</v>
      </c>
      <c r="K367">
        <v>19</v>
      </c>
      <c r="L367">
        <v>10</v>
      </c>
      <c r="M367">
        <v>11</v>
      </c>
      <c r="N367">
        <v>1069</v>
      </c>
      <c r="O367">
        <v>0</v>
      </c>
      <c r="P367">
        <v>0</v>
      </c>
      <c r="Q367" t="s">
        <v>44</v>
      </c>
      <c r="R367">
        <v>249</v>
      </c>
      <c r="S367" t="s">
        <v>44</v>
      </c>
      <c r="T367" t="s">
        <v>44</v>
      </c>
      <c r="U367" t="s">
        <v>44</v>
      </c>
      <c r="V367">
        <v>29</v>
      </c>
      <c r="W367" t="s">
        <v>44</v>
      </c>
      <c r="X367" t="s">
        <v>44</v>
      </c>
      <c r="Y367">
        <v>29</v>
      </c>
      <c r="Z367" t="s">
        <v>44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29</v>
      </c>
      <c r="AQ367">
        <f t="shared" si="13"/>
        <v>29</v>
      </c>
      <c r="AR367" s="5">
        <f>VLOOKUP(F367,'[1]Cost Sheet'!$C:$D,2,0)</f>
        <v>37.46</v>
      </c>
      <c r="AS367" s="5">
        <f t="shared" si="12"/>
        <v>1086.3399999999999</v>
      </c>
    </row>
    <row r="368" spans="1:45" x14ac:dyDescent="0.3">
      <c r="A368" s="1">
        <v>45900.961111111108</v>
      </c>
      <c r="B368" t="s">
        <v>617</v>
      </c>
      <c r="C368" t="s">
        <v>618</v>
      </c>
      <c r="D368" t="s">
        <v>1101</v>
      </c>
      <c r="E368" t="s">
        <v>1101</v>
      </c>
      <c r="F368" t="s">
        <v>2000</v>
      </c>
      <c r="G368" t="s">
        <v>1102</v>
      </c>
      <c r="H368" t="s">
        <v>635</v>
      </c>
      <c r="I368" t="s">
        <v>43</v>
      </c>
      <c r="J368">
        <v>35</v>
      </c>
      <c r="K368">
        <v>19</v>
      </c>
      <c r="L368">
        <v>10</v>
      </c>
      <c r="M368">
        <v>11</v>
      </c>
      <c r="N368">
        <v>1057</v>
      </c>
      <c r="O368">
        <v>0</v>
      </c>
      <c r="P368">
        <v>0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>
        <v>16</v>
      </c>
      <c r="W368" t="s">
        <v>44</v>
      </c>
      <c r="X368" t="s">
        <v>44</v>
      </c>
      <c r="Y368">
        <v>16</v>
      </c>
      <c r="Z368" t="s">
        <v>44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16</v>
      </c>
      <c r="AQ368">
        <f t="shared" si="13"/>
        <v>16</v>
      </c>
      <c r="AR368" s="5">
        <f>VLOOKUP(F368,'[1]Cost Sheet'!$C:$D,2,0)</f>
        <v>45.279999999999994</v>
      </c>
      <c r="AS368" s="5">
        <f t="shared" si="12"/>
        <v>724.4799999999999</v>
      </c>
    </row>
    <row r="369" spans="1:45" x14ac:dyDescent="0.3">
      <c r="A369" s="1">
        <v>45900.961111111108</v>
      </c>
      <c r="B369" t="s">
        <v>617</v>
      </c>
      <c r="C369" t="s">
        <v>618</v>
      </c>
      <c r="D369" t="s">
        <v>1103</v>
      </c>
      <c r="E369" t="s">
        <v>1103</v>
      </c>
      <c r="F369" t="s">
        <v>2001</v>
      </c>
      <c r="G369" t="s">
        <v>1104</v>
      </c>
      <c r="H369" t="s">
        <v>635</v>
      </c>
      <c r="I369" t="s">
        <v>43</v>
      </c>
      <c r="J369">
        <v>25</v>
      </c>
      <c r="K369">
        <v>19</v>
      </c>
      <c r="L369">
        <v>10</v>
      </c>
      <c r="M369">
        <v>11</v>
      </c>
      <c r="N369">
        <v>1259</v>
      </c>
      <c r="O369">
        <v>0</v>
      </c>
      <c r="P369">
        <v>0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>
        <v>49</v>
      </c>
      <c r="W369" t="s">
        <v>44</v>
      </c>
      <c r="X369" t="s">
        <v>44</v>
      </c>
      <c r="Y369">
        <v>49</v>
      </c>
      <c r="Z369" t="s">
        <v>44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49</v>
      </c>
      <c r="AQ369">
        <f t="shared" si="13"/>
        <v>49</v>
      </c>
      <c r="AR369" s="5">
        <f>VLOOKUP(F369,'[1]Cost Sheet'!$C:$D,2,0)</f>
        <v>76.260909090909081</v>
      </c>
      <c r="AS369" s="5">
        <f t="shared" si="12"/>
        <v>3736.784545454545</v>
      </c>
    </row>
    <row r="370" spans="1:45" x14ac:dyDescent="0.3">
      <c r="A370" s="1">
        <v>45900.961111111108</v>
      </c>
      <c r="B370" t="s">
        <v>617</v>
      </c>
      <c r="C370" t="s">
        <v>618</v>
      </c>
      <c r="D370" t="s">
        <v>1109</v>
      </c>
      <c r="F370" t="s">
        <v>2004</v>
      </c>
      <c r="G370" t="s">
        <v>1110</v>
      </c>
      <c r="H370" t="s">
        <v>66</v>
      </c>
      <c r="I370" t="s">
        <v>43</v>
      </c>
      <c r="J370">
        <v>111</v>
      </c>
      <c r="K370">
        <v>19</v>
      </c>
      <c r="L370">
        <v>11</v>
      </c>
      <c r="M370">
        <v>10</v>
      </c>
      <c r="N370">
        <v>13236</v>
      </c>
      <c r="O370">
        <v>0</v>
      </c>
      <c r="P370">
        <v>0</v>
      </c>
      <c r="Q370">
        <v>13</v>
      </c>
      <c r="R370">
        <v>146</v>
      </c>
      <c r="S370" t="s">
        <v>44</v>
      </c>
      <c r="T370" t="s">
        <v>44</v>
      </c>
      <c r="U370" t="s">
        <v>44</v>
      </c>
      <c r="V370">
        <v>53</v>
      </c>
      <c r="W370" t="s">
        <v>44</v>
      </c>
      <c r="X370" t="s">
        <v>44</v>
      </c>
      <c r="Y370">
        <v>53</v>
      </c>
      <c r="Z370" t="s">
        <v>44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53</v>
      </c>
      <c r="AQ370">
        <f t="shared" si="13"/>
        <v>53</v>
      </c>
      <c r="AR370" s="5">
        <f>VLOOKUP(F370,'[2]SCP_24-25'!$A:$D,4,0)</f>
        <v>424.71</v>
      </c>
      <c r="AS370" s="5">
        <f t="shared" si="12"/>
        <v>22509.629999999997</v>
      </c>
    </row>
    <row r="371" spans="1:45" x14ac:dyDescent="0.3">
      <c r="A371" s="1">
        <v>45900.961111111108</v>
      </c>
      <c r="B371" t="s">
        <v>617</v>
      </c>
      <c r="C371" t="s">
        <v>618</v>
      </c>
      <c r="D371" t="s">
        <v>1111</v>
      </c>
      <c r="F371" t="s">
        <v>2005</v>
      </c>
      <c r="G371" t="s">
        <v>1112</v>
      </c>
      <c r="H371" t="s">
        <v>120</v>
      </c>
      <c r="I371" t="s">
        <v>43</v>
      </c>
      <c r="J371">
        <v>50</v>
      </c>
      <c r="K371">
        <v>19</v>
      </c>
      <c r="L371">
        <v>10</v>
      </c>
      <c r="M371">
        <v>11</v>
      </c>
      <c r="N371">
        <v>4594</v>
      </c>
      <c r="O371">
        <v>0</v>
      </c>
      <c r="P371">
        <v>0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>
        <v>99</v>
      </c>
      <c r="W371" t="s">
        <v>44</v>
      </c>
      <c r="X371" t="s">
        <v>44</v>
      </c>
      <c r="Y371">
        <v>99</v>
      </c>
      <c r="Z371" t="s">
        <v>44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99</v>
      </c>
      <c r="AQ371">
        <f t="shared" si="13"/>
        <v>99</v>
      </c>
      <c r="AR371" s="5">
        <f>VLOOKUP(F371,'[2]SCP_24-25'!$A:$D,4,0)</f>
        <v>120</v>
      </c>
      <c r="AS371" s="5">
        <f t="shared" si="12"/>
        <v>11880</v>
      </c>
    </row>
    <row r="372" spans="1:45" x14ac:dyDescent="0.3">
      <c r="A372" s="1">
        <v>45900.961111111108</v>
      </c>
      <c r="B372" t="s">
        <v>617</v>
      </c>
      <c r="C372" t="s">
        <v>618</v>
      </c>
      <c r="D372" t="s">
        <v>1113</v>
      </c>
      <c r="F372" t="s">
        <v>2006</v>
      </c>
      <c r="G372" t="s">
        <v>1114</v>
      </c>
      <c r="H372" t="s">
        <v>130</v>
      </c>
      <c r="I372" t="s">
        <v>43</v>
      </c>
      <c r="J372">
        <v>40.020000000000003</v>
      </c>
      <c r="K372">
        <v>19</v>
      </c>
      <c r="L372">
        <v>10</v>
      </c>
      <c r="M372">
        <v>11</v>
      </c>
      <c r="N372">
        <v>20373</v>
      </c>
      <c r="O372">
        <v>19</v>
      </c>
      <c r="P372">
        <v>0</v>
      </c>
      <c r="Q372">
        <v>22</v>
      </c>
      <c r="R372">
        <v>8</v>
      </c>
      <c r="S372" t="s">
        <v>44</v>
      </c>
      <c r="T372" t="s">
        <v>44</v>
      </c>
      <c r="U372" t="s">
        <v>44</v>
      </c>
      <c r="V372">
        <v>0</v>
      </c>
      <c r="W372">
        <v>2</v>
      </c>
      <c r="X372" t="s">
        <v>44</v>
      </c>
      <c r="Y372" t="s">
        <v>44</v>
      </c>
      <c r="Z372" t="s">
        <v>44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11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20</v>
      </c>
      <c r="AQ372">
        <f t="shared" si="13"/>
        <v>20</v>
      </c>
      <c r="AR372" s="5">
        <f>VLOOKUP(F372,'[2]SCP_24-25'!$A:$D,4,0)</f>
        <v>98.3</v>
      </c>
      <c r="AS372" s="5">
        <f t="shared" si="12"/>
        <v>1966</v>
      </c>
    </row>
    <row r="373" spans="1:45" x14ac:dyDescent="0.3">
      <c r="A373" s="1">
        <v>45900.961111111108</v>
      </c>
      <c r="B373" t="s">
        <v>617</v>
      </c>
      <c r="C373" t="s">
        <v>618</v>
      </c>
      <c r="D373" t="s">
        <v>572</v>
      </c>
      <c r="F373" t="s">
        <v>1740</v>
      </c>
      <c r="G373" t="s">
        <v>573</v>
      </c>
      <c r="H373" t="s">
        <v>130</v>
      </c>
      <c r="I373" t="s">
        <v>43</v>
      </c>
      <c r="J373">
        <v>40.020000000000003</v>
      </c>
      <c r="K373">
        <v>19</v>
      </c>
      <c r="L373">
        <v>10</v>
      </c>
      <c r="M373">
        <v>11</v>
      </c>
      <c r="N373">
        <v>15330</v>
      </c>
      <c r="O373">
        <v>22</v>
      </c>
      <c r="P373">
        <v>0</v>
      </c>
      <c r="Q373">
        <v>2</v>
      </c>
      <c r="R373">
        <v>1</v>
      </c>
      <c r="S373" t="s">
        <v>44</v>
      </c>
      <c r="T373" t="s">
        <v>44</v>
      </c>
      <c r="U373" t="s">
        <v>44</v>
      </c>
      <c r="V373">
        <v>0</v>
      </c>
      <c r="W373">
        <v>2</v>
      </c>
      <c r="X373" t="s">
        <v>44</v>
      </c>
      <c r="Y373" t="s">
        <v>44</v>
      </c>
      <c r="Z373" t="s">
        <v>44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3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23</v>
      </c>
      <c r="AQ373">
        <f t="shared" si="13"/>
        <v>23</v>
      </c>
      <c r="AR373" s="5">
        <f>VLOOKUP(F373,'[2]SCP_24-25'!$A:$D,4,0)</f>
        <v>98.3</v>
      </c>
      <c r="AS373" s="5">
        <f t="shared" si="12"/>
        <v>2260.9</v>
      </c>
    </row>
    <row r="374" spans="1:45" x14ac:dyDescent="0.3">
      <c r="A374" s="1">
        <v>45900.961111111108</v>
      </c>
      <c r="B374" t="s">
        <v>617</v>
      </c>
      <c r="C374" t="s">
        <v>618</v>
      </c>
      <c r="D374" t="s">
        <v>590</v>
      </c>
      <c r="F374" t="s">
        <v>1749</v>
      </c>
      <c r="G374" t="s">
        <v>591</v>
      </c>
      <c r="H374" t="s">
        <v>130</v>
      </c>
      <c r="I374" t="s">
        <v>43</v>
      </c>
      <c r="J374">
        <v>53.02</v>
      </c>
      <c r="K374">
        <v>19</v>
      </c>
      <c r="L374">
        <v>10</v>
      </c>
      <c r="M374">
        <v>11</v>
      </c>
      <c r="N374">
        <v>6961</v>
      </c>
      <c r="O374">
        <v>0</v>
      </c>
      <c r="P374">
        <v>0</v>
      </c>
      <c r="Q374">
        <v>2</v>
      </c>
      <c r="R374">
        <v>554</v>
      </c>
      <c r="S374" t="s">
        <v>44</v>
      </c>
      <c r="T374" t="s">
        <v>44</v>
      </c>
      <c r="U374" t="s">
        <v>44</v>
      </c>
      <c r="V374">
        <v>39</v>
      </c>
      <c r="W374" t="s">
        <v>44</v>
      </c>
      <c r="X374" t="s">
        <v>44</v>
      </c>
      <c r="Y374">
        <v>39</v>
      </c>
      <c r="Z374" t="s">
        <v>44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40</v>
      </c>
      <c r="AQ374">
        <f t="shared" si="13"/>
        <v>40</v>
      </c>
      <c r="AR374" s="5">
        <f>VLOOKUP(F374,'[2]SCP_24-25'!$A:$D,4,0)</f>
        <v>51.74</v>
      </c>
      <c r="AS374" s="5">
        <f t="shared" si="12"/>
        <v>2069.6</v>
      </c>
    </row>
    <row r="375" spans="1:45" x14ac:dyDescent="0.3">
      <c r="A375" s="1">
        <v>45900.961111111108</v>
      </c>
      <c r="B375" t="s">
        <v>617</v>
      </c>
      <c r="C375" t="s">
        <v>618</v>
      </c>
      <c r="D375" t="s">
        <v>497</v>
      </c>
      <c r="F375" t="s">
        <v>1703</v>
      </c>
      <c r="G375" t="s">
        <v>498</v>
      </c>
      <c r="H375" t="s">
        <v>130</v>
      </c>
      <c r="I375" t="s">
        <v>43</v>
      </c>
      <c r="J375">
        <v>53</v>
      </c>
      <c r="K375">
        <v>19</v>
      </c>
      <c r="L375">
        <v>10</v>
      </c>
      <c r="M375">
        <v>11</v>
      </c>
      <c r="N375">
        <v>8066</v>
      </c>
      <c r="O375">
        <v>0</v>
      </c>
      <c r="P375">
        <v>0</v>
      </c>
      <c r="Q375">
        <v>4</v>
      </c>
      <c r="R375">
        <v>883</v>
      </c>
      <c r="S375" t="s">
        <v>44</v>
      </c>
      <c r="T375" t="s">
        <v>44</v>
      </c>
      <c r="U375" t="s">
        <v>44</v>
      </c>
      <c r="V375">
        <v>28</v>
      </c>
      <c r="W375" t="s">
        <v>44</v>
      </c>
      <c r="X375" t="s">
        <v>44</v>
      </c>
      <c r="Y375">
        <v>28</v>
      </c>
      <c r="Z375" t="s">
        <v>44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28</v>
      </c>
      <c r="AQ375">
        <f t="shared" si="13"/>
        <v>28</v>
      </c>
      <c r="AR375" s="5">
        <f>VLOOKUP(F375,'[2]SCP_24-25'!$A:$D,4,0)</f>
        <v>51.74</v>
      </c>
      <c r="AS375" s="5">
        <f t="shared" si="12"/>
        <v>1448.72</v>
      </c>
    </row>
    <row r="376" spans="1:45" x14ac:dyDescent="0.3">
      <c r="A376" s="1">
        <v>45900.961111111108</v>
      </c>
      <c r="B376" t="s">
        <v>617</v>
      </c>
      <c r="C376" t="s">
        <v>618</v>
      </c>
      <c r="D376" t="s">
        <v>1115</v>
      </c>
      <c r="E376" t="s">
        <v>1115</v>
      </c>
      <c r="F376" t="s">
        <v>2007</v>
      </c>
      <c r="G376" t="s">
        <v>1116</v>
      </c>
      <c r="H376" t="s">
        <v>635</v>
      </c>
      <c r="I376" t="s">
        <v>43</v>
      </c>
      <c r="J376">
        <v>100</v>
      </c>
      <c r="K376">
        <v>19</v>
      </c>
      <c r="L376">
        <v>10</v>
      </c>
      <c r="M376">
        <v>11</v>
      </c>
      <c r="N376">
        <v>632</v>
      </c>
      <c r="O376">
        <v>0</v>
      </c>
      <c r="P376">
        <v>0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>
        <v>26</v>
      </c>
      <c r="W376" t="s">
        <v>44</v>
      </c>
      <c r="X376" t="s">
        <v>44</v>
      </c>
      <c r="Y376">
        <v>26</v>
      </c>
      <c r="Z376" t="s">
        <v>44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26</v>
      </c>
      <c r="AQ376">
        <f t="shared" si="13"/>
        <v>26</v>
      </c>
      <c r="AR376" s="5">
        <f>VLOOKUP(F376,'[1]Cost Sheet'!$C:$D,2,0)</f>
        <v>86.699999999999989</v>
      </c>
      <c r="AS376" s="5">
        <f t="shared" si="12"/>
        <v>2254.1999999999998</v>
      </c>
    </row>
    <row r="377" spans="1:45" x14ac:dyDescent="0.3">
      <c r="A377" s="1">
        <v>45900.961111111108</v>
      </c>
      <c r="B377" t="s">
        <v>617</v>
      </c>
      <c r="C377" t="s">
        <v>618</v>
      </c>
      <c r="D377" t="s">
        <v>1117</v>
      </c>
      <c r="E377" t="s">
        <v>1117</v>
      </c>
      <c r="F377" t="s">
        <v>2008</v>
      </c>
      <c r="G377" t="s">
        <v>1118</v>
      </c>
      <c r="H377" t="s">
        <v>635</v>
      </c>
      <c r="I377" t="s">
        <v>43</v>
      </c>
      <c r="J377">
        <v>100</v>
      </c>
      <c r="K377">
        <v>19</v>
      </c>
      <c r="L377">
        <v>10</v>
      </c>
      <c r="M377">
        <v>11</v>
      </c>
      <c r="N377">
        <v>526</v>
      </c>
      <c r="O377">
        <v>0</v>
      </c>
      <c r="P377">
        <v>0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>
        <v>26</v>
      </c>
      <c r="W377" t="s">
        <v>44</v>
      </c>
      <c r="X377" t="s">
        <v>44</v>
      </c>
      <c r="Y377">
        <v>26</v>
      </c>
      <c r="Z377" t="s">
        <v>44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26</v>
      </c>
      <c r="AQ377">
        <f t="shared" si="13"/>
        <v>26</v>
      </c>
      <c r="AR377" s="5">
        <f>VLOOKUP(F377,'[1]Cost Sheet'!$C:$D,2,0)</f>
        <v>86.7</v>
      </c>
      <c r="AS377" s="5">
        <f t="shared" si="12"/>
        <v>2254.2000000000003</v>
      </c>
    </row>
    <row r="378" spans="1:45" x14ac:dyDescent="0.3">
      <c r="A378" s="1">
        <v>45900.961111111108</v>
      </c>
      <c r="B378" t="s">
        <v>617</v>
      </c>
      <c r="C378" t="s">
        <v>618</v>
      </c>
      <c r="D378" t="s">
        <v>1119</v>
      </c>
      <c r="E378" t="s">
        <v>1119</v>
      </c>
      <c r="F378" t="s">
        <v>2009</v>
      </c>
      <c r="G378" t="s">
        <v>1120</v>
      </c>
      <c r="H378" t="s">
        <v>635</v>
      </c>
      <c r="I378" t="s">
        <v>43</v>
      </c>
      <c r="J378">
        <v>100</v>
      </c>
      <c r="K378">
        <v>19</v>
      </c>
      <c r="L378">
        <v>10</v>
      </c>
      <c r="M378">
        <v>11</v>
      </c>
      <c r="N378">
        <v>557</v>
      </c>
      <c r="O378">
        <v>0</v>
      </c>
      <c r="P378">
        <v>0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>
        <v>82</v>
      </c>
      <c r="W378" t="s">
        <v>44</v>
      </c>
      <c r="X378" t="s">
        <v>44</v>
      </c>
      <c r="Y378">
        <v>82</v>
      </c>
      <c r="Z378" t="s">
        <v>44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82</v>
      </c>
      <c r="AQ378">
        <f t="shared" si="13"/>
        <v>82</v>
      </c>
      <c r="AR378" s="5">
        <f>VLOOKUP(F378,'[1]Cost Sheet'!$C:$D,2,0)</f>
        <v>86.7</v>
      </c>
      <c r="AS378" s="5">
        <f t="shared" si="12"/>
        <v>7109.4000000000005</v>
      </c>
    </row>
    <row r="379" spans="1:45" x14ac:dyDescent="0.3">
      <c r="A379" s="1">
        <v>45900.961111111108</v>
      </c>
      <c r="B379" t="s">
        <v>617</v>
      </c>
      <c r="C379" t="s">
        <v>618</v>
      </c>
      <c r="D379" t="s">
        <v>1121</v>
      </c>
      <c r="E379" t="s">
        <v>1121</v>
      </c>
      <c r="F379" t="s">
        <v>2010</v>
      </c>
      <c r="G379" t="s">
        <v>1122</v>
      </c>
      <c r="H379" t="s">
        <v>635</v>
      </c>
      <c r="I379" t="s">
        <v>43</v>
      </c>
      <c r="J379">
        <v>100</v>
      </c>
      <c r="K379">
        <v>19</v>
      </c>
      <c r="L379">
        <v>10</v>
      </c>
      <c r="M379">
        <v>11</v>
      </c>
      <c r="N379">
        <v>1362</v>
      </c>
      <c r="O379">
        <v>0</v>
      </c>
      <c r="P379">
        <v>0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>
        <v>96</v>
      </c>
      <c r="W379" t="s">
        <v>44</v>
      </c>
      <c r="X379" t="s">
        <v>44</v>
      </c>
      <c r="Y379">
        <v>96</v>
      </c>
      <c r="Z379" t="s">
        <v>44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96</v>
      </c>
      <c r="AQ379">
        <f t="shared" si="13"/>
        <v>96</v>
      </c>
      <c r="AR379" s="5">
        <f>VLOOKUP(F379,'[1]Cost Sheet'!$C:$D,2,0)</f>
        <v>79.680000000000007</v>
      </c>
      <c r="AS379" s="5">
        <f t="shared" si="12"/>
        <v>7649.2800000000007</v>
      </c>
    </row>
    <row r="380" spans="1:45" x14ac:dyDescent="0.3">
      <c r="A380" s="1">
        <v>45900.961111111108</v>
      </c>
      <c r="B380" t="s">
        <v>617</v>
      </c>
      <c r="C380" t="s">
        <v>618</v>
      </c>
      <c r="D380" t="s">
        <v>1123</v>
      </c>
      <c r="E380" t="s">
        <v>1123</v>
      </c>
      <c r="F380" t="s">
        <v>2011</v>
      </c>
      <c r="G380" t="s">
        <v>1124</v>
      </c>
      <c r="H380" t="s">
        <v>635</v>
      </c>
      <c r="I380" t="s">
        <v>43</v>
      </c>
      <c r="J380">
        <v>100</v>
      </c>
      <c r="K380">
        <v>19</v>
      </c>
      <c r="L380">
        <v>10</v>
      </c>
      <c r="M380">
        <v>11</v>
      </c>
      <c r="N380">
        <v>936</v>
      </c>
      <c r="O380">
        <v>0</v>
      </c>
      <c r="P380">
        <v>0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>
        <v>26</v>
      </c>
      <c r="W380" t="s">
        <v>44</v>
      </c>
      <c r="X380" t="s">
        <v>44</v>
      </c>
      <c r="Y380">
        <v>26</v>
      </c>
      <c r="Z380" t="s">
        <v>44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26</v>
      </c>
      <c r="AQ380">
        <f t="shared" si="13"/>
        <v>26</v>
      </c>
      <c r="AR380" s="5">
        <f>VLOOKUP(F380,'[1]Cost Sheet'!$C:$D,2,0)</f>
        <v>77.84</v>
      </c>
      <c r="AS380" s="5">
        <f t="shared" si="12"/>
        <v>2023.8400000000001</v>
      </c>
    </row>
    <row r="381" spans="1:45" x14ac:dyDescent="0.3">
      <c r="A381" s="1">
        <v>45900.961111111108</v>
      </c>
      <c r="B381" t="s">
        <v>617</v>
      </c>
      <c r="C381" t="s">
        <v>618</v>
      </c>
      <c r="D381" t="s">
        <v>1125</v>
      </c>
      <c r="E381" t="s">
        <v>1125</v>
      </c>
      <c r="F381" t="s">
        <v>2012</v>
      </c>
      <c r="G381" t="s">
        <v>1126</v>
      </c>
      <c r="H381" t="s">
        <v>635</v>
      </c>
      <c r="I381" t="s">
        <v>43</v>
      </c>
      <c r="J381">
        <v>100</v>
      </c>
      <c r="K381">
        <v>19</v>
      </c>
      <c r="L381">
        <v>10</v>
      </c>
      <c r="M381">
        <v>11</v>
      </c>
      <c r="N381">
        <v>1023</v>
      </c>
      <c r="O381">
        <v>0</v>
      </c>
      <c r="P381">
        <v>0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>
        <v>37</v>
      </c>
      <c r="W381" t="s">
        <v>44</v>
      </c>
      <c r="X381" t="s">
        <v>44</v>
      </c>
      <c r="Y381">
        <v>37</v>
      </c>
      <c r="Z381" t="s">
        <v>44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37</v>
      </c>
      <c r="AQ381">
        <f t="shared" si="13"/>
        <v>37</v>
      </c>
      <c r="AR381" s="5">
        <f>VLOOKUP(F381,'[1]Cost Sheet'!$C:$D,2,0)</f>
        <v>79.680000000000007</v>
      </c>
      <c r="AS381" s="5">
        <f t="shared" si="12"/>
        <v>2948.1600000000003</v>
      </c>
    </row>
    <row r="382" spans="1:45" x14ac:dyDescent="0.3">
      <c r="A382" s="1">
        <v>45900.961111111108</v>
      </c>
      <c r="B382" t="s">
        <v>617</v>
      </c>
      <c r="C382" t="s">
        <v>618</v>
      </c>
      <c r="D382" t="s">
        <v>1127</v>
      </c>
      <c r="E382" t="s">
        <v>1127</v>
      </c>
      <c r="F382" t="s">
        <v>2013</v>
      </c>
      <c r="G382" t="s">
        <v>1128</v>
      </c>
      <c r="H382" t="s">
        <v>635</v>
      </c>
      <c r="I382" t="s">
        <v>43</v>
      </c>
      <c r="J382">
        <v>100</v>
      </c>
      <c r="K382">
        <v>19</v>
      </c>
      <c r="L382">
        <v>10</v>
      </c>
      <c r="M382">
        <v>11</v>
      </c>
      <c r="N382">
        <v>1093</v>
      </c>
      <c r="O382">
        <v>0</v>
      </c>
      <c r="P382">
        <v>0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>
        <v>30</v>
      </c>
      <c r="W382" t="s">
        <v>44</v>
      </c>
      <c r="X382" t="s">
        <v>44</v>
      </c>
      <c r="Y382">
        <v>30</v>
      </c>
      <c r="Z382" t="s">
        <v>44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30</v>
      </c>
      <c r="AQ382">
        <f t="shared" si="13"/>
        <v>30</v>
      </c>
      <c r="AR382" s="5">
        <f>VLOOKUP(F382,'[1]Cost Sheet'!$C:$D,2,0)</f>
        <v>79.680000000000007</v>
      </c>
      <c r="AS382" s="5">
        <f t="shared" si="12"/>
        <v>2390.4</v>
      </c>
    </row>
    <row r="383" spans="1:45" x14ac:dyDescent="0.3">
      <c r="A383" s="1">
        <v>45900.961111111108</v>
      </c>
      <c r="B383" t="s">
        <v>617</v>
      </c>
      <c r="C383" t="s">
        <v>618</v>
      </c>
      <c r="D383" t="s">
        <v>1129</v>
      </c>
      <c r="E383" t="s">
        <v>1129</v>
      </c>
      <c r="F383" t="s">
        <v>2014</v>
      </c>
      <c r="G383" t="s">
        <v>1130</v>
      </c>
      <c r="H383" t="s">
        <v>635</v>
      </c>
      <c r="I383" t="s">
        <v>43</v>
      </c>
      <c r="J383">
        <v>100</v>
      </c>
      <c r="K383">
        <v>19</v>
      </c>
      <c r="L383">
        <v>10</v>
      </c>
      <c r="M383">
        <v>11</v>
      </c>
      <c r="N383">
        <v>1075</v>
      </c>
      <c r="O383">
        <v>0</v>
      </c>
      <c r="P383">
        <v>0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>
        <v>47</v>
      </c>
      <c r="W383" t="s">
        <v>44</v>
      </c>
      <c r="X383" t="s">
        <v>44</v>
      </c>
      <c r="Y383">
        <v>47</v>
      </c>
      <c r="Z383" t="s">
        <v>44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47</v>
      </c>
      <c r="AQ383">
        <f t="shared" si="13"/>
        <v>47</v>
      </c>
      <c r="AR383" s="5">
        <f>VLOOKUP(F383,'[1]Cost Sheet'!$C:$D,2,0)</f>
        <v>79.680000000000007</v>
      </c>
      <c r="AS383" s="5">
        <f t="shared" si="12"/>
        <v>3744.9600000000005</v>
      </c>
    </row>
    <row r="384" spans="1:45" x14ac:dyDescent="0.3">
      <c r="A384" s="1">
        <v>45900.961111111108</v>
      </c>
      <c r="B384" t="s">
        <v>617</v>
      </c>
      <c r="C384" t="s">
        <v>618</v>
      </c>
      <c r="D384" t="s">
        <v>1131</v>
      </c>
      <c r="E384" t="s">
        <v>1131</v>
      </c>
      <c r="F384" t="s">
        <v>2015</v>
      </c>
      <c r="G384" t="s">
        <v>1132</v>
      </c>
      <c r="H384" t="s">
        <v>635</v>
      </c>
      <c r="I384" t="s">
        <v>43</v>
      </c>
      <c r="J384">
        <v>100</v>
      </c>
      <c r="K384">
        <v>19</v>
      </c>
      <c r="L384">
        <v>10</v>
      </c>
      <c r="M384">
        <v>11</v>
      </c>
      <c r="N384">
        <v>1232</v>
      </c>
      <c r="O384">
        <v>0</v>
      </c>
      <c r="P384">
        <v>0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>
        <v>59</v>
      </c>
      <c r="W384" t="s">
        <v>44</v>
      </c>
      <c r="X384" t="s">
        <v>44</v>
      </c>
      <c r="Y384">
        <v>59</v>
      </c>
      <c r="Z384" t="s">
        <v>44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59</v>
      </c>
      <c r="AQ384">
        <f t="shared" si="13"/>
        <v>59</v>
      </c>
      <c r="AR384" s="5">
        <f>VLOOKUP(F384,'[1]Cost Sheet'!$C:$D,2,0)</f>
        <v>79.680000000000007</v>
      </c>
      <c r="AS384" s="5">
        <f t="shared" si="12"/>
        <v>4701.1200000000008</v>
      </c>
    </row>
    <row r="385" spans="1:45" x14ac:dyDescent="0.3">
      <c r="A385" s="1">
        <v>45900.961111111108</v>
      </c>
      <c r="B385" t="s">
        <v>617</v>
      </c>
      <c r="C385" t="s">
        <v>618</v>
      </c>
      <c r="D385" t="s">
        <v>1133</v>
      </c>
      <c r="E385" t="s">
        <v>1133</v>
      </c>
      <c r="F385" t="s">
        <v>2016</v>
      </c>
      <c r="G385" t="s">
        <v>1134</v>
      </c>
      <c r="H385" t="s">
        <v>635</v>
      </c>
      <c r="I385" t="s">
        <v>43</v>
      </c>
      <c r="J385">
        <v>100</v>
      </c>
      <c r="K385">
        <v>19</v>
      </c>
      <c r="L385">
        <v>10</v>
      </c>
      <c r="M385">
        <v>11</v>
      </c>
      <c r="N385">
        <v>1200</v>
      </c>
      <c r="O385">
        <v>0</v>
      </c>
      <c r="P385">
        <v>0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>
        <v>14</v>
      </c>
      <c r="W385" t="s">
        <v>44</v>
      </c>
      <c r="X385" t="s">
        <v>44</v>
      </c>
      <c r="Y385">
        <v>14</v>
      </c>
      <c r="Z385" t="s">
        <v>44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14</v>
      </c>
      <c r="AQ385">
        <f t="shared" si="13"/>
        <v>14</v>
      </c>
      <c r="AR385" s="5">
        <f>VLOOKUP(F385,'[1]Cost Sheet'!$C:$D,2,0)</f>
        <v>168.55</v>
      </c>
      <c r="AS385" s="5">
        <f t="shared" si="12"/>
        <v>2359.7000000000003</v>
      </c>
    </row>
    <row r="386" spans="1:45" x14ac:dyDescent="0.3">
      <c r="A386" s="1">
        <v>45900.961111111108</v>
      </c>
      <c r="B386" t="s">
        <v>617</v>
      </c>
      <c r="C386" t="s">
        <v>618</v>
      </c>
      <c r="D386" t="s">
        <v>1135</v>
      </c>
      <c r="E386" t="s">
        <v>1135</v>
      </c>
      <c r="F386" t="s">
        <v>2017</v>
      </c>
      <c r="G386" t="s">
        <v>1136</v>
      </c>
      <c r="H386" t="s">
        <v>635</v>
      </c>
      <c r="I386" t="s">
        <v>43</v>
      </c>
      <c r="J386">
        <v>100</v>
      </c>
      <c r="K386">
        <v>19</v>
      </c>
      <c r="L386">
        <v>10</v>
      </c>
      <c r="M386">
        <v>11</v>
      </c>
      <c r="N386">
        <v>1153</v>
      </c>
      <c r="O386">
        <v>0</v>
      </c>
      <c r="P386">
        <v>0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>
        <v>26</v>
      </c>
      <c r="W386" t="s">
        <v>44</v>
      </c>
      <c r="X386" t="s">
        <v>44</v>
      </c>
      <c r="Y386">
        <v>26</v>
      </c>
      <c r="Z386" t="s">
        <v>44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26</v>
      </c>
      <c r="AQ386">
        <f t="shared" si="13"/>
        <v>26</v>
      </c>
      <c r="AR386" s="5">
        <f>VLOOKUP(F386,'[1]Cost Sheet'!$C:$D,2,0)</f>
        <v>168.55</v>
      </c>
      <c r="AS386" s="5">
        <f t="shared" si="12"/>
        <v>4382.3</v>
      </c>
    </row>
    <row r="387" spans="1:45" x14ac:dyDescent="0.3">
      <c r="A387" s="1">
        <v>45900.961111111108</v>
      </c>
      <c r="B387" t="s">
        <v>617</v>
      </c>
      <c r="C387" t="s">
        <v>618</v>
      </c>
      <c r="D387" t="s">
        <v>1137</v>
      </c>
      <c r="E387" t="s">
        <v>1137</v>
      </c>
      <c r="F387" t="s">
        <v>2018</v>
      </c>
      <c r="G387" t="s">
        <v>1138</v>
      </c>
      <c r="H387" t="s">
        <v>635</v>
      </c>
      <c r="I387" t="s">
        <v>43</v>
      </c>
      <c r="J387">
        <v>100</v>
      </c>
      <c r="K387">
        <v>19</v>
      </c>
      <c r="L387">
        <v>10</v>
      </c>
      <c r="M387">
        <v>11</v>
      </c>
      <c r="N387">
        <v>675</v>
      </c>
      <c r="O387">
        <v>0</v>
      </c>
      <c r="P387">
        <v>0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>
        <v>36</v>
      </c>
      <c r="W387" t="s">
        <v>44</v>
      </c>
      <c r="X387" t="s">
        <v>44</v>
      </c>
      <c r="Y387">
        <v>36</v>
      </c>
      <c r="Z387" t="s">
        <v>44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36</v>
      </c>
      <c r="AQ387">
        <f t="shared" si="13"/>
        <v>36</v>
      </c>
      <c r="AR387" s="5">
        <f>VLOOKUP(F387,'[1]Cost Sheet'!$C:$D,2,0)</f>
        <v>73.05</v>
      </c>
      <c r="AS387" s="5">
        <f t="shared" ref="AS387:AS450" si="14">AQ387*AR387</f>
        <v>2629.7999999999997</v>
      </c>
    </row>
    <row r="388" spans="1:45" x14ac:dyDescent="0.3">
      <c r="A388" s="1">
        <v>45900.961111111108</v>
      </c>
      <c r="B388" t="s">
        <v>617</v>
      </c>
      <c r="C388" t="s">
        <v>618</v>
      </c>
      <c r="D388" t="s">
        <v>1139</v>
      </c>
      <c r="E388" t="s">
        <v>1139</v>
      </c>
      <c r="F388" t="s">
        <v>2019</v>
      </c>
      <c r="G388" t="s">
        <v>1140</v>
      </c>
      <c r="H388" t="s">
        <v>635</v>
      </c>
      <c r="I388" t="s">
        <v>43</v>
      </c>
      <c r="J388">
        <v>100</v>
      </c>
      <c r="K388">
        <v>19</v>
      </c>
      <c r="L388">
        <v>10</v>
      </c>
      <c r="M388">
        <v>11</v>
      </c>
      <c r="N388">
        <v>716</v>
      </c>
      <c r="O388">
        <v>0</v>
      </c>
      <c r="P388">
        <v>0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>
        <v>35</v>
      </c>
      <c r="W388" t="s">
        <v>44</v>
      </c>
      <c r="X388" t="s">
        <v>44</v>
      </c>
      <c r="Y388">
        <v>35</v>
      </c>
      <c r="Z388" t="s">
        <v>44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35</v>
      </c>
      <c r="AQ388">
        <f t="shared" si="13"/>
        <v>35</v>
      </c>
      <c r="AR388" s="5">
        <f>VLOOKUP(F388,'[1]Cost Sheet'!$C:$D,2,0)</f>
        <v>73.05</v>
      </c>
      <c r="AS388" s="5">
        <f t="shared" si="14"/>
        <v>2556.75</v>
      </c>
    </row>
    <row r="389" spans="1:45" x14ac:dyDescent="0.3">
      <c r="A389" s="1">
        <v>45900.961111111108</v>
      </c>
      <c r="B389" t="s">
        <v>617</v>
      </c>
      <c r="C389" t="s">
        <v>618</v>
      </c>
      <c r="D389" t="s">
        <v>1141</v>
      </c>
      <c r="E389" t="s">
        <v>1141</v>
      </c>
      <c r="F389" t="s">
        <v>2020</v>
      </c>
      <c r="G389" t="s">
        <v>1142</v>
      </c>
      <c r="H389" t="s">
        <v>635</v>
      </c>
      <c r="I389" t="s">
        <v>43</v>
      </c>
      <c r="J389">
        <v>100</v>
      </c>
      <c r="K389">
        <v>19</v>
      </c>
      <c r="L389">
        <v>10</v>
      </c>
      <c r="M389">
        <v>11</v>
      </c>
      <c r="N389">
        <v>826</v>
      </c>
      <c r="O389">
        <v>0</v>
      </c>
      <c r="P389">
        <v>0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>
        <v>47</v>
      </c>
      <c r="W389" t="s">
        <v>44</v>
      </c>
      <c r="X389" t="s">
        <v>44</v>
      </c>
      <c r="Y389">
        <v>47</v>
      </c>
      <c r="Z389" t="s">
        <v>44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47</v>
      </c>
      <c r="AQ389">
        <f t="shared" si="13"/>
        <v>47</v>
      </c>
      <c r="AR389" s="5">
        <f>VLOOKUP(F389,'[1]Cost Sheet'!$C:$D,2,0)</f>
        <v>73.05</v>
      </c>
      <c r="AS389" s="5">
        <f t="shared" si="14"/>
        <v>3433.35</v>
      </c>
    </row>
    <row r="390" spans="1:45" x14ac:dyDescent="0.3">
      <c r="A390" s="1">
        <v>45900.961111111108</v>
      </c>
      <c r="B390" t="s">
        <v>617</v>
      </c>
      <c r="C390" t="s">
        <v>618</v>
      </c>
      <c r="D390" t="s">
        <v>1143</v>
      </c>
      <c r="E390" t="s">
        <v>1143</v>
      </c>
      <c r="F390" t="s">
        <v>2021</v>
      </c>
      <c r="G390" t="s">
        <v>1144</v>
      </c>
      <c r="H390" t="s">
        <v>635</v>
      </c>
      <c r="I390" t="s">
        <v>43</v>
      </c>
      <c r="J390">
        <v>100</v>
      </c>
      <c r="K390">
        <v>19</v>
      </c>
      <c r="L390">
        <v>10</v>
      </c>
      <c r="M390">
        <v>11</v>
      </c>
      <c r="N390">
        <v>704</v>
      </c>
      <c r="O390">
        <v>0</v>
      </c>
      <c r="P390">
        <v>0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>
        <v>31</v>
      </c>
      <c r="W390" t="s">
        <v>44</v>
      </c>
      <c r="X390" t="s">
        <v>44</v>
      </c>
      <c r="Y390">
        <v>31</v>
      </c>
      <c r="Z390" t="s">
        <v>44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31</v>
      </c>
      <c r="AQ390">
        <f t="shared" si="13"/>
        <v>31</v>
      </c>
      <c r="AR390" s="5">
        <f>VLOOKUP(F390,'[1]Cost Sheet'!$C:$D,2,0)</f>
        <v>73.05</v>
      </c>
      <c r="AS390" s="5">
        <f t="shared" si="14"/>
        <v>2264.5499999999997</v>
      </c>
    </row>
    <row r="391" spans="1:45" x14ac:dyDescent="0.3">
      <c r="A391" s="1">
        <v>45900.961111111108</v>
      </c>
      <c r="B391" t="s">
        <v>617</v>
      </c>
      <c r="C391" t="s">
        <v>618</v>
      </c>
      <c r="D391" t="s">
        <v>1145</v>
      </c>
      <c r="E391" t="s">
        <v>1145</v>
      </c>
      <c r="F391" t="s">
        <v>2022</v>
      </c>
      <c r="G391" t="s">
        <v>1146</v>
      </c>
      <c r="H391" t="s">
        <v>635</v>
      </c>
      <c r="I391" t="s">
        <v>43</v>
      </c>
      <c r="J391">
        <v>100</v>
      </c>
      <c r="K391">
        <v>19</v>
      </c>
      <c r="L391">
        <v>10</v>
      </c>
      <c r="M391">
        <v>11</v>
      </c>
      <c r="N391">
        <v>600</v>
      </c>
      <c r="O391">
        <v>0</v>
      </c>
      <c r="P391">
        <v>0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>
        <v>55</v>
      </c>
      <c r="W391" t="s">
        <v>44</v>
      </c>
      <c r="X391" t="s">
        <v>44</v>
      </c>
      <c r="Y391">
        <v>55</v>
      </c>
      <c r="Z391" t="s">
        <v>44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55</v>
      </c>
      <c r="AQ391">
        <f t="shared" si="13"/>
        <v>55</v>
      </c>
      <c r="AR391" s="5">
        <f>VLOOKUP(F391,'[1]Cost Sheet'!$C:$D,2,0)</f>
        <v>98.3</v>
      </c>
      <c r="AS391" s="5">
        <f t="shared" si="14"/>
        <v>5406.5</v>
      </c>
    </row>
    <row r="392" spans="1:45" x14ac:dyDescent="0.3">
      <c r="A392" s="1">
        <v>45900.961111111108</v>
      </c>
      <c r="B392" t="s">
        <v>617</v>
      </c>
      <c r="C392" t="s">
        <v>618</v>
      </c>
      <c r="D392" t="s">
        <v>1147</v>
      </c>
      <c r="E392" t="s">
        <v>1147</v>
      </c>
      <c r="F392" t="s">
        <v>2023</v>
      </c>
      <c r="G392" t="s">
        <v>1148</v>
      </c>
      <c r="H392" t="s">
        <v>635</v>
      </c>
      <c r="I392" t="s">
        <v>43</v>
      </c>
      <c r="J392">
        <v>100</v>
      </c>
      <c r="K392">
        <v>19</v>
      </c>
      <c r="L392">
        <v>10</v>
      </c>
      <c r="M392">
        <v>11</v>
      </c>
      <c r="N392">
        <v>756</v>
      </c>
      <c r="O392">
        <v>0</v>
      </c>
      <c r="P392">
        <v>0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>
        <v>30</v>
      </c>
      <c r="W392" t="s">
        <v>44</v>
      </c>
      <c r="X392" t="s">
        <v>44</v>
      </c>
      <c r="Y392">
        <v>30</v>
      </c>
      <c r="Z392" t="s">
        <v>44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30</v>
      </c>
      <c r="AQ392">
        <f t="shared" si="13"/>
        <v>30</v>
      </c>
      <c r="AR392" s="5">
        <f>VLOOKUP(F392,'[1]Cost Sheet'!$C:$D,2,0)</f>
        <v>98.3</v>
      </c>
      <c r="AS392" s="5">
        <f t="shared" si="14"/>
        <v>2949</v>
      </c>
    </row>
    <row r="393" spans="1:45" x14ac:dyDescent="0.3">
      <c r="A393" s="1">
        <v>45900.961111111108</v>
      </c>
      <c r="B393" t="s">
        <v>617</v>
      </c>
      <c r="C393" t="s">
        <v>618</v>
      </c>
      <c r="D393" t="s">
        <v>1149</v>
      </c>
      <c r="E393" t="s">
        <v>1149</v>
      </c>
      <c r="F393" t="s">
        <v>2024</v>
      </c>
      <c r="G393" t="s">
        <v>1150</v>
      </c>
      <c r="H393" t="s">
        <v>635</v>
      </c>
      <c r="I393" t="s">
        <v>43</v>
      </c>
      <c r="J393">
        <v>100</v>
      </c>
      <c r="K393">
        <v>19</v>
      </c>
      <c r="L393">
        <v>10</v>
      </c>
      <c r="M393">
        <v>11</v>
      </c>
      <c r="N393">
        <v>608</v>
      </c>
      <c r="O393">
        <v>0</v>
      </c>
      <c r="P393">
        <v>0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>
        <v>11</v>
      </c>
      <c r="W393" t="s">
        <v>44</v>
      </c>
      <c r="X393" t="s">
        <v>44</v>
      </c>
      <c r="Y393">
        <v>11</v>
      </c>
      <c r="Z393" t="s">
        <v>44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11</v>
      </c>
      <c r="AQ393">
        <f t="shared" si="13"/>
        <v>11</v>
      </c>
      <c r="AR393" s="5">
        <f>VLOOKUP(F393,'[1]Cost Sheet'!$C:$D,2,0)</f>
        <v>98.3</v>
      </c>
      <c r="AS393" s="5">
        <f t="shared" si="14"/>
        <v>1081.3</v>
      </c>
    </row>
    <row r="394" spans="1:45" x14ac:dyDescent="0.3">
      <c r="A394" s="1">
        <v>45900.961111111108</v>
      </c>
      <c r="B394" t="s">
        <v>617</v>
      </c>
      <c r="C394" t="s">
        <v>618</v>
      </c>
      <c r="D394" t="s">
        <v>1151</v>
      </c>
      <c r="E394" t="s">
        <v>1151</v>
      </c>
      <c r="F394" t="s">
        <v>2025</v>
      </c>
      <c r="G394" t="s">
        <v>1152</v>
      </c>
      <c r="H394" t="s">
        <v>635</v>
      </c>
      <c r="I394" t="s">
        <v>43</v>
      </c>
      <c r="J394">
        <v>100</v>
      </c>
      <c r="K394">
        <v>19</v>
      </c>
      <c r="L394">
        <v>10</v>
      </c>
      <c r="M394">
        <v>11</v>
      </c>
      <c r="N394">
        <v>741</v>
      </c>
      <c r="O394">
        <v>0</v>
      </c>
      <c r="P394">
        <v>0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>
        <v>32</v>
      </c>
      <c r="W394" t="s">
        <v>44</v>
      </c>
      <c r="X394" t="s">
        <v>44</v>
      </c>
      <c r="Y394">
        <v>32</v>
      </c>
      <c r="Z394" t="s">
        <v>44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32</v>
      </c>
      <c r="AQ394">
        <f t="shared" si="13"/>
        <v>32</v>
      </c>
      <c r="AR394" s="5">
        <f>VLOOKUP(F394,'[1]Cost Sheet'!$C:$D,2,0)</f>
        <v>98.3</v>
      </c>
      <c r="AS394" s="5">
        <f t="shared" si="14"/>
        <v>3145.6</v>
      </c>
    </row>
    <row r="395" spans="1:45" x14ac:dyDescent="0.3">
      <c r="A395" s="1">
        <v>45900.961111111108</v>
      </c>
      <c r="B395" t="s">
        <v>617</v>
      </c>
      <c r="C395" t="s">
        <v>618</v>
      </c>
      <c r="D395" t="s">
        <v>1153</v>
      </c>
      <c r="E395" t="s">
        <v>1153</v>
      </c>
      <c r="F395" t="s">
        <v>2026</v>
      </c>
      <c r="G395" t="s">
        <v>1154</v>
      </c>
      <c r="H395" t="s">
        <v>635</v>
      </c>
      <c r="I395" t="s">
        <v>43</v>
      </c>
      <c r="J395">
        <v>100</v>
      </c>
      <c r="K395">
        <v>19</v>
      </c>
      <c r="L395">
        <v>10</v>
      </c>
      <c r="M395">
        <v>11</v>
      </c>
      <c r="N395">
        <v>698</v>
      </c>
      <c r="O395">
        <v>0</v>
      </c>
      <c r="P395">
        <v>0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>
        <v>17</v>
      </c>
      <c r="W395" t="s">
        <v>44</v>
      </c>
      <c r="X395" t="s">
        <v>44</v>
      </c>
      <c r="Y395">
        <v>17</v>
      </c>
      <c r="Z395" t="s">
        <v>44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17</v>
      </c>
      <c r="AQ395">
        <f t="shared" si="13"/>
        <v>17</v>
      </c>
      <c r="AR395" s="5">
        <f>VLOOKUP(F395,'[1]Cost Sheet'!$C:$D,2,0)</f>
        <v>98.3</v>
      </c>
      <c r="AS395" s="5">
        <f t="shared" si="14"/>
        <v>1671.1</v>
      </c>
    </row>
    <row r="396" spans="1:45" x14ac:dyDescent="0.3">
      <c r="A396" s="1">
        <v>45900.961111111108</v>
      </c>
      <c r="B396" t="s">
        <v>617</v>
      </c>
      <c r="C396" t="s">
        <v>618</v>
      </c>
      <c r="D396" t="s">
        <v>1155</v>
      </c>
      <c r="E396" t="s">
        <v>1155</v>
      </c>
      <c r="F396" t="s">
        <v>2027</v>
      </c>
      <c r="G396" t="s">
        <v>1156</v>
      </c>
      <c r="H396" t="s">
        <v>635</v>
      </c>
      <c r="I396" t="s">
        <v>43</v>
      </c>
      <c r="J396">
        <v>100</v>
      </c>
      <c r="K396">
        <v>19</v>
      </c>
      <c r="L396">
        <v>10</v>
      </c>
      <c r="M396">
        <v>11</v>
      </c>
      <c r="N396">
        <v>690</v>
      </c>
      <c r="O396">
        <v>0</v>
      </c>
      <c r="P396">
        <v>0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>
        <v>72</v>
      </c>
      <c r="W396" t="s">
        <v>44</v>
      </c>
      <c r="X396" t="s">
        <v>44</v>
      </c>
      <c r="Y396">
        <v>72</v>
      </c>
      <c r="Z396" t="s">
        <v>44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72</v>
      </c>
      <c r="AQ396">
        <f t="shared" si="13"/>
        <v>72</v>
      </c>
      <c r="AR396" s="5">
        <f>VLOOKUP(F396,'[1]Cost Sheet'!$C:$D,2,0)</f>
        <v>98.3</v>
      </c>
      <c r="AS396" s="5">
        <f t="shared" si="14"/>
        <v>7077.5999999999995</v>
      </c>
    </row>
    <row r="397" spans="1:45" x14ac:dyDescent="0.3">
      <c r="A397" s="1">
        <v>45900.961111111108</v>
      </c>
      <c r="B397" t="s">
        <v>617</v>
      </c>
      <c r="C397" t="s">
        <v>618</v>
      </c>
      <c r="D397" t="s">
        <v>1157</v>
      </c>
      <c r="E397" t="s">
        <v>1157</v>
      </c>
      <c r="F397" t="s">
        <v>2028</v>
      </c>
      <c r="G397" t="s">
        <v>1158</v>
      </c>
      <c r="H397" t="s">
        <v>635</v>
      </c>
      <c r="I397" t="s">
        <v>43</v>
      </c>
      <c r="J397">
        <v>100</v>
      </c>
      <c r="K397">
        <v>19</v>
      </c>
      <c r="L397">
        <v>10</v>
      </c>
      <c r="M397">
        <v>11</v>
      </c>
      <c r="N397">
        <v>545</v>
      </c>
      <c r="O397">
        <v>0</v>
      </c>
      <c r="P397">
        <v>0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>
        <v>24</v>
      </c>
      <c r="W397" t="s">
        <v>44</v>
      </c>
      <c r="X397" t="s">
        <v>44</v>
      </c>
      <c r="Y397">
        <v>24</v>
      </c>
      <c r="Z397" t="s">
        <v>44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24</v>
      </c>
      <c r="AQ397">
        <f t="shared" si="13"/>
        <v>24</v>
      </c>
      <c r="AR397" s="5">
        <f>VLOOKUP(F397,'[1]Cost Sheet'!$C:$D,2,0)</f>
        <v>98.299999999999983</v>
      </c>
      <c r="AS397" s="5">
        <f t="shared" si="14"/>
        <v>2359.1999999999998</v>
      </c>
    </row>
    <row r="398" spans="1:45" x14ac:dyDescent="0.3">
      <c r="A398" s="1">
        <v>45900.961111111108</v>
      </c>
      <c r="B398" t="s">
        <v>617</v>
      </c>
      <c r="C398" t="s">
        <v>618</v>
      </c>
      <c r="D398" t="s">
        <v>1159</v>
      </c>
      <c r="E398" t="s">
        <v>1159</v>
      </c>
      <c r="F398" t="s">
        <v>2029</v>
      </c>
      <c r="G398" t="s">
        <v>1160</v>
      </c>
      <c r="H398" t="s">
        <v>635</v>
      </c>
      <c r="I398" t="s">
        <v>43</v>
      </c>
      <c r="J398">
        <v>100</v>
      </c>
      <c r="K398">
        <v>19</v>
      </c>
      <c r="L398">
        <v>10</v>
      </c>
      <c r="M398">
        <v>11</v>
      </c>
      <c r="N398">
        <v>655</v>
      </c>
      <c r="O398">
        <v>0</v>
      </c>
      <c r="P398">
        <v>0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>
        <v>25</v>
      </c>
      <c r="W398" t="s">
        <v>44</v>
      </c>
      <c r="X398" t="s">
        <v>44</v>
      </c>
      <c r="Y398">
        <v>25</v>
      </c>
      <c r="Z398" t="s">
        <v>44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25</v>
      </c>
      <c r="AQ398">
        <f t="shared" si="13"/>
        <v>25</v>
      </c>
      <c r="AR398" s="5">
        <f>VLOOKUP(F398,'[1]Cost Sheet'!$C:$D,2,0)</f>
        <v>98.3</v>
      </c>
      <c r="AS398" s="5">
        <f t="shared" si="14"/>
        <v>2457.5</v>
      </c>
    </row>
    <row r="399" spans="1:45" x14ac:dyDescent="0.3">
      <c r="A399" s="1">
        <v>45900.961111111108</v>
      </c>
      <c r="B399" t="s">
        <v>617</v>
      </c>
      <c r="C399" t="s">
        <v>618</v>
      </c>
      <c r="D399" t="s">
        <v>1161</v>
      </c>
      <c r="E399" t="s">
        <v>1161</v>
      </c>
      <c r="F399" t="s">
        <v>2030</v>
      </c>
      <c r="G399" t="s">
        <v>1162</v>
      </c>
      <c r="H399" t="s">
        <v>635</v>
      </c>
      <c r="I399" t="s">
        <v>43</v>
      </c>
      <c r="J399">
        <v>100</v>
      </c>
      <c r="K399">
        <v>19</v>
      </c>
      <c r="L399">
        <v>10</v>
      </c>
      <c r="M399">
        <v>11</v>
      </c>
      <c r="N399">
        <v>685</v>
      </c>
      <c r="O399">
        <v>0</v>
      </c>
      <c r="P399">
        <v>0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>
        <v>10</v>
      </c>
      <c r="W399" t="s">
        <v>44</v>
      </c>
      <c r="X399" t="s">
        <v>44</v>
      </c>
      <c r="Y399">
        <v>10</v>
      </c>
      <c r="Z399" t="s">
        <v>44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10</v>
      </c>
      <c r="AQ399">
        <f t="shared" si="13"/>
        <v>10</v>
      </c>
      <c r="AR399" s="5">
        <f>VLOOKUP(F399,'[1]Cost Sheet'!$C:$D,2,0)</f>
        <v>98.3</v>
      </c>
      <c r="AS399" s="5">
        <f t="shared" si="14"/>
        <v>983</v>
      </c>
    </row>
    <row r="400" spans="1:45" x14ac:dyDescent="0.3">
      <c r="A400" s="1">
        <v>45900.961111111108</v>
      </c>
      <c r="B400" t="s">
        <v>617</v>
      </c>
      <c r="C400" t="s">
        <v>618</v>
      </c>
      <c r="D400" t="s">
        <v>1163</v>
      </c>
      <c r="E400" t="s">
        <v>1163</v>
      </c>
      <c r="F400" t="s">
        <v>2031</v>
      </c>
      <c r="G400" t="s">
        <v>1164</v>
      </c>
      <c r="H400" t="s">
        <v>635</v>
      </c>
      <c r="I400" t="s">
        <v>43</v>
      </c>
      <c r="J400">
        <v>100</v>
      </c>
      <c r="K400">
        <v>19</v>
      </c>
      <c r="L400">
        <v>10</v>
      </c>
      <c r="M400">
        <v>11</v>
      </c>
      <c r="N400">
        <v>685</v>
      </c>
      <c r="O400">
        <v>0</v>
      </c>
      <c r="P400">
        <v>0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>
        <v>76</v>
      </c>
      <c r="W400" t="s">
        <v>44</v>
      </c>
      <c r="X400" t="s">
        <v>44</v>
      </c>
      <c r="Y400">
        <v>76</v>
      </c>
      <c r="Z400" t="s">
        <v>44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76</v>
      </c>
      <c r="AQ400">
        <f t="shared" si="13"/>
        <v>76</v>
      </c>
      <c r="AR400" s="5">
        <f>VLOOKUP(F400,'[1]Cost Sheet'!$C:$D,2,0)</f>
        <v>98.3</v>
      </c>
      <c r="AS400" s="5">
        <f t="shared" si="14"/>
        <v>7470.8</v>
      </c>
    </row>
    <row r="401" spans="1:45" x14ac:dyDescent="0.3">
      <c r="A401" s="1">
        <v>45900.961111111108</v>
      </c>
      <c r="B401" t="s">
        <v>617</v>
      </c>
      <c r="C401" t="s">
        <v>618</v>
      </c>
      <c r="D401" t="s">
        <v>1165</v>
      </c>
      <c r="E401" t="s">
        <v>1165</v>
      </c>
      <c r="F401" t="s">
        <v>2032</v>
      </c>
      <c r="G401" t="s">
        <v>1166</v>
      </c>
      <c r="H401" t="s">
        <v>635</v>
      </c>
      <c r="I401" t="s">
        <v>43</v>
      </c>
      <c r="J401">
        <v>100</v>
      </c>
      <c r="K401">
        <v>19</v>
      </c>
      <c r="L401">
        <v>10</v>
      </c>
      <c r="M401">
        <v>11</v>
      </c>
      <c r="N401">
        <v>727</v>
      </c>
      <c r="O401">
        <v>0</v>
      </c>
      <c r="P401">
        <v>0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>
        <v>20</v>
      </c>
      <c r="W401" t="s">
        <v>44</v>
      </c>
      <c r="X401" t="s">
        <v>44</v>
      </c>
      <c r="Y401">
        <v>20</v>
      </c>
      <c r="Z401" t="s">
        <v>44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20</v>
      </c>
      <c r="AQ401">
        <f t="shared" si="13"/>
        <v>20</v>
      </c>
      <c r="AR401" s="5">
        <f>VLOOKUP(F401,'[1]Cost Sheet'!$C:$D,2,0)</f>
        <v>98.299999999999983</v>
      </c>
      <c r="AS401" s="5">
        <f t="shared" si="14"/>
        <v>1965.9999999999995</v>
      </c>
    </row>
    <row r="402" spans="1:45" x14ac:dyDescent="0.3">
      <c r="A402" s="1">
        <v>45900.961111111108</v>
      </c>
      <c r="B402" t="s">
        <v>617</v>
      </c>
      <c r="C402" t="s">
        <v>618</v>
      </c>
      <c r="D402" t="s">
        <v>1167</v>
      </c>
      <c r="E402" t="s">
        <v>1167</v>
      </c>
      <c r="F402" t="s">
        <v>2033</v>
      </c>
      <c r="G402" t="s">
        <v>1168</v>
      </c>
      <c r="H402" t="s">
        <v>635</v>
      </c>
      <c r="I402" t="s">
        <v>43</v>
      </c>
      <c r="J402">
        <v>100</v>
      </c>
      <c r="K402">
        <v>19</v>
      </c>
      <c r="L402">
        <v>10</v>
      </c>
      <c r="M402">
        <v>11</v>
      </c>
      <c r="N402">
        <v>759</v>
      </c>
      <c r="O402">
        <v>0</v>
      </c>
      <c r="P402">
        <v>0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>
        <v>89</v>
      </c>
      <c r="W402" t="s">
        <v>44</v>
      </c>
      <c r="X402" t="s">
        <v>44</v>
      </c>
      <c r="Y402">
        <v>89</v>
      </c>
      <c r="Z402" t="s">
        <v>44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89</v>
      </c>
      <c r="AQ402">
        <f t="shared" si="13"/>
        <v>89</v>
      </c>
      <c r="AR402" s="5">
        <f>VLOOKUP(F402,'[1]Cost Sheet'!$C:$D,2,0)</f>
        <v>98.3</v>
      </c>
      <c r="AS402" s="5">
        <f t="shared" si="14"/>
        <v>8748.6999999999989</v>
      </c>
    </row>
    <row r="403" spans="1:45" x14ac:dyDescent="0.3">
      <c r="A403" s="1">
        <v>45900.961111111108</v>
      </c>
      <c r="B403" t="s">
        <v>617</v>
      </c>
      <c r="C403" t="s">
        <v>618</v>
      </c>
      <c r="D403" t="s">
        <v>1169</v>
      </c>
      <c r="E403" t="s">
        <v>1169</v>
      </c>
      <c r="F403" t="s">
        <v>2034</v>
      </c>
      <c r="G403" t="s">
        <v>1170</v>
      </c>
      <c r="H403" t="s">
        <v>635</v>
      </c>
      <c r="I403" t="s">
        <v>43</v>
      </c>
      <c r="J403">
        <v>100</v>
      </c>
      <c r="K403">
        <v>19</v>
      </c>
      <c r="L403">
        <v>10</v>
      </c>
      <c r="M403">
        <v>11</v>
      </c>
      <c r="N403">
        <v>595</v>
      </c>
      <c r="O403">
        <v>0</v>
      </c>
      <c r="P403">
        <v>0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>
        <v>20</v>
      </c>
      <c r="W403" t="s">
        <v>44</v>
      </c>
      <c r="X403" t="s">
        <v>44</v>
      </c>
      <c r="Y403">
        <v>20</v>
      </c>
      <c r="Z403" t="s">
        <v>44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20</v>
      </c>
      <c r="AQ403">
        <f t="shared" si="13"/>
        <v>20</v>
      </c>
      <c r="AR403" s="5">
        <f>VLOOKUP(F403,'[1]Cost Sheet'!$C:$D,2,0)</f>
        <v>98.3</v>
      </c>
      <c r="AS403" s="5">
        <f t="shared" si="14"/>
        <v>1966</v>
      </c>
    </row>
    <row r="404" spans="1:45" x14ac:dyDescent="0.3">
      <c r="A404" s="1">
        <v>45900.961111111108</v>
      </c>
      <c r="B404" t="s">
        <v>617</v>
      </c>
      <c r="C404" t="s">
        <v>618</v>
      </c>
      <c r="D404" t="s">
        <v>1171</v>
      </c>
      <c r="E404" t="s">
        <v>1171</v>
      </c>
      <c r="F404" t="s">
        <v>2035</v>
      </c>
      <c r="G404" t="s">
        <v>1172</v>
      </c>
      <c r="H404" t="s">
        <v>635</v>
      </c>
      <c r="I404" t="s">
        <v>43</v>
      </c>
      <c r="J404">
        <v>100</v>
      </c>
      <c r="K404">
        <v>19</v>
      </c>
      <c r="L404">
        <v>10</v>
      </c>
      <c r="M404">
        <v>11</v>
      </c>
      <c r="N404">
        <v>911</v>
      </c>
      <c r="O404">
        <v>0</v>
      </c>
      <c r="P404">
        <v>0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>
        <v>69</v>
      </c>
      <c r="W404" t="s">
        <v>44</v>
      </c>
      <c r="X404" t="s">
        <v>44</v>
      </c>
      <c r="Y404">
        <v>69</v>
      </c>
      <c r="Z404" t="s">
        <v>44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69</v>
      </c>
      <c r="AQ404">
        <f t="shared" si="13"/>
        <v>69</v>
      </c>
      <c r="AR404" s="5">
        <f>VLOOKUP(F404,'[1]Cost Sheet'!$C:$D,2,0)</f>
        <v>98.3</v>
      </c>
      <c r="AS404" s="5">
        <f t="shared" si="14"/>
        <v>6782.7</v>
      </c>
    </row>
    <row r="405" spans="1:45" x14ac:dyDescent="0.3">
      <c r="A405" s="1">
        <v>45900.961111111108</v>
      </c>
      <c r="B405" t="s">
        <v>617</v>
      </c>
      <c r="C405" t="s">
        <v>618</v>
      </c>
      <c r="D405" t="s">
        <v>1173</v>
      </c>
      <c r="E405" t="s">
        <v>1173</v>
      </c>
      <c r="F405" t="s">
        <v>2036</v>
      </c>
      <c r="G405" t="s">
        <v>1174</v>
      </c>
      <c r="H405" t="s">
        <v>635</v>
      </c>
      <c r="I405" t="s">
        <v>43</v>
      </c>
      <c r="J405">
        <v>100</v>
      </c>
      <c r="K405">
        <v>19</v>
      </c>
      <c r="L405">
        <v>10</v>
      </c>
      <c r="M405">
        <v>11</v>
      </c>
      <c r="N405">
        <v>759</v>
      </c>
      <c r="O405">
        <v>0</v>
      </c>
      <c r="P405">
        <v>0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>
        <v>29</v>
      </c>
      <c r="W405" t="s">
        <v>44</v>
      </c>
      <c r="X405" t="s">
        <v>44</v>
      </c>
      <c r="Y405">
        <v>29</v>
      </c>
      <c r="Z405" t="s">
        <v>44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29</v>
      </c>
      <c r="AQ405">
        <f t="shared" si="13"/>
        <v>29</v>
      </c>
      <c r="AR405" s="5">
        <f>VLOOKUP(F405,'[1]Cost Sheet'!$C:$D,2,0)</f>
        <v>98.3</v>
      </c>
      <c r="AS405" s="5">
        <f t="shared" si="14"/>
        <v>2850.7</v>
      </c>
    </row>
    <row r="406" spans="1:45" x14ac:dyDescent="0.3">
      <c r="A406" s="1">
        <v>45900.961111111108</v>
      </c>
      <c r="B406" t="s">
        <v>617</v>
      </c>
      <c r="C406" t="s">
        <v>618</v>
      </c>
      <c r="D406" t="s">
        <v>1175</v>
      </c>
      <c r="E406" t="s">
        <v>1175</v>
      </c>
      <c r="F406" t="s">
        <v>2037</v>
      </c>
      <c r="G406" t="s">
        <v>1176</v>
      </c>
      <c r="H406" t="s">
        <v>635</v>
      </c>
      <c r="I406" t="s">
        <v>43</v>
      </c>
      <c r="J406">
        <v>100</v>
      </c>
      <c r="K406">
        <v>19</v>
      </c>
      <c r="L406">
        <v>10</v>
      </c>
      <c r="M406">
        <v>11</v>
      </c>
      <c r="N406">
        <v>752</v>
      </c>
      <c r="O406">
        <v>0</v>
      </c>
      <c r="P406">
        <v>0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>
        <v>29</v>
      </c>
      <c r="W406" t="s">
        <v>44</v>
      </c>
      <c r="X406" t="s">
        <v>44</v>
      </c>
      <c r="Y406">
        <v>29</v>
      </c>
      <c r="Z406" t="s">
        <v>44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29</v>
      </c>
      <c r="AQ406">
        <f t="shared" si="13"/>
        <v>29</v>
      </c>
      <c r="AR406" s="5">
        <f>VLOOKUP(F406,'[1]Cost Sheet'!$C:$D,2,0)</f>
        <v>98.299999999999983</v>
      </c>
      <c r="AS406" s="5">
        <f t="shared" si="14"/>
        <v>2850.6999999999994</v>
      </c>
    </row>
    <row r="407" spans="1:45" x14ac:dyDescent="0.3">
      <c r="A407" s="1">
        <v>45900.961111111108</v>
      </c>
      <c r="B407" t="s">
        <v>617</v>
      </c>
      <c r="C407" t="s">
        <v>618</v>
      </c>
      <c r="D407" t="s">
        <v>1177</v>
      </c>
      <c r="E407" t="s">
        <v>1177</v>
      </c>
      <c r="F407" t="s">
        <v>2038</v>
      </c>
      <c r="G407" t="s">
        <v>1178</v>
      </c>
      <c r="H407" t="s">
        <v>635</v>
      </c>
      <c r="I407" t="s">
        <v>43</v>
      </c>
      <c r="J407">
        <v>100</v>
      </c>
      <c r="K407">
        <v>19</v>
      </c>
      <c r="L407">
        <v>10</v>
      </c>
      <c r="M407">
        <v>11</v>
      </c>
      <c r="N407">
        <v>739</v>
      </c>
      <c r="O407">
        <v>0</v>
      </c>
      <c r="P407">
        <v>0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>
        <v>24</v>
      </c>
      <c r="W407" t="s">
        <v>44</v>
      </c>
      <c r="X407" t="s">
        <v>44</v>
      </c>
      <c r="Y407">
        <v>24</v>
      </c>
      <c r="Z407" t="s">
        <v>44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24</v>
      </c>
      <c r="AQ407">
        <f t="shared" si="13"/>
        <v>24</v>
      </c>
      <c r="AR407" s="5">
        <f>VLOOKUP(F407,'[1]Cost Sheet'!$C:$D,2,0)</f>
        <v>98.299999999999983</v>
      </c>
      <c r="AS407" s="5">
        <f t="shared" si="14"/>
        <v>2359.1999999999998</v>
      </c>
    </row>
    <row r="408" spans="1:45" x14ac:dyDescent="0.3">
      <c r="A408" s="1">
        <v>45900.961111111108</v>
      </c>
      <c r="B408" t="s">
        <v>617</v>
      </c>
      <c r="C408" t="s">
        <v>618</v>
      </c>
      <c r="D408" t="s">
        <v>1179</v>
      </c>
      <c r="E408" t="s">
        <v>1179</v>
      </c>
      <c r="F408" t="s">
        <v>2039</v>
      </c>
      <c r="G408" t="s">
        <v>1180</v>
      </c>
      <c r="H408" t="s">
        <v>635</v>
      </c>
      <c r="I408" t="s">
        <v>43</v>
      </c>
      <c r="J408">
        <v>100</v>
      </c>
      <c r="K408">
        <v>19</v>
      </c>
      <c r="L408">
        <v>10</v>
      </c>
      <c r="M408">
        <v>11</v>
      </c>
      <c r="N408">
        <v>703</v>
      </c>
      <c r="O408">
        <v>0</v>
      </c>
      <c r="P408">
        <v>0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>
        <v>17</v>
      </c>
      <c r="W408" t="s">
        <v>44</v>
      </c>
      <c r="X408" t="s">
        <v>44</v>
      </c>
      <c r="Y408">
        <v>17</v>
      </c>
      <c r="Z408" t="s">
        <v>44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17</v>
      </c>
      <c r="AQ408">
        <f t="shared" si="13"/>
        <v>17</v>
      </c>
      <c r="AR408" s="5">
        <f>VLOOKUP(F408,'[1]Cost Sheet'!$C:$D,2,0)</f>
        <v>98.3</v>
      </c>
      <c r="AS408" s="5">
        <f t="shared" si="14"/>
        <v>1671.1</v>
      </c>
    </row>
    <row r="409" spans="1:45" x14ac:dyDescent="0.3">
      <c r="A409" s="1">
        <v>45900.961111111108</v>
      </c>
      <c r="B409" t="s">
        <v>617</v>
      </c>
      <c r="C409" t="s">
        <v>618</v>
      </c>
      <c r="D409" t="s">
        <v>1181</v>
      </c>
      <c r="E409" t="s">
        <v>1181</v>
      </c>
      <c r="F409" t="s">
        <v>2040</v>
      </c>
      <c r="G409" t="s">
        <v>1182</v>
      </c>
      <c r="H409" t="s">
        <v>635</v>
      </c>
      <c r="I409" t="s">
        <v>43</v>
      </c>
      <c r="J409">
        <v>100</v>
      </c>
      <c r="K409">
        <v>19</v>
      </c>
      <c r="L409">
        <v>10</v>
      </c>
      <c r="M409">
        <v>11</v>
      </c>
      <c r="N409">
        <v>338</v>
      </c>
      <c r="O409">
        <v>0</v>
      </c>
      <c r="P409">
        <v>0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>
        <v>68</v>
      </c>
      <c r="W409" t="s">
        <v>44</v>
      </c>
      <c r="X409" t="s">
        <v>44</v>
      </c>
      <c r="Y409">
        <v>68</v>
      </c>
      <c r="Z409" t="s">
        <v>44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68</v>
      </c>
      <c r="AQ409">
        <f t="shared" si="13"/>
        <v>68</v>
      </c>
      <c r="AR409" s="5">
        <f>VLOOKUP(F409,'[1]Cost Sheet'!$C:$D,2,0)</f>
        <v>51.74</v>
      </c>
      <c r="AS409" s="5">
        <f t="shared" si="14"/>
        <v>3518.32</v>
      </c>
    </row>
    <row r="410" spans="1:45" x14ac:dyDescent="0.3">
      <c r="A410" s="1">
        <v>45900.961111111108</v>
      </c>
      <c r="B410" t="s">
        <v>617</v>
      </c>
      <c r="C410" t="s">
        <v>618</v>
      </c>
      <c r="D410" t="s">
        <v>1183</v>
      </c>
      <c r="E410" t="s">
        <v>1183</v>
      </c>
      <c r="F410" t="s">
        <v>2041</v>
      </c>
      <c r="G410" t="s">
        <v>1184</v>
      </c>
      <c r="H410" t="s">
        <v>635</v>
      </c>
      <c r="I410" t="s">
        <v>43</v>
      </c>
      <c r="J410">
        <v>100</v>
      </c>
      <c r="K410">
        <v>19</v>
      </c>
      <c r="L410">
        <v>10</v>
      </c>
      <c r="M410">
        <v>11</v>
      </c>
      <c r="N410">
        <v>292</v>
      </c>
      <c r="O410">
        <v>0</v>
      </c>
      <c r="P410">
        <v>0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>
        <v>27</v>
      </c>
      <c r="W410" t="s">
        <v>44</v>
      </c>
      <c r="X410" t="s">
        <v>44</v>
      </c>
      <c r="Y410">
        <v>27</v>
      </c>
      <c r="Z410" t="s">
        <v>44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27</v>
      </c>
      <c r="AQ410">
        <f t="shared" si="13"/>
        <v>27</v>
      </c>
      <c r="AR410" s="5">
        <f>VLOOKUP(F410,'[1]Cost Sheet'!$C:$D,2,0)</f>
        <v>51.74</v>
      </c>
      <c r="AS410" s="5">
        <f t="shared" si="14"/>
        <v>1396.98</v>
      </c>
    </row>
    <row r="411" spans="1:45" x14ac:dyDescent="0.3">
      <c r="A411" s="1">
        <v>45900.961111111108</v>
      </c>
      <c r="B411" t="s">
        <v>617</v>
      </c>
      <c r="C411" t="s">
        <v>618</v>
      </c>
      <c r="D411" t="s">
        <v>1185</v>
      </c>
      <c r="E411" t="s">
        <v>1185</v>
      </c>
      <c r="F411" t="s">
        <v>2042</v>
      </c>
      <c r="G411" t="s">
        <v>1186</v>
      </c>
      <c r="H411" t="s">
        <v>635</v>
      </c>
      <c r="I411" t="s">
        <v>43</v>
      </c>
      <c r="J411">
        <v>100</v>
      </c>
      <c r="K411">
        <v>19</v>
      </c>
      <c r="L411">
        <v>10</v>
      </c>
      <c r="M411">
        <v>11</v>
      </c>
      <c r="N411">
        <v>209</v>
      </c>
      <c r="O411">
        <v>0</v>
      </c>
      <c r="P411">
        <v>0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>
        <v>17</v>
      </c>
      <c r="W411" t="s">
        <v>44</v>
      </c>
      <c r="X411" t="s">
        <v>44</v>
      </c>
      <c r="Y411">
        <v>17</v>
      </c>
      <c r="Z411" t="s">
        <v>44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17</v>
      </c>
      <c r="AQ411">
        <f t="shared" ref="AQ411:AQ473" si="15">O411+P411+V411+AA411</f>
        <v>17</v>
      </c>
      <c r="AR411" s="5">
        <f>VLOOKUP(F411,'[1]Cost Sheet'!$C:$D,2,0)</f>
        <v>51.74</v>
      </c>
      <c r="AS411" s="5">
        <f t="shared" si="14"/>
        <v>879.58</v>
      </c>
    </row>
    <row r="412" spans="1:45" x14ac:dyDescent="0.3">
      <c r="A412" s="1">
        <v>45900.961111111108</v>
      </c>
      <c r="B412" t="s">
        <v>617</v>
      </c>
      <c r="C412" t="s">
        <v>618</v>
      </c>
      <c r="D412" t="s">
        <v>1187</v>
      </c>
      <c r="E412" t="s">
        <v>1187</v>
      </c>
      <c r="F412" t="s">
        <v>2043</v>
      </c>
      <c r="G412" t="s">
        <v>1188</v>
      </c>
      <c r="H412" t="s">
        <v>635</v>
      </c>
      <c r="I412" t="s">
        <v>43</v>
      </c>
      <c r="J412">
        <v>100</v>
      </c>
      <c r="K412">
        <v>19</v>
      </c>
      <c r="L412">
        <v>10</v>
      </c>
      <c r="M412">
        <v>11</v>
      </c>
      <c r="N412">
        <v>184</v>
      </c>
      <c r="O412">
        <v>0</v>
      </c>
      <c r="P412">
        <v>0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>
        <v>23</v>
      </c>
      <c r="W412" t="s">
        <v>44</v>
      </c>
      <c r="X412" t="s">
        <v>44</v>
      </c>
      <c r="Y412">
        <v>23</v>
      </c>
      <c r="Z412" t="s">
        <v>44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23</v>
      </c>
      <c r="AQ412">
        <f t="shared" si="15"/>
        <v>23</v>
      </c>
      <c r="AR412" s="5">
        <f>VLOOKUP(F412,'[1]Cost Sheet'!$C:$D,2,0)</f>
        <v>51.74</v>
      </c>
      <c r="AS412" s="5">
        <f t="shared" si="14"/>
        <v>1190.02</v>
      </c>
    </row>
    <row r="413" spans="1:45" x14ac:dyDescent="0.3">
      <c r="A413" s="1">
        <v>45900.961111111108</v>
      </c>
      <c r="B413" t="s">
        <v>617</v>
      </c>
      <c r="C413" t="s">
        <v>618</v>
      </c>
      <c r="D413" t="s">
        <v>1189</v>
      </c>
      <c r="E413" t="s">
        <v>1189</v>
      </c>
      <c r="F413" t="s">
        <v>2044</v>
      </c>
      <c r="G413" t="s">
        <v>1190</v>
      </c>
      <c r="H413" t="s">
        <v>635</v>
      </c>
      <c r="I413" t="s">
        <v>43</v>
      </c>
      <c r="J413">
        <v>100</v>
      </c>
      <c r="K413">
        <v>19</v>
      </c>
      <c r="L413">
        <v>10</v>
      </c>
      <c r="M413">
        <v>11</v>
      </c>
      <c r="N413">
        <v>250</v>
      </c>
      <c r="O413">
        <v>0</v>
      </c>
      <c r="P413">
        <v>0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>
        <v>17</v>
      </c>
      <c r="W413" t="s">
        <v>44</v>
      </c>
      <c r="X413" t="s">
        <v>44</v>
      </c>
      <c r="Y413">
        <v>17</v>
      </c>
      <c r="Z413" t="s">
        <v>44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17</v>
      </c>
      <c r="AQ413">
        <f t="shared" si="15"/>
        <v>17</v>
      </c>
      <c r="AR413" s="5">
        <f>VLOOKUP(F413,'[1]Cost Sheet'!$C:$D,2,0)</f>
        <v>51.74</v>
      </c>
      <c r="AS413" s="5">
        <f t="shared" si="14"/>
        <v>879.58</v>
      </c>
    </row>
    <row r="414" spans="1:45" x14ac:dyDescent="0.3">
      <c r="A414" s="1">
        <v>45900.961111111108</v>
      </c>
      <c r="B414" t="s">
        <v>617</v>
      </c>
      <c r="C414" t="s">
        <v>618</v>
      </c>
      <c r="D414" t="s">
        <v>1191</v>
      </c>
      <c r="E414" t="s">
        <v>1191</v>
      </c>
      <c r="F414" t="s">
        <v>2045</v>
      </c>
      <c r="G414" t="s">
        <v>1192</v>
      </c>
      <c r="H414" t="s">
        <v>635</v>
      </c>
      <c r="I414" t="s">
        <v>43</v>
      </c>
      <c r="J414">
        <v>100</v>
      </c>
      <c r="K414">
        <v>19</v>
      </c>
      <c r="L414">
        <v>10</v>
      </c>
      <c r="M414">
        <v>11</v>
      </c>
      <c r="N414">
        <v>1150</v>
      </c>
      <c r="O414">
        <v>0</v>
      </c>
      <c r="P414">
        <v>0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>
        <v>89</v>
      </c>
      <c r="W414" t="s">
        <v>44</v>
      </c>
      <c r="X414" t="s">
        <v>44</v>
      </c>
      <c r="Y414">
        <v>89</v>
      </c>
      <c r="Z414" t="s">
        <v>44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89</v>
      </c>
      <c r="AQ414">
        <f t="shared" si="15"/>
        <v>89</v>
      </c>
      <c r="AR414" s="5">
        <f>VLOOKUP(F414,'[1]Cost Sheet'!$C:$D,2,0)</f>
        <v>113</v>
      </c>
      <c r="AS414" s="5">
        <f t="shared" si="14"/>
        <v>10057</v>
      </c>
    </row>
    <row r="415" spans="1:45" x14ac:dyDescent="0.3">
      <c r="A415" s="1">
        <v>45900.961111111108</v>
      </c>
      <c r="B415" t="s">
        <v>617</v>
      </c>
      <c r="C415" t="s">
        <v>618</v>
      </c>
      <c r="D415" t="s">
        <v>601</v>
      </c>
      <c r="F415" t="s">
        <v>1754</v>
      </c>
      <c r="G415" t="s">
        <v>602</v>
      </c>
      <c r="H415" t="s">
        <v>130</v>
      </c>
      <c r="I415" t="s">
        <v>43</v>
      </c>
      <c r="J415">
        <v>32.020000000000003</v>
      </c>
      <c r="K415">
        <v>19</v>
      </c>
      <c r="L415">
        <v>10</v>
      </c>
      <c r="M415">
        <v>11</v>
      </c>
      <c r="N415">
        <v>18666</v>
      </c>
      <c r="O415">
        <v>214</v>
      </c>
      <c r="P415">
        <v>0</v>
      </c>
      <c r="Q415">
        <v>21</v>
      </c>
      <c r="R415">
        <v>7</v>
      </c>
      <c r="S415" t="s">
        <v>44</v>
      </c>
      <c r="T415" t="s">
        <v>44</v>
      </c>
      <c r="U415" t="s">
        <v>44</v>
      </c>
      <c r="V415">
        <v>0</v>
      </c>
      <c r="W415">
        <v>2</v>
      </c>
      <c r="X415" t="s">
        <v>44</v>
      </c>
      <c r="Y415" t="s">
        <v>44</v>
      </c>
      <c r="Z415" t="s">
        <v>44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4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214</v>
      </c>
      <c r="AQ415">
        <f t="shared" si="15"/>
        <v>214</v>
      </c>
      <c r="AR415" s="5">
        <f>VLOOKUP(F415,'[2]SCP_24-25'!$A:$D,4,0)</f>
        <v>96.2</v>
      </c>
      <c r="AS415" s="5">
        <f t="shared" si="14"/>
        <v>20586.8</v>
      </c>
    </row>
    <row r="416" spans="1:45" x14ac:dyDescent="0.3">
      <c r="A416" s="1">
        <v>45900.961111111108</v>
      </c>
      <c r="B416" t="s">
        <v>617</v>
      </c>
      <c r="C416" t="s">
        <v>618</v>
      </c>
      <c r="D416" t="s">
        <v>582</v>
      </c>
      <c r="F416" t="s">
        <v>1745</v>
      </c>
      <c r="G416" t="s">
        <v>583</v>
      </c>
      <c r="H416" t="s">
        <v>130</v>
      </c>
      <c r="I416" t="s">
        <v>43</v>
      </c>
      <c r="J416">
        <v>32</v>
      </c>
      <c r="K416">
        <v>19</v>
      </c>
      <c r="L416">
        <v>10</v>
      </c>
      <c r="M416">
        <v>11</v>
      </c>
      <c r="N416">
        <v>14761</v>
      </c>
      <c r="O416">
        <v>20</v>
      </c>
      <c r="P416">
        <v>0</v>
      </c>
      <c r="Q416">
        <v>36</v>
      </c>
      <c r="R416">
        <v>5</v>
      </c>
      <c r="S416" t="s">
        <v>44</v>
      </c>
      <c r="T416" t="s">
        <v>44</v>
      </c>
      <c r="U416" t="s">
        <v>44</v>
      </c>
      <c r="V416">
        <v>0</v>
      </c>
      <c r="W416">
        <v>30</v>
      </c>
      <c r="X416" t="s">
        <v>44</v>
      </c>
      <c r="Y416" t="s">
        <v>44</v>
      </c>
      <c r="Z416" t="s">
        <v>44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20</v>
      </c>
      <c r="AQ416">
        <f t="shared" si="15"/>
        <v>20</v>
      </c>
      <c r="AR416" s="5">
        <f>VLOOKUP(F416,'[2]SCP_24-25'!$A:$D,4,0)</f>
        <v>96.2</v>
      </c>
      <c r="AS416" s="5">
        <f t="shared" si="14"/>
        <v>1924</v>
      </c>
    </row>
    <row r="417" spans="1:45" x14ac:dyDescent="0.3">
      <c r="A417" s="1">
        <v>45900.961111111108</v>
      </c>
      <c r="B417" t="s">
        <v>617</v>
      </c>
      <c r="C417" t="s">
        <v>618</v>
      </c>
      <c r="D417" t="s">
        <v>542</v>
      </c>
      <c r="F417" t="s">
        <v>1725</v>
      </c>
      <c r="G417" t="s">
        <v>543</v>
      </c>
      <c r="H417" t="s">
        <v>130</v>
      </c>
      <c r="I417" t="s">
        <v>43</v>
      </c>
      <c r="J417">
        <v>32.020000000000003</v>
      </c>
      <c r="K417">
        <v>19</v>
      </c>
      <c r="L417">
        <v>10</v>
      </c>
      <c r="M417">
        <v>11</v>
      </c>
      <c r="N417">
        <v>12665</v>
      </c>
      <c r="O417">
        <v>90</v>
      </c>
      <c r="P417">
        <v>0</v>
      </c>
      <c r="Q417">
        <v>24</v>
      </c>
      <c r="R417">
        <v>5</v>
      </c>
      <c r="S417" t="s">
        <v>44</v>
      </c>
      <c r="T417" t="s">
        <v>44</v>
      </c>
      <c r="U417" t="s">
        <v>44</v>
      </c>
      <c r="V417">
        <v>0</v>
      </c>
      <c r="W417">
        <v>7</v>
      </c>
      <c r="X417" t="s">
        <v>44</v>
      </c>
      <c r="Y417" t="s">
        <v>44</v>
      </c>
      <c r="Z417">
        <v>1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5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91</v>
      </c>
      <c r="AQ417">
        <f t="shared" si="15"/>
        <v>91</v>
      </c>
      <c r="AR417" s="5">
        <f>VLOOKUP(F417,'[2]SCP_24-25'!$A:$D,4,0)</f>
        <v>96.2</v>
      </c>
      <c r="AS417" s="5">
        <f t="shared" si="14"/>
        <v>8754.2000000000007</v>
      </c>
    </row>
    <row r="418" spans="1:45" x14ac:dyDescent="0.3">
      <c r="A418" s="1">
        <v>45900.961111111108</v>
      </c>
      <c r="B418" t="s">
        <v>617</v>
      </c>
      <c r="C418" t="s">
        <v>618</v>
      </c>
      <c r="D418" t="s">
        <v>592</v>
      </c>
      <c r="F418" t="s">
        <v>1750</v>
      </c>
      <c r="G418" t="s">
        <v>593</v>
      </c>
      <c r="H418" t="s">
        <v>130</v>
      </c>
      <c r="I418" t="s">
        <v>43</v>
      </c>
      <c r="J418">
        <v>32.020000000000003</v>
      </c>
      <c r="K418">
        <v>19</v>
      </c>
      <c r="L418">
        <v>10</v>
      </c>
      <c r="M418">
        <v>11</v>
      </c>
      <c r="N418">
        <v>19957</v>
      </c>
      <c r="O418">
        <v>98</v>
      </c>
      <c r="P418">
        <v>0</v>
      </c>
      <c r="Q418">
        <v>23</v>
      </c>
      <c r="R418">
        <v>10</v>
      </c>
      <c r="S418" t="s">
        <v>44</v>
      </c>
      <c r="T418" t="s">
        <v>44</v>
      </c>
      <c r="U418" t="s">
        <v>44</v>
      </c>
      <c r="V418">
        <v>0</v>
      </c>
      <c r="W418" t="s">
        <v>44</v>
      </c>
      <c r="X418" t="s">
        <v>44</v>
      </c>
      <c r="Y418" t="s">
        <v>44</v>
      </c>
      <c r="Z418" t="s">
        <v>44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7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99</v>
      </c>
      <c r="AQ418">
        <f t="shared" si="15"/>
        <v>99</v>
      </c>
      <c r="AR418" s="5">
        <f>VLOOKUP(F418,'[2]SCP_24-25'!$A:$D,4,0)</f>
        <v>96.2</v>
      </c>
      <c r="AS418" s="5">
        <f t="shared" si="14"/>
        <v>9523.8000000000011</v>
      </c>
    </row>
    <row r="419" spans="1:45" x14ac:dyDescent="0.3">
      <c r="A419" s="1">
        <v>45900.961111111108</v>
      </c>
      <c r="B419" t="s">
        <v>617</v>
      </c>
      <c r="C419" t="s">
        <v>618</v>
      </c>
      <c r="D419" t="s">
        <v>1193</v>
      </c>
      <c r="F419" t="s">
        <v>2046</v>
      </c>
      <c r="G419" t="s">
        <v>1194</v>
      </c>
      <c r="H419" t="s">
        <v>130</v>
      </c>
      <c r="I419" t="s">
        <v>43</v>
      </c>
      <c r="J419">
        <v>32</v>
      </c>
      <c r="K419">
        <v>19</v>
      </c>
      <c r="L419">
        <v>10</v>
      </c>
      <c r="M419">
        <v>11</v>
      </c>
      <c r="N419">
        <v>13909</v>
      </c>
      <c r="O419">
        <v>2</v>
      </c>
      <c r="P419">
        <v>0</v>
      </c>
      <c r="Q419">
        <v>23</v>
      </c>
      <c r="R419">
        <v>2</v>
      </c>
      <c r="S419" t="s">
        <v>44</v>
      </c>
      <c r="T419" t="s">
        <v>44</v>
      </c>
      <c r="U419" t="s">
        <v>44</v>
      </c>
      <c r="V419">
        <v>0</v>
      </c>
      <c r="W419" t="s">
        <v>44</v>
      </c>
      <c r="X419" t="s">
        <v>44</v>
      </c>
      <c r="Y419" t="s">
        <v>44</v>
      </c>
      <c r="Z419" t="s">
        <v>44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4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2</v>
      </c>
      <c r="AQ419">
        <f t="shared" si="15"/>
        <v>2</v>
      </c>
      <c r="AR419" s="5">
        <f>VLOOKUP(F419,'[2]SCP_24-25'!$A:$D,4,0)</f>
        <v>96.2</v>
      </c>
      <c r="AS419" s="5">
        <f t="shared" si="14"/>
        <v>192.4</v>
      </c>
    </row>
    <row r="420" spans="1:45" x14ac:dyDescent="0.3">
      <c r="A420" s="1">
        <v>45900.961111111108</v>
      </c>
      <c r="B420" t="s">
        <v>617</v>
      </c>
      <c r="C420" t="s">
        <v>618</v>
      </c>
      <c r="D420" t="s">
        <v>1195</v>
      </c>
      <c r="F420" t="s">
        <v>2047</v>
      </c>
      <c r="G420" t="s">
        <v>1196</v>
      </c>
      <c r="H420" t="s">
        <v>120</v>
      </c>
      <c r="I420" t="s">
        <v>43</v>
      </c>
      <c r="J420">
        <v>100</v>
      </c>
      <c r="K420">
        <v>19</v>
      </c>
      <c r="L420">
        <v>10</v>
      </c>
      <c r="M420">
        <v>11</v>
      </c>
      <c r="N420">
        <v>601</v>
      </c>
      <c r="O420">
        <v>0</v>
      </c>
      <c r="P420">
        <v>0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>
        <v>6</v>
      </c>
      <c r="W420" t="s">
        <v>44</v>
      </c>
      <c r="X420" t="s">
        <v>44</v>
      </c>
      <c r="Y420">
        <v>6</v>
      </c>
      <c r="Z420" t="s">
        <v>44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6</v>
      </c>
      <c r="AQ420">
        <f t="shared" si="15"/>
        <v>6</v>
      </c>
      <c r="AR420" s="5">
        <f>VLOOKUP(F420,'[2]SCP_24-25'!$A:$D,4,0)</f>
        <v>30</v>
      </c>
      <c r="AS420" s="5">
        <f t="shared" si="14"/>
        <v>180</v>
      </c>
    </row>
    <row r="421" spans="1:45" x14ac:dyDescent="0.3">
      <c r="A421" s="1">
        <v>45900.961111111108</v>
      </c>
      <c r="B421" t="s">
        <v>617</v>
      </c>
      <c r="C421" t="s">
        <v>618</v>
      </c>
      <c r="D421" t="s">
        <v>499</v>
      </c>
      <c r="F421" t="s">
        <v>1704</v>
      </c>
      <c r="G421" t="s">
        <v>500</v>
      </c>
      <c r="H421" t="s">
        <v>130</v>
      </c>
      <c r="I421" t="s">
        <v>43</v>
      </c>
      <c r="J421">
        <v>71.02</v>
      </c>
      <c r="K421">
        <v>19</v>
      </c>
      <c r="L421">
        <v>10</v>
      </c>
      <c r="M421">
        <v>11</v>
      </c>
      <c r="N421">
        <v>32968</v>
      </c>
      <c r="O421">
        <v>447</v>
      </c>
      <c r="P421">
        <v>0</v>
      </c>
      <c r="Q421">
        <v>19</v>
      </c>
      <c r="R421">
        <v>1407</v>
      </c>
      <c r="S421" t="s">
        <v>44</v>
      </c>
      <c r="T421" t="s">
        <v>44</v>
      </c>
      <c r="U421" t="s">
        <v>44</v>
      </c>
      <c r="V421">
        <v>0</v>
      </c>
      <c r="W421" t="s">
        <v>44</v>
      </c>
      <c r="X421" t="s">
        <v>44</v>
      </c>
      <c r="Y421" t="s">
        <v>44</v>
      </c>
      <c r="Z421" t="s">
        <v>44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7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447</v>
      </c>
      <c r="AQ421">
        <f t="shared" si="15"/>
        <v>447</v>
      </c>
      <c r="AR421" s="5">
        <f>VLOOKUP(F421,'[2]SCP_24-25'!$A:$D,4,0)</f>
        <v>129.18</v>
      </c>
      <c r="AS421" s="5">
        <f t="shared" si="14"/>
        <v>57743.460000000006</v>
      </c>
    </row>
    <row r="422" spans="1:45" x14ac:dyDescent="0.3">
      <c r="A422" s="1">
        <v>45900.961111111108</v>
      </c>
      <c r="B422" t="s">
        <v>617</v>
      </c>
      <c r="C422" t="s">
        <v>618</v>
      </c>
      <c r="D422" t="s">
        <v>1197</v>
      </c>
      <c r="F422" t="s">
        <v>2048</v>
      </c>
      <c r="G422" t="s">
        <v>1198</v>
      </c>
      <c r="H422" t="s">
        <v>130</v>
      </c>
      <c r="I422" t="s">
        <v>43</v>
      </c>
      <c r="J422">
        <v>4.2</v>
      </c>
      <c r="K422">
        <v>19</v>
      </c>
      <c r="L422">
        <v>10</v>
      </c>
      <c r="M422">
        <v>11</v>
      </c>
      <c r="N422">
        <v>1484</v>
      </c>
      <c r="O422">
        <v>0</v>
      </c>
      <c r="P422">
        <v>0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>
        <v>16</v>
      </c>
      <c r="W422" t="s">
        <v>44</v>
      </c>
      <c r="X422" t="s">
        <v>44</v>
      </c>
      <c r="Y422">
        <v>16</v>
      </c>
      <c r="Z422" t="s">
        <v>44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16</v>
      </c>
      <c r="AQ422">
        <f t="shared" si="15"/>
        <v>16</v>
      </c>
      <c r="AR422" s="5">
        <f>VLOOKUP(F422,'[1]Cost Sheet'!$C:$D,2,0)</f>
        <v>96.2</v>
      </c>
      <c r="AS422" s="5">
        <f t="shared" si="14"/>
        <v>1539.2</v>
      </c>
    </row>
    <row r="423" spans="1:45" x14ac:dyDescent="0.3">
      <c r="A423" s="1">
        <v>45900.961111111108</v>
      </c>
      <c r="B423" t="s">
        <v>617</v>
      </c>
      <c r="C423" t="s">
        <v>618</v>
      </c>
      <c r="D423" t="s">
        <v>1199</v>
      </c>
      <c r="F423" t="s">
        <v>2049</v>
      </c>
      <c r="G423" t="s">
        <v>1200</v>
      </c>
      <c r="H423" t="s">
        <v>130</v>
      </c>
      <c r="I423" t="s">
        <v>43</v>
      </c>
      <c r="J423">
        <v>4.2</v>
      </c>
      <c r="K423">
        <v>19</v>
      </c>
      <c r="L423">
        <v>10</v>
      </c>
      <c r="M423">
        <v>11</v>
      </c>
      <c r="N423">
        <v>941</v>
      </c>
      <c r="O423">
        <v>0</v>
      </c>
      <c r="P423">
        <v>0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>
        <v>14</v>
      </c>
      <c r="W423" t="s">
        <v>44</v>
      </c>
      <c r="X423" t="s">
        <v>44</v>
      </c>
      <c r="Y423">
        <v>14</v>
      </c>
      <c r="Z423" t="s">
        <v>44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14</v>
      </c>
      <c r="AQ423">
        <f t="shared" si="15"/>
        <v>14</v>
      </c>
      <c r="AR423" s="5">
        <f>VLOOKUP(F423,'[1]Cost Sheet'!$C:$D,2,0)</f>
        <v>96.2</v>
      </c>
      <c r="AS423" s="5">
        <f t="shared" si="14"/>
        <v>1346.8</v>
      </c>
    </row>
    <row r="424" spans="1:45" x14ac:dyDescent="0.3">
      <c r="A424" s="1">
        <v>45900.961111111108</v>
      </c>
      <c r="B424" t="s">
        <v>617</v>
      </c>
      <c r="C424" t="s">
        <v>618</v>
      </c>
      <c r="D424" t="s">
        <v>1201</v>
      </c>
      <c r="F424" t="s">
        <v>2050</v>
      </c>
      <c r="G424" t="s">
        <v>1202</v>
      </c>
      <c r="H424" t="s">
        <v>130</v>
      </c>
      <c r="I424" t="s">
        <v>43</v>
      </c>
      <c r="J424">
        <v>4.2</v>
      </c>
      <c r="K424">
        <v>19</v>
      </c>
      <c r="L424">
        <v>10</v>
      </c>
      <c r="M424">
        <v>11</v>
      </c>
      <c r="N424">
        <v>1063</v>
      </c>
      <c r="O424">
        <v>0</v>
      </c>
      <c r="P424">
        <v>0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>
        <v>66</v>
      </c>
      <c r="W424" t="s">
        <v>44</v>
      </c>
      <c r="X424" t="s">
        <v>44</v>
      </c>
      <c r="Y424">
        <v>66</v>
      </c>
      <c r="Z424" t="s">
        <v>44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66</v>
      </c>
      <c r="AQ424">
        <f t="shared" si="15"/>
        <v>66</v>
      </c>
      <c r="AR424" s="5">
        <f>VLOOKUP(F424,'[1]Cost Sheet'!$C:$D,2,0)</f>
        <v>96.2</v>
      </c>
      <c r="AS424" s="5">
        <f t="shared" si="14"/>
        <v>6349.2</v>
      </c>
    </row>
    <row r="425" spans="1:45" x14ac:dyDescent="0.3">
      <c r="A425" s="1">
        <v>45900.961111111108</v>
      </c>
      <c r="B425" t="s">
        <v>617</v>
      </c>
      <c r="C425" t="s">
        <v>618</v>
      </c>
      <c r="D425" t="s">
        <v>1203</v>
      </c>
      <c r="F425" t="s">
        <v>2051</v>
      </c>
      <c r="G425" t="s">
        <v>1204</v>
      </c>
      <c r="H425" t="s">
        <v>66</v>
      </c>
      <c r="I425" t="s">
        <v>43</v>
      </c>
      <c r="J425">
        <v>100</v>
      </c>
      <c r="K425">
        <v>19</v>
      </c>
      <c r="L425">
        <v>10</v>
      </c>
      <c r="M425">
        <v>11</v>
      </c>
      <c r="N425">
        <v>1075</v>
      </c>
      <c r="O425">
        <v>0</v>
      </c>
      <c r="P425">
        <v>0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>
        <v>93</v>
      </c>
      <c r="W425" t="s">
        <v>44</v>
      </c>
      <c r="X425" t="s">
        <v>44</v>
      </c>
      <c r="Y425">
        <v>93</v>
      </c>
      <c r="Z425" t="s">
        <v>44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93</v>
      </c>
      <c r="AQ425">
        <f t="shared" si="15"/>
        <v>93</v>
      </c>
      <c r="AR425" s="5">
        <f>VLOOKUP(F425,'[1]Cost Sheet'!$C:$D,2,0)</f>
        <v>34.880000000000003</v>
      </c>
      <c r="AS425" s="5">
        <f t="shared" si="14"/>
        <v>3243.84</v>
      </c>
    </row>
    <row r="426" spans="1:45" x14ac:dyDescent="0.3">
      <c r="A426" s="1">
        <v>45900.961111111108</v>
      </c>
      <c r="B426" t="s">
        <v>617</v>
      </c>
      <c r="C426" t="s">
        <v>618</v>
      </c>
      <c r="D426" t="s">
        <v>1205</v>
      </c>
      <c r="F426" t="s">
        <v>2052</v>
      </c>
      <c r="G426" t="s">
        <v>1206</v>
      </c>
      <c r="H426" t="s">
        <v>66</v>
      </c>
      <c r="I426" t="s">
        <v>43</v>
      </c>
      <c r="J426">
        <v>30</v>
      </c>
      <c r="K426">
        <v>19</v>
      </c>
      <c r="L426">
        <v>10</v>
      </c>
      <c r="M426">
        <v>11</v>
      </c>
      <c r="N426">
        <v>780</v>
      </c>
      <c r="O426">
        <v>0</v>
      </c>
      <c r="P426">
        <v>0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>
        <v>18</v>
      </c>
      <c r="W426" t="s">
        <v>44</v>
      </c>
      <c r="X426" t="s">
        <v>44</v>
      </c>
      <c r="Y426">
        <v>18</v>
      </c>
      <c r="Z426" t="s">
        <v>44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18</v>
      </c>
      <c r="AQ426">
        <f t="shared" si="15"/>
        <v>18</v>
      </c>
      <c r="AR426" s="5">
        <f>VLOOKUP(F426,'[1]Cost Sheet'!$C:$D,2,0)</f>
        <v>71.81</v>
      </c>
      <c r="AS426" s="5">
        <f t="shared" si="14"/>
        <v>1292.58</v>
      </c>
    </row>
    <row r="427" spans="1:45" x14ac:dyDescent="0.3">
      <c r="A427" s="1">
        <v>45900.961111111108</v>
      </c>
      <c r="B427" t="s">
        <v>617</v>
      </c>
      <c r="C427" t="s">
        <v>618</v>
      </c>
      <c r="D427" t="s">
        <v>1207</v>
      </c>
      <c r="F427" t="s">
        <v>2053</v>
      </c>
      <c r="G427" t="s">
        <v>1208</v>
      </c>
      <c r="H427" t="s">
        <v>66</v>
      </c>
      <c r="I427" t="s">
        <v>43</v>
      </c>
      <c r="J427">
        <v>30</v>
      </c>
      <c r="K427">
        <v>19</v>
      </c>
      <c r="L427">
        <v>10</v>
      </c>
      <c r="M427">
        <v>11</v>
      </c>
      <c r="N427">
        <v>530</v>
      </c>
      <c r="O427">
        <v>0</v>
      </c>
      <c r="P427">
        <v>0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>
        <v>16</v>
      </c>
      <c r="W427" t="s">
        <v>44</v>
      </c>
      <c r="X427" t="s">
        <v>44</v>
      </c>
      <c r="Y427">
        <v>16</v>
      </c>
      <c r="Z427" t="s">
        <v>44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16</v>
      </c>
      <c r="AQ427">
        <f t="shared" si="15"/>
        <v>16</v>
      </c>
      <c r="AR427" s="5">
        <f>VLOOKUP(F427,'[1]Cost Sheet'!$C:$D,2,0)</f>
        <v>90.823333333333338</v>
      </c>
      <c r="AS427" s="5">
        <f t="shared" si="14"/>
        <v>1453.1733333333334</v>
      </c>
    </row>
    <row r="428" spans="1:45" x14ac:dyDescent="0.3">
      <c r="A428" s="1">
        <v>45900.961111111108</v>
      </c>
      <c r="B428" t="s">
        <v>617</v>
      </c>
      <c r="C428" t="s">
        <v>618</v>
      </c>
      <c r="D428" t="s">
        <v>1209</v>
      </c>
      <c r="F428" t="s">
        <v>2054</v>
      </c>
      <c r="G428" t="s">
        <v>1210</v>
      </c>
      <c r="H428" t="s">
        <v>103</v>
      </c>
      <c r="I428" t="s">
        <v>43</v>
      </c>
      <c r="J428">
        <v>250</v>
      </c>
      <c r="K428">
        <v>19</v>
      </c>
      <c r="L428">
        <v>10</v>
      </c>
      <c r="M428">
        <v>11</v>
      </c>
      <c r="N428">
        <v>89</v>
      </c>
      <c r="O428">
        <v>0</v>
      </c>
      <c r="P428">
        <v>0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>
        <v>26</v>
      </c>
      <c r="W428" t="s">
        <v>44</v>
      </c>
      <c r="X428" t="s">
        <v>44</v>
      </c>
      <c r="Y428">
        <v>26</v>
      </c>
      <c r="Z428" t="s">
        <v>44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26</v>
      </c>
      <c r="AQ428">
        <f t="shared" si="15"/>
        <v>26</v>
      </c>
      <c r="AR428" s="5">
        <f>VLOOKUP(F428,'[1]Cost Sheet'!$C:$D,2,0)</f>
        <v>78.88</v>
      </c>
      <c r="AS428" s="5">
        <f t="shared" si="14"/>
        <v>2050.88</v>
      </c>
    </row>
    <row r="429" spans="1:45" x14ac:dyDescent="0.3">
      <c r="A429" s="1">
        <v>45900.961111111108</v>
      </c>
      <c r="B429" t="s">
        <v>617</v>
      </c>
      <c r="C429" t="s">
        <v>618</v>
      </c>
      <c r="D429" t="s">
        <v>1211</v>
      </c>
      <c r="F429" t="s">
        <v>2055</v>
      </c>
      <c r="G429" t="s">
        <v>1212</v>
      </c>
      <c r="H429" t="s">
        <v>103</v>
      </c>
      <c r="I429" t="s">
        <v>43</v>
      </c>
      <c r="J429">
        <v>237</v>
      </c>
      <c r="K429">
        <v>19</v>
      </c>
      <c r="L429">
        <v>10</v>
      </c>
      <c r="M429">
        <v>11</v>
      </c>
      <c r="N429">
        <v>81</v>
      </c>
      <c r="O429">
        <v>0</v>
      </c>
      <c r="P429">
        <v>0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>
        <v>5</v>
      </c>
      <c r="W429" t="s">
        <v>44</v>
      </c>
      <c r="X429" t="s">
        <v>44</v>
      </c>
      <c r="Y429">
        <v>5</v>
      </c>
      <c r="Z429" t="s">
        <v>44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5</v>
      </c>
      <c r="AQ429">
        <f t="shared" si="15"/>
        <v>5</v>
      </c>
      <c r="AR429" s="5">
        <f>VLOOKUP(F429,'[1]Cost Sheet'!$C:$D,2,0)</f>
        <v>75.010000000000005</v>
      </c>
      <c r="AS429" s="5">
        <f t="shared" si="14"/>
        <v>375.05</v>
      </c>
    </row>
    <row r="430" spans="1:45" x14ac:dyDescent="0.3">
      <c r="A430" s="1">
        <v>45900.961111111108</v>
      </c>
      <c r="B430" t="s">
        <v>617</v>
      </c>
      <c r="C430" t="s">
        <v>618</v>
      </c>
      <c r="D430" t="s">
        <v>1213</v>
      </c>
      <c r="F430" t="s">
        <v>2056</v>
      </c>
      <c r="G430" t="s">
        <v>1214</v>
      </c>
      <c r="H430" t="s">
        <v>66</v>
      </c>
      <c r="I430" t="s">
        <v>43</v>
      </c>
      <c r="J430">
        <v>206</v>
      </c>
      <c r="K430">
        <v>19</v>
      </c>
      <c r="L430">
        <v>10</v>
      </c>
      <c r="M430">
        <v>11</v>
      </c>
      <c r="N430">
        <v>48</v>
      </c>
      <c r="O430">
        <v>0</v>
      </c>
      <c r="P430">
        <v>0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>
        <v>21</v>
      </c>
      <c r="W430" t="s">
        <v>44</v>
      </c>
      <c r="X430" t="s">
        <v>44</v>
      </c>
      <c r="Y430">
        <v>21</v>
      </c>
      <c r="Z430" t="s">
        <v>44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21</v>
      </c>
      <c r="AQ430">
        <f t="shared" si="15"/>
        <v>21</v>
      </c>
      <c r="AR430" s="5">
        <f>VLOOKUP(F430,'[1]Cost Sheet'!$C:$D,2,0)</f>
        <v>61.72</v>
      </c>
      <c r="AS430" s="5">
        <f t="shared" si="14"/>
        <v>1296.1199999999999</v>
      </c>
    </row>
    <row r="431" spans="1:45" x14ac:dyDescent="0.3">
      <c r="A431" s="1">
        <v>45900.961111111108</v>
      </c>
      <c r="B431" t="s">
        <v>617</v>
      </c>
      <c r="C431" t="s">
        <v>618</v>
      </c>
      <c r="D431" t="s">
        <v>1215</v>
      </c>
      <c r="F431" t="s">
        <v>2057</v>
      </c>
      <c r="G431" t="s">
        <v>1216</v>
      </c>
      <c r="H431" t="s">
        <v>66</v>
      </c>
      <c r="I431" t="s">
        <v>43</v>
      </c>
      <c r="J431">
        <v>195</v>
      </c>
      <c r="K431">
        <v>19</v>
      </c>
      <c r="L431">
        <v>10</v>
      </c>
      <c r="M431">
        <v>11</v>
      </c>
      <c r="N431">
        <v>85</v>
      </c>
      <c r="O431">
        <v>0</v>
      </c>
      <c r="P431">
        <v>0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>
        <v>45</v>
      </c>
      <c r="W431" t="s">
        <v>44</v>
      </c>
      <c r="X431" t="s">
        <v>44</v>
      </c>
      <c r="Y431">
        <v>45</v>
      </c>
      <c r="Z431" t="s">
        <v>44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45</v>
      </c>
      <c r="AQ431">
        <f t="shared" si="15"/>
        <v>45</v>
      </c>
      <c r="AR431" s="5">
        <f>VLOOKUP(F431,'[1]Cost Sheet'!$C:$D,2,0)</f>
        <v>66.899999999999991</v>
      </c>
      <c r="AS431" s="5">
        <f t="shared" si="14"/>
        <v>3010.4999999999995</v>
      </c>
    </row>
    <row r="432" spans="1:45" x14ac:dyDescent="0.3">
      <c r="A432" s="1">
        <v>45900.961111111108</v>
      </c>
      <c r="B432" t="s">
        <v>617</v>
      </c>
      <c r="C432" t="s">
        <v>618</v>
      </c>
      <c r="D432" t="s">
        <v>1217</v>
      </c>
      <c r="F432" t="s">
        <v>2058</v>
      </c>
      <c r="G432" t="s">
        <v>1218</v>
      </c>
      <c r="H432" t="s">
        <v>66</v>
      </c>
      <c r="I432" t="s">
        <v>43</v>
      </c>
      <c r="J432">
        <v>200</v>
      </c>
      <c r="K432">
        <v>19</v>
      </c>
      <c r="L432">
        <v>10</v>
      </c>
      <c r="M432">
        <v>11</v>
      </c>
      <c r="N432">
        <v>16</v>
      </c>
      <c r="O432">
        <v>0</v>
      </c>
      <c r="P432">
        <v>0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>
        <v>5</v>
      </c>
      <c r="W432" t="s">
        <v>44</v>
      </c>
      <c r="X432" t="s">
        <v>44</v>
      </c>
      <c r="Y432">
        <v>5</v>
      </c>
      <c r="Z432" t="s">
        <v>44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5</v>
      </c>
      <c r="AQ432">
        <f t="shared" si="15"/>
        <v>5</v>
      </c>
      <c r="AR432" s="5">
        <f>VLOOKUP(F432,'[1]Cost Sheet'!$C:$D,2,0)</f>
        <v>62.99</v>
      </c>
      <c r="AS432" s="5">
        <f t="shared" si="14"/>
        <v>314.95</v>
      </c>
    </row>
    <row r="433" spans="1:45" x14ac:dyDescent="0.3">
      <c r="A433" s="1">
        <v>45900.961111111108</v>
      </c>
      <c r="B433" t="s">
        <v>617</v>
      </c>
      <c r="C433" t="s">
        <v>618</v>
      </c>
      <c r="D433" t="s">
        <v>1219</v>
      </c>
      <c r="F433" t="s">
        <v>2059</v>
      </c>
      <c r="G433" t="s">
        <v>1220</v>
      </c>
      <c r="H433" t="s">
        <v>103</v>
      </c>
      <c r="I433" t="s">
        <v>43</v>
      </c>
      <c r="J433">
        <v>200</v>
      </c>
      <c r="K433">
        <v>19</v>
      </c>
      <c r="L433">
        <v>10</v>
      </c>
      <c r="M433">
        <v>11</v>
      </c>
      <c r="N433">
        <v>90</v>
      </c>
      <c r="O433">
        <v>0</v>
      </c>
      <c r="P433">
        <v>0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>
        <v>86</v>
      </c>
      <c r="W433" t="s">
        <v>44</v>
      </c>
      <c r="X433" t="s">
        <v>44</v>
      </c>
      <c r="Y433">
        <v>86</v>
      </c>
      <c r="Z433" t="s">
        <v>44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86</v>
      </c>
      <c r="AQ433">
        <f t="shared" si="15"/>
        <v>86</v>
      </c>
      <c r="AR433" s="5">
        <f>VLOOKUP(F433,'[1]Cost Sheet'!$C:$D,2,0)</f>
        <v>77.739999999999995</v>
      </c>
      <c r="AS433" s="5">
        <f t="shared" si="14"/>
        <v>6685.6399999999994</v>
      </c>
    </row>
    <row r="434" spans="1:45" x14ac:dyDescent="0.3">
      <c r="A434" s="1">
        <v>45900.961111111108</v>
      </c>
      <c r="B434" t="s">
        <v>617</v>
      </c>
      <c r="C434" t="s">
        <v>618</v>
      </c>
      <c r="D434" t="s">
        <v>1221</v>
      </c>
      <c r="F434" t="s">
        <v>2060</v>
      </c>
      <c r="G434" t="s">
        <v>1222</v>
      </c>
      <c r="H434" t="s">
        <v>103</v>
      </c>
      <c r="I434" t="s">
        <v>43</v>
      </c>
      <c r="J434">
        <v>150</v>
      </c>
      <c r="K434">
        <v>19</v>
      </c>
      <c r="L434">
        <v>10</v>
      </c>
      <c r="M434">
        <v>11</v>
      </c>
      <c r="N434">
        <v>24</v>
      </c>
      <c r="O434">
        <v>0</v>
      </c>
      <c r="P434">
        <v>0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>
        <v>2</v>
      </c>
      <c r="W434" t="s">
        <v>44</v>
      </c>
      <c r="X434" t="s">
        <v>44</v>
      </c>
      <c r="Y434">
        <v>2</v>
      </c>
      <c r="Z434" t="s">
        <v>44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2</v>
      </c>
      <c r="AQ434">
        <f t="shared" si="15"/>
        <v>2</v>
      </c>
      <c r="AR434" s="5">
        <f>VLOOKUP(F434,'[1]Cost Sheet'!$C:$D,2,0)</f>
        <v>45.01</v>
      </c>
      <c r="AS434" s="5">
        <f t="shared" si="14"/>
        <v>90.02</v>
      </c>
    </row>
    <row r="435" spans="1:45" x14ac:dyDescent="0.3">
      <c r="A435" s="1">
        <v>45900.961111111108</v>
      </c>
      <c r="B435" t="s">
        <v>617</v>
      </c>
      <c r="C435" t="s">
        <v>618</v>
      </c>
      <c r="D435" t="s">
        <v>1223</v>
      </c>
      <c r="F435" t="s">
        <v>2061</v>
      </c>
      <c r="G435" t="s">
        <v>1224</v>
      </c>
      <c r="H435" t="s">
        <v>66</v>
      </c>
      <c r="I435" t="s">
        <v>43</v>
      </c>
      <c r="J435">
        <v>50</v>
      </c>
      <c r="K435">
        <v>19</v>
      </c>
      <c r="L435">
        <v>10</v>
      </c>
      <c r="M435">
        <v>11</v>
      </c>
      <c r="N435">
        <v>1</v>
      </c>
      <c r="O435">
        <v>0</v>
      </c>
      <c r="P435">
        <v>0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>
        <v>1</v>
      </c>
      <c r="W435" t="s">
        <v>44</v>
      </c>
      <c r="X435" t="s">
        <v>44</v>
      </c>
      <c r="Y435">
        <v>1</v>
      </c>
      <c r="Z435" t="s">
        <v>44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f t="shared" si="15"/>
        <v>1</v>
      </c>
      <c r="AR435" s="5">
        <f>VLOOKUP(F435,'[1]Cost Sheet'!$C:$D,2,0)</f>
        <v>23.39</v>
      </c>
      <c r="AS435" s="5">
        <f t="shared" si="14"/>
        <v>23.39</v>
      </c>
    </row>
    <row r="436" spans="1:45" x14ac:dyDescent="0.3">
      <c r="A436" s="1">
        <v>45900.961111111108</v>
      </c>
      <c r="B436" t="s">
        <v>617</v>
      </c>
      <c r="C436" t="s">
        <v>618</v>
      </c>
      <c r="D436" t="s">
        <v>1225</v>
      </c>
      <c r="F436" t="s">
        <v>2062</v>
      </c>
      <c r="G436" t="s">
        <v>1226</v>
      </c>
      <c r="H436" t="s">
        <v>103</v>
      </c>
      <c r="I436" t="s">
        <v>43</v>
      </c>
      <c r="J436">
        <v>200</v>
      </c>
      <c r="K436">
        <v>19</v>
      </c>
      <c r="L436">
        <v>10</v>
      </c>
      <c r="M436">
        <v>11</v>
      </c>
      <c r="N436">
        <v>2</v>
      </c>
      <c r="O436">
        <v>0</v>
      </c>
      <c r="P436">
        <v>0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>
        <v>2</v>
      </c>
      <c r="W436" t="s">
        <v>44</v>
      </c>
      <c r="X436" t="s">
        <v>44</v>
      </c>
      <c r="Y436">
        <v>2</v>
      </c>
      <c r="Z436" t="s">
        <v>44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2</v>
      </c>
      <c r="AQ436">
        <f t="shared" si="15"/>
        <v>2</v>
      </c>
      <c r="AR436" s="5">
        <f>VLOOKUP(F436,'[1]Cost Sheet'!$C:$D,2,0)</f>
        <v>53.14</v>
      </c>
      <c r="AS436" s="5">
        <f t="shared" si="14"/>
        <v>106.28</v>
      </c>
    </row>
    <row r="437" spans="1:45" x14ac:dyDescent="0.3">
      <c r="A437" s="1">
        <v>45900.961111111108</v>
      </c>
      <c r="B437" t="s">
        <v>617</v>
      </c>
      <c r="C437" t="s">
        <v>618</v>
      </c>
      <c r="D437" t="s">
        <v>1227</v>
      </c>
      <c r="F437" t="s">
        <v>2063</v>
      </c>
      <c r="G437" t="s">
        <v>1228</v>
      </c>
      <c r="H437" t="s">
        <v>103</v>
      </c>
      <c r="I437" t="s">
        <v>43</v>
      </c>
      <c r="J437">
        <v>200</v>
      </c>
      <c r="K437">
        <v>19</v>
      </c>
      <c r="L437">
        <v>10</v>
      </c>
      <c r="M437">
        <v>11</v>
      </c>
      <c r="N437">
        <v>1</v>
      </c>
      <c r="O437">
        <v>0</v>
      </c>
      <c r="P437">
        <v>0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>
        <v>1</v>
      </c>
      <c r="W437" t="s">
        <v>44</v>
      </c>
      <c r="X437" t="s">
        <v>44</v>
      </c>
      <c r="Y437">
        <v>1</v>
      </c>
      <c r="Z437" t="s">
        <v>44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f t="shared" si="15"/>
        <v>1</v>
      </c>
      <c r="AR437" s="5">
        <f>VLOOKUP(F437,'[1]Cost Sheet'!$C:$D,2,0)</f>
        <v>60.9</v>
      </c>
      <c r="AS437" s="5">
        <f t="shared" si="14"/>
        <v>60.9</v>
      </c>
    </row>
    <row r="438" spans="1:45" x14ac:dyDescent="0.3">
      <c r="A438" s="1">
        <v>45900.961111111108</v>
      </c>
      <c r="B438" t="s">
        <v>617</v>
      </c>
      <c r="C438" t="s">
        <v>618</v>
      </c>
      <c r="D438" t="s">
        <v>1229</v>
      </c>
      <c r="F438" t="s">
        <v>2064</v>
      </c>
      <c r="G438" t="s">
        <v>1230</v>
      </c>
      <c r="H438" t="s">
        <v>103</v>
      </c>
      <c r="I438" t="s">
        <v>43</v>
      </c>
      <c r="J438">
        <v>200</v>
      </c>
      <c r="K438">
        <v>19</v>
      </c>
      <c r="L438">
        <v>10</v>
      </c>
      <c r="M438">
        <v>11</v>
      </c>
      <c r="N438">
        <v>3</v>
      </c>
      <c r="O438">
        <v>0</v>
      </c>
      <c r="P438">
        <v>0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>
        <v>3</v>
      </c>
      <c r="W438" t="s">
        <v>44</v>
      </c>
      <c r="X438" t="s">
        <v>44</v>
      </c>
      <c r="Y438">
        <v>3</v>
      </c>
      <c r="Z438" t="s">
        <v>44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3</v>
      </c>
      <c r="AQ438">
        <f t="shared" si="15"/>
        <v>3</v>
      </c>
      <c r="AR438" s="5">
        <f>VLOOKUP(F438,'[1]Cost Sheet'!$C:$D,2,0)</f>
        <v>59.82</v>
      </c>
      <c r="AS438" s="5">
        <f t="shared" si="14"/>
        <v>179.46</v>
      </c>
    </row>
    <row r="439" spans="1:45" x14ac:dyDescent="0.3">
      <c r="A439" s="1">
        <v>45900.961111111108</v>
      </c>
      <c r="B439" t="s">
        <v>617</v>
      </c>
      <c r="C439" t="s">
        <v>618</v>
      </c>
      <c r="D439" t="s">
        <v>1231</v>
      </c>
      <c r="F439" t="s">
        <v>2065</v>
      </c>
      <c r="G439" t="s">
        <v>1232</v>
      </c>
      <c r="H439" t="s">
        <v>103</v>
      </c>
      <c r="I439" t="s">
        <v>43</v>
      </c>
      <c r="J439">
        <v>200</v>
      </c>
      <c r="K439">
        <v>19</v>
      </c>
      <c r="L439">
        <v>10</v>
      </c>
      <c r="M439">
        <v>11</v>
      </c>
      <c r="N439">
        <v>14</v>
      </c>
      <c r="O439">
        <v>0</v>
      </c>
      <c r="P439">
        <v>0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>
        <v>4</v>
      </c>
      <c r="W439" t="s">
        <v>44</v>
      </c>
      <c r="X439" t="s">
        <v>44</v>
      </c>
      <c r="Y439">
        <v>4</v>
      </c>
      <c r="Z439" t="s">
        <v>44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4</v>
      </c>
      <c r="AQ439">
        <f t="shared" si="15"/>
        <v>4</v>
      </c>
      <c r="AR439" s="5">
        <f>VLOOKUP(F439,'[1]Cost Sheet'!$C:$D,2,0)</f>
        <v>57.620000000000005</v>
      </c>
      <c r="AS439" s="5">
        <f t="shared" si="14"/>
        <v>230.48000000000002</v>
      </c>
    </row>
    <row r="440" spans="1:45" x14ac:dyDescent="0.3">
      <c r="A440" s="1">
        <v>45900.961111111108</v>
      </c>
      <c r="B440" t="s">
        <v>617</v>
      </c>
      <c r="C440" t="s">
        <v>618</v>
      </c>
      <c r="D440" t="s">
        <v>1233</v>
      </c>
      <c r="F440" t="s">
        <v>2066</v>
      </c>
      <c r="G440" t="s">
        <v>1234</v>
      </c>
      <c r="H440" t="s">
        <v>130</v>
      </c>
      <c r="I440" t="s">
        <v>43</v>
      </c>
      <c r="J440">
        <v>4.2</v>
      </c>
      <c r="K440">
        <v>19</v>
      </c>
      <c r="L440">
        <v>10</v>
      </c>
      <c r="M440">
        <v>11</v>
      </c>
      <c r="N440">
        <v>716</v>
      </c>
      <c r="O440">
        <v>0</v>
      </c>
      <c r="P440">
        <v>0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>
        <v>45</v>
      </c>
      <c r="W440" t="s">
        <v>44</v>
      </c>
      <c r="X440" t="s">
        <v>44</v>
      </c>
      <c r="Y440">
        <v>45</v>
      </c>
      <c r="Z440" t="s">
        <v>44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45</v>
      </c>
      <c r="AQ440">
        <f t="shared" si="15"/>
        <v>45</v>
      </c>
      <c r="AR440" s="5">
        <f>VLOOKUP(F440,'[1]Cost Sheet'!$C:$D,2,0)</f>
        <v>96.2</v>
      </c>
      <c r="AS440" s="5">
        <f t="shared" si="14"/>
        <v>4329</v>
      </c>
    </row>
    <row r="441" spans="1:45" x14ac:dyDescent="0.3">
      <c r="A441" s="1">
        <v>45900.961111111108</v>
      </c>
      <c r="B441" t="s">
        <v>617</v>
      </c>
      <c r="C441" t="s">
        <v>618</v>
      </c>
      <c r="D441" t="s">
        <v>1235</v>
      </c>
      <c r="F441" t="s">
        <v>2067</v>
      </c>
      <c r="G441" t="s">
        <v>1236</v>
      </c>
      <c r="H441" t="s">
        <v>130</v>
      </c>
      <c r="I441" t="s">
        <v>43</v>
      </c>
      <c r="J441">
        <v>4.2</v>
      </c>
      <c r="K441">
        <v>19</v>
      </c>
      <c r="L441">
        <v>10</v>
      </c>
      <c r="M441">
        <v>11</v>
      </c>
      <c r="N441">
        <v>801</v>
      </c>
      <c r="O441">
        <v>0</v>
      </c>
      <c r="P441">
        <v>0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>
        <v>31</v>
      </c>
      <c r="W441" t="s">
        <v>44</v>
      </c>
      <c r="X441" t="s">
        <v>44</v>
      </c>
      <c r="Y441">
        <v>31</v>
      </c>
      <c r="Z441" t="s">
        <v>44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31</v>
      </c>
      <c r="AQ441">
        <f t="shared" si="15"/>
        <v>31</v>
      </c>
      <c r="AR441" s="5">
        <f>VLOOKUP(F441,'[1]Cost Sheet'!$C:$D,2,0)</f>
        <v>96.2</v>
      </c>
      <c r="AS441" s="5">
        <f t="shared" si="14"/>
        <v>2982.2000000000003</v>
      </c>
    </row>
    <row r="442" spans="1:45" x14ac:dyDescent="0.3">
      <c r="A442" s="1">
        <v>45900.961111111108</v>
      </c>
      <c r="B442" t="s">
        <v>617</v>
      </c>
      <c r="C442" t="s">
        <v>618</v>
      </c>
      <c r="D442" t="s">
        <v>1237</v>
      </c>
      <c r="F442" t="s">
        <v>2068</v>
      </c>
      <c r="G442" t="s">
        <v>1238</v>
      </c>
      <c r="H442" t="s">
        <v>130</v>
      </c>
      <c r="I442" t="s">
        <v>43</v>
      </c>
      <c r="J442">
        <v>4.2</v>
      </c>
      <c r="K442">
        <v>19</v>
      </c>
      <c r="L442">
        <v>10</v>
      </c>
      <c r="M442">
        <v>11</v>
      </c>
      <c r="N442">
        <v>761</v>
      </c>
      <c r="O442">
        <v>0</v>
      </c>
      <c r="P442">
        <v>0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>
        <v>1</v>
      </c>
      <c r="W442" t="s">
        <v>44</v>
      </c>
      <c r="X442" t="s">
        <v>44</v>
      </c>
      <c r="Y442">
        <v>1</v>
      </c>
      <c r="Z442" t="s">
        <v>44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f t="shared" si="15"/>
        <v>1</v>
      </c>
      <c r="AR442" s="5">
        <f>VLOOKUP(F442,'[1]Cost Sheet'!$C:$D,2,0)</f>
        <v>96.2</v>
      </c>
      <c r="AS442" s="5">
        <f t="shared" si="14"/>
        <v>96.2</v>
      </c>
    </row>
    <row r="443" spans="1:45" x14ac:dyDescent="0.3">
      <c r="A443" s="1">
        <v>45900.961111111108</v>
      </c>
      <c r="B443" t="s">
        <v>617</v>
      </c>
      <c r="C443" t="s">
        <v>618</v>
      </c>
      <c r="D443" t="s">
        <v>1239</v>
      </c>
      <c r="F443" t="s">
        <v>2069</v>
      </c>
      <c r="G443" t="s">
        <v>1240</v>
      </c>
      <c r="H443" t="s">
        <v>130</v>
      </c>
      <c r="I443" t="s">
        <v>43</v>
      </c>
      <c r="J443">
        <v>4.2</v>
      </c>
      <c r="K443">
        <v>19</v>
      </c>
      <c r="L443">
        <v>10</v>
      </c>
      <c r="M443">
        <v>11</v>
      </c>
      <c r="N443">
        <v>735</v>
      </c>
      <c r="O443">
        <v>0</v>
      </c>
      <c r="P443">
        <v>0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>
        <v>28</v>
      </c>
      <c r="W443" t="s">
        <v>44</v>
      </c>
      <c r="X443" t="s">
        <v>44</v>
      </c>
      <c r="Y443">
        <v>28</v>
      </c>
      <c r="Z443" t="s">
        <v>44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28</v>
      </c>
      <c r="AQ443">
        <f t="shared" si="15"/>
        <v>28</v>
      </c>
      <c r="AR443" s="5">
        <f>VLOOKUP(F443,'[1]Cost Sheet'!$C:$D,2,0)</f>
        <v>96.2</v>
      </c>
      <c r="AS443" s="5">
        <f t="shared" si="14"/>
        <v>2693.6</v>
      </c>
    </row>
    <row r="444" spans="1:45" x14ac:dyDescent="0.3">
      <c r="A444" s="1">
        <v>45900.961111111108</v>
      </c>
      <c r="B444" t="s">
        <v>617</v>
      </c>
      <c r="C444" t="s">
        <v>618</v>
      </c>
      <c r="D444" t="s">
        <v>1241</v>
      </c>
      <c r="F444" t="s">
        <v>2070</v>
      </c>
      <c r="G444" t="s">
        <v>1242</v>
      </c>
      <c r="H444" t="s">
        <v>130</v>
      </c>
      <c r="I444" t="s">
        <v>43</v>
      </c>
      <c r="J444">
        <v>5</v>
      </c>
      <c r="K444">
        <v>19</v>
      </c>
      <c r="L444">
        <v>10</v>
      </c>
      <c r="M444">
        <v>11</v>
      </c>
      <c r="N444">
        <v>390</v>
      </c>
      <c r="O444">
        <v>0</v>
      </c>
      <c r="P444">
        <v>0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>
        <v>71</v>
      </c>
      <c r="W444" t="s">
        <v>44</v>
      </c>
      <c r="X444" t="s">
        <v>44</v>
      </c>
      <c r="Y444">
        <v>71</v>
      </c>
      <c r="Z444" t="s">
        <v>44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71</v>
      </c>
      <c r="AQ444">
        <f t="shared" si="15"/>
        <v>71</v>
      </c>
      <c r="AR444" s="5">
        <f>VLOOKUP(F444,'[1]Cost Sheet'!$C:$D,2,0)</f>
        <v>90.089999999999989</v>
      </c>
      <c r="AS444" s="5">
        <f t="shared" si="14"/>
        <v>6396.3899999999994</v>
      </c>
    </row>
    <row r="445" spans="1:45" x14ac:dyDescent="0.3">
      <c r="A445" s="1">
        <v>45900.961111111108</v>
      </c>
      <c r="B445" t="s">
        <v>617</v>
      </c>
      <c r="C445" t="s">
        <v>618</v>
      </c>
      <c r="D445" t="s">
        <v>1243</v>
      </c>
      <c r="F445" t="s">
        <v>2071</v>
      </c>
      <c r="G445" t="s">
        <v>123</v>
      </c>
      <c r="H445" t="s">
        <v>120</v>
      </c>
      <c r="I445" t="s">
        <v>43</v>
      </c>
      <c r="J445">
        <v>100</v>
      </c>
      <c r="K445">
        <v>19</v>
      </c>
      <c r="L445">
        <v>11</v>
      </c>
      <c r="M445">
        <v>10</v>
      </c>
      <c r="N445">
        <v>11255</v>
      </c>
      <c r="O445">
        <v>0</v>
      </c>
      <c r="P445">
        <v>0</v>
      </c>
      <c r="Q445" t="s">
        <v>44</v>
      </c>
      <c r="R445">
        <v>7</v>
      </c>
      <c r="S445" t="s">
        <v>44</v>
      </c>
      <c r="T445" t="s">
        <v>44</v>
      </c>
      <c r="U445" t="s">
        <v>44</v>
      </c>
      <c r="V445">
        <v>49</v>
      </c>
      <c r="W445" t="s">
        <v>44</v>
      </c>
      <c r="X445" t="s">
        <v>44</v>
      </c>
      <c r="Y445">
        <v>49</v>
      </c>
      <c r="Z445" t="s">
        <v>44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9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49</v>
      </c>
      <c r="AQ445">
        <f t="shared" si="15"/>
        <v>49</v>
      </c>
      <c r="AR445" s="5">
        <f>VLOOKUP(F445,'[2]SCP_24-25'!$A:$D,4,0)</f>
        <v>43.5</v>
      </c>
      <c r="AS445" s="5">
        <f t="shared" si="14"/>
        <v>2131.5</v>
      </c>
    </row>
    <row r="446" spans="1:45" x14ac:dyDescent="0.3">
      <c r="A446" s="1">
        <v>45900.961111111108</v>
      </c>
      <c r="B446" t="s">
        <v>617</v>
      </c>
      <c r="C446" t="s">
        <v>618</v>
      </c>
      <c r="D446" t="s">
        <v>1244</v>
      </c>
      <c r="F446" t="s">
        <v>2072</v>
      </c>
      <c r="G446" t="s">
        <v>1245</v>
      </c>
      <c r="H446" t="s">
        <v>66</v>
      </c>
      <c r="I446" t="s">
        <v>43</v>
      </c>
      <c r="J446">
        <v>163.02000000000001</v>
      </c>
      <c r="K446">
        <v>19</v>
      </c>
      <c r="L446">
        <v>11</v>
      </c>
      <c r="M446">
        <v>10</v>
      </c>
      <c r="N446">
        <v>19295</v>
      </c>
      <c r="O446">
        <v>81</v>
      </c>
      <c r="P446">
        <v>0</v>
      </c>
      <c r="Q446">
        <v>9</v>
      </c>
      <c r="R446">
        <v>9</v>
      </c>
      <c r="S446" t="s">
        <v>44</v>
      </c>
      <c r="T446" t="s">
        <v>44</v>
      </c>
      <c r="U446" t="s">
        <v>44</v>
      </c>
      <c r="V446">
        <v>0</v>
      </c>
      <c r="W446" t="s">
        <v>44</v>
      </c>
      <c r="X446" t="s">
        <v>44</v>
      </c>
      <c r="Y446" t="s">
        <v>44</v>
      </c>
      <c r="Z446" t="s">
        <v>44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12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81</v>
      </c>
      <c r="AQ446">
        <f t="shared" si="15"/>
        <v>81</v>
      </c>
      <c r="AR446" s="5">
        <f>VLOOKUP(F446,'[2]SCP_24-25'!$A:$D,4,0)</f>
        <v>70.5</v>
      </c>
      <c r="AS446" s="5">
        <f t="shared" si="14"/>
        <v>5710.5</v>
      </c>
    </row>
    <row r="447" spans="1:45" x14ac:dyDescent="0.3">
      <c r="A447" s="1">
        <v>45900.961111111108</v>
      </c>
      <c r="B447" t="s">
        <v>617</v>
      </c>
      <c r="C447" t="s">
        <v>618</v>
      </c>
      <c r="D447" t="s">
        <v>1246</v>
      </c>
      <c r="F447" t="s">
        <v>2073</v>
      </c>
      <c r="G447" t="s">
        <v>123</v>
      </c>
      <c r="H447" t="s">
        <v>120</v>
      </c>
      <c r="I447" t="s">
        <v>43</v>
      </c>
      <c r="J447">
        <v>100</v>
      </c>
      <c r="K447">
        <v>19</v>
      </c>
      <c r="L447">
        <v>11</v>
      </c>
      <c r="M447">
        <v>10</v>
      </c>
      <c r="N447">
        <v>3000</v>
      </c>
      <c r="O447">
        <v>0</v>
      </c>
      <c r="P447">
        <v>0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>
        <v>1</v>
      </c>
      <c r="W447" t="s">
        <v>44</v>
      </c>
      <c r="X447" t="s">
        <v>44</v>
      </c>
      <c r="Y447">
        <v>1</v>
      </c>
      <c r="Z447" t="s">
        <v>44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f t="shared" si="15"/>
        <v>1</v>
      </c>
      <c r="AR447" s="5">
        <f>VLOOKUP(F447,'[1]Cost Sheet'!$C:$D,2,0)</f>
        <v>27.5</v>
      </c>
      <c r="AS447" s="5">
        <f t="shared" si="14"/>
        <v>27.5</v>
      </c>
    </row>
    <row r="448" spans="1:45" x14ac:dyDescent="0.3">
      <c r="A448" s="1">
        <v>45900.961111111108</v>
      </c>
      <c r="B448" t="s">
        <v>617</v>
      </c>
      <c r="C448" t="s">
        <v>618</v>
      </c>
      <c r="D448" t="s">
        <v>1247</v>
      </c>
      <c r="F448" t="s">
        <v>2074</v>
      </c>
      <c r="G448" t="s">
        <v>1248</v>
      </c>
      <c r="H448" t="s">
        <v>120</v>
      </c>
      <c r="I448" t="s">
        <v>43</v>
      </c>
      <c r="J448">
        <v>5</v>
      </c>
      <c r="K448">
        <v>19</v>
      </c>
      <c r="L448">
        <v>11</v>
      </c>
      <c r="M448">
        <v>10</v>
      </c>
      <c r="N448">
        <v>7816</v>
      </c>
      <c r="O448">
        <v>0</v>
      </c>
      <c r="P448">
        <v>0</v>
      </c>
      <c r="Q448">
        <v>1</v>
      </c>
      <c r="R448">
        <v>1</v>
      </c>
      <c r="S448" t="s">
        <v>44</v>
      </c>
      <c r="T448" t="s">
        <v>44</v>
      </c>
      <c r="U448" t="s">
        <v>44</v>
      </c>
      <c r="V448">
        <v>4</v>
      </c>
      <c r="W448" t="s">
        <v>44</v>
      </c>
      <c r="X448" t="s">
        <v>44</v>
      </c>
      <c r="Y448">
        <v>4</v>
      </c>
      <c r="Z448" t="s">
        <v>44</v>
      </c>
      <c r="AA448">
        <v>3</v>
      </c>
      <c r="AB448">
        <v>0</v>
      </c>
      <c r="AC448">
        <v>0</v>
      </c>
      <c r="AD448">
        <v>0</v>
      </c>
      <c r="AE448">
        <v>0</v>
      </c>
      <c r="AF448">
        <v>20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7</v>
      </c>
      <c r="AQ448">
        <f t="shared" si="15"/>
        <v>7</v>
      </c>
      <c r="AR448" s="5">
        <f>VLOOKUP(F448,'[2]SCP_24-25'!$A:$D,4,0)</f>
        <v>1.2</v>
      </c>
      <c r="AS448" s="5">
        <f t="shared" si="14"/>
        <v>8.4</v>
      </c>
    </row>
    <row r="449" spans="1:45" x14ac:dyDescent="0.3">
      <c r="A449" s="1">
        <v>45900.961111111108</v>
      </c>
      <c r="B449" t="s">
        <v>617</v>
      </c>
      <c r="C449" t="s">
        <v>618</v>
      </c>
      <c r="D449" t="s">
        <v>1249</v>
      </c>
      <c r="E449" t="s">
        <v>1250</v>
      </c>
      <c r="F449" t="s">
        <v>2075</v>
      </c>
      <c r="G449" t="s">
        <v>1251</v>
      </c>
      <c r="H449" t="s">
        <v>120</v>
      </c>
      <c r="I449" t="s">
        <v>415</v>
      </c>
      <c r="J449">
        <v>100</v>
      </c>
      <c r="K449">
        <v>19</v>
      </c>
      <c r="L449">
        <v>10</v>
      </c>
      <c r="M449">
        <v>11</v>
      </c>
      <c r="N449">
        <v>1275</v>
      </c>
      <c r="O449">
        <v>0</v>
      </c>
      <c r="P449">
        <v>0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>
        <v>5</v>
      </c>
      <c r="W449" t="s">
        <v>44</v>
      </c>
      <c r="X449" t="s">
        <v>44</v>
      </c>
      <c r="Y449">
        <v>5</v>
      </c>
      <c r="Z449" t="s">
        <v>44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5</v>
      </c>
      <c r="AQ449">
        <f t="shared" si="15"/>
        <v>5</v>
      </c>
      <c r="AR449" s="5">
        <f>VLOOKUP(F449,'[2]SCP_24-25'!$A:$D,4,0)</f>
        <v>55</v>
      </c>
      <c r="AS449" s="5">
        <f t="shared" si="14"/>
        <v>275</v>
      </c>
    </row>
    <row r="450" spans="1:45" x14ac:dyDescent="0.3">
      <c r="A450" s="1">
        <v>45900.961111111108</v>
      </c>
      <c r="B450" t="s">
        <v>617</v>
      </c>
      <c r="C450" t="s">
        <v>618</v>
      </c>
      <c r="D450" t="s">
        <v>1252</v>
      </c>
      <c r="E450" t="s">
        <v>1250</v>
      </c>
      <c r="F450" t="s">
        <v>2076</v>
      </c>
      <c r="G450" t="s">
        <v>1253</v>
      </c>
      <c r="H450" t="s">
        <v>120</v>
      </c>
      <c r="I450" t="s">
        <v>415</v>
      </c>
      <c r="J450">
        <v>100</v>
      </c>
      <c r="K450">
        <v>19</v>
      </c>
      <c r="L450">
        <v>10</v>
      </c>
      <c r="M450">
        <v>11</v>
      </c>
      <c r="N450">
        <v>1887</v>
      </c>
      <c r="O450">
        <v>0</v>
      </c>
      <c r="P450">
        <v>0</v>
      </c>
      <c r="Q450" t="s">
        <v>44</v>
      </c>
      <c r="R450">
        <v>1090</v>
      </c>
      <c r="S450" t="s">
        <v>44</v>
      </c>
      <c r="T450" t="s">
        <v>44</v>
      </c>
      <c r="U450" t="s">
        <v>44</v>
      </c>
      <c r="V450">
        <v>10</v>
      </c>
      <c r="W450" t="s">
        <v>44</v>
      </c>
      <c r="X450" t="s">
        <v>44</v>
      </c>
      <c r="Y450">
        <v>10</v>
      </c>
      <c r="Z450" t="s">
        <v>44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10</v>
      </c>
      <c r="AQ450">
        <f t="shared" si="15"/>
        <v>10</v>
      </c>
      <c r="AR450" s="5">
        <f>VLOOKUP(F450,'[1]Cost Sheet'!$C:$D,2,0)</f>
        <v>45</v>
      </c>
      <c r="AS450" s="5">
        <f t="shared" si="14"/>
        <v>450</v>
      </c>
    </row>
    <row r="451" spans="1:45" x14ac:dyDescent="0.3">
      <c r="A451" s="1">
        <v>45900.961111111108</v>
      </c>
      <c r="B451" t="s">
        <v>617</v>
      </c>
      <c r="C451" t="s">
        <v>618</v>
      </c>
      <c r="D451" t="s">
        <v>615</v>
      </c>
      <c r="F451" t="s">
        <v>1761</v>
      </c>
      <c r="G451" t="s">
        <v>616</v>
      </c>
      <c r="H451" t="s">
        <v>66</v>
      </c>
      <c r="I451" t="s">
        <v>415</v>
      </c>
      <c r="J451">
        <v>50</v>
      </c>
      <c r="K451">
        <v>19</v>
      </c>
      <c r="L451">
        <v>10</v>
      </c>
      <c r="M451">
        <v>11</v>
      </c>
      <c r="N451">
        <v>37838</v>
      </c>
      <c r="O451">
        <v>514</v>
      </c>
      <c r="P451">
        <v>0</v>
      </c>
      <c r="Q451">
        <v>15</v>
      </c>
      <c r="R451">
        <v>4</v>
      </c>
      <c r="S451" t="s">
        <v>44</v>
      </c>
      <c r="T451">
        <v>8010</v>
      </c>
      <c r="U451" t="s">
        <v>44</v>
      </c>
      <c r="V451">
        <v>0</v>
      </c>
      <c r="W451" t="s">
        <v>44</v>
      </c>
      <c r="X451" t="s">
        <v>44</v>
      </c>
      <c r="Y451" t="s">
        <v>44</v>
      </c>
      <c r="Z451">
        <v>18</v>
      </c>
      <c r="AA451">
        <v>24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538</v>
      </c>
      <c r="AQ451">
        <f t="shared" si="15"/>
        <v>538</v>
      </c>
      <c r="AR451" s="5">
        <f>VLOOKUP(F451,'[2]SCP_24-25'!$A:$D,4,0)</f>
        <v>40.33</v>
      </c>
      <c r="AS451" s="5">
        <f t="shared" ref="AS451:AS514" si="16">AQ451*AR451</f>
        <v>21697.54</v>
      </c>
    </row>
    <row r="452" spans="1:45" x14ac:dyDescent="0.3">
      <c r="A452" s="1">
        <v>45900.961111111108</v>
      </c>
      <c r="B452" t="s">
        <v>617</v>
      </c>
      <c r="C452" t="s">
        <v>618</v>
      </c>
      <c r="D452" t="s">
        <v>584</v>
      </c>
      <c r="F452" t="s">
        <v>1746</v>
      </c>
      <c r="G452" t="s">
        <v>585</v>
      </c>
      <c r="H452" t="s">
        <v>103</v>
      </c>
      <c r="I452" t="s">
        <v>415</v>
      </c>
      <c r="J452">
        <v>200</v>
      </c>
      <c r="K452">
        <v>19</v>
      </c>
      <c r="L452">
        <v>10</v>
      </c>
      <c r="M452">
        <v>11</v>
      </c>
      <c r="N452">
        <v>22940</v>
      </c>
      <c r="O452">
        <v>1246</v>
      </c>
      <c r="P452">
        <v>0</v>
      </c>
      <c r="Q452">
        <v>4</v>
      </c>
      <c r="R452">
        <v>4</v>
      </c>
      <c r="S452" t="s">
        <v>44</v>
      </c>
      <c r="T452" t="s">
        <v>44</v>
      </c>
      <c r="U452" t="s">
        <v>44</v>
      </c>
      <c r="V452">
        <v>0</v>
      </c>
      <c r="W452" t="s">
        <v>44</v>
      </c>
      <c r="X452" t="s">
        <v>44</v>
      </c>
      <c r="Y452" t="s">
        <v>44</v>
      </c>
      <c r="Z452">
        <v>3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8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s="2">
        <v>1246</v>
      </c>
      <c r="AQ452">
        <f t="shared" si="15"/>
        <v>1246</v>
      </c>
      <c r="AR452" s="5">
        <f>VLOOKUP(F452,'[2]SCP_24-25'!$A:$D,4,0)</f>
        <v>65.53</v>
      </c>
      <c r="AS452" s="5">
        <f t="shared" si="16"/>
        <v>81650.38</v>
      </c>
    </row>
    <row r="453" spans="1:45" x14ac:dyDescent="0.3">
      <c r="A453" s="1">
        <v>45900.961111111108</v>
      </c>
      <c r="B453" t="s">
        <v>617</v>
      </c>
      <c r="C453" t="s">
        <v>618</v>
      </c>
      <c r="D453" t="s">
        <v>1254</v>
      </c>
      <c r="F453" t="s">
        <v>2077</v>
      </c>
      <c r="G453" t="s">
        <v>123</v>
      </c>
      <c r="H453" t="s">
        <v>66</v>
      </c>
      <c r="I453" t="s">
        <v>415</v>
      </c>
      <c r="J453">
        <v>50</v>
      </c>
      <c r="K453">
        <v>19</v>
      </c>
      <c r="L453">
        <v>10</v>
      </c>
      <c r="M453">
        <v>11</v>
      </c>
      <c r="N453">
        <v>190</v>
      </c>
      <c r="O453">
        <v>0</v>
      </c>
      <c r="P453">
        <v>0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>
        <v>13</v>
      </c>
      <c r="W453" t="s">
        <v>44</v>
      </c>
      <c r="X453" t="s">
        <v>44</v>
      </c>
      <c r="Y453">
        <v>13</v>
      </c>
      <c r="Z453" t="s">
        <v>44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13</v>
      </c>
      <c r="AQ453">
        <f t="shared" si="15"/>
        <v>13</v>
      </c>
      <c r="AR453" s="5">
        <f>VLOOKUP(F453,'[1]Cost Sheet'!$C:$D,2,0)</f>
        <v>40.33</v>
      </c>
      <c r="AS453" s="5">
        <f t="shared" si="16"/>
        <v>524.29</v>
      </c>
    </row>
    <row r="454" spans="1:45" x14ac:dyDescent="0.3">
      <c r="A454" s="1">
        <v>45900.961111111108</v>
      </c>
      <c r="B454" t="s">
        <v>617</v>
      </c>
      <c r="C454" t="s">
        <v>618</v>
      </c>
      <c r="D454" t="s">
        <v>1255</v>
      </c>
      <c r="F454" t="s">
        <v>2078</v>
      </c>
      <c r="G454" t="s">
        <v>1256</v>
      </c>
      <c r="H454" t="s">
        <v>66</v>
      </c>
      <c r="I454" t="s">
        <v>415</v>
      </c>
      <c r="J454">
        <v>100</v>
      </c>
      <c r="K454">
        <v>19</v>
      </c>
      <c r="L454">
        <v>10</v>
      </c>
      <c r="M454">
        <v>11</v>
      </c>
      <c r="N454">
        <v>200</v>
      </c>
      <c r="O454">
        <v>0</v>
      </c>
      <c r="P454">
        <v>0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>
        <v>39</v>
      </c>
      <c r="W454" t="s">
        <v>44</v>
      </c>
      <c r="X454" t="s">
        <v>44</v>
      </c>
      <c r="Y454">
        <v>39</v>
      </c>
      <c r="Z454" t="s">
        <v>44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39</v>
      </c>
      <c r="AQ454">
        <f t="shared" si="15"/>
        <v>39</v>
      </c>
      <c r="AR454" s="5">
        <f>VLOOKUP(F454,'[1]Cost Sheet'!$C:$D,2,0)</f>
        <v>64.38</v>
      </c>
      <c r="AS454" s="5">
        <f t="shared" si="16"/>
        <v>2510.8199999999997</v>
      </c>
    </row>
    <row r="455" spans="1:45" x14ac:dyDescent="0.3">
      <c r="A455" s="1">
        <v>45900.961111111108</v>
      </c>
      <c r="B455" t="s">
        <v>617</v>
      </c>
      <c r="C455" t="s">
        <v>618</v>
      </c>
      <c r="D455" t="s">
        <v>1257</v>
      </c>
      <c r="F455" t="s">
        <v>2079</v>
      </c>
      <c r="G455" t="s">
        <v>123</v>
      </c>
      <c r="H455" t="s">
        <v>103</v>
      </c>
      <c r="I455" t="s">
        <v>415</v>
      </c>
      <c r="J455">
        <v>200</v>
      </c>
      <c r="K455">
        <v>19</v>
      </c>
      <c r="L455">
        <v>10</v>
      </c>
      <c r="M455">
        <v>11</v>
      </c>
      <c r="N455">
        <v>40</v>
      </c>
      <c r="O455">
        <v>0</v>
      </c>
      <c r="P455">
        <v>0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>
        <v>22</v>
      </c>
      <c r="W455" t="s">
        <v>44</v>
      </c>
      <c r="X455" t="s">
        <v>44</v>
      </c>
      <c r="Y455">
        <v>22</v>
      </c>
      <c r="Z455" t="s">
        <v>44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22</v>
      </c>
      <c r="AQ455">
        <f t="shared" si="15"/>
        <v>22</v>
      </c>
      <c r="AR455" s="5">
        <v>62.03</v>
      </c>
      <c r="AS455" s="5">
        <f t="shared" si="16"/>
        <v>1364.66</v>
      </c>
    </row>
    <row r="456" spans="1:45" x14ac:dyDescent="0.3">
      <c r="A456" s="1">
        <v>45900.961111111108</v>
      </c>
      <c r="B456" t="s">
        <v>617</v>
      </c>
      <c r="C456" t="s">
        <v>618</v>
      </c>
      <c r="D456" t="s">
        <v>1258</v>
      </c>
      <c r="F456" t="s">
        <v>2080</v>
      </c>
      <c r="G456" t="s">
        <v>1259</v>
      </c>
      <c r="H456" t="s">
        <v>66</v>
      </c>
      <c r="I456" t="s">
        <v>415</v>
      </c>
      <c r="J456">
        <v>95</v>
      </c>
      <c r="K456">
        <v>19</v>
      </c>
      <c r="L456">
        <v>10</v>
      </c>
      <c r="M456">
        <v>11</v>
      </c>
      <c r="N456">
        <v>888</v>
      </c>
      <c r="O456">
        <v>0</v>
      </c>
      <c r="P456">
        <v>0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>
        <v>9</v>
      </c>
      <c r="W456" t="s">
        <v>44</v>
      </c>
      <c r="X456" t="s">
        <v>44</v>
      </c>
      <c r="Y456">
        <v>9</v>
      </c>
      <c r="Z456" t="s">
        <v>44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9</v>
      </c>
      <c r="AQ456">
        <f t="shared" si="15"/>
        <v>9</v>
      </c>
      <c r="AR456" s="5">
        <f>VLOOKUP(F456,'[2]SCP_24-25'!$A:$D,4,0)</f>
        <v>174.51</v>
      </c>
      <c r="AS456" s="5">
        <f t="shared" si="16"/>
        <v>1570.59</v>
      </c>
    </row>
    <row r="457" spans="1:45" x14ac:dyDescent="0.3">
      <c r="A457" s="1">
        <v>45900.961111111108</v>
      </c>
      <c r="B457" t="s">
        <v>617</v>
      </c>
      <c r="C457" t="s">
        <v>618</v>
      </c>
      <c r="D457" t="s">
        <v>1260</v>
      </c>
      <c r="F457" t="s">
        <v>2081</v>
      </c>
      <c r="G457" t="s">
        <v>1261</v>
      </c>
      <c r="H457" t="s">
        <v>66</v>
      </c>
      <c r="I457" t="s">
        <v>415</v>
      </c>
      <c r="J457">
        <v>95</v>
      </c>
      <c r="K457">
        <v>19</v>
      </c>
      <c r="L457">
        <v>10</v>
      </c>
      <c r="M457">
        <v>11</v>
      </c>
      <c r="N457">
        <v>816</v>
      </c>
      <c r="O457">
        <v>0</v>
      </c>
      <c r="P457">
        <v>0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>
        <v>6</v>
      </c>
      <c r="W457" t="s">
        <v>44</v>
      </c>
      <c r="X457" t="s">
        <v>44</v>
      </c>
      <c r="Y457">
        <v>6</v>
      </c>
      <c r="Z457" t="s">
        <v>44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6</v>
      </c>
      <c r="AQ457">
        <f t="shared" si="15"/>
        <v>6</v>
      </c>
      <c r="AR457" s="5">
        <f>VLOOKUP(F457,'[2]SCP_24-25'!$A:$D,4,0)</f>
        <v>174.09</v>
      </c>
      <c r="AS457" s="5">
        <f t="shared" si="16"/>
        <v>1044.54</v>
      </c>
    </row>
    <row r="458" spans="1:45" x14ac:dyDescent="0.3">
      <c r="A458" s="1">
        <v>45900.961111111108</v>
      </c>
      <c r="B458" t="s">
        <v>617</v>
      </c>
      <c r="C458" t="s">
        <v>618</v>
      </c>
      <c r="D458" t="s">
        <v>1262</v>
      </c>
      <c r="F458" t="s">
        <v>2082</v>
      </c>
      <c r="G458" t="s">
        <v>1263</v>
      </c>
      <c r="H458" t="s">
        <v>103</v>
      </c>
      <c r="I458" t="s">
        <v>415</v>
      </c>
      <c r="J458">
        <v>950</v>
      </c>
      <c r="K458">
        <v>19</v>
      </c>
      <c r="L458">
        <v>10</v>
      </c>
      <c r="M458">
        <v>11</v>
      </c>
      <c r="N458">
        <v>498</v>
      </c>
      <c r="O458">
        <v>0</v>
      </c>
      <c r="P458">
        <v>0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>
        <v>82</v>
      </c>
      <c r="W458" t="s">
        <v>44</v>
      </c>
      <c r="X458" t="s">
        <v>44</v>
      </c>
      <c r="Y458">
        <v>82</v>
      </c>
      <c r="Z458" t="s">
        <v>44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82</v>
      </c>
      <c r="AQ458">
        <f t="shared" si="15"/>
        <v>82</v>
      </c>
      <c r="AR458" s="5">
        <f>VLOOKUP(F458,'[2]SCP_24-25'!$A:$D,4,0)</f>
        <v>373.12</v>
      </c>
      <c r="AS458" s="5">
        <f t="shared" si="16"/>
        <v>30595.84</v>
      </c>
    </row>
    <row r="459" spans="1:45" x14ac:dyDescent="0.3">
      <c r="A459" s="1">
        <v>45900.961111111108</v>
      </c>
      <c r="B459" t="s">
        <v>617</v>
      </c>
      <c r="C459" t="s">
        <v>618</v>
      </c>
      <c r="D459" t="s">
        <v>1264</v>
      </c>
      <c r="F459" t="s">
        <v>2083</v>
      </c>
      <c r="G459" t="s">
        <v>123</v>
      </c>
      <c r="H459" t="s">
        <v>66</v>
      </c>
      <c r="I459" t="s">
        <v>415</v>
      </c>
      <c r="J459">
        <v>40</v>
      </c>
      <c r="K459">
        <v>19</v>
      </c>
      <c r="L459">
        <v>10</v>
      </c>
      <c r="M459">
        <v>11</v>
      </c>
      <c r="N459">
        <v>30</v>
      </c>
      <c r="O459">
        <v>0</v>
      </c>
      <c r="P459">
        <v>0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>
        <v>30</v>
      </c>
      <c r="W459" t="s">
        <v>44</v>
      </c>
      <c r="X459" t="s">
        <v>44</v>
      </c>
      <c r="Y459">
        <v>30</v>
      </c>
      <c r="Z459" t="s">
        <v>44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30</v>
      </c>
      <c r="AQ459">
        <f t="shared" si="15"/>
        <v>30</v>
      </c>
      <c r="AR459" s="5">
        <f>VLOOKUP(F459,'[1]Cost Sheet'!$C:$D,2,0)</f>
        <v>87.59</v>
      </c>
      <c r="AS459" s="5">
        <f t="shared" si="16"/>
        <v>2627.7000000000003</v>
      </c>
    </row>
    <row r="460" spans="1:45" x14ac:dyDescent="0.3">
      <c r="A460" s="1">
        <v>45900.961111111108</v>
      </c>
      <c r="B460" t="s">
        <v>617</v>
      </c>
      <c r="C460" t="s">
        <v>618</v>
      </c>
      <c r="D460" t="s">
        <v>1265</v>
      </c>
      <c r="F460" t="s">
        <v>2084</v>
      </c>
      <c r="G460" t="s">
        <v>123</v>
      </c>
      <c r="H460" t="s">
        <v>66</v>
      </c>
      <c r="I460" t="s">
        <v>415</v>
      </c>
      <c r="J460">
        <v>50</v>
      </c>
      <c r="K460">
        <v>19</v>
      </c>
      <c r="L460">
        <v>10</v>
      </c>
      <c r="M460">
        <v>11</v>
      </c>
      <c r="N460">
        <v>30</v>
      </c>
      <c r="O460">
        <v>0</v>
      </c>
      <c r="P460">
        <v>0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>
        <v>30</v>
      </c>
      <c r="W460" t="s">
        <v>44</v>
      </c>
      <c r="X460" t="s">
        <v>44</v>
      </c>
      <c r="Y460">
        <v>30</v>
      </c>
      <c r="Z460" t="s">
        <v>44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30</v>
      </c>
      <c r="AQ460">
        <f t="shared" si="15"/>
        <v>30</v>
      </c>
      <c r="AR460" s="5">
        <f>VLOOKUP(F460,'[1]Cost Sheet'!$C:$D,2,0)</f>
        <v>84.2</v>
      </c>
      <c r="AS460" s="5">
        <f t="shared" si="16"/>
        <v>2526</v>
      </c>
    </row>
    <row r="461" spans="1:45" x14ac:dyDescent="0.3">
      <c r="A461" s="1">
        <v>45900.961111111108</v>
      </c>
      <c r="B461" t="s">
        <v>617</v>
      </c>
      <c r="C461" t="s">
        <v>618</v>
      </c>
      <c r="D461" t="s">
        <v>1266</v>
      </c>
      <c r="F461" t="s">
        <v>2085</v>
      </c>
      <c r="G461" t="s">
        <v>1267</v>
      </c>
      <c r="H461" t="s">
        <v>433</v>
      </c>
      <c r="I461" t="s">
        <v>434</v>
      </c>
      <c r="J461">
        <v>131</v>
      </c>
      <c r="K461">
        <v>4</v>
      </c>
      <c r="L461">
        <v>3</v>
      </c>
      <c r="M461">
        <v>16</v>
      </c>
      <c r="N461">
        <v>700</v>
      </c>
      <c r="O461">
        <v>30</v>
      </c>
      <c r="P461">
        <v>0</v>
      </c>
      <c r="Q461">
        <v>1</v>
      </c>
      <c r="R461" t="s">
        <v>44</v>
      </c>
      <c r="S461" t="s">
        <v>44</v>
      </c>
      <c r="T461" t="s">
        <v>44</v>
      </c>
      <c r="U461" t="s">
        <v>44</v>
      </c>
      <c r="V461">
        <v>22</v>
      </c>
      <c r="W461" t="s">
        <v>44</v>
      </c>
      <c r="X461" t="s">
        <v>44</v>
      </c>
      <c r="Y461">
        <v>22</v>
      </c>
      <c r="Z461" t="s">
        <v>44</v>
      </c>
      <c r="AA461">
        <v>28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80</v>
      </c>
      <c r="AQ461">
        <f t="shared" si="15"/>
        <v>80</v>
      </c>
      <c r="AR461" s="5">
        <f>VLOOKUP(F461,'[2]SCP_24-25'!$A:$D,4,0)</f>
        <v>50.05</v>
      </c>
      <c r="AS461" s="5">
        <f t="shared" si="16"/>
        <v>4004</v>
      </c>
    </row>
    <row r="462" spans="1:45" x14ac:dyDescent="0.3">
      <c r="A462" s="1">
        <v>45900.961111111108</v>
      </c>
      <c r="B462" t="s">
        <v>617</v>
      </c>
      <c r="C462" t="s">
        <v>618</v>
      </c>
      <c r="D462" t="s">
        <v>511</v>
      </c>
      <c r="F462" t="s">
        <v>1710</v>
      </c>
      <c r="G462" t="s">
        <v>512</v>
      </c>
      <c r="H462" t="s">
        <v>433</v>
      </c>
      <c r="I462" t="s">
        <v>434</v>
      </c>
      <c r="J462">
        <v>110.9</v>
      </c>
      <c r="K462">
        <v>6</v>
      </c>
      <c r="L462">
        <v>3.4</v>
      </c>
      <c r="M462">
        <v>11</v>
      </c>
      <c r="N462">
        <v>1028</v>
      </c>
      <c r="O462">
        <v>70</v>
      </c>
      <c r="P462">
        <v>0</v>
      </c>
      <c r="Q462">
        <v>2</v>
      </c>
      <c r="R462" t="s">
        <v>44</v>
      </c>
      <c r="S462" t="s">
        <v>44</v>
      </c>
      <c r="T462" t="s">
        <v>44</v>
      </c>
      <c r="U462" t="s">
        <v>44</v>
      </c>
      <c r="V462">
        <v>0</v>
      </c>
      <c r="W462" t="s">
        <v>44</v>
      </c>
      <c r="X462" t="s">
        <v>44</v>
      </c>
      <c r="Y462" t="s">
        <v>44</v>
      </c>
      <c r="Z462" t="s">
        <v>44</v>
      </c>
      <c r="AA462">
        <v>6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76</v>
      </c>
      <c r="AQ462">
        <f t="shared" si="15"/>
        <v>76</v>
      </c>
      <c r="AR462" s="5">
        <f>VLOOKUP(F462,'[2]SCP_24-25'!$A:$D,4,0)</f>
        <v>87.7</v>
      </c>
      <c r="AS462" s="5">
        <f t="shared" si="16"/>
        <v>6665.2</v>
      </c>
    </row>
    <row r="463" spans="1:45" x14ac:dyDescent="0.3">
      <c r="A463" s="1">
        <v>45900.961111111108</v>
      </c>
      <c r="B463" t="s">
        <v>617</v>
      </c>
      <c r="C463" t="s">
        <v>618</v>
      </c>
      <c r="D463" t="s">
        <v>1268</v>
      </c>
      <c r="F463" t="s">
        <v>2086</v>
      </c>
      <c r="G463" t="s">
        <v>1269</v>
      </c>
      <c r="H463" t="s">
        <v>120</v>
      </c>
      <c r="I463" t="s">
        <v>43</v>
      </c>
      <c r="J463">
        <v>10</v>
      </c>
      <c r="K463">
        <v>19</v>
      </c>
      <c r="L463">
        <v>11</v>
      </c>
      <c r="M463">
        <v>10</v>
      </c>
      <c r="N463">
        <v>500</v>
      </c>
      <c r="O463">
        <v>0</v>
      </c>
      <c r="P463">
        <v>0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>
        <v>7</v>
      </c>
      <c r="W463" t="s">
        <v>44</v>
      </c>
      <c r="X463" t="s">
        <v>44</v>
      </c>
      <c r="Y463">
        <v>7</v>
      </c>
      <c r="Z463" t="s">
        <v>44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7</v>
      </c>
      <c r="AQ463">
        <f t="shared" si="15"/>
        <v>7</v>
      </c>
      <c r="AR463" s="5">
        <f>VLOOKUP(F463,'[2]SCP_24-25'!$A:$D,4,0)</f>
        <v>19.850000000000001</v>
      </c>
      <c r="AS463" s="5">
        <f t="shared" si="16"/>
        <v>138.95000000000002</v>
      </c>
    </row>
    <row r="464" spans="1:45" x14ac:dyDescent="0.3">
      <c r="A464" s="1">
        <v>45900.961111111108</v>
      </c>
      <c r="B464" t="s">
        <v>617</v>
      </c>
      <c r="C464" t="s">
        <v>618</v>
      </c>
      <c r="D464" t="s">
        <v>1270</v>
      </c>
      <c r="F464" t="s">
        <v>2087</v>
      </c>
      <c r="G464" t="s">
        <v>1271</v>
      </c>
      <c r="H464" t="s">
        <v>130</v>
      </c>
      <c r="I464" t="s">
        <v>415</v>
      </c>
      <c r="J464">
        <v>1.4</v>
      </c>
      <c r="K464">
        <v>19</v>
      </c>
      <c r="L464">
        <v>10</v>
      </c>
      <c r="M464">
        <v>11</v>
      </c>
      <c r="N464">
        <v>192</v>
      </c>
      <c r="O464">
        <v>0</v>
      </c>
      <c r="P464">
        <v>0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>
        <v>84</v>
      </c>
      <c r="W464" t="s">
        <v>44</v>
      </c>
      <c r="X464" t="s">
        <v>44</v>
      </c>
      <c r="Y464">
        <v>84</v>
      </c>
      <c r="Z464" t="s">
        <v>44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84</v>
      </c>
      <c r="AQ464">
        <f t="shared" si="15"/>
        <v>84</v>
      </c>
      <c r="AR464" s="5">
        <f>VLOOKUP(F464,'[2]SCP_24-25'!$A:$D,4,0)</f>
        <v>174.11</v>
      </c>
      <c r="AS464" s="5">
        <f t="shared" si="16"/>
        <v>14625.240000000002</v>
      </c>
    </row>
    <row r="465" spans="1:45" x14ac:dyDescent="0.3">
      <c r="A465" s="1">
        <v>45900.961111111108</v>
      </c>
      <c r="B465" t="s">
        <v>617</v>
      </c>
      <c r="C465" t="s">
        <v>618</v>
      </c>
      <c r="D465" t="s">
        <v>1272</v>
      </c>
      <c r="F465" t="s">
        <v>2088</v>
      </c>
      <c r="G465" t="s">
        <v>1273</v>
      </c>
      <c r="H465" t="s">
        <v>130</v>
      </c>
      <c r="I465" t="s">
        <v>415</v>
      </c>
      <c r="J465">
        <v>1.4</v>
      </c>
      <c r="K465">
        <v>19</v>
      </c>
      <c r="L465">
        <v>10</v>
      </c>
      <c r="M465">
        <v>11</v>
      </c>
      <c r="N465">
        <v>192</v>
      </c>
      <c r="O465">
        <v>0</v>
      </c>
      <c r="P465">
        <v>0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>
        <v>84</v>
      </c>
      <c r="W465" t="s">
        <v>44</v>
      </c>
      <c r="X465" t="s">
        <v>44</v>
      </c>
      <c r="Y465">
        <v>84</v>
      </c>
      <c r="Z465" t="s">
        <v>44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84</v>
      </c>
      <c r="AQ465">
        <f t="shared" si="15"/>
        <v>84</v>
      </c>
      <c r="AR465" s="5">
        <f>VLOOKUP(F465,'[2]SCP_24-25'!$A:$D,4,0)</f>
        <v>174.11</v>
      </c>
      <c r="AS465" s="5">
        <f t="shared" si="16"/>
        <v>14625.240000000002</v>
      </c>
    </row>
    <row r="466" spans="1:45" x14ac:dyDescent="0.3">
      <c r="A466" s="1">
        <v>45900.961111111108</v>
      </c>
      <c r="B466" t="s">
        <v>617</v>
      </c>
      <c r="C466" t="s">
        <v>618</v>
      </c>
      <c r="D466" t="s">
        <v>1274</v>
      </c>
      <c r="F466" t="s">
        <v>2089</v>
      </c>
      <c r="G466" t="s">
        <v>1275</v>
      </c>
      <c r="H466" t="s">
        <v>130</v>
      </c>
      <c r="I466" t="s">
        <v>415</v>
      </c>
      <c r="J466">
        <v>1.4</v>
      </c>
      <c r="K466">
        <v>19</v>
      </c>
      <c r="L466">
        <v>10</v>
      </c>
      <c r="M466">
        <v>11</v>
      </c>
      <c r="N466">
        <v>192</v>
      </c>
      <c r="O466">
        <v>0</v>
      </c>
      <c r="P466">
        <v>0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>
        <v>84</v>
      </c>
      <c r="W466" t="s">
        <v>44</v>
      </c>
      <c r="X466" t="s">
        <v>44</v>
      </c>
      <c r="Y466">
        <v>84</v>
      </c>
      <c r="Z466" t="s">
        <v>44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84</v>
      </c>
      <c r="AQ466">
        <f t="shared" si="15"/>
        <v>84</v>
      </c>
      <c r="AR466" s="5">
        <f>VLOOKUP(F466,'[2]SCP_24-25'!$A:$D,4,0)</f>
        <v>174.11</v>
      </c>
      <c r="AS466" s="5">
        <f t="shared" si="16"/>
        <v>14625.240000000002</v>
      </c>
    </row>
    <row r="467" spans="1:45" x14ac:dyDescent="0.3">
      <c r="A467" s="1">
        <v>45900.961111111108</v>
      </c>
      <c r="B467" t="s">
        <v>617</v>
      </c>
      <c r="C467" t="s">
        <v>618</v>
      </c>
      <c r="D467" t="s">
        <v>1276</v>
      </c>
      <c r="F467" t="s">
        <v>2090</v>
      </c>
      <c r="G467" t="s">
        <v>1277</v>
      </c>
      <c r="H467" t="s">
        <v>130</v>
      </c>
      <c r="I467" t="s">
        <v>415</v>
      </c>
      <c r="J467">
        <v>1.4</v>
      </c>
      <c r="K467">
        <v>19</v>
      </c>
      <c r="L467">
        <v>10</v>
      </c>
      <c r="M467">
        <v>11</v>
      </c>
      <c r="N467">
        <v>192</v>
      </c>
      <c r="O467">
        <v>0</v>
      </c>
      <c r="P467">
        <v>0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>
        <v>84</v>
      </c>
      <c r="W467" t="s">
        <v>44</v>
      </c>
      <c r="X467" t="s">
        <v>44</v>
      </c>
      <c r="Y467">
        <v>84</v>
      </c>
      <c r="Z467" t="s">
        <v>44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84</v>
      </c>
      <c r="AQ467">
        <f t="shared" si="15"/>
        <v>84</v>
      </c>
      <c r="AR467" s="5">
        <f>VLOOKUP(F467,'[2]SCP_24-25'!$A:$D,4,0)</f>
        <v>174.11</v>
      </c>
      <c r="AS467" s="5">
        <f t="shared" si="16"/>
        <v>14625.240000000002</v>
      </c>
    </row>
    <row r="468" spans="1:45" x14ac:dyDescent="0.3">
      <c r="A468" s="1">
        <v>45900.961111111108</v>
      </c>
      <c r="B468" t="s">
        <v>617</v>
      </c>
      <c r="C468" t="s">
        <v>618</v>
      </c>
      <c r="D468" t="s">
        <v>1278</v>
      </c>
      <c r="F468" t="s">
        <v>2091</v>
      </c>
      <c r="G468" t="s">
        <v>1279</v>
      </c>
      <c r="H468" t="s">
        <v>130</v>
      </c>
      <c r="I468" t="s">
        <v>415</v>
      </c>
      <c r="J468">
        <v>1.4</v>
      </c>
      <c r="K468">
        <v>19</v>
      </c>
      <c r="L468">
        <v>10</v>
      </c>
      <c r="M468">
        <v>11</v>
      </c>
      <c r="N468">
        <v>192</v>
      </c>
      <c r="O468">
        <v>0</v>
      </c>
      <c r="P468">
        <v>0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>
        <v>84</v>
      </c>
      <c r="W468" t="s">
        <v>44</v>
      </c>
      <c r="X468" t="s">
        <v>44</v>
      </c>
      <c r="Y468">
        <v>84</v>
      </c>
      <c r="Z468" t="s">
        <v>44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84</v>
      </c>
      <c r="AQ468">
        <f t="shared" si="15"/>
        <v>84</v>
      </c>
      <c r="AR468" s="5">
        <f>VLOOKUP(F468,'[2]SCP_24-25'!$A:$D,4,0)</f>
        <v>174.11</v>
      </c>
      <c r="AS468" s="5">
        <f t="shared" si="16"/>
        <v>14625.240000000002</v>
      </c>
    </row>
    <row r="469" spans="1:45" x14ac:dyDescent="0.3">
      <c r="A469" s="1">
        <v>45900.961111111108</v>
      </c>
      <c r="B469" t="s">
        <v>617</v>
      </c>
      <c r="C469" t="s">
        <v>618</v>
      </c>
      <c r="D469" t="s">
        <v>1280</v>
      </c>
      <c r="F469" t="s">
        <v>2092</v>
      </c>
      <c r="G469" t="s">
        <v>1281</v>
      </c>
      <c r="H469" t="s">
        <v>130</v>
      </c>
      <c r="I469" t="s">
        <v>415</v>
      </c>
      <c r="J469">
        <v>1.4</v>
      </c>
      <c r="K469">
        <v>19</v>
      </c>
      <c r="L469">
        <v>10</v>
      </c>
      <c r="M469">
        <v>11</v>
      </c>
      <c r="N469">
        <v>192</v>
      </c>
      <c r="O469">
        <v>0</v>
      </c>
      <c r="P469">
        <v>0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>
        <v>84</v>
      </c>
      <c r="W469" t="s">
        <v>44</v>
      </c>
      <c r="X469" t="s">
        <v>44</v>
      </c>
      <c r="Y469">
        <v>84</v>
      </c>
      <c r="Z469" t="s">
        <v>44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84</v>
      </c>
      <c r="AQ469">
        <f t="shared" si="15"/>
        <v>84</v>
      </c>
      <c r="AR469" s="5">
        <f>VLOOKUP(F469,'[2]SCP_24-25'!$A:$D,4,0)</f>
        <v>174.11</v>
      </c>
      <c r="AS469" s="5">
        <f t="shared" si="16"/>
        <v>14625.240000000002</v>
      </c>
    </row>
    <row r="470" spans="1:45" x14ac:dyDescent="0.3">
      <c r="A470" s="1">
        <v>45900.961111111108</v>
      </c>
      <c r="B470" t="s">
        <v>617</v>
      </c>
      <c r="C470" t="s">
        <v>618</v>
      </c>
      <c r="D470" t="s">
        <v>1282</v>
      </c>
      <c r="F470" t="s">
        <v>2093</v>
      </c>
      <c r="G470" t="s">
        <v>1283</v>
      </c>
      <c r="H470" t="s">
        <v>130</v>
      </c>
      <c r="I470" t="s">
        <v>415</v>
      </c>
      <c r="J470">
        <v>1.4</v>
      </c>
      <c r="K470">
        <v>19</v>
      </c>
      <c r="L470">
        <v>10</v>
      </c>
      <c r="M470">
        <v>11</v>
      </c>
      <c r="N470">
        <v>192</v>
      </c>
      <c r="O470">
        <v>0</v>
      </c>
      <c r="P470">
        <v>0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>
        <v>84</v>
      </c>
      <c r="W470" t="s">
        <v>44</v>
      </c>
      <c r="X470" t="s">
        <v>44</v>
      </c>
      <c r="Y470">
        <v>84</v>
      </c>
      <c r="Z470" t="s">
        <v>44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84</v>
      </c>
      <c r="AQ470">
        <f t="shared" si="15"/>
        <v>84</v>
      </c>
      <c r="AR470" s="5">
        <f>VLOOKUP(F470,'[2]SCP_24-25'!$A:$D,4,0)</f>
        <v>174.11</v>
      </c>
      <c r="AS470" s="5">
        <f t="shared" si="16"/>
        <v>14625.240000000002</v>
      </c>
    </row>
    <row r="471" spans="1:45" x14ac:dyDescent="0.3">
      <c r="A471" s="1">
        <v>45900.961111111108</v>
      </c>
      <c r="B471" t="s">
        <v>617</v>
      </c>
      <c r="C471" t="s">
        <v>618</v>
      </c>
      <c r="D471" t="s">
        <v>1284</v>
      </c>
      <c r="F471" t="s">
        <v>2094</v>
      </c>
      <c r="G471" t="s">
        <v>1285</v>
      </c>
      <c r="H471" t="s">
        <v>130</v>
      </c>
      <c r="I471" t="s">
        <v>415</v>
      </c>
      <c r="J471">
        <v>1.4</v>
      </c>
      <c r="K471">
        <v>19</v>
      </c>
      <c r="L471">
        <v>10</v>
      </c>
      <c r="M471">
        <v>11</v>
      </c>
      <c r="N471">
        <v>192</v>
      </c>
      <c r="O471">
        <v>0</v>
      </c>
      <c r="P471">
        <v>0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>
        <v>84</v>
      </c>
      <c r="W471" t="s">
        <v>44</v>
      </c>
      <c r="X471" t="s">
        <v>44</v>
      </c>
      <c r="Y471">
        <v>84</v>
      </c>
      <c r="Z471" t="s">
        <v>44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84</v>
      </c>
      <c r="AQ471">
        <f t="shared" si="15"/>
        <v>84</v>
      </c>
      <c r="AR471" s="5">
        <f>VLOOKUP(F471,'[2]SCP_24-25'!$A:$D,4,0)</f>
        <v>174.11</v>
      </c>
      <c r="AS471" s="5">
        <f t="shared" si="16"/>
        <v>14625.240000000002</v>
      </c>
    </row>
    <row r="472" spans="1:45" x14ac:dyDescent="0.3">
      <c r="A472" s="1">
        <v>45900.961111111108</v>
      </c>
      <c r="B472" t="s">
        <v>617</v>
      </c>
      <c r="C472" t="s">
        <v>618</v>
      </c>
      <c r="D472" t="s">
        <v>1286</v>
      </c>
      <c r="F472" t="s">
        <v>2095</v>
      </c>
      <c r="G472" t="s">
        <v>1287</v>
      </c>
      <c r="H472" t="s">
        <v>130</v>
      </c>
      <c r="I472" t="s">
        <v>415</v>
      </c>
      <c r="J472">
        <v>1.4</v>
      </c>
      <c r="K472">
        <v>19</v>
      </c>
      <c r="L472">
        <v>10</v>
      </c>
      <c r="M472">
        <v>11</v>
      </c>
      <c r="N472">
        <v>192</v>
      </c>
      <c r="O472">
        <v>0</v>
      </c>
      <c r="P472">
        <v>0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>
        <v>84</v>
      </c>
      <c r="W472" t="s">
        <v>44</v>
      </c>
      <c r="X472" t="s">
        <v>44</v>
      </c>
      <c r="Y472">
        <v>84</v>
      </c>
      <c r="Z472" t="s">
        <v>44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84</v>
      </c>
      <c r="AQ472">
        <f t="shared" si="15"/>
        <v>84</v>
      </c>
      <c r="AR472" s="5">
        <f>VLOOKUP(F472,'[2]SCP_24-25'!$A:$D,4,0)</f>
        <v>174.11</v>
      </c>
      <c r="AS472" s="5">
        <f t="shared" si="16"/>
        <v>14625.240000000002</v>
      </c>
    </row>
    <row r="473" spans="1:45" x14ac:dyDescent="0.3">
      <c r="A473" s="1">
        <v>45900.961111111108</v>
      </c>
      <c r="B473" t="s">
        <v>617</v>
      </c>
      <c r="C473" t="s">
        <v>618</v>
      </c>
      <c r="D473" t="s">
        <v>1288</v>
      </c>
      <c r="F473" t="s">
        <v>2096</v>
      </c>
      <c r="G473" t="s">
        <v>1289</v>
      </c>
      <c r="H473" t="s">
        <v>130</v>
      </c>
      <c r="I473" t="s">
        <v>415</v>
      </c>
      <c r="J473">
        <v>1.4</v>
      </c>
      <c r="K473">
        <v>19</v>
      </c>
      <c r="L473">
        <v>10</v>
      </c>
      <c r="M473">
        <v>11</v>
      </c>
      <c r="N473">
        <v>192</v>
      </c>
      <c r="O473">
        <v>0</v>
      </c>
      <c r="P473">
        <v>0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>
        <v>84</v>
      </c>
      <c r="W473" t="s">
        <v>44</v>
      </c>
      <c r="X473" t="s">
        <v>44</v>
      </c>
      <c r="Y473">
        <v>84</v>
      </c>
      <c r="Z473" t="s">
        <v>44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84</v>
      </c>
      <c r="AQ473">
        <f t="shared" si="15"/>
        <v>84</v>
      </c>
      <c r="AR473" s="5">
        <f>VLOOKUP(F473,'[2]SCP_24-25'!$A:$D,4,0)</f>
        <v>174.11</v>
      </c>
      <c r="AS473" s="5">
        <f t="shared" si="16"/>
        <v>14625.240000000002</v>
      </c>
    </row>
    <row r="474" spans="1:45" x14ac:dyDescent="0.3">
      <c r="A474" s="1">
        <v>45900.961111111108</v>
      </c>
      <c r="B474" t="s">
        <v>617</v>
      </c>
      <c r="C474" t="s">
        <v>618</v>
      </c>
      <c r="D474" t="s">
        <v>1290</v>
      </c>
      <c r="F474" t="s">
        <v>2097</v>
      </c>
      <c r="G474" t="s">
        <v>1291</v>
      </c>
      <c r="H474" t="s">
        <v>130</v>
      </c>
      <c r="I474" t="s">
        <v>415</v>
      </c>
      <c r="J474">
        <v>1.4</v>
      </c>
      <c r="K474">
        <v>19</v>
      </c>
      <c r="L474">
        <v>10</v>
      </c>
      <c r="M474">
        <v>11</v>
      </c>
      <c r="N474">
        <v>192</v>
      </c>
      <c r="O474">
        <v>0</v>
      </c>
      <c r="P474">
        <v>0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>
        <v>84</v>
      </c>
      <c r="W474" t="s">
        <v>44</v>
      </c>
      <c r="X474" t="s">
        <v>44</v>
      </c>
      <c r="Y474">
        <v>84</v>
      </c>
      <c r="Z474" t="s">
        <v>44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84</v>
      </c>
      <c r="AQ474">
        <f t="shared" ref="AQ474:AQ537" si="17">O474+P474+V474+AA474</f>
        <v>84</v>
      </c>
      <c r="AR474" s="5">
        <f>VLOOKUP(F474,'[2]SCP_24-25'!$A:$D,4,0)</f>
        <v>174.11</v>
      </c>
      <c r="AS474" s="5">
        <f t="shared" si="16"/>
        <v>14625.240000000002</v>
      </c>
    </row>
    <row r="475" spans="1:45" x14ac:dyDescent="0.3">
      <c r="A475" s="1">
        <v>45900.961111111108</v>
      </c>
      <c r="B475" t="s">
        <v>617</v>
      </c>
      <c r="C475" t="s">
        <v>618</v>
      </c>
      <c r="D475" t="s">
        <v>1292</v>
      </c>
      <c r="F475" t="s">
        <v>2098</v>
      </c>
      <c r="G475" t="s">
        <v>1293</v>
      </c>
      <c r="H475" t="s">
        <v>130</v>
      </c>
      <c r="I475" t="s">
        <v>415</v>
      </c>
      <c r="J475">
        <v>1.4</v>
      </c>
      <c r="K475">
        <v>19</v>
      </c>
      <c r="L475">
        <v>10</v>
      </c>
      <c r="M475">
        <v>11</v>
      </c>
      <c r="N475">
        <v>192</v>
      </c>
      <c r="O475">
        <v>0</v>
      </c>
      <c r="P475">
        <v>0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>
        <v>84</v>
      </c>
      <c r="W475" t="s">
        <v>44</v>
      </c>
      <c r="X475" t="s">
        <v>44</v>
      </c>
      <c r="Y475">
        <v>84</v>
      </c>
      <c r="Z475" t="s">
        <v>44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84</v>
      </c>
      <c r="AQ475">
        <f t="shared" si="17"/>
        <v>84</v>
      </c>
      <c r="AR475" s="5">
        <f>VLOOKUP(F475,'[2]SCP_24-25'!$A:$D,4,0)</f>
        <v>174.11</v>
      </c>
      <c r="AS475" s="5">
        <f t="shared" si="16"/>
        <v>14625.240000000002</v>
      </c>
    </row>
    <row r="476" spans="1:45" x14ac:dyDescent="0.3">
      <c r="A476" s="1">
        <v>45900.961111111108</v>
      </c>
      <c r="B476" t="s">
        <v>617</v>
      </c>
      <c r="C476" t="s">
        <v>618</v>
      </c>
      <c r="D476" t="s">
        <v>1294</v>
      </c>
      <c r="F476" t="s">
        <v>2099</v>
      </c>
      <c r="G476" t="s">
        <v>1295</v>
      </c>
      <c r="H476" t="s">
        <v>130</v>
      </c>
      <c r="I476" t="s">
        <v>415</v>
      </c>
      <c r="J476">
        <v>1.4</v>
      </c>
      <c r="K476">
        <v>19</v>
      </c>
      <c r="L476">
        <v>10</v>
      </c>
      <c r="M476">
        <v>11</v>
      </c>
      <c r="N476">
        <v>192</v>
      </c>
      <c r="O476">
        <v>0</v>
      </c>
      <c r="P476">
        <v>0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>
        <v>84</v>
      </c>
      <c r="W476" t="s">
        <v>44</v>
      </c>
      <c r="X476" t="s">
        <v>44</v>
      </c>
      <c r="Y476">
        <v>84</v>
      </c>
      <c r="Z476" t="s">
        <v>44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84</v>
      </c>
      <c r="AQ476">
        <f t="shared" si="17"/>
        <v>84</v>
      </c>
      <c r="AR476" s="5">
        <f>VLOOKUP(F476,'[2]SCP_24-25'!$A:$D,4,0)</f>
        <v>174.11</v>
      </c>
      <c r="AS476" s="5">
        <f t="shared" si="16"/>
        <v>14625.240000000002</v>
      </c>
    </row>
    <row r="477" spans="1:45" x14ac:dyDescent="0.3">
      <c r="A477" s="1">
        <v>45900.961111111108</v>
      </c>
      <c r="B477" t="s">
        <v>617</v>
      </c>
      <c r="C477" t="s">
        <v>618</v>
      </c>
      <c r="D477" t="s">
        <v>1296</v>
      </c>
      <c r="F477" t="s">
        <v>2100</v>
      </c>
      <c r="G477" t="s">
        <v>1297</v>
      </c>
      <c r="H477" t="s">
        <v>130</v>
      </c>
      <c r="I477" t="s">
        <v>415</v>
      </c>
      <c r="J477">
        <v>1.4</v>
      </c>
      <c r="K477">
        <v>19</v>
      </c>
      <c r="L477">
        <v>10</v>
      </c>
      <c r="M477">
        <v>11</v>
      </c>
      <c r="N477">
        <v>192</v>
      </c>
      <c r="O477">
        <v>0</v>
      </c>
      <c r="P477">
        <v>0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>
        <v>84</v>
      </c>
      <c r="W477" t="s">
        <v>44</v>
      </c>
      <c r="X477" t="s">
        <v>44</v>
      </c>
      <c r="Y477">
        <v>84</v>
      </c>
      <c r="Z477" t="s">
        <v>44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84</v>
      </c>
      <c r="AQ477">
        <f t="shared" si="17"/>
        <v>84</v>
      </c>
      <c r="AR477" s="5">
        <f>VLOOKUP(F477,'[2]SCP_24-25'!$A:$D,4,0)</f>
        <v>174.11</v>
      </c>
      <c r="AS477" s="5">
        <f t="shared" si="16"/>
        <v>14625.240000000002</v>
      </c>
    </row>
    <row r="478" spans="1:45" x14ac:dyDescent="0.3">
      <c r="A478" s="1">
        <v>45900.961111111108</v>
      </c>
      <c r="B478" t="s">
        <v>617</v>
      </c>
      <c r="C478" t="s">
        <v>618</v>
      </c>
      <c r="D478" t="s">
        <v>143</v>
      </c>
      <c r="F478" t="s">
        <v>1549</v>
      </c>
      <c r="G478" t="s">
        <v>144</v>
      </c>
      <c r="H478" t="s">
        <v>103</v>
      </c>
      <c r="I478" t="s">
        <v>43</v>
      </c>
      <c r="J478">
        <v>122</v>
      </c>
      <c r="K478">
        <v>19</v>
      </c>
      <c r="L478">
        <v>9.5</v>
      </c>
      <c r="M478">
        <v>11</v>
      </c>
      <c r="N478">
        <v>287593</v>
      </c>
      <c r="O478">
        <v>228</v>
      </c>
      <c r="P478">
        <v>0</v>
      </c>
      <c r="Q478">
        <v>168</v>
      </c>
      <c r="R478">
        <v>34783</v>
      </c>
      <c r="S478" t="s">
        <v>44</v>
      </c>
      <c r="T478" t="s">
        <v>44</v>
      </c>
      <c r="U478" t="s">
        <v>44</v>
      </c>
      <c r="V478">
        <v>11804</v>
      </c>
      <c r="W478">
        <v>325</v>
      </c>
      <c r="X478" t="s">
        <v>44</v>
      </c>
      <c r="Y478">
        <v>11802</v>
      </c>
      <c r="Z478" t="s">
        <v>44</v>
      </c>
      <c r="AA478">
        <v>21</v>
      </c>
      <c r="AB478">
        <v>0</v>
      </c>
      <c r="AC478">
        <v>0</v>
      </c>
      <c r="AD478">
        <v>0</v>
      </c>
      <c r="AE478">
        <v>27</v>
      </c>
      <c r="AF478">
        <v>16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s="2">
        <v>12053</v>
      </c>
      <c r="AQ478">
        <f t="shared" si="17"/>
        <v>12053</v>
      </c>
      <c r="AR478" s="5">
        <f>VLOOKUP(F478,'[2]SCP_24-25'!$A:$D,4,0)</f>
        <v>100.66</v>
      </c>
      <c r="AS478" s="5">
        <f t="shared" si="16"/>
        <v>1213254.98</v>
      </c>
    </row>
    <row r="479" spans="1:45" x14ac:dyDescent="0.3">
      <c r="A479" s="1">
        <v>45900.961111111108</v>
      </c>
      <c r="B479" t="s">
        <v>617</v>
      </c>
      <c r="C479" t="s">
        <v>618</v>
      </c>
      <c r="D479" t="s">
        <v>173</v>
      </c>
      <c r="F479" t="s">
        <v>1564</v>
      </c>
      <c r="G479" t="s">
        <v>174</v>
      </c>
      <c r="H479" t="s">
        <v>66</v>
      </c>
      <c r="I479" t="s">
        <v>43</v>
      </c>
      <c r="J479">
        <v>101</v>
      </c>
      <c r="K479">
        <v>19</v>
      </c>
      <c r="L479">
        <v>9.5</v>
      </c>
      <c r="M479">
        <v>11</v>
      </c>
      <c r="N479">
        <v>280771</v>
      </c>
      <c r="O479">
        <v>324</v>
      </c>
      <c r="P479">
        <v>0</v>
      </c>
      <c r="Q479">
        <v>299</v>
      </c>
      <c r="R479">
        <v>29591</v>
      </c>
      <c r="S479" t="s">
        <v>44</v>
      </c>
      <c r="T479">
        <v>764</v>
      </c>
      <c r="U479" t="s">
        <v>44</v>
      </c>
      <c r="V479">
        <v>12003</v>
      </c>
      <c r="W479">
        <v>528</v>
      </c>
      <c r="X479" t="s">
        <v>44</v>
      </c>
      <c r="Y479">
        <v>11858</v>
      </c>
      <c r="Z479" t="s">
        <v>44</v>
      </c>
      <c r="AA479">
        <v>12</v>
      </c>
      <c r="AB479">
        <v>0</v>
      </c>
      <c r="AC479">
        <v>0</v>
      </c>
      <c r="AD479">
        <v>0</v>
      </c>
      <c r="AE479">
        <v>68</v>
      </c>
      <c r="AF479">
        <v>25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s="2">
        <v>12339</v>
      </c>
      <c r="AQ479">
        <f t="shared" si="17"/>
        <v>12339</v>
      </c>
      <c r="AR479" s="5">
        <f>VLOOKUP(F479,'[2]SCP_24-25'!$A:$D,4,0)</f>
        <v>51.353999999999999</v>
      </c>
      <c r="AS479" s="5">
        <f t="shared" si="16"/>
        <v>633657.00599999994</v>
      </c>
    </row>
    <row r="480" spans="1:45" x14ac:dyDescent="0.3">
      <c r="A480" s="1">
        <v>45900.961111111108</v>
      </c>
      <c r="B480" t="s">
        <v>617</v>
      </c>
      <c r="C480" t="s">
        <v>618</v>
      </c>
      <c r="D480" t="s">
        <v>175</v>
      </c>
      <c r="F480" t="s">
        <v>1565</v>
      </c>
      <c r="G480" t="s">
        <v>176</v>
      </c>
      <c r="H480" t="s">
        <v>66</v>
      </c>
      <c r="I480" t="s">
        <v>43</v>
      </c>
      <c r="J480">
        <v>101</v>
      </c>
      <c r="K480">
        <v>18</v>
      </c>
      <c r="L480">
        <v>9.5</v>
      </c>
      <c r="M480">
        <v>11</v>
      </c>
      <c r="N480">
        <v>412402</v>
      </c>
      <c r="O480">
        <v>1833</v>
      </c>
      <c r="P480">
        <v>0</v>
      </c>
      <c r="Q480">
        <v>434</v>
      </c>
      <c r="R480">
        <v>41154</v>
      </c>
      <c r="S480" t="s">
        <v>44</v>
      </c>
      <c r="T480" t="s">
        <v>44</v>
      </c>
      <c r="U480" t="s">
        <v>44</v>
      </c>
      <c r="V480">
        <v>12255</v>
      </c>
      <c r="W480">
        <v>175</v>
      </c>
      <c r="X480" t="s">
        <v>44</v>
      </c>
      <c r="Y480">
        <v>12235</v>
      </c>
      <c r="Z480" t="s">
        <v>44</v>
      </c>
      <c r="AA480">
        <v>23</v>
      </c>
      <c r="AB480">
        <v>0</v>
      </c>
      <c r="AC480">
        <v>0</v>
      </c>
      <c r="AD480">
        <v>0</v>
      </c>
      <c r="AE480">
        <v>268</v>
      </c>
      <c r="AF480">
        <v>10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2">
        <v>14111</v>
      </c>
      <c r="AQ480">
        <f t="shared" si="17"/>
        <v>14111</v>
      </c>
      <c r="AR480" s="5">
        <f>VLOOKUP(F480,'[2]SCP_24-25'!$A:$D,4,0)</f>
        <v>75.27</v>
      </c>
      <c r="AS480" s="5">
        <f t="shared" si="16"/>
        <v>1062134.97</v>
      </c>
    </row>
    <row r="481" spans="1:45" x14ac:dyDescent="0.3">
      <c r="A481" s="1">
        <v>45900.961111111108</v>
      </c>
      <c r="B481" t="s">
        <v>617</v>
      </c>
      <c r="C481" t="s">
        <v>618</v>
      </c>
      <c r="D481" t="s">
        <v>193</v>
      </c>
      <c r="F481" t="s">
        <v>1574</v>
      </c>
      <c r="G481" t="s">
        <v>194</v>
      </c>
      <c r="H481" t="s">
        <v>66</v>
      </c>
      <c r="I481" t="s">
        <v>43</v>
      </c>
      <c r="J481">
        <v>224</v>
      </c>
      <c r="K481">
        <v>19</v>
      </c>
      <c r="L481">
        <v>9.5</v>
      </c>
      <c r="M481">
        <v>11</v>
      </c>
      <c r="N481">
        <v>319425</v>
      </c>
      <c r="O481">
        <v>619</v>
      </c>
      <c r="P481">
        <v>0</v>
      </c>
      <c r="Q481">
        <v>100</v>
      </c>
      <c r="R481">
        <v>12951</v>
      </c>
      <c r="S481" t="s">
        <v>44</v>
      </c>
      <c r="T481">
        <v>13500</v>
      </c>
      <c r="U481" t="s">
        <v>44</v>
      </c>
      <c r="V481">
        <v>15692</v>
      </c>
      <c r="W481">
        <v>813</v>
      </c>
      <c r="X481" t="s">
        <v>44</v>
      </c>
      <c r="Y481">
        <v>15690</v>
      </c>
      <c r="Z481" t="s">
        <v>44</v>
      </c>
      <c r="AA481">
        <v>7</v>
      </c>
      <c r="AB481">
        <v>0</v>
      </c>
      <c r="AC481">
        <v>0</v>
      </c>
      <c r="AD481">
        <v>0</v>
      </c>
      <c r="AE481">
        <v>5</v>
      </c>
      <c r="AF481">
        <v>48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s="2">
        <v>16318</v>
      </c>
      <c r="AQ481">
        <f t="shared" si="17"/>
        <v>16318</v>
      </c>
      <c r="AR481" s="5">
        <f>VLOOKUP(F481,'[2]SCP_24-25'!$A:$D,4,0)</f>
        <v>47.03</v>
      </c>
      <c r="AS481" s="5">
        <f t="shared" si="16"/>
        <v>767435.54</v>
      </c>
    </row>
    <row r="482" spans="1:45" x14ac:dyDescent="0.3">
      <c r="A482" s="1">
        <v>45900.961111111108</v>
      </c>
      <c r="B482" t="s">
        <v>617</v>
      </c>
      <c r="C482" t="s">
        <v>618</v>
      </c>
      <c r="D482" t="s">
        <v>303</v>
      </c>
      <c r="F482" t="s">
        <v>1617</v>
      </c>
      <c r="G482" t="s">
        <v>304</v>
      </c>
      <c r="H482" t="s">
        <v>66</v>
      </c>
      <c r="I482" t="s">
        <v>43</v>
      </c>
      <c r="J482">
        <v>30</v>
      </c>
      <c r="K482">
        <v>19</v>
      </c>
      <c r="L482">
        <v>9.5</v>
      </c>
      <c r="M482">
        <v>11</v>
      </c>
      <c r="N482">
        <v>424313</v>
      </c>
      <c r="O482">
        <v>4</v>
      </c>
      <c r="P482">
        <v>0</v>
      </c>
      <c r="Q482">
        <v>315</v>
      </c>
      <c r="R482">
        <v>46251</v>
      </c>
      <c r="S482" t="s">
        <v>44</v>
      </c>
      <c r="T482" t="s">
        <v>44</v>
      </c>
      <c r="U482" t="s">
        <v>44</v>
      </c>
      <c r="V482">
        <v>12464</v>
      </c>
      <c r="W482" t="s">
        <v>44</v>
      </c>
      <c r="X482" t="s">
        <v>44</v>
      </c>
      <c r="Y482">
        <v>12462</v>
      </c>
      <c r="Z482" t="s">
        <v>44</v>
      </c>
      <c r="AA482">
        <v>3</v>
      </c>
      <c r="AB482">
        <v>0</v>
      </c>
      <c r="AC482">
        <v>0</v>
      </c>
      <c r="AD482">
        <v>0</v>
      </c>
      <c r="AE482">
        <v>27</v>
      </c>
      <c r="AF482">
        <v>42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s="2">
        <v>12471</v>
      </c>
      <c r="AQ482">
        <f t="shared" si="17"/>
        <v>12471</v>
      </c>
      <c r="AR482" s="5">
        <f>VLOOKUP(F482,'[2]SCP_24-25'!$A:$D,4,0)</f>
        <v>15.13</v>
      </c>
      <c r="AS482" s="5">
        <f t="shared" si="16"/>
        <v>188686.23</v>
      </c>
    </row>
    <row r="483" spans="1:45" x14ac:dyDescent="0.3">
      <c r="A483" s="1">
        <v>45900.961111111108</v>
      </c>
      <c r="B483" t="s">
        <v>617</v>
      </c>
      <c r="C483" t="s">
        <v>618</v>
      </c>
      <c r="D483" t="s">
        <v>323</v>
      </c>
      <c r="E483" t="s">
        <v>324</v>
      </c>
      <c r="F483" t="s">
        <v>1624</v>
      </c>
      <c r="G483" t="s">
        <v>325</v>
      </c>
      <c r="H483" t="s">
        <v>66</v>
      </c>
      <c r="I483" t="s">
        <v>43</v>
      </c>
      <c r="J483">
        <v>50</v>
      </c>
      <c r="K483">
        <v>19</v>
      </c>
      <c r="L483">
        <v>11</v>
      </c>
      <c r="M483">
        <v>9.5</v>
      </c>
      <c r="N483">
        <v>167261</v>
      </c>
      <c r="O483">
        <v>0</v>
      </c>
      <c r="P483">
        <v>0</v>
      </c>
      <c r="Q483">
        <v>20</v>
      </c>
      <c r="R483">
        <v>8222</v>
      </c>
      <c r="S483" t="s">
        <v>44</v>
      </c>
      <c r="T483" t="s">
        <v>44</v>
      </c>
      <c r="U483" t="s">
        <v>44</v>
      </c>
      <c r="V483">
        <v>12337</v>
      </c>
      <c r="W483" t="s">
        <v>44</v>
      </c>
      <c r="X483" t="s">
        <v>44</v>
      </c>
      <c r="Y483">
        <v>12337</v>
      </c>
      <c r="Z483" t="s">
        <v>44</v>
      </c>
      <c r="AA483">
        <v>0</v>
      </c>
      <c r="AB483">
        <v>0</v>
      </c>
      <c r="AC483">
        <v>0</v>
      </c>
      <c r="AD483">
        <v>0</v>
      </c>
      <c r="AE483">
        <v>3699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s="2">
        <v>12337</v>
      </c>
      <c r="AQ483">
        <f t="shared" si="17"/>
        <v>12337</v>
      </c>
      <c r="AR483" s="5">
        <f>VLOOKUP(F483,'[2]SCP_24-25'!$A:$D,4,0)</f>
        <v>14.330000000000002</v>
      </c>
      <c r="AS483" s="5">
        <f t="shared" si="16"/>
        <v>176789.21000000002</v>
      </c>
    </row>
    <row r="484" spans="1:45" x14ac:dyDescent="0.3">
      <c r="A484" s="1">
        <v>45900.961111111108</v>
      </c>
      <c r="B484" t="s">
        <v>617</v>
      </c>
      <c r="C484" t="s">
        <v>618</v>
      </c>
      <c r="D484" t="s">
        <v>364</v>
      </c>
      <c r="E484" t="s">
        <v>365</v>
      </c>
      <c r="F484" t="s">
        <v>1641</v>
      </c>
      <c r="G484" t="s">
        <v>366</v>
      </c>
      <c r="H484" t="s">
        <v>130</v>
      </c>
      <c r="I484" t="s">
        <v>43</v>
      </c>
      <c r="J484">
        <v>40.68</v>
      </c>
      <c r="K484">
        <v>19</v>
      </c>
      <c r="L484">
        <v>10</v>
      </c>
      <c r="M484">
        <v>11</v>
      </c>
      <c r="N484">
        <v>187693</v>
      </c>
      <c r="O484">
        <v>311</v>
      </c>
      <c r="P484">
        <v>0</v>
      </c>
      <c r="Q484">
        <v>82</v>
      </c>
      <c r="R484">
        <v>17055</v>
      </c>
      <c r="S484" t="s">
        <v>44</v>
      </c>
      <c r="T484" t="s">
        <v>44</v>
      </c>
      <c r="U484" t="s">
        <v>44</v>
      </c>
      <c r="V484">
        <v>13747</v>
      </c>
      <c r="W484">
        <v>383</v>
      </c>
      <c r="X484" t="s">
        <v>44</v>
      </c>
      <c r="Y484">
        <v>13733</v>
      </c>
      <c r="Z484" t="s">
        <v>44</v>
      </c>
      <c r="AA484">
        <v>5</v>
      </c>
      <c r="AB484">
        <v>0</v>
      </c>
      <c r="AC484">
        <v>0</v>
      </c>
      <c r="AD484">
        <v>0</v>
      </c>
      <c r="AE484">
        <v>3</v>
      </c>
      <c r="AF484">
        <v>12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s="2">
        <v>14063</v>
      </c>
      <c r="AQ484">
        <f t="shared" si="17"/>
        <v>14063</v>
      </c>
      <c r="AR484" s="5">
        <f>VLOOKUP(F484,'[2]SCP_24-25'!$A:$D,4,0)</f>
        <v>61.98</v>
      </c>
      <c r="AS484" s="5">
        <f t="shared" si="16"/>
        <v>871624.74</v>
      </c>
    </row>
    <row r="485" spans="1:45" x14ac:dyDescent="0.3">
      <c r="A485" s="1">
        <v>45900.961111111108</v>
      </c>
      <c r="B485" t="s">
        <v>617</v>
      </c>
      <c r="C485" t="s">
        <v>618</v>
      </c>
      <c r="D485" t="s">
        <v>507</v>
      </c>
      <c r="F485" t="s">
        <v>1708</v>
      </c>
      <c r="G485" t="s">
        <v>508</v>
      </c>
      <c r="H485" t="s">
        <v>66</v>
      </c>
      <c r="I485" t="s">
        <v>415</v>
      </c>
      <c r="J485">
        <v>77</v>
      </c>
      <c r="K485">
        <v>19</v>
      </c>
      <c r="L485">
        <v>10</v>
      </c>
      <c r="M485">
        <v>11</v>
      </c>
      <c r="N485">
        <v>91749</v>
      </c>
      <c r="O485">
        <v>300</v>
      </c>
      <c r="P485">
        <v>0</v>
      </c>
      <c r="Q485">
        <v>123</v>
      </c>
      <c r="R485">
        <v>34</v>
      </c>
      <c r="S485" t="s">
        <v>44</v>
      </c>
      <c r="T485">
        <v>3</v>
      </c>
      <c r="U485" t="s">
        <v>44</v>
      </c>
      <c r="V485">
        <v>14914</v>
      </c>
      <c r="W485">
        <v>2</v>
      </c>
      <c r="X485" t="s">
        <v>44</v>
      </c>
      <c r="Y485">
        <v>14914</v>
      </c>
      <c r="Z485" t="s">
        <v>44</v>
      </c>
      <c r="AA485">
        <v>3</v>
      </c>
      <c r="AB485">
        <v>369</v>
      </c>
      <c r="AC485">
        <v>0</v>
      </c>
      <c r="AD485">
        <v>0</v>
      </c>
      <c r="AE485">
        <v>0</v>
      </c>
      <c r="AF485">
        <v>17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s="2">
        <v>15217</v>
      </c>
      <c r="AQ485">
        <f t="shared" si="17"/>
        <v>15217</v>
      </c>
      <c r="AR485" s="5">
        <f>VLOOKUP(F485,'[2]SCP_24-25'!$A:$D,4,0)</f>
        <v>91.25</v>
      </c>
      <c r="AS485" s="5">
        <f t="shared" si="16"/>
        <v>1388551.25</v>
      </c>
    </row>
    <row r="486" spans="1:45" x14ac:dyDescent="0.3">
      <c r="A486" s="1">
        <v>45900.961111111108</v>
      </c>
      <c r="B486" t="s">
        <v>617</v>
      </c>
      <c r="C486" t="s">
        <v>618</v>
      </c>
      <c r="D486" t="s">
        <v>1298</v>
      </c>
      <c r="F486" t="s">
        <v>2101</v>
      </c>
      <c r="G486" t="s">
        <v>1299</v>
      </c>
      <c r="H486" t="s">
        <v>66</v>
      </c>
      <c r="I486" t="s">
        <v>415</v>
      </c>
      <c r="J486">
        <v>10</v>
      </c>
      <c r="K486">
        <v>19</v>
      </c>
      <c r="L486">
        <v>10</v>
      </c>
      <c r="M486">
        <v>11</v>
      </c>
      <c r="N486">
        <v>35832</v>
      </c>
      <c r="O486">
        <v>5009</v>
      </c>
      <c r="P486">
        <v>0</v>
      </c>
      <c r="Q486">
        <v>13</v>
      </c>
      <c r="R486">
        <v>1</v>
      </c>
      <c r="S486" t="s">
        <v>44</v>
      </c>
      <c r="T486" t="s">
        <v>44</v>
      </c>
      <c r="U486" t="s">
        <v>44</v>
      </c>
      <c r="V486">
        <v>11989</v>
      </c>
      <c r="W486" t="s">
        <v>44</v>
      </c>
      <c r="X486" t="s">
        <v>44</v>
      </c>
      <c r="Y486">
        <v>11989</v>
      </c>
      <c r="Z486" t="s">
        <v>44</v>
      </c>
      <c r="AA486">
        <v>81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 s="2">
        <v>17079</v>
      </c>
      <c r="AQ486">
        <f t="shared" si="17"/>
        <v>17079</v>
      </c>
      <c r="AR486" s="5">
        <f>VLOOKUP(F486,'[2]SCP_24-25'!$A:$D,4,0)</f>
        <v>27.16</v>
      </c>
      <c r="AS486" s="5">
        <f t="shared" si="16"/>
        <v>463865.64</v>
      </c>
    </row>
    <row r="487" spans="1:45" x14ac:dyDescent="0.3">
      <c r="A487" s="1">
        <v>45900.961111111108</v>
      </c>
      <c r="B487" t="s">
        <v>617</v>
      </c>
      <c r="C487" t="s">
        <v>618</v>
      </c>
      <c r="D487" t="s">
        <v>1300</v>
      </c>
      <c r="F487" t="s">
        <v>2102</v>
      </c>
      <c r="G487" t="s">
        <v>1301</v>
      </c>
      <c r="H487" t="s">
        <v>66</v>
      </c>
      <c r="I487" t="s">
        <v>415</v>
      </c>
      <c r="J487">
        <v>25</v>
      </c>
      <c r="K487">
        <v>19</v>
      </c>
      <c r="L487">
        <v>10</v>
      </c>
      <c r="M487">
        <v>11</v>
      </c>
      <c r="N487">
        <v>14304</v>
      </c>
      <c r="O487">
        <v>0</v>
      </c>
      <c r="P487">
        <v>0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>
        <v>14304</v>
      </c>
      <c r="W487" t="s">
        <v>44</v>
      </c>
      <c r="X487" t="s">
        <v>44</v>
      </c>
      <c r="Y487">
        <v>14304</v>
      </c>
      <c r="Z487" t="s">
        <v>44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s="2">
        <v>14304</v>
      </c>
      <c r="AQ487">
        <f t="shared" si="17"/>
        <v>14304</v>
      </c>
      <c r="AR487" s="5">
        <f>VLOOKUP(F487,'[2]SCP_24-25'!$A:$D,4,0)</f>
        <v>10.029999999999999</v>
      </c>
      <c r="AS487" s="5">
        <f t="shared" si="16"/>
        <v>143469.12</v>
      </c>
    </row>
    <row r="488" spans="1:45" x14ac:dyDescent="0.3">
      <c r="A488" s="1">
        <v>45900.961111111108</v>
      </c>
      <c r="B488" t="s">
        <v>617</v>
      </c>
      <c r="C488" t="s">
        <v>618</v>
      </c>
      <c r="D488" t="s">
        <v>137</v>
      </c>
      <c r="F488" t="s">
        <v>1546</v>
      </c>
      <c r="G488" t="s">
        <v>138</v>
      </c>
      <c r="H488" t="s">
        <v>66</v>
      </c>
      <c r="I488" t="s">
        <v>43</v>
      </c>
      <c r="J488">
        <v>176</v>
      </c>
      <c r="K488">
        <v>19</v>
      </c>
      <c r="L488">
        <v>9.5</v>
      </c>
      <c r="M488">
        <v>11</v>
      </c>
      <c r="N488">
        <v>637237</v>
      </c>
      <c r="O488">
        <v>1180</v>
      </c>
      <c r="P488">
        <v>0</v>
      </c>
      <c r="Q488">
        <v>240</v>
      </c>
      <c r="R488">
        <v>49374</v>
      </c>
      <c r="S488" t="s">
        <v>44</v>
      </c>
      <c r="T488" t="s">
        <v>44</v>
      </c>
      <c r="U488" t="s">
        <v>44</v>
      </c>
      <c r="V488">
        <v>25220</v>
      </c>
      <c r="W488">
        <v>809</v>
      </c>
      <c r="X488" t="s">
        <v>44</v>
      </c>
      <c r="Y488">
        <v>25203</v>
      </c>
      <c r="Z488" t="s">
        <v>44</v>
      </c>
      <c r="AA488">
        <v>12</v>
      </c>
      <c r="AB488">
        <v>0</v>
      </c>
      <c r="AC488">
        <v>0</v>
      </c>
      <c r="AD488">
        <v>0</v>
      </c>
      <c r="AE488">
        <v>113</v>
      </c>
      <c r="AF488">
        <v>26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s="2">
        <v>26412</v>
      </c>
      <c r="AQ488">
        <f t="shared" si="17"/>
        <v>26412</v>
      </c>
      <c r="AR488" s="5">
        <f>VLOOKUP(F488,'[2]SCP_24-25'!$A:$D,4,0)</f>
        <v>94.530000000000015</v>
      </c>
      <c r="AS488" s="5">
        <f t="shared" si="16"/>
        <v>2496726.3600000003</v>
      </c>
    </row>
    <row r="489" spans="1:45" x14ac:dyDescent="0.3">
      <c r="A489" s="1">
        <v>45900.961111111108</v>
      </c>
      <c r="B489" t="s">
        <v>617</v>
      </c>
      <c r="C489" t="s">
        <v>618</v>
      </c>
      <c r="D489" t="s">
        <v>205</v>
      </c>
      <c r="E489" t="s">
        <v>206</v>
      </c>
      <c r="F489" t="s">
        <v>1579</v>
      </c>
      <c r="G489" t="s">
        <v>207</v>
      </c>
      <c r="H489" t="s">
        <v>66</v>
      </c>
      <c r="I489" t="s">
        <v>43</v>
      </c>
      <c r="J489">
        <v>23</v>
      </c>
      <c r="K489">
        <v>19</v>
      </c>
      <c r="L489">
        <v>9.5</v>
      </c>
      <c r="M489">
        <v>11</v>
      </c>
      <c r="N489">
        <v>395187</v>
      </c>
      <c r="O489">
        <v>10</v>
      </c>
      <c r="P489">
        <v>0</v>
      </c>
      <c r="Q489">
        <v>20</v>
      </c>
      <c r="R489">
        <v>11174</v>
      </c>
      <c r="S489" t="s">
        <v>44</v>
      </c>
      <c r="T489" t="s">
        <v>44</v>
      </c>
      <c r="U489" t="s">
        <v>44</v>
      </c>
      <c r="V489">
        <v>23015</v>
      </c>
      <c r="W489" t="s">
        <v>44</v>
      </c>
      <c r="X489" t="s">
        <v>44</v>
      </c>
      <c r="Y489">
        <v>23015</v>
      </c>
      <c r="Z489" t="s">
        <v>44</v>
      </c>
      <c r="AA489">
        <v>2</v>
      </c>
      <c r="AB489">
        <v>0</v>
      </c>
      <c r="AC489">
        <v>0</v>
      </c>
      <c r="AD489">
        <v>0</v>
      </c>
      <c r="AE489">
        <v>4</v>
      </c>
      <c r="AF489">
        <v>71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s="2">
        <v>23027</v>
      </c>
      <c r="AQ489">
        <f t="shared" si="17"/>
        <v>23027</v>
      </c>
      <c r="AR489" s="5">
        <f>VLOOKUP(F489,'[2]SCP_24-25'!$A:$D,4,0)</f>
        <v>16.38</v>
      </c>
      <c r="AS489" s="5">
        <f t="shared" si="16"/>
        <v>377182.25999999995</v>
      </c>
    </row>
    <row r="490" spans="1:45" x14ac:dyDescent="0.3">
      <c r="A490" s="1">
        <v>45900.961111111108</v>
      </c>
      <c r="B490" t="s">
        <v>617</v>
      </c>
      <c r="C490" t="s">
        <v>618</v>
      </c>
      <c r="D490" t="s">
        <v>210</v>
      </c>
      <c r="E490" t="s">
        <v>211</v>
      </c>
      <c r="F490" t="s">
        <v>1581</v>
      </c>
      <c r="G490" t="s">
        <v>212</v>
      </c>
      <c r="H490" t="s">
        <v>66</v>
      </c>
      <c r="I490" t="s">
        <v>43</v>
      </c>
      <c r="J490">
        <v>23</v>
      </c>
      <c r="K490">
        <v>19</v>
      </c>
      <c r="L490">
        <v>9.5</v>
      </c>
      <c r="M490">
        <v>11</v>
      </c>
      <c r="N490">
        <v>293632</v>
      </c>
      <c r="O490">
        <v>4</v>
      </c>
      <c r="P490">
        <v>0</v>
      </c>
      <c r="Q490">
        <v>211</v>
      </c>
      <c r="R490">
        <v>11486</v>
      </c>
      <c r="S490" t="s">
        <v>44</v>
      </c>
      <c r="T490" t="s">
        <v>44</v>
      </c>
      <c r="U490" t="s">
        <v>44</v>
      </c>
      <c r="V490">
        <v>22895</v>
      </c>
      <c r="W490">
        <v>6</v>
      </c>
      <c r="X490" t="s">
        <v>44</v>
      </c>
      <c r="Y490">
        <v>22895</v>
      </c>
      <c r="Z490" t="s">
        <v>44</v>
      </c>
      <c r="AA490">
        <v>4</v>
      </c>
      <c r="AB490">
        <v>0</v>
      </c>
      <c r="AC490">
        <v>0</v>
      </c>
      <c r="AD490">
        <v>0</v>
      </c>
      <c r="AE490">
        <v>0</v>
      </c>
      <c r="AF490">
        <v>50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s="2">
        <v>22903</v>
      </c>
      <c r="AQ490">
        <f t="shared" si="17"/>
        <v>22903</v>
      </c>
      <c r="AR490" s="5">
        <f>VLOOKUP(F490,'[2]SCP_24-25'!$A:$D,4,0)</f>
        <v>11.69</v>
      </c>
      <c r="AS490" s="5">
        <f t="shared" si="16"/>
        <v>267736.07</v>
      </c>
    </row>
    <row r="491" spans="1:45" x14ac:dyDescent="0.3">
      <c r="A491" s="1">
        <v>45900.961111111108</v>
      </c>
      <c r="B491" t="s">
        <v>617</v>
      </c>
      <c r="C491" t="s">
        <v>618</v>
      </c>
      <c r="D491" t="s">
        <v>1302</v>
      </c>
      <c r="E491" t="s">
        <v>1303</v>
      </c>
      <c r="F491" t="s">
        <v>2103</v>
      </c>
      <c r="G491" t="s">
        <v>1304</v>
      </c>
      <c r="H491" t="s">
        <v>66</v>
      </c>
      <c r="I491" t="s">
        <v>43</v>
      </c>
      <c r="J491">
        <v>10</v>
      </c>
      <c r="K491">
        <v>19</v>
      </c>
      <c r="L491">
        <v>11</v>
      </c>
      <c r="M491">
        <v>9.5</v>
      </c>
      <c r="N491">
        <v>174336</v>
      </c>
      <c r="O491">
        <v>4</v>
      </c>
      <c r="P491">
        <v>0</v>
      </c>
      <c r="Q491">
        <v>6</v>
      </c>
      <c r="R491">
        <v>10706</v>
      </c>
      <c r="S491" t="s">
        <v>44</v>
      </c>
      <c r="T491">
        <v>8</v>
      </c>
      <c r="U491" t="s">
        <v>44</v>
      </c>
      <c r="V491">
        <v>23803</v>
      </c>
      <c r="W491" t="s">
        <v>44</v>
      </c>
      <c r="X491" t="s">
        <v>44</v>
      </c>
      <c r="Y491">
        <v>23803</v>
      </c>
      <c r="Z491" t="s">
        <v>44</v>
      </c>
      <c r="AA491">
        <v>1</v>
      </c>
      <c r="AB491">
        <v>0</v>
      </c>
      <c r="AC491">
        <v>0</v>
      </c>
      <c r="AD491">
        <v>0</v>
      </c>
      <c r="AE491">
        <v>263</v>
      </c>
      <c r="AF491">
        <v>32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s="2">
        <v>23808</v>
      </c>
      <c r="AQ491">
        <f t="shared" si="17"/>
        <v>23808</v>
      </c>
      <c r="AR491" s="5">
        <f>VLOOKUP(F491,'[2]SCP_24-25'!$A:$D,4,0)</f>
        <v>18.22</v>
      </c>
      <c r="AS491" s="5">
        <f t="shared" si="16"/>
        <v>433781.75999999995</v>
      </c>
    </row>
    <row r="492" spans="1:45" x14ac:dyDescent="0.3">
      <c r="A492" s="1">
        <v>45900.961111111108</v>
      </c>
      <c r="B492" t="s">
        <v>617</v>
      </c>
      <c r="C492" t="s">
        <v>618</v>
      </c>
      <c r="D492" t="s">
        <v>1305</v>
      </c>
      <c r="E492" t="s">
        <v>1306</v>
      </c>
      <c r="F492" t="s">
        <v>2104</v>
      </c>
      <c r="G492" t="s">
        <v>1307</v>
      </c>
      <c r="H492" t="s">
        <v>66</v>
      </c>
      <c r="I492" t="s">
        <v>43</v>
      </c>
      <c r="J492">
        <v>10</v>
      </c>
      <c r="K492">
        <v>19</v>
      </c>
      <c r="L492">
        <v>11</v>
      </c>
      <c r="M492">
        <v>9.5</v>
      </c>
      <c r="N492">
        <v>148061</v>
      </c>
      <c r="O492">
        <v>0</v>
      </c>
      <c r="P492">
        <v>0</v>
      </c>
      <c r="Q492">
        <v>7</v>
      </c>
      <c r="R492">
        <v>5175</v>
      </c>
      <c r="S492" t="s">
        <v>44</v>
      </c>
      <c r="T492" t="s">
        <v>44</v>
      </c>
      <c r="U492" t="s">
        <v>44</v>
      </c>
      <c r="V492">
        <v>19610</v>
      </c>
      <c r="W492" t="s">
        <v>44</v>
      </c>
      <c r="X492" t="s">
        <v>44</v>
      </c>
      <c r="Y492">
        <v>19610</v>
      </c>
      <c r="Z492" t="s">
        <v>44</v>
      </c>
      <c r="AA492">
        <v>3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s="2">
        <v>19613</v>
      </c>
      <c r="AQ492">
        <f t="shared" si="17"/>
        <v>19613</v>
      </c>
      <c r="AR492" s="5">
        <f>VLOOKUP(F492,'[2]SCP_24-25'!$A:$D,4,0)</f>
        <v>16.059999999999999</v>
      </c>
      <c r="AS492" s="5">
        <f t="shared" si="16"/>
        <v>314984.77999999997</v>
      </c>
    </row>
    <row r="493" spans="1:45" x14ac:dyDescent="0.3">
      <c r="A493" s="1">
        <v>45900.961111111108</v>
      </c>
      <c r="B493" t="s">
        <v>617</v>
      </c>
      <c r="C493" t="s">
        <v>618</v>
      </c>
      <c r="D493" t="s">
        <v>328</v>
      </c>
      <c r="E493" t="s">
        <v>329</v>
      </c>
      <c r="F493" t="s">
        <v>1626</v>
      </c>
      <c r="G493" t="s">
        <v>330</v>
      </c>
      <c r="H493" t="s">
        <v>130</v>
      </c>
      <c r="I493" t="s">
        <v>43</v>
      </c>
      <c r="J493">
        <v>15.82</v>
      </c>
      <c r="K493">
        <v>19</v>
      </c>
      <c r="L493">
        <v>10</v>
      </c>
      <c r="M493">
        <v>11</v>
      </c>
      <c r="N493">
        <v>188318</v>
      </c>
      <c r="O493">
        <v>291</v>
      </c>
      <c r="P493">
        <v>0</v>
      </c>
      <c r="Q493">
        <v>22</v>
      </c>
      <c r="R493">
        <v>8355</v>
      </c>
      <c r="S493" t="s">
        <v>44</v>
      </c>
      <c r="T493" t="s">
        <v>44</v>
      </c>
      <c r="U493" t="s">
        <v>44</v>
      </c>
      <c r="V493">
        <v>25687</v>
      </c>
      <c r="W493">
        <v>466</v>
      </c>
      <c r="X493" t="s">
        <v>44</v>
      </c>
      <c r="Y493">
        <v>25671</v>
      </c>
      <c r="Z493" t="s">
        <v>44</v>
      </c>
      <c r="AA493">
        <v>4</v>
      </c>
      <c r="AB493">
        <v>0</v>
      </c>
      <c r="AC493">
        <v>0</v>
      </c>
      <c r="AD493">
        <v>0</v>
      </c>
      <c r="AE493">
        <v>0</v>
      </c>
      <c r="AF493">
        <v>4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s="2">
        <v>25982</v>
      </c>
      <c r="AQ493">
        <f t="shared" si="17"/>
        <v>25982</v>
      </c>
      <c r="AR493" s="5">
        <f>VLOOKUP(F493,'[2]SCP_24-25'!$A:$D,4,0)</f>
        <v>51.93</v>
      </c>
      <c r="AS493" s="5">
        <f t="shared" si="16"/>
        <v>1349245.26</v>
      </c>
    </row>
    <row r="494" spans="1:45" x14ac:dyDescent="0.3">
      <c r="A494" s="1">
        <v>45900.961111111108</v>
      </c>
      <c r="B494" t="s">
        <v>617</v>
      </c>
      <c r="C494" t="s">
        <v>618</v>
      </c>
      <c r="D494" t="s">
        <v>401</v>
      </c>
      <c r="F494" t="s">
        <v>1658</v>
      </c>
      <c r="G494" t="s">
        <v>402</v>
      </c>
      <c r="H494" t="s">
        <v>66</v>
      </c>
      <c r="I494" t="s">
        <v>43</v>
      </c>
      <c r="J494">
        <v>59.02</v>
      </c>
      <c r="K494">
        <v>19</v>
      </c>
      <c r="L494">
        <v>11</v>
      </c>
      <c r="M494">
        <v>10</v>
      </c>
      <c r="N494">
        <v>341692</v>
      </c>
      <c r="O494">
        <v>842</v>
      </c>
      <c r="P494">
        <v>0</v>
      </c>
      <c r="Q494">
        <v>49</v>
      </c>
      <c r="R494">
        <v>5084</v>
      </c>
      <c r="S494" t="s">
        <v>44</v>
      </c>
      <c r="T494" t="s">
        <v>44</v>
      </c>
      <c r="U494" t="s">
        <v>44</v>
      </c>
      <c r="V494">
        <v>21332</v>
      </c>
      <c r="W494">
        <v>396</v>
      </c>
      <c r="X494" t="s">
        <v>44</v>
      </c>
      <c r="Y494">
        <v>21332</v>
      </c>
      <c r="Z494" t="s">
        <v>44</v>
      </c>
      <c r="AA494">
        <v>7</v>
      </c>
      <c r="AB494">
        <v>0</v>
      </c>
      <c r="AC494">
        <v>0</v>
      </c>
      <c r="AD494">
        <v>0</v>
      </c>
      <c r="AE494">
        <v>0</v>
      </c>
      <c r="AF494">
        <v>32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s="2">
        <v>22181</v>
      </c>
      <c r="AQ494">
        <f t="shared" si="17"/>
        <v>22181</v>
      </c>
      <c r="AR494" s="5">
        <f>VLOOKUP(F494,'[2]SCP_24-25'!$A:$D,4,0)</f>
        <v>61.06</v>
      </c>
      <c r="AS494" s="5">
        <f t="shared" si="16"/>
        <v>1354371.86</v>
      </c>
    </row>
    <row r="495" spans="1:45" x14ac:dyDescent="0.3">
      <c r="A495" s="1">
        <v>45900.961111111108</v>
      </c>
      <c r="B495" t="s">
        <v>617</v>
      </c>
      <c r="C495" t="s">
        <v>618</v>
      </c>
      <c r="D495" t="s">
        <v>437</v>
      </c>
      <c r="F495" t="s">
        <v>1674</v>
      </c>
      <c r="G495" t="s">
        <v>438</v>
      </c>
      <c r="H495" t="s">
        <v>66</v>
      </c>
      <c r="I495" t="s">
        <v>43</v>
      </c>
      <c r="J495">
        <v>46.59</v>
      </c>
      <c r="K495">
        <v>19</v>
      </c>
      <c r="L495">
        <v>10</v>
      </c>
      <c r="M495">
        <v>11</v>
      </c>
      <c r="N495">
        <v>298354</v>
      </c>
      <c r="O495">
        <v>3740</v>
      </c>
      <c r="P495">
        <v>0</v>
      </c>
      <c r="Q495">
        <v>224</v>
      </c>
      <c r="R495">
        <v>64</v>
      </c>
      <c r="S495" t="s">
        <v>44</v>
      </c>
      <c r="T495" t="s">
        <v>44</v>
      </c>
      <c r="U495" t="s">
        <v>44</v>
      </c>
      <c r="V495">
        <v>20872</v>
      </c>
      <c r="W495">
        <v>16</v>
      </c>
      <c r="X495" t="s">
        <v>44</v>
      </c>
      <c r="Y495">
        <v>20872</v>
      </c>
      <c r="Z495" t="s">
        <v>44</v>
      </c>
      <c r="AA495">
        <v>200</v>
      </c>
      <c r="AB495">
        <v>0</v>
      </c>
      <c r="AC495">
        <v>0</v>
      </c>
      <c r="AD495">
        <v>0</v>
      </c>
      <c r="AE495">
        <v>0</v>
      </c>
      <c r="AF495">
        <v>18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s="2">
        <v>24812</v>
      </c>
      <c r="AQ495">
        <f t="shared" si="17"/>
        <v>24812</v>
      </c>
      <c r="AR495" s="5">
        <f>VLOOKUP(F495,'[2]SCP_24-25'!$A:$D,4,0)</f>
        <v>28.199999999999996</v>
      </c>
      <c r="AS495" s="5">
        <f t="shared" si="16"/>
        <v>699698.39999999991</v>
      </c>
    </row>
    <row r="496" spans="1:45" x14ac:dyDescent="0.3">
      <c r="A496" s="1">
        <v>45900.961111111108</v>
      </c>
      <c r="B496" t="s">
        <v>617</v>
      </c>
      <c r="C496" t="s">
        <v>618</v>
      </c>
      <c r="D496" t="s">
        <v>1308</v>
      </c>
      <c r="F496" t="s">
        <v>2105</v>
      </c>
      <c r="G496" t="s">
        <v>1309</v>
      </c>
      <c r="H496" t="s">
        <v>66</v>
      </c>
      <c r="I496" t="s">
        <v>43</v>
      </c>
      <c r="J496">
        <v>8</v>
      </c>
      <c r="K496">
        <v>19</v>
      </c>
      <c r="L496">
        <v>10</v>
      </c>
      <c r="M496">
        <v>11</v>
      </c>
      <c r="N496">
        <v>174485</v>
      </c>
      <c r="O496">
        <v>7823</v>
      </c>
      <c r="P496">
        <v>0</v>
      </c>
      <c r="Q496" t="s">
        <v>44</v>
      </c>
      <c r="R496">
        <v>2</v>
      </c>
      <c r="S496" t="s">
        <v>44</v>
      </c>
      <c r="T496" t="s">
        <v>44</v>
      </c>
      <c r="U496" t="s">
        <v>44</v>
      </c>
      <c r="V496">
        <v>23775</v>
      </c>
      <c r="W496" t="s">
        <v>44</v>
      </c>
      <c r="X496" t="s">
        <v>44</v>
      </c>
      <c r="Y496">
        <v>23775</v>
      </c>
      <c r="Z496" t="s">
        <v>44</v>
      </c>
      <c r="AA496">
        <v>21</v>
      </c>
      <c r="AB496">
        <v>0</v>
      </c>
      <c r="AC496">
        <v>0</v>
      </c>
      <c r="AD496">
        <v>0</v>
      </c>
      <c r="AE496">
        <v>0</v>
      </c>
      <c r="AF496">
        <v>11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s="2">
        <v>31619</v>
      </c>
      <c r="AQ496">
        <f t="shared" si="17"/>
        <v>31619</v>
      </c>
      <c r="AR496" s="5">
        <f>VLOOKUP(F496,'[2]SCP_24-25'!$A:$D,4,0)</f>
        <v>14.949999999999998</v>
      </c>
      <c r="AS496" s="5">
        <f t="shared" si="16"/>
        <v>472704.04999999993</v>
      </c>
    </row>
    <row r="497" spans="1:45" x14ac:dyDescent="0.3">
      <c r="A497" s="1">
        <v>45900.961111111108</v>
      </c>
      <c r="B497" t="s">
        <v>617</v>
      </c>
      <c r="C497" t="s">
        <v>618</v>
      </c>
      <c r="D497" t="s">
        <v>1310</v>
      </c>
      <c r="F497" t="s">
        <v>2106</v>
      </c>
      <c r="G497" t="s">
        <v>1311</v>
      </c>
      <c r="H497" t="s">
        <v>66</v>
      </c>
      <c r="I497" t="s">
        <v>415</v>
      </c>
      <c r="J497">
        <v>15</v>
      </c>
      <c r="K497">
        <v>19</v>
      </c>
      <c r="L497">
        <v>10</v>
      </c>
      <c r="M497">
        <v>11</v>
      </c>
      <c r="N497">
        <v>20400</v>
      </c>
      <c r="O497">
        <v>0</v>
      </c>
      <c r="P497">
        <v>0</v>
      </c>
      <c r="Q497" t="s">
        <v>44</v>
      </c>
      <c r="R497" t="s">
        <v>44</v>
      </c>
      <c r="S497" t="s">
        <v>44</v>
      </c>
      <c r="T497">
        <v>10200</v>
      </c>
      <c r="U497" t="s">
        <v>44</v>
      </c>
      <c r="V497">
        <v>20400</v>
      </c>
      <c r="W497" t="s">
        <v>44</v>
      </c>
      <c r="X497" t="s">
        <v>44</v>
      </c>
      <c r="Y497">
        <v>20400</v>
      </c>
      <c r="Z497" t="s">
        <v>44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s="2">
        <v>20400</v>
      </c>
      <c r="AQ497">
        <f t="shared" si="17"/>
        <v>20400</v>
      </c>
      <c r="AR497" s="5">
        <f>VLOOKUP(F497,'[2]SCP_24-25'!$A:$D,4,0)</f>
        <v>7.92</v>
      </c>
      <c r="AS497" s="5">
        <f t="shared" si="16"/>
        <v>161568</v>
      </c>
    </row>
    <row r="498" spans="1:45" x14ac:dyDescent="0.3">
      <c r="A498" s="1">
        <v>45900.961111111108</v>
      </c>
      <c r="B498" t="s">
        <v>617</v>
      </c>
      <c r="C498" t="s">
        <v>618</v>
      </c>
      <c r="D498" t="s">
        <v>151</v>
      </c>
      <c r="F498" t="s">
        <v>1553</v>
      </c>
      <c r="G498" t="s">
        <v>152</v>
      </c>
      <c r="H498" t="s">
        <v>66</v>
      </c>
      <c r="I498" t="s">
        <v>43</v>
      </c>
      <c r="J498">
        <v>119.96</v>
      </c>
      <c r="K498">
        <v>19</v>
      </c>
      <c r="L498">
        <v>9.5</v>
      </c>
      <c r="M498">
        <v>11</v>
      </c>
      <c r="N498">
        <v>302568</v>
      </c>
      <c r="O498">
        <v>1137</v>
      </c>
      <c r="P498">
        <v>0</v>
      </c>
      <c r="Q498">
        <v>2081</v>
      </c>
      <c r="R498">
        <v>32879</v>
      </c>
      <c r="S498" t="s">
        <v>44</v>
      </c>
      <c r="T498">
        <v>1</v>
      </c>
      <c r="U498" t="s">
        <v>44</v>
      </c>
      <c r="V498">
        <v>4231</v>
      </c>
      <c r="W498">
        <v>614</v>
      </c>
      <c r="X498" t="s">
        <v>44</v>
      </c>
      <c r="Y498">
        <v>4198</v>
      </c>
      <c r="Z498" t="s">
        <v>44</v>
      </c>
      <c r="AA498">
        <v>9</v>
      </c>
      <c r="AB498">
        <v>0</v>
      </c>
      <c r="AC498">
        <v>0</v>
      </c>
      <c r="AD498">
        <v>0</v>
      </c>
      <c r="AE498">
        <v>120</v>
      </c>
      <c r="AF498">
        <v>8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 s="2">
        <v>5377</v>
      </c>
      <c r="AQ498">
        <f t="shared" si="17"/>
        <v>5377</v>
      </c>
      <c r="AR498" s="5">
        <f>VLOOKUP(F498,'[2]SCP_24-25'!$A:$D,4,0)</f>
        <v>25.264285714285712</v>
      </c>
      <c r="AS498" s="5">
        <f t="shared" si="16"/>
        <v>135846.06428571427</v>
      </c>
    </row>
    <row r="499" spans="1:45" x14ac:dyDescent="0.3">
      <c r="A499" s="1">
        <v>45900.961111111108</v>
      </c>
      <c r="B499" t="s">
        <v>617</v>
      </c>
      <c r="C499" t="s">
        <v>618</v>
      </c>
      <c r="D499" t="s">
        <v>169</v>
      </c>
      <c r="F499" t="s">
        <v>1562</v>
      </c>
      <c r="G499" t="s">
        <v>170</v>
      </c>
      <c r="H499" t="s">
        <v>66</v>
      </c>
      <c r="I499" t="s">
        <v>43</v>
      </c>
      <c r="J499">
        <v>89.29</v>
      </c>
      <c r="K499">
        <v>19</v>
      </c>
      <c r="L499">
        <v>11</v>
      </c>
      <c r="M499">
        <v>9.5</v>
      </c>
      <c r="N499">
        <v>240568</v>
      </c>
      <c r="O499">
        <v>250</v>
      </c>
      <c r="P499">
        <v>0</v>
      </c>
      <c r="Q499">
        <v>286</v>
      </c>
      <c r="R499">
        <v>47095</v>
      </c>
      <c r="S499" t="s">
        <v>44</v>
      </c>
      <c r="T499" t="s">
        <v>44</v>
      </c>
      <c r="U499" t="s">
        <v>44</v>
      </c>
      <c r="V499">
        <v>5517</v>
      </c>
      <c r="W499">
        <v>38</v>
      </c>
      <c r="X499" t="s">
        <v>44</v>
      </c>
      <c r="Y499">
        <v>5411</v>
      </c>
      <c r="Z499" t="s">
        <v>44</v>
      </c>
      <c r="AA499">
        <v>6</v>
      </c>
      <c r="AB499">
        <v>0</v>
      </c>
      <c r="AC499">
        <v>0</v>
      </c>
      <c r="AD499">
        <v>0</v>
      </c>
      <c r="AE499">
        <v>749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s="2">
        <v>5773</v>
      </c>
      <c r="AQ499">
        <f t="shared" si="17"/>
        <v>5773</v>
      </c>
      <c r="AR499" s="5">
        <f>VLOOKUP(F499,'[2]SCP_24-25'!$A:$D,4,0)</f>
        <v>121.49</v>
      </c>
      <c r="AS499" s="5">
        <f t="shared" si="16"/>
        <v>701361.77</v>
      </c>
    </row>
    <row r="500" spans="1:45" x14ac:dyDescent="0.3">
      <c r="A500" s="1">
        <v>45900.961111111108</v>
      </c>
      <c r="B500" t="s">
        <v>617</v>
      </c>
      <c r="C500" t="s">
        <v>618</v>
      </c>
      <c r="D500" t="s">
        <v>171</v>
      </c>
      <c r="F500" t="s">
        <v>1563</v>
      </c>
      <c r="G500" t="s">
        <v>172</v>
      </c>
      <c r="H500" t="s">
        <v>66</v>
      </c>
      <c r="I500" t="s">
        <v>43</v>
      </c>
      <c r="J500">
        <v>99.85</v>
      </c>
      <c r="K500">
        <v>19</v>
      </c>
      <c r="L500">
        <v>9.5</v>
      </c>
      <c r="M500">
        <v>11</v>
      </c>
      <c r="N500">
        <v>344874</v>
      </c>
      <c r="O500">
        <v>221</v>
      </c>
      <c r="P500">
        <v>0</v>
      </c>
      <c r="Q500">
        <v>305</v>
      </c>
      <c r="R500">
        <v>43307</v>
      </c>
      <c r="S500" t="s">
        <v>44</v>
      </c>
      <c r="T500" t="s">
        <v>44</v>
      </c>
      <c r="U500" t="s">
        <v>44</v>
      </c>
      <c r="V500">
        <v>7150</v>
      </c>
      <c r="W500">
        <v>180</v>
      </c>
      <c r="X500" t="s">
        <v>44</v>
      </c>
      <c r="Y500">
        <v>7113</v>
      </c>
      <c r="Z500" t="s">
        <v>44</v>
      </c>
      <c r="AA500">
        <v>12</v>
      </c>
      <c r="AB500">
        <v>0</v>
      </c>
      <c r="AC500">
        <v>0</v>
      </c>
      <c r="AD500">
        <v>0</v>
      </c>
      <c r="AE500">
        <v>329</v>
      </c>
      <c r="AF500">
        <v>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s="2">
        <v>7383</v>
      </c>
      <c r="AQ500">
        <f t="shared" si="17"/>
        <v>7383</v>
      </c>
      <c r="AR500" s="5">
        <f>VLOOKUP(F500,'[2]SCP_24-25'!$A:$D,4,0)</f>
        <v>75.69</v>
      </c>
      <c r="AS500" s="5">
        <f t="shared" si="16"/>
        <v>558819.27</v>
      </c>
    </row>
    <row r="501" spans="1:45" x14ac:dyDescent="0.3">
      <c r="A501" s="1">
        <v>45900.961111111108</v>
      </c>
      <c r="B501" t="s">
        <v>617</v>
      </c>
      <c r="C501" t="s">
        <v>618</v>
      </c>
      <c r="D501" t="s">
        <v>185</v>
      </c>
      <c r="F501" t="s">
        <v>1570</v>
      </c>
      <c r="G501" t="s">
        <v>186</v>
      </c>
      <c r="H501" t="s">
        <v>66</v>
      </c>
      <c r="I501" t="s">
        <v>43</v>
      </c>
      <c r="J501">
        <v>100</v>
      </c>
      <c r="K501">
        <v>19</v>
      </c>
      <c r="L501">
        <v>9.5</v>
      </c>
      <c r="M501">
        <v>11</v>
      </c>
      <c r="N501">
        <v>272678</v>
      </c>
      <c r="O501">
        <v>1038</v>
      </c>
      <c r="P501">
        <v>0</v>
      </c>
      <c r="Q501">
        <v>314</v>
      </c>
      <c r="R501">
        <v>47955</v>
      </c>
      <c r="S501" t="s">
        <v>44</v>
      </c>
      <c r="T501" t="s">
        <v>44</v>
      </c>
      <c r="U501" t="s">
        <v>44</v>
      </c>
      <c r="V501">
        <v>5092</v>
      </c>
      <c r="W501">
        <v>1179</v>
      </c>
      <c r="X501" t="s">
        <v>44</v>
      </c>
      <c r="Y501">
        <v>4981</v>
      </c>
      <c r="Z501" t="s">
        <v>44</v>
      </c>
      <c r="AA501">
        <v>9</v>
      </c>
      <c r="AB501">
        <v>0</v>
      </c>
      <c r="AC501">
        <v>0</v>
      </c>
      <c r="AD501">
        <v>0</v>
      </c>
      <c r="AE501">
        <v>81</v>
      </c>
      <c r="AF501">
        <v>5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s="2">
        <v>6139</v>
      </c>
      <c r="AQ501">
        <f t="shared" si="17"/>
        <v>6139</v>
      </c>
      <c r="AR501" s="5">
        <f>VLOOKUP(F501,'[2]SCP_24-25'!$A:$D,4,0)</f>
        <v>50.46</v>
      </c>
      <c r="AS501" s="5">
        <f t="shared" si="16"/>
        <v>309773.94</v>
      </c>
    </row>
    <row r="502" spans="1:45" x14ac:dyDescent="0.3">
      <c r="A502" s="1">
        <v>45900.961111111108</v>
      </c>
      <c r="B502" t="s">
        <v>617</v>
      </c>
      <c r="C502" t="s">
        <v>618</v>
      </c>
      <c r="D502" t="s">
        <v>189</v>
      </c>
      <c r="F502" t="s">
        <v>1572</v>
      </c>
      <c r="G502" t="s">
        <v>190</v>
      </c>
      <c r="H502" t="s">
        <v>66</v>
      </c>
      <c r="I502" t="s">
        <v>43</v>
      </c>
      <c r="J502">
        <v>115</v>
      </c>
      <c r="K502">
        <v>19</v>
      </c>
      <c r="L502">
        <v>9.5</v>
      </c>
      <c r="M502">
        <v>11</v>
      </c>
      <c r="N502">
        <v>232698</v>
      </c>
      <c r="O502">
        <v>485</v>
      </c>
      <c r="P502">
        <v>0</v>
      </c>
      <c r="Q502">
        <v>153</v>
      </c>
      <c r="R502">
        <v>26207</v>
      </c>
      <c r="S502" t="s">
        <v>44</v>
      </c>
      <c r="T502" t="s">
        <v>44</v>
      </c>
      <c r="U502" t="s">
        <v>44</v>
      </c>
      <c r="V502">
        <v>6931</v>
      </c>
      <c r="W502">
        <v>989</v>
      </c>
      <c r="X502" t="s">
        <v>44</v>
      </c>
      <c r="Y502">
        <v>6784</v>
      </c>
      <c r="Z502" t="s">
        <v>44</v>
      </c>
      <c r="AA502">
        <v>7</v>
      </c>
      <c r="AB502">
        <v>0</v>
      </c>
      <c r="AC502">
        <v>0</v>
      </c>
      <c r="AD502">
        <v>0</v>
      </c>
      <c r="AE502">
        <v>53</v>
      </c>
      <c r="AF502">
        <v>8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s="2">
        <v>7423</v>
      </c>
      <c r="AQ502">
        <f t="shared" si="17"/>
        <v>7423</v>
      </c>
      <c r="AR502" s="5">
        <f>VLOOKUP(F502,'[2]SCP_24-25'!$A:$D,4,0)</f>
        <v>72.599999999999994</v>
      </c>
      <c r="AS502" s="5">
        <f t="shared" si="16"/>
        <v>538909.79999999993</v>
      </c>
    </row>
    <row r="503" spans="1:45" x14ac:dyDescent="0.3">
      <c r="A503" s="1">
        <v>45900.961111111108</v>
      </c>
      <c r="B503" t="s">
        <v>617</v>
      </c>
      <c r="C503" t="s">
        <v>618</v>
      </c>
      <c r="D503" t="s">
        <v>197</v>
      </c>
      <c r="E503" t="s">
        <v>198</v>
      </c>
      <c r="F503" t="s">
        <v>1576</v>
      </c>
      <c r="G503" t="s">
        <v>199</v>
      </c>
      <c r="H503" t="s">
        <v>66</v>
      </c>
      <c r="I503" t="s">
        <v>43</v>
      </c>
      <c r="J503">
        <v>100</v>
      </c>
      <c r="K503">
        <v>19</v>
      </c>
      <c r="L503">
        <v>9.5</v>
      </c>
      <c r="M503">
        <v>11</v>
      </c>
      <c r="N503">
        <v>583054</v>
      </c>
      <c r="O503">
        <v>449</v>
      </c>
      <c r="P503">
        <v>0</v>
      </c>
      <c r="Q503">
        <v>298</v>
      </c>
      <c r="R503">
        <v>88565</v>
      </c>
      <c r="S503" t="s">
        <v>44</v>
      </c>
      <c r="T503">
        <v>42</v>
      </c>
      <c r="U503" t="s">
        <v>44</v>
      </c>
      <c r="V503">
        <v>8798</v>
      </c>
      <c r="W503">
        <v>631</v>
      </c>
      <c r="X503" t="s">
        <v>44</v>
      </c>
      <c r="Y503">
        <v>8682</v>
      </c>
      <c r="Z503" t="s">
        <v>44</v>
      </c>
      <c r="AA503">
        <v>8</v>
      </c>
      <c r="AB503">
        <v>0</v>
      </c>
      <c r="AC503">
        <v>0</v>
      </c>
      <c r="AD503">
        <v>0</v>
      </c>
      <c r="AE503">
        <v>1014</v>
      </c>
      <c r="AF503">
        <v>9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s="2">
        <v>9255</v>
      </c>
      <c r="AQ503">
        <f t="shared" si="17"/>
        <v>9255</v>
      </c>
      <c r="AR503" s="5">
        <f>VLOOKUP(F503,'[2]SCP_24-25'!$A:$D,4,0)</f>
        <v>63.26</v>
      </c>
      <c r="AS503" s="5">
        <f t="shared" si="16"/>
        <v>585471.29999999993</v>
      </c>
    </row>
    <row r="504" spans="1:45" x14ac:dyDescent="0.3">
      <c r="A504" s="1">
        <v>45900.961111111108</v>
      </c>
      <c r="B504" t="s">
        <v>617</v>
      </c>
      <c r="C504" t="s">
        <v>618</v>
      </c>
      <c r="D504" t="s">
        <v>213</v>
      </c>
      <c r="E504" t="s">
        <v>214</v>
      </c>
      <c r="F504" t="s">
        <v>1582</v>
      </c>
      <c r="G504" t="s">
        <v>215</v>
      </c>
      <c r="H504" t="s">
        <v>66</v>
      </c>
      <c r="I504" t="s">
        <v>43</v>
      </c>
      <c r="J504">
        <v>101</v>
      </c>
      <c r="K504">
        <v>19</v>
      </c>
      <c r="L504">
        <v>9.5</v>
      </c>
      <c r="M504">
        <v>11</v>
      </c>
      <c r="N504">
        <v>344604</v>
      </c>
      <c r="O504">
        <v>560</v>
      </c>
      <c r="P504">
        <v>0</v>
      </c>
      <c r="Q504">
        <v>257</v>
      </c>
      <c r="R504">
        <v>46327</v>
      </c>
      <c r="S504" t="s">
        <v>44</v>
      </c>
      <c r="T504">
        <v>2</v>
      </c>
      <c r="U504" t="s">
        <v>44</v>
      </c>
      <c r="V504">
        <v>8314</v>
      </c>
      <c r="W504">
        <v>505</v>
      </c>
      <c r="X504" t="s">
        <v>44</v>
      </c>
      <c r="Y504">
        <v>8202</v>
      </c>
      <c r="Z504" t="s">
        <v>44</v>
      </c>
      <c r="AA504">
        <v>9</v>
      </c>
      <c r="AB504">
        <v>0</v>
      </c>
      <c r="AC504">
        <v>0</v>
      </c>
      <c r="AD504">
        <v>0</v>
      </c>
      <c r="AE504">
        <v>116</v>
      </c>
      <c r="AF504">
        <v>8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s="2">
        <v>8883</v>
      </c>
      <c r="AQ504">
        <f t="shared" si="17"/>
        <v>8883</v>
      </c>
      <c r="AR504" s="5">
        <f>VLOOKUP(F504,'[2]SCP_24-25'!$A:$D,4,0)</f>
        <v>60.46</v>
      </c>
      <c r="AS504" s="5">
        <f t="shared" si="16"/>
        <v>537066.18000000005</v>
      </c>
    </row>
    <row r="505" spans="1:45" x14ac:dyDescent="0.3">
      <c r="A505" s="1">
        <v>45900.961111111108</v>
      </c>
      <c r="B505" t="s">
        <v>617</v>
      </c>
      <c r="C505" t="s">
        <v>618</v>
      </c>
      <c r="D505" t="s">
        <v>232</v>
      </c>
      <c r="E505" t="s">
        <v>233</v>
      </c>
      <c r="F505" t="s">
        <v>1591</v>
      </c>
      <c r="G505" t="s">
        <v>234</v>
      </c>
      <c r="H505" t="s">
        <v>66</v>
      </c>
      <c r="I505" t="s">
        <v>43</v>
      </c>
      <c r="J505">
        <v>95</v>
      </c>
      <c r="K505">
        <v>19</v>
      </c>
      <c r="L505">
        <v>11</v>
      </c>
      <c r="M505">
        <v>9.5</v>
      </c>
      <c r="N505">
        <v>678054</v>
      </c>
      <c r="O505">
        <v>558</v>
      </c>
      <c r="P505">
        <v>0</v>
      </c>
      <c r="Q505">
        <v>661</v>
      </c>
      <c r="R505">
        <v>95855</v>
      </c>
      <c r="S505" t="s">
        <v>44</v>
      </c>
      <c r="T505">
        <v>170</v>
      </c>
      <c r="U505" t="s">
        <v>44</v>
      </c>
      <c r="V505">
        <v>6817</v>
      </c>
      <c r="W505">
        <v>555</v>
      </c>
      <c r="X505" t="s">
        <v>44</v>
      </c>
      <c r="Y505">
        <v>6604</v>
      </c>
      <c r="Z505" t="s">
        <v>44</v>
      </c>
      <c r="AA505">
        <v>15</v>
      </c>
      <c r="AB505">
        <v>0</v>
      </c>
      <c r="AC505">
        <v>0</v>
      </c>
      <c r="AD505">
        <v>0</v>
      </c>
      <c r="AE505">
        <v>264</v>
      </c>
      <c r="AF505">
        <v>10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s="2">
        <v>7390</v>
      </c>
      <c r="AQ505">
        <f t="shared" si="17"/>
        <v>7390</v>
      </c>
      <c r="AR505" s="5">
        <f>VLOOKUP(F505,'[2]SCP_24-25'!$A:$D,4,0)</f>
        <v>70.52</v>
      </c>
      <c r="AS505" s="5">
        <f t="shared" si="16"/>
        <v>521142.8</v>
      </c>
    </row>
    <row r="506" spans="1:45" x14ac:dyDescent="0.3">
      <c r="A506" s="1">
        <v>45900.961111111108</v>
      </c>
      <c r="B506" t="s">
        <v>617</v>
      </c>
      <c r="C506" t="s">
        <v>618</v>
      </c>
      <c r="D506" t="s">
        <v>254</v>
      </c>
      <c r="E506" t="s">
        <v>255</v>
      </c>
      <c r="F506" t="s">
        <v>1599</v>
      </c>
      <c r="G506" t="s">
        <v>256</v>
      </c>
      <c r="H506" t="s">
        <v>66</v>
      </c>
      <c r="I506" t="s">
        <v>43</v>
      </c>
      <c r="J506">
        <v>59.02</v>
      </c>
      <c r="K506">
        <v>19</v>
      </c>
      <c r="L506">
        <v>11</v>
      </c>
      <c r="M506">
        <v>9.5</v>
      </c>
      <c r="N506">
        <v>215617</v>
      </c>
      <c r="O506">
        <v>143</v>
      </c>
      <c r="P506">
        <v>0</v>
      </c>
      <c r="Q506">
        <v>119</v>
      </c>
      <c r="R506">
        <v>14138</v>
      </c>
      <c r="S506" t="s">
        <v>44</v>
      </c>
      <c r="T506" t="s">
        <v>44</v>
      </c>
      <c r="U506" t="s">
        <v>44</v>
      </c>
      <c r="V506">
        <v>7013</v>
      </c>
      <c r="W506">
        <v>335</v>
      </c>
      <c r="X506" t="s">
        <v>44</v>
      </c>
      <c r="Y506">
        <v>6881</v>
      </c>
      <c r="Z506" t="s">
        <v>44</v>
      </c>
      <c r="AA506">
        <v>6</v>
      </c>
      <c r="AB506">
        <v>0</v>
      </c>
      <c r="AC506">
        <v>0</v>
      </c>
      <c r="AD506">
        <v>0</v>
      </c>
      <c r="AE506">
        <v>30</v>
      </c>
      <c r="AF506">
        <v>18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s="2">
        <v>7162</v>
      </c>
      <c r="AQ506">
        <f t="shared" si="17"/>
        <v>7162</v>
      </c>
      <c r="AR506" s="5">
        <f>VLOOKUP(F506,'[2]SCP_24-25'!$A:$D,4,0)</f>
        <v>112.63</v>
      </c>
      <c r="AS506" s="5">
        <f t="shared" si="16"/>
        <v>806656.05999999994</v>
      </c>
    </row>
    <row r="507" spans="1:45" x14ac:dyDescent="0.3">
      <c r="A507" s="1">
        <v>45900.961111111108</v>
      </c>
      <c r="B507" t="s">
        <v>617</v>
      </c>
      <c r="C507" t="s">
        <v>618</v>
      </c>
      <c r="D507" t="s">
        <v>277</v>
      </c>
      <c r="E507" t="s">
        <v>278</v>
      </c>
      <c r="F507" t="s">
        <v>1607</v>
      </c>
      <c r="G507" t="s">
        <v>279</v>
      </c>
      <c r="H507" t="s">
        <v>103</v>
      </c>
      <c r="I507" t="s">
        <v>43</v>
      </c>
      <c r="J507">
        <v>224.02</v>
      </c>
      <c r="K507">
        <v>19</v>
      </c>
      <c r="L507">
        <v>9.5</v>
      </c>
      <c r="M507">
        <v>11</v>
      </c>
      <c r="N507">
        <v>667243</v>
      </c>
      <c r="O507">
        <v>7383</v>
      </c>
      <c r="P507">
        <v>0</v>
      </c>
      <c r="Q507">
        <v>218</v>
      </c>
      <c r="R507">
        <v>43816</v>
      </c>
      <c r="S507" t="s">
        <v>44</v>
      </c>
      <c r="T507" t="s">
        <v>44</v>
      </c>
      <c r="U507" t="s">
        <v>44</v>
      </c>
      <c r="V507">
        <v>8921</v>
      </c>
      <c r="W507">
        <v>706</v>
      </c>
      <c r="X507" t="s">
        <v>44</v>
      </c>
      <c r="Y507">
        <v>8910</v>
      </c>
      <c r="Z507" t="s">
        <v>44</v>
      </c>
      <c r="AA507">
        <v>56</v>
      </c>
      <c r="AB507">
        <v>0</v>
      </c>
      <c r="AC507">
        <v>0</v>
      </c>
      <c r="AD507">
        <v>0</v>
      </c>
      <c r="AE507">
        <v>3</v>
      </c>
      <c r="AF507">
        <v>48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s="2">
        <v>16360</v>
      </c>
      <c r="AQ507">
        <f t="shared" si="17"/>
        <v>16360</v>
      </c>
      <c r="AR507" s="5">
        <f>VLOOKUP(F507,'[2]SCP_24-25'!$A:$D,4,0)</f>
        <v>77.739999999999995</v>
      </c>
      <c r="AS507" s="5">
        <f t="shared" si="16"/>
        <v>1271826.3999999999</v>
      </c>
    </row>
    <row r="508" spans="1:45" x14ac:dyDescent="0.3">
      <c r="A508" s="1">
        <v>45900.961111111108</v>
      </c>
      <c r="B508" t="s">
        <v>617</v>
      </c>
      <c r="C508" t="s">
        <v>618</v>
      </c>
      <c r="D508" t="s">
        <v>280</v>
      </c>
      <c r="E508" t="s">
        <v>281</v>
      </c>
      <c r="F508" t="s">
        <v>1608</v>
      </c>
      <c r="G508" t="s">
        <v>282</v>
      </c>
      <c r="H508" t="s">
        <v>103</v>
      </c>
      <c r="I508" t="s">
        <v>43</v>
      </c>
      <c r="J508">
        <v>199</v>
      </c>
      <c r="K508">
        <v>19</v>
      </c>
      <c r="L508">
        <v>9.5</v>
      </c>
      <c r="M508">
        <v>11</v>
      </c>
      <c r="N508">
        <v>589593</v>
      </c>
      <c r="O508">
        <v>3747</v>
      </c>
      <c r="P508">
        <v>0</v>
      </c>
      <c r="Q508">
        <v>291</v>
      </c>
      <c r="R508">
        <v>59803</v>
      </c>
      <c r="S508" t="s">
        <v>44</v>
      </c>
      <c r="T508">
        <v>24</v>
      </c>
      <c r="U508" t="s">
        <v>44</v>
      </c>
      <c r="V508">
        <v>6006</v>
      </c>
      <c r="W508">
        <v>73</v>
      </c>
      <c r="X508" t="s">
        <v>44</v>
      </c>
      <c r="Y508">
        <v>6002</v>
      </c>
      <c r="Z508" t="s">
        <v>44</v>
      </c>
      <c r="AA508">
        <v>107</v>
      </c>
      <c r="AB508">
        <v>0</v>
      </c>
      <c r="AC508">
        <v>0</v>
      </c>
      <c r="AD508">
        <v>0</v>
      </c>
      <c r="AE508">
        <v>7</v>
      </c>
      <c r="AF508">
        <v>36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s="2">
        <v>9860</v>
      </c>
      <c r="AQ508">
        <f t="shared" si="17"/>
        <v>9860</v>
      </c>
      <c r="AR508" s="5">
        <f>VLOOKUP(F508,'[2]SCP_24-25'!$A:$D,4,0)</f>
        <v>85.41</v>
      </c>
      <c r="AS508" s="5">
        <f t="shared" si="16"/>
        <v>842142.6</v>
      </c>
    </row>
    <row r="509" spans="1:45" x14ac:dyDescent="0.3">
      <c r="A509" s="1">
        <v>45900.961111111108</v>
      </c>
      <c r="B509" t="s">
        <v>617</v>
      </c>
      <c r="C509" t="s">
        <v>618</v>
      </c>
      <c r="D509" t="s">
        <v>283</v>
      </c>
      <c r="E509" t="s">
        <v>284</v>
      </c>
      <c r="F509" t="s">
        <v>1609</v>
      </c>
      <c r="G509" t="s">
        <v>285</v>
      </c>
      <c r="H509" t="s">
        <v>103</v>
      </c>
      <c r="I509" t="s">
        <v>43</v>
      </c>
      <c r="J509">
        <v>120</v>
      </c>
      <c r="K509">
        <v>19</v>
      </c>
      <c r="L509">
        <v>9.5</v>
      </c>
      <c r="M509">
        <v>11</v>
      </c>
      <c r="N509">
        <v>187780</v>
      </c>
      <c r="O509">
        <v>229</v>
      </c>
      <c r="P509">
        <v>0</v>
      </c>
      <c r="Q509">
        <v>100</v>
      </c>
      <c r="R509">
        <v>20959</v>
      </c>
      <c r="S509" t="s">
        <v>44</v>
      </c>
      <c r="T509" t="s">
        <v>44</v>
      </c>
      <c r="U509" t="s">
        <v>44</v>
      </c>
      <c r="V509">
        <v>5610</v>
      </c>
      <c r="W509">
        <v>92</v>
      </c>
      <c r="X509" t="s">
        <v>44</v>
      </c>
      <c r="Y509">
        <v>5527</v>
      </c>
      <c r="Z509" t="s">
        <v>44</v>
      </c>
      <c r="AA509">
        <v>6</v>
      </c>
      <c r="AB509">
        <v>0</v>
      </c>
      <c r="AC509">
        <v>0</v>
      </c>
      <c r="AD509">
        <v>0</v>
      </c>
      <c r="AE509">
        <v>21</v>
      </c>
      <c r="AF509">
        <v>10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s="2">
        <v>5845</v>
      </c>
      <c r="AQ509">
        <f t="shared" si="17"/>
        <v>5845</v>
      </c>
      <c r="AR509" s="5">
        <f>VLOOKUP(F509,'[2]SCP_24-25'!$A:$D,4,0)</f>
        <v>113.26</v>
      </c>
      <c r="AS509" s="5">
        <f t="shared" si="16"/>
        <v>662004.70000000007</v>
      </c>
    </row>
    <row r="510" spans="1:45" x14ac:dyDescent="0.3">
      <c r="A510" s="1">
        <v>45900.961111111108</v>
      </c>
      <c r="B510" t="s">
        <v>617</v>
      </c>
      <c r="C510" t="s">
        <v>618</v>
      </c>
      <c r="D510" t="s">
        <v>314</v>
      </c>
      <c r="E510" t="s">
        <v>315</v>
      </c>
      <c r="F510" t="s">
        <v>1621</v>
      </c>
      <c r="G510" t="s">
        <v>316</v>
      </c>
      <c r="H510" t="s">
        <v>66</v>
      </c>
      <c r="I510" t="s">
        <v>43</v>
      </c>
      <c r="J510">
        <v>75</v>
      </c>
      <c r="K510">
        <v>19</v>
      </c>
      <c r="L510">
        <v>11</v>
      </c>
      <c r="M510">
        <v>9.5</v>
      </c>
      <c r="N510">
        <v>106856</v>
      </c>
      <c r="O510">
        <v>209</v>
      </c>
      <c r="P510">
        <v>0</v>
      </c>
      <c r="Q510">
        <v>81</v>
      </c>
      <c r="R510">
        <v>3494</v>
      </c>
      <c r="S510" t="s">
        <v>44</v>
      </c>
      <c r="T510">
        <v>72</v>
      </c>
      <c r="U510" t="s">
        <v>44</v>
      </c>
      <c r="V510">
        <v>7333</v>
      </c>
      <c r="W510">
        <v>154</v>
      </c>
      <c r="X510" t="s">
        <v>44</v>
      </c>
      <c r="Y510">
        <v>7290</v>
      </c>
      <c r="Z510" t="s">
        <v>44</v>
      </c>
      <c r="AA510">
        <v>10</v>
      </c>
      <c r="AB510">
        <v>0</v>
      </c>
      <c r="AC510">
        <v>0</v>
      </c>
      <c r="AD510">
        <v>0</v>
      </c>
      <c r="AE510">
        <v>159</v>
      </c>
      <c r="AF510">
        <v>10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s="2">
        <v>7552</v>
      </c>
      <c r="AQ510">
        <f t="shared" si="17"/>
        <v>7552</v>
      </c>
      <c r="AR510" s="5">
        <f>VLOOKUP(F510,'[2]SCP_24-25'!$A:$D,4,0)</f>
        <v>53.93</v>
      </c>
      <c r="AS510" s="5">
        <f t="shared" si="16"/>
        <v>407279.35999999999</v>
      </c>
    </row>
    <row r="511" spans="1:45" x14ac:dyDescent="0.3">
      <c r="A511" s="1">
        <v>45900.961111111108</v>
      </c>
      <c r="B511" t="s">
        <v>617</v>
      </c>
      <c r="C511" t="s">
        <v>618</v>
      </c>
      <c r="D511" t="s">
        <v>1312</v>
      </c>
      <c r="E511" t="s">
        <v>1313</v>
      </c>
      <c r="F511" t="s">
        <v>2107</v>
      </c>
      <c r="G511" t="s">
        <v>1314</v>
      </c>
      <c r="H511" t="s">
        <v>66</v>
      </c>
      <c r="I511" t="s">
        <v>43</v>
      </c>
      <c r="J511">
        <v>50</v>
      </c>
      <c r="K511">
        <v>19</v>
      </c>
      <c r="L511">
        <v>11</v>
      </c>
      <c r="M511">
        <v>9.5</v>
      </c>
      <c r="N511">
        <v>97199</v>
      </c>
      <c r="O511">
        <v>2</v>
      </c>
      <c r="P511">
        <v>0</v>
      </c>
      <c r="Q511">
        <v>1</v>
      </c>
      <c r="R511">
        <v>15</v>
      </c>
      <c r="S511" t="s">
        <v>44</v>
      </c>
      <c r="T511" t="s">
        <v>44</v>
      </c>
      <c r="U511" t="s">
        <v>44</v>
      </c>
      <c r="V511">
        <v>4135</v>
      </c>
      <c r="W511" t="s">
        <v>44</v>
      </c>
      <c r="X511" t="s">
        <v>44</v>
      </c>
      <c r="Y511">
        <v>4135</v>
      </c>
      <c r="Z511" t="s">
        <v>44</v>
      </c>
      <c r="AA511">
        <v>7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s="2">
        <v>4144</v>
      </c>
      <c r="AQ511">
        <f t="shared" si="17"/>
        <v>4144</v>
      </c>
      <c r="AR511" s="5">
        <f>VLOOKUP(F511,'[2]SCP_24-25'!$A:$D,4,0)</f>
        <v>20.65</v>
      </c>
      <c r="AS511" s="5">
        <f t="shared" si="16"/>
        <v>85573.599999999991</v>
      </c>
    </row>
    <row r="512" spans="1:45" x14ac:dyDescent="0.3">
      <c r="A512" s="1">
        <v>45900.961111111108</v>
      </c>
      <c r="B512" t="s">
        <v>617</v>
      </c>
      <c r="C512" t="s">
        <v>618</v>
      </c>
      <c r="D512" t="s">
        <v>70</v>
      </c>
      <c r="E512" t="s">
        <v>71</v>
      </c>
      <c r="F512" t="s">
        <v>1522</v>
      </c>
      <c r="G512" t="s">
        <v>72</v>
      </c>
      <c r="H512" t="s">
        <v>66</v>
      </c>
      <c r="I512" t="s">
        <v>43</v>
      </c>
      <c r="J512">
        <v>150</v>
      </c>
      <c r="K512">
        <v>19</v>
      </c>
      <c r="L512">
        <v>9.5</v>
      </c>
      <c r="M512">
        <v>11</v>
      </c>
      <c r="N512">
        <v>127705</v>
      </c>
      <c r="O512">
        <v>516</v>
      </c>
      <c r="P512">
        <v>0</v>
      </c>
      <c r="Q512">
        <v>86</v>
      </c>
      <c r="R512">
        <v>9181</v>
      </c>
      <c r="S512" t="s">
        <v>44</v>
      </c>
      <c r="T512" t="s">
        <v>44</v>
      </c>
      <c r="U512" t="s">
        <v>44</v>
      </c>
      <c r="V512">
        <v>9446</v>
      </c>
      <c r="W512">
        <v>1413</v>
      </c>
      <c r="X512" t="s">
        <v>44</v>
      </c>
      <c r="Y512">
        <v>9408</v>
      </c>
      <c r="Z512" t="s">
        <v>44</v>
      </c>
      <c r="AA512">
        <v>9</v>
      </c>
      <c r="AB512">
        <v>0</v>
      </c>
      <c r="AC512">
        <v>0</v>
      </c>
      <c r="AD512">
        <v>0</v>
      </c>
      <c r="AE512">
        <v>23</v>
      </c>
      <c r="AF512">
        <v>5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s="2">
        <v>9971</v>
      </c>
      <c r="AQ512">
        <f t="shared" si="17"/>
        <v>9971</v>
      </c>
      <c r="AR512" s="5">
        <f>VLOOKUP(F512,'[2]SCP_24-25'!$A:$D,4,0)</f>
        <v>103.36</v>
      </c>
      <c r="AS512" s="5">
        <f t="shared" si="16"/>
        <v>1030602.5599999999</v>
      </c>
    </row>
    <row r="513" spans="1:45" x14ac:dyDescent="0.3">
      <c r="A513" s="1">
        <v>45900.961111111108</v>
      </c>
      <c r="B513" t="s">
        <v>617</v>
      </c>
      <c r="C513" t="s">
        <v>618</v>
      </c>
      <c r="D513" t="s">
        <v>107</v>
      </c>
      <c r="E513" t="s">
        <v>108</v>
      </c>
      <c r="F513" t="s">
        <v>1534</v>
      </c>
      <c r="G513" t="s">
        <v>109</v>
      </c>
      <c r="H513" t="s">
        <v>103</v>
      </c>
      <c r="I513" t="s">
        <v>43</v>
      </c>
      <c r="J513">
        <v>130</v>
      </c>
      <c r="K513">
        <v>19</v>
      </c>
      <c r="L513">
        <v>10</v>
      </c>
      <c r="M513">
        <v>11</v>
      </c>
      <c r="N513">
        <v>352345</v>
      </c>
      <c r="O513">
        <v>3241</v>
      </c>
      <c r="P513">
        <v>0</v>
      </c>
      <c r="Q513">
        <v>305</v>
      </c>
      <c r="R513">
        <v>35842</v>
      </c>
      <c r="S513" t="s">
        <v>44</v>
      </c>
      <c r="T513" t="s">
        <v>44</v>
      </c>
      <c r="U513" t="s">
        <v>44</v>
      </c>
      <c r="V513">
        <v>5429</v>
      </c>
      <c r="W513">
        <v>565</v>
      </c>
      <c r="X513" t="s">
        <v>44</v>
      </c>
      <c r="Y513">
        <v>5422</v>
      </c>
      <c r="Z513" t="s">
        <v>44</v>
      </c>
      <c r="AA513">
        <v>10</v>
      </c>
      <c r="AB513">
        <v>0</v>
      </c>
      <c r="AC513">
        <v>0</v>
      </c>
      <c r="AD513">
        <v>0</v>
      </c>
      <c r="AE513">
        <v>34</v>
      </c>
      <c r="AF513">
        <v>20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s="2">
        <v>8680</v>
      </c>
      <c r="AQ513">
        <f t="shared" si="17"/>
        <v>8680</v>
      </c>
      <c r="AR513" s="5">
        <f>VLOOKUP(F513,'[2]SCP_24-25'!$A:$D,4,0)</f>
        <v>61.997777777777777</v>
      </c>
      <c r="AS513" s="5">
        <f t="shared" si="16"/>
        <v>538140.7111111111</v>
      </c>
    </row>
    <row r="514" spans="1:45" x14ac:dyDescent="0.3">
      <c r="A514" s="1">
        <v>45900.961111111108</v>
      </c>
      <c r="B514" t="s">
        <v>617</v>
      </c>
      <c r="C514" t="s">
        <v>618</v>
      </c>
      <c r="D514" t="s">
        <v>516</v>
      </c>
      <c r="E514" t="s">
        <v>332</v>
      </c>
      <c r="F514" t="s">
        <v>1712</v>
      </c>
      <c r="G514" t="s">
        <v>517</v>
      </c>
      <c r="H514" t="s">
        <v>130</v>
      </c>
      <c r="I514" t="s">
        <v>43</v>
      </c>
      <c r="J514">
        <v>12.92</v>
      </c>
      <c r="K514">
        <v>19</v>
      </c>
      <c r="L514">
        <v>10</v>
      </c>
      <c r="M514">
        <v>11</v>
      </c>
      <c r="N514">
        <v>36183</v>
      </c>
      <c r="O514">
        <v>8</v>
      </c>
      <c r="P514">
        <v>0</v>
      </c>
      <c r="Q514">
        <v>69</v>
      </c>
      <c r="R514">
        <v>4266</v>
      </c>
      <c r="S514" t="s">
        <v>44</v>
      </c>
      <c r="T514" t="s">
        <v>44</v>
      </c>
      <c r="U514" t="s">
        <v>44</v>
      </c>
      <c r="V514">
        <v>6344</v>
      </c>
      <c r="W514">
        <v>1011</v>
      </c>
      <c r="X514" t="s">
        <v>44</v>
      </c>
      <c r="Y514">
        <v>5979</v>
      </c>
      <c r="Z514" t="s">
        <v>44</v>
      </c>
      <c r="AA514">
        <v>3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s="2">
        <v>6355</v>
      </c>
      <c r="AQ514">
        <f t="shared" si="17"/>
        <v>6355</v>
      </c>
      <c r="AR514" s="5">
        <f>VLOOKUP(F514,'[2]SCP_24-25'!$A:$D,4,0)</f>
        <v>53.64</v>
      </c>
      <c r="AS514" s="5">
        <f t="shared" si="16"/>
        <v>340882.2</v>
      </c>
    </row>
    <row r="515" spans="1:45" x14ac:dyDescent="0.3">
      <c r="A515" s="1">
        <v>45900.961111111108</v>
      </c>
      <c r="B515" t="s">
        <v>617</v>
      </c>
      <c r="C515" t="s">
        <v>618</v>
      </c>
      <c r="D515" t="s">
        <v>334</v>
      </c>
      <c r="E515" t="s">
        <v>335</v>
      </c>
      <c r="F515" t="s">
        <v>1628</v>
      </c>
      <c r="G515" t="s">
        <v>336</v>
      </c>
      <c r="H515" t="s">
        <v>130</v>
      </c>
      <c r="I515" t="s">
        <v>43</v>
      </c>
      <c r="J515">
        <v>42</v>
      </c>
      <c r="K515">
        <v>19</v>
      </c>
      <c r="L515">
        <v>10</v>
      </c>
      <c r="M515">
        <v>11</v>
      </c>
      <c r="N515">
        <v>126509</v>
      </c>
      <c r="O515">
        <v>508</v>
      </c>
      <c r="P515">
        <v>0</v>
      </c>
      <c r="Q515">
        <v>78</v>
      </c>
      <c r="R515">
        <v>7400</v>
      </c>
      <c r="S515" t="s">
        <v>44</v>
      </c>
      <c r="T515">
        <v>60</v>
      </c>
      <c r="U515" t="s">
        <v>44</v>
      </c>
      <c r="V515">
        <v>8614</v>
      </c>
      <c r="W515">
        <v>670</v>
      </c>
      <c r="X515" t="s">
        <v>44</v>
      </c>
      <c r="Y515">
        <v>8570</v>
      </c>
      <c r="Z515" t="s">
        <v>44</v>
      </c>
      <c r="AA515">
        <v>4</v>
      </c>
      <c r="AB515">
        <v>0</v>
      </c>
      <c r="AC515">
        <v>0</v>
      </c>
      <c r="AD515">
        <v>0</v>
      </c>
      <c r="AE515">
        <v>10</v>
      </c>
      <c r="AF515">
        <v>12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s="2">
        <v>9126</v>
      </c>
      <c r="AQ515">
        <f t="shared" si="17"/>
        <v>9126</v>
      </c>
      <c r="AR515" s="5">
        <f>VLOOKUP(F515,'[2]SCP_24-25'!$A:$D,4,0)</f>
        <v>68.577500000000001</v>
      </c>
      <c r="AS515" s="5">
        <f t="shared" ref="AS515:AS578" si="18">AQ515*AR515</f>
        <v>625838.26500000001</v>
      </c>
    </row>
    <row r="516" spans="1:45" x14ac:dyDescent="0.3">
      <c r="A516" s="1">
        <v>45900.961111111108</v>
      </c>
      <c r="B516" t="s">
        <v>617</v>
      </c>
      <c r="C516" t="s">
        <v>618</v>
      </c>
      <c r="D516" t="s">
        <v>337</v>
      </c>
      <c r="E516" t="s">
        <v>338</v>
      </c>
      <c r="F516" t="s">
        <v>1629</v>
      </c>
      <c r="G516" t="s">
        <v>339</v>
      </c>
      <c r="H516" t="s">
        <v>130</v>
      </c>
      <c r="I516" t="s">
        <v>43</v>
      </c>
      <c r="J516">
        <v>48.99</v>
      </c>
      <c r="K516">
        <v>19</v>
      </c>
      <c r="L516">
        <v>10</v>
      </c>
      <c r="M516">
        <v>11</v>
      </c>
      <c r="N516">
        <v>144707</v>
      </c>
      <c r="O516">
        <v>1158</v>
      </c>
      <c r="P516">
        <v>0</v>
      </c>
      <c r="Q516">
        <v>72</v>
      </c>
      <c r="R516">
        <v>71</v>
      </c>
      <c r="S516" t="s">
        <v>44</v>
      </c>
      <c r="T516" t="s">
        <v>44</v>
      </c>
      <c r="U516" t="s">
        <v>44</v>
      </c>
      <c r="V516">
        <v>6099</v>
      </c>
      <c r="W516">
        <v>43</v>
      </c>
      <c r="X516" t="s">
        <v>44</v>
      </c>
      <c r="Y516">
        <v>6097</v>
      </c>
      <c r="Z516" t="s">
        <v>44</v>
      </c>
      <c r="AA516">
        <v>12</v>
      </c>
      <c r="AB516">
        <v>0</v>
      </c>
      <c r="AC516">
        <v>0</v>
      </c>
      <c r="AD516">
        <v>0</v>
      </c>
      <c r="AE516">
        <v>2</v>
      </c>
      <c r="AF516">
        <v>14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s="2">
        <v>7269</v>
      </c>
      <c r="AQ516">
        <f t="shared" si="17"/>
        <v>7269</v>
      </c>
      <c r="AR516" s="5">
        <f>VLOOKUP(F516,'[2]SCP_24-25'!$A:$D,4,0)</f>
        <v>64.540000000000006</v>
      </c>
      <c r="AS516" s="5">
        <f t="shared" si="18"/>
        <v>469141.26000000007</v>
      </c>
    </row>
    <row r="517" spans="1:45" x14ac:dyDescent="0.3">
      <c r="A517" s="1">
        <v>45900.961111111108</v>
      </c>
      <c r="B517" t="s">
        <v>617</v>
      </c>
      <c r="C517" t="s">
        <v>618</v>
      </c>
      <c r="D517" t="s">
        <v>342</v>
      </c>
      <c r="E517" t="s">
        <v>338</v>
      </c>
      <c r="F517" t="s">
        <v>1631</v>
      </c>
      <c r="G517" t="s">
        <v>343</v>
      </c>
      <c r="H517" t="s">
        <v>130</v>
      </c>
      <c r="I517" t="s">
        <v>43</v>
      </c>
      <c r="J517">
        <v>48</v>
      </c>
      <c r="K517">
        <v>19</v>
      </c>
      <c r="L517">
        <v>10</v>
      </c>
      <c r="M517">
        <v>11</v>
      </c>
      <c r="N517">
        <v>60127</v>
      </c>
      <c r="O517">
        <v>180</v>
      </c>
      <c r="P517">
        <v>0</v>
      </c>
      <c r="Q517">
        <v>92</v>
      </c>
      <c r="R517">
        <v>2181</v>
      </c>
      <c r="S517" t="s">
        <v>44</v>
      </c>
      <c r="T517" t="s">
        <v>44</v>
      </c>
      <c r="U517" t="s">
        <v>44</v>
      </c>
      <c r="V517">
        <v>8297</v>
      </c>
      <c r="W517">
        <v>204</v>
      </c>
      <c r="X517" t="s">
        <v>44</v>
      </c>
      <c r="Y517">
        <v>8223</v>
      </c>
      <c r="Z517" t="s">
        <v>44</v>
      </c>
      <c r="AA517">
        <v>1</v>
      </c>
      <c r="AB517">
        <v>0</v>
      </c>
      <c r="AC517">
        <v>0</v>
      </c>
      <c r="AD517">
        <v>0</v>
      </c>
      <c r="AE517">
        <v>45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2">
        <v>8478</v>
      </c>
      <c r="AQ517">
        <f t="shared" si="17"/>
        <v>8478</v>
      </c>
      <c r="AR517" s="5">
        <f>VLOOKUP(F517,'[2]SCP_24-25'!$A:$D,4,0)</f>
        <v>64.540000000000006</v>
      </c>
      <c r="AS517" s="5">
        <f t="shared" si="18"/>
        <v>547170.12</v>
      </c>
    </row>
    <row r="518" spans="1:45" x14ac:dyDescent="0.3">
      <c r="A518" s="1">
        <v>45900.961111111108</v>
      </c>
      <c r="B518" t="s">
        <v>617</v>
      </c>
      <c r="C518" t="s">
        <v>618</v>
      </c>
      <c r="D518" t="s">
        <v>344</v>
      </c>
      <c r="E518" t="s">
        <v>345</v>
      </c>
      <c r="F518" t="s">
        <v>1632</v>
      </c>
      <c r="G518" t="s">
        <v>346</v>
      </c>
      <c r="H518" t="s">
        <v>130</v>
      </c>
      <c r="I518" t="s">
        <v>43</v>
      </c>
      <c r="J518">
        <v>112.62</v>
      </c>
      <c r="K518">
        <v>19</v>
      </c>
      <c r="L518">
        <v>10</v>
      </c>
      <c r="M518">
        <v>11</v>
      </c>
      <c r="N518">
        <v>104901</v>
      </c>
      <c r="O518">
        <v>568</v>
      </c>
      <c r="P518">
        <v>0</v>
      </c>
      <c r="Q518">
        <v>60</v>
      </c>
      <c r="R518">
        <v>4672</v>
      </c>
      <c r="S518" t="s">
        <v>44</v>
      </c>
      <c r="T518" t="s">
        <v>44</v>
      </c>
      <c r="U518" t="s">
        <v>44</v>
      </c>
      <c r="V518">
        <v>8900</v>
      </c>
      <c r="W518">
        <v>69</v>
      </c>
      <c r="X518" t="s">
        <v>44</v>
      </c>
      <c r="Y518">
        <v>8818</v>
      </c>
      <c r="Z518" t="s">
        <v>44</v>
      </c>
      <c r="AA518">
        <v>9</v>
      </c>
      <c r="AB518">
        <v>0</v>
      </c>
      <c r="AC518">
        <v>0</v>
      </c>
      <c r="AD518">
        <v>0</v>
      </c>
      <c r="AE518">
        <v>25</v>
      </c>
      <c r="AF518">
        <v>10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s="2">
        <v>9477</v>
      </c>
      <c r="AQ518">
        <f t="shared" si="17"/>
        <v>9477</v>
      </c>
      <c r="AR518" s="5">
        <f>VLOOKUP(F518,'[2]SCP_24-25'!$A:$D,4,0)</f>
        <v>114.81</v>
      </c>
      <c r="AS518" s="5">
        <f t="shared" si="18"/>
        <v>1088054.3700000001</v>
      </c>
    </row>
    <row r="519" spans="1:45" x14ac:dyDescent="0.3">
      <c r="A519" s="1">
        <v>45900.961111111108</v>
      </c>
      <c r="B519" t="s">
        <v>617</v>
      </c>
      <c r="C519" t="s">
        <v>618</v>
      </c>
      <c r="D519" t="s">
        <v>347</v>
      </c>
      <c r="E519" t="s">
        <v>345</v>
      </c>
      <c r="F519" t="s">
        <v>1633</v>
      </c>
      <c r="G519" t="s">
        <v>348</v>
      </c>
      <c r="H519" t="s">
        <v>130</v>
      </c>
      <c r="I519" t="s">
        <v>43</v>
      </c>
      <c r="J519">
        <v>112.62</v>
      </c>
      <c r="K519">
        <v>19</v>
      </c>
      <c r="L519">
        <v>10</v>
      </c>
      <c r="M519">
        <v>11</v>
      </c>
      <c r="N519">
        <v>115754</v>
      </c>
      <c r="O519">
        <v>672</v>
      </c>
      <c r="P519">
        <v>0</v>
      </c>
      <c r="Q519">
        <v>47</v>
      </c>
      <c r="R519">
        <v>2027</v>
      </c>
      <c r="S519" t="s">
        <v>44</v>
      </c>
      <c r="T519">
        <v>48</v>
      </c>
      <c r="U519" t="s">
        <v>44</v>
      </c>
      <c r="V519">
        <v>5771</v>
      </c>
      <c r="W519">
        <v>44</v>
      </c>
      <c r="X519" t="s">
        <v>44</v>
      </c>
      <c r="Y519">
        <v>5754</v>
      </c>
      <c r="Z519" t="s">
        <v>44</v>
      </c>
      <c r="AA519">
        <v>27</v>
      </c>
      <c r="AB519">
        <v>0</v>
      </c>
      <c r="AC519">
        <v>0</v>
      </c>
      <c r="AD519">
        <v>0</v>
      </c>
      <c r="AE519">
        <v>3</v>
      </c>
      <c r="AF519">
        <v>14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s="2">
        <v>6470</v>
      </c>
      <c r="AQ519">
        <f t="shared" si="17"/>
        <v>6470</v>
      </c>
      <c r="AR519" s="5">
        <f>VLOOKUP(F519,'[2]SCP_24-25'!$A:$D,4,0)</f>
        <v>114.80999999999999</v>
      </c>
      <c r="AS519" s="5">
        <f t="shared" si="18"/>
        <v>742820.7</v>
      </c>
    </row>
    <row r="520" spans="1:45" x14ac:dyDescent="0.3">
      <c r="A520" s="1">
        <v>45900.961111111108</v>
      </c>
      <c r="B520" t="s">
        <v>617</v>
      </c>
      <c r="C520" t="s">
        <v>618</v>
      </c>
      <c r="D520" t="s">
        <v>349</v>
      </c>
      <c r="E520" t="s">
        <v>345</v>
      </c>
      <c r="F520" t="s">
        <v>1634</v>
      </c>
      <c r="G520" t="s">
        <v>350</v>
      </c>
      <c r="H520" t="s">
        <v>130</v>
      </c>
      <c r="I520" t="s">
        <v>43</v>
      </c>
      <c r="J520">
        <v>112.62</v>
      </c>
      <c r="K520">
        <v>19</v>
      </c>
      <c r="L520">
        <v>10</v>
      </c>
      <c r="M520">
        <v>11</v>
      </c>
      <c r="N520">
        <v>147289</v>
      </c>
      <c r="O520">
        <v>741</v>
      </c>
      <c r="P520">
        <v>0</v>
      </c>
      <c r="Q520">
        <v>67</v>
      </c>
      <c r="R520">
        <v>2253</v>
      </c>
      <c r="S520" t="s">
        <v>44</v>
      </c>
      <c r="T520" t="s">
        <v>44</v>
      </c>
      <c r="U520" t="s">
        <v>44</v>
      </c>
      <c r="V520">
        <v>7523</v>
      </c>
      <c r="W520">
        <v>16</v>
      </c>
      <c r="X520" t="s">
        <v>44</v>
      </c>
      <c r="Y520">
        <v>7462</v>
      </c>
      <c r="Z520" t="s">
        <v>44</v>
      </c>
      <c r="AA520">
        <v>6</v>
      </c>
      <c r="AB520">
        <v>0</v>
      </c>
      <c r="AC520">
        <v>0</v>
      </c>
      <c r="AD520">
        <v>0</v>
      </c>
      <c r="AE520">
        <v>10</v>
      </c>
      <c r="AF520">
        <v>10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s="2">
        <v>8270</v>
      </c>
      <c r="AQ520">
        <f t="shared" si="17"/>
        <v>8270</v>
      </c>
      <c r="AR520" s="5">
        <f>VLOOKUP(F520,'[2]SCP_24-25'!$A:$D,4,0)</f>
        <v>114.80999999999999</v>
      </c>
      <c r="AS520" s="5">
        <f t="shared" si="18"/>
        <v>949478.7</v>
      </c>
    </row>
    <row r="521" spans="1:45" x14ac:dyDescent="0.3">
      <c r="A521" s="1">
        <v>45900.961111111108</v>
      </c>
      <c r="B521" t="s">
        <v>617</v>
      </c>
      <c r="C521" t="s">
        <v>618</v>
      </c>
      <c r="D521" t="s">
        <v>351</v>
      </c>
      <c r="E521" t="s">
        <v>345</v>
      </c>
      <c r="F521" t="s">
        <v>1635</v>
      </c>
      <c r="G521" t="s">
        <v>352</v>
      </c>
      <c r="H521" t="s">
        <v>130</v>
      </c>
      <c r="I521" t="s">
        <v>43</v>
      </c>
      <c r="J521">
        <v>112.62</v>
      </c>
      <c r="K521">
        <v>19</v>
      </c>
      <c r="L521">
        <v>10</v>
      </c>
      <c r="M521">
        <v>11</v>
      </c>
      <c r="N521">
        <v>72549</v>
      </c>
      <c r="O521">
        <v>314</v>
      </c>
      <c r="P521">
        <v>0</v>
      </c>
      <c r="Q521">
        <v>51</v>
      </c>
      <c r="R521">
        <v>2895</v>
      </c>
      <c r="S521" t="s">
        <v>44</v>
      </c>
      <c r="T521" t="s">
        <v>44</v>
      </c>
      <c r="U521" t="s">
        <v>44</v>
      </c>
      <c r="V521">
        <v>5876</v>
      </c>
      <c r="W521">
        <v>49</v>
      </c>
      <c r="X521" t="s">
        <v>44</v>
      </c>
      <c r="Y521">
        <v>5720</v>
      </c>
      <c r="Z521" t="s">
        <v>44</v>
      </c>
      <c r="AA521">
        <v>2</v>
      </c>
      <c r="AB521">
        <v>0</v>
      </c>
      <c r="AC521">
        <v>0</v>
      </c>
      <c r="AD521">
        <v>0</v>
      </c>
      <c r="AE521">
        <v>17</v>
      </c>
      <c r="AF521">
        <v>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s="2">
        <v>6192</v>
      </c>
      <c r="AQ521">
        <f t="shared" si="17"/>
        <v>6192</v>
      </c>
      <c r="AR521" s="5">
        <f>VLOOKUP(F521,'[2]SCP_24-25'!$A:$D,4,0)</f>
        <v>114.81</v>
      </c>
      <c r="AS521" s="5">
        <f t="shared" si="18"/>
        <v>710903.52</v>
      </c>
    </row>
    <row r="522" spans="1:45" x14ac:dyDescent="0.3">
      <c r="A522" s="1">
        <v>45900.961111111108</v>
      </c>
      <c r="B522" t="s">
        <v>617</v>
      </c>
      <c r="C522" t="s">
        <v>618</v>
      </c>
      <c r="D522" t="s">
        <v>367</v>
      </c>
      <c r="E522" t="s">
        <v>368</v>
      </c>
      <c r="F522" t="s">
        <v>1642</v>
      </c>
      <c r="G522" t="s">
        <v>369</v>
      </c>
      <c r="H522" t="s">
        <v>130</v>
      </c>
      <c r="I522" t="s">
        <v>43</v>
      </c>
      <c r="J522">
        <v>24.02</v>
      </c>
      <c r="K522">
        <v>19</v>
      </c>
      <c r="L522">
        <v>10</v>
      </c>
      <c r="M522">
        <v>11</v>
      </c>
      <c r="N522">
        <v>75235</v>
      </c>
      <c r="O522">
        <v>187</v>
      </c>
      <c r="P522">
        <v>0</v>
      </c>
      <c r="Q522">
        <v>34</v>
      </c>
      <c r="R522">
        <v>2530</v>
      </c>
      <c r="S522" t="s">
        <v>44</v>
      </c>
      <c r="T522" t="s">
        <v>44</v>
      </c>
      <c r="U522" t="s">
        <v>44</v>
      </c>
      <c r="V522">
        <v>6467</v>
      </c>
      <c r="W522">
        <v>196</v>
      </c>
      <c r="X522" t="s">
        <v>44</v>
      </c>
      <c r="Y522">
        <v>6466</v>
      </c>
      <c r="Z522" t="s">
        <v>44</v>
      </c>
      <c r="AA522">
        <v>15</v>
      </c>
      <c r="AB522">
        <v>0</v>
      </c>
      <c r="AC522">
        <v>0</v>
      </c>
      <c r="AD522">
        <v>0</v>
      </c>
      <c r="AE522">
        <v>8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s="2">
        <v>6669</v>
      </c>
      <c r="AQ522">
        <f t="shared" si="17"/>
        <v>6669</v>
      </c>
      <c r="AR522" s="5">
        <f>VLOOKUP(F522,'[2]SCP_24-25'!$A:$D,4,0)</f>
        <v>77.84</v>
      </c>
      <c r="AS522" s="5">
        <f t="shared" si="18"/>
        <v>519114.96</v>
      </c>
    </row>
    <row r="523" spans="1:45" x14ac:dyDescent="0.3">
      <c r="A523" s="1">
        <v>45900.961111111108</v>
      </c>
      <c r="B523" t="s">
        <v>617</v>
      </c>
      <c r="C523" t="s">
        <v>618</v>
      </c>
      <c r="D523" t="s">
        <v>370</v>
      </c>
      <c r="E523" t="s">
        <v>368</v>
      </c>
      <c r="F523" t="s">
        <v>1643</v>
      </c>
      <c r="G523" t="s">
        <v>371</v>
      </c>
      <c r="H523" t="s">
        <v>130</v>
      </c>
      <c r="I523" t="s">
        <v>43</v>
      </c>
      <c r="J523">
        <v>24.02</v>
      </c>
      <c r="K523">
        <v>19</v>
      </c>
      <c r="L523">
        <v>10</v>
      </c>
      <c r="M523">
        <v>11</v>
      </c>
      <c r="N523">
        <v>83994</v>
      </c>
      <c r="O523">
        <v>71</v>
      </c>
      <c r="P523">
        <v>0</v>
      </c>
      <c r="Q523">
        <v>55</v>
      </c>
      <c r="R523">
        <v>2614</v>
      </c>
      <c r="S523" t="s">
        <v>44</v>
      </c>
      <c r="T523" t="s">
        <v>44</v>
      </c>
      <c r="U523" t="s">
        <v>44</v>
      </c>
      <c r="V523">
        <v>4335</v>
      </c>
      <c r="W523">
        <v>722</v>
      </c>
      <c r="X523" t="s">
        <v>44</v>
      </c>
      <c r="Y523">
        <v>4272</v>
      </c>
      <c r="Z523" t="s">
        <v>44</v>
      </c>
      <c r="AA523">
        <v>1</v>
      </c>
      <c r="AB523">
        <v>0</v>
      </c>
      <c r="AC523">
        <v>0</v>
      </c>
      <c r="AD523">
        <v>0</v>
      </c>
      <c r="AE523">
        <v>5</v>
      </c>
      <c r="AF523">
        <v>2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 s="2">
        <v>4407</v>
      </c>
      <c r="AQ523">
        <f t="shared" si="17"/>
        <v>4407</v>
      </c>
      <c r="AR523" s="5">
        <f>VLOOKUP(F523,'[2]SCP_24-25'!$A:$D,4,0)</f>
        <v>77.84</v>
      </c>
      <c r="AS523" s="5">
        <f t="shared" si="18"/>
        <v>343040.88</v>
      </c>
    </row>
    <row r="524" spans="1:45" x14ac:dyDescent="0.3">
      <c r="A524" s="1">
        <v>45900.961111111108</v>
      </c>
      <c r="B524" t="s">
        <v>617</v>
      </c>
      <c r="C524" t="s">
        <v>618</v>
      </c>
      <c r="D524" t="s">
        <v>374</v>
      </c>
      <c r="E524" t="s">
        <v>368</v>
      </c>
      <c r="F524" t="s">
        <v>1645</v>
      </c>
      <c r="G524" t="s">
        <v>375</v>
      </c>
      <c r="H524" t="s">
        <v>130</v>
      </c>
      <c r="I524" t="s">
        <v>43</v>
      </c>
      <c r="J524">
        <v>24.02</v>
      </c>
      <c r="K524">
        <v>19</v>
      </c>
      <c r="L524">
        <v>10</v>
      </c>
      <c r="M524">
        <v>11</v>
      </c>
      <c r="N524">
        <v>70145</v>
      </c>
      <c r="O524">
        <v>117</v>
      </c>
      <c r="P524">
        <v>0</v>
      </c>
      <c r="Q524">
        <v>24</v>
      </c>
      <c r="R524">
        <v>3990</v>
      </c>
      <c r="S524" t="s">
        <v>44</v>
      </c>
      <c r="T524" t="s">
        <v>44</v>
      </c>
      <c r="U524" t="s">
        <v>44</v>
      </c>
      <c r="V524">
        <v>6998</v>
      </c>
      <c r="W524">
        <v>531</v>
      </c>
      <c r="X524" t="s">
        <v>44</v>
      </c>
      <c r="Y524">
        <v>6945</v>
      </c>
      <c r="Z524" t="s">
        <v>44</v>
      </c>
      <c r="AA524">
        <v>11</v>
      </c>
      <c r="AB524">
        <v>0</v>
      </c>
      <c r="AC524">
        <v>0</v>
      </c>
      <c r="AD524">
        <v>0</v>
      </c>
      <c r="AE524">
        <v>36</v>
      </c>
      <c r="AF524">
        <v>2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s="2">
        <v>7126</v>
      </c>
      <c r="AQ524">
        <f t="shared" si="17"/>
        <v>7126</v>
      </c>
      <c r="AR524" s="5">
        <f>VLOOKUP(F524,'[2]SCP_24-25'!$A:$D,4,0)</f>
        <v>78.453333333333333</v>
      </c>
      <c r="AS524" s="5">
        <f t="shared" si="18"/>
        <v>559058.45333333337</v>
      </c>
    </row>
    <row r="525" spans="1:45" x14ac:dyDescent="0.3">
      <c r="A525" s="1">
        <v>45900.961111111108</v>
      </c>
      <c r="B525" t="s">
        <v>617</v>
      </c>
      <c r="C525" t="s">
        <v>618</v>
      </c>
      <c r="D525" t="s">
        <v>1315</v>
      </c>
      <c r="E525" t="s">
        <v>1316</v>
      </c>
      <c r="F525" t="s">
        <v>2108</v>
      </c>
      <c r="G525" t="s">
        <v>1317</v>
      </c>
      <c r="H525" t="s">
        <v>621</v>
      </c>
      <c r="I525" t="s">
        <v>43</v>
      </c>
      <c r="J525">
        <v>822</v>
      </c>
      <c r="K525">
        <v>48</v>
      </c>
      <c r="L525">
        <v>22</v>
      </c>
      <c r="M525">
        <v>36</v>
      </c>
      <c r="N525">
        <v>36400</v>
      </c>
      <c r="O525">
        <v>0</v>
      </c>
      <c r="P525">
        <v>0</v>
      </c>
      <c r="Q525" t="s">
        <v>44</v>
      </c>
      <c r="R525">
        <v>6921</v>
      </c>
      <c r="S525" t="s">
        <v>44</v>
      </c>
      <c r="T525" t="s">
        <v>44</v>
      </c>
      <c r="U525" t="s">
        <v>44</v>
      </c>
      <c r="V525">
        <v>8191</v>
      </c>
      <c r="W525" t="s">
        <v>44</v>
      </c>
      <c r="X525" t="s">
        <v>44</v>
      </c>
      <c r="Y525">
        <v>8191</v>
      </c>
      <c r="Z525" t="s">
        <v>44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s="2">
        <v>8191</v>
      </c>
      <c r="AQ525">
        <f t="shared" si="17"/>
        <v>8191</v>
      </c>
      <c r="AR525" s="5">
        <f>VLOOKUP(F525,'[2]SCP_24-25'!$A:$D,4,0)</f>
        <v>47.625</v>
      </c>
      <c r="AS525" s="5">
        <f t="shared" si="18"/>
        <v>390096.375</v>
      </c>
    </row>
    <row r="526" spans="1:45" x14ac:dyDescent="0.3">
      <c r="A526" s="1">
        <v>45900.961111111108</v>
      </c>
      <c r="B526" t="s">
        <v>617</v>
      </c>
      <c r="C526" t="s">
        <v>618</v>
      </c>
      <c r="D526" t="s">
        <v>405</v>
      </c>
      <c r="F526" t="s">
        <v>1660</v>
      </c>
      <c r="G526" t="s">
        <v>406</v>
      </c>
      <c r="H526" t="s">
        <v>103</v>
      </c>
      <c r="I526" t="s">
        <v>43</v>
      </c>
      <c r="J526">
        <v>90</v>
      </c>
      <c r="K526">
        <v>19</v>
      </c>
      <c r="L526">
        <v>10</v>
      </c>
      <c r="M526">
        <v>11</v>
      </c>
      <c r="N526">
        <v>772300</v>
      </c>
      <c r="O526">
        <v>9011</v>
      </c>
      <c r="P526">
        <v>0</v>
      </c>
      <c r="Q526">
        <v>620</v>
      </c>
      <c r="R526">
        <v>2483</v>
      </c>
      <c r="S526" t="s">
        <v>44</v>
      </c>
      <c r="T526" t="s">
        <v>44</v>
      </c>
      <c r="U526" t="s">
        <v>44</v>
      </c>
      <c r="V526">
        <v>6238</v>
      </c>
      <c r="W526">
        <v>1756</v>
      </c>
      <c r="X526" t="s">
        <v>44</v>
      </c>
      <c r="Y526">
        <v>6138</v>
      </c>
      <c r="Z526" t="s">
        <v>44</v>
      </c>
      <c r="AA526">
        <v>212</v>
      </c>
      <c r="AB526">
        <v>0</v>
      </c>
      <c r="AC526">
        <v>0</v>
      </c>
      <c r="AD526">
        <v>0</v>
      </c>
      <c r="AE526">
        <v>0</v>
      </c>
      <c r="AF526">
        <v>53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s="2">
        <v>15461</v>
      </c>
      <c r="AQ526">
        <f t="shared" si="17"/>
        <v>15461</v>
      </c>
      <c r="AR526" s="5">
        <f>VLOOKUP(F526,'[2]SCP_24-25'!$A:$D,4,0)</f>
        <v>83.794500000000028</v>
      </c>
      <c r="AS526" s="5">
        <f t="shared" si="18"/>
        <v>1295546.7645000005</v>
      </c>
    </row>
    <row r="527" spans="1:45" x14ac:dyDescent="0.3">
      <c r="A527" s="1">
        <v>45900.961111111108</v>
      </c>
      <c r="B527" t="s">
        <v>617</v>
      </c>
      <c r="C527" t="s">
        <v>618</v>
      </c>
      <c r="D527" t="s">
        <v>423</v>
      </c>
      <c r="F527" t="s">
        <v>1668</v>
      </c>
      <c r="G527" t="s">
        <v>424</v>
      </c>
      <c r="H527" t="s">
        <v>66</v>
      </c>
      <c r="I527" t="s">
        <v>43</v>
      </c>
      <c r="J527">
        <v>123.19</v>
      </c>
      <c r="K527">
        <v>19</v>
      </c>
      <c r="L527">
        <v>10</v>
      </c>
      <c r="M527">
        <v>11</v>
      </c>
      <c r="N527">
        <v>231433</v>
      </c>
      <c r="O527">
        <v>1136</v>
      </c>
      <c r="P527">
        <v>0</v>
      </c>
      <c r="Q527">
        <v>196</v>
      </c>
      <c r="R527">
        <v>282</v>
      </c>
      <c r="S527" t="s">
        <v>44</v>
      </c>
      <c r="T527">
        <v>4304</v>
      </c>
      <c r="U527" t="s">
        <v>44</v>
      </c>
      <c r="V527">
        <v>9479</v>
      </c>
      <c r="W527">
        <v>37</v>
      </c>
      <c r="X527" t="s">
        <v>44</v>
      </c>
      <c r="Y527">
        <v>9480</v>
      </c>
      <c r="Z527" t="s">
        <v>44</v>
      </c>
      <c r="AA527">
        <v>7</v>
      </c>
      <c r="AB527">
        <v>0</v>
      </c>
      <c r="AC527">
        <v>0</v>
      </c>
      <c r="AD527">
        <v>0</v>
      </c>
      <c r="AE527">
        <v>0</v>
      </c>
      <c r="AF527">
        <v>16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s="2">
        <v>10622</v>
      </c>
      <c r="AQ527">
        <f t="shared" si="17"/>
        <v>10622</v>
      </c>
      <c r="AR527" s="5">
        <f>VLOOKUP(F527,'[2]SCP_24-25'!$A:$D,4,0)</f>
        <v>76.260909090909081</v>
      </c>
      <c r="AS527" s="5">
        <f t="shared" si="18"/>
        <v>810043.37636363623</v>
      </c>
    </row>
    <row r="528" spans="1:45" x14ac:dyDescent="0.3">
      <c r="A528" s="1">
        <v>45900.961111111108</v>
      </c>
      <c r="B528" t="s">
        <v>617</v>
      </c>
      <c r="C528" t="s">
        <v>618</v>
      </c>
      <c r="D528" t="s">
        <v>442</v>
      </c>
      <c r="F528" t="s">
        <v>1676</v>
      </c>
      <c r="G528" t="s">
        <v>443</v>
      </c>
      <c r="H528" t="s">
        <v>103</v>
      </c>
      <c r="I528" t="s">
        <v>43</v>
      </c>
      <c r="J528">
        <v>236.02</v>
      </c>
      <c r="K528">
        <v>19</v>
      </c>
      <c r="L528">
        <v>10</v>
      </c>
      <c r="M528">
        <v>11</v>
      </c>
      <c r="N528">
        <v>93380</v>
      </c>
      <c r="O528">
        <v>2270</v>
      </c>
      <c r="P528">
        <v>0</v>
      </c>
      <c r="Q528">
        <v>34</v>
      </c>
      <c r="R528">
        <v>9497</v>
      </c>
      <c r="S528" t="s">
        <v>44</v>
      </c>
      <c r="T528" t="s">
        <v>44</v>
      </c>
      <c r="U528" t="s">
        <v>44</v>
      </c>
      <c r="V528">
        <v>6612</v>
      </c>
      <c r="W528">
        <v>834</v>
      </c>
      <c r="X528" t="s">
        <v>44</v>
      </c>
      <c r="Y528">
        <v>6612</v>
      </c>
      <c r="Z528" t="s">
        <v>44</v>
      </c>
      <c r="AA528">
        <v>4</v>
      </c>
      <c r="AB528">
        <v>0</v>
      </c>
      <c r="AC528">
        <v>0</v>
      </c>
      <c r="AD528">
        <v>0</v>
      </c>
      <c r="AE528">
        <v>0</v>
      </c>
      <c r="AF528">
        <v>2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s="2">
        <v>8886</v>
      </c>
      <c r="AQ528">
        <f t="shared" si="17"/>
        <v>8886</v>
      </c>
      <c r="AR528" s="5">
        <f>VLOOKUP(F528,'[2]SCP_24-25'!$A:$D,4,0)</f>
        <v>57.620000000000005</v>
      </c>
      <c r="AS528" s="5">
        <f t="shared" si="18"/>
        <v>512011.32000000007</v>
      </c>
    </row>
    <row r="529" spans="1:45" x14ac:dyDescent="0.3">
      <c r="A529" s="1">
        <v>45900.961111111108</v>
      </c>
      <c r="B529" t="s">
        <v>617</v>
      </c>
      <c r="C529" t="s">
        <v>618</v>
      </c>
      <c r="D529" t="s">
        <v>520</v>
      </c>
      <c r="F529" t="s">
        <v>1714</v>
      </c>
      <c r="G529" t="s">
        <v>521</v>
      </c>
      <c r="H529" t="s">
        <v>103</v>
      </c>
      <c r="I529" t="s">
        <v>43</v>
      </c>
      <c r="J529">
        <v>122</v>
      </c>
      <c r="K529">
        <v>19</v>
      </c>
      <c r="L529">
        <v>10</v>
      </c>
      <c r="M529">
        <v>11</v>
      </c>
      <c r="N529">
        <v>70108</v>
      </c>
      <c r="O529">
        <v>515</v>
      </c>
      <c r="P529">
        <v>0</v>
      </c>
      <c r="Q529">
        <v>22</v>
      </c>
      <c r="R529">
        <v>102</v>
      </c>
      <c r="S529" t="s">
        <v>44</v>
      </c>
      <c r="T529" t="s">
        <v>44</v>
      </c>
      <c r="U529" t="s">
        <v>44</v>
      </c>
      <c r="V529">
        <v>6038</v>
      </c>
      <c r="W529">
        <v>33</v>
      </c>
      <c r="X529" t="s">
        <v>44</v>
      </c>
      <c r="Y529">
        <v>6038</v>
      </c>
      <c r="Z529" t="s">
        <v>44</v>
      </c>
      <c r="AA529">
        <v>14</v>
      </c>
      <c r="AB529">
        <v>0</v>
      </c>
      <c r="AC529">
        <v>0</v>
      </c>
      <c r="AD529">
        <v>0</v>
      </c>
      <c r="AE529">
        <v>0</v>
      </c>
      <c r="AF529">
        <v>8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s="2">
        <v>6567</v>
      </c>
      <c r="AQ529">
        <f t="shared" si="17"/>
        <v>6567</v>
      </c>
      <c r="AR529" s="5">
        <f>VLOOKUP(F529,'[2]SCP_24-25'!$A:$D,4,0)</f>
        <v>90.48</v>
      </c>
      <c r="AS529" s="5">
        <f t="shared" si="18"/>
        <v>594182.16</v>
      </c>
    </row>
    <row r="530" spans="1:45" x14ac:dyDescent="0.3">
      <c r="A530" s="1">
        <v>45900.961111111108</v>
      </c>
      <c r="B530" t="s">
        <v>617</v>
      </c>
      <c r="C530" t="s">
        <v>618</v>
      </c>
      <c r="D530" t="s">
        <v>483</v>
      </c>
      <c r="F530" t="s">
        <v>1696</v>
      </c>
      <c r="G530" t="s">
        <v>484</v>
      </c>
      <c r="H530" t="s">
        <v>130</v>
      </c>
      <c r="I530" t="s">
        <v>43</v>
      </c>
      <c r="J530">
        <v>24.02</v>
      </c>
      <c r="K530">
        <v>19</v>
      </c>
      <c r="L530">
        <v>10</v>
      </c>
      <c r="M530">
        <v>11</v>
      </c>
      <c r="N530">
        <v>41445</v>
      </c>
      <c r="O530">
        <v>9</v>
      </c>
      <c r="P530">
        <v>0</v>
      </c>
      <c r="Q530">
        <v>44</v>
      </c>
      <c r="R530" t="s">
        <v>44</v>
      </c>
      <c r="S530" t="s">
        <v>44</v>
      </c>
      <c r="T530" t="s">
        <v>44</v>
      </c>
      <c r="U530" t="s">
        <v>44</v>
      </c>
      <c r="V530">
        <v>7260</v>
      </c>
      <c r="W530">
        <v>82</v>
      </c>
      <c r="X530" t="s">
        <v>44</v>
      </c>
      <c r="Y530">
        <v>7260</v>
      </c>
      <c r="Z530" t="s">
        <v>44</v>
      </c>
      <c r="AA530">
        <v>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s="2">
        <v>7271</v>
      </c>
      <c r="AQ530">
        <f t="shared" si="17"/>
        <v>7271</v>
      </c>
      <c r="AR530" s="5">
        <f>VLOOKUP(F530,'[2]SCP_24-25'!$A:$D,4,0)</f>
        <v>79.066666666666677</v>
      </c>
      <c r="AS530" s="5">
        <f t="shared" si="18"/>
        <v>574893.7333333334</v>
      </c>
    </row>
    <row r="531" spans="1:45" x14ac:dyDescent="0.3">
      <c r="A531" s="1">
        <v>45900.961111111108</v>
      </c>
      <c r="B531" t="s">
        <v>617</v>
      </c>
      <c r="C531" t="s">
        <v>618</v>
      </c>
      <c r="D531" t="s">
        <v>526</v>
      </c>
      <c r="F531" t="s">
        <v>1717</v>
      </c>
      <c r="G531" t="s">
        <v>527</v>
      </c>
      <c r="H531" t="s">
        <v>130</v>
      </c>
      <c r="I531" t="s">
        <v>43</v>
      </c>
      <c r="J531">
        <v>23</v>
      </c>
      <c r="K531">
        <v>19</v>
      </c>
      <c r="L531">
        <v>10</v>
      </c>
      <c r="M531">
        <v>11</v>
      </c>
      <c r="N531">
        <v>45960</v>
      </c>
      <c r="O531">
        <v>19</v>
      </c>
      <c r="P531">
        <v>0</v>
      </c>
      <c r="Q531">
        <v>6</v>
      </c>
      <c r="R531">
        <v>1</v>
      </c>
      <c r="S531" t="s">
        <v>44</v>
      </c>
      <c r="T531" t="s">
        <v>44</v>
      </c>
      <c r="U531" t="s">
        <v>44</v>
      </c>
      <c r="V531">
        <v>9282</v>
      </c>
      <c r="W531">
        <v>126</v>
      </c>
      <c r="X531" t="s">
        <v>44</v>
      </c>
      <c r="Y531">
        <v>9282</v>
      </c>
      <c r="Z531" t="s">
        <v>44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s="2">
        <v>9301</v>
      </c>
      <c r="AQ531">
        <f t="shared" si="17"/>
        <v>9301</v>
      </c>
      <c r="AR531" s="5">
        <f>VLOOKUP(F531,'[2]SCP_24-25'!$A:$D,4,0)</f>
        <v>79.680000000000007</v>
      </c>
      <c r="AS531" s="5">
        <f t="shared" si="18"/>
        <v>741103.68</v>
      </c>
    </row>
    <row r="532" spans="1:45" x14ac:dyDescent="0.3">
      <c r="A532" s="1">
        <v>45900.961111111108</v>
      </c>
      <c r="B532" t="s">
        <v>617</v>
      </c>
      <c r="C532" t="s">
        <v>618</v>
      </c>
      <c r="D532" t="s">
        <v>566</v>
      </c>
      <c r="F532" t="s">
        <v>1737</v>
      </c>
      <c r="G532" t="s">
        <v>567</v>
      </c>
      <c r="H532" t="s">
        <v>130</v>
      </c>
      <c r="I532" t="s">
        <v>43</v>
      </c>
      <c r="J532">
        <v>24.02</v>
      </c>
      <c r="K532">
        <v>19</v>
      </c>
      <c r="L532">
        <v>10</v>
      </c>
      <c r="M532">
        <v>11</v>
      </c>
      <c r="N532">
        <v>32362</v>
      </c>
      <c r="O532">
        <v>16</v>
      </c>
      <c r="P532">
        <v>0</v>
      </c>
      <c r="Q532">
        <v>12</v>
      </c>
      <c r="R532">
        <v>1</v>
      </c>
      <c r="S532" t="s">
        <v>44</v>
      </c>
      <c r="T532" t="s">
        <v>44</v>
      </c>
      <c r="U532" t="s">
        <v>44</v>
      </c>
      <c r="V532">
        <v>4793</v>
      </c>
      <c r="W532">
        <v>172</v>
      </c>
      <c r="X532" t="s">
        <v>44</v>
      </c>
      <c r="Y532">
        <v>4793</v>
      </c>
      <c r="Z532" t="s">
        <v>44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2">
        <v>4809</v>
      </c>
      <c r="AQ532">
        <f t="shared" si="17"/>
        <v>4809</v>
      </c>
      <c r="AR532" s="5">
        <f>VLOOKUP(F532,'[2]SCP_24-25'!$A:$D,4,0)</f>
        <v>79.680000000000007</v>
      </c>
      <c r="AS532" s="5">
        <f t="shared" si="18"/>
        <v>383181.12000000005</v>
      </c>
    </row>
    <row r="533" spans="1:45" x14ac:dyDescent="0.3">
      <c r="A533" s="1">
        <v>45900.961111111108</v>
      </c>
      <c r="B533" t="s">
        <v>617</v>
      </c>
      <c r="C533" t="s">
        <v>618</v>
      </c>
      <c r="D533" t="s">
        <v>568</v>
      </c>
      <c r="F533" t="s">
        <v>1738</v>
      </c>
      <c r="G533" t="s">
        <v>569</v>
      </c>
      <c r="H533" t="s">
        <v>130</v>
      </c>
      <c r="I533" t="s">
        <v>43</v>
      </c>
      <c r="J533">
        <v>24.02</v>
      </c>
      <c r="K533">
        <v>19</v>
      </c>
      <c r="L533">
        <v>10</v>
      </c>
      <c r="M533">
        <v>11</v>
      </c>
      <c r="N533">
        <v>35046</v>
      </c>
      <c r="O533">
        <v>41</v>
      </c>
      <c r="P533">
        <v>0</v>
      </c>
      <c r="Q533">
        <v>12</v>
      </c>
      <c r="R533">
        <v>2</v>
      </c>
      <c r="S533" t="s">
        <v>44</v>
      </c>
      <c r="T533" t="s">
        <v>44</v>
      </c>
      <c r="U533" t="s">
        <v>44</v>
      </c>
      <c r="V533">
        <v>6094</v>
      </c>
      <c r="W533">
        <v>63</v>
      </c>
      <c r="X533" t="s">
        <v>44</v>
      </c>
      <c r="Y533">
        <v>6094</v>
      </c>
      <c r="Z533" t="s">
        <v>44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s="2">
        <v>6135</v>
      </c>
      <c r="AQ533">
        <f t="shared" si="17"/>
        <v>6135</v>
      </c>
      <c r="AR533" s="5">
        <f>VLOOKUP(F533,'[2]SCP_24-25'!$A:$D,4,0)</f>
        <v>79.680000000000007</v>
      </c>
      <c r="AS533" s="5">
        <f t="shared" si="18"/>
        <v>488836.80000000005</v>
      </c>
    </row>
    <row r="534" spans="1:45" x14ac:dyDescent="0.3">
      <c r="A534" s="1">
        <v>45900.961111111108</v>
      </c>
      <c r="B534" t="s">
        <v>617</v>
      </c>
      <c r="C534" t="s">
        <v>618</v>
      </c>
      <c r="D534" t="s">
        <v>588</v>
      </c>
      <c r="F534" t="s">
        <v>1748</v>
      </c>
      <c r="G534" t="s">
        <v>589</v>
      </c>
      <c r="H534" t="s">
        <v>130</v>
      </c>
      <c r="I534" t="s">
        <v>43</v>
      </c>
      <c r="J534">
        <v>24.02</v>
      </c>
      <c r="K534">
        <v>19</v>
      </c>
      <c r="L534">
        <v>10</v>
      </c>
      <c r="M534">
        <v>11</v>
      </c>
      <c r="N534">
        <v>41030</v>
      </c>
      <c r="O534">
        <v>129</v>
      </c>
      <c r="P534">
        <v>0</v>
      </c>
      <c r="Q534">
        <v>9</v>
      </c>
      <c r="R534">
        <v>7</v>
      </c>
      <c r="S534" t="s">
        <v>44</v>
      </c>
      <c r="T534" t="s">
        <v>44</v>
      </c>
      <c r="U534" t="s">
        <v>44</v>
      </c>
      <c r="V534">
        <v>5697</v>
      </c>
      <c r="W534">
        <v>106</v>
      </c>
      <c r="X534" t="s">
        <v>44</v>
      </c>
      <c r="Y534">
        <v>5697</v>
      </c>
      <c r="Z534" t="s">
        <v>44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2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s="2">
        <v>5827</v>
      </c>
      <c r="AQ534">
        <f t="shared" si="17"/>
        <v>5827</v>
      </c>
      <c r="AR534" s="5">
        <f>VLOOKUP(F534,'[2]SCP_24-25'!$A:$D,4,0)</f>
        <v>77.84</v>
      </c>
      <c r="AS534" s="5">
        <f t="shared" si="18"/>
        <v>453573.68</v>
      </c>
    </row>
    <row r="535" spans="1:45" x14ac:dyDescent="0.3">
      <c r="A535" s="1">
        <v>45900.961111111108</v>
      </c>
      <c r="B535" t="s">
        <v>617</v>
      </c>
      <c r="C535" t="s">
        <v>618</v>
      </c>
      <c r="D535" t="s">
        <v>427</v>
      </c>
      <c r="F535" t="s">
        <v>1670</v>
      </c>
      <c r="G535" t="s">
        <v>428</v>
      </c>
      <c r="H535" t="s">
        <v>130</v>
      </c>
      <c r="I535" t="s">
        <v>43</v>
      </c>
      <c r="J535">
        <v>24.02</v>
      </c>
      <c r="K535">
        <v>19</v>
      </c>
      <c r="L535">
        <v>10</v>
      </c>
      <c r="M535">
        <v>11</v>
      </c>
      <c r="N535">
        <v>45693</v>
      </c>
      <c r="O535">
        <v>23</v>
      </c>
      <c r="P535">
        <v>0</v>
      </c>
      <c r="Q535">
        <v>2</v>
      </c>
      <c r="R535">
        <v>2</v>
      </c>
      <c r="S535" t="s">
        <v>44</v>
      </c>
      <c r="T535" t="s">
        <v>44</v>
      </c>
      <c r="U535" t="s">
        <v>44</v>
      </c>
      <c r="V535">
        <v>6682</v>
      </c>
      <c r="W535">
        <v>192</v>
      </c>
      <c r="X535" t="s">
        <v>44</v>
      </c>
      <c r="Y535">
        <v>6682</v>
      </c>
      <c r="Z535" t="s">
        <v>44</v>
      </c>
      <c r="AA535">
        <v>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s="2">
        <v>6711</v>
      </c>
      <c r="AQ535">
        <f t="shared" si="17"/>
        <v>6711</v>
      </c>
      <c r="AR535" s="5">
        <f>VLOOKUP(F535,'[2]SCP_24-25'!$A:$D,4,0)</f>
        <v>79.680000000000007</v>
      </c>
      <c r="AS535" s="5">
        <f t="shared" si="18"/>
        <v>534732.4800000001</v>
      </c>
    </row>
    <row r="536" spans="1:45" x14ac:dyDescent="0.3">
      <c r="A536" s="1">
        <v>45900.961111111108</v>
      </c>
      <c r="B536" t="s">
        <v>617</v>
      </c>
      <c r="C536" t="s">
        <v>618</v>
      </c>
      <c r="D536" t="s">
        <v>485</v>
      </c>
      <c r="F536" t="s">
        <v>1697</v>
      </c>
      <c r="G536" t="s">
        <v>486</v>
      </c>
      <c r="H536" t="s">
        <v>130</v>
      </c>
      <c r="I536" t="s">
        <v>43</v>
      </c>
      <c r="J536">
        <v>24.02</v>
      </c>
      <c r="K536">
        <v>19</v>
      </c>
      <c r="L536">
        <v>10</v>
      </c>
      <c r="M536">
        <v>11</v>
      </c>
      <c r="N536">
        <v>37355</v>
      </c>
      <c r="O536">
        <v>35</v>
      </c>
      <c r="P536">
        <v>0</v>
      </c>
      <c r="Q536">
        <v>8</v>
      </c>
      <c r="R536">
        <v>2</v>
      </c>
      <c r="S536" t="s">
        <v>44</v>
      </c>
      <c r="T536" t="s">
        <v>44</v>
      </c>
      <c r="U536" t="s">
        <v>44</v>
      </c>
      <c r="V536">
        <v>7057</v>
      </c>
      <c r="W536">
        <v>106</v>
      </c>
      <c r="X536" t="s">
        <v>44</v>
      </c>
      <c r="Y536">
        <v>7057</v>
      </c>
      <c r="Z536" t="s">
        <v>44</v>
      </c>
      <c r="AA536">
        <v>6</v>
      </c>
      <c r="AB536">
        <v>0</v>
      </c>
      <c r="AC536">
        <v>0</v>
      </c>
      <c r="AD536">
        <v>0</v>
      </c>
      <c r="AE536">
        <v>0</v>
      </c>
      <c r="AF536">
        <v>2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s="2">
        <v>7098</v>
      </c>
      <c r="AQ536">
        <f t="shared" si="17"/>
        <v>7098</v>
      </c>
      <c r="AR536" s="5">
        <f>VLOOKUP(F536,'[2]SCP_24-25'!$A:$D,4,0)</f>
        <v>79.680000000000007</v>
      </c>
      <c r="AS536" s="5">
        <f t="shared" si="18"/>
        <v>565568.64</v>
      </c>
    </row>
    <row r="537" spans="1:45" x14ac:dyDescent="0.3">
      <c r="A537" s="1">
        <v>45900.961111111108</v>
      </c>
      <c r="B537" t="s">
        <v>617</v>
      </c>
      <c r="C537" t="s">
        <v>618</v>
      </c>
      <c r="D537" t="s">
        <v>570</v>
      </c>
      <c r="F537" t="s">
        <v>1739</v>
      </c>
      <c r="G537" t="s">
        <v>571</v>
      </c>
      <c r="H537" t="s">
        <v>130</v>
      </c>
      <c r="I537" t="s">
        <v>43</v>
      </c>
      <c r="J537">
        <v>24</v>
      </c>
      <c r="K537">
        <v>19</v>
      </c>
      <c r="L537">
        <v>10</v>
      </c>
      <c r="M537">
        <v>11</v>
      </c>
      <c r="N537">
        <v>39078</v>
      </c>
      <c r="O537">
        <v>78</v>
      </c>
      <c r="P537">
        <v>0</v>
      </c>
      <c r="Q537">
        <v>18</v>
      </c>
      <c r="R537" t="s">
        <v>44</v>
      </c>
      <c r="S537" t="s">
        <v>44</v>
      </c>
      <c r="T537" t="s">
        <v>44</v>
      </c>
      <c r="U537" t="s">
        <v>44</v>
      </c>
      <c r="V537">
        <v>5695</v>
      </c>
      <c r="W537">
        <v>120</v>
      </c>
      <c r="X537" t="s">
        <v>44</v>
      </c>
      <c r="Y537">
        <v>5695</v>
      </c>
      <c r="Z537" t="s">
        <v>44</v>
      </c>
      <c r="AA537">
        <v>5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s="2">
        <v>5778</v>
      </c>
      <c r="AQ537">
        <f t="shared" si="17"/>
        <v>5778</v>
      </c>
      <c r="AR537" s="5">
        <f>VLOOKUP(F537,'[2]SCP_24-25'!$A:$D,4,0)</f>
        <v>79.680000000000007</v>
      </c>
      <c r="AS537" s="5">
        <f t="shared" si="18"/>
        <v>460391.04000000004</v>
      </c>
    </row>
    <row r="538" spans="1:45" x14ac:dyDescent="0.3">
      <c r="A538" s="1">
        <v>45900.961111111108</v>
      </c>
      <c r="B538" t="s">
        <v>617</v>
      </c>
      <c r="C538" t="s">
        <v>618</v>
      </c>
      <c r="D538" t="s">
        <v>528</v>
      </c>
      <c r="F538" t="s">
        <v>1718</v>
      </c>
      <c r="G538" t="s">
        <v>529</v>
      </c>
      <c r="H538" t="s">
        <v>130</v>
      </c>
      <c r="I538" t="s">
        <v>43</v>
      </c>
      <c r="J538">
        <v>24.02</v>
      </c>
      <c r="K538">
        <v>19</v>
      </c>
      <c r="L538">
        <v>10</v>
      </c>
      <c r="M538">
        <v>11</v>
      </c>
      <c r="N538">
        <v>35970</v>
      </c>
      <c r="O538">
        <v>22</v>
      </c>
      <c r="P538">
        <v>0</v>
      </c>
      <c r="Q538">
        <v>30</v>
      </c>
      <c r="R538" t="s">
        <v>44</v>
      </c>
      <c r="S538" t="s">
        <v>44</v>
      </c>
      <c r="T538" t="s">
        <v>44</v>
      </c>
      <c r="U538" t="s">
        <v>44</v>
      </c>
      <c r="V538">
        <v>5268</v>
      </c>
      <c r="W538">
        <v>108</v>
      </c>
      <c r="X538" t="s">
        <v>44</v>
      </c>
      <c r="Y538">
        <v>5268</v>
      </c>
      <c r="Z538" t="s">
        <v>44</v>
      </c>
      <c r="AA538">
        <v>5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s="2">
        <v>5295</v>
      </c>
      <c r="AQ538">
        <f t="shared" ref="AQ538:AQ600" si="19">O538+P538+V538+AA538</f>
        <v>5295</v>
      </c>
      <c r="AR538" s="5">
        <f>VLOOKUP(F538,'[2]SCP_24-25'!$A:$D,4,0)</f>
        <v>79.680000000000007</v>
      </c>
      <c r="AS538" s="5">
        <f t="shared" si="18"/>
        <v>421905.60000000003</v>
      </c>
    </row>
    <row r="539" spans="1:45" x14ac:dyDescent="0.3">
      <c r="A539" s="1">
        <v>45900.961111111108</v>
      </c>
      <c r="B539" t="s">
        <v>617</v>
      </c>
      <c r="C539" t="s">
        <v>618</v>
      </c>
      <c r="D539" t="s">
        <v>530</v>
      </c>
      <c r="F539" t="s">
        <v>1719</v>
      </c>
      <c r="G539" t="s">
        <v>531</v>
      </c>
      <c r="H539" t="s">
        <v>130</v>
      </c>
      <c r="I539" t="s">
        <v>43</v>
      </c>
      <c r="J539">
        <v>38.020000000000003</v>
      </c>
      <c r="K539">
        <v>19</v>
      </c>
      <c r="L539">
        <v>10</v>
      </c>
      <c r="M539">
        <v>11</v>
      </c>
      <c r="N539">
        <v>30232</v>
      </c>
      <c r="O539">
        <v>77</v>
      </c>
      <c r="P539">
        <v>0</v>
      </c>
      <c r="Q539">
        <v>28</v>
      </c>
      <c r="R539">
        <v>3</v>
      </c>
      <c r="S539" t="s">
        <v>44</v>
      </c>
      <c r="T539" t="s">
        <v>44</v>
      </c>
      <c r="U539" t="s">
        <v>44</v>
      </c>
      <c r="V539">
        <v>6004</v>
      </c>
      <c r="W539">
        <v>273</v>
      </c>
      <c r="X539" t="s">
        <v>44</v>
      </c>
      <c r="Y539">
        <v>6004</v>
      </c>
      <c r="Z539" t="s">
        <v>44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s="2">
        <v>6081</v>
      </c>
      <c r="AQ539">
        <f t="shared" si="19"/>
        <v>6081</v>
      </c>
      <c r="AR539" s="5">
        <f>VLOOKUP(F539,'[2]SCP_24-25'!$A:$D,4,0)</f>
        <v>73.05</v>
      </c>
      <c r="AS539" s="5">
        <f t="shared" si="18"/>
        <v>444217.05</v>
      </c>
    </row>
    <row r="540" spans="1:45" x14ac:dyDescent="0.3">
      <c r="A540" s="1">
        <v>45900.961111111108</v>
      </c>
      <c r="B540" t="s">
        <v>617</v>
      </c>
      <c r="C540" t="s">
        <v>618</v>
      </c>
      <c r="D540" t="s">
        <v>532</v>
      </c>
      <c r="F540" t="s">
        <v>1720</v>
      </c>
      <c r="G540" t="s">
        <v>533</v>
      </c>
      <c r="H540" t="s">
        <v>130</v>
      </c>
      <c r="I540" t="s">
        <v>43</v>
      </c>
      <c r="J540">
        <v>38.020000000000003</v>
      </c>
      <c r="K540">
        <v>19</v>
      </c>
      <c r="L540">
        <v>10</v>
      </c>
      <c r="M540">
        <v>11</v>
      </c>
      <c r="N540">
        <v>28331</v>
      </c>
      <c r="O540">
        <v>55</v>
      </c>
      <c r="P540">
        <v>0</v>
      </c>
      <c r="Q540">
        <v>9</v>
      </c>
      <c r="R540">
        <v>3</v>
      </c>
      <c r="S540" t="s">
        <v>44</v>
      </c>
      <c r="T540" t="s">
        <v>44</v>
      </c>
      <c r="U540" t="s">
        <v>44</v>
      </c>
      <c r="V540">
        <v>4643</v>
      </c>
      <c r="W540">
        <v>147</v>
      </c>
      <c r="X540" t="s">
        <v>44</v>
      </c>
      <c r="Y540">
        <v>4643</v>
      </c>
      <c r="Z540" t="s">
        <v>44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s="2">
        <v>4698</v>
      </c>
      <c r="AQ540">
        <f t="shared" si="19"/>
        <v>4698</v>
      </c>
      <c r="AR540" s="5">
        <f>VLOOKUP(F540,'[2]SCP_24-25'!$A:$D,4,0)</f>
        <v>73.05</v>
      </c>
      <c r="AS540" s="5">
        <f t="shared" si="18"/>
        <v>343188.89999999997</v>
      </c>
    </row>
    <row r="541" spans="1:45" x14ac:dyDescent="0.3">
      <c r="A541" s="1">
        <v>45900.961111111108</v>
      </c>
      <c r="B541" t="s">
        <v>617</v>
      </c>
      <c r="C541" t="s">
        <v>618</v>
      </c>
      <c r="D541" t="s">
        <v>489</v>
      </c>
      <c r="F541" t="s">
        <v>1699</v>
      </c>
      <c r="G541" t="s">
        <v>490</v>
      </c>
      <c r="H541" t="s">
        <v>130</v>
      </c>
      <c r="I541" t="s">
        <v>43</v>
      </c>
      <c r="J541">
        <v>38.020000000000003</v>
      </c>
      <c r="K541">
        <v>19</v>
      </c>
      <c r="L541">
        <v>10</v>
      </c>
      <c r="M541">
        <v>11</v>
      </c>
      <c r="N541">
        <v>29412</v>
      </c>
      <c r="O541">
        <v>28</v>
      </c>
      <c r="P541">
        <v>0</v>
      </c>
      <c r="Q541">
        <v>98</v>
      </c>
      <c r="R541">
        <v>1</v>
      </c>
      <c r="S541" t="s">
        <v>44</v>
      </c>
      <c r="T541" t="s">
        <v>44</v>
      </c>
      <c r="U541" t="s">
        <v>44</v>
      </c>
      <c r="V541">
        <v>5105</v>
      </c>
      <c r="W541">
        <v>449</v>
      </c>
      <c r="X541" t="s">
        <v>44</v>
      </c>
      <c r="Y541">
        <v>5105</v>
      </c>
      <c r="Z541" t="s">
        <v>44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s="2">
        <v>5134</v>
      </c>
      <c r="AQ541">
        <f t="shared" si="19"/>
        <v>5134</v>
      </c>
      <c r="AR541" s="5">
        <f>VLOOKUP(F541,'[2]SCP_24-25'!$A:$D,4,0)</f>
        <v>73.05</v>
      </c>
      <c r="AS541" s="5">
        <f t="shared" si="18"/>
        <v>375038.7</v>
      </c>
    </row>
    <row r="542" spans="1:45" x14ac:dyDescent="0.3">
      <c r="A542" s="1">
        <v>45900.961111111108</v>
      </c>
      <c r="B542" t="s">
        <v>617</v>
      </c>
      <c r="C542" t="s">
        <v>618</v>
      </c>
      <c r="D542" t="s">
        <v>453</v>
      </c>
      <c r="F542" t="s">
        <v>1681</v>
      </c>
      <c r="G542" t="s">
        <v>454</v>
      </c>
      <c r="H542" t="s">
        <v>130</v>
      </c>
      <c r="I542" t="s">
        <v>43</v>
      </c>
      <c r="J542">
        <v>38.020000000000003</v>
      </c>
      <c r="K542">
        <v>19</v>
      </c>
      <c r="L542">
        <v>10</v>
      </c>
      <c r="M542">
        <v>11</v>
      </c>
      <c r="N542">
        <v>33489</v>
      </c>
      <c r="O542">
        <v>4</v>
      </c>
      <c r="P542">
        <v>0</v>
      </c>
      <c r="Q542">
        <v>8</v>
      </c>
      <c r="R542">
        <v>10</v>
      </c>
      <c r="S542" t="s">
        <v>44</v>
      </c>
      <c r="T542" t="s">
        <v>44</v>
      </c>
      <c r="U542" t="s">
        <v>44</v>
      </c>
      <c r="V542">
        <v>7340</v>
      </c>
      <c r="W542">
        <v>380</v>
      </c>
      <c r="X542" t="s">
        <v>44</v>
      </c>
      <c r="Y542">
        <v>7340</v>
      </c>
      <c r="Z542" t="s">
        <v>44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s="2">
        <v>7344</v>
      </c>
      <c r="AQ542">
        <f t="shared" si="19"/>
        <v>7344</v>
      </c>
      <c r="AR542" s="5">
        <f>VLOOKUP(F542,'[2]SCP_24-25'!$A:$D,4,0)</f>
        <v>73.05</v>
      </c>
      <c r="AS542" s="5">
        <f t="shared" si="18"/>
        <v>536479.19999999995</v>
      </c>
    </row>
    <row r="543" spans="1:45" x14ac:dyDescent="0.3">
      <c r="A543" s="1">
        <v>45900.961111111108</v>
      </c>
      <c r="B543" t="s">
        <v>617</v>
      </c>
      <c r="C543" t="s">
        <v>618</v>
      </c>
      <c r="D543" t="s">
        <v>534</v>
      </c>
      <c r="F543" t="s">
        <v>1721</v>
      </c>
      <c r="G543" t="s">
        <v>535</v>
      </c>
      <c r="H543" t="s">
        <v>130</v>
      </c>
      <c r="I543" t="s">
        <v>43</v>
      </c>
      <c r="J543">
        <v>40.020000000000003</v>
      </c>
      <c r="K543">
        <v>19</v>
      </c>
      <c r="L543">
        <v>10</v>
      </c>
      <c r="M543">
        <v>11</v>
      </c>
      <c r="N543">
        <v>22009</v>
      </c>
      <c r="O543">
        <v>83</v>
      </c>
      <c r="P543">
        <v>0</v>
      </c>
      <c r="Q543">
        <v>4</v>
      </c>
      <c r="R543">
        <v>10</v>
      </c>
      <c r="S543" t="s">
        <v>44</v>
      </c>
      <c r="T543" t="s">
        <v>44</v>
      </c>
      <c r="U543" t="s">
        <v>44</v>
      </c>
      <c r="V543">
        <v>4727</v>
      </c>
      <c r="W543">
        <v>1</v>
      </c>
      <c r="X543" t="s">
        <v>44</v>
      </c>
      <c r="Y543">
        <v>4727</v>
      </c>
      <c r="Z543" t="s">
        <v>44</v>
      </c>
      <c r="AA543">
        <v>6</v>
      </c>
      <c r="AB543">
        <v>0</v>
      </c>
      <c r="AC543">
        <v>0</v>
      </c>
      <c r="AD543">
        <v>0</v>
      </c>
      <c r="AE543">
        <v>0</v>
      </c>
      <c r="AF543">
        <v>3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s="2">
        <v>4816</v>
      </c>
      <c r="AQ543">
        <f t="shared" si="19"/>
        <v>4816</v>
      </c>
      <c r="AR543" s="5">
        <f>VLOOKUP(F543,'[2]SCP_24-25'!$A:$D,4,0)</f>
        <v>98.3</v>
      </c>
      <c r="AS543" s="5">
        <f t="shared" si="18"/>
        <v>473412.8</v>
      </c>
    </row>
    <row r="544" spans="1:45" x14ac:dyDescent="0.3">
      <c r="A544" s="1">
        <v>45900.961111111108</v>
      </c>
      <c r="B544" t="s">
        <v>617</v>
      </c>
      <c r="C544" t="s">
        <v>618</v>
      </c>
      <c r="D544" t="s">
        <v>491</v>
      </c>
      <c r="F544" t="s">
        <v>1700</v>
      </c>
      <c r="G544" t="s">
        <v>492</v>
      </c>
      <c r="H544" t="s">
        <v>130</v>
      </c>
      <c r="I544" t="s">
        <v>43</v>
      </c>
      <c r="J544">
        <v>40.020000000000003</v>
      </c>
      <c r="K544">
        <v>19</v>
      </c>
      <c r="L544">
        <v>10</v>
      </c>
      <c r="M544">
        <v>11</v>
      </c>
      <c r="N544">
        <v>19776</v>
      </c>
      <c r="O544">
        <v>64</v>
      </c>
      <c r="P544">
        <v>0</v>
      </c>
      <c r="Q544">
        <v>20</v>
      </c>
      <c r="R544">
        <v>6</v>
      </c>
      <c r="S544" t="s">
        <v>44</v>
      </c>
      <c r="T544" t="s">
        <v>44</v>
      </c>
      <c r="U544" t="s">
        <v>44</v>
      </c>
      <c r="V544">
        <v>7225</v>
      </c>
      <c r="W544">
        <v>37</v>
      </c>
      <c r="X544" t="s">
        <v>44</v>
      </c>
      <c r="Y544">
        <v>7225</v>
      </c>
      <c r="Z544" t="s">
        <v>44</v>
      </c>
      <c r="AA544">
        <v>7</v>
      </c>
      <c r="AB544">
        <v>0</v>
      </c>
      <c r="AC544">
        <v>0</v>
      </c>
      <c r="AD544">
        <v>0</v>
      </c>
      <c r="AE544">
        <v>0</v>
      </c>
      <c r="AF544">
        <v>5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s="2">
        <v>7296</v>
      </c>
      <c r="AQ544">
        <f t="shared" si="19"/>
        <v>7296</v>
      </c>
      <c r="AR544" s="5">
        <f>VLOOKUP(F544,'[2]SCP_24-25'!$A:$D,4,0)</f>
        <v>98.3</v>
      </c>
      <c r="AS544" s="5">
        <f t="shared" si="18"/>
        <v>717196.79999999993</v>
      </c>
    </row>
    <row r="545" spans="1:45" x14ac:dyDescent="0.3">
      <c r="A545" s="1">
        <v>45900.961111111108</v>
      </c>
      <c r="B545" t="s">
        <v>617</v>
      </c>
      <c r="C545" t="s">
        <v>618</v>
      </c>
      <c r="D545" t="s">
        <v>495</v>
      </c>
      <c r="F545" t="s">
        <v>1702</v>
      </c>
      <c r="G545" t="s">
        <v>496</v>
      </c>
      <c r="H545" t="s">
        <v>130</v>
      </c>
      <c r="I545" t="s">
        <v>43</v>
      </c>
      <c r="J545">
        <v>40.020000000000003</v>
      </c>
      <c r="K545">
        <v>19</v>
      </c>
      <c r="L545">
        <v>10</v>
      </c>
      <c r="M545">
        <v>11</v>
      </c>
      <c r="N545">
        <v>31799</v>
      </c>
      <c r="O545">
        <v>85</v>
      </c>
      <c r="P545">
        <v>0</v>
      </c>
      <c r="Q545">
        <v>8</v>
      </c>
      <c r="R545">
        <v>13</v>
      </c>
      <c r="S545" t="s">
        <v>44</v>
      </c>
      <c r="T545" t="s">
        <v>44</v>
      </c>
      <c r="U545" t="s">
        <v>44</v>
      </c>
      <c r="V545">
        <v>5155</v>
      </c>
      <c r="W545">
        <v>1</v>
      </c>
      <c r="X545" t="s">
        <v>44</v>
      </c>
      <c r="Y545">
        <v>5155</v>
      </c>
      <c r="Z545" t="s">
        <v>44</v>
      </c>
      <c r="AA545">
        <v>5</v>
      </c>
      <c r="AB545">
        <v>0</v>
      </c>
      <c r="AC545">
        <v>0</v>
      </c>
      <c r="AD545">
        <v>0</v>
      </c>
      <c r="AE545">
        <v>0</v>
      </c>
      <c r="AF545">
        <v>2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s="2">
        <v>5245</v>
      </c>
      <c r="AQ545">
        <f t="shared" si="19"/>
        <v>5245</v>
      </c>
      <c r="AR545" s="5">
        <f>VLOOKUP(F545,'[2]SCP_24-25'!$A:$D,4,0)</f>
        <v>98.3</v>
      </c>
      <c r="AS545" s="5">
        <f t="shared" si="18"/>
        <v>515583.5</v>
      </c>
    </row>
    <row r="546" spans="1:45" x14ac:dyDescent="0.3">
      <c r="A546" s="1">
        <v>45900.961111111108</v>
      </c>
      <c r="B546" t="s">
        <v>617</v>
      </c>
      <c r="C546" t="s">
        <v>618</v>
      </c>
      <c r="D546" t="s">
        <v>429</v>
      </c>
      <c r="F546" t="s">
        <v>1671</v>
      </c>
      <c r="G546" t="s">
        <v>430</v>
      </c>
      <c r="H546" t="s">
        <v>130</v>
      </c>
      <c r="I546" t="s">
        <v>43</v>
      </c>
      <c r="J546">
        <v>40.020000000000003</v>
      </c>
      <c r="K546">
        <v>19</v>
      </c>
      <c r="L546">
        <v>10</v>
      </c>
      <c r="M546">
        <v>11</v>
      </c>
      <c r="N546">
        <v>23457</v>
      </c>
      <c r="O546">
        <v>195</v>
      </c>
      <c r="P546">
        <v>0</v>
      </c>
      <c r="Q546">
        <v>4</v>
      </c>
      <c r="R546">
        <v>1</v>
      </c>
      <c r="S546" t="s">
        <v>44</v>
      </c>
      <c r="T546" t="s">
        <v>44</v>
      </c>
      <c r="U546" t="s">
        <v>44</v>
      </c>
      <c r="V546">
        <v>6006</v>
      </c>
      <c r="W546">
        <v>2</v>
      </c>
      <c r="X546" t="s">
        <v>44</v>
      </c>
      <c r="Y546">
        <v>6006</v>
      </c>
      <c r="Z546" t="s">
        <v>44</v>
      </c>
      <c r="AA546">
        <v>4</v>
      </c>
      <c r="AB546">
        <v>0</v>
      </c>
      <c r="AC546">
        <v>0</v>
      </c>
      <c r="AD546">
        <v>0</v>
      </c>
      <c r="AE546">
        <v>0</v>
      </c>
      <c r="AF546">
        <v>4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s="2">
        <v>6205</v>
      </c>
      <c r="AQ546">
        <f t="shared" si="19"/>
        <v>6205</v>
      </c>
      <c r="AR546" s="5">
        <f>VLOOKUP(F546,'[2]SCP_24-25'!$A:$D,4,0)</f>
        <v>98.299999999999983</v>
      </c>
      <c r="AS546" s="5">
        <f t="shared" si="18"/>
        <v>609951.49999999988</v>
      </c>
    </row>
    <row r="547" spans="1:45" x14ac:dyDescent="0.3">
      <c r="A547" s="1">
        <v>45900.961111111108</v>
      </c>
      <c r="B547" t="s">
        <v>617</v>
      </c>
      <c r="C547" t="s">
        <v>618</v>
      </c>
      <c r="D547" t="s">
        <v>609</v>
      </c>
      <c r="F547" t="s">
        <v>1758</v>
      </c>
      <c r="G547" t="s">
        <v>610</v>
      </c>
      <c r="H547" t="s">
        <v>130</v>
      </c>
      <c r="I547" t="s">
        <v>43</v>
      </c>
      <c r="J547">
        <v>40.020000000000003</v>
      </c>
      <c r="K547">
        <v>19</v>
      </c>
      <c r="L547">
        <v>10</v>
      </c>
      <c r="M547">
        <v>11</v>
      </c>
      <c r="N547">
        <v>21025</v>
      </c>
      <c r="O547">
        <v>66</v>
      </c>
      <c r="P547">
        <v>0</v>
      </c>
      <c r="Q547">
        <v>10</v>
      </c>
      <c r="R547">
        <v>5</v>
      </c>
      <c r="S547" t="s">
        <v>44</v>
      </c>
      <c r="T547" t="s">
        <v>44</v>
      </c>
      <c r="U547" t="s">
        <v>44</v>
      </c>
      <c r="V547">
        <v>5715</v>
      </c>
      <c r="W547">
        <v>27</v>
      </c>
      <c r="X547" t="s">
        <v>44</v>
      </c>
      <c r="Y547">
        <v>5715</v>
      </c>
      <c r="Z547" t="s">
        <v>44</v>
      </c>
      <c r="AA547">
        <v>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s="2">
        <v>5783</v>
      </c>
      <c r="AQ547">
        <f t="shared" si="19"/>
        <v>5783</v>
      </c>
      <c r="AR547" s="5">
        <f>VLOOKUP(F547,'[2]SCP_24-25'!$A:$D,4,0)</f>
        <v>98.3</v>
      </c>
      <c r="AS547" s="5">
        <f t="shared" si="18"/>
        <v>568468.9</v>
      </c>
    </row>
    <row r="548" spans="1:45" x14ac:dyDescent="0.3">
      <c r="A548" s="1">
        <v>45900.961111111108</v>
      </c>
      <c r="B548" t="s">
        <v>617</v>
      </c>
      <c r="C548" t="s">
        <v>618</v>
      </c>
      <c r="D548" t="s">
        <v>465</v>
      </c>
      <c r="F548" t="s">
        <v>1687</v>
      </c>
      <c r="G548" t="s">
        <v>466</v>
      </c>
      <c r="H548" t="s">
        <v>130</v>
      </c>
      <c r="I548" t="s">
        <v>43</v>
      </c>
      <c r="J548">
        <v>29.02</v>
      </c>
      <c r="K548">
        <v>19</v>
      </c>
      <c r="L548">
        <v>10</v>
      </c>
      <c r="M548">
        <v>11</v>
      </c>
      <c r="N548">
        <v>62398</v>
      </c>
      <c r="O548">
        <v>106</v>
      </c>
      <c r="P548">
        <v>0</v>
      </c>
      <c r="Q548">
        <v>87</v>
      </c>
      <c r="R548">
        <v>1</v>
      </c>
      <c r="S548" t="s">
        <v>44</v>
      </c>
      <c r="T548" t="s">
        <v>44</v>
      </c>
      <c r="U548" t="s">
        <v>44</v>
      </c>
      <c r="V548">
        <v>8153</v>
      </c>
      <c r="W548">
        <v>32</v>
      </c>
      <c r="X548" t="s">
        <v>44</v>
      </c>
      <c r="Y548">
        <v>8153</v>
      </c>
      <c r="Z548" t="s">
        <v>44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7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2">
        <v>8259</v>
      </c>
      <c r="AQ548">
        <f t="shared" si="19"/>
        <v>8259</v>
      </c>
      <c r="AR548" s="5">
        <f>VLOOKUP(F548,'[2]SCP_24-25'!$A:$D,4,0)</f>
        <v>113</v>
      </c>
      <c r="AS548" s="5">
        <f t="shared" si="18"/>
        <v>933267</v>
      </c>
    </row>
    <row r="549" spans="1:45" x14ac:dyDescent="0.3">
      <c r="A549" s="1">
        <v>45900.961111111108</v>
      </c>
      <c r="B549" t="s">
        <v>617</v>
      </c>
      <c r="C549" t="s">
        <v>618</v>
      </c>
      <c r="D549" t="s">
        <v>544</v>
      </c>
      <c r="F549" t="s">
        <v>1726</v>
      </c>
      <c r="G549" t="s">
        <v>545</v>
      </c>
      <c r="H549" t="s">
        <v>130</v>
      </c>
      <c r="I549" t="s">
        <v>43</v>
      </c>
      <c r="J549">
        <v>34.020000000000003</v>
      </c>
      <c r="K549">
        <v>19</v>
      </c>
      <c r="L549">
        <v>10</v>
      </c>
      <c r="M549">
        <v>11</v>
      </c>
      <c r="N549">
        <v>34831</v>
      </c>
      <c r="O549">
        <v>102</v>
      </c>
      <c r="P549">
        <v>0</v>
      </c>
      <c r="Q549">
        <v>4</v>
      </c>
      <c r="R549">
        <v>3</v>
      </c>
      <c r="S549" t="s">
        <v>44</v>
      </c>
      <c r="T549" t="s">
        <v>44</v>
      </c>
      <c r="U549" t="s">
        <v>44</v>
      </c>
      <c r="V549">
        <v>6771</v>
      </c>
      <c r="W549">
        <v>7</v>
      </c>
      <c r="X549" t="s">
        <v>44</v>
      </c>
      <c r="Y549">
        <v>6771</v>
      </c>
      <c r="Z549" t="s">
        <v>44</v>
      </c>
      <c r="AA549">
        <v>3</v>
      </c>
      <c r="AB549">
        <v>0</v>
      </c>
      <c r="AC549">
        <v>0</v>
      </c>
      <c r="AD549">
        <v>0</v>
      </c>
      <c r="AE549">
        <v>0</v>
      </c>
      <c r="AF549">
        <v>3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s="2">
        <v>6876</v>
      </c>
      <c r="AQ549">
        <f t="shared" si="19"/>
        <v>6876</v>
      </c>
      <c r="AR549" s="5">
        <f>VLOOKUP(F549,'[2]SCP_24-25'!$A:$D,4,0)</f>
        <v>90.089999999999989</v>
      </c>
      <c r="AS549" s="5">
        <f t="shared" si="18"/>
        <v>619458.84</v>
      </c>
    </row>
    <row r="550" spans="1:45" x14ac:dyDescent="0.3">
      <c r="A550" s="1">
        <v>45900.961111111108</v>
      </c>
      <c r="B550" t="s">
        <v>617</v>
      </c>
      <c r="C550" t="s">
        <v>618</v>
      </c>
      <c r="D550" t="s">
        <v>503</v>
      </c>
      <c r="F550" t="s">
        <v>1706</v>
      </c>
      <c r="G550" t="s">
        <v>504</v>
      </c>
      <c r="H550" t="s">
        <v>103</v>
      </c>
      <c r="I550" t="s">
        <v>43</v>
      </c>
      <c r="J550">
        <v>131.02000000000001</v>
      </c>
      <c r="K550">
        <v>19</v>
      </c>
      <c r="L550">
        <v>11</v>
      </c>
      <c r="M550">
        <v>10</v>
      </c>
      <c r="N550">
        <v>188961</v>
      </c>
      <c r="O550">
        <v>616</v>
      </c>
      <c r="P550">
        <v>0</v>
      </c>
      <c r="Q550">
        <v>4334</v>
      </c>
      <c r="R550">
        <v>126</v>
      </c>
      <c r="S550" t="s">
        <v>44</v>
      </c>
      <c r="T550" t="s">
        <v>44</v>
      </c>
      <c r="U550" t="s">
        <v>44</v>
      </c>
      <c r="V550">
        <v>5719</v>
      </c>
      <c r="W550">
        <v>117</v>
      </c>
      <c r="X550" t="s">
        <v>44</v>
      </c>
      <c r="Y550">
        <v>5718</v>
      </c>
      <c r="Z550" t="s">
        <v>44</v>
      </c>
      <c r="AA550">
        <v>108</v>
      </c>
      <c r="AB550">
        <v>0</v>
      </c>
      <c r="AC550">
        <v>0</v>
      </c>
      <c r="AD550">
        <v>0</v>
      </c>
      <c r="AE550">
        <v>0</v>
      </c>
      <c r="AF550">
        <v>14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2292</v>
      </c>
      <c r="AP550" s="2">
        <v>6443</v>
      </c>
      <c r="AQ550">
        <f t="shared" si="19"/>
        <v>6443</v>
      </c>
      <c r="AR550" s="5">
        <f>VLOOKUP(F550,'[2]SCP_24-25'!$A:$D,4,0)</f>
        <v>34.880000000000003</v>
      </c>
      <c r="AS550" s="5">
        <f t="shared" si="18"/>
        <v>224731.84000000003</v>
      </c>
    </row>
    <row r="551" spans="1:45" x14ac:dyDescent="0.3">
      <c r="A551" s="1">
        <v>45900.961111111108</v>
      </c>
      <c r="B551" t="s">
        <v>617</v>
      </c>
      <c r="C551" t="s">
        <v>618</v>
      </c>
      <c r="D551" t="s">
        <v>409</v>
      </c>
      <c r="F551" t="s">
        <v>1662</v>
      </c>
      <c r="G551" t="s">
        <v>410</v>
      </c>
      <c r="H551" t="s">
        <v>103</v>
      </c>
      <c r="I551" t="s">
        <v>43</v>
      </c>
      <c r="J551">
        <v>100.52</v>
      </c>
      <c r="K551">
        <v>19</v>
      </c>
      <c r="L551">
        <v>11</v>
      </c>
      <c r="M551">
        <v>10</v>
      </c>
      <c r="N551">
        <v>57726</v>
      </c>
      <c r="O551">
        <v>324</v>
      </c>
      <c r="P551">
        <v>0</v>
      </c>
      <c r="Q551">
        <v>137</v>
      </c>
      <c r="R551">
        <v>332</v>
      </c>
      <c r="S551" t="s">
        <v>44</v>
      </c>
      <c r="T551" t="s">
        <v>44</v>
      </c>
      <c r="U551" t="s">
        <v>44</v>
      </c>
      <c r="V551">
        <v>7140</v>
      </c>
      <c r="W551">
        <v>135</v>
      </c>
      <c r="X551" t="s">
        <v>44</v>
      </c>
      <c r="Y551">
        <v>7140</v>
      </c>
      <c r="Z551" t="s">
        <v>44</v>
      </c>
      <c r="AA551">
        <v>6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s="2">
        <v>7470</v>
      </c>
      <c r="AQ551">
        <f t="shared" si="19"/>
        <v>7470</v>
      </c>
      <c r="AR551" s="5">
        <f>VLOOKUP(F551,'[2]SCP_24-25'!$A:$D,4,0)</f>
        <v>71.81</v>
      </c>
      <c r="AS551" s="5">
        <f t="shared" si="18"/>
        <v>536420.70000000007</v>
      </c>
    </row>
    <row r="552" spans="1:45" x14ac:dyDescent="0.3">
      <c r="A552" s="1">
        <v>45900.961111111108</v>
      </c>
      <c r="B552" t="s">
        <v>617</v>
      </c>
      <c r="C552" t="s">
        <v>618</v>
      </c>
      <c r="D552" t="s">
        <v>558</v>
      </c>
      <c r="F552" t="s">
        <v>1733</v>
      </c>
      <c r="G552" t="s">
        <v>559</v>
      </c>
      <c r="H552" t="s">
        <v>66</v>
      </c>
      <c r="I552" t="s">
        <v>415</v>
      </c>
      <c r="J552">
        <v>100</v>
      </c>
      <c r="K552">
        <v>19</v>
      </c>
      <c r="L552">
        <v>10</v>
      </c>
      <c r="M552">
        <v>11</v>
      </c>
      <c r="N552">
        <v>93061</v>
      </c>
      <c r="O552">
        <v>4109</v>
      </c>
      <c r="P552">
        <v>0</v>
      </c>
      <c r="Q552">
        <v>29</v>
      </c>
      <c r="R552">
        <v>40</v>
      </c>
      <c r="S552" t="s">
        <v>44</v>
      </c>
      <c r="T552">
        <v>9887</v>
      </c>
      <c r="U552" t="s">
        <v>44</v>
      </c>
      <c r="V552">
        <v>4181</v>
      </c>
      <c r="W552" t="s">
        <v>44</v>
      </c>
      <c r="X552" t="s">
        <v>44</v>
      </c>
      <c r="Y552">
        <v>4181</v>
      </c>
      <c r="Z552" t="s">
        <v>44</v>
      </c>
      <c r="AA552">
        <v>73</v>
      </c>
      <c r="AB552">
        <v>0</v>
      </c>
      <c r="AC552">
        <v>0</v>
      </c>
      <c r="AD552">
        <v>0</v>
      </c>
      <c r="AE552">
        <v>0</v>
      </c>
      <c r="AF552">
        <v>36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 s="2">
        <v>8363</v>
      </c>
      <c r="AQ552">
        <f t="shared" si="19"/>
        <v>8363</v>
      </c>
      <c r="AR552" s="5">
        <f>VLOOKUP(F552,'[2]SCP_24-25'!$A:$D,4,0)</f>
        <v>64.38</v>
      </c>
      <c r="AS552" s="5">
        <f t="shared" si="18"/>
        <v>538409.93999999994</v>
      </c>
    </row>
    <row r="553" spans="1:45" x14ac:dyDescent="0.3">
      <c r="A553" s="1">
        <v>45900.961111111108</v>
      </c>
      <c r="B553" t="s">
        <v>617</v>
      </c>
      <c r="C553" t="s">
        <v>618</v>
      </c>
      <c r="D553" t="s">
        <v>509</v>
      </c>
      <c r="F553" t="s">
        <v>1709</v>
      </c>
      <c r="G553" t="s">
        <v>510</v>
      </c>
      <c r="H553" t="s">
        <v>103</v>
      </c>
      <c r="I553" t="s">
        <v>415</v>
      </c>
      <c r="J553">
        <v>459.02</v>
      </c>
      <c r="K553">
        <v>19</v>
      </c>
      <c r="L553">
        <v>10</v>
      </c>
      <c r="M553">
        <v>11</v>
      </c>
      <c r="N553">
        <v>30257</v>
      </c>
      <c r="O553">
        <v>2342</v>
      </c>
      <c r="P553">
        <v>0</v>
      </c>
      <c r="Q553">
        <v>49</v>
      </c>
      <c r="R553">
        <v>4</v>
      </c>
      <c r="S553" t="s">
        <v>44</v>
      </c>
      <c r="T553">
        <v>9</v>
      </c>
      <c r="U553" t="s">
        <v>44</v>
      </c>
      <c r="V553">
        <v>8308</v>
      </c>
      <c r="W553">
        <v>1</v>
      </c>
      <c r="X553" t="s">
        <v>44</v>
      </c>
      <c r="Y553">
        <v>8308</v>
      </c>
      <c r="Z553" t="s">
        <v>44</v>
      </c>
      <c r="AA553">
        <v>32</v>
      </c>
      <c r="AB553">
        <v>0</v>
      </c>
      <c r="AC553">
        <v>0</v>
      </c>
      <c r="AD553">
        <v>0</v>
      </c>
      <c r="AE553">
        <v>0</v>
      </c>
      <c r="AF553">
        <v>11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s="2">
        <v>10682</v>
      </c>
      <c r="AQ553">
        <f t="shared" si="19"/>
        <v>10682</v>
      </c>
      <c r="AR553" s="5">
        <f>VLOOKUP(F553,'[2]SCP_24-25'!$A:$D,4,0)</f>
        <v>67.865000000000009</v>
      </c>
      <c r="AS553" s="5">
        <f t="shared" si="18"/>
        <v>724933.93</v>
      </c>
    </row>
    <row r="554" spans="1:45" x14ac:dyDescent="0.3">
      <c r="A554" s="1">
        <v>45900.961111111108</v>
      </c>
      <c r="B554" t="s">
        <v>617</v>
      </c>
      <c r="C554" t="s">
        <v>618</v>
      </c>
      <c r="D554" t="s">
        <v>1318</v>
      </c>
      <c r="F554" t="s">
        <v>2109</v>
      </c>
      <c r="G554" t="s">
        <v>1319</v>
      </c>
      <c r="H554" t="s">
        <v>66</v>
      </c>
      <c r="I554" t="s">
        <v>415</v>
      </c>
      <c r="J554">
        <v>10</v>
      </c>
      <c r="K554">
        <v>19</v>
      </c>
      <c r="L554">
        <v>10</v>
      </c>
      <c r="M554">
        <v>11</v>
      </c>
      <c r="N554">
        <v>10004</v>
      </c>
      <c r="O554">
        <v>697</v>
      </c>
      <c r="P554">
        <v>0</v>
      </c>
      <c r="Q554">
        <v>2</v>
      </c>
      <c r="R554" t="s">
        <v>44</v>
      </c>
      <c r="S554" t="s">
        <v>44</v>
      </c>
      <c r="T554">
        <v>10000</v>
      </c>
      <c r="U554" t="s">
        <v>44</v>
      </c>
      <c r="V554">
        <v>5779</v>
      </c>
      <c r="W554" t="s">
        <v>44</v>
      </c>
      <c r="X554" t="s">
        <v>44</v>
      </c>
      <c r="Y554">
        <v>5779</v>
      </c>
      <c r="Z554" t="s">
        <v>44</v>
      </c>
      <c r="AA554">
        <v>27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s="2">
        <v>6503</v>
      </c>
      <c r="AQ554">
        <f t="shared" si="19"/>
        <v>6503</v>
      </c>
      <c r="AR554" s="5">
        <f>VLOOKUP(F554,'[2]SCP_24-25'!$A:$D,4,0)</f>
        <v>44.56</v>
      </c>
      <c r="AS554" s="5">
        <f t="shared" si="18"/>
        <v>289773.68</v>
      </c>
    </row>
    <row r="555" spans="1:45" x14ac:dyDescent="0.3">
      <c r="A555" s="1">
        <v>45900.961111111108</v>
      </c>
      <c r="B555" t="s">
        <v>617</v>
      </c>
      <c r="C555" t="s">
        <v>618</v>
      </c>
      <c r="D555" t="s">
        <v>1320</v>
      </c>
      <c r="F555" t="s">
        <v>2110</v>
      </c>
      <c r="G555" t="s">
        <v>1321</v>
      </c>
      <c r="H555" t="s">
        <v>103</v>
      </c>
      <c r="I555" t="s">
        <v>43</v>
      </c>
      <c r="J555">
        <v>400</v>
      </c>
      <c r="K555">
        <v>19</v>
      </c>
      <c r="L555">
        <v>11</v>
      </c>
      <c r="M555">
        <v>10</v>
      </c>
      <c r="N555">
        <v>12200</v>
      </c>
      <c r="O555">
        <v>0</v>
      </c>
      <c r="P555">
        <v>0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>
        <v>7814</v>
      </c>
      <c r="W555" t="s">
        <v>44</v>
      </c>
      <c r="X555" t="s">
        <v>44</v>
      </c>
      <c r="Y555">
        <v>7814</v>
      </c>
      <c r="Z555" t="s">
        <v>44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s="2">
        <v>7814</v>
      </c>
      <c r="AQ555">
        <f t="shared" si="19"/>
        <v>7814</v>
      </c>
      <c r="AR555" s="5">
        <f>VLOOKUP(F555,'[1]Cost Sheet'!$C:$D,2,0)</f>
        <v>170.18</v>
      </c>
      <c r="AS555" s="5">
        <f t="shared" si="18"/>
        <v>1329786.52</v>
      </c>
    </row>
    <row r="556" spans="1:45" x14ac:dyDescent="0.3">
      <c r="A556" s="1">
        <v>45900.961111111108</v>
      </c>
      <c r="B556" t="s">
        <v>617</v>
      </c>
      <c r="C556" t="s">
        <v>618</v>
      </c>
      <c r="D556" t="s">
        <v>1322</v>
      </c>
      <c r="F556" t="s">
        <v>2111</v>
      </c>
      <c r="G556" t="s">
        <v>1323</v>
      </c>
      <c r="H556" t="s">
        <v>120</v>
      </c>
      <c r="I556" t="s">
        <v>43</v>
      </c>
      <c r="J556">
        <v>100</v>
      </c>
      <c r="K556">
        <v>19</v>
      </c>
      <c r="L556">
        <v>11</v>
      </c>
      <c r="M556">
        <v>10</v>
      </c>
      <c r="N556">
        <v>7000</v>
      </c>
      <c r="O556">
        <v>0</v>
      </c>
      <c r="P556">
        <v>0</v>
      </c>
      <c r="Q556" t="s">
        <v>44</v>
      </c>
      <c r="R556" t="s">
        <v>44</v>
      </c>
      <c r="S556" t="s">
        <v>44</v>
      </c>
      <c r="T556">
        <v>900</v>
      </c>
      <c r="U556" t="s">
        <v>44</v>
      </c>
      <c r="V556">
        <v>6733</v>
      </c>
      <c r="W556" t="s">
        <v>44</v>
      </c>
      <c r="X556" t="s">
        <v>44</v>
      </c>
      <c r="Y556">
        <v>6733</v>
      </c>
      <c r="Z556" t="s">
        <v>44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 s="2">
        <v>6733</v>
      </c>
      <c r="AQ556">
        <f t="shared" si="19"/>
        <v>6733</v>
      </c>
      <c r="AR556" s="5">
        <f>VLOOKUP(F556,'[2]SCP_24-25'!$A:$D,4,0)</f>
        <v>51.411764705882355</v>
      </c>
      <c r="AS556" s="5">
        <f t="shared" si="18"/>
        <v>346155.4117647059</v>
      </c>
    </row>
    <row r="557" spans="1:45" x14ac:dyDescent="0.3">
      <c r="A557" s="1">
        <v>45900.961111111108</v>
      </c>
      <c r="B557" t="s">
        <v>617</v>
      </c>
      <c r="C557" t="s">
        <v>618</v>
      </c>
      <c r="D557" t="s">
        <v>1324</v>
      </c>
      <c r="F557" t="s">
        <v>2112</v>
      </c>
      <c r="G557" t="s">
        <v>1325</v>
      </c>
      <c r="H557" t="s">
        <v>103</v>
      </c>
      <c r="I557" t="s">
        <v>415</v>
      </c>
      <c r="J557">
        <v>650</v>
      </c>
      <c r="K557">
        <v>19</v>
      </c>
      <c r="L557">
        <v>10</v>
      </c>
      <c r="M557">
        <v>11</v>
      </c>
      <c r="N557">
        <v>8388</v>
      </c>
      <c r="O557">
        <v>0</v>
      </c>
      <c r="P557">
        <v>0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>
        <v>8385</v>
      </c>
      <c r="W557" t="s">
        <v>44</v>
      </c>
      <c r="X557" t="s">
        <v>44</v>
      </c>
      <c r="Y557">
        <v>8385</v>
      </c>
      <c r="Z557" t="s">
        <v>44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s="2">
        <v>8385</v>
      </c>
      <c r="AQ557">
        <f t="shared" si="19"/>
        <v>8385</v>
      </c>
      <c r="AR557" s="5">
        <f>VLOOKUP(F557,'[2]SCP_24-25'!$A:$D,4,0)</f>
        <v>250.51</v>
      </c>
      <c r="AS557" s="5">
        <f t="shared" si="18"/>
        <v>2100526.35</v>
      </c>
    </row>
    <row r="558" spans="1:45" x14ac:dyDescent="0.3">
      <c r="A558" s="1">
        <v>45900.961111111108</v>
      </c>
      <c r="B558" t="s">
        <v>617</v>
      </c>
      <c r="C558" t="s">
        <v>618</v>
      </c>
      <c r="D558" t="s">
        <v>1326</v>
      </c>
      <c r="F558" t="s">
        <v>2113</v>
      </c>
      <c r="G558" t="s">
        <v>1327</v>
      </c>
      <c r="H558" t="s">
        <v>103</v>
      </c>
      <c r="I558" t="s">
        <v>415</v>
      </c>
      <c r="J558">
        <v>650</v>
      </c>
      <c r="K558">
        <v>19</v>
      </c>
      <c r="L558">
        <v>10</v>
      </c>
      <c r="M558">
        <v>11</v>
      </c>
      <c r="N558">
        <v>5004</v>
      </c>
      <c r="O558">
        <v>0</v>
      </c>
      <c r="P558">
        <v>0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>
        <v>5001</v>
      </c>
      <c r="W558" t="s">
        <v>44</v>
      </c>
      <c r="X558" t="s">
        <v>44</v>
      </c>
      <c r="Y558">
        <v>5001</v>
      </c>
      <c r="Z558" t="s">
        <v>44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s="2">
        <v>5001</v>
      </c>
      <c r="AQ558">
        <f t="shared" si="19"/>
        <v>5001</v>
      </c>
      <c r="AR558" s="5">
        <f>VLOOKUP(F558,'[2]SCP_24-25'!$A:$D,4,0)</f>
        <v>174.39</v>
      </c>
      <c r="AS558" s="5">
        <f t="shared" si="18"/>
        <v>872124.3899999999</v>
      </c>
    </row>
    <row r="559" spans="1:45" x14ac:dyDescent="0.3">
      <c r="A559" s="1">
        <v>45900.961111111108</v>
      </c>
      <c r="B559" t="s">
        <v>617</v>
      </c>
      <c r="C559" t="s">
        <v>618</v>
      </c>
      <c r="D559" t="s">
        <v>1328</v>
      </c>
      <c r="F559" t="s">
        <v>2114</v>
      </c>
      <c r="G559" t="s">
        <v>1329</v>
      </c>
      <c r="H559" t="s">
        <v>130</v>
      </c>
      <c r="I559" t="s">
        <v>415</v>
      </c>
      <c r="J559">
        <v>1.4</v>
      </c>
      <c r="K559">
        <v>19</v>
      </c>
      <c r="L559">
        <v>10</v>
      </c>
      <c r="M559">
        <v>11</v>
      </c>
      <c r="N559">
        <v>4560</v>
      </c>
      <c r="O559">
        <v>0</v>
      </c>
      <c r="P559">
        <v>0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>
        <v>4461</v>
      </c>
      <c r="W559" t="s">
        <v>44</v>
      </c>
      <c r="X559" t="s">
        <v>44</v>
      </c>
      <c r="Y559">
        <v>4461</v>
      </c>
      <c r="Z559" t="s">
        <v>44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 s="2">
        <v>4461</v>
      </c>
      <c r="AQ559">
        <f t="shared" si="19"/>
        <v>4461</v>
      </c>
      <c r="AR559" s="5">
        <f>VLOOKUP(F559,'[2]SCP_24-25'!$A:$D,4,0)</f>
        <v>417.21</v>
      </c>
      <c r="AS559" s="5">
        <f t="shared" si="18"/>
        <v>1861173.8099999998</v>
      </c>
    </row>
    <row r="560" spans="1:45" x14ac:dyDescent="0.3">
      <c r="A560" s="1">
        <v>45900.961111111108</v>
      </c>
      <c r="B560" t="s">
        <v>617</v>
      </c>
      <c r="C560" t="s">
        <v>618</v>
      </c>
      <c r="D560" t="s">
        <v>147</v>
      </c>
      <c r="F560" t="s">
        <v>1551</v>
      </c>
      <c r="G560" t="s">
        <v>148</v>
      </c>
      <c r="H560" t="s">
        <v>120</v>
      </c>
      <c r="I560" t="s">
        <v>43</v>
      </c>
      <c r="J560">
        <v>45</v>
      </c>
      <c r="K560">
        <v>19</v>
      </c>
      <c r="L560">
        <v>11</v>
      </c>
      <c r="M560">
        <v>9.5</v>
      </c>
      <c r="N560">
        <v>982132</v>
      </c>
      <c r="O560">
        <v>11086</v>
      </c>
      <c r="P560">
        <v>0</v>
      </c>
      <c r="Q560">
        <v>40</v>
      </c>
      <c r="R560">
        <v>23485</v>
      </c>
      <c r="S560" t="s">
        <v>44</v>
      </c>
      <c r="T560" t="s">
        <v>44</v>
      </c>
      <c r="U560" t="s">
        <v>44</v>
      </c>
      <c r="V560">
        <v>46305</v>
      </c>
      <c r="W560" t="s">
        <v>44</v>
      </c>
      <c r="X560" t="s">
        <v>44</v>
      </c>
      <c r="Y560">
        <v>46305</v>
      </c>
      <c r="Z560" t="s">
        <v>44</v>
      </c>
      <c r="AA560">
        <v>213</v>
      </c>
      <c r="AB560">
        <v>0</v>
      </c>
      <c r="AC560">
        <v>0</v>
      </c>
      <c r="AD560">
        <v>0</v>
      </c>
      <c r="AE560">
        <v>0</v>
      </c>
      <c r="AF560">
        <v>200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s="2">
        <v>57604</v>
      </c>
      <c r="AQ560">
        <f t="shared" si="19"/>
        <v>57604</v>
      </c>
      <c r="AR560" s="5">
        <f>VLOOKUP(F560,'[2]SCP_24-25'!$A:$D,4,0)</f>
        <v>27.733333333333331</v>
      </c>
      <c r="AS560" s="5">
        <f t="shared" si="18"/>
        <v>1597550.9333333331</v>
      </c>
    </row>
    <row r="561" spans="1:45" x14ac:dyDescent="0.3">
      <c r="A561" s="1">
        <v>45900.961111111108</v>
      </c>
      <c r="B561" t="s">
        <v>617</v>
      </c>
      <c r="C561" t="s">
        <v>618</v>
      </c>
      <c r="D561" t="s">
        <v>203</v>
      </c>
      <c r="F561" t="s">
        <v>1578</v>
      </c>
      <c r="G561" t="s">
        <v>204</v>
      </c>
      <c r="H561" t="s">
        <v>66</v>
      </c>
      <c r="I561" t="s">
        <v>43</v>
      </c>
      <c r="J561">
        <v>37</v>
      </c>
      <c r="K561">
        <v>19</v>
      </c>
      <c r="L561">
        <v>9.5</v>
      </c>
      <c r="M561">
        <v>11</v>
      </c>
      <c r="N561">
        <v>455206</v>
      </c>
      <c r="O561">
        <v>4547</v>
      </c>
      <c r="P561">
        <v>0</v>
      </c>
      <c r="Q561">
        <v>88</v>
      </c>
      <c r="R561">
        <v>31826</v>
      </c>
      <c r="S561" t="s">
        <v>44</v>
      </c>
      <c r="T561" t="s">
        <v>44</v>
      </c>
      <c r="U561" t="s">
        <v>44</v>
      </c>
      <c r="V561">
        <v>48488</v>
      </c>
      <c r="W561" t="s">
        <v>44</v>
      </c>
      <c r="X561" t="s">
        <v>44</v>
      </c>
      <c r="Y561">
        <v>48488</v>
      </c>
      <c r="Z561" t="s">
        <v>44</v>
      </c>
      <c r="AA561">
        <v>17</v>
      </c>
      <c r="AB561">
        <v>0</v>
      </c>
      <c r="AC561">
        <v>0</v>
      </c>
      <c r="AD561">
        <v>0</v>
      </c>
      <c r="AE561">
        <v>700</v>
      </c>
      <c r="AF561">
        <v>74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s="2">
        <v>53052</v>
      </c>
      <c r="AQ561">
        <f t="shared" si="19"/>
        <v>53052</v>
      </c>
      <c r="AR561" s="5">
        <f>VLOOKUP(F561,'[2]SCP_24-25'!$A:$D,4,0)</f>
        <v>19.899999999999999</v>
      </c>
      <c r="AS561" s="5">
        <f t="shared" si="18"/>
        <v>1055734.7999999998</v>
      </c>
    </row>
    <row r="562" spans="1:45" x14ac:dyDescent="0.3">
      <c r="A562" s="1">
        <v>45900.961111111108</v>
      </c>
      <c r="B562" t="s">
        <v>617</v>
      </c>
      <c r="C562" t="s">
        <v>618</v>
      </c>
      <c r="D562" t="s">
        <v>1330</v>
      </c>
      <c r="E562" t="s">
        <v>1331</v>
      </c>
      <c r="F562" t="s">
        <v>2115</v>
      </c>
      <c r="G562" t="s">
        <v>1332</v>
      </c>
      <c r="H562" t="s">
        <v>66</v>
      </c>
      <c r="I562" t="s">
        <v>43</v>
      </c>
      <c r="J562">
        <v>50</v>
      </c>
      <c r="K562">
        <v>19</v>
      </c>
      <c r="L562">
        <v>11</v>
      </c>
      <c r="M562">
        <v>9.5</v>
      </c>
      <c r="N562">
        <v>170682</v>
      </c>
      <c r="O562">
        <v>1</v>
      </c>
      <c r="P562">
        <v>0</v>
      </c>
      <c r="Q562">
        <v>5</v>
      </c>
      <c r="R562">
        <v>2</v>
      </c>
      <c r="S562" t="s">
        <v>44</v>
      </c>
      <c r="T562" t="s">
        <v>44</v>
      </c>
      <c r="U562" t="s">
        <v>44</v>
      </c>
      <c r="V562">
        <v>48460</v>
      </c>
      <c r="W562" t="s">
        <v>44</v>
      </c>
      <c r="X562" t="s">
        <v>44</v>
      </c>
      <c r="Y562">
        <v>48460</v>
      </c>
      <c r="Z562" t="s">
        <v>44</v>
      </c>
      <c r="AA562">
        <v>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s="2">
        <v>48463</v>
      </c>
      <c r="AQ562">
        <f t="shared" si="19"/>
        <v>48463</v>
      </c>
      <c r="AR562" s="5">
        <f>VLOOKUP(F562,'[2]SCP_24-25'!$A:$D,4,0)</f>
        <v>15.5</v>
      </c>
      <c r="AS562" s="5">
        <f t="shared" si="18"/>
        <v>751176.5</v>
      </c>
    </row>
    <row r="563" spans="1:45" x14ac:dyDescent="0.3">
      <c r="A563" s="1">
        <v>45900.961111111108</v>
      </c>
      <c r="B563" t="s">
        <v>617</v>
      </c>
      <c r="C563" t="s">
        <v>618</v>
      </c>
      <c r="D563" t="s">
        <v>224</v>
      </c>
      <c r="F563" t="s">
        <v>1587</v>
      </c>
      <c r="G563" t="s">
        <v>225</v>
      </c>
      <c r="H563" t="s">
        <v>66</v>
      </c>
      <c r="I563" t="s">
        <v>43</v>
      </c>
      <c r="J563">
        <v>102</v>
      </c>
      <c r="K563">
        <v>19</v>
      </c>
      <c r="L563">
        <v>10</v>
      </c>
      <c r="M563">
        <v>11</v>
      </c>
      <c r="N563">
        <v>1703660</v>
      </c>
      <c r="O563">
        <v>1312</v>
      </c>
      <c r="P563">
        <v>0</v>
      </c>
      <c r="Q563">
        <v>238</v>
      </c>
      <c r="R563">
        <v>173544</v>
      </c>
      <c r="S563" t="s">
        <v>44</v>
      </c>
      <c r="T563">
        <v>4176</v>
      </c>
      <c r="U563" t="s">
        <v>44</v>
      </c>
      <c r="V563">
        <v>78117</v>
      </c>
      <c r="W563">
        <v>328</v>
      </c>
      <c r="X563" t="s">
        <v>44</v>
      </c>
      <c r="Y563">
        <v>78106</v>
      </c>
      <c r="Z563" t="s">
        <v>44</v>
      </c>
      <c r="AA563">
        <v>24</v>
      </c>
      <c r="AB563">
        <v>0</v>
      </c>
      <c r="AC563">
        <v>0</v>
      </c>
      <c r="AD563">
        <v>0</v>
      </c>
      <c r="AE563">
        <v>294</v>
      </c>
      <c r="AF563">
        <v>56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 s="2">
        <v>79453</v>
      </c>
      <c r="AQ563">
        <f t="shared" si="19"/>
        <v>79453</v>
      </c>
      <c r="AR563" s="5">
        <f>VLOOKUP(F563,'[2]SCP_24-25'!$A:$D,4,0)</f>
        <v>66.328461538461553</v>
      </c>
      <c r="AS563" s="5">
        <f t="shared" si="18"/>
        <v>5269995.254615386</v>
      </c>
    </row>
    <row r="564" spans="1:45" x14ac:dyDescent="0.3">
      <c r="A564" s="1">
        <v>45900.961111111108</v>
      </c>
      <c r="B564" t="s">
        <v>617</v>
      </c>
      <c r="C564" t="s">
        <v>618</v>
      </c>
      <c r="D564" t="s">
        <v>1333</v>
      </c>
      <c r="F564" t="s">
        <v>2116</v>
      </c>
      <c r="G564" t="s">
        <v>1334</v>
      </c>
      <c r="H564" t="s">
        <v>66</v>
      </c>
      <c r="I564" t="s">
        <v>43</v>
      </c>
      <c r="J564">
        <v>8</v>
      </c>
      <c r="K564">
        <v>19</v>
      </c>
      <c r="L564">
        <v>11</v>
      </c>
      <c r="M564">
        <v>10</v>
      </c>
      <c r="N564">
        <v>62482</v>
      </c>
      <c r="O564">
        <v>0</v>
      </c>
      <c r="P564">
        <v>0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>
        <v>56980</v>
      </c>
      <c r="W564" t="s">
        <v>44</v>
      </c>
      <c r="X564" t="s">
        <v>44</v>
      </c>
      <c r="Y564">
        <v>56980</v>
      </c>
      <c r="Z564" t="s">
        <v>44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s="2">
        <v>56980</v>
      </c>
      <c r="AQ564">
        <f t="shared" si="19"/>
        <v>56980</v>
      </c>
      <c r="AR564" s="5">
        <f>VLOOKUP(F564,'[2]SCP_24-25'!$A:$D,4,0)</f>
        <v>11.289999999999996</v>
      </c>
      <c r="AS564" s="5">
        <f t="shared" si="18"/>
        <v>643304.19999999972</v>
      </c>
    </row>
    <row r="565" spans="1:45" x14ac:dyDescent="0.3">
      <c r="A565" s="1">
        <v>45900.961111111108</v>
      </c>
      <c r="B565" t="s">
        <v>617</v>
      </c>
      <c r="C565" t="s">
        <v>618</v>
      </c>
      <c r="D565" t="s">
        <v>1335</v>
      </c>
      <c r="F565" t="s">
        <v>2117</v>
      </c>
      <c r="G565" t="s">
        <v>1336</v>
      </c>
      <c r="H565" t="s">
        <v>66</v>
      </c>
      <c r="I565" t="s">
        <v>43</v>
      </c>
      <c r="J565">
        <v>5</v>
      </c>
      <c r="K565">
        <v>19</v>
      </c>
      <c r="L565">
        <v>11</v>
      </c>
      <c r="M565">
        <v>10</v>
      </c>
      <c r="N565">
        <v>65508</v>
      </c>
      <c r="O565">
        <v>0</v>
      </c>
      <c r="P565">
        <v>0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>
        <v>65508</v>
      </c>
      <c r="W565" t="s">
        <v>44</v>
      </c>
      <c r="X565" t="s">
        <v>44</v>
      </c>
      <c r="Y565">
        <v>65508</v>
      </c>
      <c r="Z565" t="s">
        <v>44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s="2">
        <v>65508</v>
      </c>
      <c r="AQ565">
        <f t="shared" si="19"/>
        <v>65508</v>
      </c>
      <c r="AR565" s="5">
        <f>VLOOKUP(F565,'[1]Cost Sheet'!$C:$D,2,0)</f>
        <v>16.23</v>
      </c>
      <c r="AS565" s="5">
        <f t="shared" si="18"/>
        <v>1063194.8400000001</v>
      </c>
    </row>
    <row r="566" spans="1:45" x14ac:dyDescent="0.3">
      <c r="A566" s="1">
        <v>45900.961805555555</v>
      </c>
      <c r="B566" t="s">
        <v>617</v>
      </c>
      <c r="C566" t="s">
        <v>618</v>
      </c>
      <c r="D566" t="s">
        <v>149</v>
      </c>
      <c r="F566" t="s">
        <v>1552</v>
      </c>
      <c r="G566" t="s">
        <v>150</v>
      </c>
      <c r="H566" t="s">
        <v>66</v>
      </c>
      <c r="I566" t="s">
        <v>43</v>
      </c>
      <c r="J566">
        <v>116.62</v>
      </c>
      <c r="K566">
        <v>19</v>
      </c>
      <c r="L566">
        <v>9.5</v>
      </c>
      <c r="M566">
        <v>11</v>
      </c>
      <c r="N566">
        <v>500964</v>
      </c>
      <c r="O566">
        <v>796</v>
      </c>
      <c r="P566">
        <v>0</v>
      </c>
      <c r="Q566">
        <v>233</v>
      </c>
      <c r="R566">
        <v>76747</v>
      </c>
      <c r="S566" t="s">
        <v>44</v>
      </c>
      <c r="T566">
        <v>48</v>
      </c>
      <c r="U566" t="s">
        <v>44</v>
      </c>
      <c r="V566">
        <v>20038</v>
      </c>
      <c r="W566">
        <v>1038</v>
      </c>
      <c r="X566" t="s">
        <v>44</v>
      </c>
      <c r="Y566">
        <v>18937</v>
      </c>
      <c r="Z566" t="s">
        <v>44</v>
      </c>
      <c r="AA566">
        <v>28</v>
      </c>
      <c r="AB566">
        <v>0</v>
      </c>
      <c r="AC566">
        <v>0</v>
      </c>
      <c r="AD566">
        <v>0</v>
      </c>
      <c r="AE566">
        <v>32</v>
      </c>
      <c r="AF566">
        <v>32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 s="2">
        <v>20862</v>
      </c>
      <c r="AQ566">
        <f t="shared" si="19"/>
        <v>20862</v>
      </c>
      <c r="AR566" s="5">
        <f>VLOOKUP(F566,'[2]SCP_24-25'!$A:$D,4,0)</f>
        <v>35.085999999999999</v>
      </c>
      <c r="AS566" s="5">
        <f t="shared" si="18"/>
        <v>731964.13199999998</v>
      </c>
    </row>
    <row r="567" spans="1:45" x14ac:dyDescent="0.3">
      <c r="A567" s="1">
        <v>45900.961805555555</v>
      </c>
      <c r="B567" t="s">
        <v>617</v>
      </c>
      <c r="C567" t="s">
        <v>618</v>
      </c>
      <c r="D567" t="s">
        <v>161</v>
      </c>
      <c r="F567" t="s">
        <v>1558</v>
      </c>
      <c r="G567" t="s">
        <v>162</v>
      </c>
      <c r="H567" t="s">
        <v>66</v>
      </c>
      <c r="I567" t="s">
        <v>43</v>
      </c>
      <c r="J567">
        <v>92.53</v>
      </c>
      <c r="K567">
        <v>19</v>
      </c>
      <c r="L567">
        <v>9.5</v>
      </c>
      <c r="M567">
        <v>11</v>
      </c>
      <c r="N567">
        <v>497271</v>
      </c>
      <c r="O567">
        <v>626</v>
      </c>
      <c r="P567">
        <v>0</v>
      </c>
      <c r="Q567">
        <v>128</v>
      </c>
      <c r="R567">
        <v>25915</v>
      </c>
      <c r="S567" t="s">
        <v>44</v>
      </c>
      <c r="T567" t="s">
        <v>44</v>
      </c>
      <c r="U567" t="s">
        <v>44</v>
      </c>
      <c r="V567">
        <v>18885</v>
      </c>
      <c r="W567">
        <v>803</v>
      </c>
      <c r="X567" t="s">
        <v>44</v>
      </c>
      <c r="Y567">
        <v>18822</v>
      </c>
      <c r="Z567">
        <v>1</v>
      </c>
      <c r="AA567">
        <v>18</v>
      </c>
      <c r="AB567">
        <v>0</v>
      </c>
      <c r="AC567">
        <v>0</v>
      </c>
      <c r="AD567">
        <v>0</v>
      </c>
      <c r="AE567">
        <v>95</v>
      </c>
      <c r="AF567">
        <v>18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 s="2">
        <v>19529</v>
      </c>
      <c r="AQ567">
        <f t="shared" si="19"/>
        <v>19529</v>
      </c>
      <c r="AR567" s="5">
        <f>VLOOKUP(F567,'[2]SCP_24-25'!$A:$D,4,0)</f>
        <v>41.87</v>
      </c>
      <c r="AS567" s="5">
        <f t="shared" si="18"/>
        <v>817679.23</v>
      </c>
    </row>
    <row r="568" spans="1:45" x14ac:dyDescent="0.3">
      <c r="A568" s="1">
        <v>45900.961805555555</v>
      </c>
      <c r="B568" t="s">
        <v>617</v>
      </c>
      <c r="C568" t="s">
        <v>618</v>
      </c>
      <c r="D568" t="s">
        <v>191</v>
      </c>
      <c r="F568" t="s">
        <v>1573</v>
      </c>
      <c r="G568" t="s">
        <v>192</v>
      </c>
      <c r="H568" t="s">
        <v>66</v>
      </c>
      <c r="I568" t="s">
        <v>43</v>
      </c>
      <c r="J568">
        <v>195</v>
      </c>
      <c r="K568">
        <v>19</v>
      </c>
      <c r="L568">
        <v>9.5</v>
      </c>
      <c r="M568">
        <v>11</v>
      </c>
      <c r="N568">
        <v>520154</v>
      </c>
      <c r="O568">
        <v>1227</v>
      </c>
      <c r="P568">
        <v>0</v>
      </c>
      <c r="Q568">
        <v>992</v>
      </c>
      <c r="R568">
        <v>60564</v>
      </c>
      <c r="S568" t="s">
        <v>44</v>
      </c>
      <c r="T568">
        <v>8</v>
      </c>
      <c r="U568" t="s">
        <v>44</v>
      </c>
      <c r="V568">
        <v>18046</v>
      </c>
      <c r="W568">
        <v>55</v>
      </c>
      <c r="X568" t="s">
        <v>44</v>
      </c>
      <c r="Y568">
        <v>18028</v>
      </c>
      <c r="Z568" t="s">
        <v>44</v>
      </c>
      <c r="AA568">
        <v>42</v>
      </c>
      <c r="AB568">
        <v>0</v>
      </c>
      <c r="AC568">
        <v>0</v>
      </c>
      <c r="AD568">
        <v>0</v>
      </c>
      <c r="AE568">
        <v>62</v>
      </c>
      <c r="AF568">
        <v>29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s="2">
        <v>19315</v>
      </c>
      <c r="AQ568">
        <f t="shared" si="19"/>
        <v>19315</v>
      </c>
      <c r="AR568" s="5">
        <f>VLOOKUP(F568,'[2]SCP_24-25'!$A:$D,4,0)</f>
        <v>66.899999999999991</v>
      </c>
      <c r="AS568" s="5">
        <f t="shared" si="18"/>
        <v>1292173.4999999998</v>
      </c>
    </row>
    <row r="569" spans="1:45" x14ac:dyDescent="0.3">
      <c r="A569" s="1">
        <v>45900.961805555555</v>
      </c>
      <c r="B569" t="s">
        <v>617</v>
      </c>
      <c r="C569" t="s">
        <v>618</v>
      </c>
      <c r="D569" t="s">
        <v>200</v>
      </c>
      <c r="E569" t="s">
        <v>201</v>
      </c>
      <c r="F569" t="s">
        <v>1577</v>
      </c>
      <c r="G569" t="s">
        <v>202</v>
      </c>
      <c r="H569" t="s">
        <v>66</v>
      </c>
      <c r="I569" t="s">
        <v>43</v>
      </c>
      <c r="J569">
        <v>37</v>
      </c>
      <c r="K569">
        <v>19</v>
      </c>
      <c r="L569">
        <v>9.5</v>
      </c>
      <c r="M569">
        <v>11</v>
      </c>
      <c r="N569">
        <v>483836</v>
      </c>
      <c r="O569">
        <v>3</v>
      </c>
      <c r="P569">
        <v>0</v>
      </c>
      <c r="Q569">
        <v>59</v>
      </c>
      <c r="R569">
        <v>38890</v>
      </c>
      <c r="S569" t="s">
        <v>44</v>
      </c>
      <c r="T569">
        <v>270</v>
      </c>
      <c r="U569" t="s">
        <v>44</v>
      </c>
      <c r="V569">
        <v>16342</v>
      </c>
      <c r="W569">
        <v>37</v>
      </c>
      <c r="X569" t="s">
        <v>44</v>
      </c>
      <c r="Y569">
        <v>16342</v>
      </c>
      <c r="Z569" t="s">
        <v>44</v>
      </c>
      <c r="AA569">
        <v>0</v>
      </c>
      <c r="AB569">
        <v>0</v>
      </c>
      <c r="AC569">
        <v>0</v>
      </c>
      <c r="AD569">
        <v>0</v>
      </c>
      <c r="AE569">
        <v>3</v>
      </c>
      <c r="AF569">
        <v>2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 s="2">
        <v>16345</v>
      </c>
      <c r="AQ569">
        <f t="shared" si="19"/>
        <v>16345</v>
      </c>
      <c r="AR569" s="5">
        <f>VLOOKUP(F569,'[2]SCP_24-25'!$A:$D,4,0)</f>
        <v>18.564999999999998</v>
      </c>
      <c r="AS569" s="5">
        <f t="shared" si="18"/>
        <v>303444.92499999999</v>
      </c>
    </row>
    <row r="570" spans="1:45" x14ac:dyDescent="0.3">
      <c r="A570" s="1">
        <v>45900.961805555555</v>
      </c>
      <c r="B570" t="s">
        <v>617</v>
      </c>
      <c r="C570" t="s">
        <v>618</v>
      </c>
      <c r="D570" t="s">
        <v>274</v>
      </c>
      <c r="E570" t="s">
        <v>275</v>
      </c>
      <c r="F570" t="s">
        <v>1606</v>
      </c>
      <c r="G570" t="s">
        <v>276</v>
      </c>
      <c r="H570" t="s">
        <v>103</v>
      </c>
      <c r="I570" t="s">
        <v>43</v>
      </c>
      <c r="J570">
        <v>238.02</v>
      </c>
      <c r="K570">
        <v>19</v>
      </c>
      <c r="L570">
        <v>9.5</v>
      </c>
      <c r="M570">
        <v>11</v>
      </c>
      <c r="N570">
        <v>1473640</v>
      </c>
      <c r="O570">
        <v>8043</v>
      </c>
      <c r="P570">
        <v>0</v>
      </c>
      <c r="Q570">
        <v>887</v>
      </c>
      <c r="R570">
        <v>83726</v>
      </c>
      <c r="S570" t="s">
        <v>44</v>
      </c>
      <c r="T570">
        <v>216</v>
      </c>
      <c r="U570" t="s">
        <v>44</v>
      </c>
      <c r="V570">
        <v>16454</v>
      </c>
      <c r="W570">
        <v>464</v>
      </c>
      <c r="X570" t="s">
        <v>44</v>
      </c>
      <c r="Y570">
        <v>16454</v>
      </c>
      <c r="Z570" t="s">
        <v>44</v>
      </c>
      <c r="AA570">
        <v>92</v>
      </c>
      <c r="AB570">
        <v>0</v>
      </c>
      <c r="AC570">
        <v>0</v>
      </c>
      <c r="AD570">
        <v>0</v>
      </c>
      <c r="AE570">
        <v>2</v>
      </c>
      <c r="AF570">
        <v>148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1880</v>
      </c>
      <c r="AP570" s="2">
        <v>24589</v>
      </c>
      <c r="AQ570">
        <f t="shared" si="19"/>
        <v>24589</v>
      </c>
      <c r="AR570" s="5">
        <f>VLOOKUP(F570,'[2]SCP_24-25'!$A:$D,4,0)</f>
        <v>82.6</v>
      </c>
      <c r="AS570" s="5">
        <f t="shared" si="18"/>
        <v>2031051.4</v>
      </c>
    </row>
    <row r="571" spans="1:45" x14ac:dyDescent="0.3">
      <c r="A571" s="1">
        <v>45900.961805555555</v>
      </c>
      <c r="B571" t="s">
        <v>617</v>
      </c>
      <c r="C571" t="s">
        <v>618</v>
      </c>
      <c r="D571" t="s">
        <v>416</v>
      </c>
      <c r="F571" t="s">
        <v>1665</v>
      </c>
      <c r="G571" t="s">
        <v>417</v>
      </c>
      <c r="H571" t="s">
        <v>66</v>
      </c>
      <c r="I571" t="s">
        <v>43</v>
      </c>
      <c r="J571">
        <v>46.59</v>
      </c>
      <c r="K571">
        <v>19</v>
      </c>
      <c r="L571">
        <v>10</v>
      </c>
      <c r="M571">
        <v>11</v>
      </c>
      <c r="N571">
        <v>639728</v>
      </c>
      <c r="O571">
        <v>5063</v>
      </c>
      <c r="P571">
        <v>0</v>
      </c>
      <c r="Q571">
        <v>362</v>
      </c>
      <c r="R571">
        <v>245</v>
      </c>
      <c r="S571" t="s">
        <v>44</v>
      </c>
      <c r="T571">
        <v>185</v>
      </c>
      <c r="U571" t="s">
        <v>44</v>
      </c>
      <c r="V571">
        <v>19343</v>
      </c>
      <c r="W571">
        <v>899</v>
      </c>
      <c r="X571" t="s">
        <v>44</v>
      </c>
      <c r="Y571">
        <v>19343</v>
      </c>
      <c r="Z571" t="s">
        <v>44</v>
      </c>
      <c r="AA571">
        <v>256</v>
      </c>
      <c r="AB571">
        <v>0</v>
      </c>
      <c r="AC571">
        <v>0</v>
      </c>
      <c r="AD571">
        <v>0</v>
      </c>
      <c r="AE571">
        <v>0</v>
      </c>
      <c r="AF571">
        <v>33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s="2">
        <v>24662</v>
      </c>
      <c r="AQ571">
        <f t="shared" si="19"/>
        <v>24662</v>
      </c>
      <c r="AR571" s="5">
        <f>VLOOKUP(F571,'[2]SCP_24-25'!$A:$D,4,0)</f>
        <v>34.455294117647057</v>
      </c>
      <c r="AS571" s="5">
        <f t="shared" si="18"/>
        <v>849736.4635294117</v>
      </c>
    </row>
    <row r="572" spans="1:45" x14ac:dyDescent="0.3">
      <c r="A572" s="1">
        <v>45900.961805555555</v>
      </c>
      <c r="B572" t="s">
        <v>617</v>
      </c>
      <c r="C572" t="s">
        <v>618</v>
      </c>
      <c r="D572" t="s">
        <v>1337</v>
      </c>
      <c r="F572" t="s">
        <v>2118</v>
      </c>
      <c r="G572" t="s">
        <v>1338</v>
      </c>
      <c r="H572" t="s">
        <v>103</v>
      </c>
      <c r="I572" t="s">
        <v>43</v>
      </c>
      <c r="J572">
        <v>217.02</v>
      </c>
      <c r="K572">
        <v>19</v>
      </c>
      <c r="L572">
        <v>10</v>
      </c>
      <c r="M572">
        <v>11</v>
      </c>
      <c r="N572">
        <v>1295052</v>
      </c>
      <c r="O572">
        <v>16483</v>
      </c>
      <c r="P572">
        <v>0</v>
      </c>
      <c r="Q572">
        <v>1183</v>
      </c>
      <c r="R572">
        <v>502</v>
      </c>
      <c r="S572" t="s">
        <v>44</v>
      </c>
      <c r="T572">
        <v>14304</v>
      </c>
      <c r="U572" t="s">
        <v>44</v>
      </c>
      <c r="V572">
        <v>19417</v>
      </c>
      <c r="W572">
        <v>338</v>
      </c>
      <c r="X572" t="s">
        <v>44</v>
      </c>
      <c r="Y572">
        <v>19417</v>
      </c>
      <c r="Z572" t="s">
        <v>44</v>
      </c>
      <c r="AA572">
        <v>165</v>
      </c>
      <c r="AB572">
        <v>0</v>
      </c>
      <c r="AC572">
        <v>0</v>
      </c>
      <c r="AD572">
        <v>0</v>
      </c>
      <c r="AE572">
        <v>0</v>
      </c>
      <c r="AF572">
        <v>132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 s="2">
        <v>36065</v>
      </c>
      <c r="AQ572">
        <f t="shared" si="19"/>
        <v>36065</v>
      </c>
      <c r="AR572" s="5">
        <f>VLOOKUP(F572,'[2]SCP_24-25'!$A:$D,4,0)</f>
        <v>60.216666666666661</v>
      </c>
      <c r="AS572" s="5">
        <f t="shared" si="18"/>
        <v>2171714.083333333</v>
      </c>
    </row>
    <row r="573" spans="1:45" x14ac:dyDescent="0.3">
      <c r="A573" s="1">
        <v>45900.961805555555</v>
      </c>
      <c r="B573" t="s">
        <v>617</v>
      </c>
      <c r="C573" t="s">
        <v>618</v>
      </c>
      <c r="D573" t="s">
        <v>550</v>
      </c>
      <c r="F573" t="s">
        <v>1729</v>
      </c>
      <c r="G573" t="s">
        <v>551</v>
      </c>
      <c r="H573" t="s">
        <v>103</v>
      </c>
      <c r="I573" t="s">
        <v>43</v>
      </c>
      <c r="J573">
        <v>100.52</v>
      </c>
      <c r="K573">
        <v>19</v>
      </c>
      <c r="L573">
        <v>11</v>
      </c>
      <c r="M573">
        <v>10</v>
      </c>
      <c r="N573">
        <v>114194</v>
      </c>
      <c r="O573">
        <v>339</v>
      </c>
      <c r="P573">
        <v>0</v>
      </c>
      <c r="Q573">
        <v>135</v>
      </c>
      <c r="R573">
        <v>521</v>
      </c>
      <c r="S573" t="s">
        <v>44</v>
      </c>
      <c r="T573" t="s">
        <v>44</v>
      </c>
      <c r="U573" t="s">
        <v>44</v>
      </c>
      <c r="V573">
        <v>17056</v>
      </c>
      <c r="W573">
        <v>317</v>
      </c>
      <c r="X573" t="s">
        <v>44</v>
      </c>
      <c r="Y573">
        <v>17056</v>
      </c>
      <c r="Z573" t="s">
        <v>44</v>
      </c>
      <c r="AA573">
        <v>13</v>
      </c>
      <c r="AB573">
        <v>0</v>
      </c>
      <c r="AC573">
        <v>0</v>
      </c>
      <c r="AD573">
        <v>0</v>
      </c>
      <c r="AE573">
        <v>0</v>
      </c>
      <c r="AF573">
        <v>15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s="2">
        <v>17408</v>
      </c>
      <c r="AQ573">
        <f t="shared" si="19"/>
        <v>17408</v>
      </c>
      <c r="AR573" s="5">
        <f>VLOOKUP(F573,'[2]SCP_24-25'!$A:$D,4,0)</f>
        <v>90.823333333333338</v>
      </c>
      <c r="AS573" s="5">
        <f t="shared" si="18"/>
        <v>1581052.5866666667</v>
      </c>
    </row>
    <row r="574" spans="1:45" x14ac:dyDescent="0.3">
      <c r="A574" s="1">
        <v>45900.961805555555</v>
      </c>
      <c r="B574" t="s">
        <v>617</v>
      </c>
      <c r="C574" t="s">
        <v>618</v>
      </c>
      <c r="D574" t="s">
        <v>505</v>
      </c>
      <c r="F574" t="s">
        <v>1707</v>
      </c>
      <c r="G574" t="s">
        <v>506</v>
      </c>
      <c r="H574" t="s">
        <v>66</v>
      </c>
      <c r="I574" t="s">
        <v>415</v>
      </c>
      <c r="J574">
        <v>81.52</v>
      </c>
      <c r="K574">
        <v>19</v>
      </c>
      <c r="L574">
        <v>10</v>
      </c>
      <c r="M574">
        <v>11</v>
      </c>
      <c r="N574">
        <v>116328</v>
      </c>
      <c r="O574">
        <v>510</v>
      </c>
      <c r="P574">
        <v>0</v>
      </c>
      <c r="Q574">
        <v>41</v>
      </c>
      <c r="R574">
        <v>42</v>
      </c>
      <c r="S574" t="s">
        <v>44</v>
      </c>
      <c r="T574" t="s">
        <v>44</v>
      </c>
      <c r="U574" t="s">
        <v>44</v>
      </c>
      <c r="V574">
        <v>19093</v>
      </c>
      <c r="W574">
        <v>115</v>
      </c>
      <c r="X574" t="s">
        <v>44</v>
      </c>
      <c r="Y574">
        <v>19093</v>
      </c>
      <c r="Z574" t="s">
        <v>44</v>
      </c>
      <c r="AA574">
        <v>8</v>
      </c>
      <c r="AB574">
        <v>0</v>
      </c>
      <c r="AC574">
        <v>0</v>
      </c>
      <c r="AD574">
        <v>0</v>
      </c>
      <c r="AE574">
        <v>0</v>
      </c>
      <c r="AF574">
        <v>32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 s="2">
        <v>19611</v>
      </c>
      <c r="AQ574">
        <f t="shared" si="19"/>
        <v>19611</v>
      </c>
      <c r="AR574" s="5">
        <f>VLOOKUP(F574,'[2]SCP_24-25'!$A:$D,4,0)</f>
        <v>84.2</v>
      </c>
      <c r="AS574" s="5">
        <f t="shared" si="18"/>
        <v>1651246.2</v>
      </c>
    </row>
    <row r="575" spans="1:45" x14ac:dyDescent="0.3">
      <c r="A575" s="1">
        <v>45900.961805555555</v>
      </c>
      <c r="B575" t="s">
        <v>617</v>
      </c>
      <c r="C575" t="s">
        <v>618</v>
      </c>
      <c r="D575" t="s">
        <v>1339</v>
      </c>
      <c r="F575" t="s">
        <v>2119</v>
      </c>
      <c r="G575" t="s">
        <v>1340</v>
      </c>
      <c r="H575" t="s">
        <v>103</v>
      </c>
      <c r="I575" t="s">
        <v>415</v>
      </c>
      <c r="J575">
        <v>100</v>
      </c>
      <c r="K575">
        <v>19</v>
      </c>
      <c r="L575">
        <v>10</v>
      </c>
      <c r="M575">
        <v>11</v>
      </c>
      <c r="N575">
        <v>16800</v>
      </c>
      <c r="O575">
        <v>0</v>
      </c>
      <c r="P575">
        <v>0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>
        <v>16800</v>
      </c>
      <c r="W575" t="s">
        <v>44</v>
      </c>
      <c r="X575" t="s">
        <v>44</v>
      </c>
      <c r="Y575">
        <v>16800</v>
      </c>
      <c r="Z575" t="s">
        <v>44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 s="2">
        <v>16800</v>
      </c>
      <c r="AQ575">
        <f t="shared" si="19"/>
        <v>16800</v>
      </c>
      <c r="AR575" s="5">
        <f>VLOOKUP(F575,'[2]SCP_24-25'!$A:$D,4,0)</f>
        <v>43.55</v>
      </c>
      <c r="AS575" s="5">
        <f t="shared" si="18"/>
        <v>731640</v>
      </c>
    </row>
    <row r="576" spans="1:45" x14ac:dyDescent="0.3">
      <c r="A576" s="1">
        <v>45900.961805555555</v>
      </c>
      <c r="B576" t="s">
        <v>617</v>
      </c>
      <c r="C576" t="s">
        <v>618</v>
      </c>
      <c r="D576" t="s">
        <v>301</v>
      </c>
      <c r="F576" t="s">
        <v>1616</v>
      </c>
      <c r="G576" t="s">
        <v>302</v>
      </c>
      <c r="H576" t="s">
        <v>66</v>
      </c>
      <c r="I576" t="s">
        <v>43</v>
      </c>
      <c r="J576">
        <v>30</v>
      </c>
      <c r="K576">
        <v>19</v>
      </c>
      <c r="L576">
        <v>9.5</v>
      </c>
      <c r="M576">
        <v>11</v>
      </c>
      <c r="N576">
        <v>432595</v>
      </c>
      <c r="O576">
        <v>5328</v>
      </c>
      <c r="P576">
        <v>0</v>
      </c>
      <c r="Q576">
        <v>28</v>
      </c>
      <c r="R576">
        <v>13255</v>
      </c>
      <c r="S576" t="s">
        <v>44</v>
      </c>
      <c r="T576">
        <v>10152</v>
      </c>
      <c r="U576" t="s">
        <v>44</v>
      </c>
      <c r="V576">
        <v>137544</v>
      </c>
      <c r="W576" t="s">
        <v>44</v>
      </c>
      <c r="X576" t="s">
        <v>44</v>
      </c>
      <c r="Y576">
        <v>137544</v>
      </c>
      <c r="Z576" t="s">
        <v>44</v>
      </c>
      <c r="AA576">
        <v>7</v>
      </c>
      <c r="AB576">
        <v>0</v>
      </c>
      <c r="AC576">
        <v>0</v>
      </c>
      <c r="AD576">
        <v>0</v>
      </c>
      <c r="AE576">
        <v>210</v>
      </c>
      <c r="AF576">
        <v>8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s="2">
        <v>142879</v>
      </c>
      <c r="AQ576">
        <f t="shared" si="19"/>
        <v>142879</v>
      </c>
      <c r="AR576" s="5">
        <f>VLOOKUP(F576,'[2]SCP_24-25'!$A:$D,4,0)</f>
        <v>17.305</v>
      </c>
      <c r="AS576" s="5">
        <f t="shared" si="18"/>
        <v>2472521.0949999997</v>
      </c>
    </row>
    <row r="577" spans="1:45" x14ac:dyDescent="0.3">
      <c r="A577" s="1">
        <v>45900.961805555555</v>
      </c>
      <c r="B577" t="s">
        <v>617</v>
      </c>
      <c r="C577" t="s">
        <v>618</v>
      </c>
      <c r="D577" t="s">
        <v>1341</v>
      </c>
      <c r="F577" t="s">
        <v>2120</v>
      </c>
      <c r="G577" t="s">
        <v>1342</v>
      </c>
      <c r="H577" t="s">
        <v>66</v>
      </c>
      <c r="I577" t="s">
        <v>415</v>
      </c>
      <c r="J577">
        <v>5</v>
      </c>
      <c r="K577">
        <v>19</v>
      </c>
      <c r="L577">
        <v>10</v>
      </c>
      <c r="M577">
        <v>11</v>
      </c>
      <c r="N577">
        <v>168132</v>
      </c>
      <c r="O577">
        <v>1442</v>
      </c>
      <c r="P577">
        <v>0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>
        <v>165235</v>
      </c>
      <c r="W577" t="s">
        <v>44</v>
      </c>
      <c r="X577" t="s">
        <v>44</v>
      </c>
      <c r="Y577">
        <v>165235</v>
      </c>
      <c r="Z577" t="s">
        <v>44</v>
      </c>
      <c r="AA577">
        <v>3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s="2">
        <v>166680</v>
      </c>
      <c r="AQ577">
        <f t="shared" si="19"/>
        <v>166680</v>
      </c>
      <c r="AR577" s="5">
        <f>VLOOKUP(F577,'[2]SCP_24-25'!$A:$D,4,0)</f>
        <v>14.550000000000008</v>
      </c>
      <c r="AS577" s="5">
        <f t="shared" si="18"/>
        <v>2425194.0000000014</v>
      </c>
    </row>
    <row r="578" spans="1:45" x14ac:dyDescent="0.3">
      <c r="A578" s="1">
        <v>45900.961805555555</v>
      </c>
      <c r="B578" t="s">
        <v>617</v>
      </c>
      <c r="C578" t="s">
        <v>618</v>
      </c>
      <c r="D578" t="s">
        <v>155</v>
      </c>
      <c r="F578" t="s">
        <v>1555</v>
      </c>
      <c r="G578" t="s">
        <v>156</v>
      </c>
      <c r="H578" t="s">
        <v>66</v>
      </c>
      <c r="I578" t="s">
        <v>43</v>
      </c>
      <c r="J578">
        <v>93.19</v>
      </c>
      <c r="K578">
        <v>18</v>
      </c>
      <c r="L578">
        <v>9.5</v>
      </c>
      <c r="M578">
        <v>11</v>
      </c>
      <c r="N578">
        <v>796506</v>
      </c>
      <c r="O578">
        <v>817</v>
      </c>
      <c r="P578">
        <v>0</v>
      </c>
      <c r="Q578">
        <v>143</v>
      </c>
      <c r="R578">
        <v>58369</v>
      </c>
      <c r="S578" t="s">
        <v>44</v>
      </c>
      <c r="T578" t="s">
        <v>44</v>
      </c>
      <c r="U578" t="s">
        <v>44</v>
      </c>
      <c r="V578">
        <v>37138</v>
      </c>
      <c r="W578">
        <v>1762</v>
      </c>
      <c r="X578" t="s">
        <v>44</v>
      </c>
      <c r="Y578">
        <v>37134</v>
      </c>
      <c r="Z578" t="s">
        <v>44</v>
      </c>
      <c r="AA578">
        <v>6</v>
      </c>
      <c r="AB578">
        <v>0</v>
      </c>
      <c r="AC578">
        <v>0</v>
      </c>
      <c r="AD578">
        <v>0</v>
      </c>
      <c r="AE578">
        <v>312</v>
      </c>
      <c r="AF578">
        <v>34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2">
        <v>37961</v>
      </c>
      <c r="AQ578">
        <f t="shared" si="19"/>
        <v>37961</v>
      </c>
      <c r="AR578" s="5">
        <f>VLOOKUP(F578,'[2]SCP_24-25'!$A:$D,4,0)</f>
        <v>53.202222222222218</v>
      </c>
      <c r="AS578" s="5">
        <f t="shared" si="18"/>
        <v>2019609.5577777775</v>
      </c>
    </row>
    <row r="579" spans="1:45" x14ac:dyDescent="0.3">
      <c r="A579" s="1">
        <v>45900.961805555555</v>
      </c>
      <c r="B579" t="s">
        <v>617</v>
      </c>
      <c r="C579" t="s">
        <v>618</v>
      </c>
      <c r="D579" t="s">
        <v>1343</v>
      </c>
      <c r="E579" t="s">
        <v>1344</v>
      </c>
      <c r="F579" t="s">
        <v>2121</v>
      </c>
      <c r="G579" t="s">
        <v>1345</v>
      </c>
      <c r="H579" t="s">
        <v>66</v>
      </c>
      <c r="I579" t="s">
        <v>43</v>
      </c>
      <c r="J579">
        <v>50</v>
      </c>
      <c r="K579">
        <v>19</v>
      </c>
      <c r="L579">
        <v>11</v>
      </c>
      <c r="M579">
        <v>9.5</v>
      </c>
      <c r="N579">
        <v>141345</v>
      </c>
      <c r="O579">
        <v>0</v>
      </c>
      <c r="P579">
        <v>0</v>
      </c>
      <c r="Q579">
        <v>8</v>
      </c>
      <c r="R579">
        <v>5</v>
      </c>
      <c r="S579" t="s">
        <v>44</v>
      </c>
      <c r="T579" t="s">
        <v>44</v>
      </c>
      <c r="U579" t="s">
        <v>44</v>
      </c>
      <c r="V579">
        <v>35027</v>
      </c>
      <c r="W579">
        <v>10</v>
      </c>
      <c r="X579" t="s">
        <v>44</v>
      </c>
      <c r="Y579">
        <v>35027</v>
      </c>
      <c r="Z579" t="s">
        <v>44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s="2">
        <v>35027</v>
      </c>
      <c r="AQ579">
        <f t="shared" si="19"/>
        <v>35027</v>
      </c>
      <c r="AR579" s="5">
        <f>VLOOKUP(F579,'[2]SCP_24-25'!$A:$D,4,0)</f>
        <v>12.53</v>
      </c>
      <c r="AS579" s="5">
        <f t="shared" ref="AS579:AS642" si="20">AQ579*AR579</f>
        <v>438888.31</v>
      </c>
    </row>
    <row r="580" spans="1:45" x14ac:dyDescent="0.3">
      <c r="A580" s="1">
        <v>45900.961805555555</v>
      </c>
      <c r="B580" t="s">
        <v>617</v>
      </c>
      <c r="C580" t="s">
        <v>618</v>
      </c>
      <c r="D580" t="s">
        <v>326</v>
      </c>
      <c r="F580" t="s">
        <v>1625</v>
      </c>
      <c r="G580" t="s">
        <v>327</v>
      </c>
      <c r="H580" t="s">
        <v>66</v>
      </c>
      <c r="I580" t="s">
        <v>43</v>
      </c>
      <c r="J580">
        <v>40</v>
      </c>
      <c r="K580">
        <v>19</v>
      </c>
      <c r="L580">
        <v>11</v>
      </c>
      <c r="M580">
        <v>9.5</v>
      </c>
      <c r="N580">
        <v>425237</v>
      </c>
      <c r="O580">
        <v>3917</v>
      </c>
      <c r="P580">
        <v>0</v>
      </c>
      <c r="Q580">
        <v>11</v>
      </c>
      <c r="R580">
        <v>36472</v>
      </c>
      <c r="S580" t="s">
        <v>44</v>
      </c>
      <c r="T580">
        <v>26000</v>
      </c>
      <c r="U580" t="s">
        <v>44</v>
      </c>
      <c r="V580">
        <v>35948</v>
      </c>
      <c r="W580">
        <v>1560</v>
      </c>
      <c r="X580" t="s">
        <v>44</v>
      </c>
      <c r="Y580">
        <v>35948</v>
      </c>
      <c r="Z580" t="s">
        <v>44</v>
      </c>
      <c r="AA580">
        <v>15</v>
      </c>
      <c r="AB580">
        <v>0</v>
      </c>
      <c r="AC580">
        <v>0</v>
      </c>
      <c r="AD580">
        <v>0</v>
      </c>
      <c r="AE580">
        <v>562</v>
      </c>
      <c r="AF580">
        <v>65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2">
        <v>39880</v>
      </c>
      <c r="AQ580">
        <f t="shared" si="19"/>
        <v>39880</v>
      </c>
      <c r="AR580" s="5">
        <f>VLOOKUP(F580,'[2]SCP_24-25'!$A:$D,4,0)</f>
        <v>15.920000000000002</v>
      </c>
      <c r="AS580" s="5">
        <f t="shared" si="20"/>
        <v>634889.60000000009</v>
      </c>
    </row>
    <row r="581" spans="1:45" x14ac:dyDescent="0.3">
      <c r="A581" s="1">
        <v>45900.961805555555</v>
      </c>
      <c r="B581" t="s">
        <v>617</v>
      </c>
      <c r="C581" t="s">
        <v>618</v>
      </c>
      <c r="D581" t="s">
        <v>1346</v>
      </c>
      <c r="E581" t="s">
        <v>1347</v>
      </c>
      <c r="F581" t="s">
        <v>2122</v>
      </c>
      <c r="G581" t="s">
        <v>1348</v>
      </c>
      <c r="H581" t="s">
        <v>621</v>
      </c>
      <c r="I581" t="s">
        <v>43</v>
      </c>
      <c r="J581">
        <v>139.30000000000001</v>
      </c>
      <c r="K581">
        <v>22.8</v>
      </c>
      <c r="L581">
        <v>7.62</v>
      </c>
      <c r="M581">
        <v>17.7</v>
      </c>
      <c r="N581">
        <v>524552</v>
      </c>
      <c r="O581">
        <v>0</v>
      </c>
      <c r="P581">
        <v>0</v>
      </c>
      <c r="Q581" t="s">
        <v>44</v>
      </c>
      <c r="R581" t="s">
        <v>44</v>
      </c>
      <c r="S581" t="s">
        <v>44</v>
      </c>
      <c r="T581">
        <v>9650</v>
      </c>
      <c r="U581" t="s">
        <v>44</v>
      </c>
      <c r="V581">
        <v>37402</v>
      </c>
      <c r="W581" t="s">
        <v>44</v>
      </c>
      <c r="X581" t="s">
        <v>44</v>
      </c>
      <c r="Y581">
        <v>37402</v>
      </c>
      <c r="Z581" t="s">
        <v>44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s="2">
        <v>37402</v>
      </c>
      <c r="AQ581">
        <f t="shared" si="19"/>
        <v>37402</v>
      </c>
      <c r="AR581" s="5">
        <f>VLOOKUP(F581,'[2]SCP_24-25'!$A:$D,4,0)</f>
        <v>6.9774999999999991</v>
      </c>
      <c r="AS581" s="5">
        <f t="shared" si="20"/>
        <v>260972.45499999996</v>
      </c>
    </row>
    <row r="582" spans="1:45" x14ac:dyDescent="0.3">
      <c r="A582" s="1">
        <v>45900.961805555555</v>
      </c>
      <c r="B582" t="s">
        <v>617</v>
      </c>
      <c r="C582" t="s">
        <v>618</v>
      </c>
      <c r="D582" t="s">
        <v>399</v>
      </c>
      <c r="F582" t="s">
        <v>1657</v>
      </c>
      <c r="G582" t="s">
        <v>400</v>
      </c>
      <c r="H582" t="s">
        <v>66</v>
      </c>
      <c r="I582" t="s">
        <v>43</v>
      </c>
      <c r="J582">
        <v>59.02</v>
      </c>
      <c r="K582">
        <v>19</v>
      </c>
      <c r="L582">
        <v>11</v>
      </c>
      <c r="M582">
        <v>10</v>
      </c>
      <c r="N582">
        <v>488068</v>
      </c>
      <c r="O582">
        <v>722</v>
      </c>
      <c r="P582">
        <v>0</v>
      </c>
      <c r="Q582">
        <v>124</v>
      </c>
      <c r="R582">
        <v>7582</v>
      </c>
      <c r="S582" t="s">
        <v>44</v>
      </c>
      <c r="T582" t="s">
        <v>44</v>
      </c>
      <c r="U582" t="s">
        <v>44</v>
      </c>
      <c r="V582">
        <v>37600</v>
      </c>
      <c r="W582">
        <v>1529</v>
      </c>
      <c r="X582" t="s">
        <v>44</v>
      </c>
      <c r="Y582">
        <v>37600</v>
      </c>
      <c r="Z582" t="s">
        <v>44</v>
      </c>
      <c r="AA582">
        <v>18</v>
      </c>
      <c r="AB582">
        <v>0</v>
      </c>
      <c r="AC582">
        <v>0</v>
      </c>
      <c r="AD582">
        <v>0</v>
      </c>
      <c r="AE582">
        <v>0</v>
      </c>
      <c r="AF582">
        <v>51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s="2">
        <v>38340</v>
      </c>
      <c r="AQ582">
        <f t="shared" si="19"/>
        <v>38340</v>
      </c>
      <c r="AR582" s="5">
        <f>VLOOKUP(F582,'[2]SCP_24-25'!$A:$D,4,0)</f>
        <v>50.06</v>
      </c>
      <c r="AS582" s="5">
        <f t="shared" si="20"/>
        <v>1919300.4000000001</v>
      </c>
    </row>
    <row r="583" spans="1:45" x14ac:dyDescent="0.3">
      <c r="A583" s="1">
        <v>45900.961805555555</v>
      </c>
      <c r="B583" t="s">
        <v>617</v>
      </c>
      <c r="C583" t="s">
        <v>618</v>
      </c>
      <c r="D583" t="s">
        <v>418</v>
      </c>
      <c r="F583" t="s">
        <v>1666</v>
      </c>
      <c r="G583" t="s">
        <v>419</v>
      </c>
      <c r="H583" t="s">
        <v>66</v>
      </c>
      <c r="I583" t="s">
        <v>43</v>
      </c>
      <c r="J583">
        <v>90.08</v>
      </c>
      <c r="K583">
        <v>19</v>
      </c>
      <c r="L583">
        <v>10</v>
      </c>
      <c r="M583">
        <v>11</v>
      </c>
      <c r="N583">
        <v>324552</v>
      </c>
      <c r="O583">
        <v>5530</v>
      </c>
      <c r="P583">
        <v>0</v>
      </c>
      <c r="Q583">
        <v>316</v>
      </c>
      <c r="R583">
        <v>233</v>
      </c>
      <c r="S583" t="s">
        <v>44</v>
      </c>
      <c r="T583" t="s">
        <v>44</v>
      </c>
      <c r="U583" t="s">
        <v>44</v>
      </c>
      <c r="V583">
        <v>43592</v>
      </c>
      <c r="W583">
        <v>165</v>
      </c>
      <c r="X583" t="s">
        <v>44</v>
      </c>
      <c r="Y583">
        <v>43592</v>
      </c>
      <c r="Z583" t="s">
        <v>44</v>
      </c>
      <c r="AA583">
        <v>42</v>
      </c>
      <c r="AB583">
        <v>0</v>
      </c>
      <c r="AC583">
        <v>0</v>
      </c>
      <c r="AD583">
        <v>0</v>
      </c>
      <c r="AE583">
        <v>21</v>
      </c>
      <c r="AF583">
        <v>50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 s="2">
        <v>49164</v>
      </c>
      <c r="AQ583">
        <f t="shared" si="19"/>
        <v>49164</v>
      </c>
      <c r="AR583" s="5">
        <f>VLOOKUP(F583,'[2]SCP_24-25'!$A:$D,4,0)</f>
        <v>45.279999999999994</v>
      </c>
      <c r="AS583" s="5">
        <f t="shared" si="20"/>
        <v>2226145.92</v>
      </c>
    </row>
    <row r="584" spans="1:45" x14ac:dyDescent="0.3">
      <c r="A584" s="1">
        <v>45900.961805555555</v>
      </c>
      <c r="B584" t="s">
        <v>617</v>
      </c>
      <c r="C584" t="s">
        <v>618</v>
      </c>
      <c r="D584" t="s">
        <v>411</v>
      </c>
      <c r="F584" t="s">
        <v>1663</v>
      </c>
      <c r="G584" t="s">
        <v>412</v>
      </c>
      <c r="H584" t="s">
        <v>66</v>
      </c>
      <c r="I584" t="s">
        <v>43</v>
      </c>
      <c r="J584">
        <v>115</v>
      </c>
      <c r="K584">
        <v>19</v>
      </c>
      <c r="L584">
        <v>11</v>
      </c>
      <c r="M584">
        <v>10</v>
      </c>
      <c r="N584">
        <v>256762</v>
      </c>
      <c r="O584">
        <v>565</v>
      </c>
      <c r="P584">
        <v>0</v>
      </c>
      <c r="Q584">
        <v>29</v>
      </c>
      <c r="R584">
        <v>69</v>
      </c>
      <c r="S584" t="s">
        <v>44</v>
      </c>
      <c r="T584" t="s">
        <v>44</v>
      </c>
      <c r="U584" t="s">
        <v>44</v>
      </c>
      <c r="V584">
        <v>33468</v>
      </c>
      <c r="W584">
        <v>64</v>
      </c>
      <c r="X584" t="s">
        <v>44</v>
      </c>
      <c r="Y584">
        <v>33468</v>
      </c>
      <c r="Z584" t="s">
        <v>44</v>
      </c>
      <c r="AA584">
        <v>13</v>
      </c>
      <c r="AB584">
        <v>0</v>
      </c>
      <c r="AC584">
        <v>0</v>
      </c>
      <c r="AD584">
        <v>0</v>
      </c>
      <c r="AE584">
        <v>0</v>
      </c>
      <c r="AF584">
        <v>17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s="2">
        <v>34046</v>
      </c>
      <c r="AQ584">
        <f t="shared" si="19"/>
        <v>34046</v>
      </c>
      <c r="AR584" s="5">
        <f>VLOOKUP(F584,'[2]SCP_24-25'!$A:$D,4,0)</f>
        <v>54.699999999999996</v>
      </c>
      <c r="AS584" s="5">
        <f t="shared" si="20"/>
        <v>1862316.2</v>
      </c>
    </row>
    <row r="585" spans="1:45" x14ac:dyDescent="0.3">
      <c r="A585" s="1">
        <v>45900.961805555555</v>
      </c>
      <c r="B585" t="s">
        <v>617</v>
      </c>
      <c r="C585" t="s">
        <v>618</v>
      </c>
      <c r="D585" t="s">
        <v>471</v>
      </c>
      <c r="F585" t="s">
        <v>1690</v>
      </c>
      <c r="G585" t="s">
        <v>472</v>
      </c>
      <c r="H585" t="s">
        <v>66</v>
      </c>
      <c r="I585" t="s">
        <v>415</v>
      </c>
      <c r="J585">
        <v>52.02</v>
      </c>
      <c r="K585">
        <v>19</v>
      </c>
      <c r="L585">
        <v>10</v>
      </c>
      <c r="M585">
        <v>11</v>
      </c>
      <c r="N585">
        <v>218068</v>
      </c>
      <c r="O585">
        <v>472</v>
      </c>
      <c r="P585">
        <v>0</v>
      </c>
      <c r="Q585">
        <v>102</v>
      </c>
      <c r="R585">
        <v>8446</v>
      </c>
      <c r="S585" t="s">
        <v>44</v>
      </c>
      <c r="T585">
        <v>144</v>
      </c>
      <c r="U585" t="s">
        <v>44</v>
      </c>
      <c r="V585">
        <v>37365</v>
      </c>
      <c r="W585">
        <v>70</v>
      </c>
      <c r="X585" t="s">
        <v>44</v>
      </c>
      <c r="Y585">
        <v>37269</v>
      </c>
      <c r="Z585" t="s">
        <v>44</v>
      </c>
      <c r="AA585">
        <v>16</v>
      </c>
      <c r="AB585">
        <v>0</v>
      </c>
      <c r="AC585">
        <v>0</v>
      </c>
      <c r="AD585">
        <v>0</v>
      </c>
      <c r="AE585">
        <v>0</v>
      </c>
      <c r="AF585">
        <v>45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s="2">
        <v>37853</v>
      </c>
      <c r="AQ585">
        <f t="shared" si="19"/>
        <v>37853</v>
      </c>
      <c r="AR585" s="5">
        <f>VLOOKUP(F585,'[2]SCP_24-25'!$A:$D,4,0)</f>
        <v>87.59</v>
      </c>
      <c r="AS585" s="5">
        <f t="shared" si="20"/>
        <v>3315544.27</v>
      </c>
    </row>
    <row r="586" spans="1:45" x14ac:dyDescent="0.3">
      <c r="A586" s="1">
        <v>45900.961805555555</v>
      </c>
      <c r="B586" t="s">
        <v>617</v>
      </c>
      <c r="C586" t="s">
        <v>618</v>
      </c>
      <c r="D586" t="s">
        <v>1349</v>
      </c>
      <c r="F586" t="s">
        <v>2123</v>
      </c>
      <c r="G586" t="s">
        <v>1350</v>
      </c>
      <c r="H586" t="s">
        <v>66</v>
      </c>
      <c r="I586" t="s">
        <v>415</v>
      </c>
      <c r="J586">
        <v>25</v>
      </c>
      <c r="K586">
        <v>19</v>
      </c>
      <c r="L586">
        <v>10</v>
      </c>
      <c r="M586">
        <v>11</v>
      </c>
      <c r="N586">
        <v>53040</v>
      </c>
      <c r="O586">
        <v>1910</v>
      </c>
      <c r="P586">
        <v>0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>
        <v>44249</v>
      </c>
      <c r="W586" t="s">
        <v>44</v>
      </c>
      <c r="X586" t="s">
        <v>44</v>
      </c>
      <c r="Y586">
        <v>44249</v>
      </c>
      <c r="Z586" t="s">
        <v>44</v>
      </c>
      <c r="AA586">
        <v>10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 s="2">
        <v>46169</v>
      </c>
      <c r="AQ586">
        <f t="shared" si="19"/>
        <v>46169</v>
      </c>
      <c r="AR586" s="5">
        <f>VLOOKUP(F586,'[2]SCP_24-25'!$A:$D,4,0)</f>
        <v>7.7</v>
      </c>
      <c r="AS586" s="5">
        <f t="shared" si="20"/>
        <v>355501.3</v>
      </c>
    </row>
    <row r="587" spans="1:45" x14ac:dyDescent="0.3">
      <c r="A587" s="1">
        <v>45900.961805555555</v>
      </c>
      <c r="B587" t="s">
        <v>617</v>
      </c>
      <c r="C587" t="s">
        <v>618</v>
      </c>
      <c r="D587" t="s">
        <v>1351</v>
      </c>
      <c r="F587" t="s">
        <v>2124</v>
      </c>
      <c r="G587" t="s">
        <v>1352</v>
      </c>
      <c r="H587" t="s">
        <v>66</v>
      </c>
      <c r="I587" t="s">
        <v>415</v>
      </c>
      <c r="J587">
        <v>25</v>
      </c>
      <c r="K587">
        <v>19</v>
      </c>
      <c r="L587">
        <v>10</v>
      </c>
      <c r="M587">
        <v>11</v>
      </c>
      <c r="N587">
        <v>44720</v>
      </c>
      <c r="O587">
        <v>493</v>
      </c>
      <c r="P587">
        <v>0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>
        <v>37686</v>
      </c>
      <c r="W587" t="s">
        <v>44</v>
      </c>
      <c r="X587" t="s">
        <v>44</v>
      </c>
      <c r="Y587">
        <v>37686</v>
      </c>
      <c r="Z587" t="s">
        <v>44</v>
      </c>
      <c r="AA587">
        <v>10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s="2">
        <v>38189</v>
      </c>
      <c r="AQ587">
        <f t="shared" si="19"/>
        <v>38189</v>
      </c>
      <c r="AR587" s="5">
        <f>VLOOKUP(F587,'[2]SCP_24-25'!$A:$D,4,0)</f>
        <v>9.9</v>
      </c>
      <c r="AS587" s="5">
        <f t="shared" si="20"/>
        <v>378071.10000000003</v>
      </c>
    </row>
    <row r="588" spans="1:45" x14ac:dyDescent="0.3">
      <c r="A588" s="1">
        <v>45900.961805555555</v>
      </c>
      <c r="B588" t="s">
        <v>617</v>
      </c>
      <c r="C588" t="s">
        <v>618</v>
      </c>
      <c r="D588" t="s">
        <v>183</v>
      </c>
      <c r="F588" t="s">
        <v>1569</v>
      </c>
      <c r="G588" t="s">
        <v>184</v>
      </c>
      <c r="H588" t="s">
        <v>66</v>
      </c>
      <c r="I588" t="s">
        <v>43</v>
      </c>
      <c r="J588">
        <v>105.88</v>
      </c>
      <c r="K588">
        <v>19</v>
      </c>
      <c r="L588">
        <v>9.5</v>
      </c>
      <c r="M588">
        <v>11</v>
      </c>
      <c r="N588">
        <v>1584311</v>
      </c>
      <c r="O588">
        <v>9231</v>
      </c>
      <c r="P588">
        <v>0</v>
      </c>
      <c r="Q588">
        <v>1937</v>
      </c>
      <c r="R588">
        <v>142690</v>
      </c>
      <c r="S588" t="s">
        <v>44</v>
      </c>
      <c r="T588">
        <v>155</v>
      </c>
      <c r="U588" t="s">
        <v>44</v>
      </c>
      <c r="V588">
        <v>80497</v>
      </c>
      <c r="W588">
        <v>2819</v>
      </c>
      <c r="X588" t="s">
        <v>44</v>
      </c>
      <c r="Y588">
        <v>80351</v>
      </c>
      <c r="Z588" t="s">
        <v>44</v>
      </c>
      <c r="AA588">
        <v>42</v>
      </c>
      <c r="AB588">
        <v>0</v>
      </c>
      <c r="AC588">
        <v>0</v>
      </c>
      <c r="AD588">
        <v>0</v>
      </c>
      <c r="AE588">
        <v>64</v>
      </c>
      <c r="AF588">
        <v>78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 s="2">
        <v>89770</v>
      </c>
      <c r="AQ588">
        <f t="shared" si="19"/>
        <v>89770</v>
      </c>
      <c r="AR588" s="5">
        <f>VLOOKUP(F588,'[2]SCP_24-25'!$A:$D,4,0)</f>
        <v>51.841111111111118</v>
      </c>
      <c r="AS588" s="5">
        <f t="shared" si="20"/>
        <v>4653776.5444444455</v>
      </c>
    </row>
    <row r="589" spans="1:45" x14ac:dyDescent="0.3">
      <c r="A589" s="1">
        <v>45900.961805555555</v>
      </c>
      <c r="B589" t="s">
        <v>617</v>
      </c>
      <c r="C589" t="s">
        <v>618</v>
      </c>
      <c r="D589" t="s">
        <v>413</v>
      </c>
      <c r="F589" t="s">
        <v>1664</v>
      </c>
      <c r="G589" t="s">
        <v>414</v>
      </c>
      <c r="H589" t="s">
        <v>66</v>
      </c>
      <c r="I589" t="s">
        <v>415</v>
      </c>
      <c r="J589">
        <v>56.72</v>
      </c>
      <c r="K589">
        <v>19</v>
      </c>
      <c r="L589">
        <v>10</v>
      </c>
      <c r="M589">
        <v>11</v>
      </c>
      <c r="N589">
        <v>278006</v>
      </c>
      <c r="O589">
        <v>2930</v>
      </c>
      <c r="P589">
        <v>0</v>
      </c>
      <c r="Q589">
        <v>143</v>
      </c>
      <c r="R589">
        <v>186</v>
      </c>
      <c r="S589" t="s">
        <v>44</v>
      </c>
      <c r="T589" t="s">
        <v>44</v>
      </c>
      <c r="U589" t="s">
        <v>44</v>
      </c>
      <c r="V589">
        <v>83821</v>
      </c>
      <c r="W589">
        <v>44</v>
      </c>
      <c r="X589" t="s">
        <v>44</v>
      </c>
      <c r="Y589">
        <v>83821</v>
      </c>
      <c r="Z589" t="s">
        <v>44</v>
      </c>
      <c r="AA589">
        <v>38</v>
      </c>
      <c r="AB589">
        <v>0</v>
      </c>
      <c r="AC589">
        <v>0</v>
      </c>
      <c r="AD589">
        <v>0</v>
      </c>
      <c r="AE589">
        <v>0</v>
      </c>
      <c r="AF589">
        <v>105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s="2">
        <v>86789</v>
      </c>
      <c r="AQ589">
        <f t="shared" si="19"/>
        <v>86789</v>
      </c>
      <c r="AR589" s="5">
        <f>VLOOKUP(F589,'[2]SCP_24-25'!$A:$D,4,0)</f>
        <v>85.96</v>
      </c>
      <c r="AS589" s="5">
        <f t="shared" si="20"/>
        <v>7460382.4399999995</v>
      </c>
    </row>
    <row r="590" spans="1:45" x14ac:dyDescent="0.3">
      <c r="A590" s="1">
        <v>45900.961805555555</v>
      </c>
      <c r="B590" t="s">
        <v>617</v>
      </c>
      <c r="C590" t="s">
        <v>618</v>
      </c>
      <c r="D590" t="s">
        <v>1353</v>
      </c>
      <c r="F590" t="s">
        <v>2125</v>
      </c>
      <c r="G590" t="s">
        <v>1354</v>
      </c>
      <c r="H590" t="s">
        <v>66</v>
      </c>
      <c r="I590" t="s">
        <v>415</v>
      </c>
      <c r="J590">
        <v>5</v>
      </c>
      <c r="K590">
        <v>19</v>
      </c>
      <c r="L590">
        <v>10</v>
      </c>
      <c r="M590">
        <v>11</v>
      </c>
      <c r="N590">
        <v>223176</v>
      </c>
      <c r="O590">
        <v>4853</v>
      </c>
      <c r="P590">
        <v>0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>
        <v>212417</v>
      </c>
      <c r="W590" t="s">
        <v>44</v>
      </c>
      <c r="X590" t="s">
        <v>44</v>
      </c>
      <c r="Y590">
        <v>212417</v>
      </c>
      <c r="Z590" t="s">
        <v>44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s="2">
        <v>217271</v>
      </c>
      <c r="AQ590">
        <f t="shared" si="19"/>
        <v>217271</v>
      </c>
      <c r="AR590" s="5">
        <f>VLOOKUP(F590,'[2]SCP_24-25'!$A:$D,4,0)</f>
        <v>20.990000000000002</v>
      </c>
      <c r="AS590" s="5">
        <f t="shared" si="20"/>
        <v>4560518.29</v>
      </c>
    </row>
    <row r="591" spans="1:45" x14ac:dyDescent="0.3">
      <c r="A591" s="1">
        <v>45900.961805555555</v>
      </c>
      <c r="B591" t="s">
        <v>617</v>
      </c>
      <c r="C591" t="s">
        <v>618</v>
      </c>
      <c r="D591" t="s">
        <v>133</v>
      </c>
      <c r="F591" t="s">
        <v>1544</v>
      </c>
      <c r="G591" t="s">
        <v>134</v>
      </c>
      <c r="H591" t="s">
        <v>66</v>
      </c>
      <c r="I591" t="s">
        <v>43</v>
      </c>
      <c r="J591">
        <v>137</v>
      </c>
      <c r="K591">
        <v>19</v>
      </c>
      <c r="L591">
        <v>10</v>
      </c>
      <c r="M591">
        <v>11</v>
      </c>
      <c r="N591">
        <v>598449</v>
      </c>
      <c r="O591">
        <v>648</v>
      </c>
      <c r="P591">
        <v>0</v>
      </c>
      <c r="Q591">
        <v>517</v>
      </c>
      <c r="R591">
        <v>45595</v>
      </c>
      <c r="S591" t="s">
        <v>44</v>
      </c>
      <c r="T591">
        <v>2</v>
      </c>
      <c r="U591" t="s">
        <v>44</v>
      </c>
      <c r="V591">
        <v>30614</v>
      </c>
      <c r="W591">
        <v>64</v>
      </c>
      <c r="X591" t="s">
        <v>44</v>
      </c>
      <c r="Y591">
        <v>30614</v>
      </c>
      <c r="Z591" t="s">
        <v>44</v>
      </c>
      <c r="AA591">
        <v>17</v>
      </c>
      <c r="AB591">
        <v>0</v>
      </c>
      <c r="AC591">
        <v>0</v>
      </c>
      <c r="AD591">
        <v>0</v>
      </c>
      <c r="AE591">
        <v>0</v>
      </c>
      <c r="AF591">
        <v>38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s="2">
        <v>31279</v>
      </c>
      <c r="AQ591">
        <f t="shared" si="19"/>
        <v>31279</v>
      </c>
      <c r="AR591" s="5">
        <f>VLOOKUP(F591,'[2]SCP_24-25'!$A:$D,4,0)</f>
        <v>27.66</v>
      </c>
      <c r="AS591" s="5">
        <f t="shared" si="20"/>
        <v>865177.14</v>
      </c>
    </row>
    <row r="592" spans="1:45" x14ac:dyDescent="0.3">
      <c r="A592" s="1">
        <v>45900.961805555555</v>
      </c>
      <c r="B592" t="s">
        <v>617</v>
      </c>
      <c r="C592" t="s">
        <v>618</v>
      </c>
      <c r="D592" t="s">
        <v>145</v>
      </c>
      <c r="F592" t="s">
        <v>1550</v>
      </c>
      <c r="G592" t="s">
        <v>146</v>
      </c>
      <c r="H592" t="s">
        <v>103</v>
      </c>
      <c r="I592" t="s">
        <v>43</v>
      </c>
      <c r="J592">
        <v>300</v>
      </c>
      <c r="K592">
        <v>19</v>
      </c>
      <c r="L592">
        <v>9.5</v>
      </c>
      <c r="M592">
        <v>11</v>
      </c>
      <c r="N592">
        <v>632876</v>
      </c>
      <c r="O592">
        <v>427</v>
      </c>
      <c r="P592">
        <v>0</v>
      </c>
      <c r="Q592">
        <v>262</v>
      </c>
      <c r="R592">
        <v>73401</v>
      </c>
      <c r="S592" t="s">
        <v>44</v>
      </c>
      <c r="T592" t="s">
        <v>44</v>
      </c>
      <c r="U592" t="s">
        <v>44</v>
      </c>
      <c r="V592">
        <v>30818</v>
      </c>
      <c r="W592">
        <v>1177</v>
      </c>
      <c r="X592" t="s">
        <v>44</v>
      </c>
      <c r="Y592">
        <v>30818</v>
      </c>
      <c r="Z592" t="s">
        <v>44</v>
      </c>
      <c r="AA592">
        <v>56</v>
      </c>
      <c r="AB592">
        <v>0</v>
      </c>
      <c r="AC592">
        <v>0</v>
      </c>
      <c r="AD592">
        <v>0</v>
      </c>
      <c r="AE592">
        <v>36</v>
      </c>
      <c r="AF592">
        <v>22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s="2">
        <v>31301</v>
      </c>
      <c r="AQ592">
        <f t="shared" si="19"/>
        <v>31301</v>
      </c>
      <c r="AR592" s="5">
        <f>VLOOKUP(F592,'[2]SCP_24-25'!$A:$D,4,0)</f>
        <v>102.91</v>
      </c>
      <c r="AS592" s="5">
        <f t="shared" si="20"/>
        <v>3221185.9099999997</v>
      </c>
    </row>
    <row r="593" spans="1:45" x14ac:dyDescent="0.3">
      <c r="A593" s="1">
        <v>45900.961805555555</v>
      </c>
      <c r="B593" t="s">
        <v>617</v>
      </c>
      <c r="C593" t="s">
        <v>618</v>
      </c>
      <c r="D593" t="s">
        <v>165</v>
      </c>
      <c r="E593" s="3">
        <v>8910000000000</v>
      </c>
      <c r="F593" t="s">
        <v>1560</v>
      </c>
      <c r="G593" t="s">
        <v>166</v>
      </c>
      <c r="H593" t="s">
        <v>66</v>
      </c>
      <c r="I593" t="s">
        <v>43</v>
      </c>
      <c r="J593">
        <v>93.27</v>
      </c>
      <c r="K593">
        <v>19</v>
      </c>
      <c r="L593">
        <v>11</v>
      </c>
      <c r="M593">
        <v>9.5</v>
      </c>
      <c r="N593">
        <v>670009</v>
      </c>
      <c r="O593">
        <v>2944</v>
      </c>
      <c r="P593">
        <v>0</v>
      </c>
      <c r="Q593">
        <v>117</v>
      </c>
      <c r="R593">
        <v>28713</v>
      </c>
      <c r="S593" t="s">
        <v>44</v>
      </c>
      <c r="T593" t="s">
        <v>44</v>
      </c>
      <c r="U593" t="s">
        <v>44</v>
      </c>
      <c r="V593">
        <v>26897</v>
      </c>
      <c r="W593">
        <v>1655</v>
      </c>
      <c r="X593" t="s">
        <v>44</v>
      </c>
      <c r="Y593">
        <v>26873</v>
      </c>
      <c r="Z593" t="s">
        <v>44</v>
      </c>
      <c r="AA593">
        <v>14</v>
      </c>
      <c r="AB593">
        <v>0</v>
      </c>
      <c r="AC593">
        <v>0</v>
      </c>
      <c r="AD593">
        <v>0</v>
      </c>
      <c r="AE593">
        <v>123</v>
      </c>
      <c r="AF593">
        <v>23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s="2">
        <v>29855</v>
      </c>
      <c r="AQ593">
        <f t="shared" si="19"/>
        <v>29855</v>
      </c>
      <c r="AR593" s="5">
        <f>VLOOKUP(F593,'[2]SCP_24-25'!$A:$D,4,0)</f>
        <v>69.16</v>
      </c>
      <c r="AS593" s="5">
        <f t="shared" si="20"/>
        <v>2064771.7999999998</v>
      </c>
    </row>
    <row r="594" spans="1:45" x14ac:dyDescent="0.3">
      <c r="A594" s="1">
        <v>45900.961805555555</v>
      </c>
      <c r="B594" t="s">
        <v>617</v>
      </c>
      <c r="C594" t="s">
        <v>618</v>
      </c>
      <c r="D594" t="s">
        <v>177</v>
      </c>
      <c r="F594" t="s">
        <v>1566</v>
      </c>
      <c r="G594" t="s">
        <v>178</v>
      </c>
      <c r="H594" t="s">
        <v>66</v>
      </c>
      <c r="I594" t="s">
        <v>43</v>
      </c>
      <c r="J594">
        <v>102</v>
      </c>
      <c r="K594">
        <v>19</v>
      </c>
      <c r="L594">
        <v>9.5</v>
      </c>
      <c r="M594">
        <v>11</v>
      </c>
      <c r="N594">
        <v>979091</v>
      </c>
      <c r="O594">
        <v>854</v>
      </c>
      <c r="P594">
        <v>0</v>
      </c>
      <c r="Q594">
        <v>331</v>
      </c>
      <c r="R594">
        <v>58996</v>
      </c>
      <c r="S594" t="s">
        <v>44</v>
      </c>
      <c r="T594">
        <v>2926</v>
      </c>
      <c r="U594" t="s">
        <v>44</v>
      </c>
      <c r="V594">
        <v>30345</v>
      </c>
      <c r="W594">
        <v>2207</v>
      </c>
      <c r="X594" t="s">
        <v>44</v>
      </c>
      <c r="Y594">
        <v>30329</v>
      </c>
      <c r="Z594">
        <v>3</v>
      </c>
      <c r="AA594">
        <v>40</v>
      </c>
      <c r="AB594">
        <v>0</v>
      </c>
      <c r="AC594">
        <v>0</v>
      </c>
      <c r="AD594">
        <v>0</v>
      </c>
      <c r="AE594">
        <v>55</v>
      </c>
      <c r="AF594">
        <v>39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s="2">
        <v>31239</v>
      </c>
      <c r="AQ594">
        <f t="shared" si="19"/>
        <v>31239</v>
      </c>
      <c r="AR594" s="5">
        <f>VLOOKUP(F594,'[2]SCP_24-25'!$A:$D,4,0)</f>
        <v>76.619230769230754</v>
      </c>
      <c r="AS594" s="5">
        <f t="shared" si="20"/>
        <v>2393508.1499999994</v>
      </c>
    </row>
    <row r="595" spans="1:45" x14ac:dyDescent="0.3">
      <c r="A595" s="1">
        <v>45900.961805555555</v>
      </c>
      <c r="B595" t="s">
        <v>617</v>
      </c>
      <c r="C595" t="s">
        <v>618</v>
      </c>
      <c r="D595" t="s">
        <v>179</v>
      </c>
      <c r="F595" t="s">
        <v>1567</v>
      </c>
      <c r="G595" t="s">
        <v>180</v>
      </c>
      <c r="H595" t="s">
        <v>103</v>
      </c>
      <c r="I595" t="s">
        <v>43</v>
      </c>
      <c r="J595">
        <v>128</v>
      </c>
      <c r="K595">
        <v>19</v>
      </c>
      <c r="L595">
        <v>9.5</v>
      </c>
      <c r="M595">
        <v>11</v>
      </c>
      <c r="N595">
        <v>2690158</v>
      </c>
      <c r="O595">
        <v>3639</v>
      </c>
      <c r="P595">
        <v>0</v>
      </c>
      <c r="Q595">
        <v>1470</v>
      </c>
      <c r="R595">
        <v>573408</v>
      </c>
      <c r="S595" t="s">
        <v>44</v>
      </c>
      <c r="T595" t="s">
        <v>44</v>
      </c>
      <c r="U595" t="s">
        <v>44</v>
      </c>
      <c r="V595">
        <v>31492</v>
      </c>
      <c r="W595">
        <v>752</v>
      </c>
      <c r="X595" t="s">
        <v>44</v>
      </c>
      <c r="Y595">
        <v>30937</v>
      </c>
      <c r="Z595">
        <v>1</v>
      </c>
      <c r="AA595">
        <v>94</v>
      </c>
      <c r="AB595">
        <v>0</v>
      </c>
      <c r="AC595">
        <v>0</v>
      </c>
      <c r="AD595">
        <v>0</v>
      </c>
      <c r="AE595">
        <v>191</v>
      </c>
      <c r="AF595">
        <v>73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 s="2">
        <v>35225</v>
      </c>
      <c r="AQ595">
        <f t="shared" si="19"/>
        <v>35225</v>
      </c>
      <c r="AR595" s="5">
        <f>VLOOKUP(F595,'[2]SCP_24-25'!$A:$D,4,0)</f>
        <v>130.39230769230767</v>
      </c>
      <c r="AS595" s="5">
        <f t="shared" si="20"/>
        <v>4593069.038461538</v>
      </c>
    </row>
    <row r="596" spans="1:45" x14ac:dyDescent="0.3">
      <c r="A596" s="1">
        <v>45900.961805555555</v>
      </c>
      <c r="B596" t="s">
        <v>617</v>
      </c>
      <c r="C596" t="s">
        <v>618</v>
      </c>
      <c r="D596" t="s">
        <v>1355</v>
      </c>
      <c r="E596" t="s">
        <v>1356</v>
      </c>
      <c r="F596" t="s">
        <v>2126</v>
      </c>
      <c r="G596" t="s">
        <v>1357</v>
      </c>
      <c r="H596" t="s">
        <v>66</v>
      </c>
      <c r="I596" t="s">
        <v>43</v>
      </c>
      <c r="J596">
        <v>50</v>
      </c>
      <c r="K596">
        <v>19</v>
      </c>
      <c r="L596">
        <v>11</v>
      </c>
      <c r="M596">
        <v>9.5</v>
      </c>
      <c r="N596">
        <v>147517</v>
      </c>
      <c r="O596">
        <v>0</v>
      </c>
      <c r="P596">
        <v>0</v>
      </c>
      <c r="Q596">
        <v>215</v>
      </c>
      <c r="R596">
        <v>7821</v>
      </c>
      <c r="S596" t="s">
        <v>44</v>
      </c>
      <c r="T596" t="s">
        <v>44</v>
      </c>
      <c r="U596" t="s">
        <v>44</v>
      </c>
      <c r="V596">
        <v>29330</v>
      </c>
      <c r="W596" t="s">
        <v>44</v>
      </c>
      <c r="X596" t="s">
        <v>44</v>
      </c>
      <c r="Y596">
        <v>29330</v>
      </c>
      <c r="Z596" t="s">
        <v>44</v>
      </c>
      <c r="AA596">
        <v>2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 s="2">
        <v>29332</v>
      </c>
      <c r="AQ596">
        <f t="shared" si="19"/>
        <v>29332</v>
      </c>
      <c r="AR596" s="5">
        <f>VLOOKUP(F596,'[2]SCP_24-25'!$A:$D,4,0)</f>
        <v>14.59</v>
      </c>
      <c r="AS596" s="5">
        <f t="shared" si="20"/>
        <v>427953.88</v>
      </c>
    </row>
    <row r="597" spans="1:45" x14ac:dyDescent="0.3">
      <c r="A597" s="1">
        <v>45900.961805555555</v>
      </c>
      <c r="B597" t="s">
        <v>617</v>
      </c>
      <c r="C597" t="s">
        <v>618</v>
      </c>
      <c r="D597" t="s">
        <v>113</v>
      </c>
      <c r="F597" t="s">
        <v>1536</v>
      </c>
      <c r="G597" t="s">
        <v>114</v>
      </c>
      <c r="H597" t="s">
        <v>66</v>
      </c>
      <c r="I597" t="s">
        <v>43</v>
      </c>
      <c r="J597">
        <v>37</v>
      </c>
      <c r="K597">
        <v>19</v>
      </c>
      <c r="L597">
        <v>11</v>
      </c>
      <c r="M597">
        <v>9.5</v>
      </c>
      <c r="N597">
        <v>229099</v>
      </c>
      <c r="O597">
        <v>1</v>
      </c>
      <c r="P597">
        <v>0</v>
      </c>
      <c r="Q597">
        <v>3</v>
      </c>
      <c r="R597">
        <v>6778</v>
      </c>
      <c r="S597" t="s">
        <v>44</v>
      </c>
      <c r="T597" t="s">
        <v>44</v>
      </c>
      <c r="U597" t="s">
        <v>44</v>
      </c>
      <c r="V597">
        <v>27902</v>
      </c>
      <c r="W597" t="s">
        <v>44</v>
      </c>
      <c r="X597" t="s">
        <v>44</v>
      </c>
      <c r="Y597">
        <v>27902</v>
      </c>
      <c r="Z597" t="s">
        <v>44</v>
      </c>
      <c r="AA597">
        <v>2</v>
      </c>
      <c r="AB597">
        <v>0</v>
      </c>
      <c r="AC597">
        <v>0</v>
      </c>
      <c r="AD597">
        <v>0</v>
      </c>
      <c r="AE597">
        <v>419</v>
      </c>
      <c r="AF597">
        <v>31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s="2">
        <v>27905</v>
      </c>
      <c r="AQ597">
        <f t="shared" si="19"/>
        <v>27905</v>
      </c>
      <c r="AR597" s="5">
        <f>VLOOKUP(F597,'[2]SCP_24-25'!$A:$D,4,0)</f>
        <v>13.56</v>
      </c>
      <c r="AS597" s="5">
        <f t="shared" si="20"/>
        <v>378391.8</v>
      </c>
    </row>
    <row r="598" spans="1:45" x14ac:dyDescent="0.3">
      <c r="A598" s="1">
        <v>45900.961805555555</v>
      </c>
      <c r="B598" t="s">
        <v>617</v>
      </c>
      <c r="C598" t="s">
        <v>618</v>
      </c>
      <c r="D598" t="s">
        <v>439</v>
      </c>
      <c r="E598" t="s">
        <v>440</v>
      </c>
      <c r="F598" t="s">
        <v>1675</v>
      </c>
      <c r="G598" t="s">
        <v>441</v>
      </c>
      <c r="H598" t="s">
        <v>130</v>
      </c>
      <c r="I598" t="s">
        <v>43</v>
      </c>
      <c r="J598">
        <v>11.32</v>
      </c>
      <c r="K598">
        <v>19</v>
      </c>
      <c r="L598">
        <v>10</v>
      </c>
      <c r="M598">
        <v>11</v>
      </c>
      <c r="N598">
        <v>258047</v>
      </c>
      <c r="O598">
        <v>320</v>
      </c>
      <c r="P598">
        <v>0</v>
      </c>
      <c r="Q598">
        <v>115</v>
      </c>
      <c r="R598">
        <v>8</v>
      </c>
      <c r="S598" t="s">
        <v>44</v>
      </c>
      <c r="T598" t="s">
        <v>44</v>
      </c>
      <c r="U598" t="s">
        <v>44</v>
      </c>
      <c r="V598">
        <v>29218</v>
      </c>
      <c r="W598">
        <v>868</v>
      </c>
      <c r="X598" t="s">
        <v>44</v>
      </c>
      <c r="Y598">
        <v>29218</v>
      </c>
      <c r="Z598" t="s">
        <v>44</v>
      </c>
      <c r="AA598">
        <v>2</v>
      </c>
      <c r="AB598">
        <v>0</v>
      </c>
      <c r="AC598">
        <v>0</v>
      </c>
      <c r="AD598">
        <v>0</v>
      </c>
      <c r="AE598">
        <v>7</v>
      </c>
      <c r="AF598">
        <v>6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s="2">
        <v>29540</v>
      </c>
      <c r="AQ598">
        <f t="shared" si="19"/>
        <v>29540</v>
      </c>
      <c r="AR598" s="5">
        <f>VLOOKUP(F598,'[2]SCP_24-25'!$A:$D,4,0)</f>
        <v>49.01</v>
      </c>
      <c r="AS598" s="5">
        <f t="shared" si="20"/>
        <v>1447755.4</v>
      </c>
    </row>
    <row r="599" spans="1:45" x14ac:dyDescent="0.3">
      <c r="A599" s="1">
        <v>45900.961805555555</v>
      </c>
      <c r="B599" t="s">
        <v>617</v>
      </c>
      <c r="C599" t="s">
        <v>618</v>
      </c>
      <c r="D599" t="s">
        <v>1358</v>
      </c>
      <c r="E599" t="s">
        <v>1359</v>
      </c>
      <c r="F599" t="s">
        <v>2127</v>
      </c>
      <c r="G599" t="s">
        <v>1360</v>
      </c>
      <c r="H599" t="s">
        <v>621</v>
      </c>
      <c r="I599" t="s">
        <v>43</v>
      </c>
      <c r="J599">
        <v>50.8</v>
      </c>
      <c r="K599">
        <v>19</v>
      </c>
      <c r="L599">
        <v>11</v>
      </c>
      <c r="M599">
        <v>8.5</v>
      </c>
      <c r="N599">
        <v>1237350</v>
      </c>
      <c r="O599">
        <v>0</v>
      </c>
      <c r="P599">
        <v>0</v>
      </c>
      <c r="Q599" t="s">
        <v>44</v>
      </c>
      <c r="R599">
        <v>34277</v>
      </c>
      <c r="S599" t="s">
        <v>44</v>
      </c>
      <c r="T599">
        <v>7750</v>
      </c>
      <c r="U599" t="s">
        <v>44</v>
      </c>
      <c r="V599">
        <v>26694</v>
      </c>
      <c r="W599" t="s">
        <v>44</v>
      </c>
      <c r="X599" t="s">
        <v>44</v>
      </c>
      <c r="Y599">
        <v>26686</v>
      </c>
      <c r="Z599" t="s">
        <v>44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s="2">
        <v>26694</v>
      </c>
      <c r="AQ599">
        <f t="shared" si="19"/>
        <v>26694</v>
      </c>
      <c r="AR599" s="5">
        <f>VLOOKUP(F599,'[2]SCP_24-25'!$A:$D,4,0)</f>
        <v>2.8999999999999995</v>
      </c>
      <c r="AS599" s="5">
        <f t="shared" si="20"/>
        <v>77412.599999999991</v>
      </c>
    </row>
    <row r="600" spans="1:45" x14ac:dyDescent="0.3">
      <c r="A600" s="1">
        <v>45900.961805555555</v>
      </c>
      <c r="B600" t="s">
        <v>617</v>
      </c>
      <c r="C600" t="s">
        <v>618</v>
      </c>
      <c r="D600" t="s">
        <v>1361</v>
      </c>
      <c r="F600" t="s">
        <v>2128</v>
      </c>
      <c r="G600" t="s">
        <v>1362</v>
      </c>
      <c r="H600" t="s">
        <v>66</v>
      </c>
      <c r="I600" t="s">
        <v>415</v>
      </c>
      <c r="J600">
        <v>60</v>
      </c>
      <c r="K600">
        <v>19</v>
      </c>
      <c r="L600">
        <v>10</v>
      </c>
      <c r="M600">
        <v>11</v>
      </c>
      <c r="N600">
        <v>36651</v>
      </c>
      <c r="O600">
        <v>554</v>
      </c>
      <c r="P600">
        <v>0</v>
      </c>
      <c r="Q600">
        <v>8</v>
      </c>
      <c r="R600">
        <v>2</v>
      </c>
      <c r="S600" t="s">
        <v>44</v>
      </c>
      <c r="T600" t="s">
        <v>44</v>
      </c>
      <c r="U600" t="s">
        <v>44</v>
      </c>
      <c r="V600">
        <v>26972</v>
      </c>
      <c r="W600" t="s">
        <v>44</v>
      </c>
      <c r="X600" t="s">
        <v>44</v>
      </c>
      <c r="Y600">
        <v>26972</v>
      </c>
      <c r="Z600" t="s">
        <v>44</v>
      </c>
      <c r="AA600">
        <v>25</v>
      </c>
      <c r="AB600">
        <v>0</v>
      </c>
      <c r="AC600">
        <v>0</v>
      </c>
      <c r="AD600">
        <v>0</v>
      </c>
      <c r="AE600">
        <v>0</v>
      </c>
      <c r="AF600">
        <v>4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s="2">
        <v>27551</v>
      </c>
      <c r="AQ600">
        <f t="shared" si="19"/>
        <v>27551</v>
      </c>
      <c r="AR600" s="5">
        <f>VLOOKUP(F600,'[2]SCP_24-25'!$A:$D,4,0)</f>
        <v>86.75</v>
      </c>
      <c r="AS600" s="5">
        <f t="shared" si="20"/>
        <v>2390049.25</v>
      </c>
    </row>
    <row r="601" spans="1:45" x14ac:dyDescent="0.3">
      <c r="A601" s="1">
        <v>45900.962500000001</v>
      </c>
      <c r="B601" t="s">
        <v>1363</v>
      </c>
      <c r="C601" t="s">
        <v>1364</v>
      </c>
      <c r="D601" t="s">
        <v>1355</v>
      </c>
      <c r="E601" t="s">
        <v>1356</v>
      </c>
      <c r="F601" t="s">
        <v>2126</v>
      </c>
      <c r="G601" t="s">
        <v>1357</v>
      </c>
      <c r="H601" t="s">
        <v>66</v>
      </c>
      <c r="I601" t="s">
        <v>43</v>
      </c>
      <c r="J601">
        <v>50</v>
      </c>
      <c r="K601">
        <v>19</v>
      </c>
      <c r="L601">
        <v>11</v>
      </c>
      <c r="M601">
        <v>9.5</v>
      </c>
      <c r="N601">
        <v>29475</v>
      </c>
      <c r="O601">
        <v>0</v>
      </c>
      <c r="P601">
        <v>0</v>
      </c>
      <c r="Q601">
        <v>84</v>
      </c>
      <c r="R601">
        <v>6356</v>
      </c>
      <c r="S601" t="s">
        <v>44</v>
      </c>
      <c r="T601" t="s">
        <v>44</v>
      </c>
      <c r="U601" t="s">
        <v>44</v>
      </c>
      <c r="V601">
        <v>100</v>
      </c>
      <c r="W601" t="s">
        <v>44</v>
      </c>
      <c r="X601" t="s">
        <v>44</v>
      </c>
      <c r="Y601">
        <v>100</v>
      </c>
      <c r="Z601" t="s">
        <v>44</v>
      </c>
      <c r="AA601">
        <v>4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104</v>
      </c>
      <c r="AQ601">
        <f t="shared" ref="AQ601:AQ612" si="21">O601+P601+V601+AA601</f>
        <v>104</v>
      </c>
      <c r="AR601" s="5">
        <f>VLOOKUP(F601,'[2]SCP_24-25'!$A:$D,4,0)</f>
        <v>14.59</v>
      </c>
      <c r="AS601" s="5">
        <f t="shared" si="20"/>
        <v>1517.36</v>
      </c>
    </row>
    <row r="602" spans="1:45" x14ac:dyDescent="0.3">
      <c r="A602" s="1">
        <v>45900.962500000001</v>
      </c>
      <c r="B602" t="s">
        <v>1363</v>
      </c>
      <c r="C602" t="s">
        <v>1364</v>
      </c>
      <c r="D602" t="s">
        <v>39</v>
      </c>
      <c r="E602" t="s">
        <v>40</v>
      </c>
      <c r="F602" t="s">
        <v>1513</v>
      </c>
      <c r="G602" t="s">
        <v>41</v>
      </c>
      <c r="H602" t="s">
        <v>42</v>
      </c>
      <c r="I602" t="s">
        <v>43</v>
      </c>
      <c r="J602">
        <v>180</v>
      </c>
      <c r="K602">
        <v>19</v>
      </c>
      <c r="L602">
        <v>9.5</v>
      </c>
      <c r="M602">
        <v>11</v>
      </c>
      <c r="N602">
        <v>25430</v>
      </c>
      <c r="O602">
        <v>8</v>
      </c>
      <c r="P602">
        <v>0</v>
      </c>
      <c r="Q602">
        <v>113</v>
      </c>
      <c r="R602">
        <v>1740</v>
      </c>
      <c r="S602" t="s">
        <v>44</v>
      </c>
      <c r="T602" t="s">
        <v>44</v>
      </c>
      <c r="U602" t="s">
        <v>44</v>
      </c>
      <c r="V602">
        <v>96</v>
      </c>
      <c r="W602">
        <v>83</v>
      </c>
      <c r="X602" t="s">
        <v>44</v>
      </c>
      <c r="Y602">
        <v>96</v>
      </c>
      <c r="Z602" t="s">
        <v>44</v>
      </c>
      <c r="AA602">
        <v>24</v>
      </c>
      <c r="AB602">
        <v>0</v>
      </c>
      <c r="AC602">
        <v>0</v>
      </c>
      <c r="AD602">
        <v>0</v>
      </c>
      <c r="AE602">
        <v>278</v>
      </c>
      <c r="AF602">
        <v>2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128</v>
      </c>
      <c r="AQ602">
        <f t="shared" si="21"/>
        <v>128</v>
      </c>
      <c r="AR602" s="5">
        <f>VLOOKUP(F602,'[2]SCP_24-25'!$A:$D,4,0)</f>
        <v>61.93</v>
      </c>
      <c r="AS602" s="5">
        <f t="shared" si="20"/>
        <v>7927.04</v>
      </c>
    </row>
    <row r="603" spans="1:45" x14ac:dyDescent="0.3">
      <c r="A603" s="1">
        <v>45900.962500000001</v>
      </c>
      <c r="B603" t="s">
        <v>1363</v>
      </c>
      <c r="C603" t="s">
        <v>1364</v>
      </c>
      <c r="D603" t="s">
        <v>1365</v>
      </c>
      <c r="F603" t="s">
        <v>2129</v>
      </c>
      <c r="G603" t="s">
        <v>1366</v>
      </c>
      <c r="H603" t="s">
        <v>120</v>
      </c>
      <c r="I603" t="s">
        <v>43</v>
      </c>
      <c r="J603">
        <v>250</v>
      </c>
      <c r="K603">
        <v>19</v>
      </c>
      <c r="L603">
        <v>10</v>
      </c>
      <c r="M603">
        <v>11</v>
      </c>
      <c r="N603">
        <v>273</v>
      </c>
      <c r="O603">
        <v>0</v>
      </c>
      <c r="P603">
        <v>0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>
        <v>93</v>
      </c>
      <c r="W603" t="s">
        <v>44</v>
      </c>
      <c r="X603" t="s">
        <v>44</v>
      </c>
      <c r="Y603">
        <v>93</v>
      </c>
      <c r="Z603" t="s">
        <v>44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93</v>
      </c>
      <c r="AQ603">
        <f t="shared" si="21"/>
        <v>93</v>
      </c>
      <c r="AR603" s="5">
        <f>VLOOKUP(F603,'[2]SCP_24-25'!$A:$D,4,0)</f>
        <v>234</v>
      </c>
      <c r="AS603" s="5">
        <f t="shared" si="20"/>
        <v>21762</v>
      </c>
    </row>
    <row r="604" spans="1:45" x14ac:dyDescent="0.3">
      <c r="A604" s="1">
        <v>45900.962500000001</v>
      </c>
      <c r="B604" t="s">
        <v>1363</v>
      </c>
      <c r="C604" t="s">
        <v>1364</v>
      </c>
      <c r="D604" t="s">
        <v>847</v>
      </c>
      <c r="F604" t="s">
        <v>1875</v>
      </c>
      <c r="G604" t="s">
        <v>848</v>
      </c>
      <c r="H604" t="s">
        <v>130</v>
      </c>
      <c r="I604" t="s">
        <v>415</v>
      </c>
      <c r="J604">
        <v>10</v>
      </c>
      <c r="K604">
        <v>19</v>
      </c>
      <c r="L604">
        <v>10</v>
      </c>
      <c r="M604">
        <v>11</v>
      </c>
      <c r="N604">
        <v>216</v>
      </c>
      <c r="O604">
        <v>8</v>
      </c>
      <c r="P604">
        <v>0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>
        <v>99</v>
      </c>
      <c r="W604" t="s">
        <v>44</v>
      </c>
      <c r="X604" t="s">
        <v>44</v>
      </c>
      <c r="Y604">
        <v>99</v>
      </c>
      <c r="Z604" t="s">
        <v>44</v>
      </c>
      <c r="AA604">
        <v>3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110</v>
      </c>
      <c r="AQ604">
        <f t="shared" si="21"/>
        <v>110</v>
      </c>
      <c r="AR604" s="5">
        <f>VLOOKUP(F604,'[2]SCP_24-25'!$A:$D,4,0)</f>
        <v>147.47</v>
      </c>
      <c r="AS604" s="5">
        <f t="shared" si="20"/>
        <v>16221.7</v>
      </c>
    </row>
    <row r="605" spans="1:45" x14ac:dyDescent="0.3">
      <c r="A605" s="1">
        <v>45900.962500000001</v>
      </c>
      <c r="B605" t="s">
        <v>1363</v>
      </c>
      <c r="C605" t="s">
        <v>1364</v>
      </c>
      <c r="D605" t="s">
        <v>147</v>
      </c>
      <c r="F605" t="s">
        <v>1551</v>
      </c>
      <c r="G605" t="s">
        <v>148</v>
      </c>
      <c r="H605" t="s">
        <v>120</v>
      </c>
      <c r="I605" t="s">
        <v>43</v>
      </c>
      <c r="J605">
        <v>45</v>
      </c>
      <c r="K605">
        <v>19</v>
      </c>
      <c r="L605">
        <v>11</v>
      </c>
      <c r="M605">
        <v>9.5</v>
      </c>
      <c r="N605">
        <v>376208</v>
      </c>
      <c r="O605">
        <v>667</v>
      </c>
      <c r="P605">
        <v>0</v>
      </c>
      <c r="Q605">
        <v>24</v>
      </c>
      <c r="R605">
        <v>408</v>
      </c>
      <c r="S605" t="s">
        <v>44</v>
      </c>
      <c r="T605" t="s">
        <v>44</v>
      </c>
      <c r="U605" t="s">
        <v>44</v>
      </c>
      <c r="V605">
        <v>40345</v>
      </c>
      <c r="W605" t="s">
        <v>44</v>
      </c>
      <c r="X605" t="s">
        <v>44</v>
      </c>
      <c r="Y605">
        <v>40345</v>
      </c>
      <c r="Z605" t="s">
        <v>44</v>
      </c>
      <c r="AA605">
        <v>1038</v>
      </c>
      <c r="AB605">
        <v>0</v>
      </c>
      <c r="AC605">
        <v>0</v>
      </c>
      <c r="AD605">
        <v>0</v>
      </c>
      <c r="AE605">
        <v>0</v>
      </c>
      <c r="AF605">
        <v>60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s="2">
        <v>42050</v>
      </c>
      <c r="AQ605">
        <f t="shared" si="21"/>
        <v>42050</v>
      </c>
      <c r="AR605" s="5">
        <f>VLOOKUP(F605,'[2]SCP_24-25'!$A:$D,4,0)</f>
        <v>27.733333333333331</v>
      </c>
      <c r="AS605" s="5">
        <f t="shared" si="20"/>
        <v>1166186.6666666665</v>
      </c>
    </row>
    <row r="606" spans="1:45" x14ac:dyDescent="0.3">
      <c r="A606" s="1">
        <v>45900.962500000001</v>
      </c>
      <c r="B606" t="s">
        <v>1363</v>
      </c>
      <c r="C606" t="s">
        <v>1364</v>
      </c>
      <c r="D606" t="s">
        <v>1346</v>
      </c>
      <c r="E606" t="s">
        <v>1347</v>
      </c>
      <c r="F606" t="s">
        <v>2122</v>
      </c>
      <c r="G606" t="s">
        <v>1348</v>
      </c>
      <c r="H606" t="s">
        <v>621</v>
      </c>
      <c r="I606" t="s">
        <v>43</v>
      </c>
      <c r="J606">
        <v>139.30000000000001</v>
      </c>
      <c r="K606">
        <v>22.8</v>
      </c>
      <c r="L606">
        <v>7.62</v>
      </c>
      <c r="M606">
        <v>17.7</v>
      </c>
      <c r="N606">
        <v>483017</v>
      </c>
      <c r="O606">
        <v>0</v>
      </c>
      <c r="P606">
        <v>0</v>
      </c>
      <c r="Q606" t="s">
        <v>44</v>
      </c>
      <c r="R606" t="s">
        <v>44</v>
      </c>
      <c r="S606" t="s">
        <v>44</v>
      </c>
      <c r="T606">
        <v>9450</v>
      </c>
      <c r="U606" t="s">
        <v>44</v>
      </c>
      <c r="V606">
        <v>19434</v>
      </c>
      <c r="W606" t="s">
        <v>44</v>
      </c>
      <c r="X606" t="s">
        <v>44</v>
      </c>
      <c r="Y606">
        <v>19430</v>
      </c>
      <c r="Z606" t="s">
        <v>44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s="2">
        <v>19434</v>
      </c>
      <c r="AQ606">
        <f t="shared" si="21"/>
        <v>19434</v>
      </c>
      <c r="AR606" s="5">
        <f>VLOOKUP(F606,'[2]SCP_24-25'!$A:$D,4,0)</f>
        <v>6.9774999999999991</v>
      </c>
      <c r="AS606" s="5">
        <f t="shared" si="20"/>
        <v>135600.73499999999</v>
      </c>
    </row>
    <row r="607" spans="1:45" x14ac:dyDescent="0.3">
      <c r="A607" s="1">
        <v>45900.962500000001</v>
      </c>
      <c r="B607" t="s">
        <v>1363</v>
      </c>
      <c r="C607" t="s">
        <v>1364</v>
      </c>
      <c r="D607" t="s">
        <v>902</v>
      </c>
      <c r="E607" t="s">
        <v>903</v>
      </c>
      <c r="F607" t="s">
        <v>1901</v>
      </c>
      <c r="G607" t="s">
        <v>904</v>
      </c>
      <c r="H607" t="s">
        <v>621</v>
      </c>
      <c r="I607" t="s">
        <v>43</v>
      </c>
      <c r="J607">
        <v>228.4</v>
      </c>
      <c r="K607">
        <v>31.1</v>
      </c>
      <c r="L607">
        <v>10</v>
      </c>
      <c r="M607">
        <v>18.5</v>
      </c>
      <c r="N607">
        <v>166422</v>
      </c>
      <c r="O607">
        <v>0</v>
      </c>
      <c r="P607">
        <v>0</v>
      </c>
      <c r="Q607" t="s">
        <v>44</v>
      </c>
      <c r="R607">
        <v>650</v>
      </c>
      <c r="S607" t="s">
        <v>44</v>
      </c>
      <c r="T607">
        <v>7470</v>
      </c>
      <c r="U607" t="s">
        <v>44</v>
      </c>
      <c r="V607">
        <v>24362</v>
      </c>
      <c r="W607" t="s">
        <v>44</v>
      </c>
      <c r="X607" t="s">
        <v>44</v>
      </c>
      <c r="Y607">
        <v>24360</v>
      </c>
      <c r="Z607" t="s">
        <v>44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s="2">
        <v>24362</v>
      </c>
      <c r="AQ607">
        <f t="shared" si="21"/>
        <v>24362</v>
      </c>
      <c r="AR607" s="5">
        <f>VLOOKUP(F607,'[2]SCP_24-25'!$A:$D,4,0)</f>
        <v>6.25</v>
      </c>
      <c r="AS607" s="5">
        <f t="shared" si="20"/>
        <v>152262.5</v>
      </c>
    </row>
    <row r="608" spans="1:45" x14ac:dyDescent="0.3">
      <c r="A608" s="1">
        <v>45900.962500000001</v>
      </c>
      <c r="B608" t="s">
        <v>1363</v>
      </c>
      <c r="C608" t="s">
        <v>1364</v>
      </c>
      <c r="D608" t="s">
        <v>1353</v>
      </c>
      <c r="F608" t="s">
        <v>2125</v>
      </c>
      <c r="G608" t="s">
        <v>1354</v>
      </c>
      <c r="H608" t="s">
        <v>66</v>
      </c>
      <c r="I608" t="s">
        <v>415</v>
      </c>
      <c r="J608">
        <v>5</v>
      </c>
      <c r="K608">
        <v>19</v>
      </c>
      <c r="L608">
        <v>10</v>
      </c>
      <c r="M608">
        <v>11</v>
      </c>
      <c r="N608">
        <v>12500</v>
      </c>
      <c r="O608">
        <v>315</v>
      </c>
      <c r="P608">
        <v>0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>
        <v>11151</v>
      </c>
      <c r="W608" t="s">
        <v>44</v>
      </c>
      <c r="X608" t="s">
        <v>44</v>
      </c>
      <c r="Y608">
        <v>11151</v>
      </c>
      <c r="Z608" t="s">
        <v>44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2">
        <v>11466</v>
      </c>
      <c r="AQ608">
        <f t="shared" si="21"/>
        <v>11466</v>
      </c>
      <c r="AR608" s="5">
        <f>VLOOKUP(F608,'[2]SCP_24-25'!$A:$D,4,0)</f>
        <v>20.990000000000002</v>
      </c>
      <c r="AS608" s="5">
        <f t="shared" si="20"/>
        <v>240671.34000000003</v>
      </c>
    </row>
    <row r="609" spans="1:45" x14ac:dyDescent="0.3">
      <c r="A609" s="1">
        <v>45900.962500000001</v>
      </c>
      <c r="B609" t="s">
        <v>1363</v>
      </c>
      <c r="C609" t="s">
        <v>1364</v>
      </c>
      <c r="D609" t="s">
        <v>1341</v>
      </c>
      <c r="F609" t="s">
        <v>2120</v>
      </c>
      <c r="G609" t="s">
        <v>1342</v>
      </c>
      <c r="H609" t="s">
        <v>66</v>
      </c>
      <c r="I609" t="s">
        <v>415</v>
      </c>
      <c r="J609">
        <v>5</v>
      </c>
      <c r="K609">
        <v>19</v>
      </c>
      <c r="L609">
        <v>10</v>
      </c>
      <c r="M609">
        <v>11</v>
      </c>
      <c r="N609">
        <v>12500</v>
      </c>
      <c r="O609">
        <v>64</v>
      </c>
      <c r="P609">
        <v>0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>
        <v>11590</v>
      </c>
      <c r="W609" t="s">
        <v>44</v>
      </c>
      <c r="X609" t="s">
        <v>44</v>
      </c>
      <c r="Y609">
        <v>11590</v>
      </c>
      <c r="Z609" t="s">
        <v>44</v>
      </c>
      <c r="AA609">
        <v>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s="2">
        <v>11656</v>
      </c>
      <c r="AQ609">
        <f t="shared" si="21"/>
        <v>11656</v>
      </c>
      <c r="AR609" s="5">
        <f>VLOOKUP(F609,'[2]SCP_24-25'!$A:$D,4,0)</f>
        <v>14.550000000000008</v>
      </c>
      <c r="AS609" s="5">
        <f t="shared" si="20"/>
        <v>169594.8000000001</v>
      </c>
    </row>
    <row r="610" spans="1:45" x14ac:dyDescent="0.3">
      <c r="A610" s="1">
        <v>45900.962500000001</v>
      </c>
      <c r="B610" t="s">
        <v>1363</v>
      </c>
      <c r="C610" t="s">
        <v>1364</v>
      </c>
      <c r="D610" t="s">
        <v>137</v>
      </c>
      <c r="F610" t="s">
        <v>1546</v>
      </c>
      <c r="G610" t="s">
        <v>138</v>
      </c>
      <c r="H610" t="s">
        <v>66</v>
      </c>
      <c r="I610" t="s">
        <v>43</v>
      </c>
      <c r="J610">
        <v>176</v>
      </c>
      <c r="K610">
        <v>19</v>
      </c>
      <c r="L610">
        <v>9.5</v>
      </c>
      <c r="M610">
        <v>11</v>
      </c>
      <c r="N610">
        <v>92672</v>
      </c>
      <c r="O610">
        <v>103</v>
      </c>
      <c r="P610">
        <v>0</v>
      </c>
      <c r="Q610">
        <v>16</v>
      </c>
      <c r="R610">
        <v>10043</v>
      </c>
      <c r="S610" t="s">
        <v>44</v>
      </c>
      <c r="T610" t="s">
        <v>44</v>
      </c>
      <c r="U610" t="s">
        <v>44</v>
      </c>
      <c r="V610">
        <v>640</v>
      </c>
      <c r="W610" t="s">
        <v>44</v>
      </c>
      <c r="X610" t="s">
        <v>44</v>
      </c>
      <c r="Y610">
        <v>598</v>
      </c>
      <c r="Z610" t="s">
        <v>44</v>
      </c>
      <c r="AA610">
        <v>10</v>
      </c>
      <c r="AB610">
        <v>0</v>
      </c>
      <c r="AC610">
        <v>0</v>
      </c>
      <c r="AD610">
        <v>0</v>
      </c>
      <c r="AE610">
        <v>74</v>
      </c>
      <c r="AF610">
        <v>5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753</v>
      </c>
      <c r="AQ610">
        <f t="shared" si="21"/>
        <v>753</v>
      </c>
      <c r="AR610" s="5">
        <f>VLOOKUP(F610,'[2]SCP_24-25'!$A:$D,4,0)</f>
        <v>94.530000000000015</v>
      </c>
      <c r="AS610" s="5">
        <f t="shared" si="20"/>
        <v>71181.090000000011</v>
      </c>
    </row>
    <row r="611" spans="1:45" x14ac:dyDescent="0.3">
      <c r="A611" s="1">
        <v>45900.962500000001</v>
      </c>
      <c r="B611" t="s">
        <v>1363</v>
      </c>
      <c r="C611" t="s">
        <v>1364</v>
      </c>
      <c r="D611" t="s">
        <v>139</v>
      </c>
      <c r="F611" t="s">
        <v>1547</v>
      </c>
      <c r="G611" t="s">
        <v>140</v>
      </c>
      <c r="H611" t="s">
        <v>66</v>
      </c>
      <c r="I611" t="s">
        <v>43</v>
      </c>
      <c r="J611">
        <v>176</v>
      </c>
      <c r="K611">
        <v>11</v>
      </c>
      <c r="L611">
        <v>19</v>
      </c>
      <c r="M611">
        <v>10</v>
      </c>
      <c r="N611">
        <v>36897</v>
      </c>
      <c r="O611">
        <v>11</v>
      </c>
      <c r="P611">
        <v>0</v>
      </c>
      <c r="Q611">
        <v>3</v>
      </c>
      <c r="R611">
        <v>2417</v>
      </c>
      <c r="S611" t="s">
        <v>44</v>
      </c>
      <c r="T611" t="s">
        <v>44</v>
      </c>
      <c r="U611" t="s">
        <v>44</v>
      </c>
      <c r="V611">
        <v>196</v>
      </c>
      <c r="W611" t="s">
        <v>44</v>
      </c>
      <c r="X611" t="s">
        <v>44</v>
      </c>
      <c r="Y611">
        <v>114</v>
      </c>
      <c r="Z611" t="s">
        <v>44</v>
      </c>
      <c r="AA611">
        <v>5</v>
      </c>
      <c r="AB611">
        <v>0</v>
      </c>
      <c r="AC611">
        <v>0</v>
      </c>
      <c r="AD611">
        <v>0</v>
      </c>
      <c r="AE611">
        <v>127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212</v>
      </c>
      <c r="AQ611">
        <f t="shared" si="21"/>
        <v>212</v>
      </c>
      <c r="AR611" s="5">
        <f>VLOOKUP(F611,'[2]SCP_24-25'!$A:$D,4,0)</f>
        <v>60.54</v>
      </c>
      <c r="AS611" s="5">
        <f t="shared" si="20"/>
        <v>12834.48</v>
      </c>
    </row>
    <row r="612" spans="1:45" x14ac:dyDescent="0.3">
      <c r="A612" s="1">
        <v>45900.962500000001</v>
      </c>
      <c r="B612" t="s">
        <v>1363</v>
      </c>
      <c r="C612" t="s">
        <v>1364</v>
      </c>
      <c r="D612" t="s">
        <v>141</v>
      </c>
      <c r="F612" t="s">
        <v>1548</v>
      </c>
      <c r="G612" t="s">
        <v>142</v>
      </c>
      <c r="H612" t="s">
        <v>66</v>
      </c>
      <c r="I612" t="s">
        <v>43</v>
      </c>
      <c r="J612">
        <v>121</v>
      </c>
      <c r="K612">
        <v>19</v>
      </c>
      <c r="L612">
        <v>9.5</v>
      </c>
      <c r="M612">
        <v>11</v>
      </c>
      <c r="N612">
        <v>38989</v>
      </c>
      <c r="O612">
        <v>40</v>
      </c>
      <c r="P612">
        <v>0</v>
      </c>
      <c r="Q612">
        <v>11</v>
      </c>
      <c r="R612">
        <v>1977</v>
      </c>
      <c r="S612" t="s">
        <v>44</v>
      </c>
      <c r="T612" t="s">
        <v>44</v>
      </c>
      <c r="U612" t="s">
        <v>44</v>
      </c>
      <c r="V612">
        <v>623</v>
      </c>
      <c r="W612" t="s">
        <v>44</v>
      </c>
      <c r="X612" t="s">
        <v>44</v>
      </c>
      <c r="Y612">
        <v>528</v>
      </c>
      <c r="Z612" t="s">
        <v>44</v>
      </c>
      <c r="AA612">
        <v>55</v>
      </c>
      <c r="AB612">
        <v>0</v>
      </c>
      <c r="AC612">
        <v>0</v>
      </c>
      <c r="AD612">
        <v>0</v>
      </c>
      <c r="AE612">
        <v>220</v>
      </c>
      <c r="AF612">
        <v>4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718</v>
      </c>
      <c r="AQ612">
        <f t="shared" si="21"/>
        <v>718</v>
      </c>
      <c r="AR612" s="5">
        <f>VLOOKUP(F612,'[2]SCP_24-25'!$A:$D,4,0)</f>
        <v>38.68</v>
      </c>
      <c r="AS612" s="5">
        <f t="shared" si="20"/>
        <v>27772.240000000002</v>
      </c>
    </row>
    <row r="613" spans="1:45" x14ac:dyDescent="0.3">
      <c r="A613" s="1">
        <v>45900.962500000001</v>
      </c>
      <c r="B613" t="s">
        <v>1363</v>
      </c>
      <c r="C613" t="s">
        <v>1364</v>
      </c>
      <c r="D613" t="s">
        <v>145</v>
      </c>
      <c r="F613" t="s">
        <v>1550</v>
      </c>
      <c r="G613" t="s">
        <v>146</v>
      </c>
      <c r="H613" t="s">
        <v>103</v>
      </c>
      <c r="I613" t="s">
        <v>43</v>
      </c>
      <c r="J613">
        <v>300</v>
      </c>
      <c r="K613">
        <v>19</v>
      </c>
      <c r="L613">
        <v>9.5</v>
      </c>
      <c r="M613">
        <v>11</v>
      </c>
      <c r="N613">
        <v>92181</v>
      </c>
      <c r="O613">
        <v>86</v>
      </c>
      <c r="P613">
        <v>0</v>
      </c>
      <c r="Q613">
        <v>6</v>
      </c>
      <c r="R613">
        <v>3701</v>
      </c>
      <c r="S613" t="s">
        <v>44</v>
      </c>
      <c r="T613" t="s">
        <v>44</v>
      </c>
      <c r="U613" t="s">
        <v>44</v>
      </c>
      <c r="V613">
        <v>194</v>
      </c>
      <c r="W613" t="s">
        <v>44</v>
      </c>
      <c r="X613" t="s">
        <v>44</v>
      </c>
      <c r="Y613">
        <v>194</v>
      </c>
      <c r="Z613" t="s">
        <v>44</v>
      </c>
      <c r="AA613">
        <v>63</v>
      </c>
      <c r="AB613">
        <v>0</v>
      </c>
      <c r="AC613">
        <v>0</v>
      </c>
      <c r="AD613">
        <v>0</v>
      </c>
      <c r="AE613">
        <v>31</v>
      </c>
      <c r="AF613">
        <v>5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343</v>
      </c>
      <c r="AQ613">
        <f t="shared" ref="AQ613:AQ676" si="22">O613+P613+V613+AA613</f>
        <v>343</v>
      </c>
      <c r="AR613" s="5">
        <f>VLOOKUP(F613,'[2]SCP_24-25'!$A:$D,4,0)</f>
        <v>102.91</v>
      </c>
      <c r="AS613" s="5">
        <f t="shared" si="20"/>
        <v>35298.129999999997</v>
      </c>
    </row>
    <row r="614" spans="1:45" x14ac:dyDescent="0.3">
      <c r="A614" s="1">
        <v>45900.962500000001</v>
      </c>
      <c r="B614" t="s">
        <v>1363</v>
      </c>
      <c r="C614" t="s">
        <v>1364</v>
      </c>
      <c r="D614" t="s">
        <v>149</v>
      </c>
      <c r="F614" t="s">
        <v>1552</v>
      </c>
      <c r="G614" t="s">
        <v>150</v>
      </c>
      <c r="H614" t="s">
        <v>66</v>
      </c>
      <c r="I614" t="s">
        <v>43</v>
      </c>
      <c r="J614">
        <v>116.62</v>
      </c>
      <c r="K614">
        <v>19</v>
      </c>
      <c r="L614">
        <v>9.5</v>
      </c>
      <c r="M614">
        <v>11</v>
      </c>
      <c r="N614">
        <v>89335</v>
      </c>
      <c r="O614">
        <v>79</v>
      </c>
      <c r="P614">
        <v>0</v>
      </c>
      <c r="Q614">
        <v>5</v>
      </c>
      <c r="R614">
        <v>3346</v>
      </c>
      <c r="S614" t="s">
        <v>44</v>
      </c>
      <c r="T614" t="s">
        <v>44</v>
      </c>
      <c r="U614" t="s">
        <v>44</v>
      </c>
      <c r="V614">
        <v>632</v>
      </c>
      <c r="W614" t="s">
        <v>44</v>
      </c>
      <c r="X614" t="s">
        <v>44</v>
      </c>
      <c r="Y614">
        <v>525</v>
      </c>
      <c r="Z614" t="s">
        <v>44</v>
      </c>
      <c r="AA614">
        <v>95</v>
      </c>
      <c r="AB614">
        <v>0</v>
      </c>
      <c r="AC614">
        <v>0</v>
      </c>
      <c r="AD614">
        <v>0</v>
      </c>
      <c r="AE614">
        <v>136</v>
      </c>
      <c r="AF614">
        <v>8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806</v>
      </c>
      <c r="AQ614">
        <f t="shared" si="22"/>
        <v>806</v>
      </c>
      <c r="AR614" s="5">
        <f>VLOOKUP(F614,'[2]SCP_24-25'!$A:$D,4,0)</f>
        <v>35.085999999999999</v>
      </c>
      <c r="AS614" s="5">
        <f t="shared" si="20"/>
        <v>28279.315999999999</v>
      </c>
    </row>
    <row r="615" spans="1:45" x14ac:dyDescent="0.3">
      <c r="A615" s="1">
        <v>45900.962500000001</v>
      </c>
      <c r="B615" t="s">
        <v>1363</v>
      </c>
      <c r="C615" t="s">
        <v>1364</v>
      </c>
      <c r="D615" t="s">
        <v>151</v>
      </c>
      <c r="F615" t="s">
        <v>1553</v>
      </c>
      <c r="G615" t="s">
        <v>152</v>
      </c>
      <c r="H615" t="s">
        <v>66</v>
      </c>
      <c r="I615" t="s">
        <v>43</v>
      </c>
      <c r="J615">
        <v>119.96</v>
      </c>
      <c r="K615">
        <v>19</v>
      </c>
      <c r="L615">
        <v>9.5</v>
      </c>
      <c r="M615">
        <v>11</v>
      </c>
      <c r="N615">
        <v>59508</v>
      </c>
      <c r="O615">
        <v>16</v>
      </c>
      <c r="P615">
        <v>0</v>
      </c>
      <c r="Q615">
        <v>74</v>
      </c>
      <c r="R615">
        <v>2935</v>
      </c>
      <c r="S615" t="s">
        <v>44</v>
      </c>
      <c r="T615" t="s">
        <v>44</v>
      </c>
      <c r="U615" t="s">
        <v>44</v>
      </c>
      <c r="V615">
        <v>669</v>
      </c>
      <c r="W615" t="s">
        <v>44</v>
      </c>
      <c r="X615" t="s">
        <v>44</v>
      </c>
      <c r="Y615">
        <v>639</v>
      </c>
      <c r="Z615" t="s">
        <v>44</v>
      </c>
      <c r="AA615">
        <v>32</v>
      </c>
      <c r="AB615">
        <v>0</v>
      </c>
      <c r="AC615">
        <v>0</v>
      </c>
      <c r="AD615">
        <v>0</v>
      </c>
      <c r="AE615">
        <v>237</v>
      </c>
      <c r="AF615">
        <v>4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717</v>
      </c>
      <c r="AQ615">
        <f t="shared" si="22"/>
        <v>717</v>
      </c>
      <c r="AR615" s="5">
        <f>VLOOKUP(F615,'[2]SCP_24-25'!$A:$D,4,0)</f>
        <v>25.264285714285712</v>
      </c>
      <c r="AS615" s="5">
        <f t="shared" si="20"/>
        <v>18114.492857142857</v>
      </c>
    </row>
    <row r="616" spans="1:45" x14ac:dyDescent="0.3">
      <c r="A616" s="1">
        <v>45900.962500000001</v>
      </c>
      <c r="B616" t="s">
        <v>1363</v>
      </c>
      <c r="C616" t="s">
        <v>1364</v>
      </c>
      <c r="D616" t="s">
        <v>157</v>
      </c>
      <c r="F616" t="s">
        <v>1556</v>
      </c>
      <c r="G616" t="s">
        <v>158</v>
      </c>
      <c r="H616" t="s">
        <v>66</v>
      </c>
      <c r="I616" t="s">
        <v>43</v>
      </c>
      <c r="J616">
        <v>116</v>
      </c>
      <c r="K616">
        <v>19</v>
      </c>
      <c r="L616">
        <v>9.5</v>
      </c>
      <c r="M616">
        <v>11</v>
      </c>
      <c r="N616">
        <v>22297</v>
      </c>
      <c r="O616">
        <v>8</v>
      </c>
      <c r="P616">
        <v>0</v>
      </c>
      <c r="Q616">
        <v>25</v>
      </c>
      <c r="R616">
        <v>425</v>
      </c>
      <c r="S616" t="s">
        <v>44</v>
      </c>
      <c r="T616" t="s">
        <v>44</v>
      </c>
      <c r="U616" t="s">
        <v>44</v>
      </c>
      <c r="V616">
        <v>706</v>
      </c>
      <c r="W616" t="s">
        <v>44</v>
      </c>
      <c r="X616" t="s">
        <v>44</v>
      </c>
      <c r="Y616">
        <v>687</v>
      </c>
      <c r="Z616" t="s">
        <v>44</v>
      </c>
      <c r="AA616">
        <v>14</v>
      </c>
      <c r="AB616">
        <v>0</v>
      </c>
      <c r="AC616">
        <v>0</v>
      </c>
      <c r="AD616">
        <v>0</v>
      </c>
      <c r="AE616">
        <v>115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728</v>
      </c>
      <c r="AQ616">
        <f t="shared" si="22"/>
        <v>728</v>
      </c>
      <c r="AR616" s="5">
        <f>VLOOKUP(F616,'[2]SCP_24-25'!$A:$D,4,0)</f>
        <v>37.17</v>
      </c>
      <c r="AS616" s="5">
        <f t="shared" si="20"/>
        <v>27059.760000000002</v>
      </c>
    </row>
    <row r="617" spans="1:45" x14ac:dyDescent="0.3">
      <c r="A617" s="1">
        <v>45900.962500000001</v>
      </c>
      <c r="B617" t="s">
        <v>1363</v>
      </c>
      <c r="C617" t="s">
        <v>1364</v>
      </c>
      <c r="D617" t="s">
        <v>159</v>
      </c>
      <c r="F617" t="s">
        <v>1557</v>
      </c>
      <c r="G617" t="s">
        <v>160</v>
      </c>
      <c r="H617" t="s">
        <v>66</v>
      </c>
      <c r="I617" t="s">
        <v>43</v>
      </c>
      <c r="J617">
        <v>73.209999999999994</v>
      </c>
      <c r="K617">
        <v>19</v>
      </c>
      <c r="L617">
        <v>9.5</v>
      </c>
      <c r="M617">
        <v>11</v>
      </c>
      <c r="N617">
        <v>23604</v>
      </c>
      <c r="O617">
        <v>5</v>
      </c>
      <c r="P617">
        <v>0</v>
      </c>
      <c r="Q617">
        <v>10</v>
      </c>
      <c r="R617">
        <v>1082</v>
      </c>
      <c r="S617" t="s">
        <v>44</v>
      </c>
      <c r="T617" t="s">
        <v>44</v>
      </c>
      <c r="U617" t="s">
        <v>44</v>
      </c>
      <c r="V617">
        <v>327</v>
      </c>
      <c r="W617" t="s">
        <v>44</v>
      </c>
      <c r="X617" t="s">
        <v>44</v>
      </c>
      <c r="Y617">
        <v>170</v>
      </c>
      <c r="Z617" t="s">
        <v>44</v>
      </c>
      <c r="AA617">
        <v>10</v>
      </c>
      <c r="AB617">
        <v>0</v>
      </c>
      <c r="AC617">
        <v>0</v>
      </c>
      <c r="AD617">
        <v>0</v>
      </c>
      <c r="AE617">
        <v>112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342</v>
      </c>
      <c r="AQ617">
        <f t="shared" si="22"/>
        <v>342</v>
      </c>
      <c r="AR617" s="5">
        <f>VLOOKUP(F617,'[2]SCP_24-25'!$A:$D,4,0)</f>
        <v>40.090000000000003</v>
      </c>
      <c r="AS617" s="5">
        <f t="shared" si="20"/>
        <v>13710.78</v>
      </c>
    </row>
    <row r="618" spans="1:45" x14ac:dyDescent="0.3">
      <c r="A618" s="1">
        <v>45900.962500000001</v>
      </c>
      <c r="B618" t="s">
        <v>1363</v>
      </c>
      <c r="C618" t="s">
        <v>1364</v>
      </c>
      <c r="D618" t="s">
        <v>161</v>
      </c>
      <c r="F618" t="s">
        <v>1558</v>
      </c>
      <c r="G618" t="s">
        <v>162</v>
      </c>
      <c r="H618" t="s">
        <v>66</v>
      </c>
      <c r="I618" t="s">
        <v>43</v>
      </c>
      <c r="J618">
        <v>92.53</v>
      </c>
      <c r="K618">
        <v>19</v>
      </c>
      <c r="L618">
        <v>9.5</v>
      </c>
      <c r="M618">
        <v>11</v>
      </c>
      <c r="N618">
        <v>84760</v>
      </c>
      <c r="O618">
        <v>66</v>
      </c>
      <c r="P618">
        <v>0</v>
      </c>
      <c r="Q618">
        <v>19</v>
      </c>
      <c r="R618">
        <v>3168</v>
      </c>
      <c r="S618" t="s">
        <v>44</v>
      </c>
      <c r="T618" t="s">
        <v>44</v>
      </c>
      <c r="U618" t="s">
        <v>44</v>
      </c>
      <c r="V618">
        <v>760</v>
      </c>
      <c r="W618" t="s">
        <v>44</v>
      </c>
      <c r="X618" t="s">
        <v>44</v>
      </c>
      <c r="Y618">
        <v>754</v>
      </c>
      <c r="Z618" t="s">
        <v>44</v>
      </c>
      <c r="AA618">
        <v>52</v>
      </c>
      <c r="AB618">
        <v>0</v>
      </c>
      <c r="AC618">
        <v>0</v>
      </c>
      <c r="AD618">
        <v>0</v>
      </c>
      <c r="AE618">
        <v>169</v>
      </c>
      <c r="AF618">
        <v>3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878</v>
      </c>
      <c r="AQ618">
        <f t="shared" si="22"/>
        <v>878</v>
      </c>
      <c r="AR618" s="5">
        <f>VLOOKUP(F618,'[2]SCP_24-25'!$A:$D,4,0)</f>
        <v>41.87</v>
      </c>
      <c r="AS618" s="5">
        <f t="shared" si="20"/>
        <v>36761.86</v>
      </c>
    </row>
    <row r="619" spans="1:45" x14ac:dyDescent="0.3">
      <c r="A619" s="1">
        <v>45900.962500000001</v>
      </c>
      <c r="B619" t="s">
        <v>1363</v>
      </c>
      <c r="C619" t="s">
        <v>1364</v>
      </c>
      <c r="D619" t="s">
        <v>165</v>
      </c>
      <c r="E619" s="3">
        <v>8910000000000</v>
      </c>
      <c r="F619" t="s">
        <v>1560</v>
      </c>
      <c r="G619" t="s">
        <v>166</v>
      </c>
      <c r="H619" t="s">
        <v>66</v>
      </c>
      <c r="I619" t="s">
        <v>43</v>
      </c>
      <c r="J619">
        <v>93.27</v>
      </c>
      <c r="K619">
        <v>19</v>
      </c>
      <c r="L619">
        <v>11</v>
      </c>
      <c r="M619">
        <v>9.5</v>
      </c>
      <c r="N619">
        <v>117019</v>
      </c>
      <c r="O619">
        <v>139</v>
      </c>
      <c r="P619">
        <v>0</v>
      </c>
      <c r="Q619">
        <v>12</v>
      </c>
      <c r="R619">
        <v>8693</v>
      </c>
      <c r="S619" t="s">
        <v>44</v>
      </c>
      <c r="T619">
        <v>1434</v>
      </c>
      <c r="U619" t="s">
        <v>44</v>
      </c>
      <c r="V619">
        <v>120</v>
      </c>
      <c r="W619" t="s">
        <v>44</v>
      </c>
      <c r="X619" t="s">
        <v>44</v>
      </c>
      <c r="Y619">
        <v>110</v>
      </c>
      <c r="Z619" t="s">
        <v>44</v>
      </c>
      <c r="AA619">
        <v>105</v>
      </c>
      <c r="AB619">
        <v>0</v>
      </c>
      <c r="AC619">
        <v>0</v>
      </c>
      <c r="AD619">
        <v>0</v>
      </c>
      <c r="AE619">
        <v>102</v>
      </c>
      <c r="AF619">
        <v>4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364</v>
      </c>
      <c r="AQ619">
        <f t="shared" si="22"/>
        <v>364</v>
      </c>
      <c r="AR619" s="5">
        <f>VLOOKUP(F619,'[2]SCP_24-25'!$A:$D,4,0)</f>
        <v>69.16</v>
      </c>
      <c r="AS619" s="5">
        <f t="shared" si="20"/>
        <v>25174.239999999998</v>
      </c>
    </row>
    <row r="620" spans="1:45" x14ac:dyDescent="0.3">
      <c r="A620" s="1">
        <v>45900.962500000001</v>
      </c>
      <c r="B620" t="s">
        <v>1363</v>
      </c>
      <c r="C620" t="s">
        <v>1364</v>
      </c>
      <c r="D620" t="s">
        <v>167</v>
      </c>
      <c r="F620" t="s">
        <v>1561</v>
      </c>
      <c r="G620" t="s">
        <v>168</v>
      </c>
      <c r="H620" t="s">
        <v>103</v>
      </c>
      <c r="I620" t="s">
        <v>43</v>
      </c>
      <c r="J620">
        <v>228.22</v>
      </c>
      <c r="K620">
        <v>19</v>
      </c>
      <c r="L620">
        <v>11</v>
      </c>
      <c r="M620">
        <v>9.5</v>
      </c>
      <c r="N620">
        <v>51865</v>
      </c>
      <c r="O620">
        <v>19</v>
      </c>
      <c r="P620">
        <v>0</v>
      </c>
      <c r="Q620">
        <v>29</v>
      </c>
      <c r="R620">
        <v>2572</v>
      </c>
      <c r="S620" t="s">
        <v>44</v>
      </c>
      <c r="T620" t="s">
        <v>44</v>
      </c>
      <c r="U620" t="s">
        <v>44</v>
      </c>
      <c r="V620">
        <v>1069</v>
      </c>
      <c r="W620" t="s">
        <v>44</v>
      </c>
      <c r="X620" t="s">
        <v>44</v>
      </c>
      <c r="Y620">
        <v>931</v>
      </c>
      <c r="Z620" t="s">
        <v>44</v>
      </c>
      <c r="AA620">
        <v>20</v>
      </c>
      <c r="AB620">
        <v>0</v>
      </c>
      <c r="AC620">
        <v>0</v>
      </c>
      <c r="AD620">
        <v>0</v>
      </c>
      <c r="AE620">
        <v>366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s="2">
        <v>1108</v>
      </c>
      <c r="AQ620">
        <f t="shared" si="22"/>
        <v>1108</v>
      </c>
      <c r="AR620" s="5">
        <f>VLOOKUP(F620,'[2]SCP_24-25'!$A:$D,4,0)</f>
        <v>75.010000000000005</v>
      </c>
      <c r="AS620" s="5">
        <f t="shared" si="20"/>
        <v>83111.08</v>
      </c>
    </row>
    <row r="621" spans="1:45" x14ac:dyDescent="0.3">
      <c r="A621" s="1">
        <v>45900.962500000001</v>
      </c>
      <c r="B621" t="s">
        <v>1363</v>
      </c>
      <c r="C621" t="s">
        <v>1364</v>
      </c>
      <c r="D621" t="s">
        <v>171</v>
      </c>
      <c r="F621" t="s">
        <v>1563</v>
      </c>
      <c r="G621" t="s">
        <v>172</v>
      </c>
      <c r="H621" t="s">
        <v>66</v>
      </c>
      <c r="I621" t="s">
        <v>43</v>
      </c>
      <c r="J621">
        <v>99.85</v>
      </c>
      <c r="K621">
        <v>19</v>
      </c>
      <c r="L621">
        <v>9.5</v>
      </c>
      <c r="M621">
        <v>11</v>
      </c>
      <c r="N621">
        <v>70511</v>
      </c>
      <c r="O621">
        <v>79</v>
      </c>
      <c r="P621">
        <v>0</v>
      </c>
      <c r="Q621">
        <v>43</v>
      </c>
      <c r="R621">
        <v>2197</v>
      </c>
      <c r="S621" t="s">
        <v>44</v>
      </c>
      <c r="T621" t="s">
        <v>44</v>
      </c>
      <c r="U621" t="s">
        <v>44</v>
      </c>
      <c r="V621">
        <v>640</v>
      </c>
      <c r="W621">
        <v>417</v>
      </c>
      <c r="X621" t="s">
        <v>44</v>
      </c>
      <c r="Y621">
        <v>604</v>
      </c>
      <c r="Z621" t="s">
        <v>44</v>
      </c>
      <c r="AA621">
        <v>35</v>
      </c>
      <c r="AB621">
        <v>0</v>
      </c>
      <c r="AC621">
        <v>0</v>
      </c>
      <c r="AD621">
        <v>0</v>
      </c>
      <c r="AE621">
        <v>485</v>
      </c>
      <c r="AF621">
        <v>5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754</v>
      </c>
      <c r="AQ621">
        <f t="shared" si="22"/>
        <v>754</v>
      </c>
      <c r="AR621" s="5">
        <f>VLOOKUP(F621,'[2]SCP_24-25'!$A:$D,4,0)</f>
        <v>75.69</v>
      </c>
      <c r="AS621" s="5">
        <f t="shared" si="20"/>
        <v>57070.259999999995</v>
      </c>
    </row>
    <row r="622" spans="1:45" x14ac:dyDescent="0.3">
      <c r="A622" s="1">
        <v>45900.962500000001</v>
      </c>
      <c r="B622" t="s">
        <v>1363</v>
      </c>
      <c r="C622" t="s">
        <v>1364</v>
      </c>
      <c r="D622" t="s">
        <v>173</v>
      </c>
      <c r="F622" t="s">
        <v>1564</v>
      </c>
      <c r="G622" t="s">
        <v>174</v>
      </c>
      <c r="H622" t="s">
        <v>66</v>
      </c>
      <c r="I622" t="s">
        <v>43</v>
      </c>
      <c r="J622">
        <v>101</v>
      </c>
      <c r="K622">
        <v>19</v>
      </c>
      <c r="L622">
        <v>9.5</v>
      </c>
      <c r="M622">
        <v>11</v>
      </c>
      <c r="N622">
        <v>58466</v>
      </c>
      <c r="O622">
        <v>104</v>
      </c>
      <c r="P622">
        <v>0</v>
      </c>
      <c r="Q622">
        <v>37</v>
      </c>
      <c r="R622">
        <v>2314</v>
      </c>
      <c r="S622" t="s">
        <v>44</v>
      </c>
      <c r="T622" t="s">
        <v>44</v>
      </c>
      <c r="U622" t="s">
        <v>44</v>
      </c>
      <c r="V622">
        <v>495</v>
      </c>
      <c r="W622" t="s">
        <v>44</v>
      </c>
      <c r="X622" t="s">
        <v>44</v>
      </c>
      <c r="Y622">
        <v>495</v>
      </c>
      <c r="Z622" t="s">
        <v>44</v>
      </c>
      <c r="AA622">
        <v>147</v>
      </c>
      <c r="AB622">
        <v>0</v>
      </c>
      <c r="AC622">
        <v>0</v>
      </c>
      <c r="AD622">
        <v>0</v>
      </c>
      <c r="AE622">
        <v>300</v>
      </c>
      <c r="AF622">
        <v>3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746</v>
      </c>
      <c r="AQ622">
        <f t="shared" si="22"/>
        <v>746</v>
      </c>
      <c r="AR622" s="5">
        <f>VLOOKUP(F622,'[2]SCP_24-25'!$A:$D,4,0)</f>
        <v>51.353999999999999</v>
      </c>
      <c r="AS622" s="5">
        <f t="shared" si="20"/>
        <v>38310.084000000003</v>
      </c>
    </row>
    <row r="623" spans="1:45" x14ac:dyDescent="0.3">
      <c r="A623" s="1">
        <v>45900.962500000001</v>
      </c>
      <c r="B623" t="s">
        <v>1363</v>
      </c>
      <c r="C623" t="s">
        <v>1364</v>
      </c>
      <c r="D623" t="s">
        <v>175</v>
      </c>
      <c r="F623" t="s">
        <v>1565</v>
      </c>
      <c r="G623" t="s">
        <v>176</v>
      </c>
      <c r="H623" t="s">
        <v>66</v>
      </c>
      <c r="I623" t="s">
        <v>43</v>
      </c>
      <c r="J623">
        <v>101</v>
      </c>
      <c r="K623">
        <v>18</v>
      </c>
      <c r="L623">
        <v>9.5</v>
      </c>
      <c r="M623">
        <v>11</v>
      </c>
      <c r="N623">
        <v>58213</v>
      </c>
      <c r="O623">
        <v>36</v>
      </c>
      <c r="P623">
        <v>0</v>
      </c>
      <c r="Q623">
        <v>24</v>
      </c>
      <c r="R623">
        <v>3952</v>
      </c>
      <c r="S623" t="s">
        <v>44</v>
      </c>
      <c r="T623" t="s">
        <v>44</v>
      </c>
      <c r="U623" t="s">
        <v>44</v>
      </c>
      <c r="V623">
        <v>936</v>
      </c>
      <c r="W623" t="s">
        <v>44</v>
      </c>
      <c r="X623" t="s">
        <v>44</v>
      </c>
      <c r="Y623">
        <v>933</v>
      </c>
      <c r="Z623" t="s">
        <v>44</v>
      </c>
      <c r="AA623">
        <v>29</v>
      </c>
      <c r="AB623">
        <v>0</v>
      </c>
      <c r="AC623">
        <v>0</v>
      </c>
      <c r="AD623">
        <v>0</v>
      </c>
      <c r="AE623">
        <v>479</v>
      </c>
      <c r="AF623">
        <v>7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s="2">
        <v>1001</v>
      </c>
      <c r="AQ623">
        <f t="shared" si="22"/>
        <v>1001</v>
      </c>
      <c r="AR623" s="5">
        <f>VLOOKUP(F623,'[2]SCP_24-25'!$A:$D,4,0)</f>
        <v>75.27</v>
      </c>
      <c r="AS623" s="5">
        <f t="shared" si="20"/>
        <v>75345.26999999999</v>
      </c>
    </row>
    <row r="624" spans="1:45" x14ac:dyDescent="0.3">
      <c r="A624" s="1">
        <v>45900.962500000001</v>
      </c>
      <c r="B624" t="s">
        <v>1363</v>
      </c>
      <c r="C624" t="s">
        <v>1364</v>
      </c>
      <c r="D624" t="s">
        <v>179</v>
      </c>
      <c r="F624" t="s">
        <v>1567</v>
      </c>
      <c r="G624" t="s">
        <v>180</v>
      </c>
      <c r="H624" t="s">
        <v>103</v>
      </c>
      <c r="I624" t="s">
        <v>43</v>
      </c>
      <c r="J624">
        <v>128</v>
      </c>
      <c r="K624">
        <v>19</v>
      </c>
      <c r="L624">
        <v>9.5</v>
      </c>
      <c r="M624">
        <v>11</v>
      </c>
      <c r="N624">
        <v>612530</v>
      </c>
      <c r="O624">
        <v>627</v>
      </c>
      <c r="P624">
        <v>0</v>
      </c>
      <c r="Q624">
        <v>210</v>
      </c>
      <c r="R624">
        <v>8353</v>
      </c>
      <c r="S624" t="s">
        <v>44</v>
      </c>
      <c r="T624" t="s">
        <v>44</v>
      </c>
      <c r="U624" t="s">
        <v>44</v>
      </c>
      <c r="V624">
        <v>476</v>
      </c>
      <c r="W624" t="s">
        <v>44</v>
      </c>
      <c r="X624" t="s">
        <v>44</v>
      </c>
      <c r="Y624">
        <v>312</v>
      </c>
      <c r="Z624" t="s">
        <v>44</v>
      </c>
      <c r="AA624">
        <v>972</v>
      </c>
      <c r="AB624">
        <v>0</v>
      </c>
      <c r="AC624">
        <v>0</v>
      </c>
      <c r="AD624">
        <v>0</v>
      </c>
      <c r="AE624">
        <v>90</v>
      </c>
      <c r="AF624">
        <v>23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 s="2">
        <v>2075</v>
      </c>
      <c r="AQ624">
        <f t="shared" si="22"/>
        <v>2075</v>
      </c>
      <c r="AR624" s="5">
        <f>VLOOKUP(F624,'[2]SCP_24-25'!$A:$D,4,0)</f>
        <v>130.39230769230767</v>
      </c>
      <c r="AS624" s="5">
        <f t="shared" si="20"/>
        <v>270564.03846153844</v>
      </c>
    </row>
    <row r="625" spans="1:45" x14ac:dyDescent="0.3">
      <c r="A625" s="1">
        <v>45900.962500000001</v>
      </c>
      <c r="B625" t="s">
        <v>1363</v>
      </c>
      <c r="C625" t="s">
        <v>1364</v>
      </c>
      <c r="D625" t="s">
        <v>187</v>
      </c>
      <c r="F625" t="s">
        <v>1571</v>
      </c>
      <c r="G625" t="s">
        <v>188</v>
      </c>
      <c r="H625" t="s">
        <v>66</v>
      </c>
      <c r="I625" t="s">
        <v>43</v>
      </c>
      <c r="J625">
        <v>102</v>
      </c>
      <c r="K625">
        <v>19</v>
      </c>
      <c r="L625">
        <v>9.5</v>
      </c>
      <c r="M625">
        <v>11</v>
      </c>
      <c r="N625">
        <v>42976</v>
      </c>
      <c r="O625">
        <v>20</v>
      </c>
      <c r="P625">
        <v>0</v>
      </c>
      <c r="Q625">
        <v>44</v>
      </c>
      <c r="R625">
        <v>2787</v>
      </c>
      <c r="S625" t="s">
        <v>44</v>
      </c>
      <c r="T625" t="s">
        <v>44</v>
      </c>
      <c r="U625" t="s">
        <v>44</v>
      </c>
      <c r="V625">
        <v>344</v>
      </c>
      <c r="W625" t="s">
        <v>44</v>
      </c>
      <c r="X625" t="s">
        <v>44</v>
      </c>
      <c r="Y625">
        <v>260</v>
      </c>
      <c r="Z625" t="s">
        <v>44</v>
      </c>
      <c r="AA625">
        <v>27</v>
      </c>
      <c r="AB625">
        <v>0</v>
      </c>
      <c r="AC625">
        <v>0</v>
      </c>
      <c r="AD625">
        <v>0</v>
      </c>
      <c r="AE625">
        <v>740</v>
      </c>
      <c r="AF625">
        <v>3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391</v>
      </c>
      <c r="AQ625">
        <f t="shared" si="22"/>
        <v>391</v>
      </c>
      <c r="AR625" s="5">
        <f>VLOOKUP(F625,'[2]SCP_24-25'!$A:$D,4,0)</f>
        <v>65.349999999999994</v>
      </c>
      <c r="AS625" s="5">
        <f t="shared" si="20"/>
        <v>25551.85</v>
      </c>
    </row>
    <row r="626" spans="1:45" x14ac:dyDescent="0.3">
      <c r="A626" s="1">
        <v>45900.962500000001</v>
      </c>
      <c r="B626" t="s">
        <v>1363</v>
      </c>
      <c r="C626" t="s">
        <v>1364</v>
      </c>
      <c r="D626" t="s">
        <v>189</v>
      </c>
      <c r="F626" t="s">
        <v>1572</v>
      </c>
      <c r="G626" t="s">
        <v>190</v>
      </c>
      <c r="H626" t="s">
        <v>66</v>
      </c>
      <c r="I626" t="s">
        <v>43</v>
      </c>
      <c r="J626">
        <v>115</v>
      </c>
      <c r="K626">
        <v>19</v>
      </c>
      <c r="L626">
        <v>9.5</v>
      </c>
      <c r="M626">
        <v>11</v>
      </c>
      <c r="N626">
        <v>45116</v>
      </c>
      <c r="O626">
        <v>15</v>
      </c>
      <c r="P626">
        <v>0</v>
      </c>
      <c r="Q626">
        <v>45</v>
      </c>
      <c r="R626">
        <v>2157</v>
      </c>
      <c r="S626" t="s">
        <v>44</v>
      </c>
      <c r="T626" t="s">
        <v>44</v>
      </c>
      <c r="U626" t="s">
        <v>44</v>
      </c>
      <c r="V626">
        <v>320</v>
      </c>
      <c r="W626" t="s">
        <v>44</v>
      </c>
      <c r="X626" t="s">
        <v>44</v>
      </c>
      <c r="Y626">
        <v>285</v>
      </c>
      <c r="Z626" t="s">
        <v>44</v>
      </c>
      <c r="AA626">
        <v>37</v>
      </c>
      <c r="AB626">
        <v>0</v>
      </c>
      <c r="AC626">
        <v>0</v>
      </c>
      <c r="AD626">
        <v>0</v>
      </c>
      <c r="AE626">
        <v>232</v>
      </c>
      <c r="AF626">
        <v>2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372</v>
      </c>
      <c r="AQ626">
        <f t="shared" si="22"/>
        <v>372</v>
      </c>
      <c r="AR626" s="5">
        <f>VLOOKUP(F626,'[2]SCP_24-25'!$A:$D,4,0)</f>
        <v>72.599999999999994</v>
      </c>
      <c r="AS626" s="5">
        <f t="shared" si="20"/>
        <v>27007.199999999997</v>
      </c>
    </row>
    <row r="627" spans="1:45" x14ac:dyDescent="0.3">
      <c r="A627" s="1">
        <v>45900.962500000001</v>
      </c>
      <c r="B627" t="s">
        <v>1363</v>
      </c>
      <c r="C627" t="s">
        <v>1364</v>
      </c>
      <c r="D627" t="s">
        <v>195</v>
      </c>
      <c r="F627" t="s">
        <v>1575</v>
      </c>
      <c r="G627" t="s">
        <v>196</v>
      </c>
      <c r="H627" t="s">
        <v>66</v>
      </c>
      <c r="I627" t="s">
        <v>43</v>
      </c>
      <c r="J627">
        <v>82</v>
      </c>
      <c r="K627">
        <v>19</v>
      </c>
      <c r="L627">
        <v>9.5</v>
      </c>
      <c r="M627">
        <v>11</v>
      </c>
      <c r="N627">
        <v>23061</v>
      </c>
      <c r="O627">
        <v>8</v>
      </c>
      <c r="P627">
        <v>0</v>
      </c>
      <c r="Q627">
        <v>20</v>
      </c>
      <c r="R627">
        <v>1283</v>
      </c>
      <c r="S627" t="s">
        <v>44</v>
      </c>
      <c r="T627" t="s">
        <v>44</v>
      </c>
      <c r="U627" t="s">
        <v>44</v>
      </c>
      <c r="V627">
        <v>270</v>
      </c>
      <c r="W627" t="s">
        <v>44</v>
      </c>
      <c r="X627" t="s">
        <v>44</v>
      </c>
      <c r="Y627">
        <v>241</v>
      </c>
      <c r="Z627" t="s">
        <v>44</v>
      </c>
      <c r="AA627">
        <v>1</v>
      </c>
      <c r="AB627">
        <v>0</v>
      </c>
      <c r="AC627">
        <v>0</v>
      </c>
      <c r="AD627">
        <v>0</v>
      </c>
      <c r="AE627">
        <v>189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279</v>
      </c>
      <c r="AQ627">
        <f t="shared" si="22"/>
        <v>279</v>
      </c>
      <c r="AR627" s="5">
        <f>VLOOKUP(F627,'[2]SCP_24-25'!$A:$D,4,0)</f>
        <v>99.42</v>
      </c>
      <c r="AS627" s="5">
        <f t="shared" si="20"/>
        <v>27738.18</v>
      </c>
    </row>
    <row r="628" spans="1:45" x14ac:dyDescent="0.3">
      <c r="A628" s="1">
        <v>45900.962500000001</v>
      </c>
      <c r="B628" t="s">
        <v>1363</v>
      </c>
      <c r="C628" t="s">
        <v>1364</v>
      </c>
      <c r="D628" t="s">
        <v>205</v>
      </c>
      <c r="E628" t="s">
        <v>206</v>
      </c>
      <c r="F628" t="s">
        <v>1579</v>
      </c>
      <c r="G628" t="s">
        <v>207</v>
      </c>
      <c r="H628" t="s">
        <v>66</v>
      </c>
      <c r="I628" t="s">
        <v>43</v>
      </c>
      <c r="J628">
        <v>23</v>
      </c>
      <c r="K628">
        <v>19</v>
      </c>
      <c r="L628">
        <v>9.5</v>
      </c>
      <c r="M628">
        <v>11</v>
      </c>
      <c r="N628">
        <v>81609</v>
      </c>
      <c r="O628">
        <v>10</v>
      </c>
      <c r="P628">
        <v>0</v>
      </c>
      <c r="Q628">
        <v>12</v>
      </c>
      <c r="R628">
        <v>4629</v>
      </c>
      <c r="S628" t="s">
        <v>44</v>
      </c>
      <c r="T628" t="s">
        <v>44</v>
      </c>
      <c r="U628" t="s">
        <v>44</v>
      </c>
      <c r="V628">
        <v>991</v>
      </c>
      <c r="W628">
        <v>78</v>
      </c>
      <c r="X628" t="s">
        <v>44</v>
      </c>
      <c r="Y628">
        <v>990</v>
      </c>
      <c r="Z628" t="s">
        <v>44</v>
      </c>
      <c r="AA628">
        <v>9</v>
      </c>
      <c r="AB628">
        <v>0</v>
      </c>
      <c r="AC628">
        <v>0</v>
      </c>
      <c r="AD628">
        <v>0</v>
      </c>
      <c r="AE628">
        <v>0</v>
      </c>
      <c r="AF628">
        <v>26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s="2">
        <v>1010</v>
      </c>
      <c r="AQ628">
        <f t="shared" si="22"/>
        <v>1010</v>
      </c>
      <c r="AR628" s="5">
        <f>VLOOKUP(F628,'[2]SCP_24-25'!$A:$D,4,0)</f>
        <v>16.38</v>
      </c>
      <c r="AS628" s="5">
        <f t="shared" si="20"/>
        <v>16543.8</v>
      </c>
    </row>
    <row r="629" spans="1:45" x14ac:dyDescent="0.3">
      <c r="A629" s="1">
        <v>45900.962500000001</v>
      </c>
      <c r="B629" t="s">
        <v>1363</v>
      </c>
      <c r="C629" t="s">
        <v>1364</v>
      </c>
      <c r="D629" t="s">
        <v>213</v>
      </c>
      <c r="E629" t="s">
        <v>214</v>
      </c>
      <c r="F629" t="s">
        <v>1582</v>
      </c>
      <c r="G629" t="s">
        <v>215</v>
      </c>
      <c r="H629" t="s">
        <v>66</v>
      </c>
      <c r="I629" t="s">
        <v>43</v>
      </c>
      <c r="J629">
        <v>101</v>
      </c>
      <c r="K629">
        <v>19</v>
      </c>
      <c r="L629">
        <v>9.5</v>
      </c>
      <c r="M629">
        <v>11</v>
      </c>
      <c r="N629">
        <v>63511</v>
      </c>
      <c r="O629">
        <v>57</v>
      </c>
      <c r="P629">
        <v>0</v>
      </c>
      <c r="Q629">
        <v>48</v>
      </c>
      <c r="R629">
        <v>4203</v>
      </c>
      <c r="S629" t="s">
        <v>44</v>
      </c>
      <c r="T629" t="s">
        <v>44</v>
      </c>
      <c r="U629" t="s">
        <v>44</v>
      </c>
      <c r="V629">
        <v>551</v>
      </c>
      <c r="W629">
        <v>159</v>
      </c>
      <c r="X629" t="s">
        <v>44</v>
      </c>
      <c r="Y629">
        <v>511</v>
      </c>
      <c r="Z629" t="s">
        <v>44</v>
      </c>
      <c r="AA629">
        <v>47</v>
      </c>
      <c r="AB629">
        <v>0</v>
      </c>
      <c r="AC629">
        <v>0</v>
      </c>
      <c r="AD629">
        <v>0</v>
      </c>
      <c r="AE629">
        <v>904</v>
      </c>
      <c r="AF629">
        <v>6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655</v>
      </c>
      <c r="AQ629">
        <f t="shared" si="22"/>
        <v>655</v>
      </c>
      <c r="AR629" s="5">
        <f>VLOOKUP(F629,'[2]SCP_24-25'!$A:$D,4,0)</f>
        <v>60.46</v>
      </c>
      <c r="AS629" s="5">
        <f t="shared" si="20"/>
        <v>39601.300000000003</v>
      </c>
    </row>
    <row r="630" spans="1:45" x14ac:dyDescent="0.3">
      <c r="A630" s="1">
        <v>45900.962500000001</v>
      </c>
      <c r="B630" t="s">
        <v>1363</v>
      </c>
      <c r="C630" t="s">
        <v>1364</v>
      </c>
      <c r="D630" t="s">
        <v>218</v>
      </c>
      <c r="F630" t="s">
        <v>1584</v>
      </c>
      <c r="G630" t="s">
        <v>219</v>
      </c>
      <c r="H630" t="s">
        <v>66</v>
      </c>
      <c r="I630" t="s">
        <v>43</v>
      </c>
      <c r="J630">
        <v>133</v>
      </c>
      <c r="K630">
        <v>19</v>
      </c>
      <c r="L630">
        <v>10</v>
      </c>
      <c r="M630">
        <v>11</v>
      </c>
      <c r="N630">
        <v>24176</v>
      </c>
      <c r="O630">
        <v>22</v>
      </c>
      <c r="P630">
        <v>0</v>
      </c>
      <c r="Q630">
        <v>81</v>
      </c>
      <c r="R630">
        <v>519</v>
      </c>
      <c r="S630" t="s">
        <v>44</v>
      </c>
      <c r="T630" t="s">
        <v>44</v>
      </c>
      <c r="U630" t="s">
        <v>44</v>
      </c>
      <c r="V630">
        <v>266</v>
      </c>
      <c r="W630" t="s">
        <v>44</v>
      </c>
      <c r="X630" t="s">
        <v>44</v>
      </c>
      <c r="Y630">
        <v>258</v>
      </c>
      <c r="Z630" t="s">
        <v>44</v>
      </c>
      <c r="AA630">
        <v>19</v>
      </c>
      <c r="AB630">
        <v>0</v>
      </c>
      <c r="AC630">
        <v>0</v>
      </c>
      <c r="AD630">
        <v>0</v>
      </c>
      <c r="AE630">
        <v>113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307</v>
      </c>
      <c r="AQ630">
        <f t="shared" si="22"/>
        <v>307</v>
      </c>
      <c r="AR630" s="5">
        <f>VLOOKUP(F630,'[2]SCP_24-25'!$A:$D,4,0)</f>
        <v>32.03</v>
      </c>
      <c r="AS630" s="5">
        <f t="shared" si="20"/>
        <v>9833.2100000000009</v>
      </c>
    </row>
    <row r="631" spans="1:45" x14ac:dyDescent="0.3">
      <c r="A631" s="1">
        <v>45900.962500000001</v>
      </c>
      <c r="B631" t="s">
        <v>1363</v>
      </c>
      <c r="C631" t="s">
        <v>1364</v>
      </c>
      <c r="D631" t="s">
        <v>228</v>
      </c>
      <c r="F631" t="s">
        <v>1589</v>
      </c>
      <c r="G631" t="s">
        <v>229</v>
      </c>
      <c r="H631" t="s">
        <v>66</v>
      </c>
      <c r="I631" t="s">
        <v>43</v>
      </c>
      <c r="J631">
        <v>79</v>
      </c>
      <c r="K631">
        <v>19</v>
      </c>
      <c r="L631">
        <v>10</v>
      </c>
      <c r="M631">
        <v>11</v>
      </c>
      <c r="N631">
        <v>19697</v>
      </c>
      <c r="O631">
        <v>5</v>
      </c>
      <c r="P631">
        <v>0</v>
      </c>
      <c r="Q631">
        <v>2</v>
      </c>
      <c r="R631">
        <v>918</v>
      </c>
      <c r="S631" t="s">
        <v>44</v>
      </c>
      <c r="T631" t="s">
        <v>44</v>
      </c>
      <c r="U631" t="s">
        <v>44</v>
      </c>
      <c r="V631">
        <v>345</v>
      </c>
      <c r="W631" t="s">
        <v>44</v>
      </c>
      <c r="X631" t="s">
        <v>44</v>
      </c>
      <c r="Y631">
        <v>340</v>
      </c>
      <c r="Z631" t="s">
        <v>44</v>
      </c>
      <c r="AA631">
        <v>19</v>
      </c>
      <c r="AB631">
        <v>0</v>
      </c>
      <c r="AC631">
        <v>0</v>
      </c>
      <c r="AD631">
        <v>0</v>
      </c>
      <c r="AE631">
        <v>330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369</v>
      </c>
      <c r="AQ631">
        <f t="shared" si="22"/>
        <v>369</v>
      </c>
      <c r="AR631" s="5">
        <f>VLOOKUP(F631,'[2]SCP_24-25'!$A:$D,4,0)</f>
        <v>69.61</v>
      </c>
      <c r="AS631" s="5">
        <f t="shared" si="20"/>
        <v>25686.09</v>
      </c>
    </row>
    <row r="632" spans="1:45" x14ac:dyDescent="0.3">
      <c r="A632" s="1">
        <v>45900.962500000001</v>
      </c>
      <c r="B632" t="s">
        <v>1363</v>
      </c>
      <c r="C632" t="s">
        <v>1364</v>
      </c>
      <c r="D632" t="s">
        <v>248</v>
      </c>
      <c r="E632" t="s">
        <v>249</v>
      </c>
      <c r="F632" t="s">
        <v>1597</v>
      </c>
      <c r="G632" t="s">
        <v>250</v>
      </c>
      <c r="H632" t="s">
        <v>66</v>
      </c>
      <c r="I632" t="s">
        <v>43</v>
      </c>
      <c r="J632">
        <v>35</v>
      </c>
      <c r="K632">
        <v>19</v>
      </c>
      <c r="L632">
        <v>11</v>
      </c>
      <c r="M632">
        <v>9.5</v>
      </c>
      <c r="N632">
        <v>15202</v>
      </c>
      <c r="O632">
        <v>1</v>
      </c>
      <c r="P632">
        <v>0</v>
      </c>
      <c r="Q632" t="s">
        <v>44</v>
      </c>
      <c r="R632">
        <v>125</v>
      </c>
      <c r="S632" t="s">
        <v>44</v>
      </c>
      <c r="T632" t="s">
        <v>44</v>
      </c>
      <c r="U632" t="s">
        <v>44</v>
      </c>
      <c r="V632">
        <v>125</v>
      </c>
      <c r="W632" t="s">
        <v>44</v>
      </c>
      <c r="X632" t="s">
        <v>44</v>
      </c>
      <c r="Y632">
        <v>118</v>
      </c>
      <c r="Z632" t="s">
        <v>44</v>
      </c>
      <c r="AA632">
        <v>10</v>
      </c>
      <c r="AB632">
        <v>0</v>
      </c>
      <c r="AC632">
        <v>0</v>
      </c>
      <c r="AD632">
        <v>0</v>
      </c>
      <c r="AE632">
        <v>191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136</v>
      </c>
      <c r="AQ632">
        <f t="shared" si="22"/>
        <v>136</v>
      </c>
      <c r="AR632" s="5">
        <f>VLOOKUP(F632,'[2]SCP_24-25'!$A:$D,4,0)</f>
        <v>26.914999999999996</v>
      </c>
      <c r="AS632" s="5">
        <f t="shared" si="20"/>
        <v>3660.4399999999996</v>
      </c>
    </row>
    <row r="633" spans="1:45" x14ac:dyDescent="0.3">
      <c r="A633" s="1">
        <v>45900.962500000001</v>
      </c>
      <c r="B633" t="s">
        <v>1363</v>
      </c>
      <c r="C633" t="s">
        <v>1364</v>
      </c>
      <c r="D633" t="s">
        <v>254</v>
      </c>
      <c r="E633" t="s">
        <v>255</v>
      </c>
      <c r="F633" t="s">
        <v>1599</v>
      </c>
      <c r="G633" t="s">
        <v>256</v>
      </c>
      <c r="H633" t="s">
        <v>66</v>
      </c>
      <c r="I633" t="s">
        <v>43</v>
      </c>
      <c r="J633">
        <v>59.02</v>
      </c>
      <c r="K633">
        <v>19</v>
      </c>
      <c r="L633">
        <v>11</v>
      </c>
      <c r="M633">
        <v>9.5</v>
      </c>
      <c r="N633">
        <v>42479</v>
      </c>
      <c r="O633">
        <v>39</v>
      </c>
      <c r="P633">
        <v>0</v>
      </c>
      <c r="Q633">
        <v>6</v>
      </c>
      <c r="R633">
        <v>156</v>
      </c>
      <c r="S633" t="s">
        <v>44</v>
      </c>
      <c r="T633">
        <v>726</v>
      </c>
      <c r="U633" t="s">
        <v>44</v>
      </c>
      <c r="V633">
        <v>637</v>
      </c>
      <c r="W633" t="s">
        <v>44</v>
      </c>
      <c r="X633" t="s">
        <v>44</v>
      </c>
      <c r="Y633">
        <v>616</v>
      </c>
      <c r="Z633" t="s">
        <v>44</v>
      </c>
      <c r="AA633">
        <v>45</v>
      </c>
      <c r="AB633">
        <v>0</v>
      </c>
      <c r="AC633">
        <v>0</v>
      </c>
      <c r="AD633">
        <v>0</v>
      </c>
      <c r="AE633">
        <v>104</v>
      </c>
      <c r="AF633">
        <v>4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721</v>
      </c>
      <c r="AQ633">
        <f t="shared" si="22"/>
        <v>721</v>
      </c>
      <c r="AR633" s="5">
        <f>VLOOKUP(F633,'[2]SCP_24-25'!$A:$D,4,0)</f>
        <v>112.63</v>
      </c>
      <c r="AS633" s="5">
        <f t="shared" si="20"/>
        <v>81206.23</v>
      </c>
    </row>
    <row r="634" spans="1:45" x14ac:dyDescent="0.3">
      <c r="A634" s="1">
        <v>45900.962500000001</v>
      </c>
      <c r="B634" t="s">
        <v>1363</v>
      </c>
      <c r="C634" t="s">
        <v>1364</v>
      </c>
      <c r="D634" t="s">
        <v>257</v>
      </c>
      <c r="E634" t="s">
        <v>258</v>
      </c>
      <c r="F634" t="s">
        <v>1600</v>
      </c>
      <c r="G634" t="s">
        <v>259</v>
      </c>
      <c r="H634" t="s">
        <v>66</v>
      </c>
      <c r="I634" t="s">
        <v>43</v>
      </c>
      <c r="J634">
        <v>200</v>
      </c>
      <c r="K634">
        <v>19</v>
      </c>
      <c r="L634">
        <v>11</v>
      </c>
      <c r="M634">
        <v>9.5</v>
      </c>
      <c r="N634">
        <v>21949</v>
      </c>
      <c r="O634">
        <v>25</v>
      </c>
      <c r="P634">
        <v>0</v>
      </c>
      <c r="Q634">
        <v>17</v>
      </c>
      <c r="R634">
        <v>1302</v>
      </c>
      <c r="S634" t="s">
        <v>44</v>
      </c>
      <c r="T634" t="s">
        <v>44</v>
      </c>
      <c r="U634" t="s">
        <v>44</v>
      </c>
      <c r="V634">
        <v>346</v>
      </c>
      <c r="W634" t="s">
        <v>44</v>
      </c>
      <c r="X634" t="s">
        <v>44</v>
      </c>
      <c r="Y634">
        <v>331</v>
      </c>
      <c r="Z634" t="s">
        <v>44</v>
      </c>
      <c r="AA634">
        <v>17</v>
      </c>
      <c r="AB634">
        <v>0</v>
      </c>
      <c r="AC634">
        <v>0</v>
      </c>
      <c r="AD634">
        <v>0</v>
      </c>
      <c r="AE634">
        <v>55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388</v>
      </c>
      <c r="AQ634">
        <f t="shared" si="22"/>
        <v>388</v>
      </c>
      <c r="AR634" s="5">
        <f>VLOOKUP(F634,'[2]SCP_24-25'!$A:$D,4,0)</f>
        <v>62.99</v>
      </c>
      <c r="AS634" s="5">
        <f t="shared" si="20"/>
        <v>24440.12</v>
      </c>
    </row>
    <row r="635" spans="1:45" x14ac:dyDescent="0.3">
      <c r="A635" s="1">
        <v>45900.962500000001</v>
      </c>
      <c r="B635" t="s">
        <v>1363</v>
      </c>
      <c r="C635" t="s">
        <v>1364</v>
      </c>
      <c r="D635" t="s">
        <v>269</v>
      </c>
      <c r="E635" t="s">
        <v>270</v>
      </c>
      <c r="F635" t="s">
        <v>1604</v>
      </c>
      <c r="G635" t="s">
        <v>271</v>
      </c>
      <c r="H635" t="s">
        <v>66</v>
      </c>
      <c r="I635" t="s">
        <v>43</v>
      </c>
      <c r="J635">
        <v>90</v>
      </c>
      <c r="K635">
        <v>19</v>
      </c>
      <c r="L635">
        <v>11</v>
      </c>
      <c r="M635">
        <v>9.5</v>
      </c>
      <c r="N635">
        <v>14023</v>
      </c>
      <c r="O635">
        <v>0</v>
      </c>
      <c r="P635">
        <v>0</v>
      </c>
      <c r="Q635">
        <v>19</v>
      </c>
      <c r="R635">
        <v>3</v>
      </c>
      <c r="S635" t="s">
        <v>44</v>
      </c>
      <c r="T635" t="s">
        <v>44</v>
      </c>
      <c r="U635" t="s">
        <v>44</v>
      </c>
      <c r="V635">
        <v>295</v>
      </c>
      <c r="W635">
        <v>120</v>
      </c>
      <c r="X635" t="s">
        <v>44</v>
      </c>
      <c r="Y635">
        <v>227</v>
      </c>
      <c r="Z635" t="s">
        <v>44</v>
      </c>
      <c r="AA635">
        <v>4</v>
      </c>
      <c r="AB635">
        <v>0</v>
      </c>
      <c r="AC635">
        <v>0</v>
      </c>
      <c r="AD635">
        <v>0</v>
      </c>
      <c r="AE635">
        <v>304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299</v>
      </c>
      <c r="AQ635">
        <f t="shared" si="22"/>
        <v>299</v>
      </c>
      <c r="AR635" s="5">
        <f>VLOOKUP(F635,'[2]SCP_24-25'!$A:$D,4,0)</f>
        <v>52.11</v>
      </c>
      <c r="AS635" s="5">
        <f t="shared" si="20"/>
        <v>15580.89</v>
      </c>
    </row>
    <row r="636" spans="1:45" x14ac:dyDescent="0.3">
      <c r="A636" s="1">
        <v>45900.962500000001</v>
      </c>
      <c r="B636" t="s">
        <v>1363</v>
      </c>
      <c r="C636" t="s">
        <v>1364</v>
      </c>
      <c r="D636" t="s">
        <v>283</v>
      </c>
      <c r="E636" t="s">
        <v>284</v>
      </c>
      <c r="F636" t="s">
        <v>1609</v>
      </c>
      <c r="G636" t="s">
        <v>285</v>
      </c>
      <c r="H636" t="s">
        <v>103</v>
      </c>
      <c r="I636" t="s">
        <v>43</v>
      </c>
      <c r="J636">
        <v>120</v>
      </c>
      <c r="K636">
        <v>19</v>
      </c>
      <c r="L636">
        <v>9.5</v>
      </c>
      <c r="M636">
        <v>11</v>
      </c>
      <c r="N636">
        <v>34814</v>
      </c>
      <c r="O636">
        <v>39</v>
      </c>
      <c r="P636">
        <v>0</v>
      </c>
      <c r="Q636">
        <v>18</v>
      </c>
      <c r="R636">
        <v>1233</v>
      </c>
      <c r="S636" t="s">
        <v>44</v>
      </c>
      <c r="T636" t="s">
        <v>44</v>
      </c>
      <c r="U636" t="s">
        <v>44</v>
      </c>
      <c r="V636">
        <v>700</v>
      </c>
      <c r="W636" t="s">
        <v>44</v>
      </c>
      <c r="X636" t="s">
        <v>44</v>
      </c>
      <c r="Y636">
        <v>675</v>
      </c>
      <c r="Z636" t="s">
        <v>44</v>
      </c>
      <c r="AA636">
        <v>18</v>
      </c>
      <c r="AB636">
        <v>0</v>
      </c>
      <c r="AC636">
        <v>0</v>
      </c>
      <c r="AD636">
        <v>0</v>
      </c>
      <c r="AE636">
        <v>76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757</v>
      </c>
      <c r="AQ636">
        <f t="shared" si="22"/>
        <v>757</v>
      </c>
      <c r="AR636" s="5">
        <f>VLOOKUP(F636,'[2]SCP_24-25'!$A:$D,4,0)</f>
        <v>113.26</v>
      </c>
      <c r="AS636" s="5">
        <f t="shared" si="20"/>
        <v>85737.82</v>
      </c>
    </row>
    <row r="637" spans="1:45" x14ac:dyDescent="0.3">
      <c r="A637" s="1">
        <v>45900.962500000001</v>
      </c>
      <c r="B637" t="s">
        <v>1363</v>
      </c>
      <c r="C637" t="s">
        <v>1364</v>
      </c>
      <c r="D637" t="s">
        <v>295</v>
      </c>
      <c r="F637" t="s">
        <v>1613</v>
      </c>
      <c r="G637" t="s">
        <v>296</v>
      </c>
      <c r="H637" t="s">
        <v>103</v>
      </c>
      <c r="I637" t="s">
        <v>43</v>
      </c>
      <c r="J637">
        <v>150</v>
      </c>
      <c r="K637">
        <v>19</v>
      </c>
      <c r="L637">
        <v>9.5</v>
      </c>
      <c r="M637">
        <v>11</v>
      </c>
      <c r="N637">
        <v>20312</v>
      </c>
      <c r="O637">
        <v>1</v>
      </c>
      <c r="P637">
        <v>0</v>
      </c>
      <c r="Q637">
        <v>6</v>
      </c>
      <c r="R637">
        <v>652</v>
      </c>
      <c r="S637" t="s">
        <v>44</v>
      </c>
      <c r="T637" t="s">
        <v>44</v>
      </c>
      <c r="U637" t="s">
        <v>44</v>
      </c>
      <c r="V637">
        <v>362</v>
      </c>
      <c r="W637">
        <v>36</v>
      </c>
      <c r="X637" t="s">
        <v>44</v>
      </c>
      <c r="Y637">
        <v>289</v>
      </c>
      <c r="Z637" t="s">
        <v>44</v>
      </c>
      <c r="AA637">
        <v>39</v>
      </c>
      <c r="AB637">
        <v>0</v>
      </c>
      <c r="AC637">
        <v>0</v>
      </c>
      <c r="AD637">
        <v>0</v>
      </c>
      <c r="AE637">
        <v>95</v>
      </c>
      <c r="AF637">
        <v>4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402</v>
      </c>
      <c r="AQ637">
        <f t="shared" si="22"/>
        <v>402</v>
      </c>
      <c r="AR637" s="5">
        <f>VLOOKUP(F637,'[2]SCP_24-25'!$A:$D,4,0)</f>
        <v>45.01</v>
      </c>
      <c r="AS637" s="5">
        <f t="shared" si="20"/>
        <v>18094.02</v>
      </c>
    </row>
    <row r="638" spans="1:45" x14ac:dyDescent="0.3">
      <c r="A638" s="1">
        <v>45900.962500000001</v>
      </c>
      <c r="B638" t="s">
        <v>1363</v>
      </c>
      <c r="C638" t="s">
        <v>1364</v>
      </c>
      <c r="D638" t="s">
        <v>303</v>
      </c>
      <c r="F638" t="s">
        <v>1617</v>
      </c>
      <c r="G638" t="s">
        <v>304</v>
      </c>
      <c r="H638" t="s">
        <v>66</v>
      </c>
      <c r="I638" t="s">
        <v>43</v>
      </c>
      <c r="J638">
        <v>30</v>
      </c>
      <c r="K638">
        <v>19</v>
      </c>
      <c r="L638">
        <v>9.5</v>
      </c>
      <c r="M638">
        <v>11</v>
      </c>
      <c r="N638">
        <v>87172</v>
      </c>
      <c r="O638">
        <v>7</v>
      </c>
      <c r="P638">
        <v>0</v>
      </c>
      <c r="Q638">
        <v>17</v>
      </c>
      <c r="R638">
        <v>10636</v>
      </c>
      <c r="S638" t="s">
        <v>44</v>
      </c>
      <c r="T638" t="s">
        <v>44</v>
      </c>
      <c r="U638" t="s">
        <v>44</v>
      </c>
      <c r="V638">
        <v>110</v>
      </c>
      <c r="W638" t="s">
        <v>44</v>
      </c>
      <c r="X638" t="s">
        <v>44</v>
      </c>
      <c r="Y638">
        <v>110</v>
      </c>
      <c r="Z638" t="s">
        <v>44</v>
      </c>
      <c r="AA638">
        <v>11</v>
      </c>
      <c r="AB638">
        <v>0</v>
      </c>
      <c r="AC638">
        <v>0</v>
      </c>
      <c r="AD638">
        <v>0</v>
      </c>
      <c r="AE638">
        <v>0</v>
      </c>
      <c r="AF638">
        <v>12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128</v>
      </c>
      <c r="AQ638">
        <f t="shared" si="22"/>
        <v>128</v>
      </c>
      <c r="AR638" s="5">
        <f>VLOOKUP(F638,'[2]SCP_24-25'!$A:$D,4,0)</f>
        <v>15.13</v>
      </c>
      <c r="AS638" s="5">
        <f t="shared" si="20"/>
        <v>1936.64</v>
      </c>
    </row>
    <row r="639" spans="1:45" x14ac:dyDescent="0.3">
      <c r="A639" s="1">
        <v>45900.962500000001</v>
      </c>
      <c r="B639" t="s">
        <v>1363</v>
      </c>
      <c r="C639" t="s">
        <v>1364</v>
      </c>
      <c r="D639" t="s">
        <v>308</v>
      </c>
      <c r="E639" t="s">
        <v>309</v>
      </c>
      <c r="F639" t="s">
        <v>1619</v>
      </c>
      <c r="G639" t="s">
        <v>310</v>
      </c>
      <c r="H639" t="s">
        <v>66</v>
      </c>
      <c r="I639" t="s">
        <v>43</v>
      </c>
      <c r="J639">
        <v>120</v>
      </c>
      <c r="K639">
        <v>19</v>
      </c>
      <c r="L639">
        <v>11</v>
      </c>
      <c r="M639">
        <v>9.5</v>
      </c>
      <c r="N639">
        <v>23969</v>
      </c>
      <c r="O639">
        <v>19</v>
      </c>
      <c r="P639">
        <v>0</v>
      </c>
      <c r="Q639">
        <v>41</v>
      </c>
      <c r="R639">
        <v>529</v>
      </c>
      <c r="S639" t="s">
        <v>44</v>
      </c>
      <c r="T639" t="s">
        <v>44</v>
      </c>
      <c r="U639" t="s">
        <v>44</v>
      </c>
      <c r="V639">
        <v>274</v>
      </c>
      <c r="W639" t="s">
        <v>44</v>
      </c>
      <c r="X639" t="s">
        <v>44</v>
      </c>
      <c r="Y639">
        <v>229</v>
      </c>
      <c r="Z639" t="s">
        <v>44</v>
      </c>
      <c r="AA639">
        <v>21</v>
      </c>
      <c r="AB639">
        <v>0</v>
      </c>
      <c r="AC639">
        <v>0</v>
      </c>
      <c r="AD639">
        <v>0</v>
      </c>
      <c r="AE639">
        <v>218</v>
      </c>
      <c r="AF639">
        <v>4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314</v>
      </c>
      <c r="AQ639">
        <f t="shared" si="22"/>
        <v>314</v>
      </c>
      <c r="AR639" s="5">
        <f>VLOOKUP(F639,'[2]SCP_24-25'!$A:$D,4,0)</f>
        <v>43.38</v>
      </c>
      <c r="AS639" s="5">
        <f t="shared" si="20"/>
        <v>13621.320000000002</v>
      </c>
    </row>
    <row r="640" spans="1:45" x14ac:dyDescent="0.3">
      <c r="A640" s="1">
        <v>45900.962500000001</v>
      </c>
      <c r="B640" t="s">
        <v>1363</v>
      </c>
      <c r="C640" t="s">
        <v>1364</v>
      </c>
      <c r="D640" t="s">
        <v>317</v>
      </c>
      <c r="E640" t="s">
        <v>318</v>
      </c>
      <c r="F640" t="s">
        <v>1622</v>
      </c>
      <c r="G640" t="s">
        <v>319</v>
      </c>
      <c r="H640" t="s">
        <v>66</v>
      </c>
      <c r="I640" t="s">
        <v>43</v>
      </c>
      <c r="J640">
        <v>170</v>
      </c>
      <c r="K640">
        <v>19</v>
      </c>
      <c r="L640">
        <v>11</v>
      </c>
      <c r="M640">
        <v>9.5</v>
      </c>
      <c r="N640">
        <v>20183</v>
      </c>
      <c r="O640">
        <v>14</v>
      </c>
      <c r="P640">
        <v>0</v>
      </c>
      <c r="Q640">
        <v>11</v>
      </c>
      <c r="R640">
        <v>434</v>
      </c>
      <c r="S640" t="s">
        <v>44</v>
      </c>
      <c r="T640">
        <v>2520</v>
      </c>
      <c r="U640" t="s">
        <v>44</v>
      </c>
      <c r="V640">
        <v>650</v>
      </c>
      <c r="W640" t="s">
        <v>44</v>
      </c>
      <c r="X640" t="s">
        <v>44</v>
      </c>
      <c r="Y640">
        <v>648</v>
      </c>
      <c r="Z640" t="s">
        <v>44</v>
      </c>
      <c r="AA640">
        <v>11</v>
      </c>
      <c r="AB640">
        <v>0</v>
      </c>
      <c r="AC640">
        <v>0</v>
      </c>
      <c r="AD640">
        <v>0</v>
      </c>
      <c r="AE640">
        <v>60</v>
      </c>
      <c r="AF640">
        <v>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675</v>
      </c>
      <c r="AQ640">
        <f t="shared" si="22"/>
        <v>675</v>
      </c>
      <c r="AR640" s="5">
        <f>VLOOKUP(F640,'[2]SCP_24-25'!$A:$D,4,0)</f>
        <v>67.69</v>
      </c>
      <c r="AS640" s="5">
        <f t="shared" si="20"/>
        <v>45690.75</v>
      </c>
    </row>
    <row r="641" spans="1:45" x14ac:dyDescent="0.3">
      <c r="A641" s="1">
        <v>45900.962500000001</v>
      </c>
      <c r="B641" t="s">
        <v>1363</v>
      </c>
      <c r="C641" t="s">
        <v>1364</v>
      </c>
      <c r="D641" t="s">
        <v>777</v>
      </c>
      <c r="E641" t="s">
        <v>778</v>
      </c>
      <c r="F641" t="s">
        <v>1841</v>
      </c>
      <c r="G641" t="s">
        <v>779</v>
      </c>
      <c r="H641" t="s">
        <v>66</v>
      </c>
      <c r="I641" t="s">
        <v>43</v>
      </c>
      <c r="J641">
        <v>50</v>
      </c>
      <c r="K641">
        <v>19</v>
      </c>
      <c r="L641">
        <v>11</v>
      </c>
      <c r="M641">
        <v>9.5</v>
      </c>
      <c r="N641">
        <v>40108</v>
      </c>
      <c r="O641">
        <v>0</v>
      </c>
      <c r="P641">
        <v>0</v>
      </c>
      <c r="Q641" t="s">
        <v>44</v>
      </c>
      <c r="R641">
        <v>2344</v>
      </c>
      <c r="S641" t="s">
        <v>44</v>
      </c>
      <c r="T641" t="s">
        <v>44</v>
      </c>
      <c r="U641" t="s">
        <v>44</v>
      </c>
      <c r="V641">
        <v>136</v>
      </c>
      <c r="W641">
        <v>81</v>
      </c>
      <c r="X641" t="s">
        <v>44</v>
      </c>
      <c r="Y641">
        <v>136</v>
      </c>
      <c r="Z641" t="s">
        <v>44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136</v>
      </c>
      <c r="AQ641">
        <f t="shared" si="22"/>
        <v>136</v>
      </c>
      <c r="AR641" s="5">
        <f>VLOOKUP(F641,'[2]SCP_24-25'!$A:$D,4,0)</f>
        <v>13.06</v>
      </c>
      <c r="AS641" s="5">
        <f t="shared" si="20"/>
        <v>1776.16</v>
      </c>
    </row>
    <row r="642" spans="1:45" x14ac:dyDescent="0.3">
      <c r="A642" s="1">
        <v>45900.962500000001</v>
      </c>
      <c r="B642" t="s">
        <v>1363</v>
      </c>
      <c r="C642" t="s">
        <v>1364</v>
      </c>
      <c r="D642" t="s">
        <v>1302</v>
      </c>
      <c r="E642" t="s">
        <v>1303</v>
      </c>
      <c r="F642" t="s">
        <v>2103</v>
      </c>
      <c r="G642" t="s">
        <v>1304</v>
      </c>
      <c r="H642" t="s">
        <v>66</v>
      </c>
      <c r="I642" t="s">
        <v>43</v>
      </c>
      <c r="J642">
        <v>10</v>
      </c>
      <c r="K642">
        <v>19</v>
      </c>
      <c r="L642">
        <v>11</v>
      </c>
      <c r="M642">
        <v>9.5</v>
      </c>
      <c r="N642">
        <v>60768</v>
      </c>
      <c r="O642">
        <v>11</v>
      </c>
      <c r="P642">
        <v>0</v>
      </c>
      <c r="Q642">
        <v>9</v>
      </c>
      <c r="R642">
        <v>155</v>
      </c>
      <c r="S642" t="s">
        <v>44</v>
      </c>
      <c r="T642" t="s">
        <v>44</v>
      </c>
      <c r="U642" t="s">
        <v>44</v>
      </c>
      <c r="V642">
        <v>138</v>
      </c>
      <c r="W642" t="s">
        <v>44</v>
      </c>
      <c r="X642" t="s">
        <v>44</v>
      </c>
      <c r="Y642">
        <v>138</v>
      </c>
      <c r="Z642" t="s">
        <v>44</v>
      </c>
      <c r="AA642">
        <v>6</v>
      </c>
      <c r="AB642">
        <v>0</v>
      </c>
      <c r="AC642">
        <v>0</v>
      </c>
      <c r="AD642">
        <v>0</v>
      </c>
      <c r="AE642">
        <v>0</v>
      </c>
      <c r="AF642">
        <v>9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155</v>
      </c>
      <c r="AQ642">
        <f t="shared" si="22"/>
        <v>155</v>
      </c>
      <c r="AR642" s="5">
        <f>VLOOKUP(F642,'[2]SCP_24-25'!$A:$D,4,0)</f>
        <v>18.22</v>
      </c>
      <c r="AS642" s="5">
        <f t="shared" si="20"/>
        <v>2824.1</v>
      </c>
    </row>
    <row r="643" spans="1:45" x14ac:dyDescent="0.3">
      <c r="A643" s="1">
        <v>45900.962500000001</v>
      </c>
      <c r="B643" t="s">
        <v>1363</v>
      </c>
      <c r="C643" t="s">
        <v>1364</v>
      </c>
      <c r="D643" t="s">
        <v>1305</v>
      </c>
      <c r="E643" t="s">
        <v>1306</v>
      </c>
      <c r="F643" t="s">
        <v>2104</v>
      </c>
      <c r="G643" t="s">
        <v>1307</v>
      </c>
      <c r="H643" t="s">
        <v>66</v>
      </c>
      <c r="I643" t="s">
        <v>43</v>
      </c>
      <c r="J643">
        <v>10</v>
      </c>
      <c r="K643">
        <v>19</v>
      </c>
      <c r="L643">
        <v>11</v>
      </c>
      <c r="M643">
        <v>9.5</v>
      </c>
      <c r="N643">
        <v>57068</v>
      </c>
      <c r="O643">
        <v>0</v>
      </c>
      <c r="P643">
        <v>0</v>
      </c>
      <c r="Q643">
        <v>1</v>
      </c>
      <c r="R643">
        <v>15939</v>
      </c>
      <c r="S643" t="s">
        <v>44</v>
      </c>
      <c r="T643" t="s">
        <v>44</v>
      </c>
      <c r="U643" t="s">
        <v>44</v>
      </c>
      <c r="V643">
        <v>652</v>
      </c>
      <c r="W643" t="s">
        <v>44</v>
      </c>
      <c r="X643" t="s">
        <v>44</v>
      </c>
      <c r="Y643">
        <v>652</v>
      </c>
      <c r="Z643" t="s">
        <v>44</v>
      </c>
      <c r="AA643">
        <v>7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659</v>
      </c>
      <c r="AQ643">
        <f t="shared" si="22"/>
        <v>659</v>
      </c>
      <c r="AR643" s="5">
        <f>VLOOKUP(F643,'[2]SCP_24-25'!$A:$D,4,0)</f>
        <v>16.059999999999999</v>
      </c>
      <c r="AS643" s="5">
        <f t="shared" ref="AS643:AS706" si="23">AQ643*AR643</f>
        <v>10583.539999999999</v>
      </c>
    </row>
    <row r="644" spans="1:45" x14ac:dyDescent="0.3">
      <c r="A644" s="1">
        <v>45900.962500000001</v>
      </c>
      <c r="B644" t="s">
        <v>1363</v>
      </c>
      <c r="C644" t="s">
        <v>1364</v>
      </c>
      <c r="D644" t="s">
        <v>1312</v>
      </c>
      <c r="E644" t="s">
        <v>1313</v>
      </c>
      <c r="F644" t="s">
        <v>2107</v>
      </c>
      <c r="G644" t="s">
        <v>1314</v>
      </c>
      <c r="H644" t="s">
        <v>66</v>
      </c>
      <c r="I644" t="s">
        <v>43</v>
      </c>
      <c r="J644">
        <v>50</v>
      </c>
      <c r="K644">
        <v>19</v>
      </c>
      <c r="L644">
        <v>11</v>
      </c>
      <c r="M644">
        <v>9.5</v>
      </c>
      <c r="N644">
        <v>33742</v>
      </c>
      <c r="O644">
        <v>0</v>
      </c>
      <c r="P644">
        <v>0</v>
      </c>
      <c r="Q644">
        <v>1</v>
      </c>
      <c r="R644">
        <v>3131</v>
      </c>
      <c r="S644" t="s">
        <v>44</v>
      </c>
      <c r="T644">
        <v>4</v>
      </c>
      <c r="U644" t="s">
        <v>44</v>
      </c>
      <c r="V644">
        <v>237</v>
      </c>
      <c r="W644" t="s">
        <v>44</v>
      </c>
      <c r="X644" t="s">
        <v>44</v>
      </c>
      <c r="Y644">
        <v>237</v>
      </c>
      <c r="Z644" t="s">
        <v>44</v>
      </c>
      <c r="AA644">
        <v>4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241</v>
      </c>
      <c r="AQ644">
        <f t="shared" si="22"/>
        <v>241</v>
      </c>
      <c r="AR644" s="5">
        <f>VLOOKUP(F644,'[2]SCP_24-25'!$A:$D,4,0)</f>
        <v>20.65</v>
      </c>
      <c r="AS644" s="5">
        <f t="shared" si="23"/>
        <v>4976.6499999999996</v>
      </c>
    </row>
    <row r="645" spans="1:45" x14ac:dyDescent="0.3">
      <c r="A645" s="1">
        <v>45900.962500000001</v>
      </c>
      <c r="B645" t="s">
        <v>1363</v>
      </c>
      <c r="C645" t="s">
        <v>1364</v>
      </c>
      <c r="D645" t="s">
        <v>48</v>
      </c>
      <c r="E645" t="s">
        <v>49</v>
      </c>
      <c r="F645" t="s">
        <v>1515</v>
      </c>
      <c r="G645" t="s">
        <v>50</v>
      </c>
      <c r="H645" t="s">
        <v>42</v>
      </c>
      <c r="I645" t="s">
        <v>43</v>
      </c>
      <c r="J645">
        <v>180</v>
      </c>
      <c r="K645">
        <v>19</v>
      </c>
      <c r="L645">
        <v>9.5</v>
      </c>
      <c r="M645">
        <v>11</v>
      </c>
      <c r="N645">
        <v>23089</v>
      </c>
      <c r="O645">
        <v>14</v>
      </c>
      <c r="P645">
        <v>0</v>
      </c>
      <c r="Q645">
        <v>110</v>
      </c>
      <c r="R645">
        <v>3009</v>
      </c>
      <c r="S645" t="s">
        <v>44</v>
      </c>
      <c r="T645" t="s">
        <v>44</v>
      </c>
      <c r="U645" t="s">
        <v>44</v>
      </c>
      <c r="V645">
        <v>457</v>
      </c>
      <c r="W645" t="s">
        <v>44</v>
      </c>
      <c r="X645" t="s">
        <v>44</v>
      </c>
      <c r="Y645">
        <v>457</v>
      </c>
      <c r="Z645" t="s">
        <v>44</v>
      </c>
      <c r="AA645">
        <v>6</v>
      </c>
      <c r="AB645">
        <v>0</v>
      </c>
      <c r="AC645">
        <v>0</v>
      </c>
      <c r="AD645">
        <v>0</v>
      </c>
      <c r="AE645">
        <v>296</v>
      </c>
      <c r="AF645">
        <v>2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477</v>
      </c>
      <c r="AQ645">
        <f t="shared" si="22"/>
        <v>477</v>
      </c>
      <c r="AR645" s="5">
        <f>VLOOKUP(F645,'[2]SCP_24-25'!$A:$D,4,0)</f>
        <v>57</v>
      </c>
      <c r="AS645" s="5">
        <f t="shared" si="23"/>
        <v>27189</v>
      </c>
    </row>
    <row r="646" spans="1:45" x14ac:dyDescent="0.3">
      <c r="A646" s="1">
        <v>45900.962500000001</v>
      </c>
      <c r="B646" t="s">
        <v>1363</v>
      </c>
      <c r="C646" t="s">
        <v>1364</v>
      </c>
      <c r="D646" t="s">
        <v>54</v>
      </c>
      <c r="E646" t="s">
        <v>55</v>
      </c>
      <c r="F646" t="s">
        <v>1517</v>
      </c>
      <c r="G646" t="s">
        <v>56</v>
      </c>
      <c r="H646" t="s">
        <v>42</v>
      </c>
      <c r="I646" t="s">
        <v>43</v>
      </c>
      <c r="J646">
        <v>200</v>
      </c>
      <c r="K646">
        <v>19</v>
      </c>
      <c r="L646">
        <v>9.5</v>
      </c>
      <c r="M646">
        <v>11</v>
      </c>
      <c r="N646">
        <v>28210</v>
      </c>
      <c r="O646">
        <v>14</v>
      </c>
      <c r="P646">
        <v>0</v>
      </c>
      <c r="Q646">
        <v>77</v>
      </c>
      <c r="R646">
        <v>3449</v>
      </c>
      <c r="S646" t="s">
        <v>44</v>
      </c>
      <c r="T646" t="s">
        <v>44</v>
      </c>
      <c r="U646" t="s">
        <v>44</v>
      </c>
      <c r="V646">
        <v>238</v>
      </c>
      <c r="W646">
        <v>1</v>
      </c>
      <c r="X646" t="s">
        <v>44</v>
      </c>
      <c r="Y646">
        <v>238</v>
      </c>
      <c r="Z646" t="s">
        <v>44</v>
      </c>
      <c r="AA646">
        <v>17</v>
      </c>
      <c r="AB646">
        <v>0</v>
      </c>
      <c r="AC646">
        <v>0</v>
      </c>
      <c r="AD646">
        <v>0</v>
      </c>
      <c r="AE646">
        <v>93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269</v>
      </c>
      <c r="AQ646">
        <f t="shared" si="22"/>
        <v>269</v>
      </c>
      <c r="AR646" s="5">
        <f>VLOOKUP(F646,'[2]SCP_24-25'!$A:$D,4,0)</f>
        <v>116.69999999999999</v>
      </c>
      <c r="AS646" s="5">
        <f t="shared" si="23"/>
        <v>31392.299999999996</v>
      </c>
    </row>
    <row r="647" spans="1:45" x14ac:dyDescent="0.3">
      <c r="A647" s="1">
        <v>45900.962500000001</v>
      </c>
      <c r="B647" t="s">
        <v>1363</v>
      </c>
      <c r="C647" t="s">
        <v>1364</v>
      </c>
      <c r="D647" t="s">
        <v>70</v>
      </c>
      <c r="E647" t="s">
        <v>71</v>
      </c>
      <c r="F647" t="s">
        <v>1522</v>
      </c>
      <c r="G647" t="s">
        <v>72</v>
      </c>
      <c r="H647" t="s">
        <v>66</v>
      </c>
      <c r="I647" t="s">
        <v>43</v>
      </c>
      <c r="J647">
        <v>150</v>
      </c>
      <c r="K647">
        <v>19</v>
      </c>
      <c r="L647">
        <v>9.5</v>
      </c>
      <c r="M647">
        <v>11</v>
      </c>
      <c r="N647">
        <v>32054</v>
      </c>
      <c r="O647">
        <v>11</v>
      </c>
      <c r="P647">
        <v>0</v>
      </c>
      <c r="Q647">
        <v>7</v>
      </c>
      <c r="R647">
        <v>2083</v>
      </c>
      <c r="S647" t="s">
        <v>44</v>
      </c>
      <c r="T647" t="s">
        <v>44</v>
      </c>
      <c r="U647" t="s">
        <v>44</v>
      </c>
      <c r="V647">
        <v>736</v>
      </c>
      <c r="W647" t="s">
        <v>44</v>
      </c>
      <c r="X647" t="s">
        <v>44</v>
      </c>
      <c r="Y647">
        <v>716</v>
      </c>
      <c r="Z647" t="s">
        <v>44</v>
      </c>
      <c r="AA647">
        <v>10</v>
      </c>
      <c r="AB647">
        <v>0</v>
      </c>
      <c r="AC647">
        <v>0</v>
      </c>
      <c r="AD647">
        <v>0</v>
      </c>
      <c r="AE647">
        <v>32</v>
      </c>
      <c r="AF647">
        <v>5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757</v>
      </c>
      <c r="AQ647">
        <f t="shared" si="22"/>
        <v>757</v>
      </c>
      <c r="AR647" s="5">
        <f>VLOOKUP(F647,'[2]SCP_24-25'!$A:$D,4,0)</f>
        <v>103.36</v>
      </c>
      <c r="AS647" s="5">
        <f t="shared" si="23"/>
        <v>78243.520000000004</v>
      </c>
    </row>
    <row r="648" spans="1:45" x14ac:dyDescent="0.3">
      <c r="A648" s="1">
        <v>45900.962500000001</v>
      </c>
      <c r="B648" t="s">
        <v>1363</v>
      </c>
      <c r="C648" t="s">
        <v>1364</v>
      </c>
      <c r="D648" t="s">
        <v>76</v>
      </c>
      <c r="E648" t="s">
        <v>77</v>
      </c>
      <c r="F648" t="s">
        <v>1524</v>
      </c>
      <c r="G648" t="s">
        <v>78</v>
      </c>
      <c r="H648" t="s">
        <v>66</v>
      </c>
      <c r="I648" t="s">
        <v>43</v>
      </c>
      <c r="J648">
        <v>50</v>
      </c>
      <c r="K648">
        <v>19</v>
      </c>
      <c r="L648">
        <v>9.5</v>
      </c>
      <c r="M648">
        <v>11</v>
      </c>
      <c r="N648">
        <v>14188</v>
      </c>
      <c r="O648">
        <v>0</v>
      </c>
      <c r="P648">
        <v>0</v>
      </c>
      <c r="Q648" t="s">
        <v>44</v>
      </c>
      <c r="R648">
        <v>40</v>
      </c>
      <c r="S648" t="s">
        <v>44</v>
      </c>
      <c r="T648" t="s">
        <v>44</v>
      </c>
      <c r="U648" t="s">
        <v>44</v>
      </c>
      <c r="V648">
        <v>380</v>
      </c>
      <c r="W648" t="s">
        <v>44</v>
      </c>
      <c r="X648" t="s">
        <v>44</v>
      </c>
      <c r="Y648">
        <v>380</v>
      </c>
      <c r="Z648" t="s">
        <v>44</v>
      </c>
      <c r="AA648">
        <v>1</v>
      </c>
      <c r="AB648">
        <v>0</v>
      </c>
      <c r="AC648">
        <v>0</v>
      </c>
      <c r="AD648">
        <v>0</v>
      </c>
      <c r="AE648">
        <v>16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381</v>
      </c>
      <c r="AQ648">
        <f t="shared" si="22"/>
        <v>381</v>
      </c>
      <c r="AR648" s="5">
        <f>VLOOKUP(F648,'[2]SCP_24-25'!$A:$D,4,0)</f>
        <v>28.3</v>
      </c>
      <c r="AS648" s="5">
        <f t="shared" si="23"/>
        <v>10782.300000000001</v>
      </c>
    </row>
    <row r="649" spans="1:45" x14ac:dyDescent="0.3">
      <c r="A649" s="1">
        <v>45900.962500000001</v>
      </c>
      <c r="B649" t="s">
        <v>1363</v>
      </c>
      <c r="C649" t="s">
        <v>1364</v>
      </c>
      <c r="D649" t="s">
        <v>85</v>
      </c>
      <c r="E649" t="s">
        <v>86</v>
      </c>
      <c r="F649" t="s">
        <v>1527</v>
      </c>
      <c r="G649" t="s">
        <v>87</v>
      </c>
      <c r="H649" t="s">
        <v>66</v>
      </c>
      <c r="I649" t="s">
        <v>43</v>
      </c>
      <c r="J649">
        <v>100</v>
      </c>
      <c r="K649">
        <v>19</v>
      </c>
      <c r="L649">
        <v>9.5</v>
      </c>
      <c r="M649">
        <v>11</v>
      </c>
      <c r="N649">
        <v>7197</v>
      </c>
      <c r="O649">
        <v>3</v>
      </c>
      <c r="P649">
        <v>0</v>
      </c>
      <c r="Q649">
        <v>1</v>
      </c>
      <c r="R649">
        <v>76</v>
      </c>
      <c r="S649" t="s">
        <v>44</v>
      </c>
      <c r="T649" t="s">
        <v>44</v>
      </c>
      <c r="U649" t="s">
        <v>44</v>
      </c>
      <c r="V649">
        <v>226</v>
      </c>
      <c r="W649" t="s">
        <v>44</v>
      </c>
      <c r="X649" t="s">
        <v>44</v>
      </c>
      <c r="Y649">
        <v>219</v>
      </c>
      <c r="Z649" t="s">
        <v>44</v>
      </c>
      <c r="AA649">
        <v>3</v>
      </c>
      <c r="AB649">
        <v>0</v>
      </c>
      <c r="AC649">
        <v>0</v>
      </c>
      <c r="AD649">
        <v>0</v>
      </c>
      <c r="AE649">
        <v>300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232</v>
      </c>
      <c r="AQ649">
        <f t="shared" si="22"/>
        <v>232</v>
      </c>
      <c r="AR649" s="5">
        <f>VLOOKUP(F649,'[2]SCP_24-25'!$A:$D,4,0)</f>
        <v>105.05000000000001</v>
      </c>
      <c r="AS649" s="5">
        <f t="shared" si="23"/>
        <v>24371.600000000002</v>
      </c>
    </row>
    <row r="650" spans="1:45" x14ac:dyDescent="0.3">
      <c r="A650" s="1">
        <v>45900.962500000001</v>
      </c>
      <c r="B650" t="s">
        <v>1363</v>
      </c>
      <c r="C650" t="s">
        <v>1364</v>
      </c>
      <c r="D650" t="s">
        <v>88</v>
      </c>
      <c r="E650" t="s">
        <v>89</v>
      </c>
      <c r="F650" t="s">
        <v>1528</v>
      </c>
      <c r="G650" t="s">
        <v>90</v>
      </c>
      <c r="H650" t="s">
        <v>66</v>
      </c>
      <c r="I650" t="s">
        <v>43</v>
      </c>
      <c r="J650">
        <v>150</v>
      </c>
      <c r="K650">
        <v>19</v>
      </c>
      <c r="L650">
        <v>9.5</v>
      </c>
      <c r="M650">
        <v>11</v>
      </c>
      <c r="N650">
        <v>14612</v>
      </c>
      <c r="O650">
        <v>8</v>
      </c>
      <c r="P650">
        <v>0</v>
      </c>
      <c r="Q650">
        <v>2</v>
      </c>
      <c r="R650">
        <v>1287</v>
      </c>
      <c r="S650" t="s">
        <v>44</v>
      </c>
      <c r="T650" t="s">
        <v>44</v>
      </c>
      <c r="U650" t="s">
        <v>44</v>
      </c>
      <c r="V650">
        <v>275</v>
      </c>
      <c r="W650" t="s">
        <v>44</v>
      </c>
      <c r="X650" t="s">
        <v>44</v>
      </c>
      <c r="Y650">
        <v>275</v>
      </c>
      <c r="Z650" t="s">
        <v>44</v>
      </c>
      <c r="AA650">
        <v>5</v>
      </c>
      <c r="AB650">
        <v>0</v>
      </c>
      <c r="AC650">
        <v>0</v>
      </c>
      <c r="AD650">
        <v>0</v>
      </c>
      <c r="AE650">
        <v>32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288</v>
      </c>
      <c r="AQ650">
        <f t="shared" si="22"/>
        <v>288</v>
      </c>
      <c r="AR650" s="5">
        <f>VLOOKUP(F650,'[2]SCP_24-25'!$A:$D,4,0)</f>
        <v>100.13</v>
      </c>
      <c r="AS650" s="5">
        <f t="shared" si="23"/>
        <v>28837.439999999999</v>
      </c>
    </row>
    <row r="651" spans="1:45" x14ac:dyDescent="0.3">
      <c r="A651" s="1">
        <v>45900.962500000001</v>
      </c>
      <c r="B651" t="s">
        <v>1363</v>
      </c>
      <c r="C651" t="s">
        <v>1364</v>
      </c>
      <c r="D651" t="s">
        <v>97</v>
      </c>
      <c r="E651" t="s">
        <v>98</v>
      </c>
      <c r="F651" t="s">
        <v>1531</v>
      </c>
      <c r="G651" t="s">
        <v>99</v>
      </c>
      <c r="H651" t="s">
        <v>66</v>
      </c>
      <c r="I651" t="s">
        <v>43</v>
      </c>
      <c r="J651">
        <v>100</v>
      </c>
      <c r="K651">
        <v>19</v>
      </c>
      <c r="L651">
        <v>9.5</v>
      </c>
      <c r="M651">
        <v>11</v>
      </c>
      <c r="N651">
        <v>25686</v>
      </c>
      <c r="O651">
        <v>16</v>
      </c>
      <c r="P651">
        <v>0</v>
      </c>
      <c r="Q651">
        <v>11</v>
      </c>
      <c r="R651">
        <v>2865</v>
      </c>
      <c r="S651" t="s">
        <v>44</v>
      </c>
      <c r="T651" t="s">
        <v>44</v>
      </c>
      <c r="U651" t="s">
        <v>44</v>
      </c>
      <c r="V651">
        <v>521</v>
      </c>
      <c r="W651" t="s">
        <v>44</v>
      </c>
      <c r="X651" t="s">
        <v>44</v>
      </c>
      <c r="Y651">
        <v>521</v>
      </c>
      <c r="Z651" t="s">
        <v>44</v>
      </c>
      <c r="AA651">
        <v>19</v>
      </c>
      <c r="AB651">
        <v>0</v>
      </c>
      <c r="AC651">
        <v>0</v>
      </c>
      <c r="AD651">
        <v>0</v>
      </c>
      <c r="AE651">
        <v>2</v>
      </c>
      <c r="AF651">
        <v>8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556</v>
      </c>
      <c r="AQ651">
        <f t="shared" si="22"/>
        <v>556</v>
      </c>
      <c r="AR651" s="5">
        <f>VLOOKUP(F651,'[2]SCP_24-25'!$A:$D,4,0)</f>
        <v>132.01</v>
      </c>
      <c r="AS651" s="5">
        <f t="shared" si="23"/>
        <v>73397.56</v>
      </c>
    </row>
    <row r="652" spans="1:45" x14ac:dyDescent="0.3">
      <c r="A652" s="1">
        <v>45900.962500000001</v>
      </c>
      <c r="B652" t="s">
        <v>1363</v>
      </c>
      <c r="C652" t="s">
        <v>1364</v>
      </c>
      <c r="D652" t="s">
        <v>331</v>
      </c>
      <c r="E652" t="s">
        <v>332</v>
      </c>
      <c r="F652" t="s">
        <v>1627</v>
      </c>
      <c r="G652" t="s">
        <v>333</v>
      </c>
      <c r="H652" t="s">
        <v>130</v>
      </c>
      <c r="I652" t="s">
        <v>43</v>
      </c>
      <c r="J652">
        <v>12</v>
      </c>
      <c r="K652">
        <v>19</v>
      </c>
      <c r="L652">
        <v>10</v>
      </c>
      <c r="M652">
        <v>11</v>
      </c>
      <c r="N652">
        <v>9571</v>
      </c>
      <c r="O652">
        <v>2</v>
      </c>
      <c r="P652">
        <v>0</v>
      </c>
      <c r="Q652">
        <v>3</v>
      </c>
      <c r="R652">
        <v>2081</v>
      </c>
      <c r="S652" t="s">
        <v>44</v>
      </c>
      <c r="T652" t="s">
        <v>44</v>
      </c>
      <c r="U652" t="s">
        <v>44</v>
      </c>
      <c r="V652">
        <v>1051</v>
      </c>
      <c r="W652">
        <v>37</v>
      </c>
      <c r="X652" t="s">
        <v>44</v>
      </c>
      <c r="Y652">
        <v>832</v>
      </c>
      <c r="Z652" t="s">
        <v>44</v>
      </c>
      <c r="AA652">
        <v>0</v>
      </c>
      <c r="AB652">
        <v>0</v>
      </c>
      <c r="AC652">
        <v>0</v>
      </c>
      <c r="AD652">
        <v>0</v>
      </c>
      <c r="AE652">
        <v>15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 s="2">
        <v>1053</v>
      </c>
      <c r="AQ652">
        <f t="shared" si="22"/>
        <v>1053</v>
      </c>
      <c r="AR652" s="5">
        <f>VLOOKUP(F652,'[2]SCP_24-25'!$A:$D,4,0)</f>
        <v>63.22</v>
      </c>
      <c r="AS652" s="5">
        <f t="shared" si="23"/>
        <v>66570.66</v>
      </c>
    </row>
    <row r="653" spans="1:45" x14ac:dyDescent="0.3">
      <c r="A653" s="1">
        <v>45900.962500000001</v>
      </c>
      <c r="B653" t="s">
        <v>1363</v>
      </c>
      <c r="C653" t="s">
        <v>1364</v>
      </c>
      <c r="D653" t="s">
        <v>516</v>
      </c>
      <c r="E653" t="s">
        <v>332</v>
      </c>
      <c r="F653" t="s">
        <v>1712</v>
      </c>
      <c r="G653" t="s">
        <v>517</v>
      </c>
      <c r="H653" t="s">
        <v>130</v>
      </c>
      <c r="I653" t="s">
        <v>43</v>
      </c>
      <c r="J653">
        <v>12.92</v>
      </c>
      <c r="K653">
        <v>19</v>
      </c>
      <c r="L653">
        <v>10</v>
      </c>
      <c r="M653">
        <v>11</v>
      </c>
      <c r="N653">
        <v>8007</v>
      </c>
      <c r="O653">
        <v>3</v>
      </c>
      <c r="P653">
        <v>0</v>
      </c>
      <c r="Q653">
        <v>6</v>
      </c>
      <c r="R653">
        <v>1070</v>
      </c>
      <c r="S653" t="s">
        <v>44</v>
      </c>
      <c r="T653" t="s">
        <v>44</v>
      </c>
      <c r="U653" t="s">
        <v>44</v>
      </c>
      <c r="V653">
        <v>818</v>
      </c>
      <c r="W653" t="s">
        <v>44</v>
      </c>
      <c r="X653" t="s">
        <v>44</v>
      </c>
      <c r="Y653">
        <v>663</v>
      </c>
      <c r="Z653" t="s">
        <v>44</v>
      </c>
      <c r="AA653">
        <v>0</v>
      </c>
      <c r="AB653">
        <v>0</v>
      </c>
      <c r="AC653">
        <v>0</v>
      </c>
      <c r="AD653">
        <v>0</v>
      </c>
      <c r="AE653">
        <v>35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821</v>
      </c>
      <c r="AQ653">
        <f t="shared" si="22"/>
        <v>821</v>
      </c>
      <c r="AR653" s="5">
        <f>VLOOKUP(F653,'[2]SCP_24-25'!$A:$D,4,0)</f>
        <v>53.64</v>
      </c>
      <c r="AS653" s="5">
        <f t="shared" si="23"/>
        <v>44038.44</v>
      </c>
    </row>
    <row r="654" spans="1:45" x14ac:dyDescent="0.3">
      <c r="A654" s="1">
        <v>45900.962500000001</v>
      </c>
      <c r="B654" t="s">
        <v>1363</v>
      </c>
      <c r="C654" t="s">
        <v>1364</v>
      </c>
      <c r="D654" t="s">
        <v>337</v>
      </c>
      <c r="E654" t="s">
        <v>338</v>
      </c>
      <c r="F654" t="s">
        <v>1629</v>
      </c>
      <c r="G654" t="s">
        <v>339</v>
      </c>
      <c r="H654" t="s">
        <v>130</v>
      </c>
      <c r="I654" t="s">
        <v>43</v>
      </c>
      <c r="J654">
        <v>48.99</v>
      </c>
      <c r="K654">
        <v>19</v>
      </c>
      <c r="L654">
        <v>10</v>
      </c>
      <c r="M654">
        <v>11</v>
      </c>
      <c r="N654">
        <v>46358</v>
      </c>
      <c r="O654">
        <v>95</v>
      </c>
      <c r="P654">
        <v>0</v>
      </c>
      <c r="Q654">
        <v>3</v>
      </c>
      <c r="R654">
        <v>4186</v>
      </c>
      <c r="S654" t="s">
        <v>44</v>
      </c>
      <c r="T654">
        <v>8</v>
      </c>
      <c r="U654" t="s">
        <v>44</v>
      </c>
      <c r="V654">
        <v>722</v>
      </c>
      <c r="W654" t="s">
        <v>44</v>
      </c>
      <c r="X654" t="s">
        <v>44</v>
      </c>
      <c r="Y654">
        <v>722</v>
      </c>
      <c r="Z654" t="s">
        <v>44</v>
      </c>
      <c r="AA654">
        <v>133</v>
      </c>
      <c r="AB654">
        <v>0</v>
      </c>
      <c r="AC654">
        <v>0</v>
      </c>
      <c r="AD654">
        <v>0</v>
      </c>
      <c r="AE654">
        <v>27</v>
      </c>
      <c r="AF654">
        <v>5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950</v>
      </c>
      <c r="AQ654">
        <f t="shared" si="22"/>
        <v>950</v>
      </c>
      <c r="AR654" s="5">
        <f>VLOOKUP(F654,'[2]SCP_24-25'!$A:$D,4,0)</f>
        <v>64.540000000000006</v>
      </c>
      <c r="AS654" s="5">
        <f t="shared" si="23"/>
        <v>61313.000000000007</v>
      </c>
    </row>
    <row r="655" spans="1:45" x14ac:dyDescent="0.3">
      <c r="A655" s="1">
        <v>45900.962500000001</v>
      </c>
      <c r="B655" t="s">
        <v>1363</v>
      </c>
      <c r="C655" t="s">
        <v>1364</v>
      </c>
      <c r="D655" t="s">
        <v>342</v>
      </c>
      <c r="E655" t="s">
        <v>338</v>
      </c>
      <c r="F655" t="s">
        <v>1631</v>
      </c>
      <c r="G655" t="s">
        <v>343</v>
      </c>
      <c r="H655" t="s">
        <v>130</v>
      </c>
      <c r="I655" t="s">
        <v>43</v>
      </c>
      <c r="J655">
        <v>48</v>
      </c>
      <c r="K655">
        <v>19</v>
      </c>
      <c r="L655">
        <v>10</v>
      </c>
      <c r="M655">
        <v>11</v>
      </c>
      <c r="N655">
        <v>21027</v>
      </c>
      <c r="O655">
        <v>7</v>
      </c>
      <c r="P655">
        <v>0</v>
      </c>
      <c r="Q655">
        <v>5</v>
      </c>
      <c r="R655">
        <v>2647</v>
      </c>
      <c r="S655" t="s">
        <v>44</v>
      </c>
      <c r="T655" t="s">
        <v>44</v>
      </c>
      <c r="U655" t="s">
        <v>44</v>
      </c>
      <c r="V655">
        <v>751</v>
      </c>
      <c r="W655" t="s">
        <v>44</v>
      </c>
      <c r="X655" t="s">
        <v>44</v>
      </c>
      <c r="Y655">
        <v>750</v>
      </c>
      <c r="Z655" t="s">
        <v>44</v>
      </c>
      <c r="AA655">
        <v>11</v>
      </c>
      <c r="AB655">
        <v>0</v>
      </c>
      <c r="AC655">
        <v>0</v>
      </c>
      <c r="AD655">
        <v>0</v>
      </c>
      <c r="AE655">
        <v>122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769</v>
      </c>
      <c r="AQ655">
        <f t="shared" si="22"/>
        <v>769</v>
      </c>
      <c r="AR655" s="5">
        <f>VLOOKUP(F655,'[2]SCP_24-25'!$A:$D,4,0)</f>
        <v>64.540000000000006</v>
      </c>
      <c r="AS655" s="5">
        <f t="shared" si="23"/>
        <v>49631.26</v>
      </c>
    </row>
    <row r="656" spans="1:45" x14ac:dyDescent="0.3">
      <c r="A656" s="1">
        <v>45900.962500000001</v>
      </c>
      <c r="B656" t="s">
        <v>1363</v>
      </c>
      <c r="C656" t="s">
        <v>1364</v>
      </c>
      <c r="D656" t="s">
        <v>351</v>
      </c>
      <c r="E656" t="s">
        <v>345</v>
      </c>
      <c r="F656" t="s">
        <v>1635</v>
      </c>
      <c r="G656" t="s">
        <v>352</v>
      </c>
      <c r="H656" t="s">
        <v>130</v>
      </c>
      <c r="I656" t="s">
        <v>43</v>
      </c>
      <c r="J656">
        <v>112.62</v>
      </c>
      <c r="K656">
        <v>19</v>
      </c>
      <c r="L656">
        <v>10</v>
      </c>
      <c r="M656">
        <v>11</v>
      </c>
      <c r="N656">
        <v>14652</v>
      </c>
      <c r="O656">
        <v>34</v>
      </c>
      <c r="P656">
        <v>0</v>
      </c>
      <c r="Q656">
        <v>2</v>
      </c>
      <c r="R656">
        <v>2576</v>
      </c>
      <c r="S656" t="s">
        <v>44</v>
      </c>
      <c r="T656" t="s">
        <v>44</v>
      </c>
      <c r="U656" t="s">
        <v>44</v>
      </c>
      <c r="V656">
        <v>494</v>
      </c>
      <c r="W656" t="s">
        <v>44</v>
      </c>
      <c r="X656" t="s">
        <v>44</v>
      </c>
      <c r="Y656">
        <v>493</v>
      </c>
      <c r="Z656" t="s">
        <v>44</v>
      </c>
      <c r="AA656">
        <v>28</v>
      </c>
      <c r="AB656">
        <v>0</v>
      </c>
      <c r="AC656">
        <v>0</v>
      </c>
      <c r="AD656">
        <v>0</v>
      </c>
      <c r="AE656">
        <v>57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556</v>
      </c>
      <c r="AQ656">
        <f t="shared" si="22"/>
        <v>556</v>
      </c>
      <c r="AR656" s="5">
        <f>VLOOKUP(F656,'[2]SCP_24-25'!$A:$D,4,0)</f>
        <v>114.81</v>
      </c>
      <c r="AS656" s="5">
        <f t="shared" si="23"/>
        <v>63834.36</v>
      </c>
    </row>
    <row r="657" spans="1:45" x14ac:dyDescent="0.3">
      <c r="A657" s="1">
        <v>45900.962500000001</v>
      </c>
      <c r="B657" t="s">
        <v>1363</v>
      </c>
      <c r="C657" t="s">
        <v>1364</v>
      </c>
      <c r="D657" t="s">
        <v>560</v>
      </c>
      <c r="E657" t="s">
        <v>345</v>
      </c>
      <c r="F657" t="s">
        <v>1734</v>
      </c>
      <c r="G657" t="s">
        <v>561</v>
      </c>
      <c r="H657" t="s">
        <v>130</v>
      </c>
      <c r="I657" t="s">
        <v>43</v>
      </c>
      <c r="J657">
        <v>112.62</v>
      </c>
      <c r="K657">
        <v>19</v>
      </c>
      <c r="L657">
        <v>10</v>
      </c>
      <c r="M657">
        <v>11</v>
      </c>
      <c r="N657">
        <v>10262</v>
      </c>
      <c r="O657">
        <v>12</v>
      </c>
      <c r="P657">
        <v>0</v>
      </c>
      <c r="Q657">
        <v>1</v>
      </c>
      <c r="R657">
        <v>1848</v>
      </c>
      <c r="S657" t="s">
        <v>44</v>
      </c>
      <c r="T657" t="s">
        <v>44</v>
      </c>
      <c r="U657" t="s">
        <v>44</v>
      </c>
      <c r="V657">
        <v>590</v>
      </c>
      <c r="W657">
        <v>2</v>
      </c>
      <c r="X657" t="s">
        <v>44</v>
      </c>
      <c r="Y657">
        <v>584</v>
      </c>
      <c r="Z657" t="s">
        <v>44</v>
      </c>
      <c r="AA657">
        <v>15</v>
      </c>
      <c r="AB657">
        <v>0</v>
      </c>
      <c r="AC657">
        <v>0</v>
      </c>
      <c r="AD657">
        <v>0</v>
      </c>
      <c r="AE657">
        <v>157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617</v>
      </c>
      <c r="AQ657">
        <f t="shared" si="22"/>
        <v>617</v>
      </c>
      <c r="AR657" s="5">
        <f>VLOOKUP(F657,'[2]SCP_24-25'!$A:$D,4,0)</f>
        <v>114.81</v>
      </c>
      <c r="AS657" s="5">
        <f t="shared" si="23"/>
        <v>70837.77</v>
      </c>
    </row>
    <row r="658" spans="1:45" x14ac:dyDescent="0.3">
      <c r="A658" s="1">
        <v>45900.962500000001</v>
      </c>
      <c r="B658" t="s">
        <v>1363</v>
      </c>
      <c r="C658" t="s">
        <v>1364</v>
      </c>
      <c r="D658" t="s">
        <v>355</v>
      </c>
      <c r="E658" t="s">
        <v>356</v>
      </c>
      <c r="F658" t="s">
        <v>1637</v>
      </c>
      <c r="G658" t="s">
        <v>357</v>
      </c>
      <c r="H658" t="s">
        <v>130</v>
      </c>
      <c r="I658" t="s">
        <v>43</v>
      </c>
      <c r="J658">
        <v>81.42</v>
      </c>
      <c r="K658">
        <v>19</v>
      </c>
      <c r="L658">
        <v>10</v>
      </c>
      <c r="M658">
        <v>11</v>
      </c>
      <c r="N658">
        <v>12831</v>
      </c>
      <c r="O658">
        <v>24</v>
      </c>
      <c r="P658">
        <v>0</v>
      </c>
      <c r="Q658">
        <v>16</v>
      </c>
      <c r="R658">
        <v>1655</v>
      </c>
      <c r="S658" t="s">
        <v>44</v>
      </c>
      <c r="T658" t="s">
        <v>44</v>
      </c>
      <c r="U658" t="s">
        <v>44</v>
      </c>
      <c r="V658">
        <v>178</v>
      </c>
      <c r="W658">
        <v>119</v>
      </c>
      <c r="X658" t="s">
        <v>44</v>
      </c>
      <c r="Y658">
        <v>178</v>
      </c>
      <c r="Z658" t="s">
        <v>44</v>
      </c>
      <c r="AA658">
        <v>15</v>
      </c>
      <c r="AB658">
        <v>0</v>
      </c>
      <c r="AC658">
        <v>0</v>
      </c>
      <c r="AD658">
        <v>0</v>
      </c>
      <c r="AE658">
        <v>78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217</v>
      </c>
      <c r="AQ658">
        <f t="shared" si="22"/>
        <v>217</v>
      </c>
      <c r="AR658" s="5">
        <f>VLOOKUP(F658,'[2]SCP_24-25'!$A:$D,4,0)</f>
        <v>83.14</v>
      </c>
      <c r="AS658" s="5">
        <f t="shared" si="23"/>
        <v>18041.38</v>
      </c>
    </row>
    <row r="659" spans="1:45" x14ac:dyDescent="0.3">
      <c r="A659" s="1">
        <v>45900.962500000001</v>
      </c>
      <c r="B659" t="s">
        <v>1363</v>
      </c>
      <c r="C659" t="s">
        <v>1364</v>
      </c>
      <c r="D659" t="s">
        <v>362</v>
      </c>
      <c r="E659" t="s">
        <v>356</v>
      </c>
      <c r="F659" t="s">
        <v>1640</v>
      </c>
      <c r="G659" t="s">
        <v>363</v>
      </c>
      <c r="H659" t="s">
        <v>130</v>
      </c>
      <c r="I659" t="s">
        <v>43</v>
      </c>
      <c r="J659">
        <v>81.42</v>
      </c>
      <c r="K659">
        <v>19</v>
      </c>
      <c r="L659">
        <v>10</v>
      </c>
      <c r="M659">
        <v>11</v>
      </c>
      <c r="N659">
        <v>14813</v>
      </c>
      <c r="O659">
        <v>23</v>
      </c>
      <c r="P659">
        <v>0</v>
      </c>
      <c r="Q659">
        <v>6</v>
      </c>
      <c r="R659">
        <v>1443</v>
      </c>
      <c r="S659" t="s">
        <v>44</v>
      </c>
      <c r="T659" t="s">
        <v>44</v>
      </c>
      <c r="U659" t="s">
        <v>44</v>
      </c>
      <c r="V659">
        <v>112</v>
      </c>
      <c r="W659" t="s">
        <v>44</v>
      </c>
      <c r="X659" t="s">
        <v>44</v>
      </c>
      <c r="Y659">
        <v>112</v>
      </c>
      <c r="Z659" t="s">
        <v>44</v>
      </c>
      <c r="AA659">
        <v>6</v>
      </c>
      <c r="AB659">
        <v>0</v>
      </c>
      <c r="AC659">
        <v>0</v>
      </c>
      <c r="AD659">
        <v>0</v>
      </c>
      <c r="AE659">
        <v>16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141</v>
      </c>
      <c r="AQ659">
        <f t="shared" si="22"/>
        <v>141</v>
      </c>
      <c r="AR659" s="5">
        <f>VLOOKUP(F659,'[2]SCP_24-25'!$A:$D,4,0)</f>
        <v>83.14</v>
      </c>
      <c r="AS659" s="5">
        <f t="shared" si="23"/>
        <v>11722.74</v>
      </c>
    </row>
    <row r="660" spans="1:45" x14ac:dyDescent="0.3">
      <c r="A660" s="1">
        <v>45900.962500000001</v>
      </c>
      <c r="B660" t="s">
        <v>1363</v>
      </c>
      <c r="C660" t="s">
        <v>1364</v>
      </c>
      <c r="D660" t="s">
        <v>518</v>
      </c>
      <c r="E660" t="s">
        <v>356</v>
      </c>
      <c r="F660" t="s">
        <v>1713</v>
      </c>
      <c r="G660" t="s">
        <v>519</v>
      </c>
      <c r="H660" t="s">
        <v>130</v>
      </c>
      <c r="I660" t="s">
        <v>43</v>
      </c>
      <c r="J660">
        <v>81.42</v>
      </c>
      <c r="K660">
        <v>19</v>
      </c>
      <c r="L660">
        <v>10</v>
      </c>
      <c r="M660">
        <v>11</v>
      </c>
      <c r="N660">
        <v>12405</v>
      </c>
      <c r="O660">
        <v>3</v>
      </c>
      <c r="P660">
        <v>0</v>
      </c>
      <c r="Q660">
        <v>10</v>
      </c>
      <c r="R660">
        <v>274</v>
      </c>
      <c r="S660" t="s">
        <v>44</v>
      </c>
      <c r="T660" t="s">
        <v>44</v>
      </c>
      <c r="U660" t="s">
        <v>44</v>
      </c>
      <c r="V660">
        <v>900</v>
      </c>
      <c r="W660" t="s">
        <v>44</v>
      </c>
      <c r="X660" t="s">
        <v>44</v>
      </c>
      <c r="Y660">
        <v>900</v>
      </c>
      <c r="Z660" t="s">
        <v>44</v>
      </c>
      <c r="AA660">
        <v>5</v>
      </c>
      <c r="AB660">
        <v>0</v>
      </c>
      <c r="AC660">
        <v>0</v>
      </c>
      <c r="AD660">
        <v>0</v>
      </c>
      <c r="AE660">
        <v>115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908</v>
      </c>
      <c r="AQ660">
        <f t="shared" si="22"/>
        <v>908</v>
      </c>
      <c r="AR660" s="5">
        <f>VLOOKUP(F660,'[2]SCP_24-25'!$A:$D,4,0)</f>
        <v>83.14</v>
      </c>
      <c r="AS660" s="5">
        <f t="shared" si="23"/>
        <v>75491.12</v>
      </c>
    </row>
    <row r="661" spans="1:45" x14ac:dyDescent="0.3">
      <c r="A661" s="1">
        <v>45900.962500000001</v>
      </c>
      <c r="B661" t="s">
        <v>1363</v>
      </c>
      <c r="C661" t="s">
        <v>1364</v>
      </c>
      <c r="D661" t="s">
        <v>367</v>
      </c>
      <c r="E661" t="s">
        <v>368</v>
      </c>
      <c r="F661" t="s">
        <v>1642</v>
      </c>
      <c r="G661" t="s">
        <v>369</v>
      </c>
      <c r="H661" t="s">
        <v>130</v>
      </c>
      <c r="I661" t="s">
        <v>43</v>
      </c>
      <c r="J661">
        <v>24.02</v>
      </c>
      <c r="K661">
        <v>19</v>
      </c>
      <c r="L661">
        <v>10</v>
      </c>
      <c r="M661">
        <v>11</v>
      </c>
      <c r="N661">
        <v>15965</v>
      </c>
      <c r="O661">
        <v>15</v>
      </c>
      <c r="P661">
        <v>0</v>
      </c>
      <c r="Q661">
        <v>3</v>
      </c>
      <c r="R661">
        <v>3467</v>
      </c>
      <c r="S661" t="s">
        <v>44</v>
      </c>
      <c r="T661" t="s">
        <v>44</v>
      </c>
      <c r="U661" t="s">
        <v>44</v>
      </c>
      <c r="V661">
        <v>585</v>
      </c>
      <c r="W661" t="s">
        <v>44</v>
      </c>
      <c r="X661" t="s">
        <v>44</v>
      </c>
      <c r="Y661">
        <v>585</v>
      </c>
      <c r="Z661" t="s">
        <v>44</v>
      </c>
      <c r="AA661">
        <v>22</v>
      </c>
      <c r="AB661">
        <v>0</v>
      </c>
      <c r="AC661">
        <v>0</v>
      </c>
      <c r="AD661">
        <v>0</v>
      </c>
      <c r="AE661">
        <v>7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622</v>
      </c>
      <c r="AQ661">
        <f t="shared" si="22"/>
        <v>622</v>
      </c>
      <c r="AR661" s="5">
        <f>VLOOKUP(F661,'[2]SCP_24-25'!$A:$D,4,0)</f>
        <v>77.84</v>
      </c>
      <c r="AS661" s="5">
        <f t="shared" si="23"/>
        <v>48416.480000000003</v>
      </c>
    </row>
    <row r="662" spans="1:45" x14ac:dyDescent="0.3">
      <c r="A662" s="1">
        <v>45900.962500000001</v>
      </c>
      <c r="B662" t="s">
        <v>1363</v>
      </c>
      <c r="C662" t="s">
        <v>1364</v>
      </c>
      <c r="D662" t="s">
        <v>378</v>
      </c>
      <c r="E662" t="s">
        <v>368</v>
      </c>
      <c r="F662" t="s">
        <v>1647</v>
      </c>
      <c r="G662" t="s">
        <v>379</v>
      </c>
      <c r="H662" t="s">
        <v>130</v>
      </c>
      <c r="I662" t="s">
        <v>43</v>
      </c>
      <c r="J662">
        <v>24</v>
      </c>
      <c r="K662">
        <v>19</v>
      </c>
      <c r="L662">
        <v>10</v>
      </c>
      <c r="M662">
        <v>11</v>
      </c>
      <c r="N662">
        <v>11309</v>
      </c>
      <c r="O662">
        <v>5</v>
      </c>
      <c r="P662">
        <v>0</v>
      </c>
      <c r="Q662">
        <v>3</v>
      </c>
      <c r="R662">
        <v>2245</v>
      </c>
      <c r="S662" t="s">
        <v>44</v>
      </c>
      <c r="T662" t="s">
        <v>44</v>
      </c>
      <c r="U662" t="s">
        <v>44</v>
      </c>
      <c r="V662">
        <v>394</v>
      </c>
      <c r="W662" t="s">
        <v>44</v>
      </c>
      <c r="X662" t="s">
        <v>44</v>
      </c>
      <c r="Y662">
        <v>388</v>
      </c>
      <c r="Z662" t="s">
        <v>44</v>
      </c>
      <c r="AA662">
        <v>9</v>
      </c>
      <c r="AB662">
        <v>0</v>
      </c>
      <c r="AC662">
        <v>0</v>
      </c>
      <c r="AD662">
        <v>0</v>
      </c>
      <c r="AE662">
        <v>31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408</v>
      </c>
      <c r="AQ662">
        <f t="shared" si="22"/>
        <v>408</v>
      </c>
      <c r="AR662" s="5">
        <f>VLOOKUP(F662,'[2]SCP_24-25'!$A:$D,4,0)</f>
        <v>79.066666666666677</v>
      </c>
      <c r="AS662" s="5">
        <f t="shared" si="23"/>
        <v>32259.200000000004</v>
      </c>
    </row>
    <row r="663" spans="1:45" x14ac:dyDescent="0.3">
      <c r="A663" s="1">
        <v>45900.962500000001</v>
      </c>
      <c r="B663" t="s">
        <v>1363</v>
      </c>
      <c r="C663" t="s">
        <v>1364</v>
      </c>
      <c r="D663" t="s">
        <v>380</v>
      </c>
      <c r="E663" t="s">
        <v>368</v>
      </c>
      <c r="F663" t="s">
        <v>1648</v>
      </c>
      <c r="G663" t="s">
        <v>381</v>
      </c>
      <c r="H663" t="s">
        <v>130</v>
      </c>
      <c r="I663" t="s">
        <v>43</v>
      </c>
      <c r="J663">
        <v>24.02</v>
      </c>
      <c r="K663">
        <v>19</v>
      </c>
      <c r="L663">
        <v>10</v>
      </c>
      <c r="M663">
        <v>11</v>
      </c>
      <c r="N663">
        <v>9134</v>
      </c>
      <c r="O663">
        <v>16</v>
      </c>
      <c r="P663">
        <v>0</v>
      </c>
      <c r="Q663" t="s">
        <v>44</v>
      </c>
      <c r="R663">
        <v>1159</v>
      </c>
      <c r="S663" t="s">
        <v>44</v>
      </c>
      <c r="T663" t="s">
        <v>44</v>
      </c>
      <c r="U663" t="s">
        <v>44</v>
      </c>
      <c r="V663">
        <v>139</v>
      </c>
      <c r="W663" t="s">
        <v>44</v>
      </c>
      <c r="X663" t="s">
        <v>44</v>
      </c>
      <c r="Y663">
        <v>136</v>
      </c>
      <c r="Z663" t="s">
        <v>44</v>
      </c>
      <c r="AA663">
        <v>5</v>
      </c>
      <c r="AB663">
        <v>0</v>
      </c>
      <c r="AC663">
        <v>0</v>
      </c>
      <c r="AD663">
        <v>0</v>
      </c>
      <c r="AE663">
        <v>114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160</v>
      </c>
      <c r="AQ663">
        <f t="shared" si="22"/>
        <v>160</v>
      </c>
      <c r="AR663" s="5">
        <f>VLOOKUP(F663,'[2]SCP_24-25'!$A:$D,4,0)</f>
        <v>77.84</v>
      </c>
      <c r="AS663" s="5">
        <f t="shared" si="23"/>
        <v>12454.400000000001</v>
      </c>
    </row>
    <row r="664" spans="1:45" x14ac:dyDescent="0.3">
      <c r="A664" s="1">
        <v>45900.962500000001</v>
      </c>
      <c r="B664" t="s">
        <v>1363</v>
      </c>
      <c r="C664" t="s">
        <v>1364</v>
      </c>
      <c r="D664" t="s">
        <v>386</v>
      </c>
      <c r="E664" t="s">
        <v>368</v>
      </c>
      <c r="F664" t="s">
        <v>1651</v>
      </c>
      <c r="G664" t="s">
        <v>387</v>
      </c>
      <c r="H664" t="s">
        <v>130</v>
      </c>
      <c r="I664" t="s">
        <v>43</v>
      </c>
      <c r="J664">
        <v>24.02</v>
      </c>
      <c r="K664">
        <v>19</v>
      </c>
      <c r="L664">
        <v>10</v>
      </c>
      <c r="M664">
        <v>11</v>
      </c>
      <c r="N664">
        <v>9614</v>
      </c>
      <c r="O664">
        <v>9</v>
      </c>
      <c r="P664">
        <v>0</v>
      </c>
      <c r="Q664">
        <v>1</v>
      </c>
      <c r="R664">
        <v>1904</v>
      </c>
      <c r="S664" t="s">
        <v>44</v>
      </c>
      <c r="T664" t="s">
        <v>44</v>
      </c>
      <c r="U664" t="s">
        <v>44</v>
      </c>
      <c r="V664">
        <v>197</v>
      </c>
      <c r="W664" t="s">
        <v>44</v>
      </c>
      <c r="X664" t="s">
        <v>44</v>
      </c>
      <c r="Y664">
        <v>197</v>
      </c>
      <c r="Z664" t="s">
        <v>44</v>
      </c>
      <c r="AA664">
        <v>7</v>
      </c>
      <c r="AB664">
        <v>0</v>
      </c>
      <c r="AC664">
        <v>0</v>
      </c>
      <c r="AD664">
        <v>0</v>
      </c>
      <c r="AE664">
        <v>148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213</v>
      </c>
      <c r="AQ664">
        <f t="shared" si="22"/>
        <v>213</v>
      </c>
      <c r="AR664" s="5">
        <f>VLOOKUP(F664,'[2]SCP_24-25'!$A:$D,4,0)</f>
        <v>77.84</v>
      </c>
      <c r="AS664" s="5">
        <f t="shared" si="23"/>
        <v>16579.920000000002</v>
      </c>
    </row>
    <row r="665" spans="1:45" x14ac:dyDescent="0.3">
      <c r="A665" s="1">
        <v>45900.962500000001</v>
      </c>
      <c r="B665" t="s">
        <v>1363</v>
      </c>
      <c r="C665" t="s">
        <v>1364</v>
      </c>
      <c r="D665" t="s">
        <v>388</v>
      </c>
      <c r="E665" t="s">
        <v>368</v>
      </c>
      <c r="F665" t="s">
        <v>1652</v>
      </c>
      <c r="G665" t="s">
        <v>389</v>
      </c>
      <c r="H665" t="s">
        <v>130</v>
      </c>
      <c r="I665" t="s">
        <v>43</v>
      </c>
      <c r="J665">
        <v>24</v>
      </c>
      <c r="K665">
        <v>19</v>
      </c>
      <c r="L665">
        <v>10</v>
      </c>
      <c r="M665">
        <v>11</v>
      </c>
      <c r="N665">
        <v>10270</v>
      </c>
      <c r="O665">
        <v>3</v>
      </c>
      <c r="P665">
        <v>0</v>
      </c>
      <c r="Q665">
        <v>5</v>
      </c>
      <c r="R665">
        <v>3502</v>
      </c>
      <c r="S665" t="s">
        <v>44</v>
      </c>
      <c r="T665" t="s">
        <v>44</v>
      </c>
      <c r="U665" t="s">
        <v>44</v>
      </c>
      <c r="V665">
        <v>346</v>
      </c>
      <c r="W665" t="s">
        <v>44</v>
      </c>
      <c r="X665" t="s">
        <v>44</v>
      </c>
      <c r="Y665">
        <v>268</v>
      </c>
      <c r="Z665" t="s">
        <v>44</v>
      </c>
      <c r="AA665">
        <v>7</v>
      </c>
      <c r="AB665">
        <v>0</v>
      </c>
      <c r="AC665">
        <v>0</v>
      </c>
      <c r="AD665">
        <v>0</v>
      </c>
      <c r="AE665">
        <v>62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356</v>
      </c>
      <c r="AQ665">
        <f t="shared" si="22"/>
        <v>356</v>
      </c>
      <c r="AR665" s="5">
        <f>VLOOKUP(F665,'[2]SCP_24-25'!$A:$D,4,0)</f>
        <v>78.760000000000005</v>
      </c>
      <c r="AS665" s="5">
        <f t="shared" si="23"/>
        <v>28038.560000000001</v>
      </c>
    </row>
    <row r="666" spans="1:45" x14ac:dyDescent="0.3">
      <c r="A666" s="1">
        <v>45900.962500000001</v>
      </c>
      <c r="B666" t="s">
        <v>1363</v>
      </c>
      <c r="C666" t="s">
        <v>1364</v>
      </c>
      <c r="D666" t="s">
        <v>390</v>
      </c>
      <c r="E666" t="s">
        <v>368</v>
      </c>
      <c r="F666" t="s">
        <v>1653</v>
      </c>
      <c r="G666" t="s">
        <v>391</v>
      </c>
      <c r="H666" t="s">
        <v>130</v>
      </c>
      <c r="I666" t="s">
        <v>43</v>
      </c>
      <c r="J666">
        <v>24.02</v>
      </c>
      <c r="K666">
        <v>19</v>
      </c>
      <c r="L666">
        <v>10</v>
      </c>
      <c r="M666">
        <v>11</v>
      </c>
      <c r="N666">
        <v>11791</v>
      </c>
      <c r="O666">
        <v>3</v>
      </c>
      <c r="P666">
        <v>0</v>
      </c>
      <c r="Q666">
        <v>2</v>
      </c>
      <c r="R666">
        <v>2872</v>
      </c>
      <c r="S666" t="s">
        <v>44</v>
      </c>
      <c r="T666" t="s">
        <v>44</v>
      </c>
      <c r="U666" t="s">
        <v>44</v>
      </c>
      <c r="V666">
        <v>828</v>
      </c>
      <c r="W666">
        <v>32</v>
      </c>
      <c r="X666" t="s">
        <v>44</v>
      </c>
      <c r="Y666">
        <v>828</v>
      </c>
      <c r="Z666" t="s">
        <v>44</v>
      </c>
      <c r="AA666">
        <v>7</v>
      </c>
      <c r="AB666">
        <v>0</v>
      </c>
      <c r="AC666">
        <v>0</v>
      </c>
      <c r="AD666">
        <v>0</v>
      </c>
      <c r="AE666">
        <v>7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838</v>
      </c>
      <c r="AQ666">
        <f t="shared" si="22"/>
        <v>838</v>
      </c>
      <c r="AR666" s="5">
        <f>VLOOKUP(F666,'[2]SCP_24-25'!$A:$D,4,0)</f>
        <v>77.84</v>
      </c>
      <c r="AS666" s="5">
        <f t="shared" si="23"/>
        <v>65229.920000000006</v>
      </c>
    </row>
    <row r="667" spans="1:45" x14ac:dyDescent="0.3">
      <c r="A667" s="1">
        <v>45900.962500000001</v>
      </c>
      <c r="B667" t="s">
        <v>1363</v>
      </c>
      <c r="C667" t="s">
        <v>1364</v>
      </c>
      <c r="D667" t="s">
        <v>392</v>
      </c>
      <c r="E667" t="s">
        <v>368</v>
      </c>
      <c r="F667" t="s">
        <v>1654</v>
      </c>
      <c r="G667" t="s">
        <v>393</v>
      </c>
      <c r="H667" t="s">
        <v>130</v>
      </c>
      <c r="I667" t="s">
        <v>43</v>
      </c>
      <c r="J667">
        <v>24.02</v>
      </c>
      <c r="K667">
        <v>19</v>
      </c>
      <c r="L667">
        <v>10</v>
      </c>
      <c r="M667">
        <v>11</v>
      </c>
      <c r="N667">
        <v>7925</v>
      </c>
      <c r="O667">
        <v>0</v>
      </c>
      <c r="P667">
        <v>0</v>
      </c>
      <c r="Q667">
        <v>6</v>
      </c>
      <c r="R667">
        <v>2499</v>
      </c>
      <c r="S667" t="s">
        <v>44</v>
      </c>
      <c r="T667" t="s">
        <v>44</v>
      </c>
      <c r="U667" t="s">
        <v>44</v>
      </c>
      <c r="V667">
        <v>1017</v>
      </c>
      <c r="W667">
        <v>107</v>
      </c>
      <c r="X667" t="s">
        <v>44</v>
      </c>
      <c r="Y667">
        <v>489</v>
      </c>
      <c r="Z667" t="s">
        <v>44</v>
      </c>
      <c r="AA667">
        <v>0</v>
      </c>
      <c r="AB667">
        <v>0</v>
      </c>
      <c r="AC667">
        <v>0</v>
      </c>
      <c r="AD667">
        <v>0</v>
      </c>
      <c r="AE667">
        <v>220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s="2">
        <v>1017</v>
      </c>
      <c r="AQ667">
        <f t="shared" si="22"/>
        <v>1017</v>
      </c>
      <c r="AR667" s="5">
        <f>VLOOKUP(F667,'[2]SCP_24-25'!$A:$D,4,0)</f>
        <v>79.679999999999993</v>
      </c>
      <c r="AS667" s="5">
        <f t="shared" si="23"/>
        <v>81034.559999999998</v>
      </c>
    </row>
    <row r="668" spans="1:45" x14ac:dyDescent="0.3">
      <c r="A668" s="1">
        <v>45900.962500000001</v>
      </c>
      <c r="B668" t="s">
        <v>1363</v>
      </c>
      <c r="C668" t="s">
        <v>1364</v>
      </c>
      <c r="D668" t="s">
        <v>394</v>
      </c>
      <c r="E668" t="s">
        <v>395</v>
      </c>
      <c r="F668" t="s">
        <v>1655</v>
      </c>
      <c r="G668" t="s">
        <v>396</v>
      </c>
      <c r="H668" t="s">
        <v>130</v>
      </c>
      <c r="I668" t="s">
        <v>43</v>
      </c>
      <c r="J668">
        <v>24.22</v>
      </c>
      <c r="K668">
        <v>19</v>
      </c>
      <c r="L668">
        <v>10</v>
      </c>
      <c r="M668">
        <v>11</v>
      </c>
      <c r="N668">
        <v>8607</v>
      </c>
      <c r="O668">
        <v>9</v>
      </c>
      <c r="P668">
        <v>0</v>
      </c>
      <c r="Q668">
        <v>4</v>
      </c>
      <c r="R668">
        <v>2443</v>
      </c>
      <c r="S668" t="s">
        <v>44</v>
      </c>
      <c r="T668" t="s">
        <v>44</v>
      </c>
      <c r="U668" t="s">
        <v>44</v>
      </c>
      <c r="V668">
        <v>494</v>
      </c>
      <c r="W668" t="s">
        <v>44</v>
      </c>
      <c r="X668" t="s">
        <v>44</v>
      </c>
      <c r="Y668">
        <v>438</v>
      </c>
      <c r="Z668" t="s">
        <v>44</v>
      </c>
      <c r="AA668">
        <v>8</v>
      </c>
      <c r="AB668">
        <v>0</v>
      </c>
      <c r="AC668">
        <v>0</v>
      </c>
      <c r="AD668">
        <v>0</v>
      </c>
      <c r="AE668">
        <v>37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511</v>
      </c>
      <c r="AQ668">
        <f t="shared" si="22"/>
        <v>511</v>
      </c>
      <c r="AR668" s="5">
        <f>VLOOKUP(F668,'[2]SCP_24-25'!$A:$D,4,0)</f>
        <v>87.9</v>
      </c>
      <c r="AS668" s="5">
        <f t="shared" si="23"/>
        <v>44916.9</v>
      </c>
    </row>
    <row r="669" spans="1:45" x14ac:dyDescent="0.3">
      <c r="A669" s="1">
        <v>45900.962500000001</v>
      </c>
      <c r="B669" t="s">
        <v>1363</v>
      </c>
      <c r="C669" t="s">
        <v>1364</v>
      </c>
      <c r="D669" t="s">
        <v>397</v>
      </c>
      <c r="E669" t="s">
        <v>395</v>
      </c>
      <c r="F669" t="s">
        <v>1656</v>
      </c>
      <c r="G669" t="s">
        <v>398</v>
      </c>
      <c r="H669" t="s">
        <v>130</v>
      </c>
      <c r="I669" t="s">
        <v>43</v>
      </c>
      <c r="J669">
        <v>24.22</v>
      </c>
      <c r="K669">
        <v>19</v>
      </c>
      <c r="L669">
        <v>10</v>
      </c>
      <c r="M669">
        <v>11</v>
      </c>
      <c r="N669">
        <v>7032</v>
      </c>
      <c r="O669">
        <v>2</v>
      </c>
      <c r="P669">
        <v>0</v>
      </c>
      <c r="Q669">
        <v>3</v>
      </c>
      <c r="R669">
        <v>1391</v>
      </c>
      <c r="S669" t="s">
        <v>44</v>
      </c>
      <c r="T669" t="s">
        <v>44</v>
      </c>
      <c r="U669" t="s">
        <v>44</v>
      </c>
      <c r="V669">
        <v>215</v>
      </c>
      <c r="W669" t="s">
        <v>44</v>
      </c>
      <c r="X669" t="s">
        <v>44</v>
      </c>
      <c r="Y669">
        <v>187</v>
      </c>
      <c r="Z669" t="s">
        <v>44</v>
      </c>
      <c r="AA669">
        <v>6</v>
      </c>
      <c r="AB669">
        <v>0</v>
      </c>
      <c r="AC669">
        <v>0</v>
      </c>
      <c r="AD669">
        <v>0</v>
      </c>
      <c r="AE669">
        <v>11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223</v>
      </c>
      <c r="AQ669">
        <f t="shared" si="22"/>
        <v>223</v>
      </c>
      <c r="AR669" s="5">
        <f>VLOOKUP(F669,'[2]SCP_24-25'!$A:$D,4,0)</f>
        <v>87.9</v>
      </c>
      <c r="AS669" s="5">
        <f t="shared" si="23"/>
        <v>19601.7</v>
      </c>
    </row>
    <row r="670" spans="1:45" x14ac:dyDescent="0.3">
      <c r="A670" s="1">
        <v>45900.962500000001</v>
      </c>
      <c r="B670" t="s">
        <v>1363</v>
      </c>
      <c r="C670" t="s">
        <v>1364</v>
      </c>
      <c r="D670" t="s">
        <v>613</v>
      </c>
      <c r="E670" t="s">
        <v>395</v>
      </c>
      <c r="F670" t="s">
        <v>1760</v>
      </c>
      <c r="G670" t="s">
        <v>614</v>
      </c>
      <c r="H670" t="s">
        <v>130</v>
      </c>
      <c r="I670" t="s">
        <v>43</v>
      </c>
      <c r="J670">
        <v>24.22</v>
      </c>
      <c r="K670">
        <v>19</v>
      </c>
      <c r="L670">
        <v>10</v>
      </c>
      <c r="M670">
        <v>11</v>
      </c>
      <c r="N670">
        <v>8056</v>
      </c>
      <c r="O670">
        <v>2</v>
      </c>
      <c r="P670">
        <v>0</v>
      </c>
      <c r="Q670" t="s">
        <v>44</v>
      </c>
      <c r="R670">
        <v>2717</v>
      </c>
      <c r="S670" t="s">
        <v>44</v>
      </c>
      <c r="T670" t="s">
        <v>44</v>
      </c>
      <c r="U670" t="s">
        <v>44</v>
      </c>
      <c r="V670">
        <v>327</v>
      </c>
      <c r="W670" t="s">
        <v>44</v>
      </c>
      <c r="X670" t="s">
        <v>44</v>
      </c>
      <c r="Y670">
        <v>237</v>
      </c>
      <c r="Z670" t="s">
        <v>44</v>
      </c>
      <c r="AA670">
        <v>6</v>
      </c>
      <c r="AB670">
        <v>0</v>
      </c>
      <c r="AC670">
        <v>0</v>
      </c>
      <c r="AD670">
        <v>0</v>
      </c>
      <c r="AE670">
        <v>29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335</v>
      </c>
      <c r="AQ670">
        <f t="shared" si="22"/>
        <v>335</v>
      </c>
      <c r="AR670" s="5">
        <f>VLOOKUP(F670,'[2]SCP_24-25'!$A:$D,4,0)</f>
        <v>87.899999999999991</v>
      </c>
      <c r="AS670" s="5">
        <f t="shared" si="23"/>
        <v>29446.499999999996</v>
      </c>
    </row>
    <row r="671" spans="1:45" x14ac:dyDescent="0.3">
      <c r="A671" s="1">
        <v>45900.962500000001</v>
      </c>
      <c r="B671" t="s">
        <v>1363</v>
      </c>
      <c r="C671" t="s">
        <v>1364</v>
      </c>
      <c r="D671" t="s">
        <v>897</v>
      </c>
      <c r="F671" t="s">
        <v>1899</v>
      </c>
      <c r="G671" t="s">
        <v>898</v>
      </c>
      <c r="H671" t="s">
        <v>130</v>
      </c>
      <c r="I671" t="s">
        <v>43</v>
      </c>
      <c r="J671">
        <v>35.020000000000003</v>
      </c>
      <c r="K671">
        <v>19</v>
      </c>
      <c r="L671">
        <v>11</v>
      </c>
      <c r="M671">
        <v>10</v>
      </c>
      <c r="N671">
        <v>14743</v>
      </c>
      <c r="O671">
        <v>0</v>
      </c>
      <c r="P671">
        <v>0</v>
      </c>
      <c r="Q671">
        <v>1</v>
      </c>
      <c r="R671">
        <v>576</v>
      </c>
      <c r="S671" t="s">
        <v>44</v>
      </c>
      <c r="T671" t="s">
        <v>44</v>
      </c>
      <c r="U671" t="s">
        <v>44</v>
      </c>
      <c r="V671">
        <v>396</v>
      </c>
      <c r="W671" t="s">
        <v>44</v>
      </c>
      <c r="X671" t="s">
        <v>44</v>
      </c>
      <c r="Y671">
        <v>396</v>
      </c>
      <c r="Z671" t="s">
        <v>44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396</v>
      </c>
      <c r="AQ671">
        <f t="shared" si="22"/>
        <v>396</v>
      </c>
      <c r="AR671" s="5">
        <f>VLOOKUP(F671,'[2]SCP_24-25'!$A:$D,4,0)</f>
        <v>26</v>
      </c>
      <c r="AS671" s="5">
        <f t="shared" si="23"/>
        <v>10296</v>
      </c>
    </row>
    <row r="672" spans="1:45" x14ac:dyDescent="0.3">
      <c r="A672" s="1">
        <v>45900.962500000001</v>
      </c>
      <c r="B672" t="s">
        <v>1363</v>
      </c>
      <c r="C672" t="s">
        <v>1364</v>
      </c>
      <c r="D672" t="s">
        <v>1367</v>
      </c>
      <c r="F672" t="s">
        <v>2130</v>
      </c>
      <c r="G672" t="s">
        <v>1368</v>
      </c>
      <c r="H672" t="s">
        <v>66</v>
      </c>
      <c r="I672" t="s">
        <v>43</v>
      </c>
      <c r="J672">
        <v>20</v>
      </c>
      <c r="K672">
        <v>19</v>
      </c>
      <c r="L672">
        <v>11</v>
      </c>
      <c r="M672">
        <v>10</v>
      </c>
      <c r="N672">
        <v>1732</v>
      </c>
      <c r="O672">
        <v>0</v>
      </c>
      <c r="P672">
        <v>0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>
        <v>411</v>
      </c>
      <c r="W672" t="s">
        <v>44</v>
      </c>
      <c r="X672" t="s">
        <v>44</v>
      </c>
      <c r="Y672">
        <v>411</v>
      </c>
      <c r="Z672" t="s">
        <v>44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411</v>
      </c>
      <c r="AQ672">
        <f t="shared" si="22"/>
        <v>411</v>
      </c>
      <c r="AR672" s="5">
        <f>VLOOKUP(F672,'[1]Cost Sheet'!$C:$D,2,0)</f>
        <v>65</v>
      </c>
      <c r="AS672" s="5">
        <f t="shared" si="23"/>
        <v>26715</v>
      </c>
    </row>
    <row r="673" spans="1:45" x14ac:dyDescent="0.3">
      <c r="A673" s="1">
        <v>45900.962500000001</v>
      </c>
      <c r="B673" t="s">
        <v>1363</v>
      </c>
      <c r="C673" t="s">
        <v>1364</v>
      </c>
      <c r="D673" t="s">
        <v>785</v>
      </c>
      <c r="F673" t="s">
        <v>1844</v>
      </c>
      <c r="G673" t="s">
        <v>786</v>
      </c>
      <c r="H673" t="s">
        <v>66</v>
      </c>
      <c r="I673" t="s">
        <v>43</v>
      </c>
      <c r="J673">
        <v>61.92</v>
      </c>
      <c r="K673">
        <v>19</v>
      </c>
      <c r="L673">
        <v>10</v>
      </c>
      <c r="M673">
        <v>11</v>
      </c>
      <c r="N673">
        <v>13460</v>
      </c>
      <c r="O673">
        <v>4</v>
      </c>
      <c r="P673">
        <v>0</v>
      </c>
      <c r="Q673">
        <v>1</v>
      </c>
      <c r="R673">
        <v>1192</v>
      </c>
      <c r="S673" t="s">
        <v>44</v>
      </c>
      <c r="T673" t="s">
        <v>44</v>
      </c>
      <c r="U673" t="s">
        <v>44</v>
      </c>
      <c r="V673">
        <v>500</v>
      </c>
      <c r="W673" t="s">
        <v>44</v>
      </c>
      <c r="X673" t="s">
        <v>44</v>
      </c>
      <c r="Y673">
        <v>480</v>
      </c>
      <c r="Z673" t="s">
        <v>44</v>
      </c>
      <c r="AA673">
        <v>4</v>
      </c>
      <c r="AB673">
        <v>0</v>
      </c>
      <c r="AC673">
        <v>0</v>
      </c>
      <c r="AD673">
        <v>0</v>
      </c>
      <c r="AE673">
        <v>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508</v>
      </c>
      <c r="AQ673">
        <f t="shared" si="22"/>
        <v>508</v>
      </c>
      <c r="AR673" s="5">
        <f>VLOOKUP(F673,'[2]SCP_24-25'!$A:$D,4,0)</f>
        <v>23.39</v>
      </c>
      <c r="AS673" s="5">
        <f t="shared" si="23"/>
        <v>11882.12</v>
      </c>
    </row>
    <row r="674" spans="1:45" x14ac:dyDescent="0.3">
      <c r="A674" s="1">
        <v>45900.962500000001</v>
      </c>
      <c r="B674" t="s">
        <v>1363</v>
      </c>
      <c r="C674" t="s">
        <v>1364</v>
      </c>
      <c r="D674" t="s">
        <v>624</v>
      </c>
      <c r="F674" t="s">
        <v>1765</v>
      </c>
      <c r="G674" t="s">
        <v>625</v>
      </c>
      <c r="H674" t="s">
        <v>66</v>
      </c>
      <c r="I674" t="s">
        <v>43</v>
      </c>
      <c r="J674">
        <v>61.92</v>
      </c>
      <c r="K674">
        <v>19</v>
      </c>
      <c r="L674">
        <v>10</v>
      </c>
      <c r="M674">
        <v>11</v>
      </c>
      <c r="N674">
        <v>16729</v>
      </c>
      <c r="O674">
        <v>0</v>
      </c>
      <c r="P674">
        <v>0</v>
      </c>
      <c r="Q674">
        <v>3</v>
      </c>
      <c r="R674">
        <v>1100</v>
      </c>
      <c r="S674" t="s">
        <v>44</v>
      </c>
      <c r="T674" t="s">
        <v>44</v>
      </c>
      <c r="U674" t="s">
        <v>44</v>
      </c>
      <c r="V674">
        <v>717</v>
      </c>
      <c r="W674" t="s">
        <v>44</v>
      </c>
      <c r="X674" t="s">
        <v>44</v>
      </c>
      <c r="Y674">
        <v>690</v>
      </c>
      <c r="Z674" t="s">
        <v>44</v>
      </c>
      <c r="AA674">
        <v>1</v>
      </c>
      <c r="AB674">
        <v>0</v>
      </c>
      <c r="AC674">
        <v>0</v>
      </c>
      <c r="AD674">
        <v>0</v>
      </c>
      <c r="AE674">
        <v>4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718</v>
      </c>
      <c r="AQ674">
        <f t="shared" si="22"/>
        <v>718</v>
      </c>
      <c r="AR674" s="5">
        <f>VLOOKUP(F674,'[2]SCP_24-25'!$A:$D,4,0)</f>
        <v>23.39</v>
      </c>
      <c r="AS674" s="5">
        <f t="shared" si="23"/>
        <v>16794.02</v>
      </c>
    </row>
    <row r="675" spans="1:45" x14ac:dyDescent="0.3">
      <c r="A675" s="1">
        <v>45900.962500000001</v>
      </c>
      <c r="B675" t="s">
        <v>1363</v>
      </c>
      <c r="C675" t="s">
        <v>1364</v>
      </c>
      <c r="D675" t="s">
        <v>787</v>
      </c>
      <c r="F675" t="s">
        <v>1845</v>
      </c>
      <c r="G675" t="s">
        <v>788</v>
      </c>
      <c r="H675" t="s">
        <v>66</v>
      </c>
      <c r="I675" t="s">
        <v>43</v>
      </c>
      <c r="J675">
        <v>61.92</v>
      </c>
      <c r="K675">
        <v>19</v>
      </c>
      <c r="L675">
        <v>10</v>
      </c>
      <c r="M675">
        <v>11</v>
      </c>
      <c r="N675">
        <v>16460</v>
      </c>
      <c r="O675">
        <v>0</v>
      </c>
      <c r="P675">
        <v>0</v>
      </c>
      <c r="Q675">
        <v>3</v>
      </c>
      <c r="R675">
        <v>1513</v>
      </c>
      <c r="S675" t="s">
        <v>44</v>
      </c>
      <c r="T675" t="s">
        <v>44</v>
      </c>
      <c r="U675" t="s">
        <v>44</v>
      </c>
      <c r="V675">
        <v>632</v>
      </c>
      <c r="W675" t="s">
        <v>44</v>
      </c>
      <c r="X675" t="s">
        <v>44</v>
      </c>
      <c r="Y675">
        <v>612</v>
      </c>
      <c r="Z675" t="s">
        <v>44</v>
      </c>
      <c r="AA675">
        <v>2</v>
      </c>
      <c r="AB675">
        <v>0</v>
      </c>
      <c r="AC675">
        <v>0</v>
      </c>
      <c r="AD675">
        <v>0</v>
      </c>
      <c r="AE675">
        <v>9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634</v>
      </c>
      <c r="AQ675">
        <f t="shared" si="22"/>
        <v>634</v>
      </c>
      <c r="AR675" s="5">
        <f>VLOOKUP(F675,'[2]SCP_24-25'!$A:$D,4,0)</f>
        <v>23.39</v>
      </c>
      <c r="AS675" s="5">
        <f t="shared" si="23"/>
        <v>14829.26</v>
      </c>
    </row>
    <row r="676" spans="1:45" x14ac:dyDescent="0.3">
      <c r="A676" s="1">
        <v>45900.962500000001</v>
      </c>
      <c r="B676" t="s">
        <v>1363</v>
      </c>
      <c r="C676" t="s">
        <v>1364</v>
      </c>
      <c r="D676" t="s">
        <v>626</v>
      </c>
      <c r="F676" t="s">
        <v>1766</v>
      </c>
      <c r="G676" t="s">
        <v>627</v>
      </c>
      <c r="H676" t="s">
        <v>66</v>
      </c>
      <c r="I676" t="s">
        <v>43</v>
      </c>
      <c r="J676">
        <v>61.92</v>
      </c>
      <c r="K676">
        <v>19</v>
      </c>
      <c r="L676">
        <v>10</v>
      </c>
      <c r="M676">
        <v>11</v>
      </c>
      <c r="N676">
        <v>15449</v>
      </c>
      <c r="O676">
        <v>0</v>
      </c>
      <c r="P676">
        <v>0</v>
      </c>
      <c r="Q676">
        <v>6</v>
      </c>
      <c r="R676">
        <v>1519</v>
      </c>
      <c r="S676" t="s">
        <v>44</v>
      </c>
      <c r="T676" t="s">
        <v>44</v>
      </c>
      <c r="U676" t="s">
        <v>44</v>
      </c>
      <c r="V676">
        <v>414</v>
      </c>
      <c r="W676" t="s">
        <v>44</v>
      </c>
      <c r="X676" t="s">
        <v>44</v>
      </c>
      <c r="Y676">
        <v>373</v>
      </c>
      <c r="Z676" t="s">
        <v>44</v>
      </c>
      <c r="AA676">
        <v>2</v>
      </c>
      <c r="AB676">
        <v>0</v>
      </c>
      <c r="AC676">
        <v>0</v>
      </c>
      <c r="AD676">
        <v>0</v>
      </c>
      <c r="AE676">
        <v>7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416</v>
      </c>
      <c r="AQ676">
        <f t="shared" si="22"/>
        <v>416</v>
      </c>
      <c r="AR676" s="5">
        <f>VLOOKUP(F676,'[2]SCP_24-25'!$A:$D,4,0)</f>
        <v>26.96</v>
      </c>
      <c r="AS676" s="5">
        <f t="shared" si="23"/>
        <v>11215.36</v>
      </c>
    </row>
    <row r="677" spans="1:45" x14ac:dyDescent="0.3">
      <c r="A677" s="1">
        <v>45900.962500000001</v>
      </c>
      <c r="B677" t="s">
        <v>1363</v>
      </c>
      <c r="C677" t="s">
        <v>1364</v>
      </c>
      <c r="D677" t="s">
        <v>789</v>
      </c>
      <c r="F677" t="s">
        <v>1846</v>
      </c>
      <c r="G677" t="s">
        <v>790</v>
      </c>
      <c r="H677" t="s">
        <v>66</v>
      </c>
      <c r="I677" t="s">
        <v>43</v>
      </c>
      <c r="J677">
        <v>61.92</v>
      </c>
      <c r="K677">
        <v>19</v>
      </c>
      <c r="L677">
        <v>10</v>
      </c>
      <c r="M677">
        <v>11</v>
      </c>
      <c r="N677">
        <v>14496</v>
      </c>
      <c r="O677">
        <v>8</v>
      </c>
      <c r="P677">
        <v>0</v>
      </c>
      <c r="Q677">
        <v>4</v>
      </c>
      <c r="R677">
        <v>1821</v>
      </c>
      <c r="S677" t="s">
        <v>44</v>
      </c>
      <c r="T677" t="s">
        <v>44</v>
      </c>
      <c r="U677" t="s">
        <v>44</v>
      </c>
      <c r="V677">
        <v>285</v>
      </c>
      <c r="W677" t="s">
        <v>44</v>
      </c>
      <c r="X677" t="s">
        <v>44</v>
      </c>
      <c r="Y677">
        <v>260</v>
      </c>
      <c r="Z677" t="s">
        <v>44</v>
      </c>
      <c r="AA677">
        <v>11</v>
      </c>
      <c r="AB677">
        <v>0</v>
      </c>
      <c r="AC677">
        <v>0</v>
      </c>
      <c r="AD677">
        <v>0</v>
      </c>
      <c r="AE677">
        <v>9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304</v>
      </c>
      <c r="AQ677">
        <f t="shared" ref="AQ677:AQ739" si="24">O677+P677+V677+AA677</f>
        <v>304</v>
      </c>
      <c r="AR677" s="5">
        <f>VLOOKUP(F677,'[2]SCP_24-25'!$A:$D,4,0)</f>
        <v>23.39</v>
      </c>
      <c r="AS677" s="5">
        <f t="shared" si="23"/>
        <v>7110.56</v>
      </c>
    </row>
    <row r="678" spans="1:45" x14ac:dyDescent="0.3">
      <c r="A678" s="1">
        <v>45900.962500000001</v>
      </c>
      <c r="B678" t="s">
        <v>1363</v>
      </c>
      <c r="C678" t="s">
        <v>1364</v>
      </c>
      <c r="D678" t="s">
        <v>905</v>
      </c>
      <c r="F678" t="s">
        <v>1902</v>
      </c>
      <c r="G678" t="s">
        <v>906</v>
      </c>
      <c r="H678" t="s">
        <v>120</v>
      </c>
      <c r="I678" t="s">
        <v>43</v>
      </c>
      <c r="J678">
        <v>1000</v>
      </c>
      <c r="K678">
        <v>305</v>
      </c>
      <c r="L678">
        <v>222</v>
      </c>
      <c r="M678">
        <v>80</v>
      </c>
      <c r="N678">
        <v>2225</v>
      </c>
      <c r="O678">
        <v>0</v>
      </c>
      <c r="P678">
        <v>0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>
        <v>413</v>
      </c>
      <c r="W678" t="s">
        <v>44</v>
      </c>
      <c r="X678" t="s">
        <v>44</v>
      </c>
      <c r="Y678">
        <v>413</v>
      </c>
      <c r="Z678" t="s">
        <v>44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413</v>
      </c>
      <c r="AQ678">
        <f t="shared" si="24"/>
        <v>413</v>
      </c>
      <c r="AR678" s="5">
        <f>VLOOKUP(F678,'[2]SCP_24-25'!$A:$D,4,0)</f>
        <v>240</v>
      </c>
      <c r="AS678" s="5">
        <f t="shared" si="23"/>
        <v>99120</v>
      </c>
    </row>
    <row r="679" spans="1:45" x14ac:dyDescent="0.3">
      <c r="A679" s="1">
        <v>45900.962500000001</v>
      </c>
      <c r="B679" t="s">
        <v>1363</v>
      </c>
      <c r="C679" t="s">
        <v>1364</v>
      </c>
      <c r="D679" t="s">
        <v>907</v>
      </c>
      <c r="F679" t="s">
        <v>1903</v>
      </c>
      <c r="G679" t="s">
        <v>908</v>
      </c>
      <c r="H679" t="s">
        <v>120</v>
      </c>
      <c r="I679" t="s">
        <v>43</v>
      </c>
      <c r="J679">
        <v>1000</v>
      </c>
      <c r="K679">
        <v>305</v>
      </c>
      <c r="L679">
        <v>222</v>
      </c>
      <c r="M679">
        <v>80</v>
      </c>
      <c r="N679">
        <v>1342</v>
      </c>
      <c r="O679">
        <v>0</v>
      </c>
      <c r="P679">
        <v>0</v>
      </c>
      <c r="Q679" t="s">
        <v>44</v>
      </c>
      <c r="R679" t="s">
        <v>44</v>
      </c>
      <c r="S679" t="s">
        <v>44</v>
      </c>
      <c r="T679">
        <v>131</v>
      </c>
      <c r="U679" t="s">
        <v>44</v>
      </c>
      <c r="V679">
        <v>277</v>
      </c>
      <c r="W679" t="s">
        <v>44</v>
      </c>
      <c r="X679" t="s">
        <v>44</v>
      </c>
      <c r="Y679">
        <v>277</v>
      </c>
      <c r="Z679" t="s">
        <v>44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277</v>
      </c>
      <c r="AQ679">
        <f t="shared" si="24"/>
        <v>277</v>
      </c>
      <c r="AR679" s="5">
        <f>VLOOKUP(F679,'[2]SCP_24-25'!$A:$D,4,0)</f>
        <v>175</v>
      </c>
      <c r="AS679" s="5">
        <f t="shared" si="23"/>
        <v>48475</v>
      </c>
    </row>
    <row r="680" spans="1:45" x14ac:dyDescent="0.3">
      <c r="A680" s="1">
        <v>45900.962500000001</v>
      </c>
      <c r="B680" t="s">
        <v>1363</v>
      </c>
      <c r="C680" t="s">
        <v>1364</v>
      </c>
      <c r="D680" t="s">
        <v>909</v>
      </c>
      <c r="F680" t="s">
        <v>1904</v>
      </c>
      <c r="G680" t="s">
        <v>910</v>
      </c>
      <c r="H680" t="s">
        <v>66</v>
      </c>
      <c r="I680" t="s">
        <v>43</v>
      </c>
      <c r="J680">
        <v>1000</v>
      </c>
      <c r="K680">
        <v>305</v>
      </c>
      <c r="L680">
        <v>222</v>
      </c>
      <c r="M680">
        <v>80</v>
      </c>
      <c r="N680">
        <v>1064</v>
      </c>
      <c r="O680">
        <v>0</v>
      </c>
      <c r="P680">
        <v>0</v>
      </c>
      <c r="Q680" t="s">
        <v>44</v>
      </c>
      <c r="R680" t="s">
        <v>44</v>
      </c>
      <c r="S680" t="s">
        <v>44</v>
      </c>
      <c r="T680">
        <v>56</v>
      </c>
      <c r="U680" t="s">
        <v>44</v>
      </c>
      <c r="V680">
        <v>191</v>
      </c>
      <c r="W680" t="s">
        <v>44</v>
      </c>
      <c r="X680" t="s">
        <v>44</v>
      </c>
      <c r="Y680">
        <v>191</v>
      </c>
      <c r="Z680" t="s">
        <v>44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191</v>
      </c>
      <c r="AQ680">
        <f t="shared" si="24"/>
        <v>191</v>
      </c>
      <c r="AR680" s="5">
        <f>VLOOKUP(F680,'[2]SCP_24-25'!$A:$D,4,0)</f>
        <v>200</v>
      </c>
      <c r="AS680" s="5">
        <f t="shared" si="23"/>
        <v>38200</v>
      </c>
    </row>
    <row r="681" spans="1:45" x14ac:dyDescent="0.3">
      <c r="A681" s="1">
        <v>45900.962500000001</v>
      </c>
      <c r="B681" t="s">
        <v>1363</v>
      </c>
      <c r="C681" t="s">
        <v>1364</v>
      </c>
      <c r="D681" t="s">
        <v>911</v>
      </c>
      <c r="F681" t="s">
        <v>1905</v>
      </c>
      <c r="G681" t="s">
        <v>912</v>
      </c>
      <c r="H681" t="s">
        <v>66</v>
      </c>
      <c r="I681" t="s">
        <v>43</v>
      </c>
      <c r="J681">
        <v>1000</v>
      </c>
      <c r="K681">
        <v>305</v>
      </c>
      <c r="L681">
        <v>222</v>
      </c>
      <c r="M681">
        <v>80</v>
      </c>
      <c r="N681">
        <v>1334</v>
      </c>
      <c r="O681">
        <v>0</v>
      </c>
      <c r="P681">
        <v>0</v>
      </c>
      <c r="Q681" t="s">
        <v>44</v>
      </c>
      <c r="R681" t="s">
        <v>44</v>
      </c>
      <c r="S681" t="s">
        <v>44</v>
      </c>
      <c r="T681">
        <v>56</v>
      </c>
      <c r="U681" t="s">
        <v>44</v>
      </c>
      <c r="V681">
        <v>220</v>
      </c>
      <c r="W681" t="s">
        <v>44</v>
      </c>
      <c r="X681" t="s">
        <v>44</v>
      </c>
      <c r="Y681">
        <v>220</v>
      </c>
      <c r="Z681" t="s">
        <v>44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220</v>
      </c>
      <c r="AQ681">
        <f t="shared" si="24"/>
        <v>220</v>
      </c>
      <c r="AR681" s="5">
        <f>VLOOKUP(F681,'[2]SCP_24-25'!$A:$D,4,0)</f>
        <v>200</v>
      </c>
      <c r="AS681" s="5">
        <f t="shared" si="23"/>
        <v>44000</v>
      </c>
    </row>
    <row r="682" spans="1:45" x14ac:dyDescent="0.3">
      <c r="A682" s="1">
        <v>45900.962500000001</v>
      </c>
      <c r="B682" t="s">
        <v>1363</v>
      </c>
      <c r="C682" t="s">
        <v>1364</v>
      </c>
      <c r="D682" t="s">
        <v>915</v>
      </c>
      <c r="F682" t="s">
        <v>1907</v>
      </c>
      <c r="G682" t="s">
        <v>916</v>
      </c>
      <c r="H682" t="s">
        <v>103</v>
      </c>
      <c r="I682" t="s">
        <v>43</v>
      </c>
      <c r="J682">
        <v>1000</v>
      </c>
      <c r="K682">
        <v>305</v>
      </c>
      <c r="L682">
        <v>222</v>
      </c>
      <c r="M682">
        <v>80</v>
      </c>
      <c r="N682">
        <v>1444</v>
      </c>
      <c r="O682">
        <v>0</v>
      </c>
      <c r="P682">
        <v>0</v>
      </c>
      <c r="Q682" t="s">
        <v>44</v>
      </c>
      <c r="R682" t="s">
        <v>44</v>
      </c>
      <c r="S682" t="s">
        <v>44</v>
      </c>
      <c r="T682">
        <v>95</v>
      </c>
      <c r="U682" t="s">
        <v>44</v>
      </c>
      <c r="V682">
        <v>316</v>
      </c>
      <c r="W682" t="s">
        <v>44</v>
      </c>
      <c r="X682" t="s">
        <v>44</v>
      </c>
      <c r="Y682">
        <v>316</v>
      </c>
      <c r="Z682" t="s">
        <v>44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316</v>
      </c>
      <c r="AQ682">
        <f t="shared" si="24"/>
        <v>316</v>
      </c>
      <c r="AR682" s="5">
        <f>VLOOKUP(F682,'[1]Cost Sheet'!$C:$D,2,0)</f>
        <v>240</v>
      </c>
      <c r="AS682" s="5">
        <f t="shared" si="23"/>
        <v>75840</v>
      </c>
    </row>
    <row r="683" spans="1:45" x14ac:dyDescent="0.3">
      <c r="A683" s="1">
        <v>45900.962500000001</v>
      </c>
      <c r="B683" t="s">
        <v>1363</v>
      </c>
      <c r="C683" t="s">
        <v>1364</v>
      </c>
      <c r="D683" t="s">
        <v>917</v>
      </c>
      <c r="F683" t="s">
        <v>1908</v>
      </c>
      <c r="G683" t="s">
        <v>918</v>
      </c>
      <c r="H683" t="s">
        <v>103</v>
      </c>
      <c r="I683" t="s">
        <v>43</v>
      </c>
      <c r="J683">
        <v>1000</v>
      </c>
      <c r="K683">
        <v>305</v>
      </c>
      <c r="L683">
        <v>222</v>
      </c>
      <c r="M683">
        <v>80</v>
      </c>
      <c r="N683">
        <v>1324</v>
      </c>
      <c r="O683">
        <v>0</v>
      </c>
      <c r="P683">
        <v>0</v>
      </c>
      <c r="Q683" t="s">
        <v>44</v>
      </c>
      <c r="R683" t="s">
        <v>44</v>
      </c>
      <c r="S683" t="s">
        <v>44</v>
      </c>
      <c r="T683">
        <v>88</v>
      </c>
      <c r="U683" t="s">
        <v>44</v>
      </c>
      <c r="V683">
        <v>277</v>
      </c>
      <c r="W683" t="s">
        <v>44</v>
      </c>
      <c r="X683" t="s">
        <v>44</v>
      </c>
      <c r="Y683">
        <v>277</v>
      </c>
      <c r="Z683" t="s">
        <v>44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277</v>
      </c>
      <c r="AQ683">
        <f t="shared" si="24"/>
        <v>277</v>
      </c>
      <c r="AR683" s="5">
        <f>VLOOKUP(F683,'[1]Cost Sheet'!$C:$D,2,0)</f>
        <v>240</v>
      </c>
      <c r="AS683" s="5">
        <f t="shared" si="23"/>
        <v>66480</v>
      </c>
    </row>
    <row r="684" spans="1:45" x14ac:dyDescent="0.3">
      <c r="A684" s="1">
        <v>45900.962500000001</v>
      </c>
      <c r="B684" t="s">
        <v>1363</v>
      </c>
      <c r="C684" t="s">
        <v>1364</v>
      </c>
      <c r="D684" t="s">
        <v>921</v>
      </c>
      <c r="F684" t="s">
        <v>1910</v>
      </c>
      <c r="G684" t="s">
        <v>922</v>
      </c>
      <c r="H684" t="s">
        <v>120</v>
      </c>
      <c r="I684" t="s">
        <v>43</v>
      </c>
      <c r="J684">
        <v>1000</v>
      </c>
      <c r="K684">
        <v>305</v>
      </c>
      <c r="L684">
        <v>222</v>
      </c>
      <c r="M684">
        <v>80</v>
      </c>
      <c r="N684">
        <v>723</v>
      </c>
      <c r="O684">
        <v>0</v>
      </c>
      <c r="P684">
        <v>0</v>
      </c>
      <c r="Q684" t="s">
        <v>44</v>
      </c>
      <c r="R684" t="s">
        <v>44</v>
      </c>
      <c r="S684" t="s">
        <v>44</v>
      </c>
      <c r="T684">
        <v>54</v>
      </c>
      <c r="U684" t="s">
        <v>44</v>
      </c>
      <c r="V684">
        <v>136</v>
      </c>
      <c r="W684" t="s">
        <v>44</v>
      </c>
      <c r="X684" t="s">
        <v>44</v>
      </c>
      <c r="Y684">
        <v>136</v>
      </c>
      <c r="Z684" t="s">
        <v>44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136</v>
      </c>
      <c r="AQ684">
        <f t="shared" si="24"/>
        <v>136</v>
      </c>
      <c r="AR684" s="5">
        <f>VLOOKUP(F684,'[1]Cost Sheet'!$C:$D,2,0)</f>
        <v>240</v>
      </c>
      <c r="AS684" s="5">
        <f t="shared" si="23"/>
        <v>32640</v>
      </c>
    </row>
    <row r="685" spans="1:45" x14ac:dyDescent="0.3">
      <c r="A685" s="1">
        <v>45900.962500000001</v>
      </c>
      <c r="B685" t="s">
        <v>1363</v>
      </c>
      <c r="C685" t="s">
        <v>1364</v>
      </c>
      <c r="D685" t="s">
        <v>124</v>
      </c>
      <c r="F685" t="s">
        <v>1540</v>
      </c>
      <c r="G685" t="s">
        <v>125</v>
      </c>
      <c r="H685" t="s">
        <v>66</v>
      </c>
      <c r="I685" t="s">
        <v>43</v>
      </c>
      <c r="J685">
        <v>90.08</v>
      </c>
      <c r="K685">
        <v>19</v>
      </c>
      <c r="L685">
        <v>11</v>
      </c>
      <c r="M685">
        <v>10</v>
      </c>
      <c r="N685">
        <v>23890</v>
      </c>
      <c r="O685">
        <v>18</v>
      </c>
      <c r="P685">
        <v>0</v>
      </c>
      <c r="Q685">
        <v>6</v>
      </c>
      <c r="R685">
        <v>1370</v>
      </c>
      <c r="S685" t="s">
        <v>44</v>
      </c>
      <c r="T685" t="s">
        <v>44</v>
      </c>
      <c r="U685" t="s">
        <v>44</v>
      </c>
      <c r="V685">
        <v>196</v>
      </c>
      <c r="W685" t="s">
        <v>44</v>
      </c>
      <c r="X685" t="s">
        <v>44</v>
      </c>
      <c r="Y685">
        <v>196</v>
      </c>
      <c r="Z685" t="s">
        <v>44</v>
      </c>
      <c r="AA685">
        <v>23</v>
      </c>
      <c r="AB685">
        <v>0</v>
      </c>
      <c r="AC685">
        <v>0</v>
      </c>
      <c r="AD685">
        <v>0</v>
      </c>
      <c r="AE685">
        <v>15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237</v>
      </c>
      <c r="AQ685">
        <f t="shared" si="24"/>
        <v>237</v>
      </c>
      <c r="AR685" s="5">
        <f>VLOOKUP(F685,'[2]SCP_24-25'!$A:$D,4,0)</f>
        <v>45.74</v>
      </c>
      <c r="AS685" s="5">
        <f t="shared" si="23"/>
        <v>10840.380000000001</v>
      </c>
    </row>
    <row r="686" spans="1:45" x14ac:dyDescent="0.3">
      <c r="A686" s="1">
        <v>45900.962500000001</v>
      </c>
      <c r="B686" t="s">
        <v>1363</v>
      </c>
      <c r="C686" t="s">
        <v>1364</v>
      </c>
      <c r="D686" t="s">
        <v>923</v>
      </c>
      <c r="E686" t="s">
        <v>923</v>
      </c>
      <c r="F686" t="s">
        <v>1911</v>
      </c>
      <c r="G686" t="s">
        <v>924</v>
      </c>
      <c r="H686" t="s">
        <v>120</v>
      </c>
      <c r="I686" t="s">
        <v>43</v>
      </c>
      <c r="J686">
        <v>70</v>
      </c>
      <c r="K686">
        <v>19</v>
      </c>
      <c r="L686">
        <v>11</v>
      </c>
      <c r="M686">
        <v>9</v>
      </c>
      <c r="N686">
        <v>5568</v>
      </c>
      <c r="O686">
        <v>0</v>
      </c>
      <c r="P686">
        <v>0</v>
      </c>
      <c r="Q686" t="s">
        <v>44</v>
      </c>
      <c r="R686">
        <v>321</v>
      </c>
      <c r="S686" t="s">
        <v>44</v>
      </c>
      <c r="T686" t="s">
        <v>44</v>
      </c>
      <c r="U686" t="s">
        <v>44</v>
      </c>
      <c r="V686">
        <v>200</v>
      </c>
      <c r="W686" t="s">
        <v>44</v>
      </c>
      <c r="X686" t="s">
        <v>44</v>
      </c>
      <c r="Y686">
        <v>200</v>
      </c>
      <c r="Z686" t="s">
        <v>44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200</v>
      </c>
      <c r="AQ686">
        <f t="shared" si="24"/>
        <v>200</v>
      </c>
      <c r="AR686" s="5">
        <f>VLOOKUP(F686,'[2]SCP_24-25'!$A:$D,4,0)</f>
        <v>50</v>
      </c>
      <c r="AS686" s="5">
        <f t="shared" si="23"/>
        <v>10000</v>
      </c>
    </row>
    <row r="687" spans="1:45" x14ac:dyDescent="0.3">
      <c r="A687" s="1">
        <v>45900.962500000001</v>
      </c>
      <c r="B687" t="s">
        <v>1363</v>
      </c>
      <c r="C687" t="s">
        <v>1364</v>
      </c>
      <c r="D687" t="s">
        <v>907</v>
      </c>
      <c r="F687" t="s">
        <v>1912</v>
      </c>
      <c r="G687" t="s">
        <v>925</v>
      </c>
      <c r="H687" t="s">
        <v>926</v>
      </c>
      <c r="I687" t="s">
        <v>43</v>
      </c>
      <c r="J687">
        <v>1000</v>
      </c>
      <c r="K687">
        <v>305</v>
      </c>
      <c r="L687">
        <v>80</v>
      </c>
      <c r="M687">
        <v>222</v>
      </c>
      <c r="N687">
        <v>107</v>
      </c>
      <c r="O687">
        <v>0</v>
      </c>
      <c r="P687">
        <v>0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>
        <v>106</v>
      </c>
      <c r="W687" t="s">
        <v>44</v>
      </c>
      <c r="X687" t="s">
        <v>44</v>
      </c>
      <c r="Y687">
        <v>106</v>
      </c>
      <c r="Z687" t="s">
        <v>44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106</v>
      </c>
      <c r="AQ687">
        <f t="shared" si="24"/>
        <v>106</v>
      </c>
      <c r="AR687" s="5">
        <f>VLOOKUP(F687,'[2]SCP_24-25'!$A:$D,4,0)</f>
        <v>240</v>
      </c>
      <c r="AS687" s="5">
        <f t="shared" si="23"/>
        <v>25440</v>
      </c>
    </row>
    <row r="688" spans="1:45" x14ac:dyDescent="0.3">
      <c r="A688" s="1">
        <v>45900.962500000001</v>
      </c>
      <c r="B688" t="s">
        <v>1363</v>
      </c>
      <c r="C688" t="s">
        <v>1364</v>
      </c>
      <c r="D688" t="s">
        <v>791</v>
      </c>
      <c r="F688" t="s">
        <v>1847</v>
      </c>
      <c r="G688" t="s">
        <v>792</v>
      </c>
      <c r="H688" t="s">
        <v>120</v>
      </c>
      <c r="I688" t="s">
        <v>43</v>
      </c>
      <c r="J688">
        <v>200</v>
      </c>
      <c r="K688">
        <v>19</v>
      </c>
      <c r="L688">
        <v>10</v>
      </c>
      <c r="M688">
        <v>11</v>
      </c>
      <c r="N688">
        <v>4382</v>
      </c>
      <c r="O688">
        <v>0</v>
      </c>
      <c r="P688">
        <v>0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>
        <v>718</v>
      </c>
      <c r="W688" t="s">
        <v>44</v>
      </c>
      <c r="X688" t="s">
        <v>44</v>
      </c>
      <c r="Y688">
        <v>718</v>
      </c>
      <c r="Z688" t="s">
        <v>44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718</v>
      </c>
      <c r="AQ688">
        <f t="shared" si="24"/>
        <v>718</v>
      </c>
      <c r="AR688" s="5">
        <f>VLOOKUP(F688,'[2]SCP_24-25'!$A:$D,4,0)</f>
        <v>48</v>
      </c>
      <c r="AS688" s="5">
        <f t="shared" si="23"/>
        <v>34464</v>
      </c>
    </row>
    <row r="689" spans="1:45" x14ac:dyDescent="0.3">
      <c r="A689" s="1">
        <v>45900.962500000001</v>
      </c>
      <c r="B689" t="s">
        <v>1363</v>
      </c>
      <c r="C689" t="s">
        <v>1364</v>
      </c>
      <c r="D689" t="s">
        <v>631</v>
      </c>
      <c r="F689" t="s">
        <v>1769</v>
      </c>
      <c r="G689" t="s">
        <v>632</v>
      </c>
      <c r="H689" t="s">
        <v>120</v>
      </c>
      <c r="I689" t="s">
        <v>43</v>
      </c>
      <c r="J689">
        <v>200</v>
      </c>
      <c r="K689">
        <v>19</v>
      </c>
      <c r="L689">
        <v>10</v>
      </c>
      <c r="M689">
        <v>11</v>
      </c>
      <c r="N689">
        <v>3731</v>
      </c>
      <c r="O689">
        <v>0</v>
      </c>
      <c r="P689">
        <v>0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>
        <v>309</v>
      </c>
      <c r="W689" t="s">
        <v>44</v>
      </c>
      <c r="X689" t="s">
        <v>44</v>
      </c>
      <c r="Y689">
        <v>309</v>
      </c>
      <c r="Z689" t="s">
        <v>44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309</v>
      </c>
      <c r="AQ689">
        <f t="shared" si="24"/>
        <v>309</v>
      </c>
      <c r="AR689" s="5">
        <f>VLOOKUP(F689,'[1]Cost Sheet'!$C:$D,2,0)</f>
        <v>48</v>
      </c>
      <c r="AS689" s="5">
        <f t="shared" si="23"/>
        <v>14832</v>
      </c>
    </row>
    <row r="690" spans="1:45" x14ac:dyDescent="0.3">
      <c r="A690" s="1">
        <v>45900.962500000001</v>
      </c>
      <c r="B690" t="s">
        <v>1363</v>
      </c>
      <c r="C690" t="s">
        <v>1364</v>
      </c>
      <c r="D690" t="s">
        <v>401</v>
      </c>
      <c r="F690" t="s">
        <v>1658</v>
      </c>
      <c r="G690" t="s">
        <v>402</v>
      </c>
      <c r="H690" t="s">
        <v>66</v>
      </c>
      <c r="I690" t="s">
        <v>43</v>
      </c>
      <c r="J690">
        <v>59.02</v>
      </c>
      <c r="K690">
        <v>19</v>
      </c>
      <c r="L690">
        <v>11</v>
      </c>
      <c r="M690">
        <v>10</v>
      </c>
      <c r="N690">
        <v>65985</v>
      </c>
      <c r="O690">
        <v>61</v>
      </c>
      <c r="P690">
        <v>0</v>
      </c>
      <c r="Q690">
        <v>10</v>
      </c>
      <c r="R690">
        <v>5885</v>
      </c>
      <c r="S690" t="s">
        <v>44</v>
      </c>
      <c r="T690" t="s">
        <v>44</v>
      </c>
      <c r="U690" t="s">
        <v>44</v>
      </c>
      <c r="V690">
        <v>760</v>
      </c>
      <c r="W690">
        <v>91</v>
      </c>
      <c r="X690" t="s">
        <v>44</v>
      </c>
      <c r="Y690">
        <v>760</v>
      </c>
      <c r="Z690" t="s">
        <v>44</v>
      </c>
      <c r="AA690">
        <v>83</v>
      </c>
      <c r="AB690">
        <v>0</v>
      </c>
      <c r="AC690">
        <v>0</v>
      </c>
      <c r="AD690">
        <v>0</v>
      </c>
      <c r="AE690">
        <v>3</v>
      </c>
      <c r="AF690">
        <v>18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904</v>
      </c>
      <c r="AQ690">
        <f t="shared" si="24"/>
        <v>904</v>
      </c>
      <c r="AR690" s="5">
        <f>VLOOKUP(F690,'[2]SCP_24-25'!$A:$D,4,0)</f>
        <v>61.06</v>
      </c>
      <c r="AS690" s="5">
        <f t="shared" si="23"/>
        <v>55198.240000000005</v>
      </c>
    </row>
    <row r="691" spans="1:45" x14ac:dyDescent="0.3">
      <c r="A691" s="1">
        <v>45900.962500000001</v>
      </c>
      <c r="B691" t="s">
        <v>1363</v>
      </c>
      <c r="C691" t="s">
        <v>1364</v>
      </c>
      <c r="D691" t="s">
        <v>481</v>
      </c>
      <c r="F691" t="s">
        <v>1695</v>
      </c>
      <c r="G691" t="s">
        <v>482</v>
      </c>
      <c r="H691" t="s">
        <v>103</v>
      </c>
      <c r="I691" t="s">
        <v>43</v>
      </c>
      <c r="J691">
        <v>236</v>
      </c>
      <c r="K691">
        <v>19</v>
      </c>
      <c r="L691">
        <v>10</v>
      </c>
      <c r="M691">
        <v>11</v>
      </c>
      <c r="N691">
        <v>15107</v>
      </c>
      <c r="O691">
        <v>45</v>
      </c>
      <c r="P691">
        <v>0</v>
      </c>
      <c r="Q691" t="s">
        <v>44</v>
      </c>
      <c r="R691">
        <v>736</v>
      </c>
      <c r="S691" t="s">
        <v>44</v>
      </c>
      <c r="T691" t="s">
        <v>44</v>
      </c>
      <c r="U691" t="s">
        <v>44</v>
      </c>
      <c r="V691">
        <v>201</v>
      </c>
      <c r="W691" t="s">
        <v>44</v>
      </c>
      <c r="X691" t="s">
        <v>44</v>
      </c>
      <c r="Y691">
        <v>201</v>
      </c>
      <c r="Z691" t="s">
        <v>44</v>
      </c>
      <c r="AA691">
        <v>17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263</v>
      </c>
      <c r="AQ691">
        <f t="shared" si="24"/>
        <v>263</v>
      </c>
      <c r="AR691" s="5">
        <f>VLOOKUP(F691,'[2]SCP_24-25'!$A:$D,4,0)</f>
        <v>60.9</v>
      </c>
      <c r="AS691" s="5">
        <f t="shared" si="23"/>
        <v>16016.699999999999</v>
      </c>
    </row>
    <row r="692" spans="1:45" x14ac:dyDescent="0.3">
      <c r="A692" s="1">
        <v>45900.962500000001</v>
      </c>
      <c r="B692" t="s">
        <v>1363</v>
      </c>
      <c r="C692" t="s">
        <v>1364</v>
      </c>
      <c r="D692" t="s">
        <v>1105</v>
      </c>
      <c r="F692" t="s">
        <v>2002</v>
      </c>
      <c r="G692" t="s">
        <v>1106</v>
      </c>
      <c r="H692" t="s">
        <v>120</v>
      </c>
      <c r="I692" t="s">
        <v>43</v>
      </c>
      <c r="J692">
        <v>10</v>
      </c>
      <c r="K692">
        <v>19</v>
      </c>
      <c r="L692">
        <v>11</v>
      </c>
      <c r="M692">
        <v>10</v>
      </c>
      <c r="N692">
        <v>3598</v>
      </c>
      <c r="O692">
        <v>0</v>
      </c>
      <c r="P692">
        <v>0</v>
      </c>
      <c r="Q692">
        <v>5</v>
      </c>
      <c r="R692" t="s">
        <v>44</v>
      </c>
      <c r="S692" t="s">
        <v>44</v>
      </c>
      <c r="T692" t="s">
        <v>44</v>
      </c>
      <c r="U692" t="s">
        <v>44</v>
      </c>
      <c r="V692">
        <v>393</v>
      </c>
      <c r="W692" t="s">
        <v>44</v>
      </c>
      <c r="X692" t="s">
        <v>44</v>
      </c>
      <c r="Y692">
        <v>393</v>
      </c>
      <c r="Z692" t="s">
        <v>44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393</v>
      </c>
      <c r="AQ692">
        <f t="shared" si="24"/>
        <v>393</v>
      </c>
      <c r="AR692" s="5">
        <f>VLOOKUP(F692,'[2]SCP_24-25'!$A:$D,4,0)</f>
        <v>1.9</v>
      </c>
      <c r="AS692" s="5">
        <f t="shared" si="23"/>
        <v>746.69999999999993</v>
      </c>
    </row>
    <row r="693" spans="1:45" x14ac:dyDescent="0.3">
      <c r="A693" s="1">
        <v>45900.962500000001</v>
      </c>
      <c r="B693" t="s">
        <v>1363</v>
      </c>
      <c r="C693" t="s">
        <v>1364</v>
      </c>
      <c r="D693" t="s">
        <v>1369</v>
      </c>
      <c r="F693" t="s">
        <v>2131</v>
      </c>
      <c r="G693" t="s">
        <v>1370</v>
      </c>
      <c r="H693" t="s">
        <v>120</v>
      </c>
      <c r="I693" t="s">
        <v>43</v>
      </c>
      <c r="J693">
        <v>50</v>
      </c>
      <c r="K693">
        <v>19</v>
      </c>
      <c r="L693">
        <v>10</v>
      </c>
      <c r="M693">
        <v>11</v>
      </c>
      <c r="N693">
        <v>5846</v>
      </c>
      <c r="O693">
        <v>0</v>
      </c>
      <c r="P693">
        <v>0</v>
      </c>
      <c r="Q693" t="s">
        <v>44</v>
      </c>
      <c r="R693" t="s">
        <v>44</v>
      </c>
      <c r="S693" t="s">
        <v>44</v>
      </c>
      <c r="T693">
        <v>120</v>
      </c>
      <c r="U693" t="s">
        <v>44</v>
      </c>
      <c r="V693">
        <v>268</v>
      </c>
      <c r="W693" t="s">
        <v>44</v>
      </c>
      <c r="X693" t="s">
        <v>44</v>
      </c>
      <c r="Y693">
        <v>268</v>
      </c>
      <c r="Z693" t="s">
        <v>44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268</v>
      </c>
      <c r="AQ693">
        <f t="shared" si="24"/>
        <v>268</v>
      </c>
      <c r="AR693" s="5">
        <f>VLOOKUP(F693,'[2]SCP_24-25'!$A:$D,4,0)</f>
        <v>85</v>
      </c>
      <c r="AS693" s="5">
        <f t="shared" si="23"/>
        <v>22780</v>
      </c>
    </row>
    <row r="694" spans="1:45" x14ac:dyDescent="0.3">
      <c r="A694" s="1">
        <v>45900.962500000001</v>
      </c>
      <c r="B694" t="s">
        <v>1363</v>
      </c>
      <c r="C694" t="s">
        <v>1364</v>
      </c>
      <c r="D694" t="s">
        <v>522</v>
      </c>
      <c r="E694" t="s">
        <v>445</v>
      </c>
      <c r="F694" t="s">
        <v>1715</v>
      </c>
      <c r="G694" t="s">
        <v>523</v>
      </c>
      <c r="H694" t="s">
        <v>130</v>
      </c>
      <c r="I694" t="s">
        <v>43</v>
      </c>
      <c r="J694">
        <v>60.02</v>
      </c>
      <c r="K694">
        <v>19</v>
      </c>
      <c r="L694">
        <v>10</v>
      </c>
      <c r="M694">
        <v>11</v>
      </c>
      <c r="N694">
        <v>11916</v>
      </c>
      <c r="O694">
        <v>1</v>
      </c>
      <c r="P694">
        <v>0</v>
      </c>
      <c r="Q694" t="s">
        <v>44</v>
      </c>
      <c r="R694">
        <v>2484</v>
      </c>
      <c r="S694" t="s">
        <v>44</v>
      </c>
      <c r="T694" t="s">
        <v>44</v>
      </c>
      <c r="U694" t="s">
        <v>44</v>
      </c>
      <c r="V694">
        <v>464</v>
      </c>
      <c r="W694">
        <v>6</v>
      </c>
      <c r="X694" t="s">
        <v>44</v>
      </c>
      <c r="Y694">
        <v>464</v>
      </c>
      <c r="Z694" t="s">
        <v>44</v>
      </c>
      <c r="AA694">
        <v>7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472</v>
      </c>
      <c r="AQ694">
        <f t="shared" si="24"/>
        <v>472</v>
      </c>
      <c r="AR694" s="5">
        <f>VLOOKUP(F694,'[2]SCP_24-25'!$A:$D,4,0)</f>
        <v>86.699999999999989</v>
      </c>
      <c r="AS694" s="5">
        <f t="shared" si="23"/>
        <v>40922.399999999994</v>
      </c>
    </row>
    <row r="695" spans="1:45" x14ac:dyDescent="0.3">
      <c r="A695" s="1">
        <v>45900.962500000001</v>
      </c>
      <c r="B695" t="s">
        <v>1363</v>
      </c>
      <c r="C695" t="s">
        <v>1364</v>
      </c>
      <c r="D695" t="s">
        <v>444</v>
      </c>
      <c r="E695" t="s">
        <v>445</v>
      </c>
      <c r="F695" t="s">
        <v>1677</v>
      </c>
      <c r="G695" t="s">
        <v>446</v>
      </c>
      <c r="H695" t="s">
        <v>130</v>
      </c>
      <c r="I695" t="s">
        <v>43</v>
      </c>
      <c r="J695">
        <v>60.02</v>
      </c>
      <c r="K695">
        <v>19</v>
      </c>
      <c r="L695">
        <v>10</v>
      </c>
      <c r="M695">
        <v>11</v>
      </c>
      <c r="N695">
        <v>7178</v>
      </c>
      <c r="O695">
        <v>1</v>
      </c>
      <c r="P695">
        <v>0</v>
      </c>
      <c r="Q695">
        <v>4</v>
      </c>
      <c r="R695">
        <v>900</v>
      </c>
      <c r="S695" t="s">
        <v>44</v>
      </c>
      <c r="T695" t="s">
        <v>44</v>
      </c>
      <c r="U695" t="s">
        <v>44</v>
      </c>
      <c r="V695">
        <v>307</v>
      </c>
      <c r="W695">
        <v>9</v>
      </c>
      <c r="X695" t="s">
        <v>44</v>
      </c>
      <c r="Y695">
        <v>307</v>
      </c>
      <c r="Z695" t="s">
        <v>44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309</v>
      </c>
      <c r="AQ695">
        <f t="shared" si="24"/>
        <v>309</v>
      </c>
      <c r="AR695" s="5">
        <f>VLOOKUP(F695,'[2]SCP_24-25'!$A:$D,4,0)</f>
        <v>86.7</v>
      </c>
      <c r="AS695" s="5">
        <f t="shared" si="23"/>
        <v>26790.3</v>
      </c>
    </row>
    <row r="696" spans="1:45" x14ac:dyDescent="0.3">
      <c r="A696" s="1">
        <v>45900.962500000001</v>
      </c>
      <c r="B696" t="s">
        <v>1363</v>
      </c>
      <c r="C696" t="s">
        <v>1364</v>
      </c>
      <c r="D696" t="s">
        <v>594</v>
      </c>
      <c r="E696" t="s">
        <v>595</v>
      </c>
      <c r="F696" t="s">
        <v>1751</v>
      </c>
      <c r="G696" t="s">
        <v>596</v>
      </c>
      <c r="H696" t="s">
        <v>130</v>
      </c>
      <c r="I696" t="s">
        <v>43</v>
      </c>
      <c r="J696">
        <v>60.02</v>
      </c>
      <c r="K696">
        <v>19</v>
      </c>
      <c r="L696">
        <v>10</v>
      </c>
      <c r="M696">
        <v>11</v>
      </c>
      <c r="N696">
        <v>8893</v>
      </c>
      <c r="O696">
        <v>1</v>
      </c>
      <c r="P696">
        <v>0</v>
      </c>
      <c r="Q696">
        <v>3</v>
      </c>
      <c r="R696">
        <v>1270</v>
      </c>
      <c r="S696" t="s">
        <v>44</v>
      </c>
      <c r="T696" t="s">
        <v>44</v>
      </c>
      <c r="U696" t="s">
        <v>44</v>
      </c>
      <c r="V696">
        <v>209</v>
      </c>
      <c r="W696">
        <v>26</v>
      </c>
      <c r="X696" t="s">
        <v>44</v>
      </c>
      <c r="Y696">
        <v>209</v>
      </c>
      <c r="Z696" t="s">
        <v>44</v>
      </c>
      <c r="AA696">
        <v>7</v>
      </c>
      <c r="AB696">
        <v>0</v>
      </c>
      <c r="AC696">
        <v>0</v>
      </c>
      <c r="AD696">
        <v>0</v>
      </c>
      <c r="AE696">
        <v>7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217</v>
      </c>
      <c r="AQ696">
        <f t="shared" si="24"/>
        <v>217</v>
      </c>
      <c r="AR696" s="5">
        <f>VLOOKUP(F696,'[2]SCP_24-25'!$A:$D,4,0)</f>
        <v>120.58</v>
      </c>
      <c r="AS696" s="5">
        <f t="shared" si="23"/>
        <v>26165.86</v>
      </c>
    </row>
    <row r="697" spans="1:45" x14ac:dyDescent="0.3">
      <c r="A697" s="1">
        <v>45900.962500000001</v>
      </c>
      <c r="B697" t="s">
        <v>1363</v>
      </c>
      <c r="C697" t="s">
        <v>1364</v>
      </c>
      <c r="D697" t="s">
        <v>483</v>
      </c>
      <c r="F697" t="s">
        <v>1696</v>
      </c>
      <c r="G697" t="s">
        <v>484</v>
      </c>
      <c r="H697" t="s">
        <v>130</v>
      </c>
      <c r="I697" t="s">
        <v>43</v>
      </c>
      <c r="J697">
        <v>24.02</v>
      </c>
      <c r="K697">
        <v>19</v>
      </c>
      <c r="L697">
        <v>10</v>
      </c>
      <c r="M697">
        <v>11</v>
      </c>
      <c r="N697">
        <v>9308</v>
      </c>
      <c r="O697">
        <v>0</v>
      </c>
      <c r="P697">
        <v>0</v>
      </c>
      <c r="Q697" t="s">
        <v>44</v>
      </c>
      <c r="R697">
        <v>2511</v>
      </c>
      <c r="S697" t="s">
        <v>44</v>
      </c>
      <c r="T697" t="s">
        <v>44</v>
      </c>
      <c r="U697" t="s">
        <v>44</v>
      </c>
      <c r="V697">
        <v>576</v>
      </c>
      <c r="W697" t="s">
        <v>44</v>
      </c>
      <c r="X697" t="s">
        <v>44</v>
      </c>
      <c r="Y697">
        <v>576</v>
      </c>
      <c r="Z697" t="s">
        <v>44</v>
      </c>
      <c r="AA697">
        <v>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578</v>
      </c>
      <c r="AQ697">
        <f t="shared" si="24"/>
        <v>578</v>
      </c>
      <c r="AR697" s="5">
        <f>VLOOKUP(F697,'[2]SCP_24-25'!$A:$D,4,0)</f>
        <v>79.066666666666677</v>
      </c>
      <c r="AS697" s="5">
        <f t="shared" si="23"/>
        <v>45700.53333333334</v>
      </c>
    </row>
    <row r="698" spans="1:45" x14ac:dyDescent="0.3">
      <c r="A698" s="1">
        <v>45900.962500000001</v>
      </c>
      <c r="B698" t="s">
        <v>1363</v>
      </c>
      <c r="C698" t="s">
        <v>1364</v>
      </c>
      <c r="D698" t="s">
        <v>526</v>
      </c>
      <c r="F698" t="s">
        <v>1717</v>
      </c>
      <c r="G698" t="s">
        <v>527</v>
      </c>
      <c r="H698" t="s">
        <v>130</v>
      </c>
      <c r="I698" t="s">
        <v>43</v>
      </c>
      <c r="J698">
        <v>23</v>
      </c>
      <c r="K698">
        <v>19</v>
      </c>
      <c r="L698">
        <v>10</v>
      </c>
      <c r="M698">
        <v>11</v>
      </c>
      <c r="N698">
        <v>10568</v>
      </c>
      <c r="O698">
        <v>4</v>
      </c>
      <c r="P698">
        <v>0</v>
      </c>
      <c r="Q698" t="s">
        <v>44</v>
      </c>
      <c r="R698">
        <v>3570</v>
      </c>
      <c r="S698" t="s">
        <v>44</v>
      </c>
      <c r="T698" t="s">
        <v>44</v>
      </c>
      <c r="U698" t="s">
        <v>44</v>
      </c>
      <c r="V698">
        <v>982</v>
      </c>
      <c r="W698" t="s">
        <v>44</v>
      </c>
      <c r="X698" t="s">
        <v>44</v>
      </c>
      <c r="Y698">
        <v>982</v>
      </c>
      <c r="Z698" t="s">
        <v>44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987</v>
      </c>
      <c r="AQ698">
        <f t="shared" si="24"/>
        <v>987</v>
      </c>
      <c r="AR698" s="5">
        <f>VLOOKUP(F698,'[2]SCP_24-25'!$A:$D,4,0)</f>
        <v>79.680000000000007</v>
      </c>
      <c r="AS698" s="5">
        <f t="shared" si="23"/>
        <v>78644.160000000003</v>
      </c>
    </row>
    <row r="699" spans="1:45" x14ac:dyDescent="0.3">
      <c r="A699" s="1">
        <v>45900.962500000001</v>
      </c>
      <c r="B699" t="s">
        <v>1363</v>
      </c>
      <c r="C699" t="s">
        <v>1364</v>
      </c>
      <c r="D699" t="s">
        <v>566</v>
      </c>
      <c r="F699" t="s">
        <v>1737</v>
      </c>
      <c r="G699" t="s">
        <v>567</v>
      </c>
      <c r="H699" t="s">
        <v>130</v>
      </c>
      <c r="I699" t="s">
        <v>43</v>
      </c>
      <c r="J699">
        <v>24.02</v>
      </c>
      <c r="K699">
        <v>19</v>
      </c>
      <c r="L699">
        <v>10</v>
      </c>
      <c r="M699">
        <v>11</v>
      </c>
      <c r="N699">
        <v>9167</v>
      </c>
      <c r="O699">
        <v>3</v>
      </c>
      <c r="P699">
        <v>0</v>
      </c>
      <c r="Q699" t="s">
        <v>44</v>
      </c>
      <c r="R699">
        <v>2424</v>
      </c>
      <c r="S699" t="s">
        <v>44</v>
      </c>
      <c r="T699" t="s">
        <v>44</v>
      </c>
      <c r="U699" t="s">
        <v>44</v>
      </c>
      <c r="V699">
        <v>109</v>
      </c>
      <c r="W699">
        <v>7</v>
      </c>
      <c r="X699" t="s">
        <v>44</v>
      </c>
      <c r="Y699">
        <v>109</v>
      </c>
      <c r="Z699" t="s">
        <v>44</v>
      </c>
      <c r="AA699">
        <v>3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115</v>
      </c>
      <c r="AQ699">
        <f t="shared" si="24"/>
        <v>115</v>
      </c>
      <c r="AR699" s="5">
        <f>VLOOKUP(F699,'[2]SCP_24-25'!$A:$D,4,0)</f>
        <v>79.680000000000007</v>
      </c>
      <c r="AS699" s="5">
        <f t="shared" si="23"/>
        <v>9163.2000000000007</v>
      </c>
    </row>
    <row r="700" spans="1:45" x14ac:dyDescent="0.3">
      <c r="A700" s="1">
        <v>45900.962500000001</v>
      </c>
      <c r="B700" t="s">
        <v>1363</v>
      </c>
      <c r="C700" t="s">
        <v>1364</v>
      </c>
      <c r="D700" t="s">
        <v>588</v>
      </c>
      <c r="F700" t="s">
        <v>1748</v>
      </c>
      <c r="G700" t="s">
        <v>589</v>
      </c>
      <c r="H700" t="s">
        <v>130</v>
      </c>
      <c r="I700" t="s">
        <v>43</v>
      </c>
      <c r="J700">
        <v>24.02</v>
      </c>
      <c r="K700">
        <v>19</v>
      </c>
      <c r="L700">
        <v>10</v>
      </c>
      <c r="M700">
        <v>11</v>
      </c>
      <c r="N700">
        <v>11258</v>
      </c>
      <c r="O700">
        <v>9</v>
      </c>
      <c r="P700">
        <v>0</v>
      </c>
      <c r="Q700" t="s">
        <v>44</v>
      </c>
      <c r="R700">
        <v>3341</v>
      </c>
      <c r="S700" t="s">
        <v>44</v>
      </c>
      <c r="T700" t="s">
        <v>44</v>
      </c>
      <c r="U700" t="s">
        <v>44</v>
      </c>
      <c r="V700">
        <v>780</v>
      </c>
      <c r="W700" t="s">
        <v>44</v>
      </c>
      <c r="X700" t="s">
        <v>44</v>
      </c>
      <c r="Y700">
        <v>780</v>
      </c>
      <c r="Z700" t="s">
        <v>44</v>
      </c>
      <c r="AA700">
        <v>5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794</v>
      </c>
      <c r="AQ700">
        <f t="shared" si="24"/>
        <v>794</v>
      </c>
      <c r="AR700" s="5">
        <f>VLOOKUP(F700,'[2]SCP_24-25'!$A:$D,4,0)</f>
        <v>77.84</v>
      </c>
      <c r="AS700" s="5">
        <f t="shared" si="23"/>
        <v>61804.959999999999</v>
      </c>
    </row>
    <row r="701" spans="1:45" x14ac:dyDescent="0.3">
      <c r="A701" s="1">
        <v>45900.962500000001</v>
      </c>
      <c r="B701" t="s">
        <v>1363</v>
      </c>
      <c r="C701" t="s">
        <v>1364</v>
      </c>
      <c r="D701" t="s">
        <v>427</v>
      </c>
      <c r="F701" t="s">
        <v>1670</v>
      </c>
      <c r="G701" t="s">
        <v>428</v>
      </c>
      <c r="H701" t="s">
        <v>130</v>
      </c>
      <c r="I701" t="s">
        <v>43</v>
      </c>
      <c r="J701">
        <v>24.02</v>
      </c>
      <c r="K701">
        <v>19</v>
      </c>
      <c r="L701">
        <v>10</v>
      </c>
      <c r="M701">
        <v>11</v>
      </c>
      <c r="N701">
        <v>10077</v>
      </c>
      <c r="O701">
        <v>3</v>
      </c>
      <c r="P701">
        <v>0</v>
      </c>
      <c r="Q701" t="s">
        <v>44</v>
      </c>
      <c r="R701">
        <v>2982</v>
      </c>
      <c r="S701" t="s">
        <v>44</v>
      </c>
      <c r="T701" t="s">
        <v>44</v>
      </c>
      <c r="U701" t="s">
        <v>44</v>
      </c>
      <c r="V701">
        <v>431</v>
      </c>
      <c r="W701" t="s">
        <v>44</v>
      </c>
      <c r="X701" t="s">
        <v>44</v>
      </c>
      <c r="Y701">
        <v>431</v>
      </c>
      <c r="Z701" t="s">
        <v>44</v>
      </c>
      <c r="AA701">
        <v>8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442</v>
      </c>
      <c r="AQ701">
        <f t="shared" si="24"/>
        <v>442</v>
      </c>
      <c r="AR701" s="5">
        <f>VLOOKUP(F701,'[2]SCP_24-25'!$A:$D,4,0)</f>
        <v>79.680000000000007</v>
      </c>
      <c r="AS701" s="5">
        <f t="shared" si="23"/>
        <v>35218.560000000005</v>
      </c>
    </row>
    <row r="702" spans="1:45" x14ac:dyDescent="0.3">
      <c r="A702" s="1">
        <v>45900.962500000001</v>
      </c>
      <c r="B702" t="s">
        <v>1363</v>
      </c>
      <c r="C702" t="s">
        <v>1364</v>
      </c>
      <c r="D702" t="s">
        <v>570</v>
      </c>
      <c r="F702" t="s">
        <v>1739</v>
      </c>
      <c r="G702" t="s">
        <v>571</v>
      </c>
      <c r="H702" t="s">
        <v>130</v>
      </c>
      <c r="I702" t="s">
        <v>43</v>
      </c>
      <c r="J702">
        <v>24</v>
      </c>
      <c r="K702">
        <v>19</v>
      </c>
      <c r="L702">
        <v>10</v>
      </c>
      <c r="M702">
        <v>11</v>
      </c>
      <c r="N702">
        <v>9676</v>
      </c>
      <c r="O702">
        <v>5</v>
      </c>
      <c r="P702">
        <v>0</v>
      </c>
      <c r="Q702" t="s">
        <v>44</v>
      </c>
      <c r="R702">
        <v>2710</v>
      </c>
      <c r="S702" t="s">
        <v>44</v>
      </c>
      <c r="T702" t="s">
        <v>44</v>
      </c>
      <c r="U702" t="s">
        <v>44</v>
      </c>
      <c r="V702">
        <v>393</v>
      </c>
      <c r="W702">
        <v>52</v>
      </c>
      <c r="X702" t="s">
        <v>44</v>
      </c>
      <c r="Y702">
        <v>393</v>
      </c>
      <c r="Z702" t="s">
        <v>44</v>
      </c>
      <c r="AA702">
        <v>20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418</v>
      </c>
      <c r="AQ702">
        <f t="shared" si="24"/>
        <v>418</v>
      </c>
      <c r="AR702" s="5">
        <f>VLOOKUP(F702,'[2]SCP_24-25'!$A:$D,4,0)</f>
        <v>79.680000000000007</v>
      </c>
      <c r="AS702" s="5">
        <f t="shared" si="23"/>
        <v>33306.240000000005</v>
      </c>
    </row>
    <row r="703" spans="1:45" x14ac:dyDescent="0.3">
      <c r="A703" s="1">
        <v>45900.962500000001</v>
      </c>
      <c r="B703" t="s">
        <v>1363</v>
      </c>
      <c r="C703" t="s">
        <v>1364</v>
      </c>
      <c r="D703" t="s">
        <v>528</v>
      </c>
      <c r="F703" t="s">
        <v>1718</v>
      </c>
      <c r="G703" t="s">
        <v>529</v>
      </c>
      <c r="H703" t="s">
        <v>130</v>
      </c>
      <c r="I703" t="s">
        <v>43</v>
      </c>
      <c r="J703">
        <v>24.02</v>
      </c>
      <c r="K703">
        <v>19</v>
      </c>
      <c r="L703">
        <v>10</v>
      </c>
      <c r="M703">
        <v>11</v>
      </c>
      <c r="N703">
        <v>11103</v>
      </c>
      <c r="O703">
        <v>2</v>
      </c>
      <c r="P703">
        <v>0</v>
      </c>
      <c r="Q703" t="s">
        <v>44</v>
      </c>
      <c r="R703">
        <v>3416</v>
      </c>
      <c r="S703" t="s">
        <v>44</v>
      </c>
      <c r="T703" t="s">
        <v>44</v>
      </c>
      <c r="U703" t="s">
        <v>44</v>
      </c>
      <c r="V703">
        <v>641</v>
      </c>
      <c r="W703" t="s">
        <v>44</v>
      </c>
      <c r="X703" t="s">
        <v>44</v>
      </c>
      <c r="Y703">
        <v>641</v>
      </c>
      <c r="Z703" t="s">
        <v>44</v>
      </c>
      <c r="AA703">
        <v>7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650</v>
      </c>
      <c r="AQ703">
        <f t="shared" si="24"/>
        <v>650</v>
      </c>
      <c r="AR703" s="5">
        <f>VLOOKUP(F703,'[2]SCP_24-25'!$A:$D,4,0)</f>
        <v>79.680000000000007</v>
      </c>
      <c r="AS703" s="5">
        <f t="shared" si="23"/>
        <v>51792.000000000007</v>
      </c>
    </row>
    <row r="704" spans="1:45" x14ac:dyDescent="0.3">
      <c r="A704" s="1">
        <v>45900.962500000001</v>
      </c>
      <c r="B704" t="s">
        <v>1363</v>
      </c>
      <c r="C704" t="s">
        <v>1364</v>
      </c>
      <c r="D704" t="s">
        <v>447</v>
      </c>
      <c r="F704" t="s">
        <v>1678</v>
      </c>
      <c r="G704" t="s">
        <v>448</v>
      </c>
      <c r="H704" t="s">
        <v>130</v>
      </c>
      <c r="I704" t="s">
        <v>43</v>
      </c>
      <c r="J704">
        <v>24</v>
      </c>
      <c r="K704">
        <v>19</v>
      </c>
      <c r="L704">
        <v>10</v>
      </c>
      <c r="M704">
        <v>11</v>
      </c>
      <c r="N704">
        <v>10660</v>
      </c>
      <c r="O704">
        <v>0</v>
      </c>
      <c r="P704">
        <v>0</v>
      </c>
      <c r="Q704" t="s">
        <v>44</v>
      </c>
      <c r="R704">
        <v>3915</v>
      </c>
      <c r="S704" t="s">
        <v>44</v>
      </c>
      <c r="T704" t="s">
        <v>44</v>
      </c>
      <c r="U704" t="s">
        <v>44</v>
      </c>
      <c r="V704">
        <v>803</v>
      </c>
      <c r="W704">
        <v>3</v>
      </c>
      <c r="X704" t="s">
        <v>44</v>
      </c>
      <c r="Y704">
        <v>803</v>
      </c>
      <c r="Z704" t="s">
        <v>44</v>
      </c>
      <c r="AA704">
        <v>3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806</v>
      </c>
      <c r="AQ704">
        <f t="shared" si="24"/>
        <v>806</v>
      </c>
      <c r="AR704" s="5">
        <f>VLOOKUP(F704,'[2]SCP_24-25'!$A:$D,4,0)</f>
        <v>79.680000000000007</v>
      </c>
      <c r="AS704" s="5">
        <f t="shared" si="23"/>
        <v>64222.080000000009</v>
      </c>
    </row>
    <row r="705" spans="1:45" x14ac:dyDescent="0.3">
      <c r="A705" s="1">
        <v>45900.962500000001</v>
      </c>
      <c r="B705" t="s">
        <v>1363</v>
      </c>
      <c r="C705" t="s">
        <v>1364</v>
      </c>
      <c r="D705" t="s">
        <v>599</v>
      </c>
      <c r="F705" t="s">
        <v>1753</v>
      </c>
      <c r="G705" t="s">
        <v>600</v>
      </c>
      <c r="H705" t="s">
        <v>130</v>
      </c>
      <c r="I705" t="s">
        <v>43</v>
      </c>
      <c r="J705">
        <v>24.02</v>
      </c>
      <c r="K705">
        <v>19</v>
      </c>
      <c r="L705">
        <v>10</v>
      </c>
      <c r="M705">
        <v>11</v>
      </c>
      <c r="N705">
        <v>10009</v>
      </c>
      <c r="O705">
        <v>13</v>
      </c>
      <c r="P705">
        <v>0</v>
      </c>
      <c r="Q705" t="s">
        <v>44</v>
      </c>
      <c r="R705">
        <v>2190</v>
      </c>
      <c r="S705" t="s">
        <v>44</v>
      </c>
      <c r="T705" t="s">
        <v>44</v>
      </c>
      <c r="U705" t="s">
        <v>44</v>
      </c>
      <c r="V705">
        <v>431</v>
      </c>
      <c r="W705" t="s">
        <v>44</v>
      </c>
      <c r="X705" t="s">
        <v>44</v>
      </c>
      <c r="Y705">
        <v>431</v>
      </c>
      <c r="Z705" t="s">
        <v>44</v>
      </c>
      <c r="AA705">
        <v>15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459</v>
      </c>
      <c r="AQ705">
        <f t="shared" si="24"/>
        <v>459</v>
      </c>
      <c r="AR705" s="5">
        <f>VLOOKUP(F705,'[2]SCP_24-25'!$A:$D,4,0)</f>
        <v>79.680000000000007</v>
      </c>
      <c r="AS705" s="5">
        <f t="shared" si="23"/>
        <v>36573.120000000003</v>
      </c>
    </row>
    <row r="706" spans="1:45" x14ac:dyDescent="0.3">
      <c r="A706" s="1">
        <v>45900.962500000001</v>
      </c>
      <c r="B706" t="s">
        <v>1363</v>
      </c>
      <c r="C706" t="s">
        <v>1364</v>
      </c>
      <c r="D706" t="s">
        <v>449</v>
      </c>
      <c r="F706" t="s">
        <v>1679</v>
      </c>
      <c r="G706" t="s">
        <v>450</v>
      </c>
      <c r="H706" t="s">
        <v>130</v>
      </c>
      <c r="I706" t="s">
        <v>43</v>
      </c>
      <c r="J706">
        <v>125</v>
      </c>
      <c r="K706">
        <v>19</v>
      </c>
      <c r="L706">
        <v>10</v>
      </c>
      <c r="M706">
        <v>11</v>
      </c>
      <c r="N706">
        <v>7401</v>
      </c>
      <c r="O706">
        <v>3</v>
      </c>
      <c r="P706">
        <v>0</v>
      </c>
      <c r="Q706">
        <v>66</v>
      </c>
      <c r="R706">
        <v>2009</v>
      </c>
      <c r="S706" t="s">
        <v>44</v>
      </c>
      <c r="T706">
        <v>32</v>
      </c>
      <c r="U706" t="s">
        <v>44</v>
      </c>
      <c r="V706">
        <v>695</v>
      </c>
      <c r="W706" t="s">
        <v>44</v>
      </c>
      <c r="X706" t="s">
        <v>44</v>
      </c>
      <c r="Y706">
        <v>695</v>
      </c>
      <c r="Z706" t="s">
        <v>44</v>
      </c>
      <c r="AA706">
        <v>5</v>
      </c>
      <c r="AB706">
        <v>0</v>
      </c>
      <c r="AC706">
        <v>0</v>
      </c>
      <c r="AD706">
        <v>0</v>
      </c>
      <c r="AE706">
        <v>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703</v>
      </c>
      <c r="AQ706">
        <f t="shared" si="24"/>
        <v>703</v>
      </c>
      <c r="AR706" s="5">
        <f>VLOOKUP(F706,'[2]SCP_24-25'!$A:$D,4,0)</f>
        <v>168.55</v>
      </c>
      <c r="AS706" s="5">
        <f t="shared" si="23"/>
        <v>118490.65000000001</v>
      </c>
    </row>
    <row r="707" spans="1:45" x14ac:dyDescent="0.3">
      <c r="A707" s="1">
        <v>45900.962500000001</v>
      </c>
      <c r="B707" t="s">
        <v>1363</v>
      </c>
      <c r="C707" t="s">
        <v>1364</v>
      </c>
      <c r="D707" t="s">
        <v>530</v>
      </c>
      <c r="F707" t="s">
        <v>1719</v>
      </c>
      <c r="G707" t="s">
        <v>531</v>
      </c>
      <c r="H707" t="s">
        <v>130</v>
      </c>
      <c r="I707" t="s">
        <v>43</v>
      </c>
      <c r="J707">
        <v>38.020000000000003</v>
      </c>
      <c r="K707">
        <v>19</v>
      </c>
      <c r="L707">
        <v>10</v>
      </c>
      <c r="M707">
        <v>11</v>
      </c>
      <c r="N707">
        <v>8595</v>
      </c>
      <c r="O707">
        <v>4</v>
      </c>
      <c r="P707">
        <v>0</v>
      </c>
      <c r="Q707">
        <v>1</v>
      </c>
      <c r="R707">
        <v>3371</v>
      </c>
      <c r="S707" t="s">
        <v>44</v>
      </c>
      <c r="T707" t="s">
        <v>44</v>
      </c>
      <c r="U707" t="s">
        <v>44</v>
      </c>
      <c r="V707">
        <v>797</v>
      </c>
      <c r="W707">
        <v>24</v>
      </c>
      <c r="X707" t="s">
        <v>44</v>
      </c>
      <c r="Y707">
        <v>797</v>
      </c>
      <c r="Z707" t="s">
        <v>44</v>
      </c>
      <c r="AA707">
        <v>10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811</v>
      </c>
      <c r="AQ707">
        <f t="shared" si="24"/>
        <v>811</v>
      </c>
      <c r="AR707" s="5">
        <f>VLOOKUP(F707,'[2]SCP_24-25'!$A:$D,4,0)</f>
        <v>73.05</v>
      </c>
      <c r="AS707" s="5">
        <f t="shared" ref="AS707:AS770" si="25">AQ707*AR707</f>
        <v>59243.549999999996</v>
      </c>
    </row>
    <row r="708" spans="1:45" x14ac:dyDescent="0.3">
      <c r="A708" s="1">
        <v>45900.962500000001</v>
      </c>
      <c r="B708" t="s">
        <v>1363</v>
      </c>
      <c r="C708" t="s">
        <v>1364</v>
      </c>
      <c r="D708" t="s">
        <v>489</v>
      </c>
      <c r="F708" t="s">
        <v>1699</v>
      </c>
      <c r="G708" t="s">
        <v>490</v>
      </c>
      <c r="H708" t="s">
        <v>130</v>
      </c>
      <c r="I708" t="s">
        <v>43</v>
      </c>
      <c r="J708">
        <v>38.020000000000003</v>
      </c>
      <c r="K708">
        <v>19</v>
      </c>
      <c r="L708">
        <v>10</v>
      </c>
      <c r="M708">
        <v>11</v>
      </c>
      <c r="N708">
        <v>6477</v>
      </c>
      <c r="O708">
        <v>12</v>
      </c>
      <c r="P708">
        <v>0</v>
      </c>
      <c r="Q708">
        <v>1</v>
      </c>
      <c r="R708">
        <v>1577</v>
      </c>
      <c r="S708" t="s">
        <v>44</v>
      </c>
      <c r="T708" t="s">
        <v>44</v>
      </c>
      <c r="U708" t="s">
        <v>44</v>
      </c>
      <c r="V708">
        <v>210</v>
      </c>
      <c r="W708">
        <v>41</v>
      </c>
      <c r="X708" t="s">
        <v>44</v>
      </c>
      <c r="Y708">
        <v>210</v>
      </c>
      <c r="Z708" t="s">
        <v>44</v>
      </c>
      <c r="AA708">
        <v>11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233</v>
      </c>
      <c r="AQ708">
        <f t="shared" si="24"/>
        <v>233</v>
      </c>
      <c r="AR708" s="5">
        <f>VLOOKUP(F708,'[2]SCP_24-25'!$A:$D,4,0)</f>
        <v>73.05</v>
      </c>
      <c r="AS708" s="5">
        <f t="shared" si="25"/>
        <v>17020.649999999998</v>
      </c>
    </row>
    <row r="709" spans="1:45" x14ac:dyDescent="0.3">
      <c r="A709" s="1">
        <v>45900.962500000001</v>
      </c>
      <c r="B709" t="s">
        <v>1363</v>
      </c>
      <c r="C709" t="s">
        <v>1364</v>
      </c>
      <c r="D709" t="s">
        <v>453</v>
      </c>
      <c r="F709" t="s">
        <v>1681</v>
      </c>
      <c r="G709" t="s">
        <v>454</v>
      </c>
      <c r="H709" t="s">
        <v>130</v>
      </c>
      <c r="I709" t="s">
        <v>43</v>
      </c>
      <c r="J709">
        <v>38.020000000000003</v>
      </c>
      <c r="K709">
        <v>19</v>
      </c>
      <c r="L709">
        <v>10</v>
      </c>
      <c r="M709">
        <v>11</v>
      </c>
      <c r="N709">
        <v>6798</v>
      </c>
      <c r="O709">
        <v>1</v>
      </c>
      <c r="P709">
        <v>0</v>
      </c>
      <c r="Q709" t="s">
        <v>44</v>
      </c>
      <c r="R709">
        <v>1724</v>
      </c>
      <c r="S709" t="s">
        <v>44</v>
      </c>
      <c r="T709" t="s">
        <v>44</v>
      </c>
      <c r="U709" t="s">
        <v>44</v>
      </c>
      <c r="V709">
        <v>547</v>
      </c>
      <c r="W709" t="s">
        <v>44</v>
      </c>
      <c r="X709" t="s">
        <v>44</v>
      </c>
      <c r="Y709">
        <v>547</v>
      </c>
      <c r="Z709" t="s">
        <v>44</v>
      </c>
      <c r="AA709">
        <v>3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551</v>
      </c>
      <c r="AQ709">
        <f t="shared" si="24"/>
        <v>551</v>
      </c>
      <c r="AR709" s="5">
        <f>VLOOKUP(F709,'[2]SCP_24-25'!$A:$D,4,0)</f>
        <v>73.05</v>
      </c>
      <c r="AS709" s="5">
        <f t="shared" si="25"/>
        <v>40250.549999999996</v>
      </c>
    </row>
    <row r="710" spans="1:45" x14ac:dyDescent="0.3">
      <c r="A710" s="1">
        <v>45900.962500000001</v>
      </c>
      <c r="B710" t="s">
        <v>1363</v>
      </c>
      <c r="C710" t="s">
        <v>1364</v>
      </c>
      <c r="D710" t="s">
        <v>597</v>
      </c>
      <c r="F710" t="s">
        <v>1752</v>
      </c>
      <c r="G710" t="s">
        <v>598</v>
      </c>
      <c r="H710" t="s">
        <v>130</v>
      </c>
      <c r="I710" t="s">
        <v>43</v>
      </c>
      <c r="J710">
        <v>40</v>
      </c>
      <c r="K710">
        <v>19</v>
      </c>
      <c r="L710">
        <v>10</v>
      </c>
      <c r="M710">
        <v>11</v>
      </c>
      <c r="N710">
        <v>8772</v>
      </c>
      <c r="O710">
        <v>15</v>
      </c>
      <c r="P710">
        <v>0</v>
      </c>
      <c r="Q710">
        <v>1</v>
      </c>
      <c r="R710">
        <v>1522</v>
      </c>
      <c r="S710" t="s">
        <v>44</v>
      </c>
      <c r="T710" t="s">
        <v>44</v>
      </c>
      <c r="U710" t="s">
        <v>44</v>
      </c>
      <c r="V710">
        <v>128</v>
      </c>
      <c r="W710">
        <v>9</v>
      </c>
      <c r="X710" t="s">
        <v>44</v>
      </c>
      <c r="Y710">
        <v>128</v>
      </c>
      <c r="Z710" t="s">
        <v>44</v>
      </c>
      <c r="AA710">
        <v>21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164</v>
      </c>
      <c r="AQ710">
        <f t="shared" si="24"/>
        <v>164</v>
      </c>
      <c r="AR710" s="5">
        <f>VLOOKUP(F710,'[2]SCP_24-25'!$A:$D,4,0)</f>
        <v>98.3</v>
      </c>
      <c r="AS710" s="5">
        <f t="shared" si="25"/>
        <v>16121.199999999999</v>
      </c>
    </row>
    <row r="711" spans="1:45" x14ac:dyDescent="0.3">
      <c r="A711" s="1">
        <v>45900.962500000001</v>
      </c>
      <c r="B711" t="s">
        <v>1363</v>
      </c>
      <c r="C711" t="s">
        <v>1364</v>
      </c>
      <c r="D711" t="s">
        <v>607</v>
      </c>
      <c r="F711" t="s">
        <v>1757</v>
      </c>
      <c r="G711" t="s">
        <v>608</v>
      </c>
      <c r="H711" t="s">
        <v>130</v>
      </c>
      <c r="I711" t="s">
        <v>43</v>
      </c>
      <c r="J711">
        <v>40.020000000000003</v>
      </c>
      <c r="K711">
        <v>19</v>
      </c>
      <c r="L711">
        <v>10</v>
      </c>
      <c r="M711">
        <v>11</v>
      </c>
      <c r="N711">
        <v>9180</v>
      </c>
      <c r="O711">
        <v>22</v>
      </c>
      <c r="P711">
        <v>0</v>
      </c>
      <c r="Q711" t="s">
        <v>44</v>
      </c>
      <c r="R711">
        <v>1662</v>
      </c>
      <c r="S711" t="s">
        <v>44</v>
      </c>
      <c r="T711" t="s">
        <v>44</v>
      </c>
      <c r="U711" t="s">
        <v>44</v>
      </c>
      <c r="V711">
        <v>137</v>
      </c>
      <c r="W711" t="s">
        <v>44</v>
      </c>
      <c r="X711" t="s">
        <v>44</v>
      </c>
      <c r="Y711">
        <v>137</v>
      </c>
      <c r="Z711" t="s">
        <v>44</v>
      </c>
      <c r="AA711">
        <v>15</v>
      </c>
      <c r="AB711">
        <v>0</v>
      </c>
      <c r="AC711">
        <v>0</v>
      </c>
      <c r="AD711">
        <v>0</v>
      </c>
      <c r="AE711">
        <v>0</v>
      </c>
      <c r="AF711">
        <v>2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174</v>
      </c>
      <c r="AQ711">
        <f t="shared" si="24"/>
        <v>174</v>
      </c>
      <c r="AR711" s="5">
        <f>VLOOKUP(F711,'[2]SCP_24-25'!$A:$D,4,0)</f>
        <v>98.3</v>
      </c>
      <c r="AS711" s="5">
        <f t="shared" si="25"/>
        <v>17104.2</v>
      </c>
    </row>
    <row r="712" spans="1:45" x14ac:dyDescent="0.3">
      <c r="A712" s="1">
        <v>45900.962500000001</v>
      </c>
      <c r="B712" t="s">
        <v>1363</v>
      </c>
      <c r="C712" t="s">
        <v>1364</v>
      </c>
      <c r="D712" t="s">
        <v>455</v>
      </c>
      <c r="F712" t="s">
        <v>1682</v>
      </c>
      <c r="G712" t="s">
        <v>456</v>
      </c>
      <c r="H712" t="s">
        <v>130</v>
      </c>
      <c r="I712" t="s">
        <v>43</v>
      </c>
      <c r="J712">
        <v>40.020000000000003</v>
      </c>
      <c r="K712">
        <v>19</v>
      </c>
      <c r="L712">
        <v>10</v>
      </c>
      <c r="M712">
        <v>11</v>
      </c>
      <c r="N712">
        <v>8336</v>
      </c>
      <c r="O712">
        <v>9</v>
      </c>
      <c r="P712">
        <v>0</v>
      </c>
      <c r="Q712">
        <v>1</v>
      </c>
      <c r="R712">
        <v>754</v>
      </c>
      <c r="S712" t="s">
        <v>44</v>
      </c>
      <c r="T712" t="s">
        <v>44</v>
      </c>
      <c r="U712" t="s">
        <v>44</v>
      </c>
      <c r="V712">
        <v>108</v>
      </c>
      <c r="W712" t="s">
        <v>44</v>
      </c>
      <c r="X712" t="s">
        <v>44</v>
      </c>
      <c r="Y712">
        <v>108</v>
      </c>
      <c r="Z712" t="s">
        <v>44</v>
      </c>
      <c r="AA712">
        <v>7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124</v>
      </c>
      <c r="AQ712">
        <f t="shared" si="24"/>
        <v>124</v>
      </c>
      <c r="AR712" s="5">
        <f>VLOOKUP(F712,'[2]SCP_24-25'!$A:$D,4,0)</f>
        <v>98.299999999999983</v>
      </c>
      <c r="AS712" s="5">
        <f t="shared" si="25"/>
        <v>12189.199999999997</v>
      </c>
    </row>
    <row r="713" spans="1:45" x14ac:dyDescent="0.3">
      <c r="A713" s="1">
        <v>45900.962500000001</v>
      </c>
      <c r="B713" t="s">
        <v>1363</v>
      </c>
      <c r="C713" t="s">
        <v>1364</v>
      </c>
      <c r="D713" t="s">
        <v>491</v>
      </c>
      <c r="F713" t="s">
        <v>1700</v>
      </c>
      <c r="G713" t="s">
        <v>492</v>
      </c>
      <c r="H713" t="s">
        <v>130</v>
      </c>
      <c r="I713" t="s">
        <v>43</v>
      </c>
      <c r="J713">
        <v>40.020000000000003</v>
      </c>
      <c r="K713">
        <v>19</v>
      </c>
      <c r="L713">
        <v>10</v>
      </c>
      <c r="M713">
        <v>11</v>
      </c>
      <c r="N713">
        <v>9319</v>
      </c>
      <c r="O713">
        <v>30</v>
      </c>
      <c r="P713">
        <v>0</v>
      </c>
      <c r="Q713">
        <v>4</v>
      </c>
      <c r="R713">
        <v>1906</v>
      </c>
      <c r="S713" t="s">
        <v>44</v>
      </c>
      <c r="T713" t="s">
        <v>44</v>
      </c>
      <c r="U713" t="s">
        <v>44</v>
      </c>
      <c r="V713">
        <v>136</v>
      </c>
      <c r="W713">
        <v>14</v>
      </c>
      <c r="X713" t="s">
        <v>44</v>
      </c>
      <c r="Y713">
        <v>136</v>
      </c>
      <c r="Z713" t="s">
        <v>44</v>
      </c>
      <c r="AA713">
        <v>16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182</v>
      </c>
      <c r="AQ713">
        <f t="shared" si="24"/>
        <v>182</v>
      </c>
      <c r="AR713" s="5">
        <f>VLOOKUP(F713,'[2]SCP_24-25'!$A:$D,4,0)</f>
        <v>98.3</v>
      </c>
      <c r="AS713" s="5">
        <f t="shared" si="25"/>
        <v>17890.599999999999</v>
      </c>
    </row>
    <row r="714" spans="1:45" x14ac:dyDescent="0.3">
      <c r="A714" s="1">
        <v>45900.962500000001</v>
      </c>
      <c r="B714" t="s">
        <v>1363</v>
      </c>
      <c r="C714" t="s">
        <v>1364</v>
      </c>
      <c r="D714" t="s">
        <v>420</v>
      </c>
      <c r="F714" t="s">
        <v>1667</v>
      </c>
      <c r="G714" t="s">
        <v>421</v>
      </c>
      <c r="H714" t="s">
        <v>130</v>
      </c>
      <c r="I714" t="s">
        <v>43</v>
      </c>
      <c r="J714">
        <v>40.020000000000003</v>
      </c>
      <c r="K714">
        <v>19</v>
      </c>
      <c r="L714">
        <v>10</v>
      </c>
      <c r="M714">
        <v>11</v>
      </c>
      <c r="N714">
        <v>7040</v>
      </c>
      <c r="O714">
        <v>4</v>
      </c>
      <c r="P714">
        <v>0</v>
      </c>
      <c r="Q714">
        <v>1</v>
      </c>
      <c r="R714">
        <v>193</v>
      </c>
      <c r="S714" t="s">
        <v>44</v>
      </c>
      <c r="T714" t="s">
        <v>44</v>
      </c>
      <c r="U714" t="s">
        <v>44</v>
      </c>
      <c r="V714">
        <v>154</v>
      </c>
      <c r="W714">
        <v>9</v>
      </c>
      <c r="X714" t="s">
        <v>44</v>
      </c>
      <c r="Y714">
        <v>154</v>
      </c>
      <c r="Z714" t="s">
        <v>44</v>
      </c>
      <c r="AA714">
        <v>7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165</v>
      </c>
      <c r="AQ714">
        <f t="shared" si="24"/>
        <v>165</v>
      </c>
      <c r="AR714" s="5">
        <f>VLOOKUP(F714,'[2]SCP_24-25'!$A:$D,4,0)</f>
        <v>98.3</v>
      </c>
      <c r="AS714" s="5">
        <f t="shared" si="25"/>
        <v>16219.5</v>
      </c>
    </row>
    <row r="715" spans="1:45" x14ac:dyDescent="0.3">
      <c r="A715" s="1">
        <v>45900.962500000001</v>
      </c>
      <c r="B715" t="s">
        <v>1363</v>
      </c>
      <c r="C715" t="s">
        <v>1364</v>
      </c>
      <c r="D715" t="s">
        <v>590</v>
      </c>
      <c r="F715" t="s">
        <v>1749</v>
      </c>
      <c r="G715" t="s">
        <v>591</v>
      </c>
      <c r="H715" t="s">
        <v>130</v>
      </c>
      <c r="I715" t="s">
        <v>43</v>
      </c>
      <c r="J715">
        <v>53.02</v>
      </c>
      <c r="K715">
        <v>19</v>
      </c>
      <c r="L715">
        <v>10</v>
      </c>
      <c r="M715">
        <v>11</v>
      </c>
      <c r="N715">
        <v>6721</v>
      </c>
      <c r="O715">
        <v>0</v>
      </c>
      <c r="P715">
        <v>0</v>
      </c>
      <c r="Q715" t="s">
        <v>44</v>
      </c>
      <c r="R715">
        <v>1773</v>
      </c>
      <c r="S715" t="s">
        <v>44</v>
      </c>
      <c r="T715" t="s">
        <v>44</v>
      </c>
      <c r="U715" t="s">
        <v>44</v>
      </c>
      <c r="V715">
        <v>583</v>
      </c>
      <c r="W715" t="s">
        <v>44</v>
      </c>
      <c r="X715" t="s">
        <v>44</v>
      </c>
      <c r="Y715">
        <v>583</v>
      </c>
      <c r="Z715" t="s">
        <v>44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583</v>
      </c>
      <c r="AQ715">
        <f t="shared" si="24"/>
        <v>583</v>
      </c>
      <c r="AR715" s="5">
        <f>VLOOKUP(F715,'[2]SCP_24-25'!$A:$D,4,0)</f>
        <v>51.74</v>
      </c>
      <c r="AS715" s="5">
        <f t="shared" si="25"/>
        <v>30164.420000000002</v>
      </c>
    </row>
    <row r="716" spans="1:45" x14ac:dyDescent="0.3">
      <c r="A716" s="1">
        <v>45900.962500000001</v>
      </c>
      <c r="B716" t="s">
        <v>1363</v>
      </c>
      <c r="C716" t="s">
        <v>1364</v>
      </c>
      <c r="D716" t="s">
        <v>497</v>
      </c>
      <c r="F716" t="s">
        <v>1703</v>
      </c>
      <c r="G716" t="s">
        <v>498</v>
      </c>
      <c r="H716" t="s">
        <v>130</v>
      </c>
      <c r="I716" t="s">
        <v>43</v>
      </c>
      <c r="J716">
        <v>53</v>
      </c>
      <c r="K716">
        <v>19</v>
      </c>
      <c r="L716">
        <v>10</v>
      </c>
      <c r="M716">
        <v>11</v>
      </c>
      <c r="N716">
        <v>6841</v>
      </c>
      <c r="O716">
        <v>0</v>
      </c>
      <c r="P716">
        <v>0</v>
      </c>
      <c r="Q716" t="s">
        <v>44</v>
      </c>
      <c r="R716">
        <v>1626</v>
      </c>
      <c r="S716" t="s">
        <v>44</v>
      </c>
      <c r="T716" t="s">
        <v>44</v>
      </c>
      <c r="U716" t="s">
        <v>44</v>
      </c>
      <c r="V716">
        <v>501</v>
      </c>
      <c r="W716" t="s">
        <v>44</v>
      </c>
      <c r="X716" t="s">
        <v>44</v>
      </c>
      <c r="Y716">
        <v>501</v>
      </c>
      <c r="Z716" t="s">
        <v>44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501</v>
      </c>
      <c r="AQ716">
        <f t="shared" si="24"/>
        <v>501</v>
      </c>
      <c r="AR716" s="5">
        <f>VLOOKUP(F716,'[2]SCP_24-25'!$A:$D,4,0)</f>
        <v>51.74</v>
      </c>
      <c r="AS716" s="5">
        <f t="shared" si="25"/>
        <v>25921.74</v>
      </c>
    </row>
    <row r="717" spans="1:45" x14ac:dyDescent="0.3">
      <c r="A717" s="1">
        <v>45900.962500000001</v>
      </c>
      <c r="B717" t="s">
        <v>1363</v>
      </c>
      <c r="C717" t="s">
        <v>1364</v>
      </c>
      <c r="D717" t="s">
        <v>461</v>
      </c>
      <c r="F717" t="s">
        <v>1685</v>
      </c>
      <c r="G717" t="s">
        <v>462</v>
      </c>
      <c r="H717" t="s">
        <v>130</v>
      </c>
      <c r="I717" t="s">
        <v>43</v>
      </c>
      <c r="J717">
        <v>53.02</v>
      </c>
      <c r="K717">
        <v>19</v>
      </c>
      <c r="L717">
        <v>10</v>
      </c>
      <c r="M717">
        <v>11</v>
      </c>
      <c r="N717">
        <v>5739</v>
      </c>
      <c r="O717">
        <v>0</v>
      </c>
      <c r="P717">
        <v>0</v>
      </c>
      <c r="Q717" t="s">
        <v>44</v>
      </c>
      <c r="R717">
        <v>1559</v>
      </c>
      <c r="S717" t="s">
        <v>44</v>
      </c>
      <c r="T717" t="s">
        <v>44</v>
      </c>
      <c r="U717" t="s">
        <v>44</v>
      </c>
      <c r="V717">
        <v>191</v>
      </c>
      <c r="W717">
        <v>27</v>
      </c>
      <c r="X717" t="s">
        <v>44</v>
      </c>
      <c r="Y717">
        <v>191</v>
      </c>
      <c r="Z717" t="s">
        <v>44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192</v>
      </c>
      <c r="AQ717">
        <f t="shared" si="24"/>
        <v>192</v>
      </c>
      <c r="AR717" s="5">
        <f>VLOOKUP(F717,'[2]SCP_24-25'!$A:$D,4,0)</f>
        <v>51.74</v>
      </c>
      <c r="AS717" s="5">
        <f t="shared" si="25"/>
        <v>9934.08</v>
      </c>
    </row>
    <row r="718" spans="1:45" x14ac:dyDescent="0.3">
      <c r="A718" s="1">
        <v>45900.962500000001</v>
      </c>
      <c r="B718" t="s">
        <v>1363</v>
      </c>
      <c r="C718" t="s">
        <v>1364</v>
      </c>
      <c r="D718" t="s">
        <v>463</v>
      </c>
      <c r="F718" t="s">
        <v>1686</v>
      </c>
      <c r="G718" t="s">
        <v>464</v>
      </c>
      <c r="H718" t="s">
        <v>130</v>
      </c>
      <c r="I718" t="s">
        <v>43</v>
      </c>
      <c r="J718">
        <v>53.02</v>
      </c>
      <c r="K718">
        <v>19</v>
      </c>
      <c r="L718">
        <v>10</v>
      </c>
      <c r="M718">
        <v>11</v>
      </c>
      <c r="N718">
        <v>7866</v>
      </c>
      <c r="O718">
        <v>0</v>
      </c>
      <c r="P718">
        <v>0</v>
      </c>
      <c r="Q718" t="s">
        <v>44</v>
      </c>
      <c r="R718">
        <v>2944</v>
      </c>
      <c r="S718" t="s">
        <v>44</v>
      </c>
      <c r="T718" t="s">
        <v>44</v>
      </c>
      <c r="U718" t="s">
        <v>44</v>
      </c>
      <c r="V718">
        <v>631</v>
      </c>
      <c r="W718" t="s">
        <v>44</v>
      </c>
      <c r="X718" t="s">
        <v>44</v>
      </c>
      <c r="Y718">
        <v>631</v>
      </c>
      <c r="Z718" t="s">
        <v>44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631</v>
      </c>
      <c r="AQ718">
        <f t="shared" si="24"/>
        <v>631</v>
      </c>
      <c r="AR718" s="5">
        <f>VLOOKUP(F718,'[2]SCP_24-25'!$A:$D,4,0)</f>
        <v>51.74</v>
      </c>
      <c r="AS718" s="5">
        <f t="shared" si="25"/>
        <v>32647.940000000002</v>
      </c>
    </row>
    <row r="719" spans="1:45" x14ac:dyDescent="0.3">
      <c r="A719" s="1">
        <v>45900.962500000001</v>
      </c>
      <c r="B719" t="s">
        <v>1363</v>
      </c>
      <c r="C719" t="s">
        <v>1364</v>
      </c>
      <c r="D719" t="s">
        <v>1371</v>
      </c>
      <c r="F719" t="s">
        <v>2132</v>
      </c>
      <c r="G719" t="s">
        <v>1372</v>
      </c>
      <c r="H719" t="s">
        <v>120</v>
      </c>
      <c r="I719" t="s">
        <v>43</v>
      </c>
      <c r="J719">
        <v>100</v>
      </c>
      <c r="K719">
        <v>19</v>
      </c>
      <c r="L719">
        <v>11</v>
      </c>
      <c r="M719">
        <v>10</v>
      </c>
      <c r="N719">
        <v>252</v>
      </c>
      <c r="O719">
        <v>0</v>
      </c>
      <c r="P719">
        <v>0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>
        <v>205</v>
      </c>
      <c r="W719" t="s">
        <v>44</v>
      </c>
      <c r="X719" t="s">
        <v>44</v>
      </c>
      <c r="Y719">
        <v>205</v>
      </c>
      <c r="Z719" t="s">
        <v>44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205</v>
      </c>
      <c r="AQ719">
        <f t="shared" si="24"/>
        <v>205</v>
      </c>
      <c r="AR719" s="5">
        <f>VLOOKUP(F719,'[1]Cost Sheet'!$C:$D,2,0)</f>
        <v>65</v>
      </c>
      <c r="AS719" s="5">
        <f t="shared" si="25"/>
        <v>13325</v>
      </c>
    </row>
    <row r="720" spans="1:45" x14ac:dyDescent="0.3">
      <c r="A720" s="1">
        <v>45900.962500000001</v>
      </c>
      <c r="B720" t="s">
        <v>1363</v>
      </c>
      <c r="C720" t="s">
        <v>1364</v>
      </c>
      <c r="D720" t="s">
        <v>720</v>
      </c>
      <c r="F720" t="s">
        <v>1813</v>
      </c>
      <c r="G720" t="s">
        <v>721</v>
      </c>
      <c r="H720" t="s">
        <v>130</v>
      </c>
      <c r="I720" t="s">
        <v>43</v>
      </c>
      <c r="J720">
        <v>32.020000000000003</v>
      </c>
      <c r="K720">
        <v>19</v>
      </c>
      <c r="L720">
        <v>10</v>
      </c>
      <c r="M720">
        <v>11</v>
      </c>
      <c r="N720">
        <v>7791</v>
      </c>
      <c r="O720">
        <v>134</v>
      </c>
      <c r="P720">
        <v>0</v>
      </c>
      <c r="Q720">
        <v>5</v>
      </c>
      <c r="R720">
        <v>6</v>
      </c>
      <c r="S720" t="s">
        <v>44</v>
      </c>
      <c r="T720" t="s">
        <v>44</v>
      </c>
      <c r="U720" t="s">
        <v>44</v>
      </c>
      <c r="V720">
        <v>211</v>
      </c>
      <c r="W720" t="s">
        <v>44</v>
      </c>
      <c r="X720" t="s">
        <v>44</v>
      </c>
      <c r="Y720">
        <v>211</v>
      </c>
      <c r="Z720" t="s">
        <v>44</v>
      </c>
      <c r="AA720">
        <v>60</v>
      </c>
      <c r="AB720">
        <v>0</v>
      </c>
      <c r="AC720">
        <v>0</v>
      </c>
      <c r="AD720">
        <v>0</v>
      </c>
      <c r="AE720">
        <v>1</v>
      </c>
      <c r="AF720">
        <v>2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405</v>
      </c>
      <c r="AQ720">
        <f t="shared" si="24"/>
        <v>405</v>
      </c>
      <c r="AR720" s="5">
        <f>VLOOKUP(F720,'[2]SCP_24-25'!$A:$D,4,0)</f>
        <v>96.2</v>
      </c>
      <c r="AS720" s="5">
        <f t="shared" si="25"/>
        <v>38961</v>
      </c>
    </row>
    <row r="721" spans="1:45" x14ac:dyDescent="0.3">
      <c r="A721" s="1">
        <v>45900.962500000001</v>
      </c>
      <c r="B721" t="s">
        <v>1363</v>
      </c>
      <c r="C721" t="s">
        <v>1364</v>
      </c>
      <c r="D721" t="s">
        <v>601</v>
      </c>
      <c r="F721" t="s">
        <v>1754</v>
      </c>
      <c r="G721" t="s">
        <v>602</v>
      </c>
      <c r="H721" t="s">
        <v>130</v>
      </c>
      <c r="I721" t="s">
        <v>43</v>
      </c>
      <c r="J721">
        <v>32.020000000000003</v>
      </c>
      <c r="K721">
        <v>19</v>
      </c>
      <c r="L721">
        <v>10</v>
      </c>
      <c r="M721">
        <v>11</v>
      </c>
      <c r="N721">
        <v>13443</v>
      </c>
      <c r="O721">
        <v>245</v>
      </c>
      <c r="P721">
        <v>0</v>
      </c>
      <c r="Q721">
        <v>2</v>
      </c>
      <c r="R721">
        <v>808</v>
      </c>
      <c r="S721" t="s">
        <v>44</v>
      </c>
      <c r="T721">
        <v>132</v>
      </c>
      <c r="U721" t="s">
        <v>44</v>
      </c>
      <c r="V721">
        <v>244</v>
      </c>
      <c r="W721" t="s">
        <v>44</v>
      </c>
      <c r="X721" t="s">
        <v>44</v>
      </c>
      <c r="Y721">
        <v>244</v>
      </c>
      <c r="Z721" t="s">
        <v>44</v>
      </c>
      <c r="AA721">
        <v>88</v>
      </c>
      <c r="AB721">
        <v>0</v>
      </c>
      <c r="AC721">
        <v>0</v>
      </c>
      <c r="AD721">
        <v>0</v>
      </c>
      <c r="AE721">
        <v>1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577</v>
      </c>
      <c r="AQ721">
        <f t="shared" si="24"/>
        <v>577</v>
      </c>
      <c r="AR721" s="5">
        <f>VLOOKUP(F721,'[2]SCP_24-25'!$A:$D,4,0)</f>
        <v>96.2</v>
      </c>
      <c r="AS721" s="5">
        <f t="shared" si="25"/>
        <v>55507.4</v>
      </c>
    </row>
    <row r="722" spans="1:45" x14ac:dyDescent="0.3">
      <c r="A722" s="1">
        <v>45900.962500000001</v>
      </c>
      <c r="B722" t="s">
        <v>1363</v>
      </c>
      <c r="C722" t="s">
        <v>1364</v>
      </c>
      <c r="D722" t="s">
        <v>586</v>
      </c>
      <c r="F722" t="s">
        <v>1747</v>
      </c>
      <c r="G722" t="s">
        <v>587</v>
      </c>
      <c r="H722" t="s">
        <v>130</v>
      </c>
      <c r="I722" t="s">
        <v>43</v>
      </c>
      <c r="J722">
        <v>32.020000000000003</v>
      </c>
      <c r="K722">
        <v>19</v>
      </c>
      <c r="L722">
        <v>10</v>
      </c>
      <c r="M722">
        <v>11</v>
      </c>
      <c r="N722">
        <v>11981</v>
      </c>
      <c r="O722">
        <v>106</v>
      </c>
      <c r="P722">
        <v>0</v>
      </c>
      <c r="Q722">
        <v>1</v>
      </c>
      <c r="R722">
        <v>1053</v>
      </c>
      <c r="S722" t="s">
        <v>44</v>
      </c>
      <c r="T722" t="s">
        <v>44</v>
      </c>
      <c r="U722" t="s">
        <v>44</v>
      </c>
      <c r="V722">
        <v>866</v>
      </c>
      <c r="W722">
        <v>32</v>
      </c>
      <c r="X722" t="s">
        <v>44</v>
      </c>
      <c r="Y722">
        <v>866</v>
      </c>
      <c r="Z722" t="s">
        <v>44</v>
      </c>
      <c r="AA722">
        <v>43</v>
      </c>
      <c r="AB722">
        <v>0</v>
      </c>
      <c r="AC722">
        <v>0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s="2">
        <v>1015</v>
      </c>
      <c r="AQ722">
        <f t="shared" si="24"/>
        <v>1015</v>
      </c>
      <c r="AR722" s="5">
        <f>VLOOKUP(F722,'[2]SCP_24-25'!$A:$D,4,0)</f>
        <v>96.2</v>
      </c>
      <c r="AS722" s="5">
        <f t="shared" si="25"/>
        <v>97643</v>
      </c>
    </row>
    <row r="723" spans="1:45" x14ac:dyDescent="0.3">
      <c r="A723" s="1">
        <v>45900.962500000001</v>
      </c>
      <c r="B723" t="s">
        <v>1363</v>
      </c>
      <c r="C723" t="s">
        <v>1364</v>
      </c>
      <c r="D723" t="s">
        <v>592</v>
      </c>
      <c r="F723" t="s">
        <v>1750</v>
      </c>
      <c r="G723" t="s">
        <v>593</v>
      </c>
      <c r="H723" t="s">
        <v>130</v>
      </c>
      <c r="I723" t="s">
        <v>43</v>
      </c>
      <c r="J723">
        <v>32.020000000000003</v>
      </c>
      <c r="K723">
        <v>19</v>
      </c>
      <c r="L723">
        <v>10</v>
      </c>
      <c r="M723">
        <v>11</v>
      </c>
      <c r="N723">
        <v>11500</v>
      </c>
      <c r="O723">
        <v>200</v>
      </c>
      <c r="P723">
        <v>0</v>
      </c>
      <c r="Q723">
        <v>2</v>
      </c>
      <c r="R723">
        <v>8</v>
      </c>
      <c r="S723" t="s">
        <v>44</v>
      </c>
      <c r="T723">
        <v>24</v>
      </c>
      <c r="U723" t="s">
        <v>44</v>
      </c>
      <c r="V723">
        <v>152</v>
      </c>
      <c r="W723" t="s">
        <v>44</v>
      </c>
      <c r="X723" t="s">
        <v>44</v>
      </c>
      <c r="Y723">
        <v>152</v>
      </c>
      <c r="Z723" t="s">
        <v>44</v>
      </c>
      <c r="AA723">
        <v>89</v>
      </c>
      <c r="AB723">
        <v>0</v>
      </c>
      <c r="AC723">
        <v>0</v>
      </c>
      <c r="AD723">
        <v>0</v>
      </c>
      <c r="AE723">
        <v>1</v>
      </c>
      <c r="AF723">
        <v>2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441</v>
      </c>
      <c r="AQ723">
        <f t="shared" si="24"/>
        <v>441</v>
      </c>
      <c r="AR723" s="5">
        <f>VLOOKUP(F723,'[2]SCP_24-25'!$A:$D,4,0)</f>
        <v>96.2</v>
      </c>
      <c r="AS723" s="5">
        <f t="shared" si="25"/>
        <v>42424.200000000004</v>
      </c>
    </row>
    <row r="724" spans="1:45" x14ac:dyDescent="0.3">
      <c r="A724" s="1">
        <v>45900.962500000001</v>
      </c>
      <c r="B724" t="s">
        <v>1363</v>
      </c>
      <c r="C724" t="s">
        <v>1364</v>
      </c>
      <c r="D724" t="s">
        <v>722</v>
      </c>
      <c r="F724" t="s">
        <v>1814</v>
      </c>
      <c r="G724" t="s">
        <v>723</v>
      </c>
      <c r="H724" t="s">
        <v>120</v>
      </c>
      <c r="I724" t="s">
        <v>43</v>
      </c>
      <c r="J724">
        <v>100</v>
      </c>
      <c r="K724">
        <v>19</v>
      </c>
      <c r="L724">
        <v>10</v>
      </c>
      <c r="M724">
        <v>11</v>
      </c>
      <c r="N724">
        <v>314</v>
      </c>
      <c r="O724">
        <v>0</v>
      </c>
      <c r="P724">
        <v>0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>
        <v>247</v>
      </c>
      <c r="W724" t="s">
        <v>44</v>
      </c>
      <c r="X724" t="s">
        <v>44</v>
      </c>
      <c r="Y724">
        <v>247</v>
      </c>
      <c r="Z724" t="s">
        <v>44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247</v>
      </c>
      <c r="AQ724">
        <f t="shared" si="24"/>
        <v>247</v>
      </c>
      <c r="AR724" s="5">
        <f>VLOOKUP(F724,'[2]SCP_24-25'!$A:$D,4,0)</f>
        <v>11.05</v>
      </c>
      <c r="AS724" s="5">
        <f t="shared" si="25"/>
        <v>2729.3500000000004</v>
      </c>
    </row>
    <row r="725" spans="1:45" x14ac:dyDescent="0.3">
      <c r="A725" s="1">
        <v>45900.962500000001</v>
      </c>
      <c r="B725" t="s">
        <v>1363</v>
      </c>
      <c r="C725" t="s">
        <v>1364</v>
      </c>
      <c r="D725" t="s">
        <v>1373</v>
      </c>
      <c r="F725" t="s">
        <v>2133</v>
      </c>
      <c r="G725" t="s">
        <v>1374</v>
      </c>
      <c r="H725" t="s">
        <v>120</v>
      </c>
      <c r="I725" t="s">
        <v>43</v>
      </c>
      <c r="J725">
        <v>100</v>
      </c>
      <c r="K725">
        <v>19</v>
      </c>
      <c r="L725">
        <v>10</v>
      </c>
      <c r="M725">
        <v>11</v>
      </c>
      <c r="N725">
        <v>1772</v>
      </c>
      <c r="O725">
        <v>0</v>
      </c>
      <c r="P725">
        <v>0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>
        <v>316</v>
      </c>
      <c r="W725" t="s">
        <v>44</v>
      </c>
      <c r="X725" t="s">
        <v>44</v>
      </c>
      <c r="Y725">
        <v>316</v>
      </c>
      <c r="Z725" t="s">
        <v>44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316</v>
      </c>
      <c r="AQ725">
        <f t="shared" si="24"/>
        <v>316</v>
      </c>
      <c r="AR725" s="5">
        <f>VLOOKUP(F725,'[2]SCP_24-25'!$A:$D,4,0)</f>
        <v>83</v>
      </c>
      <c r="AS725" s="5">
        <f t="shared" si="25"/>
        <v>26228</v>
      </c>
    </row>
    <row r="726" spans="1:45" x14ac:dyDescent="0.3">
      <c r="A726" s="1">
        <v>45900.962500000001</v>
      </c>
      <c r="B726" t="s">
        <v>1363</v>
      </c>
      <c r="C726" t="s">
        <v>1364</v>
      </c>
      <c r="D726" t="s">
        <v>1375</v>
      </c>
      <c r="F726" t="s">
        <v>2134</v>
      </c>
      <c r="G726" t="s">
        <v>1376</v>
      </c>
      <c r="H726" t="s">
        <v>120</v>
      </c>
      <c r="I726" t="s">
        <v>43</v>
      </c>
      <c r="J726">
        <v>100</v>
      </c>
      <c r="K726">
        <v>19</v>
      </c>
      <c r="L726">
        <v>10</v>
      </c>
      <c r="M726">
        <v>11</v>
      </c>
      <c r="N726">
        <v>1759</v>
      </c>
      <c r="O726">
        <v>0</v>
      </c>
      <c r="P726">
        <v>0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>
        <v>203</v>
      </c>
      <c r="W726" t="s">
        <v>44</v>
      </c>
      <c r="X726" t="s">
        <v>44</v>
      </c>
      <c r="Y726">
        <v>203</v>
      </c>
      <c r="Z726" t="s">
        <v>44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203</v>
      </c>
      <c r="AQ726">
        <f t="shared" si="24"/>
        <v>203</v>
      </c>
      <c r="AR726" s="5">
        <f>VLOOKUP(F726,'[2]SCP_24-25'!$A:$D,4,0)</f>
        <v>50</v>
      </c>
      <c r="AS726" s="5">
        <f t="shared" si="25"/>
        <v>10150</v>
      </c>
    </row>
    <row r="727" spans="1:45" x14ac:dyDescent="0.3">
      <c r="A727" s="1">
        <v>45900.962500000001</v>
      </c>
      <c r="B727" t="s">
        <v>1363</v>
      </c>
      <c r="C727" t="s">
        <v>1364</v>
      </c>
      <c r="D727" t="s">
        <v>544</v>
      </c>
      <c r="F727" t="s">
        <v>1726</v>
      </c>
      <c r="G727" t="s">
        <v>545</v>
      </c>
      <c r="H727" t="s">
        <v>130</v>
      </c>
      <c r="I727" t="s">
        <v>43</v>
      </c>
      <c r="J727">
        <v>34.020000000000003</v>
      </c>
      <c r="K727">
        <v>19</v>
      </c>
      <c r="L727">
        <v>10</v>
      </c>
      <c r="M727">
        <v>11</v>
      </c>
      <c r="N727">
        <v>16746</v>
      </c>
      <c r="O727">
        <v>8</v>
      </c>
      <c r="P727">
        <v>0</v>
      </c>
      <c r="Q727">
        <v>1</v>
      </c>
      <c r="R727">
        <v>2692</v>
      </c>
      <c r="S727" t="s">
        <v>44</v>
      </c>
      <c r="T727" t="s">
        <v>44</v>
      </c>
      <c r="U727" t="s">
        <v>44</v>
      </c>
      <c r="V727">
        <v>359</v>
      </c>
      <c r="W727" t="s">
        <v>44</v>
      </c>
      <c r="X727" t="s">
        <v>44</v>
      </c>
      <c r="Y727">
        <v>359</v>
      </c>
      <c r="Z727" t="s">
        <v>44</v>
      </c>
      <c r="AA727">
        <v>13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380</v>
      </c>
      <c r="AQ727">
        <f t="shared" si="24"/>
        <v>380</v>
      </c>
      <c r="AR727" s="5">
        <f>VLOOKUP(F727,'[2]SCP_24-25'!$A:$D,4,0)</f>
        <v>90.089999999999989</v>
      </c>
      <c r="AS727" s="5">
        <f t="shared" si="25"/>
        <v>34234.199999999997</v>
      </c>
    </row>
    <row r="728" spans="1:45" x14ac:dyDescent="0.3">
      <c r="A728" s="1">
        <v>45900.962500000001</v>
      </c>
      <c r="B728" t="s">
        <v>1363</v>
      </c>
      <c r="C728" t="s">
        <v>1364</v>
      </c>
      <c r="D728" t="s">
        <v>803</v>
      </c>
      <c r="F728" t="s">
        <v>1853</v>
      </c>
      <c r="G728" t="s">
        <v>804</v>
      </c>
      <c r="H728" t="s">
        <v>130</v>
      </c>
      <c r="I728" t="s">
        <v>43</v>
      </c>
      <c r="J728">
        <v>63.02</v>
      </c>
      <c r="K728">
        <v>19</v>
      </c>
      <c r="L728">
        <v>10</v>
      </c>
      <c r="M728">
        <v>11</v>
      </c>
      <c r="N728">
        <v>6941</v>
      </c>
      <c r="O728">
        <v>13</v>
      </c>
      <c r="P728">
        <v>0</v>
      </c>
      <c r="Q728" t="s">
        <v>44</v>
      </c>
      <c r="R728">
        <v>674</v>
      </c>
      <c r="S728" t="s">
        <v>44</v>
      </c>
      <c r="T728" t="s">
        <v>44</v>
      </c>
      <c r="U728" t="s">
        <v>44</v>
      </c>
      <c r="V728">
        <v>147</v>
      </c>
      <c r="W728" t="s">
        <v>44</v>
      </c>
      <c r="X728" t="s">
        <v>44</v>
      </c>
      <c r="Y728">
        <v>147</v>
      </c>
      <c r="Z728" t="s">
        <v>44</v>
      </c>
      <c r="AA728">
        <v>18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178</v>
      </c>
      <c r="AQ728">
        <f t="shared" si="24"/>
        <v>178</v>
      </c>
      <c r="AR728" s="5">
        <f>VLOOKUP(F728,'[2]SCP_24-25'!$A:$D,4,0)</f>
        <v>91.39</v>
      </c>
      <c r="AS728" s="5">
        <f t="shared" si="25"/>
        <v>16267.42</v>
      </c>
    </row>
    <row r="729" spans="1:45" x14ac:dyDescent="0.3">
      <c r="A729" s="1">
        <v>45900.962500000001</v>
      </c>
      <c r="B729" t="s">
        <v>1363</v>
      </c>
      <c r="C729" t="s">
        <v>1364</v>
      </c>
      <c r="D729" t="s">
        <v>805</v>
      </c>
      <c r="F729" t="s">
        <v>1854</v>
      </c>
      <c r="G729" t="s">
        <v>806</v>
      </c>
      <c r="H729" t="s">
        <v>130</v>
      </c>
      <c r="I729" t="s">
        <v>43</v>
      </c>
      <c r="J729">
        <v>112.62</v>
      </c>
      <c r="K729">
        <v>19</v>
      </c>
      <c r="L729">
        <v>11</v>
      </c>
      <c r="M729">
        <v>10</v>
      </c>
      <c r="N729">
        <v>3841</v>
      </c>
      <c r="O729">
        <v>0</v>
      </c>
      <c r="P729">
        <v>0</v>
      </c>
      <c r="Q729">
        <v>2</v>
      </c>
      <c r="R729">
        <v>1434</v>
      </c>
      <c r="S729" t="s">
        <v>44</v>
      </c>
      <c r="T729" t="s">
        <v>44</v>
      </c>
      <c r="U729" t="s">
        <v>44</v>
      </c>
      <c r="V729">
        <v>410</v>
      </c>
      <c r="W729" t="s">
        <v>44</v>
      </c>
      <c r="X729" t="s">
        <v>44</v>
      </c>
      <c r="Y729">
        <v>410</v>
      </c>
      <c r="Z729" t="s">
        <v>44</v>
      </c>
      <c r="AA729">
        <v>4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414</v>
      </c>
      <c r="AQ729">
        <f t="shared" si="24"/>
        <v>414</v>
      </c>
      <c r="AR729" s="5">
        <f>VLOOKUP(F729,'[2]SCP_24-25'!$A:$D,4,0)</f>
        <v>114.81</v>
      </c>
      <c r="AS729" s="5">
        <f t="shared" si="25"/>
        <v>47531.340000000004</v>
      </c>
    </row>
    <row r="730" spans="1:45" x14ac:dyDescent="0.3">
      <c r="A730" s="1">
        <v>45900.962500000001</v>
      </c>
      <c r="B730" t="s">
        <v>1363</v>
      </c>
      <c r="C730" t="s">
        <v>1364</v>
      </c>
      <c r="D730" t="s">
        <v>615</v>
      </c>
      <c r="F730" t="s">
        <v>1761</v>
      </c>
      <c r="G730" t="s">
        <v>616</v>
      </c>
      <c r="H730" t="s">
        <v>66</v>
      </c>
      <c r="I730" t="s">
        <v>415</v>
      </c>
      <c r="J730">
        <v>50</v>
      </c>
      <c r="K730">
        <v>19</v>
      </c>
      <c r="L730">
        <v>10</v>
      </c>
      <c r="M730">
        <v>11</v>
      </c>
      <c r="N730">
        <v>9548</v>
      </c>
      <c r="O730">
        <v>36</v>
      </c>
      <c r="P730">
        <v>0</v>
      </c>
      <c r="Q730" t="s">
        <v>44</v>
      </c>
      <c r="R730">
        <v>6151</v>
      </c>
      <c r="S730" t="s">
        <v>44</v>
      </c>
      <c r="T730">
        <v>100</v>
      </c>
      <c r="U730" t="s">
        <v>44</v>
      </c>
      <c r="V730">
        <v>335</v>
      </c>
      <c r="W730" t="s">
        <v>44</v>
      </c>
      <c r="X730" t="s">
        <v>44</v>
      </c>
      <c r="Y730">
        <v>335</v>
      </c>
      <c r="Z730" t="s">
        <v>44</v>
      </c>
      <c r="AA730">
        <v>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373</v>
      </c>
      <c r="AQ730">
        <f t="shared" si="24"/>
        <v>373</v>
      </c>
      <c r="AR730" s="5">
        <f>VLOOKUP(F730,'[2]SCP_24-25'!$A:$D,4,0)</f>
        <v>40.33</v>
      </c>
      <c r="AS730" s="5">
        <f t="shared" si="25"/>
        <v>15043.09</v>
      </c>
    </row>
    <row r="731" spans="1:45" x14ac:dyDescent="0.3">
      <c r="A731" s="1">
        <v>45900.962500000001</v>
      </c>
      <c r="B731" t="s">
        <v>1363</v>
      </c>
      <c r="C731" t="s">
        <v>1364</v>
      </c>
      <c r="D731" t="s">
        <v>509</v>
      </c>
      <c r="F731" t="s">
        <v>1709</v>
      </c>
      <c r="G731" t="s">
        <v>510</v>
      </c>
      <c r="H731" t="s">
        <v>103</v>
      </c>
      <c r="I731" t="s">
        <v>415</v>
      </c>
      <c r="J731">
        <v>459.02</v>
      </c>
      <c r="K731">
        <v>19</v>
      </c>
      <c r="L731">
        <v>10</v>
      </c>
      <c r="M731">
        <v>11</v>
      </c>
      <c r="N731">
        <v>9060</v>
      </c>
      <c r="O731">
        <v>219</v>
      </c>
      <c r="P731">
        <v>0</v>
      </c>
      <c r="Q731">
        <v>4</v>
      </c>
      <c r="R731">
        <v>3340</v>
      </c>
      <c r="S731" t="s">
        <v>44</v>
      </c>
      <c r="T731" t="s">
        <v>44</v>
      </c>
      <c r="U731" t="s">
        <v>44</v>
      </c>
      <c r="V731">
        <v>149</v>
      </c>
      <c r="W731" t="s">
        <v>44</v>
      </c>
      <c r="X731" t="s">
        <v>44</v>
      </c>
      <c r="Y731">
        <v>149</v>
      </c>
      <c r="Z731" t="s">
        <v>44</v>
      </c>
      <c r="AA731">
        <v>120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488</v>
      </c>
      <c r="AQ731">
        <f t="shared" si="24"/>
        <v>488</v>
      </c>
      <c r="AR731" s="5">
        <f>VLOOKUP(F731,'[2]SCP_24-25'!$A:$D,4,0)</f>
        <v>67.865000000000009</v>
      </c>
      <c r="AS731" s="5">
        <f t="shared" si="25"/>
        <v>33118.120000000003</v>
      </c>
    </row>
    <row r="732" spans="1:45" x14ac:dyDescent="0.3">
      <c r="A732" s="1">
        <v>45900.962500000001</v>
      </c>
      <c r="B732" t="s">
        <v>1363</v>
      </c>
      <c r="C732" t="s">
        <v>1364</v>
      </c>
      <c r="D732" t="s">
        <v>809</v>
      </c>
      <c r="F732" t="s">
        <v>1856</v>
      </c>
      <c r="G732" t="s">
        <v>810</v>
      </c>
      <c r="H732" t="s">
        <v>66</v>
      </c>
      <c r="I732" t="s">
        <v>415</v>
      </c>
      <c r="J732">
        <v>450</v>
      </c>
      <c r="K732">
        <v>19</v>
      </c>
      <c r="L732">
        <v>10</v>
      </c>
      <c r="M732">
        <v>11</v>
      </c>
      <c r="N732">
        <v>2434</v>
      </c>
      <c r="O732">
        <v>0</v>
      </c>
      <c r="P732">
        <v>0</v>
      </c>
      <c r="Q732" t="s">
        <v>44</v>
      </c>
      <c r="R732">
        <v>1763</v>
      </c>
      <c r="S732" t="s">
        <v>44</v>
      </c>
      <c r="T732" t="s">
        <v>44</v>
      </c>
      <c r="U732" t="s">
        <v>44</v>
      </c>
      <c r="V732">
        <v>246</v>
      </c>
      <c r="W732" t="s">
        <v>44</v>
      </c>
      <c r="X732" t="s">
        <v>44</v>
      </c>
      <c r="Y732">
        <v>246</v>
      </c>
      <c r="Z732" t="s">
        <v>44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246</v>
      </c>
      <c r="AQ732">
        <f t="shared" si="24"/>
        <v>246</v>
      </c>
      <c r="AR732" s="5">
        <f>VLOOKUP(F732,'[2]SCP_24-25'!$A:$D,4,0)</f>
        <v>119.51000000000002</v>
      </c>
      <c r="AS732" s="5">
        <f t="shared" si="25"/>
        <v>29399.460000000006</v>
      </c>
    </row>
    <row r="733" spans="1:45" x14ac:dyDescent="0.3">
      <c r="A733" s="1">
        <v>45900.962500000001</v>
      </c>
      <c r="B733" t="s">
        <v>1363</v>
      </c>
      <c r="C733" t="s">
        <v>1364</v>
      </c>
      <c r="D733" t="s">
        <v>849</v>
      </c>
      <c r="F733" t="s">
        <v>1876</v>
      </c>
      <c r="G733" t="s">
        <v>850</v>
      </c>
      <c r="H733" t="s">
        <v>130</v>
      </c>
      <c r="I733" t="s">
        <v>415</v>
      </c>
      <c r="J733">
        <v>10</v>
      </c>
      <c r="K733">
        <v>19</v>
      </c>
      <c r="L733">
        <v>10</v>
      </c>
      <c r="M733">
        <v>11</v>
      </c>
      <c r="N733">
        <v>216</v>
      </c>
      <c r="O733">
        <v>4</v>
      </c>
      <c r="P733">
        <v>0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>
        <v>170</v>
      </c>
      <c r="W733" t="s">
        <v>44</v>
      </c>
      <c r="X733" t="s">
        <v>44</v>
      </c>
      <c r="Y733">
        <v>170</v>
      </c>
      <c r="Z733" t="s">
        <v>44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175</v>
      </c>
      <c r="AQ733">
        <f t="shared" si="24"/>
        <v>175</v>
      </c>
      <c r="AR733" s="5">
        <f>VLOOKUP(F733,'[2]SCP_24-25'!$A:$D,4,0)</f>
        <v>147.47</v>
      </c>
      <c r="AS733" s="5">
        <f t="shared" si="25"/>
        <v>25807.25</v>
      </c>
    </row>
    <row r="734" spans="1:45" x14ac:dyDescent="0.3">
      <c r="A734" s="1">
        <v>45900.962500000001</v>
      </c>
      <c r="B734" t="s">
        <v>1363</v>
      </c>
      <c r="C734" t="s">
        <v>1364</v>
      </c>
      <c r="D734" t="s">
        <v>851</v>
      </c>
      <c r="F734" t="s">
        <v>1877</v>
      </c>
      <c r="G734" t="s">
        <v>852</v>
      </c>
      <c r="H734" t="s">
        <v>130</v>
      </c>
      <c r="I734" t="s">
        <v>415</v>
      </c>
      <c r="J734">
        <v>10</v>
      </c>
      <c r="K734">
        <v>19</v>
      </c>
      <c r="L734">
        <v>10</v>
      </c>
      <c r="M734">
        <v>11</v>
      </c>
      <c r="N734">
        <v>216</v>
      </c>
      <c r="O734">
        <v>6</v>
      </c>
      <c r="P734">
        <v>0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>
        <v>173</v>
      </c>
      <c r="W734" t="s">
        <v>44</v>
      </c>
      <c r="X734" t="s">
        <v>44</v>
      </c>
      <c r="Y734">
        <v>173</v>
      </c>
      <c r="Z734" t="s">
        <v>44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180</v>
      </c>
      <c r="AQ734">
        <f t="shared" si="24"/>
        <v>180</v>
      </c>
      <c r="AR734" s="5">
        <f>VLOOKUP(F734,'[2]SCP_24-25'!$A:$D,4,0)</f>
        <v>147.47</v>
      </c>
      <c r="AS734" s="5">
        <f t="shared" si="25"/>
        <v>26544.6</v>
      </c>
    </row>
    <row r="735" spans="1:45" x14ac:dyDescent="0.3">
      <c r="A735" s="1">
        <v>45900.962500000001</v>
      </c>
      <c r="B735" t="s">
        <v>1363</v>
      </c>
      <c r="C735" t="s">
        <v>1364</v>
      </c>
      <c r="D735" t="s">
        <v>853</v>
      </c>
      <c r="F735" t="s">
        <v>1878</v>
      </c>
      <c r="G735" t="s">
        <v>854</v>
      </c>
      <c r="H735" t="s">
        <v>130</v>
      </c>
      <c r="I735" t="s">
        <v>415</v>
      </c>
      <c r="J735">
        <v>10</v>
      </c>
      <c r="K735">
        <v>19</v>
      </c>
      <c r="L735">
        <v>10</v>
      </c>
      <c r="M735">
        <v>11</v>
      </c>
      <c r="N735">
        <v>216</v>
      </c>
      <c r="O735">
        <v>0</v>
      </c>
      <c r="P735">
        <v>0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>
        <v>200</v>
      </c>
      <c r="W735" t="s">
        <v>44</v>
      </c>
      <c r="X735" t="s">
        <v>44</v>
      </c>
      <c r="Y735">
        <v>200</v>
      </c>
      <c r="Z735" t="s">
        <v>44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200</v>
      </c>
      <c r="AQ735">
        <f t="shared" si="24"/>
        <v>200</v>
      </c>
      <c r="AR735" s="5">
        <f>VLOOKUP(F735,'[2]SCP_24-25'!$A:$D,4,0)</f>
        <v>147.47</v>
      </c>
      <c r="AS735" s="5">
        <f t="shared" si="25"/>
        <v>29494</v>
      </c>
    </row>
    <row r="736" spans="1:45" x14ac:dyDescent="0.3">
      <c r="A736" s="1">
        <v>45900.962500000001</v>
      </c>
      <c r="B736" t="s">
        <v>1363</v>
      </c>
      <c r="C736" t="s">
        <v>1364</v>
      </c>
      <c r="D736" t="s">
        <v>855</v>
      </c>
      <c r="F736" t="s">
        <v>1879</v>
      </c>
      <c r="G736" t="s">
        <v>856</v>
      </c>
      <c r="H736" t="s">
        <v>130</v>
      </c>
      <c r="I736" t="s">
        <v>415</v>
      </c>
      <c r="J736">
        <v>10</v>
      </c>
      <c r="K736">
        <v>19</v>
      </c>
      <c r="L736">
        <v>10</v>
      </c>
      <c r="M736">
        <v>11</v>
      </c>
      <c r="N736">
        <v>216</v>
      </c>
      <c r="O736">
        <v>0</v>
      </c>
      <c r="P736">
        <v>0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>
        <v>206</v>
      </c>
      <c r="W736" t="s">
        <v>44</v>
      </c>
      <c r="X736" t="s">
        <v>44</v>
      </c>
      <c r="Y736">
        <v>206</v>
      </c>
      <c r="Z736" t="s">
        <v>44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206</v>
      </c>
      <c r="AQ736">
        <f t="shared" si="24"/>
        <v>206</v>
      </c>
      <c r="AR736" s="5">
        <f>VLOOKUP(F736,'[2]SCP_24-25'!$A:$D,4,0)</f>
        <v>147.47</v>
      </c>
      <c r="AS736" s="5">
        <f t="shared" si="25"/>
        <v>30378.82</v>
      </c>
    </row>
    <row r="737" spans="1:45" x14ac:dyDescent="0.3">
      <c r="A737" s="1">
        <v>45900.962500000001</v>
      </c>
      <c r="B737" t="s">
        <v>1363</v>
      </c>
      <c r="C737" t="s">
        <v>1364</v>
      </c>
      <c r="D737" t="s">
        <v>131</v>
      </c>
      <c r="F737" t="s">
        <v>1543</v>
      </c>
      <c r="G737" t="s">
        <v>132</v>
      </c>
      <c r="H737" t="s">
        <v>103</v>
      </c>
      <c r="I737" t="s">
        <v>43</v>
      </c>
      <c r="J737">
        <v>250</v>
      </c>
      <c r="K737">
        <v>19</v>
      </c>
      <c r="L737">
        <v>10</v>
      </c>
      <c r="M737">
        <v>11</v>
      </c>
      <c r="N737">
        <v>88174</v>
      </c>
      <c r="O737">
        <v>0</v>
      </c>
      <c r="P737">
        <v>0</v>
      </c>
      <c r="Q737">
        <v>36</v>
      </c>
      <c r="R737">
        <v>5188</v>
      </c>
      <c r="S737" t="s">
        <v>44</v>
      </c>
      <c r="T737">
        <v>654</v>
      </c>
      <c r="U737" t="s">
        <v>44</v>
      </c>
      <c r="V737">
        <v>12</v>
      </c>
      <c r="W737" t="s">
        <v>44</v>
      </c>
      <c r="X737" t="s">
        <v>44</v>
      </c>
      <c r="Y737" t="s">
        <v>44</v>
      </c>
      <c r="Z737">
        <v>2</v>
      </c>
      <c r="AA737">
        <v>35</v>
      </c>
      <c r="AB737">
        <v>0</v>
      </c>
      <c r="AC737">
        <v>0</v>
      </c>
      <c r="AD737">
        <v>0</v>
      </c>
      <c r="AE737">
        <v>116</v>
      </c>
      <c r="AF737">
        <v>6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47</v>
      </c>
      <c r="AQ737">
        <f t="shared" si="24"/>
        <v>47</v>
      </c>
      <c r="AR737" s="5">
        <f>VLOOKUP(F737,'[2]SCP_24-25'!$A:$D,4,0)</f>
        <v>78.88</v>
      </c>
      <c r="AS737" s="5">
        <f t="shared" si="25"/>
        <v>3707.3599999999997</v>
      </c>
    </row>
    <row r="738" spans="1:45" x14ac:dyDescent="0.3">
      <c r="A738" s="1">
        <v>45900.962500000001</v>
      </c>
      <c r="B738" t="s">
        <v>1363</v>
      </c>
      <c r="C738" t="s">
        <v>1364</v>
      </c>
      <c r="D738" t="s">
        <v>135</v>
      </c>
      <c r="F738" t="s">
        <v>1545</v>
      </c>
      <c r="G738" t="s">
        <v>136</v>
      </c>
      <c r="H738" t="s">
        <v>66</v>
      </c>
      <c r="I738" t="s">
        <v>43</v>
      </c>
      <c r="J738">
        <v>85</v>
      </c>
      <c r="K738">
        <v>19</v>
      </c>
      <c r="L738">
        <v>10</v>
      </c>
      <c r="M738">
        <v>11</v>
      </c>
      <c r="N738">
        <v>38726</v>
      </c>
      <c r="O738">
        <v>0</v>
      </c>
      <c r="P738">
        <v>0</v>
      </c>
      <c r="Q738">
        <v>30</v>
      </c>
      <c r="R738">
        <v>106</v>
      </c>
      <c r="S738" t="s">
        <v>44</v>
      </c>
      <c r="T738" t="s">
        <v>44</v>
      </c>
      <c r="U738" t="s">
        <v>44</v>
      </c>
      <c r="V738">
        <v>21</v>
      </c>
      <c r="W738" t="s">
        <v>44</v>
      </c>
      <c r="X738" t="s">
        <v>44</v>
      </c>
      <c r="Y738">
        <v>1</v>
      </c>
      <c r="Z738" t="s">
        <v>44</v>
      </c>
      <c r="AA738">
        <v>3</v>
      </c>
      <c r="AB738">
        <v>0</v>
      </c>
      <c r="AC738">
        <v>0</v>
      </c>
      <c r="AD738">
        <v>0</v>
      </c>
      <c r="AE738">
        <v>655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24</v>
      </c>
      <c r="AQ738">
        <f t="shared" si="24"/>
        <v>24</v>
      </c>
      <c r="AR738" s="5">
        <f>VLOOKUP(F738,'[2]SCP_24-25'!$A:$D,4,0)</f>
        <v>42.19</v>
      </c>
      <c r="AS738" s="5">
        <f t="shared" si="25"/>
        <v>1012.56</v>
      </c>
    </row>
    <row r="739" spans="1:45" x14ac:dyDescent="0.3">
      <c r="A739" s="1">
        <v>45900.962500000001</v>
      </c>
      <c r="B739" t="s">
        <v>1363</v>
      </c>
      <c r="C739" t="s">
        <v>1364</v>
      </c>
      <c r="D739" t="s">
        <v>143</v>
      </c>
      <c r="F739" t="s">
        <v>1549</v>
      </c>
      <c r="G739" t="s">
        <v>144</v>
      </c>
      <c r="H739" t="s">
        <v>103</v>
      </c>
      <c r="I739" t="s">
        <v>43</v>
      </c>
      <c r="J739">
        <v>122</v>
      </c>
      <c r="K739">
        <v>19</v>
      </c>
      <c r="L739">
        <v>9.5</v>
      </c>
      <c r="M739">
        <v>11</v>
      </c>
      <c r="N739">
        <v>44421</v>
      </c>
      <c r="O739">
        <v>0</v>
      </c>
      <c r="P739">
        <v>0</v>
      </c>
      <c r="Q739">
        <v>33</v>
      </c>
      <c r="R739">
        <v>3628</v>
      </c>
      <c r="S739" t="s">
        <v>44</v>
      </c>
      <c r="T739">
        <v>331</v>
      </c>
      <c r="U739" t="s">
        <v>44</v>
      </c>
      <c r="V739">
        <v>47</v>
      </c>
      <c r="W739" t="s">
        <v>44</v>
      </c>
      <c r="X739" t="s">
        <v>44</v>
      </c>
      <c r="Y739" t="s">
        <v>44</v>
      </c>
      <c r="Z739" t="s">
        <v>44</v>
      </c>
      <c r="AA739">
        <v>36</v>
      </c>
      <c r="AB739">
        <v>0</v>
      </c>
      <c r="AC739">
        <v>0</v>
      </c>
      <c r="AD739">
        <v>0</v>
      </c>
      <c r="AE739">
        <v>86</v>
      </c>
      <c r="AF739">
        <v>3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83</v>
      </c>
      <c r="AQ739">
        <f t="shared" si="24"/>
        <v>83</v>
      </c>
      <c r="AR739" s="5">
        <f>VLOOKUP(F739,'[2]SCP_24-25'!$A:$D,4,0)</f>
        <v>100.66</v>
      </c>
      <c r="AS739" s="5">
        <f t="shared" si="25"/>
        <v>8354.7799999999988</v>
      </c>
    </row>
    <row r="740" spans="1:45" x14ac:dyDescent="0.3">
      <c r="A740" s="1">
        <v>45900.962500000001</v>
      </c>
      <c r="B740" t="s">
        <v>1363</v>
      </c>
      <c r="C740" t="s">
        <v>1364</v>
      </c>
      <c r="D740" t="s">
        <v>153</v>
      </c>
      <c r="F740" t="s">
        <v>1554</v>
      </c>
      <c r="G740" t="s">
        <v>154</v>
      </c>
      <c r="H740" t="s">
        <v>66</v>
      </c>
      <c r="I740" t="s">
        <v>43</v>
      </c>
      <c r="J740">
        <v>92.91</v>
      </c>
      <c r="K740">
        <v>19</v>
      </c>
      <c r="L740">
        <v>9.5</v>
      </c>
      <c r="M740">
        <v>11</v>
      </c>
      <c r="N740">
        <v>23585</v>
      </c>
      <c r="O740">
        <v>0</v>
      </c>
      <c r="P740">
        <v>0</v>
      </c>
      <c r="Q740">
        <v>4</v>
      </c>
      <c r="R740">
        <v>572</v>
      </c>
      <c r="S740" t="s">
        <v>44</v>
      </c>
      <c r="T740" t="s">
        <v>44</v>
      </c>
      <c r="U740" t="s">
        <v>44</v>
      </c>
      <c r="V740">
        <v>99</v>
      </c>
      <c r="W740" t="s">
        <v>44</v>
      </c>
      <c r="X740" t="s">
        <v>44</v>
      </c>
      <c r="Y740" t="s">
        <v>44</v>
      </c>
      <c r="Z740" t="s">
        <v>44</v>
      </c>
      <c r="AA740">
        <v>19</v>
      </c>
      <c r="AB740">
        <v>0</v>
      </c>
      <c r="AC740">
        <v>0</v>
      </c>
      <c r="AD740">
        <v>0</v>
      </c>
      <c r="AE740">
        <v>67</v>
      </c>
      <c r="AF740">
        <v>5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118</v>
      </c>
      <c r="AQ740">
        <f t="shared" ref="AQ740:AQ793" si="26">O740+P740+V740+AA740</f>
        <v>118</v>
      </c>
      <c r="AR740" s="5">
        <f>VLOOKUP(F740,'[2]SCP_24-25'!$A:$D,4,0)</f>
        <v>41.09</v>
      </c>
      <c r="AS740" s="5">
        <f t="shared" si="25"/>
        <v>4848.6200000000008</v>
      </c>
    </row>
    <row r="741" spans="1:45" x14ac:dyDescent="0.3">
      <c r="A741" s="1">
        <v>45900.962500000001</v>
      </c>
      <c r="B741" t="s">
        <v>1363</v>
      </c>
      <c r="C741" t="s">
        <v>1364</v>
      </c>
      <c r="D741" t="s">
        <v>163</v>
      </c>
      <c r="F741" t="s">
        <v>1559</v>
      </c>
      <c r="G741" t="s">
        <v>164</v>
      </c>
      <c r="H741" t="s">
        <v>66</v>
      </c>
      <c r="I741" t="s">
        <v>43</v>
      </c>
      <c r="J741">
        <v>75.400000000000006</v>
      </c>
      <c r="K741">
        <v>19</v>
      </c>
      <c r="L741">
        <v>11</v>
      </c>
      <c r="M741">
        <v>9.5</v>
      </c>
      <c r="N741">
        <v>24324</v>
      </c>
      <c r="O741">
        <v>0</v>
      </c>
      <c r="P741">
        <v>0</v>
      </c>
      <c r="Q741">
        <v>9</v>
      </c>
      <c r="R741">
        <v>1003</v>
      </c>
      <c r="S741" t="s">
        <v>44</v>
      </c>
      <c r="T741">
        <v>150</v>
      </c>
      <c r="U741" t="s">
        <v>44</v>
      </c>
      <c r="V741">
        <v>142</v>
      </c>
      <c r="W741" t="s">
        <v>44</v>
      </c>
      <c r="X741" t="s">
        <v>44</v>
      </c>
      <c r="Y741" t="s">
        <v>44</v>
      </c>
      <c r="Z741" t="s">
        <v>44</v>
      </c>
      <c r="AA741">
        <v>24</v>
      </c>
      <c r="AB741">
        <v>0</v>
      </c>
      <c r="AC741">
        <v>0</v>
      </c>
      <c r="AD741">
        <v>0</v>
      </c>
      <c r="AE741">
        <v>403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166</v>
      </c>
      <c r="AQ741">
        <f t="shared" si="26"/>
        <v>166</v>
      </c>
      <c r="AR741" s="5">
        <f>VLOOKUP(F741,'[2]SCP_24-25'!$A:$D,4,0)</f>
        <v>63.65</v>
      </c>
      <c r="AS741" s="5">
        <f t="shared" si="25"/>
        <v>10565.9</v>
      </c>
    </row>
    <row r="742" spans="1:45" x14ac:dyDescent="0.3">
      <c r="A742" s="1">
        <v>45900.962500000001</v>
      </c>
      <c r="B742" t="s">
        <v>1363</v>
      </c>
      <c r="C742" t="s">
        <v>1364</v>
      </c>
      <c r="D742" t="s">
        <v>169</v>
      </c>
      <c r="F742" t="s">
        <v>1562</v>
      </c>
      <c r="G742" t="s">
        <v>170</v>
      </c>
      <c r="H742" t="s">
        <v>66</v>
      </c>
      <c r="I742" t="s">
        <v>43</v>
      </c>
      <c r="J742">
        <v>89.29</v>
      </c>
      <c r="K742">
        <v>19</v>
      </c>
      <c r="L742">
        <v>11</v>
      </c>
      <c r="M742">
        <v>9.5</v>
      </c>
      <c r="N742">
        <v>27418</v>
      </c>
      <c r="O742">
        <v>0</v>
      </c>
      <c r="P742">
        <v>0</v>
      </c>
      <c r="Q742">
        <v>25</v>
      </c>
      <c r="R742">
        <v>310</v>
      </c>
      <c r="S742" t="s">
        <v>44</v>
      </c>
      <c r="T742" t="s">
        <v>44</v>
      </c>
      <c r="U742" t="s">
        <v>44</v>
      </c>
      <c r="V742">
        <v>69</v>
      </c>
      <c r="W742" t="s">
        <v>44</v>
      </c>
      <c r="X742" t="s">
        <v>44</v>
      </c>
      <c r="Y742" t="s">
        <v>44</v>
      </c>
      <c r="Z742" t="s">
        <v>44</v>
      </c>
      <c r="AA742">
        <v>16</v>
      </c>
      <c r="AB742">
        <v>0</v>
      </c>
      <c r="AC742">
        <v>0</v>
      </c>
      <c r="AD742">
        <v>0</v>
      </c>
      <c r="AE742">
        <v>416</v>
      </c>
      <c r="AF742">
        <v>4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85</v>
      </c>
      <c r="AQ742">
        <f t="shared" si="26"/>
        <v>85</v>
      </c>
      <c r="AR742" s="5">
        <f>VLOOKUP(F742,'[2]SCP_24-25'!$A:$D,4,0)</f>
        <v>121.49</v>
      </c>
      <c r="AS742" s="5">
        <f t="shared" si="25"/>
        <v>10326.65</v>
      </c>
    </row>
    <row r="743" spans="1:45" x14ac:dyDescent="0.3">
      <c r="A743" s="1">
        <v>45900.962500000001</v>
      </c>
      <c r="B743" t="s">
        <v>1363</v>
      </c>
      <c r="C743" t="s">
        <v>1364</v>
      </c>
      <c r="D743" t="s">
        <v>181</v>
      </c>
      <c r="F743" t="s">
        <v>1568</v>
      </c>
      <c r="G743" t="s">
        <v>182</v>
      </c>
      <c r="H743" t="s">
        <v>66</v>
      </c>
      <c r="I743" t="s">
        <v>43</v>
      </c>
      <c r="J743">
        <v>206</v>
      </c>
      <c r="K743">
        <v>19</v>
      </c>
      <c r="L743">
        <v>9.5</v>
      </c>
      <c r="M743">
        <v>11</v>
      </c>
      <c r="N743">
        <v>27792</v>
      </c>
      <c r="O743">
        <v>6</v>
      </c>
      <c r="P743">
        <v>0</v>
      </c>
      <c r="Q743">
        <v>14</v>
      </c>
      <c r="R743">
        <v>1061</v>
      </c>
      <c r="S743" t="s">
        <v>44</v>
      </c>
      <c r="T743" t="s">
        <v>44</v>
      </c>
      <c r="U743" t="s">
        <v>44</v>
      </c>
      <c r="V743">
        <v>85</v>
      </c>
      <c r="W743" t="s">
        <v>44</v>
      </c>
      <c r="X743" t="s">
        <v>44</v>
      </c>
      <c r="Y743" t="s">
        <v>44</v>
      </c>
      <c r="Z743" t="s">
        <v>44</v>
      </c>
      <c r="AA743">
        <v>16</v>
      </c>
      <c r="AB743">
        <v>0</v>
      </c>
      <c r="AC743">
        <v>0</v>
      </c>
      <c r="AD743">
        <v>0</v>
      </c>
      <c r="AE743">
        <v>149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107</v>
      </c>
      <c r="AQ743">
        <f t="shared" si="26"/>
        <v>107</v>
      </c>
      <c r="AR743" s="5">
        <f>VLOOKUP(F743,'[2]SCP_24-25'!$A:$D,4,0)</f>
        <v>61.72</v>
      </c>
      <c r="AS743" s="5">
        <f t="shared" si="25"/>
        <v>6604.04</v>
      </c>
    </row>
    <row r="744" spans="1:45" x14ac:dyDescent="0.3">
      <c r="A744" s="1">
        <v>45900.962500000001</v>
      </c>
      <c r="B744" t="s">
        <v>1363</v>
      </c>
      <c r="C744" t="s">
        <v>1364</v>
      </c>
      <c r="D744" t="s">
        <v>185</v>
      </c>
      <c r="F744" t="s">
        <v>1570</v>
      </c>
      <c r="G744" t="s">
        <v>186</v>
      </c>
      <c r="H744" t="s">
        <v>66</v>
      </c>
      <c r="I744" t="s">
        <v>43</v>
      </c>
      <c r="J744">
        <v>100</v>
      </c>
      <c r="K744">
        <v>19</v>
      </c>
      <c r="L744">
        <v>9.5</v>
      </c>
      <c r="M744">
        <v>11</v>
      </c>
      <c r="N744">
        <v>46501</v>
      </c>
      <c r="O744">
        <v>0</v>
      </c>
      <c r="P744">
        <v>0</v>
      </c>
      <c r="Q744">
        <v>32</v>
      </c>
      <c r="R744">
        <v>2729</v>
      </c>
      <c r="S744" t="s">
        <v>44</v>
      </c>
      <c r="T744">
        <v>336</v>
      </c>
      <c r="U744" t="s">
        <v>44</v>
      </c>
      <c r="V744">
        <v>130</v>
      </c>
      <c r="W744">
        <v>36</v>
      </c>
      <c r="X744" t="s">
        <v>44</v>
      </c>
      <c r="Y744" t="s">
        <v>44</v>
      </c>
      <c r="Z744" t="s">
        <v>44</v>
      </c>
      <c r="AA744">
        <v>39</v>
      </c>
      <c r="AB744">
        <v>0</v>
      </c>
      <c r="AC744">
        <v>0</v>
      </c>
      <c r="AD744">
        <v>0</v>
      </c>
      <c r="AE744">
        <v>282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169</v>
      </c>
      <c r="AQ744">
        <f t="shared" si="26"/>
        <v>169</v>
      </c>
      <c r="AR744" s="5">
        <f>VLOOKUP(F744,'[2]SCP_24-25'!$A:$D,4,0)</f>
        <v>50.46</v>
      </c>
      <c r="AS744" s="5">
        <f t="shared" si="25"/>
        <v>8527.74</v>
      </c>
    </row>
    <row r="745" spans="1:45" x14ac:dyDescent="0.3">
      <c r="A745" s="1">
        <v>45900.962500000001</v>
      </c>
      <c r="B745" t="s">
        <v>1363</v>
      </c>
      <c r="C745" t="s">
        <v>1364</v>
      </c>
      <c r="D745" t="s">
        <v>191</v>
      </c>
      <c r="F745" t="s">
        <v>1573</v>
      </c>
      <c r="G745" t="s">
        <v>192</v>
      </c>
      <c r="H745" t="s">
        <v>66</v>
      </c>
      <c r="I745" t="s">
        <v>43</v>
      </c>
      <c r="J745">
        <v>195</v>
      </c>
      <c r="K745">
        <v>19</v>
      </c>
      <c r="L745">
        <v>9.5</v>
      </c>
      <c r="M745">
        <v>11</v>
      </c>
      <c r="N745">
        <v>101133</v>
      </c>
      <c r="O745">
        <v>0</v>
      </c>
      <c r="P745">
        <v>0</v>
      </c>
      <c r="Q745">
        <v>27</v>
      </c>
      <c r="R745">
        <v>8213</v>
      </c>
      <c r="S745" t="s">
        <v>44</v>
      </c>
      <c r="T745">
        <v>1350</v>
      </c>
      <c r="U745" t="s">
        <v>44</v>
      </c>
      <c r="V745">
        <v>8</v>
      </c>
      <c r="W745" t="s">
        <v>44</v>
      </c>
      <c r="X745" t="s">
        <v>44</v>
      </c>
      <c r="Y745" t="s">
        <v>44</v>
      </c>
      <c r="Z745" t="s">
        <v>44</v>
      </c>
      <c r="AA745">
        <v>28</v>
      </c>
      <c r="AB745">
        <v>0</v>
      </c>
      <c r="AC745">
        <v>0</v>
      </c>
      <c r="AD745">
        <v>0</v>
      </c>
      <c r="AE745">
        <v>74</v>
      </c>
      <c r="AF745">
        <v>14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36</v>
      </c>
      <c r="AQ745">
        <f t="shared" si="26"/>
        <v>36</v>
      </c>
      <c r="AR745" s="5">
        <f>VLOOKUP(F745,'[2]SCP_24-25'!$A:$D,4,0)</f>
        <v>66.899999999999991</v>
      </c>
      <c r="AS745" s="5">
        <f t="shared" si="25"/>
        <v>2408.3999999999996</v>
      </c>
    </row>
    <row r="746" spans="1:45" x14ac:dyDescent="0.3">
      <c r="A746" s="1">
        <v>45900.962500000001</v>
      </c>
      <c r="B746" t="s">
        <v>1363</v>
      </c>
      <c r="C746" t="s">
        <v>1364</v>
      </c>
      <c r="D746" t="s">
        <v>193</v>
      </c>
      <c r="F746" t="s">
        <v>1574</v>
      </c>
      <c r="G746" t="s">
        <v>194</v>
      </c>
      <c r="H746" t="s">
        <v>66</v>
      </c>
      <c r="I746" t="s">
        <v>43</v>
      </c>
      <c r="J746">
        <v>224</v>
      </c>
      <c r="K746">
        <v>19</v>
      </c>
      <c r="L746">
        <v>9.5</v>
      </c>
      <c r="M746">
        <v>11</v>
      </c>
      <c r="N746">
        <v>86470</v>
      </c>
      <c r="O746">
        <v>29</v>
      </c>
      <c r="P746">
        <v>0</v>
      </c>
      <c r="Q746">
        <v>486</v>
      </c>
      <c r="R746">
        <v>3086</v>
      </c>
      <c r="S746" t="s">
        <v>44</v>
      </c>
      <c r="T746" t="s">
        <v>44</v>
      </c>
      <c r="U746" t="s">
        <v>44</v>
      </c>
      <c r="V746">
        <v>48</v>
      </c>
      <c r="W746" t="s">
        <v>44</v>
      </c>
      <c r="X746" t="s">
        <v>44</v>
      </c>
      <c r="Y746">
        <v>48</v>
      </c>
      <c r="Z746" t="s">
        <v>44</v>
      </c>
      <c r="AA746">
        <v>114</v>
      </c>
      <c r="AB746">
        <v>0</v>
      </c>
      <c r="AC746">
        <v>0</v>
      </c>
      <c r="AD746">
        <v>0</v>
      </c>
      <c r="AE746">
        <v>39</v>
      </c>
      <c r="AF746">
        <v>24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191</v>
      </c>
      <c r="AQ746">
        <f t="shared" si="26"/>
        <v>191</v>
      </c>
      <c r="AR746" s="5">
        <f>VLOOKUP(F746,'[2]SCP_24-25'!$A:$D,4,0)</f>
        <v>47.03</v>
      </c>
      <c r="AS746" s="5">
        <f t="shared" si="25"/>
        <v>8982.73</v>
      </c>
    </row>
    <row r="747" spans="1:45" x14ac:dyDescent="0.3">
      <c r="A747" s="1">
        <v>45900.962500000001</v>
      </c>
      <c r="B747" t="s">
        <v>1363</v>
      </c>
      <c r="C747" t="s">
        <v>1364</v>
      </c>
      <c r="D747" t="s">
        <v>197</v>
      </c>
      <c r="E747" t="s">
        <v>198</v>
      </c>
      <c r="F747" t="s">
        <v>1576</v>
      </c>
      <c r="G747" t="s">
        <v>199</v>
      </c>
      <c r="H747" t="s">
        <v>66</v>
      </c>
      <c r="I747" t="s">
        <v>43</v>
      </c>
      <c r="J747">
        <v>100</v>
      </c>
      <c r="K747">
        <v>19</v>
      </c>
      <c r="L747">
        <v>9.5</v>
      </c>
      <c r="M747">
        <v>11</v>
      </c>
      <c r="N747">
        <v>130860</v>
      </c>
      <c r="O747">
        <v>0</v>
      </c>
      <c r="P747">
        <v>0</v>
      </c>
      <c r="Q747">
        <v>19</v>
      </c>
      <c r="R747">
        <v>4785</v>
      </c>
      <c r="S747" t="s">
        <v>44</v>
      </c>
      <c r="T747">
        <v>240</v>
      </c>
      <c r="U747" t="s">
        <v>44</v>
      </c>
      <c r="V747">
        <v>76</v>
      </c>
      <c r="W747" t="s">
        <v>44</v>
      </c>
      <c r="X747" t="s">
        <v>44</v>
      </c>
      <c r="Y747" t="s">
        <v>44</v>
      </c>
      <c r="Z747" t="s">
        <v>44</v>
      </c>
      <c r="AA747">
        <v>40</v>
      </c>
      <c r="AB747">
        <v>0</v>
      </c>
      <c r="AC747">
        <v>0</v>
      </c>
      <c r="AD747">
        <v>0</v>
      </c>
      <c r="AE747">
        <v>468</v>
      </c>
      <c r="AF747">
        <v>10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116</v>
      </c>
      <c r="AQ747">
        <f t="shared" si="26"/>
        <v>116</v>
      </c>
      <c r="AR747" s="5">
        <f>VLOOKUP(F747,'[2]SCP_24-25'!$A:$D,4,0)</f>
        <v>63.26</v>
      </c>
      <c r="AS747" s="5">
        <f t="shared" si="25"/>
        <v>7338.16</v>
      </c>
    </row>
    <row r="748" spans="1:45" x14ac:dyDescent="0.3">
      <c r="A748" s="1">
        <v>45900.962500000001</v>
      </c>
      <c r="B748" t="s">
        <v>1363</v>
      </c>
      <c r="C748" t="s">
        <v>1364</v>
      </c>
      <c r="D748" t="s">
        <v>222</v>
      </c>
      <c r="F748" t="s">
        <v>1586</v>
      </c>
      <c r="G748" t="s">
        <v>223</v>
      </c>
      <c r="H748" t="s">
        <v>66</v>
      </c>
      <c r="I748" t="s">
        <v>43</v>
      </c>
      <c r="J748">
        <v>91</v>
      </c>
      <c r="K748">
        <v>19</v>
      </c>
      <c r="L748">
        <v>10</v>
      </c>
      <c r="M748">
        <v>11</v>
      </c>
      <c r="N748">
        <v>31294</v>
      </c>
      <c r="O748">
        <v>0</v>
      </c>
      <c r="P748">
        <v>0</v>
      </c>
      <c r="Q748">
        <v>17</v>
      </c>
      <c r="R748">
        <v>924</v>
      </c>
      <c r="S748" t="s">
        <v>44</v>
      </c>
      <c r="T748" t="s">
        <v>44</v>
      </c>
      <c r="U748" t="s">
        <v>44</v>
      </c>
      <c r="V748">
        <v>174</v>
      </c>
      <c r="W748" t="s">
        <v>44</v>
      </c>
      <c r="X748" t="s">
        <v>44</v>
      </c>
      <c r="Y748" t="s">
        <v>44</v>
      </c>
      <c r="Z748" t="s">
        <v>44</v>
      </c>
      <c r="AA748">
        <v>21</v>
      </c>
      <c r="AB748">
        <v>0</v>
      </c>
      <c r="AC748">
        <v>0</v>
      </c>
      <c r="AD748">
        <v>0</v>
      </c>
      <c r="AE748">
        <v>455</v>
      </c>
      <c r="AF748">
        <v>2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195</v>
      </c>
      <c r="AQ748">
        <f t="shared" si="26"/>
        <v>195</v>
      </c>
      <c r="AR748" s="5">
        <f>VLOOKUP(F748,'[2]SCP_24-25'!$A:$D,4,0)</f>
        <v>60.73</v>
      </c>
      <c r="AS748" s="5">
        <f t="shared" si="25"/>
        <v>11842.349999999999</v>
      </c>
    </row>
    <row r="749" spans="1:45" x14ac:dyDescent="0.3">
      <c r="A749" s="1">
        <v>45900.962500000001</v>
      </c>
      <c r="B749" t="s">
        <v>1363</v>
      </c>
      <c r="C749" t="s">
        <v>1364</v>
      </c>
      <c r="D749" t="s">
        <v>226</v>
      </c>
      <c r="F749" t="s">
        <v>1588</v>
      </c>
      <c r="G749" t="s">
        <v>227</v>
      </c>
      <c r="H749" t="s">
        <v>66</v>
      </c>
      <c r="I749" t="s">
        <v>43</v>
      </c>
      <c r="J749">
        <v>101</v>
      </c>
      <c r="K749">
        <v>19</v>
      </c>
      <c r="L749">
        <v>10</v>
      </c>
      <c r="M749">
        <v>11</v>
      </c>
      <c r="N749">
        <v>33741</v>
      </c>
      <c r="O749">
        <v>0</v>
      </c>
      <c r="P749">
        <v>0</v>
      </c>
      <c r="Q749">
        <v>17</v>
      </c>
      <c r="R749">
        <v>3662</v>
      </c>
      <c r="S749" t="s">
        <v>44</v>
      </c>
      <c r="T749" t="s">
        <v>44</v>
      </c>
      <c r="U749" t="s">
        <v>44</v>
      </c>
      <c r="V749">
        <v>327</v>
      </c>
      <c r="W749" t="s">
        <v>44</v>
      </c>
      <c r="X749" t="s">
        <v>44</v>
      </c>
      <c r="Y749" t="s">
        <v>44</v>
      </c>
      <c r="Z749" t="s">
        <v>44</v>
      </c>
      <c r="AA749">
        <v>17</v>
      </c>
      <c r="AB749">
        <v>0</v>
      </c>
      <c r="AC749">
        <v>0</v>
      </c>
      <c r="AD749">
        <v>0</v>
      </c>
      <c r="AE749">
        <v>438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344</v>
      </c>
      <c r="AQ749">
        <f t="shared" si="26"/>
        <v>344</v>
      </c>
      <c r="AR749" s="5">
        <f>VLOOKUP(F749,'[2]SCP_24-25'!$A:$D,4,0)</f>
        <v>70.2</v>
      </c>
      <c r="AS749" s="5">
        <f t="shared" si="25"/>
        <v>24148.799999999999</v>
      </c>
    </row>
    <row r="750" spans="1:45" x14ac:dyDescent="0.3">
      <c r="A750" s="1">
        <v>45900.962500000001</v>
      </c>
      <c r="B750" t="s">
        <v>1363</v>
      </c>
      <c r="C750" t="s">
        <v>1364</v>
      </c>
      <c r="D750" t="s">
        <v>230</v>
      </c>
      <c r="F750" t="s">
        <v>1590</v>
      </c>
      <c r="G750" t="s">
        <v>231</v>
      </c>
      <c r="H750" t="s">
        <v>66</v>
      </c>
      <c r="I750" t="s">
        <v>43</v>
      </c>
      <c r="J750">
        <v>47</v>
      </c>
      <c r="K750">
        <v>19</v>
      </c>
      <c r="L750">
        <v>10</v>
      </c>
      <c r="M750">
        <v>11</v>
      </c>
      <c r="N750">
        <v>57829</v>
      </c>
      <c r="O750">
        <v>0</v>
      </c>
      <c r="P750">
        <v>0</v>
      </c>
      <c r="Q750">
        <v>13</v>
      </c>
      <c r="R750">
        <v>4085</v>
      </c>
      <c r="S750" t="s">
        <v>44</v>
      </c>
      <c r="T750">
        <v>348</v>
      </c>
      <c r="U750" t="s">
        <v>44</v>
      </c>
      <c r="V750">
        <v>43</v>
      </c>
      <c r="W750" t="s">
        <v>44</v>
      </c>
      <c r="X750" t="s">
        <v>44</v>
      </c>
      <c r="Y750" t="s">
        <v>44</v>
      </c>
      <c r="Z750" t="s">
        <v>44</v>
      </c>
      <c r="AA750">
        <v>13</v>
      </c>
      <c r="AB750">
        <v>0</v>
      </c>
      <c r="AC750">
        <v>0</v>
      </c>
      <c r="AD750">
        <v>0</v>
      </c>
      <c r="AE750">
        <v>388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56</v>
      </c>
      <c r="AQ750">
        <f t="shared" si="26"/>
        <v>56</v>
      </c>
      <c r="AR750" s="5">
        <f>VLOOKUP(F750,'[2]SCP_24-25'!$A:$D,4,0)</f>
        <v>75.81</v>
      </c>
      <c r="AS750" s="5">
        <f t="shared" si="25"/>
        <v>4245.3600000000006</v>
      </c>
    </row>
    <row r="751" spans="1:45" x14ac:dyDescent="0.3">
      <c r="A751" s="1">
        <v>45900.962500000001</v>
      </c>
      <c r="B751" t="s">
        <v>1363</v>
      </c>
      <c r="C751" t="s">
        <v>1364</v>
      </c>
      <c r="D751" t="s">
        <v>232</v>
      </c>
      <c r="E751" t="s">
        <v>233</v>
      </c>
      <c r="F751" t="s">
        <v>1591</v>
      </c>
      <c r="G751" t="s">
        <v>234</v>
      </c>
      <c r="H751" t="s">
        <v>66</v>
      </c>
      <c r="I751" t="s">
        <v>43</v>
      </c>
      <c r="J751">
        <v>95</v>
      </c>
      <c r="K751">
        <v>19</v>
      </c>
      <c r="L751">
        <v>11</v>
      </c>
      <c r="M751">
        <v>9.5</v>
      </c>
      <c r="N751">
        <v>147601</v>
      </c>
      <c r="O751">
        <v>0</v>
      </c>
      <c r="P751">
        <v>0</v>
      </c>
      <c r="Q751">
        <v>35</v>
      </c>
      <c r="R751">
        <v>4374</v>
      </c>
      <c r="S751" t="s">
        <v>44</v>
      </c>
      <c r="T751">
        <v>726</v>
      </c>
      <c r="U751" t="s">
        <v>44</v>
      </c>
      <c r="V751">
        <v>32</v>
      </c>
      <c r="W751" t="s">
        <v>44</v>
      </c>
      <c r="X751" t="s">
        <v>44</v>
      </c>
      <c r="Y751" t="s">
        <v>44</v>
      </c>
      <c r="Z751" t="s">
        <v>44</v>
      </c>
      <c r="AA751">
        <v>72</v>
      </c>
      <c r="AB751">
        <v>0</v>
      </c>
      <c r="AC751">
        <v>0</v>
      </c>
      <c r="AD751">
        <v>0</v>
      </c>
      <c r="AE751">
        <v>492</v>
      </c>
      <c r="AF751">
        <v>2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104</v>
      </c>
      <c r="AQ751">
        <f t="shared" si="26"/>
        <v>104</v>
      </c>
      <c r="AR751" s="5">
        <f>VLOOKUP(F751,'[2]SCP_24-25'!$A:$D,4,0)</f>
        <v>70.52</v>
      </c>
      <c r="AS751" s="5">
        <f t="shared" si="25"/>
        <v>7334.08</v>
      </c>
    </row>
    <row r="752" spans="1:45" x14ac:dyDescent="0.3">
      <c r="A752" s="1">
        <v>45900.962500000001</v>
      </c>
      <c r="B752" t="s">
        <v>1363</v>
      </c>
      <c r="C752" t="s">
        <v>1364</v>
      </c>
      <c r="D752" t="s">
        <v>235</v>
      </c>
      <c r="F752" t="s">
        <v>1592</v>
      </c>
      <c r="G752" t="s">
        <v>236</v>
      </c>
      <c r="H752" t="s">
        <v>66</v>
      </c>
      <c r="I752" t="s">
        <v>43</v>
      </c>
      <c r="J752">
        <v>90</v>
      </c>
      <c r="K752">
        <v>19</v>
      </c>
      <c r="L752">
        <v>9.5</v>
      </c>
      <c r="M752">
        <v>11</v>
      </c>
      <c r="N752">
        <v>10771</v>
      </c>
      <c r="O752">
        <v>0</v>
      </c>
      <c r="P752">
        <v>0</v>
      </c>
      <c r="Q752">
        <v>13</v>
      </c>
      <c r="R752">
        <v>2</v>
      </c>
      <c r="S752" t="s">
        <v>44</v>
      </c>
      <c r="T752" t="s">
        <v>44</v>
      </c>
      <c r="U752" t="s">
        <v>44</v>
      </c>
      <c r="V752">
        <v>294</v>
      </c>
      <c r="W752" t="s">
        <v>44</v>
      </c>
      <c r="X752" t="s">
        <v>44</v>
      </c>
      <c r="Y752" t="s">
        <v>44</v>
      </c>
      <c r="Z752" t="s">
        <v>44</v>
      </c>
      <c r="AA752">
        <v>0</v>
      </c>
      <c r="AB752">
        <v>0</v>
      </c>
      <c r="AC752">
        <v>0</v>
      </c>
      <c r="AD752">
        <v>0</v>
      </c>
      <c r="AE752">
        <v>543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294</v>
      </c>
      <c r="AQ752">
        <f t="shared" si="26"/>
        <v>294</v>
      </c>
      <c r="AR752" s="5">
        <f>VLOOKUP(F752,'[2]SCP_24-25'!$A:$D,4,0)</f>
        <v>52.010000000000005</v>
      </c>
      <c r="AS752" s="5">
        <f t="shared" si="25"/>
        <v>15290.940000000002</v>
      </c>
    </row>
    <row r="753" spans="1:45" x14ac:dyDescent="0.3">
      <c r="A753" s="1">
        <v>45900.962500000001</v>
      </c>
      <c r="B753" t="s">
        <v>1363</v>
      </c>
      <c r="C753" t="s">
        <v>1364</v>
      </c>
      <c r="D753" t="s">
        <v>237</v>
      </c>
      <c r="F753" t="s">
        <v>1593</v>
      </c>
      <c r="G753" t="s">
        <v>238</v>
      </c>
      <c r="H753" t="s">
        <v>66</v>
      </c>
      <c r="I753" t="s">
        <v>43</v>
      </c>
      <c r="J753">
        <v>90</v>
      </c>
      <c r="K753">
        <v>19</v>
      </c>
      <c r="L753">
        <v>9.5</v>
      </c>
      <c r="M753">
        <v>11</v>
      </c>
      <c r="N753">
        <v>23184</v>
      </c>
      <c r="O753">
        <v>0</v>
      </c>
      <c r="P753">
        <v>0</v>
      </c>
      <c r="Q753">
        <v>17</v>
      </c>
      <c r="R753">
        <v>22</v>
      </c>
      <c r="S753" t="s">
        <v>44</v>
      </c>
      <c r="T753">
        <v>18</v>
      </c>
      <c r="U753" t="s">
        <v>44</v>
      </c>
      <c r="V753">
        <v>135</v>
      </c>
      <c r="W753" t="s">
        <v>44</v>
      </c>
      <c r="X753" t="s">
        <v>44</v>
      </c>
      <c r="Y753" t="s">
        <v>44</v>
      </c>
      <c r="Z753" t="s">
        <v>44</v>
      </c>
      <c r="AA753">
        <v>15</v>
      </c>
      <c r="AB753">
        <v>0</v>
      </c>
      <c r="AC753">
        <v>0</v>
      </c>
      <c r="AD753">
        <v>0</v>
      </c>
      <c r="AE753">
        <v>589</v>
      </c>
      <c r="AF753">
        <v>2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150</v>
      </c>
      <c r="AQ753">
        <f t="shared" si="26"/>
        <v>150</v>
      </c>
      <c r="AR753" s="5">
        <f>VLOOKUP(F753,'[2]SCP_24-25'!$A:$D,4,0)</f>
        <v>60</v>
      </c>
      <c r="AS753" s="5">
        <f t="shared" si="25"/>
        <v>9000</v>
      </c>
    </row>
    <row r="754" spans="1:45" x14ac:dyDescent="0.3">
      <c r="A754" s="1">
        <v>45900.962500000001</v>
      </c>
      <c r="B754" t="s">
        <v>1363</v>
      </c>
      <c r="C754" t="s">
        <v>1364</v>
      </c>
      <c r="D754" t="s">
        <v>239</v>
      </c>
      <c r="E754" t="s">
        <v>240</v>
      </c>
      <c r="F754" t="s">
        <v>1594</v>
      </c>
      <c r="G754" t="s">
        <v>241</v>
      </c>
      <c r="H754" t="s">
        <v>66</v>
      </c>
      <c r="I754" t="s">
        <v>43</v>
      </c>
      <c r="J754">
        <v>35</v>
      </c>
      <c r="K754">
        <v>19</v>
      </c>
      <c r="L754">
        <v>11</v>
      </c>
      <c r="M754">
        <v>9.5</v>
      </c>
      <c r="N754">
        <v>28011</v>
      </c>
      <c r="O754">
        <v>0</v>
      </c>
      <c r="P754">
        <v>0</v>
      </c>
      <c r="Q754">
        <v>9</v>
      </c>
      <c r="R754">
        <v>187</v>
      </c>
      <c r="S754" t="s">
        <v>44</v>
      </c>
      <c r="T754" t="s">
        <v>44</v>
      </c>
      <c r="U754" t="s">
        <v>44</v>
      </c>
      <c r="V754">
        <v>461</v>
      </c>
      <c r="W754" t="s">
        <v>44</v>
      </c>
      <c r="X754" t="s">
        <v>44</v>
      </c>
      <c r="Y754" t="s">
        <v>44</v>
      </c>
      <c r="Z754" t="s">
        <v>44</v>
      </c>
      <c r="AA754">
        <v>7</v>
      </c>
      <c r="AB754">
        <v>0</v>
      </c>
      <c r="AC754">
        <v>0</v>
      </c>
      <c r="AD754">
        <v>0</v>
      </c>
      <c r="AE754">
        <v>311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468</v>
      </c>
      <c r="AQ754">
        <f t="shared" si="26"/>
        <v>468</v>
      </c>
      <c r="AR754" s="5">
        <f>VLOOKUP(F754,'[2]SCP_24-25'!$A:$D,4,0)</f>
        <v>31.31</v>
      </c>
      <c r="AS754" s="5">
        <f t="shared" si="25"/>
        <v>14653.08</v>
      </c>
    </row>
    <row r="755" spans="1:45" x14ac:dyDescent="0.3">
      <c r="A755" s="1">
        <v>45900.962500000001</v>
      </c>
      <c r="B755" t="s">
        <v>1363</v>
      </c>
      <c r="C755" t="s">
        <v>1364</v>
      </c>
      <c r="D755" t="s">
        <v>242</v>
      </c>
      <c r="E755" t="s">
        <v>243</v>
      </c>
      <c r="F755" t="s">
        <v>1595</v>
      </c>
      <c r="G755" t="s">
        <v>244</v>
      </c>
      <c r="H755" t="s">
        <v>66</v>
      </c>
      <c r="I755" t="s">
        <v>43</v>
      </c>
      <c r="J755">
        <v>35</v>
      </c>
      <c r="K755">
        <v>19</v>
      </c>
      <c r="L755">
        <v>11</v>
      </c>
      <c r="M755">
        <v>9.5</v>
      </c>
      <c r="N755">
        <v>8217</v>
      </c>
      <c r="O755">
        <v>0</v>
      </c>
      <c r="P755">
        <v>0</v>
      </c>
      <c r="Q755">
        <v>3</v>
      </c>
      <c r="R755">
        <v>120</v>
      </c>
      <c r="S755" t="s">
        <v>44</v>
      </c>
      <c r="T755" t="s">
        <v>44</v>
      </c>
      <c r="U755" t="s">
        <v>44</v>
      </c>
      <c r="V755">
        <v>64</v>
      </c>
      <c r="W755" t="s">
        <v>44</v>
      </c>
      <c r="X755" t="s">
        <v>44</v>
      </c>
      <c r="Y755" t="s">
        <v>44</v>
      </c>
      <c r="Z755" t="s">
        <v>44</v>
      </c>
      <c r="AA755">
        <v>0</v>
      </c>
      <c r="AB755">
        <v>0</v>
      </c>
      <c r="AC755">
        <v>0</v>
      </c>
      <c r="AD755">
        <v>0</v>
      </c>
      <c r="AE755">
        <v>346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64</v>
      </c>
      <c r="AQ755">
        <f t="shared" si="26"/>
        <v>64</v>
      </c>
      <c r="AR755" s="5">
        <f>VLOOKUP(F755,'[2]SCP_24-25'!$A:$D,4,0)</f>
        <v>31.06</v>
      </c>
      <c r="AS755" s="5">
        <f t="shared" si="25"/>
        <v>1987.84</v>
      </c>
    </row>
    <row r="756" spans="1:45" x14ac:dyDescent="0.3">
      <c r="A756" s="1">
        <v>45900.962500000001</v>
      </c>
      <c r="B756" t="s">
        <v>1363</v>
      </c>
      <c r="C756" t="s">
        <v>1364</v>
      </c>
      <c r="D756" t="s">
        <v>245</v>
      </c>
      <c r="E756" t="s">
        <v>246</v>
      </c>
      <c r="F756" t="s">
        <v>1596</v>
      </c>
      <c r="G756" t="s">
        <v>247</v>
      </c>
      <c r="H756" t="s">
        <v>66</v>
      </c>
      <c r="I756" t="s">
        <v>43</v>
      </c>
      <c r="J756">
        <v>35</v>
      </c>
      <c r="K756">
        <v>19</v>
      </c>
      <c r="L756">
        <v>11</v>
      </c>
      <c r="M756">
        <v>9.5</v>
      </c>
      <c r="N756">
        <v>15576</v>
      </c>
      <c r="O756">
        <v>0</v>
      </c>
      <c r="P756">
        <v>0</v>
      </c>
      <c r="Q756">
        <v>2</v>
      </c>
      <c r="R756">
        <v>444</v>
      </c>
      <c r="S756" t="s">
        <v>44</v>
      </c>
      <c r="T756">
        <v>26</v>
      </c>
      <c r="U756" t="s">
        <v>44</v>
      </c>
      <c r="V756">
        <v>21</v>
      </c>
      <c r="W756" t="s">
        <v>44</v>
      </c>
      <c r="X756" t="s">
        <v>44</v>
      </c>
      <c r="Y756" t="s">
        <v>44</v>
      </c>
      <c r="Z756" t="s">
        <v>44</v>
      </c>
      <c r="AA756">
        <v>11</v>
      </c>
      <c r="AB756">
        <v>0</v>
      </c>
      <c r="AC756">
        <v>0</v>
      </c>
      <c r="AD756">
        <v>0</v>
      </c>
      <c r="AE756">
        <v>220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32</v>
      </c>
      <c r="AQ756">
        <f t="shared" si="26"/>
        <v>32</v>
      </c>
      <c r="AR756" s="5">
        <f>VLOOKUP(F756,'[2]SCP_24-25'!$A:$D,4,0)</f>
        <v>26.27</v>
      </c>
      <c r="AS756" s="5">
        <f t="shared" si="25"/>
        <v>840.64</v>
      </c>
    </row>
    <row r="757" spans="1:45" x14ac:dyDescent="0.3">
      <c r="A757" s="1">
        <v>45900.962500000001</v>
      </c>
      <c r="B757" t="s">
        <v>1363</v>
      </c>
      <c r="C757" t="s">
        <v>1364</v>
      </c>
      <c r="D757" t="s">
        <v>888</v>
      </c>
      <c r="E757" t="s">
        <v>889</v>
      </c>
      <c r="F757" t="s">
        <v>1895</v>
      </c>
      <c r="G757" t="s">
        <v>890</v>
      </c>
      <c r="H757" t="s">
        <v>66</v>
      </c>
      <c r="I757" t="s">
        <v>43</v>
      </c>
      <c r="J757">
        <v>35</v>
      </c>
      <c r="K757">
        <v>19</v>
      </c>
      <c r="L757">
        <v>11</v>
      </c>
      <c r="M757">
        <v>9.5</v>
      </c>
      <c r="N757">
        <v>5507</v>
      </c>
      <c r="O757">
        <v>0</v>
      </c>
      <c r="P757">
        <v>0</v>
      </c>
      <c r="Q757">
        <v>9</v>
      </c>
      <c r="R757">
        <v>19</v>
      </c>
      <c r="S757" t="s">
        <v>44</v>
      </c>
      <c r="T757" t="s">
        <v>44</v>
      </c>
      <c r="U757" t="s">
        <v>44</v>
      </c>
      <c r="V757">
        <v>4</v>
      </c>
      <c r="W757" t="s">
        <v>44</v>
      </c>
      <c r="X757" t="s">
        <v>44</v>
      </c>
      <c r="Y757" t="s">
        <v>44</v>
      </c>
      <c r="Z757" t="s">
        <v>44</v>
      </c>
      <c r="AA757">
        <v>0</v>
      </c>
      <c r="AB757">
        <v>0</v>
      </c>
      <c r="AC757">
        <v>0</v>
      </c>
      <c r="AD757">
        <v>0</v>
      </c>
      <c r="AE757">
        <v>556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4</v>
      </c>
      <c r="AQ757">
        <f t="shared" si="26"/>
        <v>4</v>
      </c>
      <c r="AR757" s="5">
        <f>VLOOKUP(F757,'[2]SCP_24-25'!$A:$D,4,0)</f>
        <v>37.06</v>
      </c>
      <c r="AS757" s="5">
        <f t="shared" si="25"/>
        <v>148.24</v>
      </c>
    </row>
    <row r="758" spans="1:45" x14ac:dyDescent="0.3">
      <c r="A758" s="1">
        <v>45900.962500000001</v>
      </c>
      <c r="B758" t="s">
        <v>1363</v>
      </c>
      <c r="C758" t="s">
        <v>1364</v>
      </c>
      <c r="D758" t="s">
        <v>251</v>
      </c>
      <c r="E758" t="s">
        <v>252</v>
      </c>
      <c r="F758" t="s">
        <v>1598</v>
      </c>
      <c r="G758" t="s">
        <v>253</v>
      </c>
      <c r="H758" t="s">
        <v>66</v>
      </c>
      <c r="I758" t="s">
        <v>43</v>
      </c>
      <c r="J758">
        <v>35</v>
      </c>
      <c r="K758">
        <v>19</v>
      </c>
      <c r="L758">
        <v>11</v>
      </c>
      <c r="M758">
        <v>9.5</v>
      </c>
      <c r="N758">
        <v>19606</v>
      </c>
      <c r="O758">
        <v>0</v>
      </c>
      <c r="P758">
        <v>0</v>
      </c>
      <c r="Q758">
        <v>6</v>
      </c>
      <c r="R758">
        <v>1211</v>
      </c>
      <c r="S758" t="s">
        <v>44</v>
      </c>
      <c r="T758">
        <v>44</v>
      </c>
      <c r="U758" t="s">
        <v>44</v>
      </c>
      <c r="V758">
        <v>0</v>
      </c>
      <c r="W758" t="s">
        <v>44</v>
      </c>
      <c r="X758" t="s">
        <v>44</v>
      </c>
      <c r="Y758" t="s">
        <v>44</v>
      </c>
      <c r="Z758" t="s">
        <v>44</v>
      </c>
      <c r="AA758">
        <v>16</v>
      </c>
      <c r="AB758">
        <v>0</v>
      </c>
      <c r="AC758">
        <v>0</v>
      </c>
      <c r="AD758">
        <v>0</v>
      </c>
      <c r="AE758">
        <v>764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16</v>
      </c>
      <c r="AQ758">
        <f t="shared" si="26"/>
        <v>16</v>
      </c>
      <c r="AR758" s="5">
        <f>VLOOKUP(F758,'[2]SCP_24-25'!$A:$D,4,0)</f>
        <v>28.82</v>
      </c>
      <c r="AS758" s="5">
        <f t="shared" si="25"/>
        <v>461.12</v>
      </c>
    </row>
    <row r="759" spans="1:45" x14ac:dyDescent="0.3">
      <c r="A759" s="1">
        <v>45900.962500000001</v>
      </c>
      <c r="B759" t="s">
        <v>1363</v>
      </c>
      <c r="C759" t="s">
        <v>1364</v>
      </c>
      <c r="D759" t="s">
        <v>260</v>
      </c>
      <c r="E759" t="s">
        <v>261</v>
      </c>
      <c r="F759" t="s">
        <v>1601</v>
      </c>
      <c r="G759" t="s">
        <v>262</v>
      </c>
      <c r="H759" t="s">
        <v>66</v>
      </c>
      <c r="I759" t="s">
        <v>43</v>
      </c>
      <c r="J759">
        <v>150</v>
      </c>
      <c r="K759">
        <v>19</v>
      </c>
      <c r="L759">
        <v>11</v>
      </c>
      <c r="M759">
        <v>9.5</v>
      </c>
      <c r="N759">
        <v>80436</v>
      </c>
      <c r="O759">
        <v>0</v>
      </c>
      <c r="P759">
        <v>0</v>
      </c>
      <c r="Q759">
        <v>12</v>
      </c>
      <c r="R759">
        <v>7431</v>
      </c>
      <c r="S759" t="s">
        <v>44</v>
      </c>
      <c r="T759">
        <v>1452</v>
      </c>
      <c r="U759" t="s">
        <v>44</v>
      </c>
      <c r="V759">
        <v>0</v>
      </c>
      <c r="W759">
        <v>15</v>
      </c>
      <c r="X759" t="s">
        <v>44</v>
      </c>
      <c r="Y759" t="s">
        <v>44</v>
      </c>
      <c r="Z759" t="s">
        <v>44</v>
      </c>
      <c r="AA759">
        <v>98</v>
      </c>
      <c r="AB759">
        <v>0</v>
      </c>
      <c r="AC759">
        <v>0</v>
      </c>
      <c r="AD759">
        <v>0</v>
      </c>
      <c r="AE759">
        <v>31</v>
      </c>
      <c r="AF759">
        <v>2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98</v>
      </c>
      <c r="AQ759">
        <f t="shared" si="26"/>
        <v>98</v>
      </c>
      <c r="AR759" s="5">
        <f>VLOOKUP(F759,'[2]SCP_24-25'!$A:$D,4,0)</f>
        <v>40.29</v>
      </c>
      <c r="AS759" s="5">
        <f t="shared" si="25"/>
        <v>3948.42</v>
      </c>
    </row>
    <row r="760" spans="1:45" x14ac:dyDescent="0.3">
      <c r="A760" s="1">
        <v>45900.962500000001</v>
      </c>
      <c r="B760" t="s">
        <v>1363</v>
      </c>
      <c r="C760" t="s">
        <v>1364</v>
      </c>
      <c r="D760" t="s">
        <v>263</v>
      </c>
      <c r="E760" t="s">
        <v>264</v>
      </c>
      <c r="F760" t="s">
        <v>1602</v>
      </c>
      <c r="G760" t="s">
        <v>265</v>
      </c>
      <c r="H760" t="s">
        <v>66</v>
      </c>
      <c r="I760" t="s">
        <v>43</v>
      </c>
      <c r="J760">
        <v>150</v>
      </c>
      <c r="K760">
        <v>19</v>
      </c>
      <c r="L760">
        <v>11</v>
      </c>
      <c r="M760">
        <v>9.5</v>
      </c>
      <c r="N760">
        <v>29437</v>
      </c>
      <c r="O760">
        <v>0</v>
      </c>
      <c r="P760">
        <v>0</v>
      </c>
      <c r="Q760">
        <v>10</v>
      </c>
      <c r="R760">
        <v>1756</v>
      </c>
      <c r="S760" t="s">
        <v>44</v>
      </c>
      <c r="T760">
        <v>12</v>
      </c>
      <c r="U760" t="s">
        <v>44</v>
      </c>
      <c r="V760">
        <v>9</v>
      </c>
      <c r="W760" t="s">
        <v>44</v>
      </c>
      <c r="X760" t="s">
        <v>44</v>
      </c>
      <c r="Y760" t="s">
        <v>44</v>
      </c>
      <c r="Z760" t="s">
        <v>44</v>
      </c>
      <c r="AA760">
        <v>11</v>
      </c>
      <c r="AB760">
        <v>0</v>
      </c>
      <c r="AC760">
        <v>0</v>
      </c>
      <c r="AD760">
        <v>0</v>
      </c>
      <c r="AE760">
        <v>90</v>
      </c>
      <c r="AF760">
        <v>3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20</v>
      </c>
      <c r="AQ760">
        <f t="shared" si="26"/>
        <v>20</v>
      </c>
      <c r="AR760" s="5">
        <f>VLOOKUP(F760,'[2]SCP_24-25'!$A:$D,4,0)</f>
        <v>31.706666666666667</v>
      </c>
      <c r="AS760" s="5">
        <f t="shared" si="25"/>
        <v>634.13333333333333</v>
      </c>
    </row>
    <row r="761" spans="1:45" x14ac:dyDescent="0.3">
      <c r="A761" s="1">
        <v>45900.962500000001</v>
      </c>
      <c r="B761" t="s">
        <v>1363</v>
      </c>
      <c r="C761" t="s">
        <v>1364</v>
      </c>
      <c r="D761" t="s">
        <v>266</v>
      </c>
      <c r="E761" t="s">
        <v>267</v>
      </c>
      <c r="F761" t="s">
        <v>1603</v>
      </c>
      <c r="G761" t="s">
        <v>268</v>
      </c>
      <c r="H761" t="s">
        <v>66</v>
      </c>
      <c r="I761" t="s">
        <v>43</v>
      </c>
      <c r="J761">
        <v>120</v>
      </c>
      <c r="K761">
        <v>19</v>
      </c>
      <c r="L761">
        <v>11</v>
      </c>
      <c r="M761">
        <v>9.5</v>
      </c>
      <c r="N761">
        <v>33908</v>
      </c>
      <c r="O761">
        <v>0</v>
      </c>
      <c r="P761">
        <v>0</v>
      </c>
      <c r="Q761">
        <v>10</v>
      </c>
      <c r="R761">
        <v>2851</v>
      </c>
      <c r="S761" t="s">
        <v>44</v>
      </c>
      <c r="T761" t="s">
        <v>44</v>
      </c>
      <c r="U761" t="s">
        <v>44</v>
      </c>
      <c r="V761">
        <v>333</v>
      </c>
      <c r="W761" t="s">
        <v>44</v>
      </c>
      <c r="X761" t="s">
        <v>44</v>
      </c>
      <c r="Y761" t="s">
        <v>44</v>
      </c>
      <c r="Z761" t="s">
        <v>44</v>
      </c>
      <c r="AA761">
        <v>19</v>
      </c>
      <c r="AB761">
        <v>0</v>
      </c>
      <c r="AC761">
        <v>0</v>
      </c>
      <c r="AD761">
        <v>0</v>
      </c>
      <c r="AE761">
        <v>115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352</v>
      </c>
      <c r="AQ761">
        <f t="shared" si="26"/>
        <v>352</v>
      </c>
      <c r="AR761" s="5">
        <f>VLOOKUP(F761,'[2]SCP_24-25'!$A:$D,4,0)</f>
        <v>43.71</v>
      </c>
      <c r="AS761" s="5">
        <f t="shared" si="25"/>
        <v>15385.92</v>
      </c>
    </row>
    <row r="762" spans="1:45" x14ac:dyDescent="0.3">
      <c r="A762" s="1">
        <v>45900.962500000001</v>
      </c>
      <c r="B762" t="s">
        <v>1363</v>
      </c>
      <c r="C762" t="s">
        <v>1364</v>
      </c>
      <c r="D762" t="s">
        <v>277</v>
      </c>
      <c r="E762" t="s">
        <v>278</v>
      </c>
      <c r="F762" t="s">
        <v>1607</v>
      </c>
      <c r="G762" t="s">
        <v>279</v>
      </c>
      <c r="H762" t="s">
        <v>103</v>
      </c>
      <c r="I762" t="s">
        <v>43</v>
      </c>
      <c r="J762">
        <v>224.02</v>
      </c>
      <c r="K762">
        <v>19</v>
      </c>
      <c r="L762">
        <v>9.5</v>
      </c>
      <c r="M762">
        <v>11</v>
      </c>
      <c r="N762">
        <v>157585</v>
      </c>
      <c r="O762">
        <v>246</v>
      </c>
      <c r="P762">
        <v>0</v>
      </c>
      <c r="Q762">
        <v>31</v>
      </c>
      <c r="R762">
        <v>5016</v>
      </c>
      <c r="S762" t="s">
        <v>44</v>
      </c>
      <c r="T762">
        <v>1578</v>
      </c>
      <c r="U762" t="s">
        <v>44</v>
      </c>
      <c r="V762">
        <v>0</v>
      </c>
      <c r="W762" t="s">
        <v>44</v>
      </c>
      <c r="X762" t="s">
        <v>44</v>
      </c>
      <c r="Y762" t="s">
        <v>44</v>
      </c>
      <c r="Z762" t="s">
        <v>44</v>
      </c>
      <c r="AA762">
        <v>240</v>
      </c>
      <c r="AB762">
        <v>0</v>
      </c>
      <c r="AC762">
        <v>0</v>
      </c>
      <c r="AD762">
        <v>0</v>
      </c>
      <c r="AE762">
        <v>15</v>
      </c>
      <c r="AF762">
        <v>8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486</v>
      </c>
      <c r="AQ762">
        <f t="shared" si="26"/>
        <v>486</v>
      </c>
      <c r="AR762" s="5">
        <f>VLOOKUP(F762,'[2]SCP_24-25'!$A:$D,4,0)</f>
        <v>77.739999999999995</v>
      </c>
      <c r="AS762" s="5">
        <f t="shared" si="25"/>
        <v>37781.64</v>
      </c>
    </row>
    <row r="763" spans="1:45" x14ac:dyDescent="0.3">
      <c r="A763" s="1">
        <v>45900.962500000001</v>
      </c>
      <c r="B763" t="s">
        <v>1363</v>
      </c>
      <c r="C763" t="s">
        <v>1364</v>
      </c>
      <c r="D763" t="s">
        <v>286</v>
      </c>
      <c r="E763" t="s">
        <v>287</v>
      </c>
      <c r="F763" t="s">
        <v>1610</v>
      </c>
      <c r="G763" t="s">
        <v>288</v>
      </c>
      <c r="H763" t="s">
        <v>66</v>
      </c>
      <c r="I763" t="s">
        <v>43</v>
      </c>
      <c r="J763">
        <v>122.02</v>
      </c>
      <c r="K763">
        <v>19</v>
      </c>
      <c r="L763">
        <v>9.5</v>
      </c>
      <c r="M763">
        <v>11</v>
      </c>
      <c r="N763">
        <v>18350</v>
      </c>
      <c r="O763">
        <v>0</v>
      </c>
      <c r="P763">
        <v>0</v>
      </c>
      <c r="Q763">
        <v>6</v>
      </c>
      <c r="R763">
        <v>19</v>
      </c>
      <c r="S763" t="s">
        <v>44</v>
      </c>
      <c r="T763" t="s">
        <v>44</v>
      </c>
      <c r="U763" t="s">
        <v>44</v>
      </c>
      <c r="V763">
        <v>128</v>
      </c>
      <c r="W763">
        <v>33</v>
      </c>
      <c r="X763" t="s">
        <v>44</v>
      </c>
      <c r="Y763" t="s">
        <v>44</v>
      </c>
      <c r="Z763" t="s">
        <v>44</v>
      </c>
      <c r="AA763">
        <v>0</v>
      </c>
      <c r="AB763">
        <v>0</v>
      </c>
      <c r="AC763">
        <v>0</v>
      </c>
      <c r="AD763">
        <v>0</v>
      </c>
      <c r="AE763">
        <v>277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128</v>
      </c>
      <c r="AQ763">
        <f t="shared" si="26"/>
        <v>128</v>
      </c>
      <c r="AR763" s="5">
        <f>VLOOKUP(F763,'[2]SCP_24-25'!$A:$D,4,0)</f>
        <v>79.260000000000005</v>
      </c>
      <c r="AS763" s="5">
        <f t="shared" si="25"/>
        <v>10145.280000000001</v>
      </c>
    </row>
    <row r="764" spans="1:45" x14ac:dyDescent="0.3">
      <c r="A764" s="1">
        <v>45900.962500000001</v>
      </c>
      <c r="B764" t="s">
        <v>1363</v>
      </c>
      <c r="C764" t="s">
        <v>1364</v>
      </c>
      <c r="D764" t="s">
        <v>289</v>
      </c>
      <c r="E764" t="s">
        <v>290</v>
      </c>
      <c r="F764" t="s">
        <v>1611</v>
      </c>
      <c r="G764" t="s">
        <v>291</v>
      </c>
      <c r="H764" t="s">
        <v>103</v>
      </c>
      <c r="I764" t="s">
        <v>43</v>
      </c>
      <c r="J764">
        <v>138.99</v>
      </c>
      <c r="K764">
        <v>19</v>
      </c>
      <c r="L764">
        <v>9.5</v>
      </c>
      <c r="M764">
        <v>11</v>
      </c>
      <c r="N764">
        <v>17709</v>
      </c>
      <c r="O764">
        <v>0</v>
      </c>
      <c r="P764">
        <v>0</v>
      </c>
      <c r="Q764">
        <v>20</v>
      </c>
      <c r="R764">
        <v>998</v>
      </c>
      <c r="S764" t="s">
        <v>44</v>
      </c>
      <c r="T764" t="s">
        <v>44</v>
      </c>
      <c r="U764" t="s">
        <v>44</v>
      </c>
      <c r="V764">
        <v>97</v>
      </c>
      <c r="W764" t="s">
        <v>44</v>
      </c>
      <c r="X764" t="s">
        <v>44</v>
      </c>
      <c r="Y764" t="s">
        <v>44</v>
      </c>
      <c r="Z764" t="s">
        <v>44</v>
      </c>
      <c r="AA764">
        <v>17</v>
      </c>
      <c r="AB764">
        <v>0</v>
      </c>
      <c r="AC764">
        <v>0</v>
      </c>
      <c r="AD764">
        <v>0</v>
      </c>
      <c r="AE764">
        <v>393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114</v>
      </c>
      <c r="AQ764">
        <f t="shared" si="26"/>
        <v>114</v>
      </c>
      <c r="AR764" s="5">
        <f>VLOOKUP(F764,'[2]SCP_24-25'!$A:$D,4,0)</f>
        <v>99.63</v>
      </c>
      <c r="AS764" s="5">
        <f t="shared" si="25"/>
        <v>11357.82</v>
      </c>
    </row>
    <row r="765" spans="1:45" x14ac:dyDescent="0.3">
      <c r="A765" s="1">
        <v>45900.962500000001</v>
      </c>
      <c r="B765" t="s">
        <v>1363</v>
      </c>
      <c r="C765" t="s">
        <v>1364</v>
      </c>
      <c r="D765" t="s">
        <v>292</v>
      </c>
      <c r="E765" t="s">
        <v>293</v>
      </c>
      <c r="F765" t="s">
        <v>1612</v>
      </c>
      <c r="G765" t="s">
        <v>294</v>
      </c>
      <c r="H765" t="s">
        <v>103</v>
      </c>
      <c r="I765" t="s">
        <v>43</v>
      </c>
      <c r="J765">
        <v>125.02</v>
      </c>
      <c r="K765">
        <v>19</v>
      </c>
      <c r="L765">
        <v>9.5</v>
      </c>
      <c r="M765">
        <v>11</v>
      </c>
      <c r="N765">
        <v>35068</v>
      </c>
      <c r="O765">
        <v>0</v>
      </c>
      <c r="P765">
        <v>0</v>
      </c>
      <c r="Q765">
        <v>9</v>
      </c>
      <c r="R765">
        <v>324</v>
      </c>
      <c r="S765" t="s">
        <v>44</v>
      </c>
      <c r="T765" t="s">
        <v>44</v>
      </c>
      <c r="U765" t="s">
        <v>44</v>
      </c>
      <c r="V765">
        <v>87</v>
      </c>
      <c r="W765">
        <v>62</v>
      </c>
      <c r="X765" t="s">
        <v>44</v>
      </c>
      <c r="Y765" t="s">
        <v>44</v>
      </c>
      <c r="Z765" t="s">
        <v>44</v>
      </c>
      <c r="AA765">
        <v>9</v>
      </c>
      <c r="AB765">
        <v>0</v>
      </c>
      <c r="AC765">
        <v>0</v>
      </c>
      <c r="AD765">
        <v>0</v>
      </c>
      <c r="AE765">
        <v>218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96</v>
      </c>
      <c r="AQ765">
        <f t="shared" si="26"/>
        <v>96</v>
      </c>
      <c r="AR765" s="5">
        <f>VLOOKUP(F765,'[2]SCP_24-25'!$A:$D,4,0)</f>
        <v>67.05</v>
      </c>
      <c r="AS765" s="5">
        <f t="shared" si="25"/>
        <v>6436.7999999999993</v>
      </c>
    </row>
    <row r="766" spans="1:45" x14ac:dyDescent="0.3">
      <c r="A766" s="1">
        <v>45900.962500000001</v>
      </c>
      <c r="B766" t="s">
        <v>1363</v>
      </c>
      <c r="C766" t="s">
        <v>1364</v>
      </c>
      <c r="D766" t="s">
        <v>297</v>
      </c>
      <c r="F766" t="s">
        <v>1614</v>
      </c>
      <c r="G766" t="s">
        <v>298</v>
      </c>
      <c r="H766" t="s">
        <v>66</v>
      </c>
      <c r="I766" t="s">
        <v>43</v>
      </c>
      <c r="J766">
        <v>30</v>
      </c>
      <c r="K766">
        <v>19</v>
      </c>
      <c r="L766">
        <v>9.5</v>
      </c>
      <c r="M766">
        <v>11</v>
      </c>
      <c r="N766">
        <v>7230</v>
      </c>
      <c r="O766">
        <v>0</v>
      </c>
      <c r="P766">
        <v>0</v>
      </c>
      <c r="Q766">
        <v>2</v>
      </c>
      <c r="R766" t="s">
        <v>44</v>
      </c>
      <c r="S766" t="s">
        <v>44</v>
      </c>
      <c r="T766" t="s">
        <v>44</v>
      </c>
      <c r="U766" t="s">
        <v>44</v>
      </c>
      <c r="V766">
        <v>3</v>
      </c>
      <c r="W766" t="s">
        <v>44</v>
      </c>
      <c r="X766" t="s">
        <v>44</v>
      </c>
      <c r="Y766" t="s">
        <v>44</v>
      </c>
      <c r="Z766" t="s">
        <v>44</v>
      </c>
      <c r="AA766">
        <v>0</v>
      </c>
      <c r="AB766">
        <v>0</v>
      </c>
      <c r="AC766">
        <v>0</v>
      </c>
      <c r="AD766">
        <v>0</v>
      </c>
      <c r="AE766">
        <v>15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3</v>
      </c>
      <c r="AQ766">
        <f t="shared" si="26"/>
        <v>3</v>
      </c>
      <c r="AR766" s="5">
        <f>VLOOKUP(F766,'[2]SCP_24-25'!$A:$D,4,0)</f>
        <v>31.11</v>
      </c>
      <c r="AS766" s="5">
        <f t="shared" si="25"/>
        <v>93.33</v>
      </c>
    </row>
    <row r="767" spans="1:45" x14ac:dyDescent="0.3">
      <c r="A767" s="1">
        <v>45900.962500000001</v>
      </c>
      <c r="B767" t="s">
        <v>1363</v>
      </c>
      <c r="C767" t="s">
        <v>1364</v>
      </c>
      <c r="D767" t="s">
        <v>299</v>
      </c>
      <c r="F767" t="s">
        <v>1615</v>
      </c>
      <c r="G767" t="s">
        <v>300</v>
      </c>
      <c r="H767" t="s">
        <v>66</v>
      </c>
      <c r="I767" t="s">
        <v>43</v>
      </c>
      <c r="J767">
        <v>30</v>
      </c>
      <c r="K767">
        <v>19</v>
      </c>
      <c r="L767">
        <v>9.5</v>
      </c>
      <c r="M767">
        <v>11</v>
      </c>
      <c r="N767">
        <v>21417</v>
      </c>
      <c r="O767">
        <v>0</v>
      </c>
      <c r="P767">
        <v>0</v>
      </c>
      <c r="Q767">
        <v>3</v>
      </c>
      <c r="R767">
        <v>1016</v>
      </c>
      <c r="S767" t="s">
        <v>44</v>
      </c>
      <c r="T767">
        <v>50</v>
      </c>
      <c r="U767" t="s">
        <v>44</v>
      </c>
      <c r="V767">
        <v>2</v>
      </c>
      <c r="W767" t="s">
        <v>44</v>
      </c>
      <c r="X767" t="s">
        <v>44</v>
      </c>
      <c r="Y767" t="s">
        <v>44</v>
      </c>
      <c r="Z767" t="s">
        <v>44</v>
      </c>
      <c r="AA767">
        <v>36</v>
      </c>
      <c r="AB767">
        <v>0</v>
      </c>
      <c r="AC767">
        <v>0</v>
      </c>
      <c r="AD767">
        <v>0</v>
      </c>
      <c r="AE767">
        <v>55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38</v>
      </c>
      <c r="AQ767">
        <f t="shared" si="26"/>
        <v>38</v>
      </c>
      <c r="AR767" s="5">
        <f>VLOOKUP(F767,'[2]SCP_24-25'!$A:$D,4,0)</f>
        <v>25.930000000000003</v>
      </c>
      <c r="AS767" s="5">
        <f t="shared" si="25"/>
        <v>985.34000000000015</v>
      </c>
    </row>
    <row r="768" spans="1:45" x14ac:dyDescent="0.3">
      <c r="A768" s="1">
        <v>45900.962500000001</v>
      </c>
      <c r="B768" t="s">
        <v>1363</v>
      </c>
      <c r="C768" t="s">
        <v>1364</v>
      </c>
      <c r="D768" t="s">
        <v>305</v>
      </c>
      <c r="E768" t="s">
        <v>306</v>
      </c>
      <c r="F768" t="s">
        <v>1618</v>
      </c>
      <c r="G768" t="s">
        <v>307</v>
      </c>
      <c r="H768" t="s">
        <v>66</v>
      </c>
      <c r="I768" t="s">
        <v>43</v>
      </c>
      <c r="J768">
        <v>120</v>
      </c>
      <c r="K768">
        <v>19</v>
      </c>
      <c r="L768">
        <v>11</v>
      </c>
      <c r="M768">
        <v>9.5</v>
      </c>
      <c r="N768">
        <v>131799</v>
      </c>
      <c r="O768">
        <v>0</v>
      </c>
      <c r="P768">
        <v>0</v>
      </c>
      <c r="Q768">
        <v>24</v>
      </c>
      <c r="R768">
        <v>9383</v>
      </c>
      <c r="S768" t="s">
        <v>44</v>
      </c>
      <c r="T768" t="s">
        <v>44</v>
      </c>
      <c r="U768" t="s">
        <v>44</v>
      </c>
      <c r="V768">
        <v>0</v>
      </c>
      <c r="W768" t="s">
        <v>44</v>
      </c>
      <c r="X768" t="s">
        <v>44</v>
      </c>
      <c r="Y768" t="s">
        <v>44</v>
      </c>
      <c r="Z768" t="s">
        <v>44</v>
      </c>
      <c r="AA768">
        <v>330</v>
      </c>
      <c r="AB768">
        <v>0</v>
      </c>
      <c r="AC768">
        <v>0</v>
      </c>
      <c r="AD768">
        <v>0</v>
      </c>
      <c r="AE768">
        <v>16</v>
      </c>
      <c r="AF768">
        <v>17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330</v>
      </c>
      <c r="AQ768">
        <f t="shared" si="26"/>
        <v>330</v>
      </c>
      <c r="AR768" s="5">
        <f>VLOOKUP(F768,'[2]SCP_24-25'!$A:$D,4,0)</f>
        <v>44.312857142857141</v>
      </c>
      <c r="AS768" s="5">
        <f t="shared" si="25"/>
        <v>14623.242857142857</v>
      </c>
    </row>
    <row r="769" spans="1:45" x14ac:dyDescent="0.3">
      <c r="A769" s="1">
        <v>45900.962500000001</v>
      </c>
      <c r="B769" t="s">
        <v>1363</v>
      </c>
      <c r="C769" t="s">
        <v>1364</v>
      </c>
      <c r="D769" t="s">
        <v>311</v>
      </c>
      <c r="E769" t="s">
        <v>312</v>
      </c>
      <c r="F769" t="s">
        <v>1620</v>
      </c>
      <c r="G769" t="s">
        <v>313</v>
      </c>
      <c r="H769" t="s">
        <v>66</v>
      </c>
      <c r="I769" t="s">
        <v>43</v>
      </c>
      <c r="J769">
        <v>50</v>
      </c>
      <c r="K769">
        <v>19</v>
      </c>
      <c r="L769">
        <v>11</v>
      </c>
      <c r="M769">
        <v>9.5</v>
      </c>
      <c r="N769">
        <v>10496</v>
      </c>
      <c r="O769">
        <v>0</v>
      </c>
      <c r="P769">
        <v>0</v>
      </c>
      <c r="Q769">
        <v>8</v>
      </c>
      <c r="R769">
        <v>7</v>
      </c>
      <c r="S769" t="s">
        <v>44</v>
      </c>
      <c r="T769" t="s">
        <v>44</v>
      </c>
      <c r="U769" t="s">
        <v>44</v>
      </c>
      <c r="V769">
        <v>9</v>
      </c>
      <c r="W769" t="s">
        <v>44</v>
      </c>
      <c r="X769" t="s">
        <v>44</v>
      </c>
      <c r="Y769" t="s">
        <v>44</v>
      </c>
      <c r="Z769" t="s">
        <v>44</v>
      </c>
      <c r="AA769">
        <v>3</v>
      </c>
      <c r="AB769">
        <v>0</v>
      </c>
      <c r="AC769">
        <v>0</v>
      </c>
      <c r="AD769">
        <v>0</v>
      </c>
      <c r="AE769">
        <v>99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12</v>
      </c>
      <c r="AQ769">
        <f t="shared" si="26"/>
        <v>12</v>
      </c>
      <c r="AR769" s="5">
        <f>VLOOKUP(F769,'[2]SCP_24-25'!$A:$D,4,0)</f>
        <v>131.68</v>
      </c>
      <c r="AS769" s="5">
        <f t="shared" si="25"/>
        <v>1580.16</v>
      </c>
    </row>
    <row r="770" spans="1:45" x14ac:dyDescent="0.3">
      <c r="A770" s="1">
        <v>45900.962500000001</v>
      </c>
      <c r="B770" t="s">
        <v>1363</v>
      </c>
      <c r="C770" t="s">
        <v>1364</v>
      </c>
      <c r="D770" t="s">
        <v>314</v>
      </c>
      <c r="E770" t="s">
        <v>315</v>
      </c>
      <c r="F770" t="s">
        <v>1621</v>
      </c>
      <c r="G770" t="s">
        <v>316</v>
      </c>
      <c r="H770" t="s">
        <v>66</v>
      </c>
      <c r="I770" t="s">
        <v>43</v>
      </c>
      <c r="J770">
        <v>75</v>
      </c>
      <c r="K770">
        <v>19</v>
      </c>
      <c r="L770">
        <v>11</v>
      </c>
      <c r="M770">
        <v>9.5</v>
      </c>
      <c r="N770">
        <v>30768</v>
      </c>
      <c r="O770">
        <v>0</v>
      </c>
      <c r="P770">
        <v>0</v>
      </c>
      <c r="Q770">
        <v>17</v>
      </c>
      <c r="R770">
        <v>2361</v>
      </c>
      <c r="S770" t="s">
        <v>44</v>
      </c>
      <c r="T770">
        <v>216</v>
      </c>
      <c r="U770" t="s">
        <v>44</v>
      </c>
      <c r="V770">
        <v>9</v>
      </c>
      <c r="W770" t="s">
        <v>44</v>
      </c>
      <c r="X770" t="s">
        <v>44</v>
      </c>
      <c r="Y770" t="s">
        <v>44</v>
      </c>
      <c r="Z770" t="s">
        <v>44</v>
      </c>
      <c r="AA770">
        <v>45</v>
      </c>
      <c r="AB770">
        <v>0</v>
      </c>
      <c r="AC770">
        <v>0</v>
      </c>
      <c r="AD770">
        <v>0</v>
      </c>
      <c r="AE770">
        <v>148</v>
      </c>
      <c r="AF770">
        <v>3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54</v>
      </c>
      <c r="AQ770">
        <f t="shared" si="26"/>
        <v>54</v>
      </c>
      <c r="AR770" s="5">
        <f>VLOOKUP(F770,'[2]SCP_24-25'!$A:$D,4,0)</f>
        <v>53.93</v>
      </c>
      <c r="AS770" s="5">
        <f t="shared" si="25"/>
        <v>2912.22</v>
      </c>
    </row>
    <row r="771" spans="1:45" x14ac:dyDescent="0.3">
      <c r="A771" s="1">
        <v>45900.962500000001</v>
      </c>
      <c r="B771" t="s">
        <v>1363</v>
      </c>
      <c r="C771" t="s">
        <v>1364</v>
      </c>
      <c r="D771" t="s">
        <v>1330</v>
      </c>
      <c r="E771" t="s">
        <v>1331</v>
      </c>
      <c r="F771" t="s">
        <v>2115</v>
      </c>
      <c r="G771" t="s">
        <v>1332</v>
      </c>
      <c r="H771" t="s">
        <v>66</v>
      </c>
      <c r="I771" t="s">
        <v>43</v>
      </c>
      <c r="J771">
        <v>50</v>
      </c>
      <c r="K771">
        <v>19</v>
      </c>
      <c r="L771">
        <v>11</v>
      </c>
      <c r="M771">
        <v>9.5</v>
      </c>
      <c r="N771">
        <v>21146</v>
      </c>
      <c r="O771">
        <v>0</v>
      </c>
      <c r="P771">
        <v>0</v>
      </c>
      <c r="Q771">
        <v>1</v>
      </c>
      <c r="R771">
        <v>3651</v>
      </c>
      <c r="S771" t="s">
        <v>44</v>
      </c>
      <c r="T771" t="s">
        <v>44</v>
      </c>
      <c r="U771" t="s">
        <v>44</v>
      </c>
      <c r="V771">
        <v>45</v>
      </c>
      <c r="W771">
        <v>23</v>
      </c>
      <c r="X771" t="s">
        <v>44</v>
      </c>
      <c r="Y771">
        <v>45</v>
      </c>
      <c r="Z771" t="s">
        <v>44</v>
      </c>
      <c r="AA771">
        <v>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50</v>
      </c>
      <c r="AQ771">
        <f t="shared" si="26"/>
        <v>50</v>
      </c>
      <c r="AR771" s="5">
        <f>VLOOKUP(F771,'[2]SCP_24-25'!$A:$D,4,0)</f>
        <v>15.5</v>
      </c>
      <c r="AS771" s="5">
        <f t="shared" ref="AS771:AS834" si="27">AQ771*AR771</f>
        <v>775</v>
      </c>
    </row>
    <row r="772" spans="1:45" x14ac:dyDescent="0.3">
      <c r="A772" s="1">
        <v>45900.962500000001</v>
      </c>
      <c r="B772" t="s">
        <v>1363</v>
      </c>
      <c r="C772" t="s">
        <v>1364</v>
      </c>
      <c r="D772" t="s">
        <v>320</v>
      </c>
      <c r="E772" t="s">
        <v>321</v>
      </c>
      <c r="F772" t="s">
        <v>1623</v>
      </c>
      <c r="G772" t="s">
        <v>322</v>
      </c>
      <c r="H772" t="s">
        <v>66</v>
      </c>
      <c r="I772" t="s">
        <v>43</v>
      </c>
      <c r="J772">
        <v>50</v>
      </c>
      <c r="K772">
        <v>19</v>
      </c>
      <c r="L772">
        <v>11</v>
      </c>
      <c r="M772">
        <v>9.5</v>
      </c>
      <c r="N772">
        <v>44346</v>
      </c>
      <c r="O772">
        <v>0</v>
      </c>
      <c r="P772">
        <v>0</v>
      </c>
      <c r="Q772">
        <v>1</v>
      </c>
      <c r="R772">
        <v>7781</v>
      </c>
      <c r="S772" t="s">
        <v>44</v>
      </c>
      <c r="T772" t="s">
        <v>44</v>
      </c>
      <c r="U772" t="s">
        <v>44</v>
      </c>
      <c r="V772">
        <v>31</v>
      </c>
      <c r="W772">
        <v>104</v>
      </c>
      <c r="X772" t="s">
        <v>44</v>
      </c>
      <c r="Y772">
        <v>31</v>
      </c>
      <c r="Z772" t="s">
        <v>44</v>
      </c>
      <c r="AA772">
        <v>2</v>
      </c>
      <c r="AB772">
        <v>0</v>
      </c>
      <c r="AC772">
        <v>0</v>
      </c>
      <c r="AD772">
        <v>0</v>
      </c>
      <c r="AE772">
        <v>36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33</v>
      </c>
      <c r="AQ772">
        <f t="shared" si="26"/>
        <v>33</v>
      </c>
      <c r="AR772" s="5">
        <f>VLOOKUP(F772,'[2]SCP_24-25'!$A:$D,4,0)</f>
        <v>17.11</v>
      </c>
      <c r="AS772" s="5">
        <f t="shared" si="27"/>
        <v>564.63</v>
      </c>
    </row>
    <row r="773" spans="1:45" x14ac:dyDescent="0.3">
      <c r="A773" s="1">
        <v>45900.962500000001</v>
      </c>
      <c r="B773" t="s">
        <v>1363</v>
      </c>
      <c r="C773" t="s">
        <v>1364</v>
      </c>
      <c r="D773" t="s">
        <v>1343</v>
      </c>
      <c r="E773" t="s">
        <v>1344</v>
      </c>
      <c r="F773" t="s">
        <v>2121</v>
      </c>
      <c r="G773" t="s">
        <v>1345</v>
      </c>
      <c r="H773" t="s">
        <v>66</v>
      </c>
      <c r="I773" t="s">
        <v>43</v>
      </c>
      <c r="J773">
        <v>50</v>
      </c>
      <c r="K773">
        <v>19</v>
      </c>
      <c r="L773">
        <v>11</v>
      </c>
      <c r="M773">
        <v>9.5</v>
      </c>
      <c r="N773">
        <v>53587</v>
      </c>
      <c r="O773">
        <v>0</v>
      </c>
      <c r="P773">
        <v>0</v>
      </c>
      <c r="Q773">
        <v>4</v>
      </c>
      <c r="R773">
        <v>14645</v>
      </c>
      <c r="S773" t="s">
        <v>44</v>
      </c>
      <c r="T773" t="s">
        <v>44</v>
      </c>
      <c r="U773" t="s">
        <v>44</v>
      </c>
      <c r="V773">
        <v>76</v>
      </c>
      <c r="W773" t="s">
        <v>44</v>
      </c>
      <c r="X773" t="s">
        <v>44</v>
      </c>
      <c r="Y773">
        <v>76</v>
      </c>
      <c r="Z773" t="s">
        <v>44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77</v>
      </c>
      <c r="AQ773">
        <f t="shared" si="26"/>
        <v>77</v>
      </c>
      <c r="AR773" s="5">
        <f>VLOOKUP(F773,'[2]SCP_24-25'!$A:$D,4,0)</f>
        <v>12.53</v>
      </c>
      <c r="AS773" s="5">
        <f t="shared" si="27"/>
        <v>964.81</v>
      </c>
    </row>
    <row r="774" spans="1:45" x14ac:dyDescent="0.3">
      <c r="A774" s="1">
        <v>45900.962500000001</v>
      </c>
      <c r="B774" t="s">
        <v>1363</v>
      </c>
      <c r="C774" t="s">
        <v>1364</v>
      </c>
      <c r="D774" t="s">
        <v>45</v>
      </c>
      <c r="E774" t="s">
        <v>46</v>
      </c>
      <c r="F774" t="s">
        <v>1514</v>
      </c>
      <c r="G774" t="s">
        <v>47</v>
      </c>
      <c r="H774" t="s">
        <v>42</v>
      </c>
      <c r="I774" t="s">
        <v>43</v>
      </c>
      <c r="J774">
        <v>180</v>
      </c>
      <c r="K774">
        <v>19</v>
      </c>
      <c r="L774">
        <v>9.5</v>
      </c>
      <c r="M774">
        <v>11</v>
      </c>
      <c r="N774">
        <v>22009</v>
      </c>
      <c r="O774">
        <v>0</v>
      </c>
      <c r="P774">
        <v>0</v>
      </c>
      <c r="Q774">
        <v>98</v>
      </c>
      <c r="R774">
        <v>577</v>
      </c>
      <c r="S774" t="s">
        <v>44</v>
      </c>
      <c r="T774" t="s">
        <v>44</v>
      </c>
      <c r="U774" t="s">
        <v>44</v>
      </c>
      <c r="V774">
        <v>0</v>
      </c>
      <c r="W774" t="s">
        <v>44</v>
      </c>
      <c r="X774" t="s">
        <v>44</v>
      </c>
      <c r="Y774" t="s">
        <v>44</v>
      </c>
      <c r="Z774" t="s">
        <v>44</v>
      </c>
      <c r="AA774">
        <v>10</v>
      </c>
      <c r="AB774">
        <v>0</v>
      </c>
      <c r="AC774">
        <v>0</v>
      </c>
      <c r="AD774">
        <v>0</v>
      </c>
      <c r="AE774">
        <v>357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10</v>
      </c>
      <c r="AQ774">
        <f t="shared" si="26"/>
        <v>10</v>
      </c>
      <c r="AR774" s="5">
        <f>VLOOKUP(F774,'[2]SCP_24-25'!$A:$D,4,0)</f>
        <v>61.45</v>
      </c>
      <c r="AS774" s="5">
        <f t="shared" si="27"/>
        <v>614.5</v>
      </c>
    </row>
    <row r="775" spans="1:45" x14ac:dyDescent="0.3">
      <c r="A775" s="1">
        <v>45900.962500000001</v>
      </c>
      <c r="B775" t="s">
        <v>1363</v>
      </c>
      <c r="C775" t="s">
        <v>1364</v>
      </c>
      <c r="D775" t="s">
        <v>51</v>
      </c>
      <c r="E775" t="s">
        <v>52</v>
      </c>
      <c r="F775" t="s">
        <v>1516</v>
      </c>
      <c r="G775" t="s">
        <v>53</v>
      </c>
      <c r="H775" t="s">
        <v>42</v>
      </c>
      <c r="I775" t="s">
        <v>43</v>
      </c>
      <c r="J775">
        <v>200</v>
      </c>
      <c r="K775">
        <v>19</v>
      </c>
      <c r="L775">
        <v>9.5</v>
      </c>
      <c r="M775">
        <v>11</v>
      </c>
      <c r="N775">
        <v>26965</v>
      </c>
      <c r="O775">
        <v>0</v>
      </c>
      <c r="P775">
        <v>0</v>
      </c>
      <c r="Q775">
        <v>286</v>
      </c>
      <c r="R775">
        <v>1595</v>
      </c>
      <c r="S775" t="s">
        <v>44</v>
      </c>
      <c r="T775" t="s">
        <v>44</v>
      </c>
      <c r="U775" t="s">
        <v>44</v>
      </c>
      <c r="V775">
        <v>0</v>
      </c>
      <c r="W775">
        <v>2</v>
      </c>
      <c r="X775" t="s">
        <v>44</v>
      </c>
      <c r="Y775" t="s">
        <v>44</v>
      </c>
      <c r="Z775" t="s">
        <v>44</v>
      </c>
      <c r="AA775">
        <v>14</v>
      </c>
      <c r="AB775">
        <v>0</v>
      </c>
      <c r="AC775">
        <v>0</v>
      </c>
      <c r="AD775">
        <v>0</v>
      </c>
      <c r="AE775">
        <v>115</v>
      </c>
      <c r="AF775">
        <v>2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14</v>
      </c>
      <c r="AQ775">
        <f t="shared" si="26"/>
        <v>14</v>
      </c>
      <c r="AR775" s="5">
        <f>VLOOKUP(F775,'[2]SCP_24-25'!$A:$D,4,0)</f>
        <v>106.31</v>
      </c>
      <c r="AS775" s="5">
        <f t="shared" si="27"/>
        <v>1488.3400000000001</v>
      </c>
    </row>
    <row r="776" spans="1:45" x14ac:dyDescent="0.3">
      <c r="A776" s="1">
        <v>45900.962500000001</v>
      </c>
      <c r="B776" t="s">
        <v>1363</v>
      </c>
      <c r="C776" t="s">
        <v>1364</v>
      </c>
      <c r="D776" t="s">
        <v>57</v>
      </c>
      <c r="E776" t="s">
        <v>58</v>
      </c>
      <c r="F776" t="s">
        <v>1518</v>
      </c>
      <c r="G776" t="s">
        <v>59</v>
      </c>
      <c r="H776" t="s">
        <v>42</v>
      </c>
      <c r="I776" t="s">
        <v>43</v>
      </c>
      <c r="J776">
        <v>200</v>
      </c>
      <c r="K776">
        <v>19</v>
      </c>
      <c r="L776">
        <v>9.5</v>
      </c>
      <c r="M776">
        <v>11</v>
      </c>
      <c r="N776">
        <v>27037</v>
      </c>
      <c r="O776">
        <v>0</v>
      </c>
      <c r="P776">
        <v>0</v>
      </c>
      <c r="Q776">
        <v>77</v>
      </c>
      <c r="R776">
        <v>2294</v>
      </c>
      <c r="S776" t="s">
        <v>44</v>
      </c>
      <c r="T776" t="s">
        <v>44</v>
      </c>
      <c r="U776" t="s">
        <v>44</v>
      </c>
      <c r="V776">
        <v>0</v>
      </c>
      <c r="W776">
        <v>140</v>
      </c>
      <c r="X776" t="s">
        <v>44</v>
      </c>
      <c r="Y776" t="s">
        <v>44</v>
      </c>
      <c r="Z776" t="s">
        <v>44</v>
      </c>
      <c r="AA776">
        <v>24</v>
      </c>
      <c r="AB776">
        <v>0</v>
      </c>
      <c r="AC776">
        <v>0</v>
      </c>
      <c r="AD776">
        <v>0</v>
      </c>
      <c r="AE776">
        <v>100</v>
      </c>
      <c r="AF776">
        <v>2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24</v>
      </c>
      <c r="AQ776">
        <f t="shared" si="26"/>
        <v>24</v>
      </c>
      <c r="AR776" s="5">
        <f>VLOOKUP(F776,'[2]SCP_24-25'!$A:$D,4,0)</f>
        <v>106.44999999999999</v>
      </c>
      <c r="AS776" s="5">
        <f t="shared" si="27"/>
        <v>2554.7999999999997</v>
      </c>
    </row>
    <row r="777" spans="1:45" x14ac:dyDescent="0.3">
      <c r="A777" s="1">
        <v>45900.962500000001</v>
      </c>
      <c r="B777" t="s">
        <v>1363</v>
      </c>
      <c r="C777" t="s">
        <v>1364</v>
      </c>
      <c r="D777" t="s">
        <v>60</v>
      </c>
      <c r="E777" t="s">
        <v>61</v>
      </c>
      <c r="F777" t="s">
        <v>1519</v>
      </c>
      <c r="G777" t="s">
        <v>62</v>
      </c>
      <c r="H777" t="s">
        <v>42</v>
      </c>
      <c r="I777" t="s">
        <v>43</v>
      </c>
      <c r="J777">
        <v>200</v>
      </c>
      <c r="K777">
        <v>19</v>
      </c>
      <c r="L777">
        <v>9.5</v>
      </c>
      <c r="M777">
        <v>11</v>
      </c>
      <c r="N777">
        <v>52128</v>
      </c>
      <c r="O777">
        <v>0</v>
      </c>
      <c r="P777">
        <v>0</v>
      </c>
      <c r="Q777">
        <v>33</v>
      </c>
      <c r="R777">
        <v>2869</v>
      </c>
      <c r="S777" t="s">
        <v>44</v>
      </c>
      <c r="T777" t="s">
        <v>44</v>
      </c>
      <c r="U777" t="s">
        <v>44</v>
      </c>
      <c r="V777">
        <v>0</v>
      </c>
      <c r="W777">
        <v>769</v>
      </c>
      <c r="X777" t="s">
        <v>44</v>
      </c>
      <c r="Y777" t="s">
        <v>44</v>
      </c>
      <c r="Z777" t="s">
        <v>44</v>
      </c>
      <c r="AA777">
        <v>76</v>
      </c>
      <c r="AB777">
        <v>0</v>
      </c>
      <c r="AC777">
        <v>0</v>
      </c>
      <c r="AD777">
        <v>0</v>
      </c>
      <c r="AE777">
        <v>20</v>
      </c>
      <c r="AF777">
        <v>2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76</v>
      </c>
      <c r="AQ777">
        <f t="shared" si="26"/>
        <v>76</v>
      </c>
      <c r="AR777" s="5">
        <f>VLOOKUP(F777,'[2]SCP_24-25'!$A:$D,4,0)</f>
        <v>152.38000000000002</v>
      </c>
      <c r="AS777" s="5">
        <f t="shared" si="27"/>
        <v>11580.880000000001</v>
      </c>
    </row>
    <row r="778" spans="1:45" x14ac:dyDescent="0.3">
      <c r="A778" s="1">
        <v>45900.962500000001</v>
      </c>
      <c r="B778" t="s">
        <v>1363</v>
      </c>
      <c r="C778" t="s">
        <v>1364</v>
      </c>
      <c r="D778" t="s">
        <v>63</v>
      </c>
      <c r="E778" t="s">
        <v>64</v>
      </c>
      <c r="F778" t="s">
        <v>1520</v>
      </c>
      <c r="G778" t="s">
        <v>65</v>
      </c>
      <c r="H778" t="s">
        <v>66</v>
      </c>
      <c r="I778" t="s">
        <v>43</v>
      </c>
      <c r="J778">
        <v>150</v>
      </c>
      <c r="K778">
        <v>19</v>
      </c>
      <c r="L778">
        <v>9.5</v>
      </c>
      <c r="M778">
        <v>11</v>
      </c>
      <c r="N778">
        <v>5364</v>
      </c>
      <c r="O778">
        <v>0</v>
      </c>
      <c r="P778">
        <v>0</v>
      </c>
      <c r="Q778">
        <v>4</v>
      </c>
      <c r="R778">
        <v>2</v>
      </c>
      <c r="S778" t="s">
        <v>44</v>
      </c>
      <c r="T778" t="s">
        <v>44</v>
      </c>
      <c r="U778" t="s">
        <v>44</v>
      </c>
      <c r="V778">
        <v>2</v>
      </c>
      <c r="W778" t="s">
        <v>44</v>
      </c>
      <c r="X778" t="s">
        <v>44</v>
      </c>
      <c r="Y778" t="s">
        <v>44</v>
      </c>
      <c r="Z778" t="s">
        <v>44</v>
      </c>
      <c r="AA778">
        <v>0</v>
      </c>
      <c r="AB778">
        <v>0</v>
      </c>
      <c r="AC778">
        <v>0</v>
      </c>
      <c r="AD778">
        <v>0</v>
      </c>
      <c r="AE778">
        <v>52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2</v>
      </c>
      <c r="AQ778">
        <f t="shared" si="26"/>
        <v>2</v>
      </c>
      <c r="AR778" s="5">
        <f>VLOOKUP(F778,'[2]SCP_24-25'!$A:$D,4,0)</f>
        <v>89.66</v>
      </c>
      <c r="AS778" s="5">
        <f t="shared" si="27"/>
        <v>179.32</v>
      </c>
    </row>
    <row r="779" spans="1:45" x14ac:dyDescent="0.3">
      <c r="A779" s="1">
        <v>45900.962500000001</v>
      </c>
      <c r="B779" t="s">
        <v>1363</v>
      </c>
      <c r="C779" t="s">
        <v>1364</v>
      </c>
      <c r="D779" t="s">
        <v>67</v>
      </c>
      <c r="E779" t="s">
        <v>68</v>
      </c>
      <c r="F779" t="s">
        <v>1521</v>
      </c>
      <c r="G779" t="s">
        <v>69</v>
      </c>
      <c r="H779" t="s">
        <v>66</v>
      </c>
      <c r="I779" t="s">
        <v>43</v>
      </c>
      <c r="J779">
        <v>110</v>
      </c>
      <c r="K779">
        <v>19</v>
      </c>
      <c r="L779">
        <v>9.5</v>
      </c>
      <c r="M779">
        <v>11</v>
      </c>
      <c r="N779">
        <v>74634</v>
      </c>
      <c r="O779">
        <v>1</v>
      </c>
      <c r="P779">
        <v>0</v>
      </c>
      <c r="Q779">
        <v>22</v>
      </c>
      <c r="R779">
        <v>8616</v>
      </c>
      <c r="S779" t="s">
        <v>44</v>
      </c>
      <c r="T779">
        <v>116</v>
      </c>
      <c r="U779" t="s">
        <v>44</v>
      </c>
      <c r="V779">
        <v>0</v>
      </c>
      <c r="W779">
        <v>85</v>
      </c>
      <c r="X779" t="s">
        <v>44</v>
      </c>
      <c r="Y779" t="s">
        <v>44</v>
      </c>
      <c r="Z779" t="s">
        <v>44</v>
      </c>
      <c r="AA779">
        <v>171</v>
      </c>
      <c r="AB779">
        <v>0</v>
      </c>
      <c r="AC779">
        <v>0</v>
      </c>
      <c r="AD779">
        <v>0</v>
      </c>
      <c r="AE779">
        <v>23</v>
      </c>
      <c r="AF779">
        <v>28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172</v>
      </c>
      <c r="AQ779">
        <f t="shared" si="26"/>
        <v>172</v>
      </c>
      <c r="AR779" s="5">
        <f>VLOOKUP(F779,'[2]SCP_24-25'!$A:$D,4,0)</f>
        <v>53.91</v>
      </c>
      <c r="AS779" s="5">
        <f t="shared" si="27"/>
        <v>9272.5199999999986</v>
      </c>
    </row>
    <row r="780" spans="1:45" x14ac:dyDescent="0.3">
      <c r="A780" s="1">
        <v>45900.962500000001</v>
      </c>
      <c r="B780" t="s">
        <v>1363</v>
      </c>
      <c r="C780" t="s">
        <v>1364</v>
      </c>
      <c r="D780" t="s">
        <v>73</v>
      </c>
      <c r="E780" t="s">
        <v>74</v>
      </c>
      <c r="F780" t="s">
        <v>1523</v>
      </c>
      <c r="G780" t="s">
        <v>75</v>
      </c>
      <c r="H780" t="s">
        <v>66</v>
      </c>
      <c r="I780" t="s">
        <v>43</v>
      </c>
      <c r="J780">
        <v>50</v>
      </c>
      <c r="K780">
        <v>19</v>
      </c>
      <c r="L780">
        <v>9.5</v>
      </c>
      <c r="M780">
        <v>11</v>
      </c>
      <c r="N780">
        <v>8463</v>
      </c>
      <c r="O780">
        <v>0</v>
      </c>
      <c r="P780">
        <v>0</v>
      </c>
      <c r="Q780">
        <v>5</v>
      </c>
      <c r="R780">
        <v>170</v>
      </c>
      <c r="S780" t="s">
        <v>44</v>
      </c>
      <c r="T780" t="s">
        <v>44</v>
      </c>
      <c r="U780" t="s">
        <v>44</v>
      </c>
      <c r="V780">
        <v>78</v>
      </c>
      <c r="W780" t="s">
        <v>44</v>
      </c>
      <c r="X780" t="s">
        <v>44</v>
      </c>
      <c r="Y780" t="s">
        <v>44</v>
      </c>
      <c r="Z780" t="s">
        <v>44</v>
      </c>
      <c r="AA780">
        <v>0</v>
      </c>
      <c r="AB780">
        <v>0</v>
      </c>
      <c r="AC780">
        <v>0</v>
      </c>
      <c r="AD780">
        <v>0</v>
      </c>
      <c r="AE780">
        <v>102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78</v>
      </c>
      <c r="AQ780">
        <f t="shared" si="26"/>
        <v>78</v>
      </c>
      <c r="AR780" s="5">
        <f>VLOOKUP(F780,'[2]SCP_24-25'!$A:$D,4,0)</f>
        <v>36.78</v>
      </c>
      <c r="AS780" s="5">
        <f t="shared" si="27"/>
        <v>2868.84</v>
      </c>
    </row>
    <row r="781" spans="1:45" x14ac:dyDescent="0.3">
      <c r="A781" s="1">
        <v>45900.962500000001</v>
      </c>
      <c r="B781" t="s">
        <v>1363</v>
      </c>
      <c r="C781" t="s">
        <v>1364</v>
      </c>
      <c r="D781" t="s">
        <v>79</v>
      </c>
      <c r="E781" t="s">
        <v>80</v>
      </c>
      <c r="F781" t="s">
        <v>1525</v>
      </c>
      <c r="G781" t="s">
        <v>81</v>
      </c>
      <c r="H781" t="s">
        <v>66</v>
      </c>
      <c r="I781" t="s">
        <v>43</v>
      </c>
      <c r="J781">
        <v>150</v>
      </c>
      <c r="K781">
        <v>19</v>
      </c>
      <c r="L781">
        <v>9.5</v>
      </c>
      <c r="M781">
        <v>11</v>
      </c>
      <c r="N781">
        <v>26480</v>
      </c>
      <c r="O781">
        <v>21</v>
      </c>
      <c r="P781">
        <v>0</v>
      </c>
      <c r="Q781">
        <v>10</v>
      </c>
      <c r="R781">
        <v>1290</v>
      </c>
      <c r="S781" t="s">
        <v>44</v>
      </c>
      <c r="T781">
        <v>192</v>
      </c>
      <c r="U781" t="s">
        <v>44</v>
      </c>
      <c r="V781">
        <v>67</v>
      </c>
      <c r="W781" t="s">
        <v>44</v>
      </c>
      <c r="X781" t="s">
        <v>44</v>
      </c>
      <c r="Y781">
        <v>54</v>
      </c>
      <c r="Z781" t="s">
        <v>44</v>
      </c>
      <c r="AA781">
        <v>25</v>
      </c>
      <c r="AB781">
        <v>0</v>
      </c>
      <c r="AC781">
        <v>0</v>
      </c>
      <c r="AD781">
        <v>0</v>
      </c>
      <c r="AE781">
        <v>33</v>
      </c>
      <c r="AF781">
        <v>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113</v>
      </c>
      <c r="AQ781">
        <f t="shared" si="26"/>
        <v>113</v>
      </c>
      <c r="AR781" s="5">
        <f>VLOOKUP(F781,'[2]SCP_24-25'!$A:$D,4,0)</f>
        <v>48.72</v>
      </c>
      <c r="AS781" s="5">
        <f t="shared" si="27"/>
        <v>5505.36</v>
      </c>
    </row>
    <row r="782" spans="1:45" x14ac:dyDescent="0.3">
      <c r="A782" s="1">
        <v>45900.962500000001</v>
      </c>
      <c r="B782" t="s">
        <v>1363</v>
      </c>
      <c r="C782" t="s">
        <v>1364</v>
      </c>
      <c r="D782" t="s">
        <v>82</v>
      </c>
      <c r="E782" t="s">
        <v>83</v>
      </c>
      <c r="F782" t="s">
        <v>1526</v>
      </c>
      <c r="G782" t="s">
        <v>84</v>
      </c>
      <c r="H782" t="s">
        <v>66</v>
      </c>
      <c r="I782" t="s">
        <v>43</v>
      </c>
      <c r="J782">
        <v>150</v>
      </c>
      <c r="K782">
        <v>19</v>
      </c>
      <c r="L782">
        <v>9.5</v>
      </c>
      <c r="M782">
        <v>11</v>
      </c>
      <c r="N782">
        <v>13248</v>
      </c>
      <c r="O782">
        <v>0</v>
      </c>
      <c r="P782">
        <v>0</v>
      </c>
      <c r="Q782">
        <v>9</v>
      </c>
      <c r="R782">
        <v>1</v>
      </c>
      <c r="S782" t="s">
        <v>44</v>
      </c>
      <c r="T782" t="s">
        <v>44</v>
      </c>
      <c r="U782" t="s">
        <v>44</v>
      </c>
      <c r="V782">
        <v>72</v>
      </c>
      <c r="W782" t="s">
        <v>44</v>
      </c>
      <c r="X782" t="s">
        <v>44</v>
      </c>
      <c r="Y782" t="s">
        <v>44</v>
      </c>
      <c r="Z782" t="s">
        <v>44</v>
      </c>
      <c r="AA782">
        <v>2</v>
      </c>
      <c r="AB782">
        <v>0</v>
      </c>
      <c r="AC782">
        <v>0</v>
      </c>
      <c r="AD782">
        <v>0</v>
      </c>
      <c r="AE782">
        <v>241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74</v>
      </c>
      <c r="AQ782">
        <f t="shared" si="26"/>
        <v>74</v>
      </c>
      <c r="AR782" s="5">
        <f>VLOOKUP(F782,'[2]SCP_24-25'!$A:$D,4,0)</f>
        <v>50.08</v>
      </c>
      <c r="AS782" s="5">
        <f t="shared" si="27"/>
        <v>3705.92</v>
      </c>
    </row>
    <row r="783" spans="1:45" x14ac:dyDescent="0.3">
      <c r="A783" s="1">
        <v>45900.962500000001</v>
      </c>
      <c r="B783" t="s">
        <v>1363</v>
      </c>
      <c r="C783" t="s">
        <v>1364</v>
      </c>
      <c r="D783" t="s">
        <v>91</v>
      </c>
      <c r="E783" t="s">
        <v>92</v>
      </c>
      <c r="F783" t="s">
        <v>1529</v>
      </c>
      <c r="G783" t="s">
        <v>93</v>
      </c>
      <c r="H783" t="s">
        <v>66</v>
      </c>
      <c r="I783" t="s">
        <v>43</v>
      </c>
      <c r="J783">
        <v>150</v>
      </c>
      <c r="K783">
        <v>19</v>
      </c>
      <c r="L783">
        <v>9.5</v>
      </c>
      <c r="M783">
        <v>11</v>
      </c>
      <c r="N783">
        <v>16166</v>
      </c>
      <c r="O783">
        <v>0</v>
      </c>
      <c r="P783">
        <v>0</v>
      </c>
      <c r="Q783">
        <v>5</v>
      </c>
      <c r="R783">
        <v>2</v>
      </c>
      <c r="S783" t="s">
        <v>44</v>
      </c>
      <c r="T783">
        <v>102</v>
      </c>
      <c r="U783" t="s">
        <v>44</v>
      </c>
      <c r="V783">
        <v>55</v>
      </c>
      <c r="W783" t="s">
        <v>44</v>
      </c>
      <c r="X783" t="s">
        <v>44</v>
      </c>
      <c r="Y783" t="s">
        <v>44</v>
      </c>
      <c r="Z783" t="s">
        <v>44</v>
      </c>
      <c r="AA783">
        <v>13</v>
      </c>
      <c r="AB783">
        <v>0</v>
      </c>
      <c r="AC783">
        <v>0</v>
      </c>
      <c r="AD783">
        <v>0</v>
      </c>
      <c r="AE783">
        <v>91</v>
      </c>
      <c r="AF783">
        <v>2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68</v>
      </c>
      <c r="AQ783">
        <f t="shared" si="26"/>
        <v>68</v>
      </c>
      <c r="AR783" s="5">
        <f>VLOOKUP(F783,'[2]SCP_24-25'!$A:$D,4,0)</f>
        <v>96.77</v>
      </c>
      <c r="AS783" s="5">
        <f t="shared" si="27"/>
        <v>6580.36</v>
      </c>
    </row>
    <row r="784" spans="1:45" x14ac:dyDescent="0.3">
      <c r="A784" s="1">
        <v>45900.962500000001</v>
      </c>
      <c r="B784" t="s">
        <v>1363</v>
      </c>
      <c r="C784" t="s">
        <v>1364</v>
      </c>
      <c r="D784" t="s">
        <v>94</v>
      </c>
      <c r="E784" t="s">
        <v>95</v>
      </c>
      <c r="F784" t="s">
        <v>1530</v>
      </c>
      <c r="G784" t="s">
        <v>96</v>
      </c>
      <c r="H784" t="s">
        <v>66</v>
      </c>
      <c r="I784" t="s">
        <v>43</v>
      </c>
      <c r="J784">
        <v>100</v>
      </c>
      <c r="K784">
        <v>19</v>
      </c>
      <c r="L784">
        <v>9.5</v>
      </c>
      <c r="M784">
        <v>11</v>
      </c>
      <c r="N784">
        <v>5403</v>
      </c>
      <c r="O784">
        <v>0</v>
      </c>
      <c r="P784">
        <v>0</v>
      </c>
      <c r="Q784" t="s">
        <v>44</v>
      </c>
      <c r="R784">
        <v>10</v>
      </c>
      <c r="S784" t="s">
        <v>44</v>
      </c>
      <c r="T784" t="s">
        <v>44</v>
      </c>
      <c r="U784" t="s">
        <v>44</v>
      </c>
      <c r="V784">
        <v>19</v>
      </c>
      <c r="W784" t="s">
        <v>44</v>
      </c>
      <c r="X784" t="s">
        <v>44</v>
      </c>
      <c r="Y784" t="s">
        <v>44</v>
      </c>
      <c r="Z784" t="s">
        <v>44</v>
      </c>
      <c r="AA784">
        <v>0</v>
      </c>
      <c r="AB784">
        <v>0</v>
      </c>
      <c r="AC784">
        <v>0</v>
      </c>
      <c r="AD784">
        <v>0</v>
      </c>
      <c r="AE784">
        <v>66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19</v>
      </c>
      <c r="AQ784">
        <f t="shared" si="26"/>
        <v>19</v>
      </c>
      <c r="AR784" s="5">
        <f>VLOOKUP(F784,'[2]SCP_24-25'!$A:$D,4,0)</f>
        <v>70.400000000000006</v>
      </c>
      <c r="AS784" s="5">
        <f t="shared" si="27"/>
        <v>1337.6000000000001</v>
      </c>
    </row>
    <row r="785" spans="1:45" x14ac:dyDescent="0.3">
      <c r="A785" s="1">
        <v>45900.962500000001</v>
      </c>
      <c r="B785" t="s">
        <v>1363</v>
      </c>
      <c r="C785" t="s">
        <v>1364</v>
      </c>
      <c r="D785" t="s">
        <v>513</v>
      </c>
      <c r="E785" t="s">
        <v>514</v>
      </c>
      <c r="F785" t="s">
        <v>1711</v>
      </c>
      <c r="G785" t="s">
        <v>515</v>
      </c>
      <c r="H785" t="s">
        <v>66</v>
      </c>
      <c r="I785" t="s">
        <v>43</v>
      </c>
      <c r="J785">
        <v>345</v>
      </c>
      <c r="K785">
        <v>23</v>
      </c>
      <c r="L785">
        <v>8</v>
      </c>
      <c r="M785">
        <v>18</v>
      </c>
      <c r="N785">
        <v>11937</v>
      </c>
      <c r="O785">
        <v>0</v>
      </c>
      <c r="P785">
        <v>0</v>
      </c>
      <c r="Q785">
        <v>7</v>
      </c>
      <c r="R785">
        <v>15</v>
      </c>
      <c r="S785" t="s">
        <v>44</v>
      </c>
      <c r="T785" t="s">
        <v>44</v>
      </c>
      <c r="U785" t="s">
        <v>44</v>
      </c>
      <c r="V785">
        <v>4</v>
      </c>
      <c r="W785" t="s">
        <v>44</v>
      </c>
      <c r="X785" t="s">
        <v>44</v>
      </c>
      <c r="Y785">
        <v>4</v>
      </c>
      <c r="Z785" t="s">
        <v>44</v>
      </c>
      <c r="AA785">
        <v>0</v>
      </c>
      <c r="AB785">
        <v>0</v>
      </c>
      <c r="AC785">
        <v>0</v>
      </c>
      <c r="AD785">
        <v>0</v>
      </c>
      <c r="AE785">
        <v>156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4</v>
      </c>
      <c r="AQ785">
        <f t="shared" si="26"/>
        <v>4</v>
      </c>
      <c r="AR785" s="5">
        <f>VLOOKUP(F785,'[1]Cost Sheet'!$C:$D,2,0)</f>
        <v>431.97</v>
      </c>
      <c r="AS785" s="5">
        <f t="shared" si="27"/>
        <v>1727.88</v>
      </c>
    </row>
    <row r="786" spans="1:45" x14ac:dyDescent="0.3">
      <c r="A786" s="1">
        <v>45900.962500000001</v>
      </c>
      <c r="B786" t="s">
        <v>1363</v>
      </c>
      <c r="C786" t="s">
        <v>1364</v>
      </c>
      <c r="D786" t="s">
        <v>104</v>
      </c>
      <c r="E786" t="s">
        <v>105</v>
      </c>
      <c r="F786" t="s">
        <v>1533</v>
      </c>
      <c r="G786" t="s">
        <v>106</v>
      </c>
      <c r="H786" t="s">
        <v>103</v>
      </c>
      <c r="I786" t="s">
        <v>43</v>
      </c>
      <c r="J786">
        <v>250</v>
      </c>
      <c r="K786">
        <v>19</v>
      </c>
      <c r="L786">
        <v>10</v>
      </c>
      <c r="M786">
        <v>11</v>
      </c>
      <c r="N786">
        <v>66087</v>
      </c>
      <c r="O786">
        <v>0</v>
      </c>
      <c r="P786">
        <v>0</v>
      </c>
      <c r="Q786">
        <v>65</v>
      </c>
      <c r="R786">
        <v>4560</v>
      </c>
      <c r="S786" t="s">
        <v>44</v>
      </c>
      <c r="T786" t="s">
        <v>44</v>
      </c>
      <c r="U786" t="s">
        <v>44</v>
      </c>
      <c r="V786">
        <v>21</v>
      </c>
      <c r="W786" t="s">
        <v>44</v>
      </c>
      <c r="X786" t="s">
        <v>44</v>
      </c>
      <c r="Y786" t="s">
        <v>44</v>
      </c>
      <c r="Z786" t="s">
        <v>44</v>
      </c>
      <c r="AA786">
        <v>107</v>
      </c>
      <c r="AB786">
        <v>0</v>
      </c>
      <c r="AC786">
        <v>0</v>
      </c>
      <c r="AD786">
        <v>0</v>
      </c>
      <c r="AE786">
        <v>38</v>
      </c>
      <c r="AF786">
        <v>7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128</v>
      </c>
      <c r="AQ786">
        <f t="shared" si="26"/>
        <v>128</v>
      </c>
      <c r="AR786" s="5">
        <f>VLOOKUP(F786,'[2]SCP_24-25'!$A:$D,4,0)</f>
        <v>49.06</v>
      </c>
      <c r="AS786" s="5">
        <f t="shared" si="27"/>
        <v>6279.68</v>
      </c>
    </row>
    <row r="787" spans="1:45" x14ac:dyDescent="0.3">
      <c r="A787" s="1">
        <v>45900.962500000001</v>
      </c>
      <c r="B787" t="s">
        <v>1363</v>
      </c>
      <c r="C787" t="s">
        <v>1364</v>
      </c>
      <c r="D787" t="s">
        <v>107</v>
      </c>
      <c r="E787" t="s">
        <v>108</v>
      </c>
      <c r="F787" t="s">
        <v>1534</v>
      </c>
      <c r="G787" t="s">
        <v>109</v>
      </c>
      <c r="H787" t="s">
        <v>103</v>
      </c>
      <c r="I787" t="s">
        <v>43</v>
      </c>
      <c r="J787">
        <v>130</v>
      </c>
      <c r="K787">
        <v>19</v>
      </c>
      <c r="L787">
        <v>10</v>
      </c>
      <c r="M787">
        <v>11</v>
      </c>
      <c r="N787">
        <v>75808</v>
      </c>
      <c r="O787">
        <v>0</v>
      </c>
      <c r="P787">
        <v>0</v>
      </c>
      <c r="Q787">
        <v>39</v>
      </c>
      <c r="R787">
        <v>8339</v>
      </c>
      <c r="S787" t="s">
        <v>44</v>
      </c>
      <c r="T787">
        <v>228</v>
      </c>
      <c r="U787" t="s">
        <v>44</v>
      </c>
      <c r="V787">
        <v>1</v>
      </c>
      <c r="W787" t="s">
        <v>44</v>
      </c>
      <c r="X787" t="s">
        <v>44</v>
      </c>
      <c r="Y787" t="s">
        <v>44</v>
      </c>
      <c r="Z787" t="s">
        <v>44</v>
      </c>
      <c r="AA787">
        <v>75</v>
      </c>
      <c r="AB787">
        <v>0</v>
      </c>
      <c r="AC787">
        <v>0</v>
      </c>
      <c r="AD787">
        <v>0</v>
      </c>
      <c r="AE787">
        <v>22</v>
      </c>
      <c r="AF787">
        <v>4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76</v>
      </c>
      <c r="AQ787">
        <f t="shared" si="26"/>
        <v>76</v>
      </c>
      <c r="AR787" s="5">
        <f>VLOOKUP(F787,'[2]SCP_24-25'!$A:$D,4,0)</f>
        <v>61.997777777777777</v>
      </c>
      <c r="AS787" s="5">
        <f t="shared" si="27"/>
        <v>4711.8311111111107</v>
      </c>
    </row>
    <row r="788" spans="1:45" x14ac:dyDescent="0.3">
      <c r="A788" s="1">
        <v>45900.962500000001</v>
      </c>
      <c r="B788" t="s">
        <v>1363</v>
      </c>
      <c r="C788" t="s">
        <v>1364</v>
      </c>
      <c r="D788" t="s">
        <v>110</v>
      </c>
      <c r="E788" t="s">
        <v>111</v>
      </c>
      <c r="F788" t="s">
        <v>1535</v>
      </c>
      <c r="G788" t="s">
        <v>112</v>
      </c>
      <c r="H788" t="s">
        <v>66</v>
      </c>
      <c r="I788" t="s">
        <v>43</v>
      </c>
      <c r="J788">
        <v>50</v>
      </c>
      <c r="K788">
        <v>19</v>
      </c>
      <c r="L788">
        <v>10</v>
      </c>
      <c r="M788">
        <v>11</v>
      </c>
      <c r="N788">
        <v>29170</v>
      </c>
      <c r="O788">
        <v>0</v>
      </c>
      <c r="P788">
        <v>0</v>
      </c>
      <c r="Q788">
        <v>5</v>
      </c>
      <c r="R788">
        <v>1202</v>
      </c>
      <c r="S788" t="s">
        <v>44</v>
      </c>
      <c r="T788" t="s">
        <v>44</v>
      </c>
      <c r="U788" t="s">
        <v>44</v>
      </c>
      <c r="V788">
        <v>59</v>
      </c>
      <c r="W788">
        <v>31</v>
      </c>
      <c r="X788" t="s">
        <v>44</v>
      </c>
      <c r="Y788" t="s">
        <v>44</v>
      </c>
      <c r="Z788" t="s">
        <v>44</v>
      </c>
      <c r="AA788">
        <v>28</v>
      </c>
      <c r="AB788">
        <v>0</v>
      </c>
      <c r="AC788">
        <v>0</v>
      </c>
      <c r="AD788">
        <v>0</v>
      </c>
      <c r="AE788">
        <v>35</v>
      </c>
      <c r="AF788">
        <v>4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87</v>
      </c>
      <c r="AQ788">
        <f t="shared" si="26"/>
        <v>87</v>
      </c>
      <c r="AR788" s="5">
        <f>VLOOKUP(F788,'[2]SCP_24-25'!$A:$D,4,0)</f>
        <v>45.474000000000004</v>
      </c>
      <c r="AS788" s="5">
        <f t="shared" si="27"/>
        <v>3956.2380000000003</v>
      </c>
    </row>
    <row r="789" spans="1:45" x14ac:dyDescent="0.3">
      <c r="A789" s="1">
        <v>45900.962500000001</v>
      </c>
      <c r="B789" t="s">
        <v>1363</v>
      </c>
      <c r="C789" t="s">
        <v>1364</v>
      </c>
      <c r="D789" t="s">
        <v>439</v>
      </c>
      <c r="E789" t="s">
        <v>440</v>
      </c>
      <c r="F789" t="s">
        <v>1675</v>
      </c>
      <c r="G789" t="s">
        <v>441</v>
      </c>
      <c r="H789" t="s">
        <v>130</v>
      </c>
      <c r="I789" t="s">
        <v>43</v>
      </c>
      <c r="J789">
        <v>11.32</v>
      </c>
      <c r="K789">
        <v>19</v>
      </c>
      <c r="L789">
        <v>10</v>
      </c>
      <c r="M789">
        <v>11</v>
      </c>
      <c r="N789">
        <v>53262</v>
      </c>
      <c r="O789">
        <v>0</v>
      </c>
      <c r="P789">
        <v>0</v>
      </c>
      <c r="Q789" t="s">
        <v>44</v>
      </c>
      <c r="R789">
        <v>8058</v>
      </c>
      <c r="S789" t="s">
        <v>44</v>
      </c>
      <c r="T789">
        <v>636</v>
      </c>
      <c r="U789" t="s">
        <v>44</v>
      </c>
      <c r="V789">
        <v>0</v>
      </c>
      <c r="W789" t="s">
        <v>44</v>
      </c>
      <c r="X789" t="s">
        <v>44</v>
      </c>
      <c r="Y789" t="s">
        <v>44</v>
      </c>
      <c r="Z789" t="s">
        <v>44</v>
      </c>
      <c r="AA789">
        <v>28</v>
      </c>
      <c r="AB789">
        <v>0</v>
      </c>
      <c r="AC789">
        <v>0</v>
      </c>
      <c r="AD789">
        <v>0</v>
      </c>
      <c r="AE789">
        <v>2</v>
      </c>
      <c r="AF789">
        <v>16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28</v>
      </c>
      <c r="AQ789">
        <f t="shared" si="26"/>
        <v>28</v>
      </c>
      <c r="AR789" s="5">
        <f>VLOOKUP(F789,'[2]SCP_24-25'!$A:$D,4,0)</f>
        <v>49.01</v>
      </c>
      <c r="AS789" s="5">
        <f t="shared" si="27"/>
        <v>1372.28</v>
      </c>
    </row>
    <row r="790" spans="1:45" x14ac:dyDescent="0.3">
      <c r="A790" s="1">
        <v>45900.962500000001</v>
      </c>
      <c r="B790" t="s">
        <v>1363</v>
      </c>
      <c r="C790" t="s">
        <v>1364</v>
      </c>
      <c r="D790" t="s">
        <v>334</v>
      </c>
      <c r="E790" t="s">
        <v>335</v>
      </c>
      <c r="F790" t="s">
        <v>1628</v>
      </c>
      <c r="G790" t="s">
        <v>336</v>
      </c>
      <c r="H790" t="s">
        <v>130</v>
      </c>
      <c r="I790" t="s">
        <v>43</v>
      </c>
      <c r="J790">
        <v>42</v>
      </c>
      <c r="K790">
        <v>19</v>
      </c>
      <c r="L790">
        <v>10</v>
      </c>
      <c r="M790">
        <v>11</v>
      </c>
      <c r="N790">
        <v>42566</v>
      </c>
      <c r="O790">
        <v>32</v>
      </c>
      <c r="P790">
        <v>0</v>
      </c>
      <c r="Q790">
        <v>8</v>
      </c>
      <c r="R790">
        <v>4173</v>
      </c>
      <c r="S790" t="s">
        <v>44</v>
      </c>
      <c r="T790">
        <v>320</v>
      </c>
      <c r="U790" t="s">
        <v>44</v>
      </c>
      <c r="V790">
        <v>26</v>
      </c>
      <c r="W790" t="s">
        <v>44</v>
      </c>
      <c r="X790" t="s">
        <v>44</v>
      </c>
      <c r="Y790">
        <v>26</v>
      </c>
      <c r="Z790" t="s">
        <v>44</v>
      </c>
      <c r="AA790">
        <v>63</v>
      </c>
      <c r="AB790">
        <v>0</v>
      </c>
      <c r="AC790">
        <v>0</v>
      </c>
      <c r="AD790">
        <v>0</v>
      </c>
      <c r="AE790">
        <v>7</v>
      </c>
      <c r="AF790">
        <v>4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121</v>
      </c>
      <c r="AQ790">
        <f t="shared" si="26"/>
        <v>121</v>
      </c>
      <c r="AR790" s="5">
        <f>VLOOKUP(F790,'[2]SCP_24-25'!$A:$D,4,0)</f>
        <v>68.577500000000001</v>
      </c>
      <c r="AS790" s="5">
        <f t="shared" si="27"/>
        <v>8297.8775000000005</v>
      </c>
    </row>
    <row r="791" spans="1:45" x14ac:dyDescent="0.3">
      <c r="A791" s="1">
        <v>45900.962500000001</v>
      </c>
      <c r="B791" t="s">
        <v>1363</v>
      </c>
      <c r="C791" t="s">
        <v>1364</v>
      </c>
      <c r="D791" t="s">
        <v>340</v>
      </c>
      <c r="E791" t="s">
        <v>338</v>
      </c>
      <c r="F791" t="s">
        <v>1630</v>
      </c>
      <c r="G791" t="s">
        <v>341</v>
      </c>
      <c r="H791" t="s">
        <v>130</v>
      </c>
      <c r="I791" t="s">
        <v>43</v>
      </c>
      <c r="J791">
        <v>48.99</v>
      </c>
      <c r="K791">
        <v>19</v>
      </c>
      <c r="L791">
        <v>10</v>
      </c>
      <c r="M791">
        <v>11</v>
      </c>
      <c r="N791">
        <v>36575</v>
      </c>
      <c r="O791">
        <v>0</v>
      </c>
      <c r="P791">
        <v>0</v>
      </c>
      <c r="Q791">
        <v>8</v>
      </c>
      <c r="R791">
        <v>5468</v>
      </c>
      <c r="S791" t="s">
        <v>44</v>
      </c>
      <c r="T791">
        <v>400</v>
      </c>
      <c r="U791" t="s">
        <v>44</v>
      </c>
      <c r="V791">
        <v>4</v>
      </c>
      <c r="W791" t="s">
        <v>44</v>
      </c>
      <c r="X791" t="s">
        <v>44</v>
      </c>
      <c r="Y791" t="s">
        <v>44</v>
      </c>
      <c r="Z791" t="s">
        <v>44</v>
      </c>
      <c r="AA791">
        <v>54</v>
      </c>
      <c r="AB791">
        <v>0</v>
      </c>
      <c r="AC791">
        <v>0</v>
      </c>
      <c r="AD791">
        <v>0</v>
      </c>
      <c r="AE791">
        <v>8</v>
      </c>
      <c r="AF791">
        <v>3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58</v>
      </c>
      <c r="AQ791">
        <f t="shared" si="26"/>
        <v>58</v>
      </c>
      <c r="AR791" s="5">
        <f>VLOOKUP(F791,'[2]SCP_24-25'!$A:$D,4,0)</f>
        <v>63.836666666666673</v>
      </c>
      <c r="AS791" s="5">
        <f t="shared" si="27"/>
        <v>3702.5266666666671</v>
      </c>
    </row>
    <row r="792" spans="1:45" x14ac:dyDescent="0.3">
      <c r="A792" s="1">
        <v>45900.962500000001</v>
      </c>
      <c r="B792" t="s">
        <v>1363</v>
      </c>
      <c r="C792" t="s">
        <v>1364</v>
      </c>
      <c r="D792" t="s">
        <v>344</v>
      </c>
      <c r="E792" t="s">
        <v>345</v>
      </c>
      <c r="F792" t="s">
        <v>1632</v>
      </c>
      <c r="G792" t="s">
        <v>346</v>
      </c>
      <c r="H792" t="s">
        <v>130</v>
      </c>
      <c r="I792" t="s">
        <v>43</v>
      </c>
      <c r="J792">
        <v>112.62</v>
      </c>
      <c r="K792">
        <v>19</v>
      </c>
      <c r="L792">
        <v>10</v>
      </c>
      <c r="M792">
        <v>11</v>
      </c>
      <c r="N792">
        <v>15326</v>
      </c>
      <c r="O792">
        <v>0</v>
      </c>
      <c r="P792">
        <v>0</v>
      </c>
      <c r="Q792">
        <v>8</v>
      </c>
      <c r="R792">
        <v>670</v>
      </c>
      <c r="S792" t="s">
        <v>44</v>
      </c>
      <c r="T792">
        <v>1008</v>
      </c>
      <c r="U792" t="s">
        <v>44</v>
      </c>
      <c r="V792">
        <v>13</v>
      </c>
      <c r="W792" t="s">
        <v>44</v>
      </c>
      <c r="X792" t="s">
        <v>44</v>
      </c>
      <c r="Y792" t="s">
        <v>44</v>
      </c>
      <c r="Z792" t="s">
        <v>44</v>
      </c>
      <c r="AA792">
        <v>179</v>
      </c>
      <c r="AB792">
        <v>0</v>
      </c>
      <c r="AC792">
        <v>0</v>
      </c>
      <c r="AD792">
        <v>0</v>
      </c>
      <c r="AE792">
        <v>37</v>
      </c>
      <c r="AF792">
        <v>2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192</v>
      </c>
      <c r="AQ792">
        <f t="shared" si="26"/>
        <v>192</v>
      </c>
      <c r="AR792" s="5">
        <f>VLOOKUP(F792,'[2]SCP_24-25'!$A:$D,4,0)</f>
        <v>114.81</v>
      </c>
      <c r="AS792" s="5">
        <f t="shared" si="27"/>
        <v>22043.52</v>
      </c>
    </row>
    <row r="793" spans="1:45" x14ac:dyDescent="0.3">
      <c r="A793" s="1">
        <v>45900.962500000001</v>
      </c>
      <c r="B793" t="s">
        <v>1363</v>
      </c>
      <c r="C793" t="s">
        <v>1364</v>
      </c>
      <c r="D793" t="s">
        <v>347</v>
      </c>
      <c r="E793" t="s">
        <v>345</v>
      </c>
      <c r="F793" t="s">
        <v>1633</v>
      </c>
      <c r="G793" t="s">
        <v>348</v>
      </c>
      <c r="H793" t="s">
        <v>130</v>
      </c>
      <c r="I793" t="s">
        <v>43</v>
      </c>
      <c r="J793">
        <v>112.62</v>
      </c>
      <c r="K793">
        <v>19</v>
      </c>
      <c r="L793">
        <v>10</v>
      </c>
      <c r="M793">
        <v>11</v>
      </c>
      <c r="N793">
        <v>14834</v>
      </c>
      <c r="O793">
        <v>0</v>
      </c>
      <c r="P793">
        <v>0</v>
      </c>
      <c r="Q793">
        <v>6</v>
      </c>
      <c r="R793">
        <v>3</v>
      </c>
      <c r="S793" t="s">
        <v>44</v>
      </c>
      <c r="T793">
        <v>1308</v>
      </c>
      <c r="U793" t="s">
        <v>44</v>
      </c>
      <c r="V793">
        <v>1</v>
      </c>
      <c r="W793" t="s">
        <v>44</v>
      </c>
      <c r="X793" t="s">
        <v>44</v>
      </c>
      <c r="Y793" t="s">
        <v>44</v>
      </c>
      <c r="Z793" t="s">
        <v>44</v>
      </c>
      <c r="AA793">
        <v>79</v>
      </c>
      <c r="AB793">
        <v>0</v>
      </c>
      <c r="AC793">
        <v>0</v>
      </c>
      <c r="AD793">
        <v>0</v>
      </c>
      <c r="AE793">
        <v>12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80</v>
      </c>
      <c r="AQ793">
        <f t="shared" si="26"/>
        <v>80</v>
      </c>
      <c r="AR793" s="5">
        <f>VLOOKUP(F793,'[2]SCP_24-25'!$A:$D,4,0)</f>
        <v>114.80999999999999</v>
      </c>
      <c r="AS793" s="5">
        <f t="shared" si="27"/>
        <v>9184.7999999999993</v>
      </c>
    </row>
    <row r="794" spans="1:45" x14ac:dyDescent="0.3">
      <c r="A794" s="1">
        <v>45900.962500000001</v>
      </c>
      <c r="B794" t="s">
        <v>1363</v>
      </c>
      <c r="C794" t="s">
        <v>1364</v>
      </c>
      <c r="D794" t="s">
        <v>349</v>
      </c>
      <c r="E794" t="s">
        <v>345</v>
      </c>
      <c r="F794" t="s">
        <v>1634</v>
      </c>
      <c r="G794" t="s">
        <v>350</v>
      </c>
      <c r="H794" t="s">
        <v>130</v>
      </c>
      <c r="I794" t="s">
        <v>43</v>
      </c>
      <c r="J794">
        <v>112.62</v>
      </c>
      <c r="K794">
        <v>19</v>
      </c>
      <c r="L794">
        <v>10</v>
      </c>
      <c r="M794">
        <v>11</v>
      </c>
      <c r="N794">
        <v>23006</v>
      </c>
      <c r="O794">
        <v>103</v>
      </c>
      <c r="P794">
        <v>0</v>
      </c>
      <c r="Q794">
        <v>1</v>
      </c>
      <c r="R794">
        <v>4990</v>
      </c>
      <c r="S794" t="s">
        <v>44</v>
      </c>
      <c r="T794">
        <v>240</v>
      </c>
      <c r="U794" t="s">
        <v>44</v>
      </c>
      <c r="V794">
        <v>64</v>
      </c>
      <c r="W794" t="s">
        <v>44</v>
      </c>
      <c r="X794" t="s">
        <v>44</v>
      </c>
      <c r="Y794">
        <v>64</v>
      </c>
      <c r="Z794" t="s">
        <v>44</v>
      </c>
      <c r="AA794">
        <v>120</v>
      </c>
      <c r="AB794">
        <v>0</v>
      </c>
      <c r="AC794">
        <v>0</v>
      </c>
      <c r="AD794">
        <v>0</v>
      </c>
      <c r="AE794">
        <v>8</v>
      </c>
      <c r="AF794">
        <v>4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287</v>
      </c>
      <c r="AQ794">
        <f t="shared" ref="AQ794:AQ821" si="28">O794+P794+V794+AA794</f>
        <v>287</v>
      </c>
      <c r="AR794" s="5">
        <f>VLOOKUP(F794,'[2]SCP_24-25'!$A:$D,4,0)</f>
        <v>114.80999999999999</v>
      </c>
      <c r="AS794" s="5">
        <f t="shared" si="27"/>
        <v>32950.469999999994</v>
      </c>
    </row>
    <row r="795" spans="1:45" x14ac:dyDescent="0.3">
      <c r="A795" s="1">
        <v>45900.962500000001</v>
      </c>
      <c r="B795" t="s">
        <v>1363</v>
      </c>
      <c r="C795" t="s">
        <v>1364</v>
      </c>
      <c r="D795" t="s">
        <v>353</v>
      </c>
      <c r="E795" t="s">
        <v>345</v>
      </c>
      <c r="F795" t="s">
        <v>1636</v>
      </c>
      <c r="G795" t="s">
        <v>354</v>
      </c>
      <c r="H795" t="s">
        <v>130</v>
      </c>
      <c r="I795" t="s">
        <v>43</v>
      </c>
      <c r="J795">
        <v>112.62</v>
      </c>
      <c r="K795">
        <v>19</v>
      </c>
      <c r="L795">
        <v>10</v>
      </c>
      <c r="M795">
        <v>11</v>
      </c>
      <c r="N795">
        <v>12586</v>
      </c>
      <c r="O795">
        <v>0</v>
      </c>
      <c r="P795">
        <v>0</v>
      </c>
      <c r="Q795">
        <v>6</v>
      </c>
      <c r="R795">
        <v>1637</v>
      </c>
      <c r="S795" t="s">
        <v>44</v>
      </c>
      <c r="T795">
        <v>1</v>
      </c>
      <c r="U795" t="s">
        <v>44</v>
      </c>
      <c r="V795">
        <v>2</v>
      </c>
      <c r="W795">
        <v>20</v>
      </c>
      <c r="X795" t="s">
        <v>44</v>
      </c>
      <c r="Y795" t="s">
        <v>44</v>
      </c>
      <c r="Z795" t="s">
        <v>44</v>
      </c>
      <c r="AA795">
        <v>35</v>
      </c>
      <c r="AB795">
        <v>0</v>
      </c>
      <c r="AC795">
        <v>0</v>
      </c>
      <c r="AD795">
        <v>0</v>
      </c>
      <c r="AE795">
        <v>19</v>
      </c>
      <c r="AF795">
        <v>4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37</v>
      </c>
      <c r="AQ795">
        <f t="shared" si="28"/>
        <v>37</v>
      </c>
      <c r="AR795" s="5">
        <f>VLOOKUP(F795,'[2]SCP_24-25'!$A:$D,4,0)</f>
        <v>114.81</v>
      </c>
      <c r="AS795" s="5">
        <f t="shared" si="27"/>
        <v>4247.97</v>
      </c>
    </row>
    <row r="796" spans="1:45" x14ac:dyDescent="0.3">
      <c r="A796" s="1">
        <v>45900.962500000001</v>
      </c>
      <c r="B796" t="s">
        <v>1363</v>
      </c>
      <c r="C796" t="s">
        <v>1364</v>
      </c>
      <c r="D796" t="s">
        <v>358</v>
      </c>
      <c r="E796" t="s">
        <v>356</v>
      </c>
      <c r="F796" t="s">
        <v>1638</v>
      </c>
      <c r="G796" t="s">
        <v>359</v>
      </c>
      <c r="H796" t="s">
        <v>130</v>
      </c>
      <c r="I796" t="s">
        <v>43</v>
      </c>
      <c r="J796">
        <v>81</v>
      </c>
      <c r="K796">
        <v>19</v>
      </c>
      <c r="L796">
        <v>10</v>
      </c>
      <c r="M796">
        <v>11</v>
      </c>
      <c r="N796">
        <v>15055</v>
      </c>
      <c r="O796">
        <v>0</v>
      </c>
      <c r="P796">
        <v>0</v>
      </c>
      <c r="Q796">
        <v>3</v>
      </c>
      <c r="R796">
        <v>1506</v>
      </c>
      <c r="S796" t="s">
        <v>44</v>
      </c>
      <c r="T796" t="s">
        <v>44</v>
      </c>
      <c r="U796" t="s">
        <v>44</v>
      </c>
      <c r="V796">
        <v>0</v>
      </c>
      <c r="W796" t="s">
        <v>44</v>
      </c>
      <c r="X796" t="s">
        <v>44</v>
      </c>
      <c r="Y796" t="s">
        <v>44</v>
      </c>
      <c r="Z796" t="s">
        <v>44</v>
      </c>
      <c r="AA796">
        <v>19</v>
      </c>
      <c r="AB796">
        <v>0</v>
      </c>
      <c r="AC796">
        <v>0</v>
      </c>
      <c r="AD796">
        <v>0</v>
      </c>
      <c r="AE796">
        <v>27</v>
      </c>
      <c r="AF796">
        <v>2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19</v>
      </c>
      <c r="AQ796">
        <f t="shared" si="28"/>
        <v>19</v>
      </c>
      <c r="AR796" s="5">
        <f>VLOOKUP(F796,'[2]SCP_24-25'!$A:$D,4,0)</f>
        <v>83.14</v>
      </c>
      <c r="AS796" s="5">
        <f t="shared" si="27"/>
        <v>1579.66</v>
      </c>
    </row>
    <row r="797" spans="1:45" x14ac:dyDescent="0.3">
      <c r="A797" s="1">
        <v>45900.962500000001</v>
      </c>
      <c r="B797" t="s">
        <v>1363</v>
      </c>
      <c r="C797" t="s">
        <v>1364</v>
      </c>
      <c r="D797" t="s">
        <v>360</v>
      </c>
      <c r="E797" t="s">
        <v>356</v>
      </c>
      <c r="F797" t="s">
        <v>1639</v>
      </c>
      <c r="G797" t="s">
        <v>361</v>
      </c>
      <c r="H797" t="s">
        <v>130</v>
      </c>
      <c r="I797" t="s">
        <v>43</v>
      </c>
      <c r="J797">
        <v>81.42</v>
      </c>
      <c r="K797">
        <v>19</v>
      </c>
      <c r="L797">
        <v>10</v>
      </c>
      <c r="M797">
        <v>11</v>
      </c>
      <c r="N797">
        <v>17690</v>
      </c>
      <c r="O797">
        <v>17</v>
      </c>
      <c r="P797">
        <v>0</v>
      </c>
      <c r="Q797">
        <v>4</v>
      </c>
      <c r="R797">
        <v>1117</v>
      </c>
      <c r="S797" t="s">
        <v>44</v>
      </c>
      <c r="T797" t="s">
        <v>44</v>
      </c>
      <c r="U797" t="s">
        <v>44</v>
      </c>
      <c r="V797">
        <v>0</v>
      </c>
      <c r="W797" t="s">
        <v>44</v>
      </c>
      <c r="X797" t="s">
        <v>44</v>
      </c>
      <c r="Y797" t="s">
        <v>44</v>
      </c>
      <c r="Z797" t="s">
        <v>44</v>
      </c>
      <c r="AA797">
        <v>18</v>
      </c>
      <c r="AB797">
        <v>0</v>
      </c>
      <c r="AC797">
        <v>0</v>
      </c>
      <c r="AD797">
        <v>0</v>
      </c>
      <c r="AE797">
        <v>15</v>
      </c>
      <c r="AF797">
        <v>3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35</v>
      </c>
      <c r="AQ797">
        <f t="shared" si="28"/>
        <v>35</v>
      </c>
      <c r="AR797" s="5">
        <f>VLOOKUP(F797,'[2]SCP_24-25'!$A:$D,4,0)</f>
        <v>83.14</v>
      </c>
      <c r="AS797" s="5">
        <f t="shared" si="27"/>
        <v>2909.9</v>
      </c>
    </row>
    <row r="798" spans="1:45" x14ac:dyDescent="0.3">
      <c r="A798" s="1">
        <v>45900.962500000001</v>
      </c>
      <c r="B798" t="s">
        <v>1363</v>
      </c>
      <c r="C798" t="s">
        <v>1364</v>
      </c>
      <c r="D798" t="s">
        <v>364</v>
      </c>
      <c r="E798" t="s">
        <v>365</v>
      </c>
      <c r="F798" t="s">
        <v>1641</v>
      </c>
      <c r="G798" t="s">
        <v>366</v>
      </c>
      <c r="H798" t="s">
        <v>130</v>
      </c>
      <c r="I798" t="s">
        <v>43</v>
      </c>
      <c r="J798">
        <v>40.68</v>
      </c>
      <c r="K798">
        <v>19</v>
      </c>
      <c r="L798">
        <v>10</v>
      </c>
      <c r="M798">
        <v>11</v>
      </c>
      <c r="N798">
        <v>37222</v>
      </c>
      <c r="O798">
        <v>26</v>
      </c>
      <c r="P798">
        <v>0</v>
      </c>
      <c r="Q798">
        <v>3</v>
      </c>
      <c r="R798">
        <v>6265</v>
      </c>
      <c r="S798" t="s">
        <v>44</v>
      </c>
      <c r="T798">
        <v>272</v>
      </c>
      <c r="U798" t="s">
        <v>44</v>
      </c>
      <c r="V798">
        <v>69</v>
      </c>
      <c r="W798" t="s">
        <v>44</v>
      </c>
      <c r="X798" t="s">
        <v>44</v>
      </c>
      <c r="Y798">
        <v>69</v>
      </c>
      <c r="Z798" t="s">
        <v>44</v>
      </c>
      <c r="AA798">
        <v>40</v>
      </c>
      <c r="AB798">
        <v>0</v>
      </c>
      <c r="AC798">
        <v>0</v>
      </c>
      <c r="AD798">
        <v>0</v>
      </c>
      <c r="AE798">
        <v>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135</v>
      </c>
      <c r="AQ798">
        <f t="shared" si="28"/>
        <v>135</v>
      </c>
      <c r="AR798" s="5">
        <f>VLOOKUP(F798,'[2]SCP_24-25'!$A:$D,4,0)</f>
        <v>61.98</v>
      </c>
      <c r="AS798" s="5">
        <f t="shared" si="27"/>
        <v>8367.2999999999993</v>
      </c>
    </row>
    <row r="799" spans="1:45" x14ac:dyDescent="0.3">
      <c r="A799" s="1">
        <v>45900.962500000001</v>
      </c>
      <c r="B799" t="s">
        <v>1363</v>
      </c>
      <c r="C799" t="s">
        <v>1364</v>
      </c>
      <c r="D799" t="s">
        <v>370</v>
      </c>
      <c r="E799" t="s">
        <v>368</v>
      </c>
      <c r="F799" t="s">
        <v>1643</v>
      </c>
      <c r="G799" t="s">
        <v>371</v>
      </c>
      <c r="H799" t="s">
        <v>130</v>
      </c>
      <c r="I799" t="s">
        <v>43</v>
      </c>
      <c r="J799">
        <v>24.02</v>
      </c>
      <c r="K799">
        <v>19</v>
      </c>
      <c r="L799">
        <v>10</v>
      </c>
      <c r="M799">
        <v>11</v>
      </c>
      <c r="N799">
        <v>15776</v>
      </c>
      <c r="O799">
        <v>11</v>
      </c>
      <c r="P799">
        <v>0</v>
      </c>
      <c r="Q799" t="s">
        <v>44</v>
      </c>
      <c r="R799">
        <v>1357</v>
      </c>
      <c r="S799" t="s">
        <v>44</v>
      </c>
      <c r="T799" t="s">
        <v>44</v>
      </c>
      <c r="U799" t="s">
        <v>44</v>
      </c>
      <c r="V799">
        <v>18</v>
      </c>
      <c r="W799" t="s">
        <v>44</v>
      </c>
      <c r="X799" t="s">
        <v>44</v>
      </c>
      <c r="Y799">
        <v>18</v>
      </c>
      <c r="Z799" t="s">
        <v>44</v>
      </c>
      <c r="AA799">
        <v>17</v>
      </c>
      <c r="AB799">
        <v>0</v>
      </c>
      <c r="AC799">
        <v>0</v>
      </c>
      <c r="AD799">
        <v>0</v>
      </c>
      <c r="AE799">
        <v>8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46</v>
      </c>
      <c r="AQ799">
        <f t="shared" si="28"/>
        <v>46</v>
      </c>
      <c r="AR799" s="5">
        <f>VLOOKUP(F799,'[2]SCP_24-25'!$A:$D,4,0)</f>
        <v>77.84</v>
      </c>
      <c r="AS799" s="5">
        <f t="shared" si="27"/>
        <v>3580.6400000000003</v>
      </c>
    </row>
    <row r="800" spans="1:45" x14ac:dyDescent="0.3">
      <c r="A800" s="1">
        <v>45900.962500000001</v>
      </c>
      <c r="B800" t="s">
        <v>1363</v>
      </c>
      <c r="C800" t="s">
        <v>1364</v>
      </c>
      <c r="D800" t="s">
        <v>372</v>
      </c>
      <c r="E800" t="s">
        <v>368</v>
      </c>
      <c r="F800" t="s">
        <v>1644</v>
      </c>
      <c r="G800" t="s">
        <v>373</v>
      </c>
      <c r="H800" t="s">
        <v>130</v>
      </c>
      <c r="I800" t="s">
        <v>43</v>
      </c>
      <c r="J800">
        <v>24.02</v>
      </c>
      <c r="K800">
        <v>19</v>
      </c>
      <c r="L800">
        <v>10</v>
      </c>
      <c r="M800">
        <v>11</v>
      </c>
      <c r="N800">
        <v>16391</v>
      </c>
      <c r="O800">
        <v>21</v>
      </c>
      <c r="P800">
        <v>0</v>
      </c>
      <c r="Q800">
        <v>3</v>
      </c>
      <c r="R800">
        <v>1523</v>
      </c>
      <c r="S800" t="s">
        <v>44</v>
      </c>
      <c r="T800" t="s">
        <v>44</v>
      </c>
      <c r="U800" t="s">
        <v>44</v>
      </c>
      <c r="V800">
        <v>17</v>
      </c>
      <c r="W800" t="s">
        <v>44</v>
      </c>
      <c r="X800" t="s">
        <v>44</v>
      </c>
      <c r="Y800">
        <v>17</v>
      </c>
      <c r="Z800" t="s">
        <v>44</v>
      </c>
      <c r="AA800">
        <v>13</v>
      </c>
      <c r="AB800">
        <v>0</v>
      </c>
      <c r="AC800">
        <v>0</v>
      </c>
      <c r="AD800">
        <v>0</v>
      </c>
      <c r="AE800">
        <v>45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51</v>
      </c>
      <c r="AQ800">
        <f t="shared" si="28"/>
        <v>51</v>
      </c>
      <c r="AR800" s="5">
        <f>VLOOKUP(F800,'[2]SCP_24-25'!$A:$D,4,0)</f>
        <v>78.575999999999993</v>
      </c>
      <c r="AS800" s="5">
        <f t="shared" si="27"/>
        <v>4007.3759999999997</v>
      </c>
    </row>
    <row r="801" spans="1:45" x14ac:dyDescent="0.3">
      <c r="A801" s="1">
        <v>45900.962500000001</v>
      </c>
      <c r="B801" t="s">
        <v>1363</v>
      </c>
      <c r="C801" t="s">
        <v>1364</v>
      </c>
      <c r="D801" t="s">
        <v>374</v>
      </c>
      <c r="E801" t="s">
        <v>368</v>
      </c>
      <c r="F801" t="s">
        <v>1645</v>
      </c>
      <c r="G801" t="s">
        <v>375</v>
      </c>
      <c r="H801" t="s">
        <v>130</v>
      </c>
      <c r="I801" t="s">
        <v>43</v>
      </c>
      <c r="J801">
        <v>24.02</v>
      </c>
      <c r="K801">
        <v>19</v>
      </c>
      <c r="L801">
        <v>10</v>
      </c>
      <c r="M801">
        <v>11</v>
      </c>
      <c r="N801">
        <v>11640</v>
      </c>
      <c r="O801">
        <v>0</v>
      </c>
      <c r="P801">
        <v>0</v>
      </c>
      <c r="Q801">
        <v>2</v>
      </c>
      <c r="R801">
        <v>1001</v>
      </c>
      <c r="S801" t="s">
        <v>44</v>
      </c>
      <c r="T801">
        <v>36</v>
      </c>
      <c r="U801" t="s">
        <v>44</v>
      </c>
      <c r="V801">
        <v>2</v>
      </c>
      <c r="W801" t="s">
        <v>44</v>
      </c>
      <c r="X801" t="s">
        <v>44</v>
      </c>
      <c r="Y801" t="s">
        <v>44</v>
      </c>
      <c r="Z801" t="s">
        <v>44</v>
      </c>
      <c r="AA801">
        <v>8</v>
      </c>
      <c r="AB801">
        <v>0</v>
      </c>
      <c r="AC801">
        <v>0</v>
      </c>
      <c r="AD801">
        <v>0</v>
      </c>
      <c r="AE801">
        <v>28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10</v>
      </c>
      <c r="AQ801">
        <f t="shared" si="28"/>
        <v>10</v>
      </c>
      <c r="AR801" s="5">
        <f>VLOOKUP(F801,'[2]SCP_24-25'!$A:$D,4,0)</f>
        <v>78.453333333333333</v>
      </c>
      <c r="AS801" s="5">
        <f t="shared" si="27"/>
        <v>784.5333333333333</v>
      </c>
    </row>
    <row r="802" spans="1:45" x14ac:dyDescent="0.3">
      <c r="A802" s="1">
        <v>45900.962500000001</v>
      </c>
      <c r="B802" t="s">
        <v>1363</v>
      </c>
      <c r="C802" t="s">
        <v>1364</v>
      </c>
      <c r="D802" t="s">
        <v>376</v>
      </c>
      <c r="E802" t="s">
        <v>368</v>
      </c>
      <c r="F802" t="s">
        <v>1646</v>
      </c>
      <c r="G802" t="s">
        <v>377</v>
      </c>
      <c r="H802" t="s">
        <v>130</v>
      </c>
      <c r="I802" t="s">
        <v>43</v>
      </c>
      <c r="J802">
        <v>24.02</v>
      </c>
      <c r="K802">
        <v>19</v>
      </c>
      <c r="L802">
        <v>10</v>
      </c>
      <c r="M802">
        <v>11</v>
      </c>
      <c r="N802">
        <v>11555</v>
      </c>
      <c r="O802">
        <v>0</v>
      </c>
      <c r="P802">
        <v>0</v>
      </c>
      <c r="Q802">
        <v>2</v>
      </c>
      <c r="R802">
        <v>899</v>
      </c>
      <c r="S802" t="s">
        <v>44</v>
      </c>
      <c r="T802">
        <v>108</v>
      </c>
      <c r="U802" t="s">
        <v>44</v>
      </c>
      <c r="V802">
        <v>2</v>
      </c>
      <c r="W802" t="s">
        <v>44</v>
      </c>
      <c r="X802" t="s">
        <v>44</v>
      </c>
      <c r="Y802" t="s">
        <v>44</v>
      </c>
      <c r="Z802" t="s">
        <v>44</v>
      </c>
      <c r="AA802">
        <v>13</v>
      </c>
      <c r="AB802">
        <v>0</v>
      </c>
      <c r="AC802">
        <v>0</v>
      </c>
      <c r="AD802">
        <v>0</v>
      </c>
      <c r="AE802">
        <v>70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15</v>
      </c>
      <c r="AQ802">
        <f t="shared" si="28"/>
        <v>15</v>
      </c>
      <c r="AR802" s="5">
        <f>VLOOKUP(F802,'[2]SCP_24-25'!$A:$D,4,0)</f>
        <v>78.760000000000005</v>
      </c>
      <c r="AS802" s="5">
        <f t="shared" si="27"/>
        <v>1181.4000000000001</v>
      </c>
    </row>
    <row r="803" spans="1:45" x14ac:dyDescent="0.3">
      <c r="A803" s="1">
        <v>45900.962500000001</v>
      </c>
      <c r="B803" t="s">
        <v>1363</v>
      </c>
      <c r="C803" t="s">
        <v>1364</v>
      </c>
      <c r="D803" t="s">
        <v>382</v>
      </c>
      <c r="E803" t="s">
        <v>368</v>
      </c>
      <c r="F803" t="s">
        <v>1649</v>
      </c>
      <c r="G803" t="s">
        <v>383</v>
      </c>
      <c r="H803" t="s">
        <v>130</v>
      </c>
      <c r="I803" t="s">
        <v>43</v>
      </c>
      <c r="J803">
        <v>24.02</v>
      </c>
      <c r="K803">
        <v>19</v>
      </c>
      <c r="L803">
        <v>10</v>
      </c>
      <c r="M803">
        <v>11</v>
      </c>
      <c r="N803">
        <v>14914</v>
      </c>
      <c r="O803">
        <v>0</v>
      </c>
      <c r="P803">
        <v>0</v>
      </c>
      <c r="Q803">
        <v>1</v>
      </c>
      <c r="R803">
        <v>1970</v>
      </c>
      <c r="S803" t="s">
        <v>44</v>
      </c>
      <c r="T803" t="s">
        <v>44</v>
      </c>
      <c r="U803" t="s">
        <v>44</v>
      </c>
      <c r="V803">
        <v>2</v>
      </c>
      <c r="W803" t="s">
        <v>44</v>
      </c>
      <c r="X803" t="s">
        <v>44</v>
      </c>
      <c r="Y803" t="s">
        <v>44</v>
      </c>
      <c r="Z803" t="s">
        <v>44</v>
      </c>
      <c r="AA803">
        <v>8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10</v>
      </c>
      <c r="AQ803">
        <f t="shared" si="28"/>
        <v>10</v>
      </c>
      <c r="AR803" s="5">
        <f>VLOOKUP(F803,'[2]SCP_24-25'!$A:$D,4,0)</f>
        <v>77.84</v>
      </c>
      <c r="AS803" s="5">
        <f t="shared" si="27"/>
        <v>778.40000000000009</v>
      </c>
    </row>
    <row r="804" spans="1:45" x14ac:dyDescent="0.3">
      <c r="A804" s="1">
        <v>45900.962500000001</v>
      </c>
      <c r="B804" t="s">
        <v>1363</v>
      </c>
      <c r="C804" t="s">
        <v>1364</v>
      </c>
      <c r="D804" t="s">
        <v>384</v>
      </c>
      <c r="E804" t="s">
        <v>368</v>
      </c>
      <c r="F804" t="s">
        <v>1650</v>
      </c>
      <c r="G804" t="s">
        <v>385</v>
      </c>
      <c r="H804" t="s">
        <v>130</v>
      </c>
      <c r="I804" t="s">
        <v>43</v>
      </c>
      <c r="J804">
        <v>24</v>
      </c>
      <c r="K804">
        <v>19</v>
      </c>
      <c r="L804">
        <v>10</v>
      </c>
      <c r="M804">
        <v>11</v>
      </c>
      <c r="N804">
        <v>9358</v>
      </c>
      <c r="O804">
        <v>0</v>
      </c>
      <c r="P804">
        <v>0</v>
      </c>
      <c r="Q804">
        <v>1</v>
      </c>
      <c r="R804">
        <v>1842</v>
      </c>
      <c r="S804" t="s">
        <v>44</v>
      </c>
      <c r="T804" t="s">
        <v>44</v>
      </c>
      <c r="U804" t="s">
        <v>44</v>
      </c>
      <c r="V804">
        <v>35</v>
      </c>
      <c r="W804">
        <v>95</v>
      </c>
      <c r="X804" t="s">
        <v>44</v>
      </c>
      <c r="Y804" t="s">
        <v>44</v>
      </c>
      <c r="Z804" t="s">
        <v>44</v>
      </c>
      <c r="AA804">
        <v>7</v>
      </c>
      <c r="AB804">
        <v>0</v>
      </c>
      <c r="AC804">
        <v>0</v>
      </c>
      <c r="AD804">
        <v>0</v>
      </c>
      <c r="AE804">
        <v>107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42</v>
      </c>
      <c r="AQ804">
        <f t="shared" si="28"/>
        <v>42</v>
      </c>
      <c r="AR804" s="5">
        <f>VLOOKUP(F804,'[2]SCP_24-25'!$A:$D,4,0)</f>
        <v>79.066666666666677</v>
      </c>
      <c r="AS804" s="5">
        <f t="shared" si="27"/>
        <v>3320.8000000000006</v>
      </c>
    </row>
    <row r="805" spans="1:45" x14ac:dyDescent="0.3">
      <c r="A805" s="1">
        <v>45900.962500000001</v>
      </c>
      <c r="B805" t="s">
        <v>1363</v>
      </c>
      <c r="C805" t="s">
        <v>1364</v>
      </c>
      <c r="D805" t="s">
        <v>115</v>
      </c>
      <c r="E805" t="s">
        <v>116</v>
      </c>
      <c r="F805" t="s">
        <v>1537</v>
      </c>
      <c r="G805" t="s">
        <v>117</v>
      </c>
      <c r="H805" t="s">
        <v>66</v>
      </c>
      <c r="I805" t="s">
        <v>43</v>
      </c>
      <c r="J805">
        <v>60</v>
      </c>
      <c r="K805">
        <v>19</v>
      </c>
      <c r="L805">
        <v>11</v>
      </c>
      <c r="M805">
        <v>10</v>
      </c>
      <c r="N805">
        <v>24757</v>
      </c>
      <c r="O805">
        <v>23</v>
      </c>
      <c r="P805">
        <v>0</v>
      </c>
      <c r="Q805">
        <v>26</v>
      </c>
      <c r="R805">
        <v>2669</v>
      </c>
      <c r="S805" t="s">
        <v>44</v>
      </c>
      <c r="T805">
        <v>224</v>
      </c>
      <c r="U805" t="s">
        <v>44</v>
      </c>
      <c r="V805">
        <v>30</v>
      </c>
      <c r="W805" t="s">
        <v>44</v>
      </c>
      <c r="X805" t="s">
        <v>44</v>
      </c>
      <c r="Y805">
        <v>26</v>
      </c>
      <c r="Z805" t="s">
        <v>44</v>
      </c>
      <c r="AA805">
        <v>15</v>
      </c>
      <c r="AB805">
        <v>0</v>
      </c>
      <c r="AC805">
        <v>0</v>
      </c>
      <c r="AD805">
        <v>0</v>
      </c>
      <c r="AE805">
        <v>48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68</v>
      </c>
      <c r="AQ805">
        <f t="shared" si="28"/>
        <v>68</v>
      </c>
      <c r="AR805" s="5">
        <f>VLOOKUP(F805,'[2]SCP_24-25'!$A:$D,4,0)</f>
        <v>94.559999999999988</v>
      </c>
      <c r="AS805" s="5">
        <f t="shared" si="27"/>
        <v>6430.079999999999</v>
      </c>
    </row>
    <row r="806" spans="1:45" x14ac:dyDescent="0.3">
      <c r="A806" s="1">
        <v>45900.962500000001</v>
      </c>
      <c r="B806" t="s">
        <v>1363</v>
      </c>
      <c r="C806" t="s">
        <v>1364</v>
      </c>
      <c r="D806" t="s">
        <v>121</v>
      </c>
      <c r="F806" t="s">
        <v>1539</v>
      </c>
      <c r="G806" t="s">
        <v>122</v>
      </c>
      <c r="H806" t="s">
        <v>103</v>
      </c>
      <c r="I806" t="s">
        <v>43</v>
      </c>
      <c r="J806">
        <v>216.02</v>
      </c>
      <c r="K806">
        <v>19</v>
      </c>
      <c r="L806">
        <v>10</v>
      </c>
      <c r="M806">
        <v>11</v>
      </c>
      <c r="N806">
        <v>97465</v>
      </c>
      <c r="O806">
        <v>4</v>
      </c>
      <c r="P806">
        <v>0</v>
      </c>
      <c r="Q806">
        <v>56</v>
      </c>
      <c r="R806">
        <v>11992</v>
      </c>
      <c r="S806" t="s">
        <v>44</v>
      </c>
      <c r="T806" t="s">
        <v>44</v>
      </c>
      <c r="U806" t="s">
        <v>44</v>
      </c>
      <c r="V806">
        <v>0</v>
      </c>
      <c r="W806" t="s">
        <v>44</v>
      </c>
      <c r="X806" t="s">
        <v>44</v>
      </c>
      <c r="Y806" t="s">
        <v>44</v>
      </c>
      <c r="Z806" t="s">
        <v>44</v>
      </c>
      <c r="AA806">
        <v>159</v>
      </c>
      <c r="AB806">
        <v>0</v>
      </c>
      <c r="AC806">
        <v>0</v>
      </c>
      <c r="AD806">
        <v>0</v>
      </c>
      <c r="AE806">
        <v>8</v>
      </c>
      <c r="AF806">
        <v>6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163</v>
      </c>
      <c r="AQ806">
        <f t="shared" si="28"/>
        <v>163</v>
      </c>
      <c r="AR806" s="5">
        <f>VLOOKUP(F806,'[2]SCP_24-25'!$A:$D,4,0)</f>
        <v>53.14</v>
      </c>
      <c r="AS806" s="5">
        <f t="shared" si="27"/>
        <v>8661.82</v>
      </c>
    </row>
    <row r="807" spans="1:45" x14ac:dyDescent="0.3">
      <c r="A807" s="1">
        <v>45900.962500000001</v>
      </c>
      <c r="B807" t="s">
        <v>1363</v>
      </c>
      <c r="C807" t="s">
        <v>1364</v>
      </c>
      <c r="D807" t="s">
        <v>913</v>
      </c>
      <c r="F807" t="s">
        <v>1906</v>
      </c>
      <c r="G807" t="s">
        <v>914</v>
      </c>
      <c r="H807" t="s">
        <v>120</v>
      </c>
      <c r="I807" t="s">
        <v>43</v>
      </c>
      <c r="J807">
        <v>1000</v>
      </c>
      <c r="K807">
        <v>305</v>
      </c>
      <c r="L807">
        <v>222</v>
      </c>
      <c r="M807">
        <v>80</v>
      </c>
      <c r="N807">
        <v>1641</v>
      </c>
      <c r="O807">
        <v>0</v>
      </c>
      <c r="P807">
        <v>0</v>
      </c>
      <c r="Q807" t="s">
        <v>44</v>
      </c>
      <c r="R807" t="s">
        <v>44</v>
      </c>
      <c r="S807" t="s">
        <v>44</v>
      </c>
      <c r="T807">
        <v>56</v>
      </c>
      <c r="U807" t="s">
        <v>44</v>
      </c>
      <c r="V807">
        <v>64</v>
      </c>
      <c r="W807" t="s">
        <v>44</v>
      </c>
      <c r="X807" t="s">
        <v>44</v>
      </c>
      <c r="Y807">
        <v>64</v>
      </c>
      <c r="Z807" t="s">
        <v>44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64</v>
      </c>
      <c r="AQ807">
        <f t="shared" si="28"/>
        <v>64</v>
      </c>
      <c r="AR807" s="5">
        <f>VLOOKUP(F807,'[1]Cost Sheet'!$C:$D,2,0)</f>
        <v>240</v>
      </c>
      <c r="AS807" s="5">
        <f t="shared" si="27"/>
        <v>15360</v>
      </c>
    </row>
    <row r="808" spans="1:45" x14ac:dyDescent="0.3">
      <c r="A808" s="1">
        <v>45900.962500000001</v>
      </c>
      <c r="B808" t="s">
        <v>1363</v>
      </c>
      <c r="C808" t="s">
        <v>1364</v>
      </c>
      <c r="D808" t="s">
        <v>919</v>
      </c>
      <c r="F808" t="s">
        <v>1909</v>
      </c>
      <c r="G808" t="s">
        <v>920</v>
      </c>
      <c r="H808" t="s">
        <v>66</v>
      </c>
      <c r="I808" t="s">
        <v>43</v>
      </c>
      <c r="J808">
        <v>1000</v>
      </c>
      <c r="K808">
        <v>305</v>
      </c>
      <c r="L808">
        <v>222</v>
      </c>
      <c r="M808">
        <v>80</v>
      </c>
      <c r="N808">
        <v>615</v>
      </c>
      <c r="O808">
        <v>0</v>
      </c>
      <c r="P808">
        <v>0</v>
      </c>
      <c r="Q808" t="s">
        <v>44</v>
      </c>
      <c r="R808" t="s">
        <v>44</v>
      </c>
      <c r="S808" t="s">
        <v>44</v>
      </c>
      <c r="T808">
        <v>124</v>
      </c>
      <c r="U808" t="s">
        <v>44</v>
      </c>
      <c r="V808">
        <v>90</v>
      </c>
      <c r="W808" t="s">
        <v>44</v>
      </c>
      <c r="X808" t="s">
        <v>44</v>
      </c>
      <c r="Y808">
        <v>90</v>
      </c>
      <c r="Z808" t="s">
        <v>44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90</v>
      </c>
      <c r="AQ808">
        <f t="shared" si="28"/>
        <v>90</v>
      </c>
      <c r="AR808" s="5">
        <f>VLOOKUP(F808,'[1]Cost Sheet'!$C:$D,2,0)</f>
        <v>200</v>
      </c>
      <c r="AS808" s="5">
        <f t="shared" si="27"/>
        <v>18000</v>
      </c>
    </row>
    <row r="809" spans="1:45" x14ac:dyDescent="0.3">
      <c r="A809" s="1">
        <v>45900.962500000001</v>
      </c>
      <c r="B809" t="s">
        <v>1363</v>
      </c>
      <c r="C809" t="s">
        <v>1364</v>
      </c>
      <c r="D809" t="s">
        <v>562</v>
      </c>
      <c r="F809" t="s">
        <v>1735</v>
      </c>
      <c r="G809" t="s">
        <v>563</v>
      </c>
      <c r="H809" t="s">
        <v>66</v>
      </c>
      <c r="I809" t="s">
        <v>43</v>
      </c>
      <c r="J809">
        <v>44.99</v>
      </c>
      <c r="K809">
        <v>19</v>
      </c>
      <c r="L809">
        <v>11</v>
      </c>
      <c r="M809">
        <v>10</v>
      </c>
      <c r="N809">
        <v>12777</v>
      </c>
      <c r="O809">
        <v>45</v>
      </c>
      <c r="P809">
        <v>0</v>
      </c>
      <c r="Q809">
        <v>4</v>
      </c>
      <c r="R809">
        <v>3</v>
      </c>
      <c r="S809" t="s">
        <v>44</v>
      </c>
      <c r="T809" t="s">
        <v>44</v>
      </c>
      <c r="U809" t="s">
        <v>44</v>
      </c>
      <c r="V809">
        <v>3</v>
      </c>
      <c r="W809" t="s">
        <v>44</v>
      </c>
      <c r="X809" t="s">
        <v>44</v>
      </c>
      <c r="Y809">
        <v>3</v>
      </c>
      <c r="Z809" t="s">
        <v>44</v>
      </c>
      <c r="AA809">
        <v>46</v>
      </c>
      <c r="AB809">
        <v>0</v>
      </c>
      <c r="AC809">
        <v>0</v>
      </c>
      <c r="AD809">
        <v>0</v>
      </c>
      <c r="AE809">
        <v>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94</v>
      </c>
      <c r="AQ809">
        <f t="shared" si="28"/>
        <v>94</v>
      </c>
      <c r="AR809" s="5">
        <f>VLOOKUP(F809,'[2]SCP_24-25'!$A:$D,4,0)</f>
        <v>40.44</v>
      </c>
      <c r="AS809" s="5">
        <f t="shared" si="27"/>
        <v>3801.3599999999997</v>
      </c>
    </row>
    <row r="810" spans="1:45" x14ac:dyDescent="0.3">
      <c r="A810" s="1">
        <v>45900.962500000001</v>
      </c>
      <c r="B810" t="s">
        <v>1363</v>
      </c>
      <c r="C810" t="s">
        <v>1364</v>
      </c>
      <c r="D810" t="s">
        <v>611</v>
      </c>
      <c r="F810" t="s">
        <v>1759</v>
      </c>
      <c r="G810" t="s">
        <v>612</v>
      </c>
      <c r="H810" t="s">
        <v>130</v>
      </c>
      <c r="I810" t="s">
        <v>43</v>
      </c>
      <c r="J810">
        <v>70</v>
      </c>
      <c r="K810">
        <v>19</v>
      </c>
      <c r="L810">
        <v>11</v>
      </c>
      <c r="M810">
        <v>10</v>
      </c>
      <c r="N810">
        <v>8967</v>
      </c>
      <c r="O810">
        <v>0</v>
      </c>
      <c r="P810">
        <v>0</v>
      </c>
      <c r="Q810">
        <v>3</v>
      </c>
      <c r="R810" t="s">
        <v>44</v>
      </c>
      <c r="S810" t="s">
        <v>44</v>
      </c>
      <c r="T810">
        <v>2</v>
      </c>
      <c r="U810" t="s">
        <v>44</v>
      </c>
      <c r="V810">
        <v>1</v>
      </c>
      <c r="W810" t="s">
        <v>44</v>
      </c>
      <c r="X810" t="s">
        <v>44</v>
      </c>
      <c r="Y810" t="s">
        <v>44</v>
      </c>
      <c r="Z810" t="s">
        <v>44</v>
      </c>
      <c r="AA810">
        <v>0</v>
      </c>
      <c r="AB810">
        <v>0</v>
      </c>
      <c r="AC810">
        <v>0</v>
      </c>
      <c r="AD810">
        <v>0</v>
      </c>
      <c r="AE810">
        <v>3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f t="shared" si="28"/>
        <v>1</v>
      </c>
      <c r="AR810" s="5">
        <f>VLOOKUP(F810,'[2]SCP_24-25'!$A:$D,4,0)</f>
        <v>61.75</v>
      </c>
      <c r="AS810" s="5">
        <f t="shared" si="27"/>
        <v>61.75</v>
      </c>
    </row>
    <row r="811" spans="1:45" x14ac:dyDescent="0.3">
      <c r="A811" s="1">
        <v>45900.962500000001</v>
      </c>
      <c r="B811" t="s">
        <v>1363</v>
      </c>
      <c r="C811" t="s">
        <v>1364</v>
      </c>
      <c r="D811" t="s">
        <v>128</v>
      </c>
      <c r="F811" t="s">
        <v>1542</v>
      </c>
      <c r="G811" t="s">
        <v>129</v>
      </c>
      <c r="H811" t="s">
        <v>130</v>
      </c>
      <c r="I811" t="s">
        <v>43</v>
      </c>
      <c r="J811">
        <v>80</v>
      </c>
      <c r="K811">
        <v>19</v>
      </c>
      <c r="L811">
        <v>11</v>
      </c>
      <c r="M811">
        <v>10</v>
      </c>
      <c r="N811">
        <v>16969</v>
      </c>
      <c r="O811">
        <v>2</v>
      </c>
      <c r="P811">
        <v>0</v>
      </c>
      <c r="Q811">
        <v>3</v>
      </c>
      <c r="R811">
        <v>1902</v>
      </c>
      <c r="S811" t="s">
        <v>44</v>
      </c>
      <c r="T811">
        <v>114</v>
      </c>
      <c r="U811" t="s">
        <v>44</v>
      </c>
      <c r="V811">
        <v>0</v>
      </c>
      <c r="W811">
        <v>4</v>
      </c>
      <c r="X811" t="s">
        <v>44</v>
      </c>
      <c r="Y811" t="s">
        <v>44</v>
      </c>
      <c r="Z811" t="s">
        <v>44</v>
      </c>
      <c r="AA811">
        <v>27</v>
      </c>
      <c r="AB811">
        <v>0</v>
      </c>
      <c r="AC811">
        <v>0</v>
      </c>
      <c r="AD811">
        <v>0</v>
      </c>
      <c r="AE811">
        <v>9</v>
      </c>
      <c r="AF811">
        <v>4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29</v>
      </c>
      <c r="AQ811">
        <f t="shared" si="28"/>
        <v>29</v>
      </c>
      <c r="AR811" s="5">
        <f>VLOOKUP(F811,'[2]SCP_24-25'!$A:$D,4,0)</f>
        <v>46.19</v>
      </c>
      <c r="AS811" s="5">
        <f t="shared" si="27"/>
        <v>1339.51</v>
      </c>
    </row>
    <row r="812" spans="1:45" x14ac:dyDescent="0.3">
      <c r="A812" s="1">
        <v>45900.962500000001</v>
      </c>
      <c r="B812" t="s">
        <v>1363</v>
      </c>
      <c r="C812" t="s">
        <v>1364</v>
      </c>
      <c r="D812" t="s">
        <v>628</v>
      </c>
      <c r="F812" t="s">
        <v>1767</v>
      </c>
      <c r="G812" t="s">
        <v>123</v>
      </c>
      <c r="H812" t="s">
        <v>120</v>
      </c>
      <c r="I812" t="s">
        <v>43</v>
      </c>
      <c r="J812">
        <v>100</v>
      </c>
      <c r="K812">
        <v>19</v>
      </c>
      <c r="L812">
        <v>11</v>
      </c>
      <c r="M812">
        <v>10</v>
      </c>
      <c r="N812">
        <v>754</v>
      </c>
      <c r="O812">
        <v>0</v>
      </c>
      <c r="P812">
        <v>0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>
        <v>64</v>
      </c>
      <c r="W812" t="s">
        <v>44</v>
      </c>
      <c r="X812" t="s">
        <v>44</v>
      </c>
      <c r="Y812">
        <v>64</v>
      </c>
      <c r="Z812" t="s">
        <v>44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64</v>
      </c>
      <c r="AQ812">
        <f t="shared" si="28"/>
        <v>64</v>
      </c>
      <c r="AR812" s="5">
        <f>VLOOKUP(F812,'[1]Cost Sheet'!$C:$D,2,0)</f>
        <v>169</v>
      </c>
      <c r="AS812" s="5">
        <f t="shared" si="27"/>
        <v>10816</v>
      </c>
    </row>
    <row r="813" spans="1:45" x14ac:dyDescent="0.3">
      <c r="A813" s="1">
        <v>45900.962500000001</v>
      </c>
      <c r="B813" t="s">
        <v>1363</v>
      </c>
      <c r="C813" t="s">
        <v>1364</v>
      </c>
      <c r="D813" t="s">
        <v>629</v>
      </c>
      <c r="F813" t="s">
        <v>1768</v>
      </c>
      <c r="G813" t="s">
        <v>630</v>
      </c>
      <c r="H813" t="s">
        <v>120</v>
      </c>
      <c r="I813" t="s">
        <v>43</v>
      </c>
      <c r="J813">
        <v>200</v>
      </c>
      <c r="K813">
        <v>19</v>
      </c>
      <c r="L813">
        <v>10</v>
      </c>
      <c r="M813">
        <v>11</v>
      </c>
      <c r="N813">
        <v>2437</v>
      </c>
      <c r="O813">
        <v>0</v>
      </c>
      <c r="P813">
        <v>0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>
        <v>36</v>
      </c>
      <c r="W813" t="s">
        <v>44</v>
      </c>
      <c r="X813" t="s">
        <v>44</v>
      </c>
      <c r="Y813">
        <v>36</v>
      </c>
      <c r="Z813" t="s">
        <v>44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36</v>
      </c>
      <c r="AQ813">
        <f t="shared" si="28"/>
        <v>36</v>
      </c>
      <c r="AR813" s="5">
        <f>VLOOKUP(F813,'[1]Cost Sheet'!$C:$D,2,0)</f>
        <v>48</v>
      </c>
      <c r="AS813" s="5">
        <f t="shared" si="27"/>
        <v>1728</v>
      </c>
    </row>
    <row r="814" spans="1:45" x14ac:dyDescent="0.3">
      <c r="A814" s="1">
        <v>45900.962500000001</v>
      </c>
      <c r="B814" t="s">
        <v>1363</v>
      </c>
      <c r="C814" t="s">
        <v>1364</v>
      </c>
      <c r="D814" t="s">
        <v>927</v>
      </c>
      <c r="F814" t="s">
        <v>1913</v>
      </c>
      <c r="G814" t="s">
        <v>928</v>
      </c>
      <c r="H814" t="s">
        <v>103</v>
      </c>
      <c r="I814" t="s">
        <v>43</v>
      </c>
      <c r="J814">
        <v>217</v>
      </c>
      <c r="K814">
        <v>19</v>
      </c>
      <c r="L814">
        <v>10</v>
      </c>
      <c r="M814">
        <v>11</v>
      </c>
      <c r="N814">
        <v>23164</v>
      </c>
      <c r="O814">
        <v>0</v>
      </c>
      <c r="P814">
        <v>0</v>
      </c>
      <c r="Q814">
        <v>3</v>
      </c>
      <c r="R814">
        <v>1223</v>
      </c>
      <c r="S814" t="s">
        <v>44</v>
      </c>
      <c r="T814" t="s">
        <v>44</v>
      </c>
      <c r="U814" t="s">
        <v>44</v>
      </c>
      <c r="V814">
        <v>0</v>
      </c>
      <c r="W814" t="s">
        <v>44</v>
      </c>
      <c r="X814" t="s">
        <v>44</v>
      </c>
      <c r="Y814" t="s">
        <v>44</v>
      </c>
      <c r="Z814" t="s">
        <v>44</v>
      </c>
      <c r="AA814">
        <v>18</v>
      </c>
      <c r="AB814">
        <v>0</v>
      </c>
      <c r="AC814">
        <v>0</v>
      </c>
      <c r="AD814">
        <v>0</v>
      </c>
      <c r="AE814">
        <v>6</v>
      </c>
      <c r="AF814">
        <v>3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18</v>
      </c>
      <c r="AQ814">
        <f t="shared" si="28"/>
        <v>18</v>
      </c>
      <c r="AR814" s="5">
        <f>VLOOKUP(F814,'[2]SCP_24-25'!$A:$D,4,0)</f>
        <v>53.669999999999995</v>
      </c>
      <c r="AS814" s="5">
        <f t="shared" si="27"/>
        <v>966.06</v>
      </c>
    </row>
    <row r="815" spans="1:45" x14ac:dyDescent="0.3">
      <c r="A815" s="1">
        <v>45900.962500000001</v>
      </c>
      <c r="B815" t="s">
        <v>1363</v>
      </c>
      <c r="C815" t="s">
        <v>1364</v>
      </c>
      <c r="D815" t="s">
        <v>564</v>
      </c>
      <c r="F815" t="s">
        <v>1736</v>
      </c>
      <c r="G815" t="s">
        <v>565</v>
      </c>
      <c r="H815" t="s">
        <v>103</v>
      </c>
      <c r="I815" t="s">
        <v>43</v>
      </c>
      <c r="J815">
        <v>236.02</v>
      </c>
      <c r="K815">
        <v>19</v>
      </c>
      <c r="L815">
        <v>10</v>
      </c>
      <c r="M815">
        <v>11</v>
      </c>
      <c r="N815">
        <v>13400</v>
      </c>
      <c r="O815">
        <v>0</v>
      </c>
      <c r="P815">
        <v>0</v>
      </c>
      <c r="Q815" t="s">
        <v>44</v>
      </c>
      <c r="R815">
        <v>470</v>
      </c>
      <c r="S815" t="s">
        <v>44</v>
      </c>
      <c r="T815" t="s">
        <v>44</v>
      </c>
      <c r="U815" t="s">
        <v>44</v>
      </c>
      <c r="V815">
        <v>0</v>
      </c>
      <c r="W815" t="s">
        <v>44</v>
      </c>
      <c r="X815" t="s">
        <v>44</v>
      </c>
      <c r="Y815" t="s">
        <v>44</v>
      </c>
      <c r="Z815" t="s">
        <v>44</v>
      </c>
      <c r="AA815">
        <v>18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18</v>
      </c>
      <c r="AQ815">
        <f t="shared" si="28"/>
        <v>18</v>
      </c>
      <c r="AR815" s="5">
        <f>VLOOKUP(F815,'[2]SCP_24-25'!$A:$D,4,0)</f>
        <v>59.82</v>
      </c>
      <c r="AS815" s="5">
        <f t="shared" si="27"/>
        <v>1076.76</v>
      </c>
    </row>
    <row r="816" spans="1:45" x14ac:dyDescent="0.3">
      <c r="A816" s="1">
        <v>45900.962500000001</v>
      </c>
      <c r="B816" t="s">
        <v>1363</v>
      </c>
      <c r="C816" t="s">
        <v>1364</v>
      </c>
      <c r="D816" t="s">
        <v>929</v>
      </c>
      <c r="F816" t="s">
        <v>1914</v>
      </c>
      <c r="G816" t="s">
        <v>930</v>
      </c>
      <c r="H816" t="s">
        <v>120</v>
      </c>
      <c r="I816" t="s">
        <v>43</v>
      </c>
      <c r="J816">
        <v>200</v>
      </c>
      <c r="K816">
        <v>19</v>
      </c>
      <c r="L816">
        <v>11</v>
      </c>
      <c r="M816">
        <v>10</v>
      </c>
      <c r="N816">
        <v>5156</v>
      </c>
      <c r="O816">
        <v>0</v>
      </c>
      <c r="P816">
        <v>0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>
        <v>23</v>
      </c>
      <c r="W816" t="s">
        <v>44</v>
      </c>
      <c r="X816" t="s">
        <v>44</v>
      </c>
      <c r="Y816">
        <v>23</v>
      </c>
      <c r="Z816" t="s">
        <v>44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23</v>
      </c>
      <c r="AQ816">
        <f t="shared" si="28"/>
        <v>23</v>
      </c>
      <c r="AR816" s="5">
        <f>VLOOKUP(F816,'[2]SCP_24-25'!$A:$D,4,0)</f>
        <v>50</v>
      </c>
      <c r="AS816" s="5">
        <f t="shared" si="27"/>
        <v>1150</v>
      </c>
    </row>
    <row r="817" spans="1:45" x14ac:dyDescent="0.3">
      <c r="A817" s="1">
        <v>45900.962500000001</v>
      </c>
      <c r="B817" t="s">
        <v>1363</v>
      </c>
      <c r="C817" t="s">
        <v>1364</v>
      </c>
      <c r="D817" t="s">
        <v>403</v>
      </c>
      <c r="F817" t="s">
        <v>1659</v>
      </c>
      <c r="G817" t="s">
        <v>404</v>
      </c>
      <c r="H817" t="s">
        <v>103</v>
      </c>
      <c r="I817" t="s">
        <v>43</v>
      </c>
      <c r="J817">
        <v>272.02</v>
      </c>
      <c r="K817">
        <v>19</v>
      </c>
      <c r="L817">
        <v>11</v>
      </c>
      <c r="M817">
        <v>10</v>
      </c>
      <c r="N817">
        <v>48677</v>
      </c>
      <c r="O817">
        <v>0</v>
      </c>
      <c r="P817">
        <v>0</v>
      </c>
      <c r="Q817">
        <v>45</v>
      </c>
      <c r="R817">
        <v>4698</v>
      </c>
      <c r="S817" t="s">
        <v>44</v>
      </c>
      <c r="T817" t="s">
        <v>44</v>
      </c>
      <c r="U817" t="s">
        <v>44</v>
      </c>
      <c r="V817">
        <v>0</v>
      </c>
      <c r="W817" t="s">
        <v>44</v>
      </c>
      <c r="X817" t="s">
        <v>44</v>
      </c>
      <c r="Y817" t="s">
        <v>44</v>
      </c>
      <c r="Z817" t="s">
        <v>44</v>
      </c>
      <c r="AA817">
        <v>54</v>
      </c>
      <c r="AB817">
        <v>0</v>
      </c>
      <c r="AC817">
        <v>0</v>
      </c>
      <c r="AD817">
        <v>0</v>
      </c>
      <c r="AE817">
        <v>7</v>
      </c>
      <c r="AF817">
        <v>6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54</v>
      </c>
      <c r="AQ817">
        <f t="shared" si="28"/>
        <v>54</v>
      </c>
      <c r="AR817" s="5">
        <f>VLOOKUP(F817,'[2]SCP_24-25'!$A:$D,4,0)</f>
        <v>231.99</v>
      </c>
      <c r="AS817" s="5">
        <f t="shared" si="27"/>
        <v>12527.460000000001</v>
      </c>
    </row>
    <row r="818" spans="1:45" x14ac:dyDescent="0.3">
      <c r="A818" s="1">
        <v>45900.962500000001</v>
      </c>
      <c r="B818" t="s">
        <v>1363</v>
      </c>
      <c r="C818" t="s">
        <v>1364</v>
      </c>
      <c r="D818" t="s">
        <v>437</v>
      </c>
      <c r="F818" t="s">
        <v>1674</v>
      </c>
      <c r="G818" t="s">
        <v>438</v>
      </c>
      <c r="H818" t="s">
        <v>66</v>
      </c>
      <c r="I818" t="s">
        <v>43</v>
      </c>
      <c r="J818">
        <v>46.59</v>
      </c>
      <c r="K818">
        <v>19</v>
      </c>
      <c r="L818">
        <v>10</v>
      </c>
      <c r="M818">
        <v>11</v>
      </c>
      <c r="N818">
        <v>24688</v>
      </c>
      <c r="O818">
        <v>0</v>
      </c>
      <c r="P818">
        <v>0</v>
      </c>
      <c r="Q818">
        <v>1</v>
      </c>
      <c r="R818">
        <v>2897</v>
      </c>
      <c r="S818" t="s">
        <v>44</v>
      </c>
      <c r="T818" t="s">
        <v>44</v>
      </c>
      <c r="U818" t="s">
        <v>44</v>
      </c>
      <c r="V818">
        <v>2</v>
      </c>
      <c r="W818" t="s">
        <v>44</v>
      </c>
      <c r="X818" t="s">
        <v>44</v>
      </c>
      <c r="Y818">
        <v>2</v>
      </c>
      <c r="Z818" t="s">
        <v>44</v>
      </c>
      <c r="AA818">
        <v>55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57</v>
      </c>
      <c r="AQ818">
        <f t="shared" si="28"/>
        <v>57</v>
      </c>
      <c r="AR818" s="5">
        <f>VLOOKUP(F818,'[2]SCP_24-25'!$A:$D,4,0)</f>
        <v>28.199999999999996</v>
      </c>
      <c r="AS818" s="5">
        <f t="shared" si="27"/>
        <v>1607.3999999999999</v>
      </c>
    </row>
    <row r="819" spans="1:45" x14ac:dyDescent="0.3">
      <c r="A819" s="1">
        <v>45900.962500000001</v>
      </c>
      <c r="B819" t="s">
        <v>1363</v>
      </c>
      <c r="C819" t="s">
        <v>1364</v>
      </c>
      <c r="D819" t="s">
        <v>605</v>
      </c>
      <c r="F819" t="s">
        <v>1756</v>
      </c>
      <c r="G819" t="s">
        <v>606</v>
      </c>
      <c r="H819" t="s">
        <v>66</v>
      </c>
      <c r="I819" t="s">
        <v>43</v>
      </c>
      <c r="J819">
        <v>46.59</v>
      </c>
      <c r="K819">
        <v>19</v>
      </c>
      <c r="L819">
        <v>10</v>
      </c>
      <c r="M819">
        <v>11</v>
      </c>
      <c r="N819">
        <v>20621</v>
      </c>
      <c r="O819">
        <v>0</v>
      </c>
      <c r="P819">
        <v>0</v>
      </c>
      <c r="Q819">
        <v>2</v>
      </c>
      <c r="R819">
        <v>4067</v>
      </c>
      <c r="S819" t="s">
        <v>44</v>
      </c>
      <c r="T819" t="s">
        <v>44</v>
      </c>
      <c r="U819" t="s">
        <v>44</v>
      </c>
      <c r="V819">
        <v>0</v>
      </c>
      <c r="W819" t="s">
        <v>44</v>
      </c>
      <c r="X819" t="s">
        <v>44</v>
      </c>
      <c r="Y819" t="s">
        <v>44</v>
      </c>
      <c r="Z819">
        <v>1</v>
      </c>
      <c r="AA819">
        <v>62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62</v>
      </c>
      <c r="AQ819">
        <f t="shared" si="28"/>
        <v>62</v>
      </c>
      <c r="AR819" s="5">
        <f>VLOOKUP(F819,'[2]SCP_24-25'!$A:$D,4,0)</f>
        <v>29.02</v>
      </c>
      <c r="AS819" s="5">
        <f t="shared" si="27"/>
        <v>1799.24</v>
      </c>
    </row>
    <row r="820" spans="1:45" x14ac:dyDescent="0.3">
      <c r="A820" s="1">
        <v>45900.962500000001</v>
      </c>
      <c r="B820" t="s">
        <v>1363</v>
      </c>
      <c r="C820" t="s">
        <v>1364</v>
      </c>
      <c r="D820" t="s">
        <v>416</v>
      </c>
      <c r="F820" t="s">
        <v>1665</v>
      </c>
      <c r="G820" t="s">
        <v>417</v>
      </c>
      <c r="H820" t="s">
        <v>66</v>
      </c>
      <c r="I820" t="s">
        <v>43</v>
      </c>
      <c r="J820">
        <v>46.59</v>
      </c>
      <c r="K820">
        <v>19</v>
      </c>
      <c r="L820">
        <v>10</v>
      </c>
      <c r="M820">
        <v>11</v>
      </c>
      <c r="N820">
        <v>168695</v>
      </c>
      <c r="O820">
        <v>0</v>
      </c>
      <c r="P820">
        <v>0</v>
      </c>
      <c r="Q820">
        <v>6</v>
      </c>
      <c r="R820">
        <v>59059</v>
      </c>
      <c r="S820" t="s">
        <v>44</v>
      </c>
      <c r="T820" t="s">
        <v>44</v>
      </c>
      <c r="U820" t="s">
        <v>44</v>
      </c>
      <c r="V820">
        <v>1</v>
      </c>
      <c r="W820" t="s">
        <v>44</v>
      </c>
      <c r="X820" t="s">
        <v>44</v>
      </c>
      <c r="Y820">
        <v>1</v>
      </c>
      <c r="Z820" t="s">
        <v>44</v>
      </c>
      <c r="AA820">
        <v>184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185</v>
      </c>
      <c r="AQ820">
        <f t="shared" si="28"/>
        <v>185</v>
      </c>
      <c r="AR820" s="5">
        <f>VLOOKUP(F820,'[2]SCP_24-25'!$A:$D,4,0)</f>
        <v>34.455294117647057</v>
      </c>
      <c r="AS820" s="5">
        <f t="shared" si="27"/>
        <v>6374.2294117647052</v>
      </c>
    </row>
    <row r="821" spans="1:45" x14ac:dyDescent="0.3">
      <c r="A821" s="1">
        <v>45900.962500000001</v>
      </c>
      <c r="B821" t="s">
        <v>1363</v>
      </c>
      <c r="C821" t="s">
        <v>1364</v>
      </c>
      <c r="D821" t="s">
        <v>423</v>
      </c>
      <c r="F821" t="s">
        <v>1668</v>
      </c>
      <c r="G821" t="s">
        <v>424</v>
      </c>
      <c r="H821" t="s">
        <v>66</v>
      </c>
      <c r="I821" t="s">
        <v>43</v>
      </c>
      <c r="J821">
        <v>123.19</v>
      </c>
      <c r="K821">
        <v>19</v>
      </c>
      <c r="L821">
        <v>10</v>
      </c>
      <c r="M821">
        <v>11</v>
      </c>
      <c r="N821">
        <v>69152</v>
      </c>
      <c r="O821">
        <v>0</v>
      </c>
      <c r="P821">
        <v>0</v>
      </c>
      <c r="Q821">
        <v>46</v>
      </c>
      <c r="R821">
        <v>8225</v>
      </c>
      <c r="S821" t="s">
        <v>44</v>
      </c>
      <c r="T821">
        <v>180</v>
      </c>
      <c r="U821" t="s">
        <v>44</v>
      </c>
      <c r="V821">
        <v>0</v>
      </c>
      <c r="W821" t="s">
        <v>44</v>
      </c>
      <c r="X821" t="s">
        <v>44</v>
      </c>
      <c r="Y821" t="s">
        <v>44</v>
      </c>
      <c r="Z821" t="s">
        <v>44</v>
      </c>
      <c r="AA821">
        <v>122</v>
      </c>
      <c r="AB821">
        <v>0</v>
      </c>
      <c r="AC821">
        <v>0</v>
      </c>
      <c r="AD821">
        <v>0</v>
      </c>
      <c r="AE821">
        <v>19</v>
      </c>
      <c r="AF821">
        <v>11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122</v>
      </c>
      <c r="AQ821">
        <f t="shared" si="28"/>
        <v>122</v>
      </c>
      <c r="AR821" s="5">
        <f>VLOOKUP(F821,'[2]SCP_24-25'!$A:$D,4,0)</f>
        <v>76.260909090909081</v>
      </c>
      <c r="AS821" s="5">
        <f t="shared" si="27"/>
        <v>9303.8309090909079</v>
      </c>
    </row>
    <row r="822" spans="1:45" x14ac:dyDescent="0.3">
      <c r="A822" s="1">
        <v>45900.962500000001</v>
      </c>
      <c r="B822" t="s">
        <v>1363</v>
      </c>
      <c r="C822" t="s">
        <v>1364</v>
      </c>
      <c r="D822" t="s">
        <v>799</v>
      </c>
      <c r="F822" t="s">
        <v>1851</v>
      </c>
      <c r="G822" t="s">
        <v>800</v>
      </c>
      <c r="H822" t="s">
        <v>103</v>
      </c>
      <c r="I822" t="s">
        <v>43</v>
      </c>
      <c r="J822">
        <v>217</v>
      </c>
      <c r="K822">
        <v>19</v>
      </c>
      <c r="L822">
        <v>10</v>
      </c>
      <c r="M822">
        <v>11</v>
      </c>
      <c r="N822">
        <v>40471</v>
      </c>
      <c r="O822">
        <v>13</v>
      </c>
      <c r="P822">
        <v>0</v>
      </c>
      <c r="Q822">
        <v>9</v>
      </c>
      <c r="R822">
        <v>233</v>
      </c>
      <c r="S822" t="s">
        <v>44</v>
      </c>
      <c r="T822">
        <v>1006</v>
      </c>
      <c r="U822" t="s">
        <v>44</v>
      </c>
      <c r="V822">
        <v>0</v>
      </c>
      <c r="W822" t="s">
        <v>44</v>
      </c>
      <c r="X822" t="s">
        <v>44</v>
      </c>
      <c r="Y822" t="s">
        <v>44</v>
      </c>
      <c r="Z822" t="s">
        <v>44</v>
      </c>
      <c r="AA822">
        <v>65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78</v>
      </c>
      <c r="AQ822">
        <f t="shared" ref="AQ822:AQ853" si="29">O822+P822+V822+AA822</f>
        <v>78</v>
      </c>
      <c r="AR822" s="5">
        <f>VLOOKUP(F822,'[2]SCP_24-25'!$A:$D,4,0)</f>
        <v>41.552</v>
      </c>
      <c r="AS822" s="5">
        <f t="shared" si="27"/>
        <v>3241.056</v>
      </c>
    </row>
    <row r="823" spans="1:45" x14ac:dyDescent="0.3">
      <c r="A823" s="1">
        <v>45900.962500000001</v>
      </c>
      <c r="B823" t="s">
        <v>1363</v>
      </c>
      <c r="C823" t="s">
        <v>1364</v>
      </c>
      <c r="D823" t="s">
        <v>442</v>
      </c>
      <c r="F823" t="s">
        <v>1676</v>
      </c>
      <c r="G823" t="s">
        <v>443</v>
      </c>
      <c r="H823" t="s">
        <v>103</v>
      </c>
      <c r="I823" t="s">
        <v>43</v>
      </c>
      <c r="J823">
        <v>236.02</v>
      </c>
      <c r="K823">
        <v>19</v>
      </c>
      <c r="L823">
        <v>10</v>
      </c>
      <c r="M823">
        <v>11</v>
      </c>
      <c r="N823">
        <v>22518</v>
      </c>
      <c r="O823">
        <v>0</v>
      </c>
      <c r="P823">
        <v>0</v>
      </c>
      <c r="Q823" t="s">
        <v>44</v>
      </c>
      <c r="R823">
        <v>457</v>
      </c>
      <c r="S823" t="s">
        <v>44</v>
      </c>
      <c r="T823" t="s">
        <v>44</v>
      </c>
      <c r="U823" t="s">
        <v>44</v>
      </c>
      <c r="V823">
        <v>0</v>
      </c>
      <c r="W823" t="s">
        <v>44</v>
      </c>
      <c r="X823" t="s">
        <v>44</v>
      </c>
      <c r="Y823" t="s">
        <v>44</v>
      </c>
      <c r="Z823" t="s">
        <v>44</v>
      </c>
      <c r="AA823">
        <v>29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29</v>
      </c>
      <c r="AQ823">
        <f t="shared" si="29"/>
        <v>29</v>
      </c>
      <c r="AR823" s="5">
        <f>VLOOKUP(F823,'[2]SCP_24-25'!$A:$D,4,0)</f>
        <v>57.620000000000005</v>
      </c>
      <c r="AS823" s="5">
        <f t="shared" si="27"/>
        <v>1670.98</v>
      </c>
    </row>
    <row r="824" spans="1:45" x14ac:dyDescent="0.3">
      <c r="A824" s="1">
        <v>45900.962500000001</v>
      </c>
      <c r="B824" t="s">
        <v>1363</v>
      </c>
      <c r="C824" t="s">
        <v>1364</v>
      </c>
      <c r="D824" t="s">
        <v>520</v>
      </c>
      <c r="F824" t="s">
        <v>1714</v>
      </c>
      <c r="G824" t="s">
        <v>521</v>
      </c>
      <c r="H824" t="s">
        <v>103</v>
      </c>
      <c r="I824" t="s">
        <v>43</v>
      </c>
      <c r="J824">
        <v>122</v>
      </c>
      <c r="K824">
        <v>19</v>
      </c>
      <c r="L824">
        <v>10</v>
      </c>
      <c r="M824">
        <v>11</v>
      </c>
      <c r="N824">
        <v>16016</v>
      </c>
      <c r="O824">
        <v>0</v>
      </c>
      <c r="P824">
        <v>0</v>
      </c>
      <c r="Q824">
        <v>2</v>
      </c>
      <c r="R824">
        <v>527</v>
      </c>
      <c r="S824" t="s">
        <v>44</v>
      </c>
      <c r="T824">
        <v>288</v>
      </c>
      <c r="U824" t="s">
        <v>44</v>
      </c>
      <c r="V824">
        <v>0</v>
      </c>
      <c r="W824" t="s">
        <v>44</v>
      </c>
      <c r="X824" t="s">
        <v>44</v>
      </c>
      <c r="Y824" t="s">
        <v>44</v>
      </c>
      <c r="Z824" t="s">
        <v>44</v>
      </c>
      <c r="AA824">
        <v>39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39</v>
      </c>
      <c r="AQ824">
        <f t="shared" si="29"/>
        <v>39</v>
      </c>
      <c r="AR824" s="5">
        <f>VLOOKUP(F824,'[2]SCP_24-25'!$A:$D,4,0)</f>
        <v>90.48</v>
      </c>
      <c r="AS824" s="5">
        <f t="shared" si="27"/>
        <v>3528.7200000000003</v>
      </c>
    </row>
    <row r="825" spans="1:45" x14ac:dyDescent="0.3">
      <c r="A825" s="1">
        <v>45900.962500000001</v>
      </c>
      <c r="B825" t="s">
        <v>1363</v>
      </c>
      <c r="C825" t="s">
        <v>1364</v>
      </c>
      <c r="D825" t="s">
        <v>1389</v>
      </c>
      <c r="F825" t="s">
        <v>2141</v>
      </c>
      <c r="G825" t="s">
        <v>1390</v>
      </c>
      <c r="H825" t="s">
        <v>1391</v>
      </c>
      <c r="I825" t="s">
        <v>43</v>
      </c>
      <c r="J825">
        <v>10</v>
      </c>
      <c r="K825">
        <v>19</v>
      </c>
      <c r="L825">
        <v>10</v>
      </c>
      <c r="M825">
        <v>11</v>
      </c>
      <c r="N825">
        <v>318</v>
      </c>
      <c r="O825">
        <v>0</v>
      </c>
      <c r="P825">
        <v>0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>
        <v>74</v>
      </c>
      <c r="W825" t="s">
        <v>44</v>
      </c>
      <c r="X825" t="s">
        <v>44</v>
      </c>
      <c r="Y825">
        <v>74</v>
      </c>
      <c r="Z825" t="s">
        <v>44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74</v>
      </c>
      <c r="AQ825">
        <f t="shared" si="29"/>
        <v>74</v>
      </c>
      <c r="AR825" s="5">
        <f>VLOOKUP(F825,'[1]Cost Sheet'!$C:$D,2,0)</f>
        <v>65</v>
      </c>
      <c r="AS825" s="5">
        <f t="shared" si="27"/>
        <v>4810</v>
      </c>
    </row>
    <row r="826" spans="1:45" x14ac:dyDescent="0.3">
      <c r="A826" s="1">
        <v>45900.962500000001</v>
      </c>
      <c r="B826" t="s">
        <v>1363</v>
      </c>
      <c r="C826" t="s">
        <v>1364</v>
      </c>
      <c r="D826" t="s">
        <v>1392</v>
      </c>
      <c r="F826" t="s">
        <v>2142</v>
      </c>
      <c r="G826" t="s">
        <v>1393</v>
      </c>
      <c r="H826" t="s">
        <v>1391</v>
      </c>
      <c r="I826" t="s">
        <v>43</v>
      </c>
      <c r="J826">
        <v>10</v>
      </c>
      <c r="K826">
        <v>19</v>
      </c>
      <c r="L826">
        <v>10</v>
      </c>
      <c r="M826">
        <v>11</v>
      </c>
      <c r="N826">
        <v>318</v>
      </c>
      <c r="O826">
        <v>0</v>
      </c>
      <c r="P826">
        <v>0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>
        <v>74</v>
      </c>
      <c r="W826" t="s">
        <v>44</v>
      </c>
      <c r="X826" t="s">
        <v>44</v>
      </c>
      <c r="Y826">
        <v>74</v>
      </c>
      <c r="Z826" t="s">
        <v>44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74</v>
      </c>
      <c r="AQ826">
        <f t="shared" si="29"/>
        <v>74</v>
      </c>
      <c r="AR826" s="5">
        <f>VLOOKUP(F826,'[1]Cost Sheet'!$C:$D,2,0)</f>
        <v>86.7</v>
      </c>
      <c r="AS826" s="5">
        <f t="shared" si="27"/>
        <v>6415.8</v>
      </c>
    </row>
    <row r="827" spans="1:45" x14ac:dyDescent="0.3">
      <c r="A827" s="1">
        <v>45900.962500000001</v>
      </c>
      <c r="B827" t="s">
        <v>1363</v>
      </c>
      <c r="C827" t="s">
        <v>1364</v>
      </c>
      <c r="D827" t="s">
        <v>1394</v>
      </c>
      <c r="F827" t="s">
        <v>2143</v>
      </c>
      <c r="G827" t="s">
        <v>1395</v>
      </c>
      <c r="H827" t="s">
        <v>130</v>
      </c>
      <c r="I827" t="s">
        <v>43</v>
      </c>
      <c r="J827">
        <v>10</v>
      </c>
      <c r="K827">
        <v>19</v>
      </c>
      <c r="L827">
        <v>11</v>
      </c>
      <c r="M827">
        <v>10</v>
      </c>
      <c r="N827">
        <v>144</v>
      </c>
      <c r="O827">
        <v>0</v>
      </c>
      <c r="P827">
        <v>0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>
        <v>32</v>
      </c>
      <c r="W827" t="s">
        <v>44</v>
      </c>
      <c r="X827" t="s">
        <v>44</v>
      </c>
      <c r="Y827">
        <v>32</v>
      </c>
      <c r="Z827" t="s">
        <v>44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32</v>
      </c>
      <c r="AQ827">
        <f t="shared" si="29"/>
        <v>32</v>
      </c>
      <c r="AR827" s="5">
        <f>VLOOKUP(F827,'[1]Cost Sheet'!$C:$D,2,0)</f>
        <v>65</v>
      </c>
      <c r="AS827" s="5">
        <f t="shared" si="27"/>
        <v>2080</v>
      </c>
    </row>
    <row r="828" spans="1:45" x14ac:dyDescent="0.3">
      <c r="A828" s="1">
        <v>45900.962500000001</v>
      </c>
      <c r="B828" t="s">
        <v>1363</v>
      </c>
      <c r="C828" t="s">
        <v>1364</v>
      </c>
      <c r="D828" t="s">
        <v>1107</v>
      </c>
      <c r="F828" t="s">
        <v>2003</v>
      </c>
      <c r="G828" t="s">
        <v>1108</v>
      </c>
      <c r="H828" t="s">
        <v>120</v>
      </c>
      <c r="I828" t="s">
        <v>43</v>
      </c>
      <c r="J828">
        <v>200</v>
      </c>
      <c r="K828">
        <v>19</v>
      </c>
      <c r="L828">
        <v>11</v>
      </c>
      <c r="M828">
        <v>10</v>
      </c>
      <c r="N828">
        <v>3638</v>
      </c>
      <c r="O828">
        <v>0</v>
      </c>
      <c r="P828">
        <v>0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>
        <v>0</v>
      </c>
      <c r="W828" t="s">
        <v>44</v>
      </c>
      <c r="X828" t="s">
        <v>44</v>
      </c>
      <c r="Y828" t="s">
        <v>44</v>
      </c>
      <c r="Z828" t="s">
        <v>44</v>
      </c>
      <c r="AA828">
        <v>40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40</v>
      </c>
      <c r="AQ828">
        <f t="shared" si="29"/>
        <v>40</v>
      </c>
      <c r="AR828" s="5">
        <f>VLOOKUP(F828,'[2]SCP_24-25'!$A:$D,4,0)</f>
        <v>50</v>
      </c>
      <c r="AS828" s="5">
        <f t="shared" si="27"/>
        <v>2000</v>
      </c>
    </row>
    <row r="829" spans="1:45" x14ac:dyDescent="0.3">
      <c r="A829" s="1">
        <v>45900.962500000001</v>
      </c>
      <c r="B829" t="s">
        <v>1363</v>
      </c>
      <c r="C829" t="s">
        <v>1364</v>
      </c>
      <c r="D829" t="s">
        <v>1398</v>
      </c>
      <c r="F829" t="s">
        <v>2145</v>
      </c>
      <c r="G829" t="s">
        <v>1399</v>
      </c>
      <c r="H829" t="s">
        <v>120</v>
      </c>
      <c r="I829" t="s">
        <v>43</v>
      </c>
      <c r="J829">
        <v>50</v>
      </c>
      <c r="K829">
        <v>19</v>
      </c>
      <c r="L829">
        <v>10</v>
      </c>
      <c r="M829">
        <v>11</v>
      </c>
      <c r="N829">
        <v>2173</v>
      </c>
      <c r="O829">
        <v>0</v>
      </c>
      <c r="P829">
        <v>0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>
        <v>23</v>
      </c>
      <c r="W829" t="s">
        <v>44</v>
      </c>
      <c r="X829" t="s">
        <v>44</v>
      </c>
      <c r="Y829">
        <v>23</v>
      </c>
      <c r="Z829" t="s">
        <v>44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23</v>
      </c>
      <c r="AQ829">
        <f t="shared" si="29"/>
        <v>23</v>
      </c>
      <c r="AR829" s="5">
        <f>VLOOKUP(F829,'[2]SCP_24-25'!$A:$D,4,0)</f>
        <v>300</v>
      </c>
      <c r="AS829" s="5">
        <f t="shared" si="27"/>
        <v>6900</v>
      </c>
    </row>
    <row r="830" spans="1:45" x14ac:dyDescent="0.3">
      <c r="A830" s="1">
        <v>45900.962500000001</v>
      </c>
      <c r="B830" t="s">
        <v>1363</v>
      </c>
      <c r="C830" t="s">
        <v>1364</v>
      </c>
      <c r="D830" t="s">
        <v>1400</v>
      </c>
      <c r="F830" t="s">
        <v>2146</v>
      </c>
      <c r="G830" t="s">
        <v>1401</v>
      </c>
      <c r="H830" t="s">
        <v>120</v>
      </c>
      <c r="I830" t="s">
        <v>43</v>
      </c>
      <c r="J830">
        <v>250</v>
      </c>
      <c r="K830">
        <v>19</v>
      </c>
      <c r="L830">
        <v>10</v>
      </c>
      <c r="M830">
        <v>11</v>
      </c>
      <c r="N830">
        <v>240</v>
      </c>
      <c r="O830">
        <v>0</v>
      </c>
      <c r="P830">
        <v>0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>
        <v>75</v>
      </c>
      <c r="W830" t="s">
        <v>44</v>
      </c>
      <c r="X830" t="s">
        <v>44</v>
      </c>
      <c r="Y830">
        <v>75</v>
      </c>
      <c r="Z830" t="s">
        <v>44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75</v>
      </c>
      <c r="AQ830">
        <f t="shared" si="29"/>
        <v>75</v>
      </c>
      <c r="AR830" s="5">
        <f>VLOOKUP(F830,'[2]SCP_24-25'!$A:$D,4,0)</f>
        <v>203</v>
      </c>
      <c r="AS830" s="5">
        <f t="shared" si="27"/>
        <v>15225</v>
      </c>
    </row>
    <row r="831" spans="1:45" x14ac:dyDescent="0.3">
      <c r="A831" s="1">
        <v>45900.962500000001</v>
      </c>
      <c r="B831" t="s">
        <v>1363</v>
      </c>
      <c r="C831" t="s">
        <v>1364</v>
      </c>
      <c r="D831" t="s">
        <v>1402</v>
      </c>
      <c r="F831" t="s">
        <v>2147</v>
      </c>
      <c r="G831" t="s">
        <v>1403</v>
      </c>
      <c r="H831" t="s">
        <v>120</v>
      </c>
      <c r="I831" t="s">
        <v>43</v>
      </c>
      <c r="J831">
        <v>250</v>
      </c>
      <c r="K831">
        <v>19</v>
      </c>
      <c r="L831">
        <v>10</v>
      </c>
      <c r="M831">
        <v>11</v>
      </c>
      <c r="N831">
        <v>294</v>
      </c>
      <c r="O831">
        <v>0</v>
      </c>
      <c r="P831">
        <v>0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>
        <v>89</v>
      </c>
      <c r="W831" t="s">
        <v>44</v>
      </c>
      <c r="X831" t="s">
        <v>44</v>
      </c>
      <c r="Y831">
        <v>89</v>
      </c>
      <c r="Z831" t="s">
        <v>44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89</v>
      </c>
      <c r="AQ831">
        <f t="shared" si="29"/>
        <v>89</v>
      </c>
      <c r="AR831" s="5">
        <f>VLOOKUP(F831,'[2]SCP_24-25'!$A:$D,4,0)</f>
        <v>203</v>
      </c>
      <c r="AS831" s="5">
        <f t="shared" si="27"/>
        <v>18067</v>
      </c>
    </row>
    <row r="832" spans="1:45" x14ac:dyDescent="0.3">
      <c r="A832" s="1">
        <v>45900.962500000001</v>
      </c>
      <c r="B832" t="s">
        <v>1363</v>
      </c>
      <c r="C832" t="s">
        <v>1364</v>
      </c>
      <c r="D832" t="s">
        <v>1404</v>
      </c>
      <c r="F832" t="s">
        <v>2148</v>
      </c>
      <c r="G832" t="s">
        <v>1405</v>
      </c>
      <c r="H832" t="s">
        <v>120</v>
      </c>
      <c r="I832" t="s">
        <v>43</v>
      </c>
      <c r="J832">
        <v>250</v>
      </c>
      <c r="K832">
        <v>19</v>
      </c>
      <c r="L832">
        <v>10</v>
      </c>
      <c r="M832">
        <v>11</v>
      </c>
      <c r="N832">
        <v>309</v>
      </c>
      <c r="O832">
        <v>0</v>
      </c>
      <c r="P832">
        <v>0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>
        <v>71</v>
      </c>
      <c r="W832" t="s">
        <v>44</v>
      </c>
      <c r="X832" t="s">
        <v>44</v>
      </c>
      <c r="Y832">
        <v>71</v>
      </c>
      <c r="Z832" t="s">
        <v>44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71</v>
      </c>
      <c r="AQ832">
        <f t="shared" si="29"/>
        <v>71</v>
      </c>
      <c r="AR832" s="5">
        <f>VLOOKUP(F832,'[2]SCP_24-25'!$A:$D,4,0)</f>
        <v>203</v>
      </c>
      <c r="AS832" s="5">
        <f t="shared" si="27"/>
        <v>14413</v>
      </c>
    </row>
    <row r="833" spans="1:45" x14ac:dyDescent="0.3">
      <c r="A833" s="1">
        <v>45900.962500000001</v>
      </c>
      <c r="B833" t="s">
        <v>1363</v>
      </c>
      <c r="C833" t="s">
        <v>1364</v>
      </c>
      <c r="D833" t="s">
        <v>1406</v>
      </c>
      <c r="F833" t="s">
        <v>2149</v>
      </c>
      <c r="G833" t="s">
        <v>1407</v>
      </c>
      <c r="H833" t="s">
        <v>120</v>
      </c>
      <c r="I833" t="s">
        <v>43</v>
      </c>
      <c r="J833">
        <v>250</v>
      </c>
      <c r="K833">
        <v>19</v>
      </c>
      <c r="L833">
        <v>10</v>
      </c>
      <c r="M833">
        <v>11</v>
      </c>
      <c r="N833">
        <v>219</v>
      </c>
      <c r="O833">
        <v>0</v>
      </c>
      <c r="P833">
        <v>0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>
        <v>42</v>
      </c>
      <c r="W833">
        <v>17</v>
      </c>
      <c r="X833" t="s">
        <v>44</v>
      </c>
      <c r="Y833">
        <v>42</v>
      </c>
      <c r="Z833" t="s">
        <v>44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42</v>
      </c>
      <c r="AQ833">
        <f t="shared" si="29"/>
        <v>42</v>
      </c>
      <c r="AR833" s="5">
        <f>VLOOKUP(F833,'[2]SCP_24-25'!$A:$D,4,0)</f>
        <v>203</v>
      </c>
      <c r="AS833" s="5">
        <f t="shared" si="27"/>
        <v>8526</v>
      </c>
    </row>
    <row r="834" spans="1:45" x14ac:dyDescent="0.3">
      <c r="A834" s="1">
        <v>45900.962500000001</v>
      </c>
      <c r="B834" t="s">
        <v>1363</v>
      </c>
      <c r="C834" t="s">
        <v>1364</v>
      </c>
      <c r="D834" t="s">
        <v>1408</v>
      </c>
      <c r="F834" t="s">
        <v>2150</v>
      </c>
      <c r="G834" t="s">
        <v>1409</v>
      </c>
      <c r="H834" t="s">
        <v>120</v>
      </c>
      <c r="I834" t="s">
        <v>43</v>
      </c>
      <c r="J834">
        <v>250</v>
      </c>
      <c r="K834">
        <v>19</v>
      </c>
      <c r="L834">
        <v>10</v>
      </c>
      <c r="M834">
        <v>11</v>
      </c>
      <c r="N834">
        <v>124</v>
      </c>
      <c r="O834">
        <v>1</v>
      </c>
      <c r="P834">
        <v>0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>
        <v>21</v>
      </c>
      <c r="W834" t="s">
        <v>44</v>
      </c>
      <c r="X834" t="s">
        <v>44</v>
      </c>
      <c r="Y834">
        <v>21</v>
      </c>
      <c r="Z834" t="s">
        <v>44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22</v>
      </c>
      <c r="AQ834">
        <f t="shared" si="29"/>
        <v>22</v>
      </c>
      <c r="AR834" s="5">
        <f>VLOOKUP(F834,'[2]SCP_24-25'!$A:$D,4,0)</f>
        <v>203</v>
      </c>
      <c r="AS834" s="5">
        <f t="shared" si="27"/>
        <v>4466</v>
      </c>
    </row>
    <row r="835" spans="1:45" x14ac:dyDescent="0.3">
      <c r="A835" s="1">
        <v>45900.962500000001</v>
      </c>
      <c r="B835" t="s">
        <v>1363</v>
      </c>
      <c r="C835" t="s">
        <v>1364</v>
      </c>
      <c r="D835" t="s">
        <v>1410</v>
      </c>
      <c r="F835" t="s">
        <v>2151</v>
      </c>
      <c r="G835" t="s">
        <v>1411</v>
      </c>
      <c r="H835" t="s">
        <v>120</v>
      </c>
      <c r="I835" t="s">
        <v>43</v>
      </c>
      <c r="J835">
        <v>250</v>
      </c>
      <c r="K835">
        <v>19</v>
      </c>
      <c r="L835">
        <v>10</v>
      </c>
      <c r="M835">
        <v>11</v>
      </c>
      <c r="N835">
        <v>224</v>
      </c>
      <c r="O835">
        <v>0</v>
      </c>
      <c r="P835">
        <v>0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>
        <v>69</v>
      </c>
      <c r="W835" t="s">
        <v>44</v>
      </c>
      <c r="X835" t="s">
        <v>44</v>
      </c>
      <c r="Y835">
        <v>69</v>
      </c>
      <c r="Z835" t="s">
        <v>44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69</v>
      </c>
      <c r="AQ835">
        <f t="shared" si="29"/>
        <v>69</v>
      </c>
      <c r="AR835" s="5">
        <f>VLOOKUP(F835,'[2]SCP_24-25'!$A:$D,4,0)</f>
        <v>234</v>
      </c>
      <c r="AS835" s="5">
        <f t="shared" ref="AS835:AS898" si="30">AQ835*AR835</f>
        <v>16146</v>
      </c>
    </row>
    <row r="836" spans="1:45" x14ac:dyDescent="0.3">
      <c r="A836" s="1">
        <v>45900.962500000001</v>
      </c>
      <c r="B836" t="s">
        <v>1363</v>
      </c>
      <c r="C836" t="s">
        <v>1364</v>
      </c>
      <c r="D836" t="s">
        <v>1412</v>
      </c>
      <c r="F836" t="s">
        <v>2152</v>
      </c>
      <c r="G836" t="s">
        <v>1413</v>
      </c>
      <c r="H836" t="s">
        <v>120</v>
      </c>
      <c r="I836" t="s">
        <v>43</v>
      </c>
      <c r="J836">
        <v>250</v>
      </c>
      <c r="K836">
        <v>19</v>
      </c>
      <c r="L836">
        <v>10</v>
      </c>
      <c r="M836">
        <v>11</v>
      </c>
      <c r="N836">
        <v>262</v>
      </c>
      <c r="O836">
        <v>0</v>
      </c>
      <c r="P836">
        <v>0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>
        <v>80</v>
      </c>
      <c r="W836" t="s">
        <v>44</v>
      </c>
      <c r="X836" t="s">
        <v>44</v>
      </c>
      <c r="Y836">
        <v>80</v>
      </c>
      <c r="Z836" t="s">
        <v>44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80</v>
      </c>
      <c r="AQ836">
        <f t="shared" si="29"/>
        <v>80</v>
      </c>
      <c r="AR836" s="5">
        <f>VLOOKUP(F836,'[2]SCP_24-25'!$A:$D,4,0)</f>
        <v>234</v>
      </c>
      <c r="AS836" s="5">
        <f t="shared" si="30"/>
        <v>18720</v>
      </c>
    </row>
    <row r="837" spans="1:45" x14ac:dyDescent="0.3">
      <c r="A837" s="1">
        <v>45900.962500000001</v>
      </c>
      <c r="B837" t="s">
        <v>1363</v>
      </c>
      <c r="C837" t="s">
        <v>1364</v>
      </c>
      <c r="D837" t="s">
        <v>1414</v>
      </c>
      <c r="F837" t="s">
        <v>2153</v>
      </c>
      <c r="G837" t="s">
        <v>1415</v>
      </c>
      <c r="H837" t="s">
        <v>120</v>
      </c>
      <c r="I837" t="s">
        <v>43</v>
      </c>
      <c r="J837">
        <v>250</v>
      </c>
      <c r="K837">
        <v>19</v>
      </c>
      <c r="L837">
        <v>10</v>
      </c>
      <c r="M837">
        <v>11</v>
      </c>
      <c r="N837">
        <v>295</v>
      </c>
      <c r="O837">
        <v>0</v>
      </c>
      <c r="P837">
        <v>0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>
        <v>75</v>
      </c>
      <c r="W837">
        <v>7</v>
      </c>
      <c r="X837" t="s">
        <v>44</v>
      </c>
      <c r="Y837">
        <v>75</v>
      </c>
      <c r="Z837" t="s">
        <v>44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75</v>
      </c>
      <c r="AQ837">
        <f t="shared" si="29"/>
        <v>75</v>
      </c>
      <c r="AR837" s="5">
        <f>VLOOKUP(F837,'[2]SCP_24-25'!$A:$D,4,0)</f>
        <v>234</v>
      </c>
      <c r="AS837" s="5">
        <f t="shared" si="30"/>
        <v>17550</v>
      </c>
    </row>
    <row r="838" spans="1:45" x14ac:dyDescent="0.3">
      <c r="A838" s="1">
        <v>45900.962500000001</v>
      </c>
      <c r="B838" t="s">
        <v>1363</v>
      </c>
      <c r="C838" t="s">
        <v>1364</v>
      </c>
      <c r="D838" t="s">
        <v>1416</v>
      </c>
      <c r="F838" t="s">
        <v>2154</v>
      </c>
      <c r="G838" t="s">
        <v>1417</v>
      </c>
      <c r="H838" t="s">
        <v>120</v>
      </c>
      <c r="I838" t="s">
        <v>43</v>
      </c>
      <c r="J838">
        <v>250</v>
      </c>
      <c r="K838">
        <v>19</v>
      </c>
      <c r="L838">
        <v>10</v>
      </c>
      <c r="M838">
        <v>11</v>
      </c>
      <c r="N838">
        <v>207</v>
      </c>
      <c r="O838">
        <v>0</v>
      </c>
      <c r="P838">
        <v>0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>
        <v>59</v>
      </c>
      <c r="W838" t="s">
        <v>44</v>
      </c>
      <c r="X838" t="s">
        <v>44</v>
      </c>
      <c r="Y838">
        <v>59</v>
      </c>
      <c r="Z838" t="s">
        <v>44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59</v>
      </c>
      <c r="AQ838">
        <f t="shared" si="29"/>
        <v>59</v>
      </c>
      <c r="AR838" s="5">
        <f>VLOOKUP(F838,'[2]SCP_24-25'!$A:$D,4,0)</f>
        <v>234</v>
      </c>
      <c r="AS838" s="5">
        <f t="shared" si="30"/>
        <v>13806</v>
      </c>
    </row>
    <row r="839" spans="1:45" x14ac:dyDescent="0.3">
      <c r="A839" s="1">
        <v>45900.962500000001</v>
      </c>
      <c r="B839" t="s">
        <v>1363</v>
      </c>
      <c r="C839" t="s">
        <v>1364</v>
      </c>
      <c r="D839" t="s">
        <v>1418</v>
      </c>
      <c r="F839" t="s">
        <v>2155</v>
      </c>
      <c r="G839" t="s">
        <v>1419</v>
      </c>
      <c r="H839" t="s">
        <v>120</v>
      </c>
      <c r="I839" t="s">
        <v>43</v>
      </c>
      <c r="J839">
        <v>250</v>
      </c>
      <c r="K839">
        <v>19</v>
      </c>
      <c r="L839">
        <v>10</v>
      </c>
      <c r="M839">
        <v>11</v>
      </c>
      <c r="N839">
        <v>111</v>
      </c>
      <c r="O839">
        <v>0</v>
      </c>
      <c r="P839">
        <v>0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>
        <v>24</v>
      </c>
      <c r="W839" t="s">
        <v>44</v>
      </c>
      <c r="X839" t="s">
        <v>44</v>
      </c>
      <c r="Y839">
        <v>24</v>
      </c>
      <c r="Z839" t="s">
        <v>44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24</v>
      </c>
      <c r="AQ839">
        <f t="shared" si="29"/>
        <v>24</v>
      </c>
      <c r="AR839" s="5">
        <f>VLOOKUP(F839,'[2]SCP_24-25'!$A:$D,4,0)</f>
        <v>234</v>
      </c>
      <c r="AS839" s="5">
        <f t="shared" si="30"/>
        <v>5616</v>
      </c>
    </row>
    <row r="840" spans="1:45" x14ac:dyDescent="0.3">
      <c r="A840" s="1">
        <v>45900.962500000001</v>
      </c>
      <c r="B840" t="s">
        <v>1363</v>
      </c>
      <c r="C840" t="s">
        <v>1364</v>
      </c>
      <c r="D840" t="s">
        <v>1420</v>
      </c>
      <c r="F840" t="s">
        <v>2156</v>
      </c>
      <c r="G840" t="s">
        <v>1421</v>
      </c>
      <c r="H840" t="s">
        <v>120</v>
      </c>
      <c r="I840" t="s">
        <v>43</v>
      </c>
      <c r="J840">
        <v>250</v>
      </c>
      <c r="K840">
        <v>19</v>
      </c>
      <c r="L840">
        <v>10</v>
      </c>
      <c r="M840">
        <v>11</v>
      </c>
      <c r="N840">
        <v>196</v>
      </c>
      <c r="O840">
        <v>0</v>
      </c>
      <c r="P840">
        <v>0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>
        <v>52</v>
      </c>
      <c r="W840" t="s">
        <v>44</v>
      </c>
      <c r="X840" t="s">
        <v>44</v>
      </c>
      <c r="Y840">
        <v>52</v>
      </c>
      <c r="Z840" t="s">
        <v>44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53</v>
      </c>
      <c r="AQ840">
        <f t="shared" si="29"/>
        <v>53</v>
      </c>
      <c r="AR840" s="5">
        <f>VLOOKUP(F840,'[2]SCP_24-25'!$A:$D,4,0)</f>
        <v>234</v>
      </c>
      <c r="AS840" s="5">
        <f t="shared" si="30"/>
        <v>12402</v>
      </c>
    </row>
    <row r="841" spans="1:45" x14ac:dyDescent="0.3">
      <c r="A841" s="1">
        <v>45900.962500000001</v>
      </c>
      <c r="B841" t="s">
        <v>1363</v>
      </c>
      <c r="C841" t="s">
        <v>1364</v>
      </c>
      <c r="D841" t="s">
        <v>1422</v>
      </c>
      <c r="F841" t="s">
        <v>2157</v>
      </c>
      <c r="G841" t="s">
        <v>1423</v>
      </c>
      <c r="H841" t="s">
        <v>120</v>
      </c>
      <c r="I841" t="s">
        <v>43</v>
      </c>
      <c r="J841">
        <v>250</v>
      </c>
      <c r="K841">
        <v>19</v>
      </c>
      <c r="L841">
        <v>10</v>
      </c>
      <c r="M841">
        <v>11</v>
      </c>
      <c r="N841">
        <v>306</v>
      </c>
      <c r="O841">
        <v>0</v>
      </c>
      <c r="P841">
        <v>0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>
        <v>72</v>
      </c>
      <c r="W841" t="s">
        <v>44</v>
      </c>
      <c r="X841" t="s">
        <v>44</v>
      </c>
      <c r="Y841">
        <v>72</v>
      </c>
      <c r="Z841" t="s">
        <v>44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72</v>
      </c>
      <c r="AQ841">
        <f t="shared" si="29"/>
        <v>72</v>
      </c>
      <c r="AR841" s="5">
        <f>VLOOKUP(F841,'[2]SCP_24-25'!$A:$D,4,0)</f>
        <v>234</v>
      </c>
      <c r="AS841" s="5">
        <f t="shared" si="30"/>
        <v>16848</v>
      </c>
    </row>
    <row r="842" spans="1:45" x14ac:dyDescent="0.3">
      <c r="A842" s="1">
        <v>45900.962500000001</v>
      </c>
      <c r="B842" t="s">
        <v>1363</v>
      </c>
      <c r="C842" t="s">
        <v>1364</v>
      </c>
      <c r="D842" t="s">
        <v>1424</v>
      </c>
      <c r="F842" t="s">
        <v>2158</v>
      </c>
      <c r="G842" t="s">
        <v>1425</v>
      </c>
      <c r="H842" t="s">
        <v>120</v>
      </c>
      <c r="I842" t="s">
        <v>43</v>
      </c>
      <c r="J842">
        <v>250</v>
      </c>
      <c r="K842">
        <v>19</v>
      </c>
      <c r="L842">
        <v>10</v>
      </c>
      <c r="M842">
        <v>11</v>
      </c>
      <c r="N842">
        <v>195</v>
      </c>
      <c r="O842">
        <v>0</v>
      </c>
      <c r="P842">
        <v>0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>
        <v>45</v>
      </c>
      <c r="W842">
        <v>3</v>
      </c>
      <c r="X842" t="s">
        <v>44</v>
      </c>
      <c r="Y842">
        <v>45</v>
      </c>
      <c r="Z842" t="s">
        <v>44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45</v>
      </c>
      <c r="AQ842">
        <f t="shared" si="29"/>
        <v>45</v>
      </c>
      <c r="AR842" s="5">
        <f>VLOOKUP(F842,'[2]SCP_24-25'!$A:$D,4,0)</f>
        <v>234</v>
      </c>
      <c r="AS842" s="5">
        <f t="shared" si="30"/>
        <v>10530</v>
      </c>
    </row>
    <row r="843" spans="1:45" x14ac:dyDescent="0.3">
      <c r="A843" s="1">
        <v>45900.962500000001</v>
      </c>
      <c r="B843" t="s">
        <v>1363</v>
      </c>
      <c r="C843" t="s">
        <v>1364</v>
      </c>
      <c r="D843" t="s">
        <v>1426</v>
      </c>
      <c r="F843" t="s">
        <v>2159</v>
      </c>
      <c r="G843" t="s">
        <v>1427</v>
      </c>
      <c r="H843" t="s">
        <v>120</v>
      </c>
      <c r="I843" t="s">
        <v>43</v>
      </c>
      <c r="J843">
        <v>250</v>
      </c>
      <c r="K843">
        <v>19</v>
      </c>
      <c r="L843">
        <v>10</v>
      </c>
      <c r="M843">
        <v>11</v>
      </c>
      <c r="N843">
        <v>103</v>
      </c>
      <c r="O843">
        <v>0</v>
      </c>
      <c r="P843">
        <v>0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>
        <v>20</v>
      </c>
      <c r="W843" t="s">
        <v>44</v>
      </c>
      <c r="X843" t="s">
        <v>44</v>
      </c>
      <c r="Y843">
        <v>20</v>
      </c>
      <c r="Z843" t="s">
        <v>44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20</v>
      </c>
      <c r="AQ843">
        <f t="shared" si="29"/>
        <v>20</v>
      </c>
      <c r="AR843" s="5">
        <f>VLOOKUP(F843,'[2]SCP_24-25'!$A:$D,4,0)</f>
        <v>234</v>
      </c>
      <c r="AS843" s="5">
        <f t="shared" si="30"/>
        <v>4680</v>
      </c>
    </row>
    <row r="844" spans="1:45" x14ac:dyDescent="0.3">
      <c r="A844" s="1">
        <v>45900.962500000001</v>
      </c>
      <c r="B844" t="s">
        <v>1363</v>
      </c>
      <c r="C844" t="s">
        <v>1364</v>
      </c>
      <c r="D844" t="s">
        <v>524</v>
      </c>
      <c r="E844" t="s">
        <v>445</v>
      </c>
      <c r="F844" t="s">
        <v>1716</v>
      </c>
      <c r="G844" t="s">
        <v>525</v>
      </c>
      <c r="H844" t="s">
        <v>130</v>
      </c>
      <c r="I844" t="s">
        <v>43</v>
      </c>
      <c r="J844">
        <v>60.02</v>
      </c>
      <c r="K844">
        <v>19</v>
      </c>
      <c r="L844">
        <v>10</v>
      </c>
      <c r="M844">
        <v>11</v>
      </c>
      <c r="N844">
        <v>6440</v>
      </c>
      <c r="O844">
        <v>0</v>
      </c>
      <c r="P844">
        <v>0</v>
      </c>
      <c r="Q844" t="s">
        <v>44</v>
      </c>
      <c r="R844">
        <v>428</v>
      </c>
      <c r="S844" t="s">
        <v>44</v>
      </c>
      <c r="T844">
        <v>5</v>
      </c>
      <c r="U844" t="s">
        <v>44</v>
      </c>
      <c r="V844">
        <v>0</v>
      </c>
      <c r="W844" t="s">
        <v>44</v>
      </c>
      <c r="X844" t="s">
        <v>44</v>
      </c>
      <c r="Y844" t="s">
        <v>44</v>
      </c>
      <c r="Z844" t="s">
        <v>44</v>
      </c>
      <c r="AA844">
        <v>9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9</v>
      </c>
      <c r="AQ844">
        <f t="shared" si="29"/>
        <v>9</v>
      </c>
      <c r="AR844" s="5">
        <f>VLOOKUP(F844,'[2]SCP_24-25'!$A:$D,4,0)</f>
        <v>86.7</v>
      </c>
      <c r="AS844" s="5">
        <f t="shared" si="30"/>
        <v>780.30000000000007</v>
      </c>
    </row>
    <row r="845" spans="1:45" x14ac:dyDescent="0.3">
      <c r="A845" s="1">
        <v>45900.962500000001</v>
      </c>
      <c r="B845" t="s">
        <v>1363</v>
      </c>
      <c r="C845" t="s">
        <v>1364</v>
      </c>
      <c r="D845" t="s">
        <v>532</v>
      </c>
      <c r="F845" t="s">
        <v>1720</v>
      </c>
      <c r="G845" t="s">
        <v>533</v>
      </c>
      <c r="H845" t="s">
        <v>130</v>
      </c>
      <c r="I845" t="s">
        <v>43</v>
      </c>
      <c r="J845">
        <v>38.020000000000003</v>
      </c>
      <c r="K845">
        <v>19</v>
      </c>
      <c r="L845">
        <v>10</v>
      </c>
      <c r="M845">
        <v>11</v>
      </c>
      <c r="N845">
        <v>6366</v>
      </c>
      <c r="O845">
        <v>3</v>
      </c>
      <c r="P845">
        <v>0</v>
      </c>
      <c r="Q845">
        <v>1</v>
      </c>
      <c r="R845">
        <v>1523</v>
      </c>
      <c r="S845" t="s">
        <v>44</v>
      </c>
      <c r="T845">
        <v>48</v>
      </c>
      <c r="U845" t="s">
        <v>44</v>
      </c>
      <c r="V845">
        <v>23</v>
      </c>
      <c r="W845" t="s">
        <v>44</v>
      </c>
      <c r="X845" t="s">
        <v>44</v>
      </c>
      <c r="Y845">
        <v>23</v>
      </c>
      <c r="Z845" t="s">
        <v>44</v>
      </c>
      <c r="AA845">
        <v>4</v>
      </c>
      <c r="AB845">
        <v>0</v>
      </c>
      <c r="AC845">
        <v>0</v>
      </c>
      <c r="AD845">
        <v>0</v>
      </c>
      <c r="AE845">
        <v>0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30</v>
      </c>
      <c r="AQ845">
        <f t="shared" si="29"/>
        <v>30</v>
      </c>
      <c r="AR845" s="5">
        <f>VLOOKUP(F845,'[2]SCP_24-25'!$A:$D,4,0)</f>
        <v>73.05</v>
      </c>
      <c r="AS845" s="5">
        <f t="shared" si="30"/>
        <v>2191.5</v>
      </c>
    </row>
    <row r="846" spans="1:45" x14ac:dyDescent="0.3">
      <c r="A846" s="1">
        <v>45900.962500000001</v>
      </c>
      <c r="B846" t="s">
        <v>1363</v>
      </c>
      <c r="C846" t="s">
        <v>1364</v>
      </c>
      <c r="D846" t="s">
        <v>1113</v>
      </c>
      <c r="F846" t="s">
        <v>2006</v>
      </c>
      <c r="G846" t="s">
        <v>1114</v>
      </c>
      <c r="H846" t="s">
        <v>130</v>
      </c>
      <c r="I846" t="s">
        <v>43</v>
      </c>
      <c r="J846">
        <v>40.020000000000003</v>
      </c>
      <c r="K846">
        <v>19</v>
      </c>
      <c r="L846">
        <v>10</v>
      </c>
      <c r="M846">
        <v>11</v>
      </c>
      <c r="N846">
        <v>16537</v>
      </c>
      <c r="O846">
        <v>113</v>
      </c>
      <c r="P846">
        <v>0</v>
      </c>
      <c r="Q846">
        <v>2</v>
      </c>
      <c r="R846">
        <v>3175</v>
      </c>
      <c r="S846" t="s">
        <v>44</v>
      </c>
      <c r="T846" t="s">
        <v>44</v>
      </c>
      <c r="U846" t="s">
        <v>44</v>
      </c>
      <c r="V846">
        <v>27</v>
      </c>
      <c r="W846" t="s">
        <v>44</v>
      </c>
      <c r="X846" t="s">
        <v>44</v>
      </c>
      <c r="Y846">
        <v>27</v>
      </c>
      <c r="Z846" t="s">
        <v>44</v>
      </c>
      <c r="AA846">
        <v>72</v>
      </c>
      <c r="AB846">
        <v>0</v>
      </c>
      <c r="AC846">
        <v>0</v>
      </c>
      <c r="AD846">
        <v>0</v>
      </c>
      <c r="AE846">
        <v>0</v>
      </c>
      <c r="AF846">
        <v>3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212</v>
      </c>
      <c r="AQ846">
        <f t="shared" si="29"/>
        <v>212</v>
      </c>
      <c r="AR846" s="5">
        <f>VLOOKUP(F846,'[2]SCP_24-25'!$A:$D,4,0)</f>
        <v>98.3</v>
      </c>
      <c r="AS846" s="5">
        <f t="shared" si="30"/>
        <v>20839.599999999999</v>
      </c>
    </row>
    <row r="847" spans="1:45" x14ac:dyDescent="0.3">
      <c r="A847" s="1">
        <v>45900.962500000001</v>
      </c>
      <c r="B847" t="s">
        <v>1363</v>
      </c>
      <c r="C847" t="s">
        <v>1364</v>
      </c>
      <c r="D847" t="s">
        <v>572</v>
      </c>
      <c r="F847" t="s">
        <v>1740</v>
      </c>
      <c r="G847" t="s">
        <v>573</v>
      </c>
      <c r="H847" t="s">
        <v>130</v>
      </c>
      <c r="I847" t="s">
        <v>43</v>
      </c>
      <c r="J847">
        <v>40.020000000000003</v>
      </c>
      <c r="K847">
        <v>19</v>
      </c>
      <c r="L847">
        <v>10</v>
      </c>
      <c r="M847">
        <v>11</v>
      </c>
      <c r="N847">
        <v>8808</v>
      </c>
      <c r="O847">
        <v>0</v>
      </c>
      <c r="P847">
        <v>0</v>
      </c>
      <c r="Q847" t="s">
        <v>44</v>
      </c>
      <c r="R847">
        <v>1084</v>
      </c>
      <c r="S847" t="s">
        <v>44</v>
      </c>
      <c r="T847">
        <v>94</v>
      </c>
      <c r="U847" t="s">
        <v>44</v>
      </c>
      <c r="V847">
        <v>0</v>
      </c>
      <c r="W847">
        <v>30</v>
      </c>
      <c r="X847" t="s">
        <v>44</v>
      </c>
      <c r="Y847" t="s">
        <v>44</v>
      </c>
      <c r="Z847" t="s">
        <v>44</v>
      </c>
      <c r="AA847">
        <v>21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21</v>
      </c>
      <c r="AQ847">
        <f t="shared" si="29"/>
        <v>21</v>
      </c>
      <c r="AR847" s="5">
        <f>VLOOKUP(F847,'[2]SCP_24-25'!$A:$D,4,0)</f>
        <v>98.3</v>
      </c>
      <c r="AS847" s="5">
        <f t="shared" si="30"/>
        <v>2064.2999999999997</v>
      </c>
    </row>
    <row r="848" spans="1:45" x14ac:dyDescent="0.3">
      <c r="A848" s="1">
        <v>45900.962500000001</v>
      </c>
      <c r="B848" t="s">
        <v>1363</v>
      </c>
      <c r="C848" t="s">
        <v>1364</v>
      </c>
      <c r="D848" t="s">
        <v>574</v>
      </c>
      <c r="F848" t="s">
        <v>1741</v>
      </c>
      <c r="G848" t="s">
        <v>575</v>
      </c>
      <c r="H848" t="s">
        <v>130</v>
      </c>
      <c r="I848" t="s">
        <v>43</v>
      </c>
      <c r="J848">
        <v>40.020000000000003</v>
      </c>
      <c r="K848">
        <v>19</v>
      </c>
      <c r="L848">
        <v>10</v>
      </c>
      <c r="M848">
        <v>11</v>
      </c>
      <c r="N848">
        <v>15130</v>
      </c>
      <c r="O848">
        <v>1</v>
      </c>
      <c r="P848">
        <v>0</v>
      </c>
      <c r="Q848">
        <v>1</v>
      </c>
      <c r="R848">
        <v>2702</v>
      </c>
      <c r="S848" t="s">
        <v>44</v>
      </c>
      <c r="T848">
        <v>300</v>
      </c>
      <c r="U848" t="s">
        <v>44</v>
      </c>
      <c r="V848">
        <v>0</v>
      </c>
      <c r="W848">
        <v>96</v>
      </c>
      <c r="X848" t="s">
        <v>44</v>
      </c>
      <c r="Y848" t="s">
        <v>44</v>
      </c>
      <c r="Z848" t="s">
        <v>44</v>
      </c>
      <c r="AA848">
        <v>22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23</v>
      </c>
      <c r="AQ848">
        <f t="shared" si="29"/>
        <v>23</v>
      </c>
      <c r="AR848" s="5">
        <f>VLOOKUP(F848,'[2]SCP_24-25'!$A:$D,4,0)</f>
        <v>98.3</v>
      </c>
      <c r="AS848" s="5">
        <f t="shared" si="30"/>
        <v>2260.9</v>
      </c>
    </row>
    <row r="849" spans="1:45" x14ac:dyDescent="0.3">
      <c r="A849" s="1">
        <v>45900.962500000001</v>
      </c>
      <c r="B849" t="s">
        <v>1363</v>
      </c>
      <c r="C849" t="s">
        <v>1364</v>
      </c>
      <c r="D849" t="s">
        <v>534</v>
      </c>
      <c r="F849" t="s">
        <v>1721</v>
      </c>
      <c r="G849" t="s">
        <v>535</v>
      </c>
      <c r="H849" t="s">
        <v>130</v>
      </c>
      <c r="I849" t="s">
        <v>43</v>
      </c>
      <c r="J849">
        <v>40.020000000000003</v>
      </c>
      <c r="K849">
        <v>19</v>
      </c>
      <c r="L849">
        <v>10</v>
      </c>
      <c r="M849">
        <v>11</v>
      </c>
      <c r="N849">
        <v>11829</v>
      </c>
      <c r="O849">
        <v>7</v>
      </c>
      <c r="P849">
        <v>0</v>
      </c>
      <c r="Q849">
        <v>3</v>
      </c>
      <c r="R849">
        <v>2106</v>
      </c>
      <c r="S849" t="s">
        <v>44</v>
      </c>
      <c r="T849">
        <v>204</v>
      </c>
      <c r="U849" t="s">
        <v>44</v>
      </c>
      <c r="V849">
        <v>0</v>
      </c>
      <c r="W849" t="s">
        <v>44</v>
      </c>
      <c r="X849" t="s">
        <v>44</v>
      </c>
      <c r="Y849" t="s">
        <v>44</v>
      </c>
      <c r="Z849" t="s">
        <v>44</v>
      </c>
      <c r="AA849">
        <v>21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28</v>
      </c>
      <c r="AQ849">
        <f t="shared" si="29"/>
        <v>28</v>
      </c>
      <c r="AR849" s="5">
        <f>VLOOKUP(F849,'[2]SCP_24-25'!$A:$D,4,0)</f>
        <v>98.3</v>
      </c>
      <c r="AS849" s="5">
        <f t="shared" si="30"/>
        <v>2752.4</v>
      </c>
    </row>
    <row r="850" spans="1:45" x14ac:dyDescent="0.3">
      <c r="A850" s="1">
        <v>45900.962500000001</v>
      </c>
      <c r="B850" t="s">
        <v>1363</v>
      </c>
      <c r="C850" t="s">
        <v>1364</v>
      </c>
      <c r="D850" t="s">
        <v>536</v>
      </c>
      <c r="F850" t="s">
        <v>1722</v>
      </c>
      <c r="G850" t="s">
        <v>537</v>
      </c>
      <c r="H850" t="s">
        <v>130</v>
      </c>
      <c r="I850" t="s">
        <v>43</v>
      </c>
      <c r="J850">
        <v>40.020000000000003</v>
      </c>
      <c r="K850">
        <v>19</v>
      </c>
      <c r="L850">
        <v>10</v>
      </c>
      <c r="M850">
        <v>11</v>
      </c>
      <c r="N850">
        <v>8438</v>
      </c>
      <c r="O850">
        <v>9</v>
      </c>
      <c r="P850">
        <v>0</v>
      </c>
      <c r="Q850">
        <v>2</v>
      </c>
      <c r="R850">
        <v>952</v>
      </c>
      <c r="S850" t="s">
        <v>44</v>
      </c>
      <c r="T850" t="s">
        <v>44</v>
      </c>
      <c r="U850" t="s">
        <v>44</v>
      </c>
      <c r="V850">
        <v>83</v>
      </c>
      <c r="W850" t="s">
        <v>44</v>
      </c>
      <c r="X850" t="s">
        <v>44</v>
      </c>
      <c r="Y850">
        <v>83</v>
      </c>
      <c r="Z850" t="s">
        <v>44</v>
      </c>
      <c r="AA850">
        <v>20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112</v>
      </c>
      <c r="AQ850">
        <f t="shared" si="29"/>
        <v>112</v>
      </c>
      <c r="AR850" s="5">
        <f>VLOOKUP(F850,'[2]SCP_24-25'!$A:$D,4,0)</f>
        <v>98.3</v>
      </c>
      <c r="AS850" s="5">
        <f t="shared" si="30"/>
        <v>11009.6</v>
      </c>
    </row>
    <row r="851" spans="1:45" x14ac:dyDescent="0.3">
      <c r="A851" s="1">
        <v>45900.962500000001</v>
      </c>
      <c r="B851" t="s">
        <v>1363</v>
      </c>
      <c r="C851" t="s">
        <v>1364</v>
      </c>
      <c r="D851" t="s">
        <v>493</v>
      </c>
      <c r="F851" t="s">
        <v>1701</v>
      </c>
      <c r="G851" t="s">
        <v>494</v>
      </c>
      <c r="H851" t="s">
        <v>130</v>
      </c>
      <c r="I851" t="s">
        <v>43</v>
      </c>
      <c r="J851">
        <v>40.020000000000003</v>
      </c>
      <c r="K851">
        <v>19</v>
      </c>
      <c r="L851">
        <v>10</v>
      </c>
      <c r="M851">
        <v>11</v>
      </c>
      <c r="N851">
        <v>9879</v>
      </c>
      <c r="O851">
        <v>0</v>
      </c>
      <c r="P851">
        <v>0</v>
      </c>
      <c r="Q851" t="s">
        <v>44</v>
      </c>
      <c r="R851">
        <v>1995</v>
      </c>
      <c r="S851" t="s">
        <v>44</v>
      </c>
      <c r="T851">
        <v>120</v>
      </c>
      <c r="U851" t="s">
        <v>44</v>
      </c>
      <c r="V851">
        <v>0</v>
      </c>
      <c r="W851">
        <v>45</v>
      </c>
      <c r="X851" t="s">
        <v>44</v>
      </c>
      <c r="Y851" t="s">
        <v>44</v>
      </c>
      <c r="Z851" t="s">
        <v>44</v>
      </c>
      <c r="AA851">
        <v>19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19</v>
      </c>
      <c r="AQ851">
        <f t="shared" si="29"/>
        <v>19</v>
      </c>
      <c r="AR851" s="5">
        <f>VLOOKUP(F851,'[2]SCP_24-25'!$A:$D,4,0)</f>
        <v>98.3</v>
      </c>
      <c r="AS851" s="5">
        <f t="shared" si="30"/>
        <v>1867.7</v>
      </c>
    </row>
    <row r="852" spans="1:45" x14ac:dyDescent="0.3">
      <c r="A852" s="1">
        <v>45900.962500000001</v>
      </c>
      <c r="B852" t="s">
        <v>1363</v>
      </c>
      <c r="C852" t="s">
        <v>1364</v>
      </c>
      <c r="D852" t="s">
        <v>538</v>
      </c>
      <c r="F852" t="s">
        <v>1723</v>
      </c>
      <c r="G852" t="s">
        <v>539</v>
      </c>
      <c r="H852" t="s">
        <v>130</v>
      </c>
      <c r="I852" t="s">
        <v>43</v>
      </c>
      <c r="J852">
        <v>40.020000000000003</v>
      </c>
      <c r="K852">
        <v>19</v>
      </c>
      <c r="L852">
        <v>10</v>
      </c>
      <c r="M852">
        <v>11</v>
      </c>
      <c r="N852">
        <v>8771</v>
      </c>
      <c r="O852">
        <v>1</v>
      </c>
      <c r="P852">
        <v>0</v>
      </c>
      <c r="Q852">
        <v>1</v>
      </c>
      <c r="R852">
        <v>1471</v>
      </c>
      <c r="S852" t="s">
        <v>44</v>
      </c>
      <c r="T852">
        <v>192</v>
      </c>
      <c r="U852" t="s">
        <v>44</v>
      </c>
      <c r="V852">
        <v>0</v>
      </c>
      <c r="W852" t="s">
        <v>44</v>
      </c>
      <c r="X852" t="s">
        <v>44</v>
      </c>
      <c r="Y852" t="s">
        <v>44</v>
      </c>
      <c r="Z852" t="s">
        <v>44</v>
      </c>
      <c r="AA852">
        <v>21</v>
      </c>
      <c r="AB852">
        <v>0</v>
      </c>
      <c r="AC852">
        <v>0</v>
      </c>
      <c r="AD852">
        <v>0</v>
      </c>
      <c r="AE852">
        <v>0</v>
      </c>
      <c r="AF852">
        <v>3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22</v>
      </c>
      <c r="AQ852">
        <f t="shared" si="29"/>
        <v>22</v>
      </c>
      <c r="AR852" s="5">
        <f>VLOOKUP(F852,'[2]SCP_24-25'!$A:$D,4,0)</f>
        <v>98.3</v>
      </c>
      <c r="AS852" s="5">
        <f t="shared" si="30"/>
        <v>2162.6</v>
      </c>
    </row>
    <row r="853" spans="1:45" x14ac:dyDescent="0.3">
      <c r="A853" s="1">
        <v>45900.962500000001</v>
      </c>
      <c r="B853" t="s">
        <v>1363</v>
      </c>
      <c r="C853" t="s">
        <v>1364</v>
      </c>
      <c r="D853" t="s">
        <v>578</v>
      </c>
      <c r="F853" t="s">
        <v>1743</v>
      </c>
      <c r="G853" t="s">
        <v>579</v>
      </c>
      <c r="H853" t="s">
        <v>130</v>
      </c>
      <c r="I853" t="s">
        <v>43</v>
      </c>
      <c r="J853">
        <v>40.020000000000003</v>
      </c>
      <c r="K853">
        <v>19</v>
      </c>
      <c r="L853">
        <v>10</v>
      </c>
      <c r="M853">
        <v>11</v>
      </c>
      <c r="N853">
        <v>7594</v>
      </c>
      <c r="O853">
        <v>0</v>
      </c>
      <c r="P853">
        <v>0</v>
      </c>
      <c r="Q853" t="s">
        <v>44</v>
      </c>
      <c r="R853">
        <v>798</v>
      </c>
      <c r="S853" t="s">
        <v>44</v>
      </c>
      <c r="T853" t="s">
        <v>44</v>
      </c>
      <c r="U853" t="s">
        <v>44</v>
      </c>
      <c r="V853">
        <v>0</v>
      </c>
      <c r="W853">
        <v>769</v>
      </c>
      <c r="X853" t="s">
        <v>44</v>
      </c>
      <c r="Y853" t="s">
        <v>44</v>
      </c>
      <c r="Z853" t="s">
        <v>44</v>
      </c>
      <c r="AA853">
        <v>6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6</v>
      </c>
      <c r="AQ853">
        <f t="shared" si="29"/>
        <v>6</v>
      </c>
      <c r="AR853" s="5">
        <f>VLOOKUP(F853,'[2]SCP_24-25'!$A:$D,4,0)</f>
        <v>98.3</v>
      </c>
      <c r="AS853" s="5">
        <f t="shared" si="30"/>
        <v>589.79999999999995</v>
      </c>
    </row>
    <row r="854" spans="1:45" x14ac:dyDescent="0.3">
      <c r="A854" s="1">
        <v>45900.962500000001</v>
      </c>
      <c r="B854" t="s">
        <v>1363</v>
      </c>
      <c r="C854" t="s">
        <v>1364</v>
      </c>
      <c r="D854" t="s">
        <v>495</v>
      </c>
      <c r="F854" t="s">
        <v>1702</v>
      </c>
      <c r="G854" t="s">
        <v>496</v>
      </c>
      <c r="H854" t="s">
        <v>130</v>
      </c>
      <c r="I854" t="s">
        <v>43</v>
      </c>
      <c r="J854">
        <v>40.020000000000003</v>
      </c>
      <c r="K854">
        <v>19</v>
      </c>
      <c r="L854">
        <v>10</v>
      </c>
      <c r="M854">
        <v>11</v>
      </c>
      <c r="N854">
        <v>21761</v>
      </c>
      <c r="O854">
        <v>10</v>
      </c>
      <c r="P854">
        <v>0</v>
      </c>
      <c r="Q854">
        <v>1</v>
      </c>
      <c r="R854">
        <v>7662</v>
      </c>
      <c r="S854" t="s">
        <v>44</v>
      </c>
      <c r="T854">
        <v>253</v>
      </c>
      <c r="U854" t="s">
        <v>44</v>
      </c>
      <c r="V854">
        <v>0</v>
      </c>
      <c r="W854">
        <v>22</v>
      </c>
      <c r="X854" t="s">
        <v>44</v>
      </c>
      <c r="Y854" t="s">
        <v>44</v>
      </c>
      <c r="Z854" t="s">
        <v>44</v>
      </c>
      <c r="AA854">
        <v>16</v>
      </c>
      <c r="AB854">
        <v>0</v>
      </c>
      <c r="AC854">
        <v>0</v>
      </c>
      <c r="AD854">
        <v>0</v>
      </c>
      <c r="AE854">
        <v>0</v>
      </c>
      <c r="AF854">
        <v>4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26</v>
      </c>
      <c r="AQ854">
        <f t="shared" ref="AQ854:AQ869" si="31">O854+P854+V854+AA854</f>
        <v>26</v>
      </c>
      <c r="AR854" s="5">
        <f>VLOOKUP(F854,'[2]SCP_24-25'!$A:$D,4,0)</f>
        <v>98.3</v>
      </c>
      <c r="AS854" s="5">
        <f t="shared" si="30"/>
        <v>2555.7999999999997</v>
      </c>
    </row>
    <row r="855" spans="1:45" x14ac:dyDescent="0.3">
      <c r="A855" s="1">
        <v>45900.962500000001</v>
      </c>
      <c r="B855" t="s">
        <v>1363</v>
      </c>
      <c r="C855" t="s">
        <v>1364</v>
      </c>
      <c r="D855" t="s">
        <v>429</v>
      </c>
      <c r="F855" t="s">
        <v>1671</v>
      </c>
      <c r="G855" t="s">
        <v>430</v>
      </c>
      <c r="H855" t="s">
        <v>130</v>
      </c>
      <c r="I855" t="s">
        <v>43</v>
      </c>
      <c r="J855">
        <v>40.020000000000003</v>
      </c>
      <c r="K855">
        <v>19</v>
      </c>
      <c r="L855">
        <v>10</v>
      </c>
      <c r="M855">
        <v>11</v>
      </c>
      <c r="N855">
        <v>9919</v>
      </c>
      <c r="O855">
        <v>25</v>
      </c>
      <c r="P855">
        <v>0</v>
      </c>
      <c r="Q855" t="s">
        <v>44</v>
      </c>
      <c r="R855">
        <v>1085</v>
      </c>
      <c r="S855" t="s">
        <v>44</v>
      </c>
      <c r="T855">
        <v>180</v>
      </c>
      <c r="U855" t="s">
        <v>44</v>
      </c>
      <c r="V855">
        <v>77</v>
      </c>
      <c r="W855" t="s">
        <v>44</v>
      </c>
      <c r="X855" t="s">
        <v>44</v>
      </c>
      <c r="Y855">
        <v>77</v>
      </c>
      <c r="Z855" t="s">
        <v>44</v>
      </c>
      <c r="AA855">
        <v>17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119</v>
      </c>
      <c r="AQ855">
        <f t="shared" si="31"/>
        <v>119</v>
      </c>
      <c r="AR855" s="5">
        <f>VLOOKUP(F855,'[2]SCP_24-25'!$A:$D,4,0)</f>
        <v>98.299999999999983</v>
      </c>
      <c r="AS855" s="5">
        <f t="shared" si="30"/>
        <v>11697.699999999997</v>
      </c>
    </row>
    <row r="856" spans="1:45" x14ac:dyDescent="0.3">
      <c r="A856" s="1">
        <v>45900.962500000001</v>
      </c>
      <c r="B856" t="s">
        <v>1363</v>
      </c>
      <c r="C856" t="s">
        <v>1364</v>
      </c>
      <c r="D856" t="s">
        <v>459</v>
      </c>
      <c r="F856" t="s">
        <v>1684</v>
      </c>
      <c r="G856" t="s">
        <v>460</v>
      </c>
      <c r="H856" t="s">
        <v>130</v>
      </c>
      <c r="I856" t="s">
        <v>43</v>
      </c>
      <c r="J856">
        <v>40.020000000000003</v>
      </c>
      <c r="K856">
        <v>19</v>
      </c>
      <c r="L856">
        <v>10</v>
      </c>
      <c r="M856">
        <v>11</v>
      </c>
      <c r="N856">
        <v>31000</v>
      </c>
      <c r="O856">
        <v>52</v>
      </c>
      <c r="P856">
        <v>0</v>
      </c>
      <c r="Q856">
        <v>2</v>
      </c>
      <c r="R856">
        <v>8932</v>
      </c>
      <c r="S856" t="s">
        <v>44</v>
      </c>
      <c r="T856">
        <v>420</v>
      </c>
      <c r="U856" t="s">
        <v>44</v>
      </c>
      <c r="V856">
        <v>82</v>
      </c>
      <c r="W856" t="s">
        <v>44</v>
      </c>
      <c r="X856" t="s">
        <v>44</v>
      </c>
      <c r="Y856">
        <v>82</v>
      </c>
      <c r="Z856" t="s">
        <v>44</v>
      </c>
      <c r="AA856">
        <v>45</v>
      </c>
      <c r="AB856">
        <v>0</v>
      </c>
      <c r="AC856">
        <v>0</v>
      </c>
      <c r="AD856">
        <v>0</v>
      </c>
      <c r="AE856">
        <v>0</v>
      </c>
      <c r="AF856">
        <v>4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179</v>
      </c>
      <c r="AQ856">
        <f t="shared" si="31"/>
        <v>179</v>
      </c>
      <c r="AR856" s="5">
        <f>VLOOKUP(F856,'[2]SCP_24-25'!$A:$D,4,0)</f>
        <v>98.299999999999983</v>
      </c>
      <c r="AS856" s="5">
        <f t="shared" si="30"/>
        <v>17595.699999999997</v>
      </c>
    </row>
    <row r="857" spans="1:45" x14ac:dyDescent="0.3">
      <c r="A857" s="1">
        <v>45900.962500000001</v>
      </c>
      <c r="B857" t="s">
        <v>1363</v>
      </c>
      <c r="C857" t="s">
        <v>1364</v>
      </c>
      <c r="D857" t="s">
        <v>580</v>
      </c>
      <c r="F857" t="s">
        <v>1744</v>
      </c>
      <c r="G857" t="s">
        <v>581</v>
      </c>
      <c r="H857" t="s">
        <v>130</v>
      </c>
      <c r="I857" t="s">
        <v>43</v>
      </c>
      <c r="J857">
        <v>40.020000000000003</v>
      </c>
      <c r="K857">
        <v>19</v>
      </c>
      <c r="L857">
        <v>10</v>
      </c>
      <c r="M857">
        <v>11</v>
      </c>
      <c r="N857">
        <v>7158</v>
      </c>
      <c r="O857">
        <v>6</v>
      </c>
      <c r="P857">
        <v>0</v>
      </c>
      <c r="Q857">
        <v>6</v>
      </c>
      <c r="R857">
        <v>543</v>
      </c>
      <c r="S857" t="s">
        <v>44</v>
      </c>
      <c r="T857">
        <v>144</v>
      </c>
      <c r="U857" t="s">
        <v>44</v>
      </c>
      <c r="V857">
        <v>44</v>
      </c>
      <c r="W857" t="s">
        <v>44</v>
      </c>
      <c r="X857" t="s">
        <v>44</v>
      </c>
      <c r="Y857">
        <v>44</v>
      </c>
      <c r="Z857" t="s">
        <v>44</v>
      </c>
      <c r="AA857">
        <v>16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66</v>
      </c>
      <c r="AQ857">
        <f t="shared" si="31"/>
        <v>66</v>
      </c>
      <c r="AR857" s="5">
        <f>VLOOKUP(F857,'[2]SCP_24-25'!$A:$D,4,0)</f>
        <v>98.3</v>
      </c>
      <c r="AS857" s="5">
        <f t="shared" si="30"/>
        <v>6487.8</v>
      </c>
    </row>
    <row r="858" spans="1:45" x14ac:dyDescent="0.3">
      <c r="A858" s="1">
        <v>45900.962500000001</v>
      </c>
      <c r="B858" t="s">
        <v>1363</v>
      </c>
      <c r="C858" t="s">
        <v>1364</v>
      </c>
      <c r="D858" t="s">
        <v>609</v>
      </c>
      <c r="F858" t="s">
        <v>1758</v>
      </c>
      <c r="G858" t="s">
        <v>610</v>
      </c>
      <c r="H858" t="s">
        <v>130</v>
      </c>
      <c r="I858" t="s">
        <v>43</v>
      </c>
      <c r="J858">
        <v>40.020000000000003</v>
      </c>
      <c r="K858">
        <v>19</v>
      </c>
      <c r="L858">
        <v>10</v>
      </c>
      <c r="M858">
        <v>11</v>
      </c>
      <c r="N858">
        <v>8775</v>
      </c>
      <c r="O858">
        <v>15</v>
      </c>
      <c r="P858">
        <v>0</v>
      </c>
      <c r="Q858">
        <v>1</v>
      </c>
      <c r="R858">
        <v>912</v>
      </c>
      <c r="S858" t="s">
        <v>44</v>
      </c>
      <c r="T858">
        <v>168</v>
      </c>
      <c r="U858" t="s">
        <v>44</v>
      </c>
      <c r="V858">
        <v>16</v>
      </c>
      <c r="W858" t="s">
        <v>44</v>
      </c>
      <c r="X858" t="s">
        <v>44</v>
      </c>
      <c r="Y858">
        <v>16</v>
      </c>
      <c r="Z858" t="s">
        <v>44</v>
      </c>
      <c r="AA858">
        <v>22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53</v>
      </c>
      <c r="AQ858">
        <f t="shared" si="31"/>
        <v>53</v>
      </c>
      <c r="AR858" s="5">
        <f>VLOOKUP(F858,'[2]SCP_24-25'!$A:$D,4,0)</f>
        <v>98.3</v>
      </c>
      <c r="AS858" s="5">
        <f t="shared" si="30"/>
        <v>5209.8999999999996</v>
      </c>
    </row>
    <row r="859" spans="1:45" x14ac:dyDescent="0.3">
      <c r="A859" s="1">
        <v>45900.962500000001</v>
      </c>
      <c r="B859" t="s">
        <v>1363</v>
      </c>
      <c r="C859" t="s">
        <v>1364</v>
      </c>
      <c r="D859" t="s">
        <v>465</v>
      </c>
      <c r="F859" t="s">
        <v>1687</v>
      </c>
      <c r="G859" t="s">
        <v>466</v>
      </c>
      <c r="H859" t="s">
        <v>130</v>
      </c>
      <c r="I859" t="s">
        <v>43</v>
      </c>
      <c r="J859">
        <v>29.02</v>
      </c>
      <c r="K859">
        <v>19</v>
      </c>
      <c r="L859">
        <v>10</v>
      </c>
      <c r="M859">
        <v>11</v>
      </c>
      <c r="N859">
        <v>12647</v>
      </c>
      <c r="O859">
        <v>17</v>
      </c>
      <c r="P859">
        <v>0</v>
      </c>
      <c r="Q859" t="s">
        <v>44</v>
      </c>
      <c r="R859">
        <v>1697</v>
      </c>
      <c r="S859" t="s">
        <v>44</v>
      </c>
      <c r="T859" t="s">
        <v>44</v>
      </c>
      <c r="U859" t="s">
        <v>44</v>
      </c>
      <c r="V859">
        <v>77</v>
      </c>
      <c r="W859" t="s">
        <v>44</v>
      </c>
      <c r="X859" t="s">
        <v>44</v>
      </c>
      <c r="Y859">
        <v>77</v>
      </c>
      <c r="Z859" t="s">
        <v>44</v>
      </c>
      <c r="AA859">
        <v>14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108</v>
      </c>
      <c r="AQ859">
        <f t="shared" si="31"/>
        <v>108</v>
      </c>
      <c r="AR859" s="5">
        <f>VLOOKUP(F859,'[2]SCP_24-25'!$A:$D,4,0)</f>
        <v>113</v>
      </c>
      <c r="AS859" s="5">
        <f t="shared" si="30"/>
        <v>12204</v>
      </c>
    </row>
    <row r="860" spans="1:45" x14ac:dyDescent="0.3">
      <c r="A860" s="1">
        <v>45900.962500000001</v>
      </c>
      <c r="B860" t="s">
        <v>1363</v>
      </c>
      <c r="C860" t="s">
        <v>1364</v>
      </c>
      <c r="D860" t="s">
        <v>801</v>
      </c>
      <c r="F860" t="s">
        <v>1852</v>
      </c>
      <c r="G860" t="s">
        <v>802</v>
      </c>
      <c r="H860" t="s">
        <v>130</v>
      </c>
      <c r="I860" t="s">
        <v>43</v>
      </c>
      <c r="J860">
        <v>32.020000000000003</v>
      </c>
      <c r="K860">
        <v>19</v>
      </c>
      <c r="L860">
        <v>10</v>
      </c>
      <c r="M860">
        <v>11</v>
      </c>
      <c r="N860">
        <v>10288</v>
      </c>
      <c r="O860">
        <v>23</v>
      </c>
      <c r="P860">
        <v>0</v>
      </c>
      <c r="Q860">
        <v>1</v>
      </c>
      <c r="R860">
        <v>2205</v>
      </c>
      <c r="S860" t="s">
        <v>44</v>
      </c>
      <c r="T860" t="s">
        <v>44</v>
      </c>
      <c r="U860" t="s">
        <v>44</v>
      </c>
      <c r="V860">
        <v>77</v>
      </c>
      <c r="W860">
        <v>12</v>
      </c>
      <c r="X860" t="s">
        <v>44</v>
      </c>
      <c r="Y860">
        <v>77</v>
      </c>
      <c r="Z860" t="s">
        <v>44</v>
      </c>
      <c r="AA860">
        <v>12</v>
      </c>
      <c r="AB860">
        <v>0</v>
      </c>
      <c r="AC860">
        <v>0</v>
      </c>
      <c r="AD860">
        <v>0</v>
      </c>
      <c r="AE860">
        <v>6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112</v>
      </c>
      <c r="AQ860">
        <f t="shared" si="31"/>
        <v>112</v>
      </c>
      <c r="AR860" s="5">
        <f>VLOOKUP(F860,'[2]SCP_24-25'!$A:$D,4,0)</f>
        <v>96.2</v>
      </c>
      <c r="AS860" s="5">
        <f t="shared" si="30"/>
        <v>10774.4</v>
      </c>
    </row>
    <row r="861" spans="1:45" x14ac:dyDescent="0.3">
      <c r="A861" s="1">
        <v>45900.962500000001</v>
      </c>
      <c r="B861" t="s">
        <v>1363</v>
      </c>
      <c r="C861" t="s">
        <v>1364</v>
      </c>
      <c r="D861" t="s">
        <v>582</v>
      </c>
      <c r="F861" t="s">
        <v>1745</v>
      </c>
      <c r="G861" t="s">
        <v>583</v>
      </c>
      <c r="H861" t="s">
        <v>130</v>
      </c>
      <c r="I861" t="s">
        <v>43</v>
      </c>
      <c r="J861">
        <v>32</v>
      </c>
      <c r="K861">
        <v>19</v>
      </c>
      <c r="L861">
        <v>10</v>
      </c>
      <c r="M861">
        <v>11</v>
      </c>
      <c r="N861">
        <v>7360</v>
      </c>
      <c r="O861">
        <v>25</v>
      </c>
      <c r="P861">
        <v>0</v>
      </c>
      <c r="Q861">
        <v>7</v>
      </c>
      <c r="R861">
        <v>4</v>
      </c>
      <c r="S861" t="s">
        <v>44</v>
      </c>
      <c r="T861">
        <v>96</v>
      </c>
      <c r="U861" t="s">
        <v>44</v>
      </c>
      <c r="V861">
        <v>0</v>
      </c>
      <c r="W861" t="s">
        <v>44</v>
      </c>
      <c r="X861" t="s">
        <v>44</v>
      </c>
      <c r="Y861" t="s">
        <v>44</v>
      </c>
      <c r="Z861" t="s">
        <v>44</v>
      </c>
      <c r="AA861">
        <v>52</v>
      </c>
      <c r="AB861">
        <v>0</v>
      </c>
      <c r="AC861">
        <v>0</v>
      </c>
      <c r="AD861">
        <v>0</v>
      </c>
      <c r="AE861">
        <v>1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77</v>
      </c>
      <c r="AQ861">
        <f t="shared" si="31"/>
        <v>77</v>
      </c>
      <c r="AR861" s="5">
        <f>VLOOKUP(F861,'[2]SCP_24-25'!$A:$D,4,0)</f>
        <v>96.2</v>
      </c>
      <c r="AS861" s="5">
        <f t="shared" si="30"/>
        <v>7407.4000000000005</v>
      </c>
    </row>
    <row r="862" spans="1:45" x14ac:dyDescent="0.3">
      <c r="A862" s="1">
        <v>45900.962500000001</v>
      </c>
      <c r="B862" t="s">
        <v>1363</v>
      </c>
      <c r="C862" t="s">
        <v>1364</v>
      </c>
      <c r="D862" t="s">
        <v>1193</v>
      </c>
      <c r="F862" t="s">
        <v>2046</v>
      </c>
      <c r="G862" t="s">
        <v>1194</v>
      </c>
      <c r="H862" t="s">
        <v>130</v>
      </c>
      <c r="I862" t="s">
        <v>43</v>
      </c>
      <c r="J862">
        <v>32</v>
      </c>
      <c r="K862">
        <v>19</v>
      </c>
      <c r="L862">
        <v>10</v>
      </c>
      <c r="M862">
        <v>11</v>
      </c>
      <c r="N862">
        <v>11199</v>
      </c>
      <c r="O862">
        <v>0</v>
      </c>
      <c r="P862">
        <v>0</v>
      </c>
      <c r="Q862">
        <v>9</v>
      </c>
      <c r="R862">
        <v>9</v>
      </c>
      <c r="S862" t="s">
        <v>44</v>
      </c>
      <c r="T862" t="s">
        <v>44</v>
      </c>
      <c r="U862" t="s">
        <v>44</v>
      </c>
      <c r="V862">
        <v>0</v>
      </c>
      <c r="W862" t="s">
        <v>44</v>
      </c>
      <c r="X862" t="s">
        <v>44</v>
      </c>
      <c r="Y862" t="s">
        <v>44</v>
      </c>
      <c r="Z862" t="s">
        <v>44</v>
      </c>
      <c r="AA862">
        <v>90</v>
      </c>
      <c r="AB862">
        <v>0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90</v>
      </c>
      <c r="AQ862">
        <f t="shared" si="31"/>
        <v>90</v>
      </c>
      <c r="AR862" s="5">
        <f>VLOOKUP(F862,'[2]SCP_24-25'!$A:$D,4,0)</f>
        <v>96.2</v>
      </c>
      <c r="AS862" s="5">
        <f t="shared" si="30"/>
        <v>8658</v>
      </c>
    </row>
    <row r="863" spans="1:45" x14ac:dyDescent="0.3">
      <c r="A863" s="1">
        <v>45900.962500000001</v>
      </c>
      <c r="B863" t="s">
        <v>1363</v>
      </c>
      <c r="C863" t="s">
        <v>1364</v>
      </c>
      <c r="D863" t="s">
        <v>1428</v>
      </c>
      <c r="F863" t="s">
        <v>2160</v>
      </c>
      <c r="G863" t="s">
        <v>1429</v>
      </c>
      <c r="H863" t="s">
        <v>120</v>
      </c>
      <c r="I863" t="s">
        <v>43</v>
      </c>
      <c r="J863">
        <v>100</v>
      </c>
      <c r="K863">
        <v>19</v>
      </c>
      <c r="L863">
        <v>10</v>
      </c>
      <c r="M863">
        <v>11</v>
      </c>
      <c r="N863">
        <v>1301</v>
      </c>
      <c r="O863">
        <v>0</v>
      </c>
      <c r="P863">
        <v>0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>
        <v>83</v>
      </c>
      <c r="W863" t="s">
        <v>44</v>
      </c>
      <c r="X863" t="s">
        <v>44</v>
      </c>
      <c r="Y863">
        <v>83</v>
      </c>
      <c r="Z863" t="s">
        <v>44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83</v>
      </c>
      <c r="AQ863">
        <f t="shared" si="31"/>
        <v>83</v>
      </c>
      <c r="AR863" s="5">
        <f>VLOOKUP(F863,'[2]SCP_24-25'!$A:$D,4,0)</f>
        <v>70</v>
      </c>
      <c r="AS863" s="5">
        <f t="shared" si="30"/>
        <v>5810</v>
      </c>
    </row>
    <row r="864" spans="1:45" x14ac:dyDescent="0.3">
      <c r="A864" s="1">
        <v>45900.962500000001</v>
      </c>
      <c r="B864" t="s">
        <v>1363</v>
      </c>
      <c r="C864" t="s">
        <v>1364</v>
      </c>
      <c r="D864" t="s">
        <v>1430</v>
      </c>
      <c r="F864" t="s">
        <v>2161</v>
      </c>
      <c r="G864" t="s">
        <v>1431</v>
      </c>
      <c r="H864" t="s">
        <v>120</v>
      </c>
      <c r="I864" t="s">
        <v>43</v>
      </c>
      <c r="J864">
        <v>100</v>
      </c>
      <c r="K864">
        <v>19</v>
      </c>
      <c r="L864">
        <v>10</v>
      </c>
      <c r="M864">
        <v>11</v>
      </c>
      <c r="N864">
        <v>278</v>
      </c>
      <c r="O864">
        <v>0</v>
      </c>
      <c r="P864">
        <v>0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>
        <v>3</v>
      </c>
      <c r="W864" t="s">
        <v>44</v>
      </c>
      <c r="X864" t="s">
        <v>44</v>
      </c>
      <c r="Y864">
        <v>3</v>
      </c>
      <c r="Z864" t="s">
        <v>44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3</v>
      </c>
      <c r="AQ864">
        <f t="shared" si="31"/>
        <v>3</v>
      </c>
      <c r="AR864" s="5">
        <f>VLOOKUP(F864,'[2]SCP_24-25'!$A:$D,4,0)</f>
        <v>475</v>
      </c>
      <c r="AS864" s="5">
        <f t="shared" si="30"/>
        <v>1425</v>
      </c>
    </row>
    <row r="865" spans="1:45" x14ac:dyDescent="0.3">
      <c r="A865" s="1">
        <v>45900.962500000001</v>
      </c>
      <c r="B865" t="s">
        <v>1363</v>
      </c>
      <c r="C865" t="s">
        <v>1364</v>
      </c>
      <c r="D865" t="s">
        <v>546</v>
      </c>
      <c r="F865" t="s">
        <v>1727</v>
      </c>
      <c r="G865" t="s">
        <v>547</v>
      </c>
      <c r="H865" t="s">
        <v>130</v>
      </c>
      <c r="I865" t="s">
        <v>43</v>
      </c>
      <c r="J865">
        <v>71.02</v>
      </c>
      <c r="K865">
        <v>19</v>
      </c>
      <c r="L865">
        <v>10</v>
      </c>
      <c r="M865">
        <v>11</v>
      </c>
      <c r="N865">
        <v>11122</v>
      </c>
      <c r="O865">
        <v>0</v>
      </c>
      <c r="P865">
        <v>0</v>
      </c>
      <c r="Q865">
        <v>2</v>
      </c>
      <c r="R865">
        <v>2265</v>
      </c>
      <c r="S865" t="s">
        <v>44</v>
      </c>
      <c r="T865" t="s">
        <v>44</v>
      </c>
      <c r="U865" t="s">
        <v>44</v>
      </c>
      <c r="V865">
        <v>0</v>
      </c>
      <c r="W865">
        <v>16</v>
      </c>
      <c r="X865" t="s">
        <v>44</v>
      </c>
      <c r="Y865" t="s">
        <v>44</v>
      </c>
      <c r="Z865" t="s">
        <v>44</v>
      </c>
      <c r="AA865">
        <v>31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31</v>
      </c>
      <c r="AQ865">
        <f t="shared" si="31"/>
        <v>31</v>
      </c>
      <c r="AR865" s="5">
        <f>VLOOKUP(F865,'[2]SCP_24-25'!$A:$D,4,0)</f>
        <v>129.18</v>
      </c>
      <c r="AS865" s="5">
        <f t="shared" si="30"/>
        <v>4004.5800000000004</v>
      </c>
    </row>
    <row r="866" spans="1:45" x14ac:dyDescent="0.3">
      <c r="A866" s="1">
        <v>45900.962500000001</v>
      </c>
      <c r="B866" t="s">
        <v>1363</v>
      </c>
      <c r="C866" t="s">
        <v>1364</v>
      </c>
      <c r="D866" t="s">
        <v>499</v>
      </c>
      <c r="F866" t="s">
        <v>1704</v>
      </c>
      <c r="G866" t="s">
        <v>500</v>
      </c>
      <c r="H866" t="s">
        <v>130</v>
      </c>
      <c r="I866" t="s">
        <v>43</v>
      </c>
      <c r="J866">
        <v>71.02</v>
      </c>
      <c r="K866">
        <v>19</v>
      </c>
      <c r="L866">
        <v>10</v>
      </c>
      <c r="M866">
        <v>11</v>
      </c>
      <c r="N866">
        <v>11070</v>
      </c>
      <c r="O866">
        <v>0</v>
      </c>
      <c r="P866">
        <v>0</v>
      </c>
      <c r="Q866">
        <v>2</v>
      </c>
      <c r="R866">
        <v>1980</v>
      </c>
      <c r="S866" t="s">
        <v>44</v>
      </c>
      <c r="T866">
        <v>12</v>
      </c>
      <c r="U866" t="s">
        <v>44</v>
      </c>
      <c r="V866">
        <v>0</v>
      </c>
      <c r="W866" t="s">
        <v>44</v>
      </c>
      <c r="X866" t="s">
        <v>44</v>
      </c>
      <c r="Y866" t="s">
        <v>44</v>
      </c>
      <c r="Z866" t="s">
        <v>44</v>
      </c>
      <c r="AA866">
        <v>13</v>
      </c>
      <c r="AB866">
        <v>0</v>
      </c>
      <c r="AC866">
        <v>0</v>
      </c>
      <c r="AD866">
        <v>0</v>
      </c>
      <c r="AE866">
        <v>0</v>
      </c>
      <c r="AF866">
        <v>4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13</v>
      </c>
      <c r="AQ866">
        <f t="shared" si="31"/>
        <v>13</v>
      </c>
      <c r="AR866" s="5">
        <f>VLOOKUP(F866,'[2]SCP_24-25'!$A:$D,4,0)</f>
        <v>129.18</v>
      </c>
      <c r="AS866" s="5">
        <f t="shared" si="30"/>
        <v>1679.3400000000001</v>
      </c>
    </row>
    <row r="867" spans="1:45" x14ac:dyDescent="0.3">
      <c r="A867" s="1">
        <v>45900.962500000001</v>
      </c>
      <c r="B867" t="s">
        <v>1363</v>
      </c>
      <c r="C867" t="s">
        <v>1364</v>
      </c>
      <c r="D867" t="s">
        <v>501</v>
      </c>
      <c r="F867" t="s">
        <v>1705</v>
      </c>
      <c r="G867" t="s">
        <v>502</v>
      </c>
      <c r="H867" t="s">
        <v>130</v>
      </c>
      <c r="I867" t="s">
        <v>43</v>
      </c>
      <c r="J867">
        <v>71</v>
      </c>
      <c r="K867">
        <v>19</v>
      </c>
      <c r="L867">
        <v>10</v>
      </c>
      <c r="M867">
        <v>11</v>
      </c>
      <c r="N867">
        <v>8384</v>
      </c>
      <c r="O867">
        <v>0</v>
      </c>
      <c r="P867">
        <v>0</v>
      </c>
      <c r="Q867">
        <v>1</v>
      </c>
      <c r="R867">
        <v>2685</v>
      </c>
      <c r="S867" t="s">
        <v>44</v>
      </c>
      <c r="T867" t="s">
        <v>44</v>
      </c>
      <c r="U867" t="s">
        <v>44</v>
      </c>
      <c r="V867">
        <v>0</v>
      </c>
      <c r="W867">
        <v>36</v>
      </c>
      <c r="X867" t="s">
        <v>44</v>
      </c>
      <c r="Y867" t="s">
        <v>44</v>
      </c>
      <c r="Z867" t="s">
        <v>44</v>
      </c>
      <c r="AA867">
        <v>9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9</v>
      </c>
      <c r="AQ867">
        <f t="shared" si="31"/>
        <v>9</v>
      </c>
      <c r="AR867" s="5">
        <f>VLOOKUP(F867,'[2]SCP_24-25'!$A:$D,4,0)</f>
        <v>129.18</v>
      </c>
      <c r="AS867" s="5">
        <f t="shared" si="30"/>
        <v>1162.6200000000001</v>
      </c>
    </row>
    <row r="868" spans="1:45" x14ac:dyDescent="0.3">
      <c r="A868" s="1">
        <v>45900.962500000001</v>
      </c>
      <c r="B868" t="s">
        <v>1363</v>
      </c>
      <c r="C868" t="s">
        <v>1364</v>
      </c>
      <c r="D868" t="s">
        <v>603</v>
      </c>
      <c r="F868" t="s">
        <v>1755</v>
      </c>
      <c r="G868" t="s">
        <v>604</v>
      </c>
      <c r="H868" t="s">
        <v>130</v>
      </c>
      <c r="I868" t="s">
        <v>43</v>
      </c>
      <c r="J868">
        <v>71.02</v>
      </c>
      <c r="K868">
        <v>19</v>
      </c>
      <c r="L868">
        <v>10</v>
      </c>
      <c r="M868">
        <v>11</v>
      </c>
      <c r="N868">
        <v>11010</v>
      </c>
      <c r="O868">
        <v>4</v>
      </c>
      <c r="P868">
        <v>0</v>
      </c>
      <c r="Q868">
        <v>1</v>
      </c>
      <c r="R868">
        <v>2768</v>
      </c>
      <c r="S868" t="s">
        <v>44</v>
      </c>
      <c r="T868" t="s">
        <v>44</v>
      </c>
      <c r="U868" t="s">
        <v>44</v>
      </c>
      <c r="V868">
        <v>45</v>
      </c>
      <c r="W868" t="s">
        <v>44</v>
      </c>
      <c r="X868" t="s">
        <v>44</v>
      </c>
      <c r="Y868">
        <v>45</v>
      </c>
      <c r="Z868" t="s">
        <v>44</v>
      </c>
      <c r="AA868">
        <v>7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56</v>
      </c>
      <c r="AQ868">
        <f t="shared" si="31"/>
        <v>56</v>
      </c>
      <c r="AR868" s="5">
        <f>VLOOKUP(F868,'[2]SCP_24-25'!$A:$D,4,0)</f>
        <v>129.18</v>
      </c>
      <c r="AS868" s="5">
        <f t="shared" si="30"/>
        <v>7234.08</v>
      </c>
    </row>
    <row r="869" spans="1:45" x14ac:dyDescent="0.3">
      <c r="A869" s="1">
        <v>45900.962500000001</v>
      </c>
      <c r="B869" t="s">
        <v>1363</v>
      </c>
      <c r="C869" t="s">
        <v>1364</v>
      </c>
      <c r="D869" t="s">
        <v>548</v>
      </c>
      <c r="F869" t="s">
        <v>1728</v>
      </c>
      <c r="G869" t="s">
        <v>549</v>
      </c>
      <c r="H869" t="s">
        <v>130</v>
      </c>
      <c r="I869" t="s">
        <v>43</v>
      </c>
      <c r="J869">
        <v>63.02</v>
      </c>
      <c r="K869">
        <v>19</v>
      </c>
      <c r="L869">
        <v>10</v>
      </c>
      <c r="M869">
        <v>11</v>
      </c>
      <c r="N869">
        <v>5668</v>
      </c>
      <c r="O869">
        <v>8</v>
      </c>
      <c r="P869">
        <v>0</v>
      </c>
      <c r="Q869" t="s">
        <v>44</v>
      </c>
      <c r="R869">
        <v>807</v>
      </c>
      <c r="S869" t="s">
        <v>44</v>
      </c>
      <c r="T869">
        <v>40</v>
      </c>
      <c r="U869" t="s">
        <v>44</v>
      </c>
      <c r="V869">
        <v>0</v>
      </c>
      <c r="W869" t="s">
        <v>44</v>
      </c>
      <c r="X869" t="s">
        <v>44</v>
      </c>
      <c r="Y869" t="s">
        <v>44</v>
      </c>
      <c r="Z869" t="s">
        <v>44</v>
      </c>
      <c r="AA869">
        <v>12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20</v>
      </c>
      <c r="AQ869">
        <f t="shared" si="31"/>
        <v>20</v>
      </c>
      <c r="AR869" s="5">
        <f>VLOOKUP(F869,'[2]SCP_24-25'!$A:$D,4,0)</f>
        <v>91.39</v>
      </c>
      <c r="AS869" s="5">
        <f t="shared" si="30"/>
        <v>1827.8</v>
      </c>
    </row>
    <row r="870" spans="1:45" x14ac:dyDescent="0.3">
      <c r="A870" s="1">
        <v>45900.962500000001</v>
      </c>
      <c r="B870" t="s">
        <v>1363</v>
      </c>
      <c r="C870" t="s">
        <v>1364</v>
      </c>
      <c r="D870" t="s">
        <v>503</v>
      </c>
      <c r="F870" t="s">
        <v>1706</v>
      </c>
      <c r="G870" t="s">
        <v>504</v>
      </c>
      <c r="H870" t="s">
        <v>103</v>
      </c>
      <c r="I870" t="s">
        <v>43</v>
      </c>
      <c r="J870">
        <v>131.02000000000001</v>
      </c>
      <c r="K870">
        <v>19</v>
      </c>
      <c r="L870">
        <v>11</v>
      </c>
      <c r="M870">
        <v>10</v>
      </c>
      <c r="N870">
        <v>61730</v>
      </c>
      <c r="O870">
        <v>0</v>
      </c>
      <c r="P870">
        <v>0</v>
      </c>
      <c r="Q870">
        <v>109</v>
      </c>
      <c r="R870">
        <v>2795</v>
      </c>
      <c r="S870" t="s">
        <v>44</v>
      </c>
      <c r="T870" t="s">
        <v>44</v>
      </c>
      <c r="U870" t="s">
        <v>44</v>
      </c>
      <c r="V870">
        <v>0</v>
      </c>
      <c r="W870">
        <v>85</v>
      </c>
      <c r="X870" t="s">
        <v>44</v>
      </c>
      <c r="Y870" t="s">
        <v>44</v>
      </c>
      <c r="Z870" t="s">
        <v>44</v>
      </c>
      <c r="AA870">
        <v>68</v>
      </c>
      <c r="AB870">
        <v>0</v>
      </c>
      <c r="AC870">
        <v>0</v>
      </c>
      <c r="AD870">
        <v>0</v>
      </c>
      <c r="AE870">
        <v>114</v>
      </c>
      <c r="AF870">
        <v>10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68</v>
      </c>
      <c r="AQ870">
        <f t="shared" ref="AQ870:AQ882" si="32">O870+P870+V870+AA870</f>
        <v>68</v>
      </c>
      <c r="AR870" s="5">
        <f>VLOOKUP(F870,'[2]SCP_24-25'!$A:$D,4,0)</f>
        <v>34.880000000000003</v>
      </c>
      <c r="AS870" s="5">
        <f t="shared" si="30"/>
        <v>2371.84</v>
      </c>
    </row>
    <row r="871" spans="1:45" x14ac:dyDescent="0.3">
      <c r="A871" s="1">
        <v>45900.962500000001</v>
      </c>
      <c r="B871" t="s">
        <v>1363</v>
      </c>
      <c r="C871" t="s">
        <v>1364</v>
      </c>
      <c r="D871" t="s">
        <v>409</v>
      </c>
      <c r="F871" t="s">
        <v>1662</v>
      </c>
      <c r="G871" t="s">
        <v>410</v>
      </c>
      <c r="H871" t="s">
        <v>103</v>
      </c>
      <c r="I871" t="s">
        <v>43</v>
      </c>
      <c r="J871">
        <v>100.52</v>
      </c>
      <c r="K871">
        <v>19</v>
      </c>
      <c r="L871">
        <v>11</v>
      </c>
      <c r="M871">
        <v>10</v>
      </c>
      <c r="N871">
        <v>29389</v>
      </c>
      <c r="O871">
        <v>0</v>
      </c>
      <c r="P871">
        <v>0</v>
      </c>
      <c r="Q871">
        <v>7</v>
      </c>
      <c r="R871">
        <v>2412</v>
      </c>
      <c r="S871" t="s">
        <v>44</v>
      </c>
      <c r="T871">
        <v>216</v>
      </c>
      <c r="U871" t="s">
        <v>44</v>
      </c>
      <c r="V871">
        <v>0</v>
      </c>
      <c r="W871">
        <v>44</v>
      </c>
      <c r="X871" t="s">
        <v>44</v>
      </c>
      <c r="Y871" t="s">
        <v>44</v>
      </c>
      <c r="Z871" t="s">
        <v>44</v>
      </c>
      <c r="AA871">
        <v>24</v>
      </c>
      <c r="AB871">
        <v>0</v>
      </c>
      <c r="AC871">
        <v>0</v>
      </c>
      <c r="AD871">
        <v>0</v>
      </c>
      <c r="AE871">
        <v>2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24</v>
      </c>
      <c r="AQ871">
        <f t="shared" si="32"/>
        <v>24</v>
      </c>
      <c r="AR871" s="5">
        <f>VLOOKUP(F871,'[2]SCP_24-25'!$A:$D,4,0)</f>
        <v>71.81</v>
      </c>
      <c r="AS871" s="5">
        <f t="shared" si="30"/>
        <v>1723.44</v>
      </c>
    </row>
    <row r="872" spans="1:45" x14ac:dyDescent="0.3">
      <c r="A872" s="1">
        <v>45900.962500000001</v>
      </c>
      <c r="B872" t="s">
        <v>1363</v>
      </c>
      <c r="C872" t="s">
        <v>1364</v>
      </c>
      <c r="D872" t="s">
        <v>550</v>
      </c>
      <c r="F872" t="s">
        <v>1729</v>
      </c>
      <c r="G872" t="s">
        <v>551</v>
      </c>
      <c r="H872" t="s">
        <v>103</v>
      </c>
      <c r="I872" t="s">
        <v>43</v>
      </c>
      <c r="J872">
        <v>100.52</v>
      </c>
      <c r="K872">
        <v>19</v>
      </c>
      <c r="L872">
        <v>11</v>
      </c>
      <c r="M872">
        <v>10</v>
      </c>
      <c r="N872">
        <v>42144</v>
      </c>
      <c r="O872">
        <v>0</v>
      </c>
      <c r="P872">
        <v>0</v>
      </c>
      <c r="Q872">
        <v>13</v>
      </c>
      <c r="R872">
        <v>5864</v>
      </c>
      <c r="S872" t="s">
        <v>44</v>
      </c>
      <c r="T872">
        <v>534</v>
      </c>
      <c r="U872" t="s">
        <v>44</v>
      </c>
      <c r="V872">
        <v>0</v>
      </c>
      <c r="W872" t="s">
        <v>44</v>
      </c>
      <c r="X872" t="s">
        <v>44</v>
      </c>
      <c r="Y872" t="s">
        <v>44</v>
      </c>
      <c r="Z872" t="s">
        <v>44</v>
      </c>
      <c r="AA872">
        <v>32</v>
      </c>
      <c r="AB872">
        <v>0</v>
      </c>
      <c r="AC872">
        <v>0</v>
      </c>
      <c r="AD872">
        <v>0</v>
      </c>
      <c r="AE872">
        <v>2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32</v>
      </c>
      <c r="AQ872">
        <f t="shared" si="32"/>
        <v>32</v>
      </c>
      <c r="AR872" s="5">
        <f>VLOOKUP(F872,'[2]SCP_24-25'!$A:$D,4,0)</f>
        <v>90.823333333333338</v>
      </c>
      <c r="AS872" s="5">
        <f t="shared" si="30"/>
        <v>2906.3466666666668</v>
      </c>
    </row>
    <row r="873" spans="1:45" x14ac:dyDescent="0.3">
      <c r="A873" s="1">
        <v>45900.962500000001</v>
      </c>
      <c r="B873" t="s">
        <v>1363</v>
      </c>
      <c r="C873" t="s">
        <v>1364</v>
      </c>
      <c r="D873" t="s">
        <v>1243</v>
      </c>
      <c r="F873" t="s">
        <v>2071</v>
      </c>
      <c r="G873" t="s">
        <v>123</v>
      </c>
      <c r="H873" t="s">
        <v>120</v>
      </c>
      <c r="I873" t="s">
        <v>43</v>
      </c>
      <c r="J873">
        <v>100</v>
      </c>
      <c r="K873">
        <v>19</v>
      </c>
      <c r="L873">
        <v>11</v>
      </c>
      <c r="M873">
        <v>10</v>
      </c>
      <c r="N873">
        <v>8535</v>
      </c>
      <c r="O873">
        <v>0</v>
      </c>
      <c r="P873">
        <v>0</v>
      </c>
      <c r="Q873">
        <v>1</v>
      </c>
      <c r="R873">
        <v>6</v>
      </c>
      <c r="S873" t="s">
        <v>44</v>
      </c>
      <c r="T873" t="s">
        <v>44</v>
      </c>
      <c r="U873" t="s">
        <v>44</v>
      </c>
      <c r="V873">
        <v>74</v>
      </c>
      <c r="W873" t="s">
        <v>44</v>
      </c>
      <c r="X873" t="s">
        <v>44</v>
      </c>
      <c r="Y873">
        <v>74</v>
      </c>
      <c r="Z873" t="s">
        <v>44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5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75</v>
      </c>
      <c r="AQ873">
        <f t="shared" si="32"/>
        <v>75</v>
      </c>
      <c r="AR873" s="5">
        <f>VLOOKUP(F873,'[2]SCP_24-25'!$A:$D,4,0)</f>
        <v>43.5</v>
      </c>
      <c r="AS873" s="5">
        <f t="shared" si="30"/>
        <v>3262.5</v>
      </c>
    </row>
    <row r="874" spans="1:45" x14ac:dyDescent="0.3">
      <c r="A874" s="1">
        <v>45900.962500000001</v>
      </c>
      <c r="B874" t="s">
        <v>1363</v>
      </c>
      <c r="C874" t="s">
        <v>1364</v>
      </c>
      <c r="D874" t="s">
        <v>1450</v>
      </c>
      <c r="F874" t="s">
        <v>2171</v>
      </c>
      <c r="G874" t="s">
        <v>422</v>
      </c>
      <c r="H874" t="s">
        <v>120</v>
      </c>
      <c r="I874" t="s">
        <v>43</v>
      </c>
      <c r="J874">
        <v>200</v>
      </c>
      <c r="K874">
        <v>19</v>
      </c>
      <c r="L874">
        <v>10</v>
      </c>
      <c r="M874">
        <v>11</v>
      </c>
      <c r="N874">
        <v>822</v>
      </c>
      <c r="O874">
        <v>0</v>
      </c>
      <c r="P874">
        <v>0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>
        <v>61</v>
      </c>
      <c r="W874" t="s">
        <v>44</v>
      </c>
      <c r="X874" t="s">
        <v>44</v>
      </c>
      <c r="Y874">
        <v>61</v>
      </c>
      <c r="Z874" t="s">
        <v>44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61</v>
      </c>
      <c r="AQ874">
        <f t="shared" si="32"/>
        <v>61</v>
      </c>
      <c r="AR874" s="5">
        <f>VLOOKUP(F874,'[1]Cost Sheet'!$C:$D,2,0)</f>
        <v>65</v>
      </c>
      <c r="AS874" s="5">
        <f t="shared" si="30"/>
        <v>3965</v>
      </c>
    </row>
    <row r="875" spans="1:45" x14ac:dyDescent="0.3">
      <c r="A875" s="1">
        <v>45900.962500000001</v>
      </c>
      <c r="B875" t="s">
        <v>1363</v>
      </c>
      <c r="C875" t="s">
        <v>1364</v>
      </c>
      <c r="D875" t="s">
        <v>1244</v>
      </c>
      <c r="F875" t="s">
        <v>2072</v>
      </c>
      <c r="G875" t="s">
        <v>1245</v>
      </c>
      <c r="H875" t="s">
        <v>66</v>
      </c>
      <c r="I875" t="s">
        <v>43</v>
      </c>
      <c r="J875">
        <v>163.02000000000001</v>
      </c>
      <c r="K875">
        <v>19</v>
      </c>
      <c r="L875">
        <v>11</v>
      </c>
      <c r="M875">
        <v>10</v>
      </c>
      <c r="N875">
        <v>13600</v>
      </c>
      <c r="O875">
        <v>67</v>
      </c>
      <c r="P875">
        <v>0</v>
      </c>
      <c r="Q875">
        <v>3</v>
      </c>
      <c r="R875">
        <v>2743</v>
      </c>
      <c r="S875" t="s">
        <v>44</v>
      </c>
      <c r="T875" t="s">
        <v>44</v>
      </c>
      <c r="U875" t="s">
        <v>44</v>
      </c>
      <c r="V875">
        <v>46</v>
      </c>
      <c r="W875" t="s">
        <v>44</v>
      </c>
      <c r="X875" t="s">
        <v>44</v>
      </c>
      <c r="Y875">
        <v>46</v>
      </c>
      <c r="Z875" t="s">
        <v>44</v>
      </c>
      <c r="AA875">
        <v>20</v>
      </c>
      <c r="AB875">
        <v>0</v>
      </c>
      <c r="AC875">
        <v>0</v>
      </c>
      <c r="AD875">
        <v>0</v>
      </c>
      <c r="AE875">
        <v>0</v>
      </c>
      <c r="AF875">
        <v>4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133</v>
      </c>
      <c r="AQ875">
        <f t="shared" si="32"/>
        <v>133</v>
      </c>
      <c r="AR875" s="5">
        <f>VLOOKUP(F875,'[2]SCP_24-25'!$A:$D,4,0)</f>
        <v>70.5</v>
      </c>
      <c r="AS875" s="5">
        <f t="shared" si="30"/>
        <v>9376.5</v>
      </c>
    </row>
    <row r="876" spans="1:45" x14ac:dyDescent="0.3">
      <c r="A876" s="1">
        <v>45900.962500000001</v>
      </c>
      <c r="B876" t="s">
        <v>1363</v>
      </c>
      <c r="C876" t="s">
        <v>1364</v>
      </c>
      <c r="D876" t="s">
        <v>1246</v>
      </c>
      <c r="F876" t="s">
        <v>2073</v>
      </c>
      <c r="G876" t="s">
        <v>123</v>
      </c>
      <c r="H876" t="s">
        <v>120</v>
      </c>
      <c r="I876" t="s">
        <v>43</v>
      </c>
      <c r="J876">
        <v>100</v>
      </c>
      <c r="K876">
        <v>19</v>
      </c>
      <c r="L876">
        <v>11</v>
      </c>
      <c r="M876">
        <v>10</v>
      </c>
      <c r="N876">
        <v>2014</v>
      </c>
      <c r="O876">
        <v>0</v>
      </c>
      <c r="P876">
        <v>0</v>
      </c>
      <c r="Q876" t="s">
        <v>44</v>
      </c>
      <c r="R876">
        <v>1</v>
      </c>
      <c r="S876" t="s">
        <v>44</v>
      </c>
      <c r="T876">
        <v>4</v>
      </c>
      <c r="U876" t="s">
        <v>44</v>
      </c>
      <c r="V876">
        <v>5</v>
      </c>
      <c r="W876" t="s">
        <v>44</v>
      </c>
      <c r="X876" t="s">
        <v>44</v>
      </c>
      <c r="Y876">
        <v>5</v>
      </c>
      <c r="Z876" t="s">
        <v>44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5</v>
      </c>
      <c r="AQ876">
        <f t="shared" si="32"/>
        <v>5</v>
      </c>
      <c r="AR876" s="5">
        <f>VLOOKUP(F876,'[1]Cost Sheet'!$C:$D,2,0)</f>
        <v>27.5</v>
      </c>
      <c r="AS876" s="5">
        <f t="shared" si="30"/>
        <v>137.5</v>
      </c>
    </row>
    <row r="877" spans="1:45" x14ac:dyDescent="0.3">
      <c r="A877" s="1">
        <v>45900.962500000001</v>
      </c>
      <c r="B877" t="s">
        <v>1363</v>
      </c>
      <c r="C877" t="s">
        <v>1364</v>
      </c>
      <c r="D877" t="s">
        <v>1247</v>
      </c>
      <c r="F877" t="s">
        <v>2074</v>
      </c>
      <c r="G877" t="s">
        <v>1248</v>
      </c>
      <c r="H877" t="s">
        <v>120</v>
      </c>
      <c r="I877" t="s">
        <v>43</v>
      </c>
      <c r="J877">
        <v>5</v>
      </c>
      <c r="K877">
        <v>19</v>
      </c>
      <c r="L877">
        <v>11</v>
      </c>
      <c r="M877">
        <v>10</v>
      </c>
      <c r="N877">
        <v>5740</v>
      </c>
      <c r="O877">
        <v>0</v>
      </c>
      <c r="P877">
        <v>0</v>
      </c>
      <c r="Q877">
        <v>1</v>
      </c>
      <c r="R877">
        <v>1</v>
      </c>
      <c r="S877" t="s">
        <v>44</v>
      </c>
      <c r="T877" t="s">
        <v>44</v>
      </c>
      <c r="U877" t="s">
        <v>44</v>
      </c>
      <c r="V877">
        <v>0</v>
      </c>
      <c r="W877">
        <v>422</v>
      </c>
      <c r="X877" t="s">
        <v>44</v>
      </c>
      <c r="Y877" t="s">
        <v>44</v>
      </c>
      <c r="Z877" t="s">
        <v>44</v>
      </c>
      <c r="AA877">
        <v>8</v>
      </c>
      <c r="AB877">
        <v>0</v>
      </c>
      <c r="AC877">
        <v>0</v>
      </c>
      <c r="AD877">
        <v>0</v>
      </c>
      <c r="AE877">
        <v>0</v>
      </c>
      <c r="AF877">
        <v>6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8</v>
      </c>
      <c r="AQ877">
        <f t="shared" si="32"/>
        <v>8</v>
      </c>
      <c r="AR877" s="5">
        <f>VLOOKUP(F877,'[2]SCP_24-25'!$A:$D,4,0)</f>
        <v>1.2</v>
      </c>
      <c r="AS877" s="5">
        <f t="shared" si="30"/>
        <v>9.6</v>
      </c>
    </row>
    <row r="878" spans="1:45" x14ac:dyDescent="0.3">
      <c r="A878" s="1">
        <v>45900.962500000001</v>
      </c>
      <c r="B878" t="s">
        <v>1363</v>
      </c>
      <c r="C878" t="s">
        <v>1364</v>
      </c>
      <c r="D878" t="s">
        <v>1457</v>
      </c>
      <c r="F878" t="s">
        <v>2176</v>
      </c>
      <c r="G878" t="s">
        <v>123</v>
      </c>
      <c r="H878" t="s">
        <v>120</v>
      </c>
      <c r="I878" t="s">
        <v>43</v>
      </c>
      <c r="J878">
        <v>10</v>
      </c>
      <c r="K878">
        <v>19</v>
      </c>
      <c r="L878">
        <v>11</v>
      </c>
      <c r="M878">
        <v>10</v>
      </c>
      <c r="N878">
        <v>12</v>
      </c>
      <c r="O878">
        <v>0</v>
      </c>
      <c r="P878">
        <v>0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>
        <v>12</v>
      </c>
      <c r="W878" t="s">
        <v>44</v>
      </c>
      <c r="X878" t="s">
        <v>44</v>
      </c>
      <c r="Y878">
        <v>12</v>
      </c>
      <c r="Z878" t="s">
        <v>44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12</v>
      </c>
      <c r="AQ878">
        <f t="shared" si="32"/>
        <v>12</v>
      </c>
      <c r="AR878" s="5">
        <f>VLOOKUP(F878,'[1]Cost Sheet'!$C:$D,2,0)</f>
        <v>34</v>
      </c>
      <c r="AS878" s="5">
        <f t="shared" si="30"/>
        <v>408</v>
      </c>
    </row>
    <row r="879" spans="1:45" x14ac:dyDescent="0.3">
      <c r="A879" s="1">
        <v>45900.962500000001</v>
      </c>
      <c r="B879" t="s">
        <v>1363</v>
      </c>
      <c r="C879" t="s">
        <v>1364</v>
      </c>
      <c r="D879" t="s">
        <v>558</v>
      </c>
      <c r="F879" t="s">
        <v>1733</v>
      </c>
      <c r="G879" t="s">
        <v>559</v>
      </c>
      <c r="H879" t="s">
        <v>66</v>
      </c>
      <c r="I879" t="s">
        <v>415</v>
      </c>
      <c r="J879">
        <v>100</v>
      </c>
      <c r="K879">
        <v>19</v>
      </c>
      <c r="L879">
        <v>10</v>
      </c>
      <c r="M879">
        <v>11</v>
      </c>
      <c r="N879">
        <v>24392</v>
      </c>
      <c r="O879">
        <v>0</v>
      </c>
      <c r="P879">
        <v>0</v>
      </c>
      <c r="Q879">
        <v>3</v>
      </c>
      <c r="R879">
        <v>4659</v>
      </c>
      <c r="S879" t="s">
        <v>44</v>
      </c>
      <c r="T879" t="s">
        <v>44</v>
      </c>
      <c r="U879" t="s">
        <v>44</v>
      </c>
      <c r="V879">
        <v>0</v>
      </c>
      <c r="W879">
        <v>500</v>
      </c>
      <c r="X879" t="s">
        <v>44</v>
      </c>
      <c r="Y879" t="s">
        <v>44</v>
      </c>
      <c r="Z879" t="s">
        <v>44</v>
      </c>
      <c r="AA879">
        <v>340</v>
      </c>
      <c r="AB879">
        <v>0</v>
      </c>
      <c r="AC879">
        <v>0</v>
      </c>
      <c r="AD879">
        <v>0</v>
      </c>
      <c r="AE879">
        <v>0</v>
      </c>
      <c r="AF879">
        <v>4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340</v>
      </c>
      <c r="AQ879">
        <f t="shared" si="32"/>
        <v>340</v>
      </c>
      <c r="AR879" s="5">
        <f>VLOOKUP(F879,'[2]SCP_24-25'!$A:$D,4,0)</f>
        <v>64.38</v>
      </c>
      <c r="AS879" s="5">
        <f t="shared" si="30"/>
        <v>21889.199999999997</v>
      </c>
    </row>
    <row r="880" spans="1:45" x14ac:dyDescent="0.3">
      <c r="A880" s="1">
        <v>45900.962500000001</v>
      </c>
      <c r="B880" t="s">
        <v>1363</v>
      </c>
      <c r="C880" t="s">
        <v>1364</v>
      </c>
      <c r="D880" t="s">
        <v>473</v>
      </c>
      <c r="F880" t="s">
        <v>1691</v>
      </c>
      <c r="G880" t="s">
        <v>474</v>
      </c>
      <c r="H880" t="s">
        <v>103</v>
      </c>
      <c r="I880" t="s">
        <v>415</v>
      </c>
      <c r="J880">
        <v>200</v>
      </c>
      <c r="K880">
        <v>19</v>
      </c>
      <c r="L880">
        <v>10</v>
      </c>
      <c r="M880">
        <v>11</v>
      </c>
      <c r="N880">
        <v>17370</v>
      </c>
      <c r="O880">
        <v>1</v>
      </c>
      <c r="P880">
        <v>0</v>
      </c>
      <c r="Q880">
        <v>4</v>
      </c>
      <c r="R880">
        <v>3975</v>
      </c>
      <c r="S880" t="s">
        <v>44</v>
      </c>
      <c r="T880">
        <v>3000</v>
      </c>
      <c r="U880" t="s">
        <v>44</v>
      </c>
      <c r="V880">
        <v>0</v>
      </c>
      <c r="W880" t="s">
        <v>44</v>
      </c>
      <c r="X880" t="s">
        <v>44</v>
      </c>
      <c r="Y880" t="s">
        <v>44</v>
      </c>
      <c r="Z880" t="s">
        <v>44</v>
      </c>
      <c r="AA880">
        <v>177</v>
      </c>
      <c r="AB880">
        <v>0</v>
      </c>
      <c r="AC880">
        <v>0</v>
      </c>
      <c r="AD880">
        <v>0</v>
      </c>
      <c r="AE880">
        <v>0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178</v>
      </c>
      <c r="AQ880">
        <f t="shared" si="32"/>
        <v>178</v>
      </c>
      <c r="AR880" s="5">
        <f>VLOOKUP(F880,'[2]SCP_24-25'!$A:$D,4,0)</f>
        <v>40.409999999999997</v>
      </c>
      <c r="AS880" s="5">
        <f t="shared" si="30"/>
        <v>7192.98</v>
      </c>
    </row>
    <row r="881" spans="1:45" x14ac:dyDescent="0.3">
      <c r="A881" s="1">
        <v>45900.962500000001</v>
      </c>
      <c r="B881" t="s">
        <v>1363</v>
      </c>
      <c r="C881" t="s">
        <v>1364</v>
      </c>
      <c r="D881" t="s">
        <v>475</v>
      </c>
      <c r="F881" t="s">
        <v>1692</v>
      </c>
      <c r="G881" t="s">
        <v>476</v>
      </c>
      <c r="H881" t="s">
        <v>103</v>
      </c>
      <c r="I881" t="s">
        <v>415</v>
      </c>
      <c r="J881">
        <v>200</v>
      </c>
      <c r="K881">
        <v>19</v>
      </c>
      <c r="L881">
        <v>10</v>
      </c>
      <c r="M881">
        <v>11</v>
      </c>
      <c r="N881">
        <v>5734</v>
      </c>
      <c r="O881">
        <v>0</v>
      </c>
      <c r="P881">
        <v>0</v>
      </c>
      <c r="Q881">
        <v>3</v>
      </c>
      <c r="R881">
        <v>672</v>
      </c>
      <c r="S881" t="s">
        <v>44</v>
      </c>
      <c r="T881">
        <v>124</v>
      </c>
      <c r="U881" t="s">
        <v>44</v>
      </c>
      <c r="V881">
        <v>0</v>
      </c>
      <c r="W881" t="s">
        <v>44</v>
      </c>
      <c r="X881" t="s">
        <v>44</v>
      </c>
      <c r="Y881" t="s">
        <v>44</v>
      </c>
      <c r="Z881" t="s">
        <v>44</v>
      </c>
      <c r="AA881">
        <v>27</v>
      </c>
      <c r="AB881">
        <v>0</v>
      </c>
      <c r="AC881">
        <v>0</v>
      </c>
      <c r="AD881">
        <v>0</v>
      </c>
      <c r="AE881">
        <v>0</v>
      </c>
      <c r="AF881">
        <v>6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27</v>
      </c>
      <c r="AQ881">
        <f t="shared" si="32"/>
        <v>27</v>
      </c>
      <c r="AR881" s="5">
        <f>VLOOKUP(F881,'[2]SCP_24-25'!$A:$D,4,0)</f>
        <v>62.03</v>
      </c>
      <c r="AS881" s="5">
        <f t="shared" si="30"/>
        <v>1674.81</v>
      </c>
    </row>
    <row r="882" spans="1:45" x14ac:dyDescent="0.3">
      <c r="A882" s="1">
        <v>45900.962500000001</v>
      </c>
      <c r="B882" t="s">
        <v>1363</v>
      </c>
      <c r="C882" t="s">
        <v>1364</v>
      </c>
      <c r="D882" t="s">
        <v>584</v>
      </c>
      <c r="F882" t="s">
        <v>1746</v>
      </c>
      <c r="G882" t="s">
        <v>585</v>
      </c>
      <c r="H882" t="s">
        <v>103</v>
      </c>
      <c r="I882" t="s">
        <v>415</v>
      </c>
      <c r="J882">
        <v>200</v>
      </c>
      <c r="K882">
        <v>19</v>
      </c>
      <c r="L882">
        <v>10</v>
      </c>
      <c r="M882">
        <v>11</v>
      </c>
      <c r="N882">
        <v>4512</v>
      </c>
      <c r="O882">
        <v>0</v>
      </c>
      <c r="P882">
        <v>0</v>
      </c>
      <c r="Q882" t="s">
        <v>44</v>
      </c>
      <c r="R882">
        <v>1251</v>
      </c>
      <c r="S882" t="s">
        <v>44</v>
      </c>
      <c r="T882">
        <v>480</v>
      </c>
      <c r="U882" t="s">
        <v>44</v>
      </c>
      <c r="V882">
        <v>0</v>
      </c>
      <c r="W882" t="s">
        <v>44</v>
      </c>
      <c r="X882" t="s">
        <v>44</v>
      </c>
      <c r="Y882" t="s">
        <v>44</v>
      </c>
      <c r="Z882" t="s">
        <v>44</v>
      </c>
      <c r="AA882">
        <v>55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55</v>
      </c>
      <c r="AQ882">
        <f t="shared" si="32"/>
        <v>55</v>
      </c>
      <c r="AR882" s="5">
        <f>VLOOKUP(F882,'[2]SCP_24-25'!$A:$D,4,0)</f>
        <v>65.53</v>
      </c>
      <c r="AS882" s="5">
        <f t="shared" si="30"/>
        <v>3604.15</v>
      </c>
    </row>
    <row r="883" spans="1:45" x14ac:dyDescent="0.3">
      <c r="A883" s="1">
        <v>45900.962500000001</v>
      </c>
      <c r="B883" t="s">
        <v>1363</v>
      </c>
      <c r="C883" t="s">
        <v>1364</v>
      </c>
      <c r="D883" t="s">
        <v>1462</v>
      </c>
      <c r="F883" t="s">
        <v>2180</v>
      </c>
      <c r="G883" t="s">
        <v>422</v>
      </c>
      <c r="H883" t="s">
        <v>120</v>
      </c>
      <c r="I883" t="s">
        <v>43</v>
      </c>
      <c r="J883">
        <v>10</v>
      </c>
      <c r="K883">
        <v>19</v>
      </c>
      <c r="L883">
        <v>11</v>
      </c>
      <c r="M883">
        <v>10</v>
      </c>
      <c r="N883">
        <v>12</v>
      </c>
      <c r="O883">
        <v>0</v>
      </c>
      <c r="P883">
        <v>0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>
        <v>12</v>
      </c>
      <c r="W883" t="s">
        <v>44</v>
      </c>
      <c r="X883" t="s">
        <v>44</v>
      </c>
      <c r="Y883">
        <v>12</v>
      </c>
      <c r="Z883" t="s">
        <v>44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12</v>
      </c>
      <c r="AQ883">
        <f t="shared" ref="AQ883:AQ938" si="33">O883+P883+V883+AA883</f>
        <v>12</v>
      </c>
      <c r="AR883" s="5">
        <f>VLOOKUP(F883,'[1]Cost Sheet'!$C:$D,2,0)</f>
        <v>34</v>
      </c>
      <c r="AS883" s="5">
        <f t="shared" si="30"/>
        <v>408</v>
      </c>
    </row>
    <row r="884" spans="1:45" x14ac:dyDescent="0.3">
      <c r="A884" s="1">
        <v>45900.962500000001</v>
      </c>
      <c r="B884" t="s">
        <v>1363</v>
      </c>
      <c r="C884" t="s">
        <v>1364</v>
      </c>
      <c r="D884" t="s">
        <v>811</v>
      </c>
      <c r="F884" t="s">
        <v>1857</v>
      </c>
      <c r="G884" t="s">
        <v>812</v>
      </c>
      <c r="H884" t="s">
        <v>130</v>
      </c>
      <c r="I884" t="s">
        <v>415</v>
      </c>
      <c r="J884">
        <v>3.5</v>
      </c>
      <c r="K884">
        <v>19</v>
      </c>
      <c r="L884">
        <v>10</v>
      </c>
      <c r="M884">
        <v>11</v>
      </c>
      <c r="N884">
        <v>72</v>
      </c>
      <c r="O884">
        <v>0</v>
      </c>
      <c r="P884">
        <v>0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>
        <v>57</v>
      </c>
      <c r="W884" t="s">
        <v>44</v>
      </c>
      <c r="X884" t="s">
        <v>44</v>
      </c>
      <c r="Y884">
        <v>57</v>
      </c>
      <c r="Z884" t="s">
        <v>44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57</v>
      </c>
      <c r="AQ884">
        <f t="shared" si="33"/>
        <v>57</v>
      </c>
      <c r="AR884" s="5">
        <f>VLOOKUP(F884,'[2]SCP_24-25'!$A:$D,4,0)</f>
        <v>149.82</v>
      </c>
      <c r="AS884" s="5">
        <f t="shared" si="30"/>
        <v>8539.74</v>
      </c>
    </row>
    <row r="885" spans="1:45" x14ac:dyDescent="0.3">
      <c r="A885" s="1">
        <v>45900.962500000001</v>
      </c>
      <c r="B885" t="s">
        <v>1363</v>
      </c>
      <c r="C885" t="s">
        <v>1364</v>
      </c>
      <c r="D885" t="s">
        <v>813</v>
      </c>
      <c r="F885" t="s">
        <v>1858</v>
      </c>
      <c r="G885" t="s">
        <v>814</v>
      </c>
      <c r="H885" t="s">
        <v>130</v>
      </c>
      <c r="I885" t="s">
        <v>415</v>
      </c>
      <c r="J885">
        <v>3.5</v>
      </c>
      <c r="K885">
        <v>19</v>
      </c>
      <c r="L885">
        <v>10</v>
      </c>
      <c r="M885">
        <v>11</v>
      </c>
      <c r="N885">
        <v>72</v>
      </c>
      <c r="O885">
        <v>0</v>
      </c>
      <c r="P885">
        <v>0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>
        <v>60</v>
      </c>
      <c r="W885" t="s">
        <v>44</v>
      </c>
      <c r="X885" t="s">
        <v>44</v>
      </c>
      <c r="Y885">
        <v>60</v>
      </c>
      <c r="Z885" t="s">
        <v>44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61</v>
      </c>
      <c r="AQ885">
        <f t="shared" si="33"/>
        <v>61</v>
      </c>
      <c r="AR885" s="5">
        <f>VLOOKUP(F885,'[2]SCP_24-25'!$A:$D,4,0)</f>
        <v>149.81999999999996</v>
      </c>
      <c r="AS885" s="5">
        <f t="shared" si="30"/>
        <v>9139.0199999999986</v>
      </c>
    </row>
    <row r="886" spans="1:45" x14ac:dyDescent="0.3">
      <c r="A886" s="1">
        <v>45900.962500000001</v>
      </c>
      <c r="B886" t="s">
        <v>1363</v>
      </c>
      <c r="C886" t="s">
        <v>1364</v>
      </c>
      <c r="D886" t="s">
        <v>815</v>
      </c>
      <c r="F886" t="s">
        <v>1859</v>
      </c>
      <c r="G886" t="s">
        <v>816</v>
      </c>
      <c r="H886" t="s">
        <v>130</v>
      </c>
      <c r="I886" t="s">
        <v>415</v>
      </c>
      <c r="J886">
        <v>3.5</v>
      </c>
      <c r="K886">
        <v>19</v>
      </c>
      <c r="L886">
        <v>10</v>
      </c>
      <c r="M886">
        <v>11</v>
      </c>
      <c r="N886">
        <v>72</v>
      </c>
      <c r="O886">
        <v>0</v>
      </c>
      <c r="P886">
        <v>0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>
        <v>64</v>
      </c>
      <c r="W886" t="s">
        <v>44</v>
      </c>
      <c r="X886" t="s">
        <v>44</v>
      </c>
      <c r="Y886">
        <v>64</v>
      </c>
      <c r="Z886" t="s">
        <v>44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65</v>
      </c>
      <c r="AQ886">
        <f t="shared" si="33"/>
        <v>65</v>
      </c>
      <c r="AR886" s="5">
        <f>VLOOKUP(F886,'[2]SCP_24-25'!$A:$D,4,0)</f>
        <v>149.82</v>
      </c>
      <c r="AS886" s="5">
        <f t="shared" si="30"/>
        <v>9738.2999999999993</v>
      </c>
    </row>
    <row r="887" spans="1:45" x14ac:dyDescent="0.3">
      <c r="A887" s="1">
        <v>45900.962500000001</v>
      </c>
      <c r="B887" t="s">
        <v>1363</v>
      </c>
      <c r="C887" t="s">
        <v>1364</v>
      </c>
      <c r="D887" t="s">
        <v>817</v>
      </c>
      <c r="F887" t="s">
        <v>1860</v>
      </c>
      <c r="G887" t="s">
        <v>818</v>
      </c>
      <c r="H887" t="s">
        <v>130</v>
      </c>
      <c r="I887" t="s">
        <v>415</v>
      </c>
      <c r="J887">
        <v>3.5</v>
      </c>
      <c r="K887">
        <v>19</v>
      </c>
      <c r="L887">
        <v>10</v>
      </c>
      <c r="M887">
        <v>11</v>
      </c>
      <c r="N887">
        <v>72</v>
      </c>
      <c r="O887">
        <v>0</v>
      </c>
      <c r="P887">
        <v>0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>
        <v>67</v>
      </c>
      <c r="W887" t="s">
        <v>44</v>
      </c>
      <c r="X887" t="s">
        <v>44</v>
      </c>
      <c r="Y887">
        <v>67</v>
      </c>
      <c r="Z887" t="s">
        <v>44</v>
      </c>
      <c r="AA887">
        <v>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69</v>
      </c>
      <c r="AQ887">
        <f t="shared" si="33"/>
        <v>69</v>
      </c>
      <c r="AR887" s="5">
        <f>VLOOKUP(F887,'[2]SCP_24-25'!$A:$D,4,0)</f>
        <v>149.82</v>
      </c>
      <c r="AS887" s="5">
        <f t="shared" si="30"/>
        <v>10337.58</v>
      </c>
    </row>
    <row r="888" spans="1:45" x14ac:dyDescent="0.3">
      <c r="A888" s="1">
        <v>45900.962500000001</v>
      </c>
      <c r="B888" t="s">
        <v>1363</v>
      </c>
      <c r="C888" t="s">
        <v>1364</v>
      </c>
      <c r="D888" t="s">
        <v>819</v>
      </c>
      <c r="F888" t="s">
        <v>1861</v>
      </c>
      <c r="G888" t="s">
        <v>820</v>
      </c>
      <c r="H888" t="s">
        <v>130</v>
      </c>
      <c r="I888" t="s">
        <v>415</v>
      </c>
      <c r="J888">
        <v>3.5</v>
      </c>
      <c r="K888">
        <v>19</v>
      </c>
      <c r="L888">
        <v>10</v>
      </c>
      <c r="M888">
        <v>11</v>
      </c>
      <c r="N888">
        <v>72</v>
      </c>
      <c r="O888">
        <v>0</v>
      </c>
      <c r="P888">
        <v>0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>
        <v>65</v>
      </c>
      <c r="W888" t="s">
        <v>44</v>
      </c>
      <c r="X888" t="s">
        <v>44</v>
      </c>
      <c r="Y888">
        <v>65</v>
      </c>
      <c r="Z888" t="s">
        <v>44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65</v>
      </c>
      <c r="AQ888">
        <f t="shared" si="33"/>
        <v>65</v>
      </c>
      <c r="AR888" s="5">
        <f>VLOOKUP(F888,'[2]SCP_24-25'!$A:$D,4,0)</f>
        <v>149.82</v>
      </c>
      <c r="AS888" s="5">
        <f t="shared" si="30"/>
        <v>9738.2999999999993</v>
      </c>
    </row>
    <row r="889" spans="1:45" x14ac:dyDescent="0.3">
      <c r="A889" s="1">
        <v>45900.962500000001</v>
      </c>
      <c r="B889" t="s">
        <v>1363</v>
      </c>
      <c r="C889" t="s">
        <v>1364</v>
      </c>
      <c r="D889" t="s">
        <v>821</v>
      </c>
      <c r="F889" t="s">
        <v>1862</v>
      </c>
      <c r="G889" t="s">
        <v>822</v>
      </c>
      <c r="H889" t="s">
        <v>130</v>
      </c>
      <c r="I889" t="s">
        <v>415</v>
      </c>
      <c r="J889">
        <v>3.5</v>
      </c>
      <c r="K889">
        <v>19</v>
      </c>
      <c r="L889">
        <v>10</v>
      </c>
      <c r="M889">
        <v>11</v>
      </c>
      <c r="N889">
        <v>20</v>
      </c>
      <c r="O889">
        <v>0</v>
      </c>
      <c r="P889">
        <v>0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>
        <v>18</v>
      </c>
      <c r="W889" t="s">
        <v>44</v>
      </c>
      <c r="X889" t="s">
        <v>44</v>
      </c>
      <c r="Y889">
        <v>18</v>
      </c>
      <c r="Z889" t="s">
        <v>44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18</v>
      </c>
      <c r="AQ889">
        <f t="shared" si="33"/>
        <v>18</v>
      </c>
      <c r="AR889" s="5">
        <f>VLOOKUP(F889,'[2]SCP_24-25'!$A:$D,4,0)</f>
        <v>149.82</v>
      </c>
      <c r="AS889" s="5">
        <f t="shared" si="30"/>
        <v>2696.7599999999998</v>
      </c>
    </row>
    <row r="890" spans="1:45" x14ac:dyDescent="0.3">
      <c r="A890" s="1">
        <v>45900.962500000001</v>
      </c>
      <c r="B890" t="s">
        <v>1363</v>
      </c>
      <c r="C890" t="s">
        <v>1364</v>
      </c>
      <c r="D890" t="s">
        <v>823</v>
      </c>
      <c r="F890" t="s">
        <v>1863</v>
      </c>
      <c r="G890" t="s">
        <v>824</v>
      </c>
      <c r="H890" t="s">
        <v>130</v>
      </c>
      <c r="I890" t="s">
        <v>415</v>
      </c>
      <c r="J890">
        <v>3.5</v>
      </c>
      <c r="K890">
        <v>19</v>
      </c>
      <c r="L890">
        <v>10</v>
      </c>
      <c r="M890">
        <v>11</v>
      </c>
      <c r="N890">
        <v>72</v>
      </c>
      <c r="O890">
        <v>0</v>
      </c>
      <c r="P890">
        <v>0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>
        <v>67</v>
      </c>
      <c r="W890" t="s">
        <v>44</v>
      </c>
      <c r="X890" t="s">
        <v>44</v>
      </c>
      <c r="Y890">
        <v>67</v>
      </c>
      <c r="Z890" t="s">
        <v>44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67</v>
      </c>
      <c r="AQ890">
        <f t="shared" si="33"/>
        <v>67</v>
      </c>
      <c r="AR890" s="5">
        <f>VLOOKUP(F890,'[2]SCP_24-25'!$A:$D,4,0)</f>
        <v>149.82</v>
      </c>
      <c r="AS890" s="5">
        <f t="shared" si="30"/>
        <v>10037.939999999999</v>
      </c>
    </row>
    <row r="891" spans="1:45" x14ac:dyDescent="0.3">
      <c r="A891" s="1">
        <v>45900.962500000001</v>
      </c>
      <c r="B891" t="s">
        <v>1363</v>
      </c>
      <c r="C891" t="s">
        <v>1364</v>
      </c>
      <c r="D891" t="s">
        <v>825</v>
      </c>
      <c r="F891" t="s">
        <v>1864</v>
      </c>
      <c r="G891" t="s">
        <v>826</v>
      </c>
      <c r="H891" t="s">
        <v>130</v>
      </c>
      <c r="I891" t="s">
        <v>415</v>
      </c>
      <c r="J891">
        <v>3.5</v>
      </c>
      <c r="K891">
        <v>19</v>
      </c>
      <c r="L891">
        <v>10</v>
      </c>
      <c r="M891">
        <v>11</v>
      </c>
      <c r="N891">
        <v>72</v>
      </c>
      <c r="O891">
        <v>0</v>
      </c>
      <c r="P891">
        <v>0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>
        <v>68</v>
      </c>
      <c r="W891" t="s">
        <v>44</v>
      </c>
      <c r="X891" t="s">
        <v>44</v>
      </c>
      <c r="Y891">
        <v>68</v>
      </c>
      <c r="Z891" t="s">
        <v>44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68</v>
      </c>
      <c r="AQ891">
        <f t="shared" si="33"/>
        <v>68</v>
      </c>
      <c r="AR891" s="5">
        <f>VLOOKUP(F891,'[2]SCP_24-25'!$A:$D,4,0)</f>
        <v>149.82</v>
      </c>
      <c r="AS891" s="5">
        <f t="shared" si="30"/>
        <v>10187.76</v>
      </c>
    </row>
    <row r="892" spans="1:45" x14ac:dyDescent="0.3">
      <c r="A892" s="1">
        <v>45900.962500000001</v>
      </c>
      <c r="B892" t="s">
        <v>1363</v>
      </c>
      <c r="C892" t="s">
        <v>1364</v>
      </c>
      <c r="D892" t="s">
        <v>827</v>
      </c>
      <c r="F892" t="s">
        <v>1865</v>
      </c>
      <c r="G892" t="s">
        <v>828</v>
      </c>
      <c r="H892" t="s">
        <v>130</v>
      </c>
      <c r="I892" t="s">
        <v>415</v>
      </c>
      <c r="J892">
        <v>3.5</v>
      </c>
      <c r="K892">
        <v>19</v>
      </c>
      <c r="L892">
        <v>10</v>
      </c>
      <c r="M892">
        <v>11</v>
      </c>
      <c r="N892">
        <v>72</v>
      </c>
      <c r="O892">
        <v>0</v>
      </c>
      <c r="P892">
        <v>0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>
        <v>65</v>
      </c>
      <c r="W892" t="s">
        <v>44</v>
      </c>
      <c r="X892" t="s">
        <v>44</v>
      </c>
      <c r="Y892">
        <v>65</v>
      </c>
      <c r="Z892" t="s">
        <v>44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65</v>
      </c>
      <c r="AQ892">
        <f t="shared" si="33"/>
        <v>65</v>
      </c>
      <c r="AR892" s="5">
        <f>VLOOKUP(F892,'[2]SCP_24-25'!$A:$D,4,0)</f>
        <v>149.82</v>
      </c>
      <c r="AS892" s="5">
        <f t="shared" si="30"/>
        <v>9738.2999999999993</v>
      </c>
    </row>
    <row r="893" spans="1:45" x14ac:dyDescent="0.3">
      <c r="A893" s="1">
        <v>45900.962500000001</v>
      </c>
      <c r="B893" t="s">
        <v>1363</v>
      </c>
      <c r="C893" t="s">
        <v>1364</v>
      </c>
      <c r="D893" t="s">
        <v>829</v>
      </c>
      <c r="F893" t="s">
        <v>1866</v>
      </c>
      <c r="G893" t="s">
        <v>830</v>
      </c>
      <c r="H893" t="s">
        <v>130</v>
      </c>
      <c r="I893" t="s">
        <v>415</v>
      </c>
      <c r="J893">
        <v>3.5</v>
      </c>
      <c r="K893">
        <v>19</v>
      </c>
      <c r="L893">
        <v>10</v>
      </c>
      <c r="M893">
        <v>11</v>
      </c>
      <c r="N893">
        <v>72</v>
      </c>
      <c r="O893">
        <v>0</v>
      </c>
      <c r="P893">
        <v>0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>
        <v>70</v>
      </c>
      <c r="W893" t="s">
        <v>44</v>
      </c>
      <c r="X893" t="s">
        <v>44</v>
      </c>
      <c r="Y893">
        <v>70</v>
      </c>
      <c r="Z893" t="s">
        <v>44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70</v>
      </c>
      <c r="AQ893">
        <f t="shared" si="33"/>
        <v>70</v>
      </c>
      <c r="AR893" s="5">
        <f>VLOOKUP(F893,'[2]SCP_24-25'!$A:$D,4,0)</f>
        <v>149.82</v>
      </c>
      <c r="AS893" s="5">
        <f t="shared" si="30"/>
        <v>10487.4</v>
      </c>
    </row>
    <row r="894" spans="1:45" x14ac:dyDescent="0.3">
      <c r="A894" s="1">
        <v>45900.962500000001</v>
      </c>
      <c r="B894" t="s">
        <v>1363</v>
      </c>
      <c r="C894" t="s">
        <v>1364</v>
      </c>
      <c r="D894" t="s">
        <v>833</v>
      </c>
      <c r="F894" t="s">
        <v>1868</v>
      </c>
      <c r="G894" t="s">
        <v>834</v>
      </c>
      <c r="H894" t="s">
        <v>130</v>
      </c>
      <c r="I894" t="s">
        <v>415</v>
      </c>
      <c r="J894">
        <v>3.5</v>
      </c>
      <c r="K894">
        <v>19</v>
      </c>
      <c r="L894">
        <v>10</v>
      </c>
      <c r="M894">
        <v>11</v>
      </c>
      <c r="N894">
        <v>72</v>
      </c>
      <c r="O894">
        <v>0</v>
      </c>
      <c r="P894">
        <v>0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>
        <v>69</v>
      </c>
      <c r="W894" t="s">
        <v>44</v>
      </c>
      <c r="X894" t="s">
        <v>44</v>
      </c>
      <c r="Y894">
        <v>69</v>
      </c>
      <c r="Z894" t="s">
        <v>44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69</v>
      </c>
      <c r="AQ894">
        <f t="shared" si="33"/>
        <v>69</v>
      </c>
      <c r="AR894" s="5">
        <f>VLOOKUP(F894,'[2]SCP_24-25'!$A:$D,4,0)</f>
        <v>149.82</v>
      </c>
      <c r="AS894" s="5">
        <f t="shared" si="30"/>
        <v>10337.58</v>
      </c>
    </row>
    <row r="895" spans="1:45" x14ac:dyDescent="0.3">
      <c r="A895" s="1">
        <v>45900.962500000001</v>
      </c>
      <c r="B895" t="s">
        <v>1363</v>
      </c>
      <c r="C895" t="s">
        <v>1364</v>
      </c>
      <c r="D895" t="s">
        <v>837</v>
      </c>
      <c r="F895" t="s">
        <v>1870</v>
      </c>
      <c r="G895" t="s">
        <v>838</v>
      </c>
      <c r="H895" t="s">
        <v>130</v>
      </c>
      <c r="I895" t="s">
        <v>415</v>
      </c>
      <c r="J895">
        <v>3.5</v>
      </c>
      <c r="K895">
        <v>19</v>
      </c>
      <c r="L895">
        <v>10</v>
      </c>
      <c r="M895">
        <v>11</v>
      </c>
      <c r="N895">
        <v>72</v>
      </c>
      <c r="O895">
        <v>0</v>
      </c>
      <c r="P895">
        <v>0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>
        <v>65</v>
      </c>
      <c r="W895" t="s">
        <v>44</v>
      </c>
      <c r="X895" t="s">
        <v>44</v>
      </c>
      <c r="Y895">
        <v>65</v>
      </c>
      <c r="Z895" t="s">
        <v>44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66</v>
      </c>
      <c r="AQ895">
        <f t="shared" si="33"/>
        <v>66</v>
      </c>
      <c r="AR895" s="5">
        <f>VLOOKUP(F895,'[2]SCP_24-25'!$A:$D,4,0)</f>
        <v>149.82</v>
      </c>
      <c r="AS895" s="5">
        <f t="shared" si="30"/>
        <v>9888.119999999999</v>
      </c>
    </row>
    <row r="896" spans="1:45" x14ac:dyDescent="0.3">
      <c r="A896" s="1">
        <v>45900.962500000001</v>
      </c>
      <c r="B896" t="s">
        <v>1363</v>
      </c>
      <c r="C896" t="s">
        <v>1364</v>
      </c>
      <c r="D896" t="s">
        <v>769</v>
      </c>
      <c r="F896" t="s">
        <v>1837</v>
      </c>
      <c r="G896" t="s">
        <v>770</v>
      </c>
      <c r="H896" t="s">
        <v>130</v>
      </c>
      <c r="I896" t="s">
        <v>415</v>
      </c>
      <c r="J896">
        <v>12</v>
      </c>
      <c r="K896">
        <v>19</v>
      </c>
      <c r="L896">
        <v>10</v>
      </c>
      <c r="M896">
        <v>11</v>
      </c>
      <c r="N896">
        <v>24</v>
      </c>
      <c r="O896">
        <v>0</v>
      </c>
      <c r="P896">
        <v>0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>
        <v>0</v>
      </c>
      <c r="W896" t="s">
        <v>44</v>
      </c>
      <c r="X896" t="s">
        <v>44</v>
      </c>
      <c r="Y896" t="s">
        <v>44</v>
      </c>
      <c r="Z896" t="s">
        <v>44</v>
      </c>
      <c r="AA896">
        <v>3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3</v>
      </c>
      <c r="AQ896">
        <f t="shared" si="33"/>
        <v>3</v>
      </c>
      <c r="AR896" s="5">
        <f>VLOOKUP(F896,'[2]SCP_24-25'!$A:$D,4,0)</f>
        <v>137.76</v>
      </c>
      <c r="AS896" s="5">
        <f t="shared" si="30"/>
        <v>413.28</v>
      </c>
    </row>
    <row r="897" spans="1:45" x14ac:dyDescent="0.3">
      <c r="A897" s="1">
        <v>45900.962500000001</v>
      </c>
      <c r="B897" t="s">
        <v>1363</v>
      </c>
      <c r="C897" t="s">
        <v>1364</v>
      </c>
      <c r="D897" t="s">
        <v>839</v>
      </c>
      <c r="F897" t="s">
        <v>1871</v>
      </c>
      <c r="G897" t="s">
        <v>840</v>
      </c>
      <c r="H897" t="s">
        <v>130</v>
      </c>
      <c r="I897" t="s">
        <v>415</v>
      </c>
      <c r="J897">
        <v>12</v>
      </c>
      <c r="K897">
        <v>19</v>
      </c>
      <c r="L897">
        <v>10</v>
      </c>
      <c r="M897">
        <v>11</v>
      </c>
      <c r="N897">
        <v>24</v>
      </c>
      <c r="O897">
        <v>0</v>
      </c>
      <c r="P897">
        <v>0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>
        <v>0</v>
      </c>
      <c r="W897" t="s">
        <v>44</v>
      </c>
      <c r="X897" t="s">
        <v>44</v>
      </c>
      <c r="Y897" t="s">
        <v>44</v>
      </c>
      <c r="Z897" t="s">
        <v>44</v>
      </c>
      <c r="AA897">
        <v>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2</v>
      </c>
      <c r="AQ897">
        <f t="shared" si="33"/>
        <v>2</v>
      </c>
      <c r="AR897" s="5">
        <f>VLOOKUP(F897,'[2]SCP_24-25'!$A:$D,4,0)</f>
        <v>137.76</v>
      </c>
      <c r="AS897" s="5">
        <f t="shared" si="30"/>
        <v>275.52</v>
      </c>
    </row>
    <row r="898" spans="1:45" x14ac:dyDescent="0.3">
      <c r="A898" s="1">
        <v>45900.962500000001</v>
      </c>
      <c r="B898" t="s">
        <v>1363</v>
      </c>
      <c r="C898" t="s">
        <v>1364</v>
      </c>
      <c r="D898" t="s">
        <v>841</v>
      </c>
      <c r="F898" t="s">
        <v>1872</v>
      </c>
      <c r="G898" t="s">
        <v>842</v>
      </c>
      <c r="H898" t="s">
        <v>130</v>
      </c>
      <c r="I898" t="s">
        <v>415</v>
      </c>
      <c r="J898">
        <v>12</v>
      </c>
      <c r="K898">
        <v>19</v>
      </c>
      <c r="L898">
        <v>10</v>
      </c>
      <c r="M898">
        <v>11</v>
      </c>
      <c r="N898">
        <v>24</v>
      </c>
      <c r="O898">
        <v>1</v>
      </c>
      <c r="P898">
        <v>0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>
        <v>8</v>
      </c>
      <c r="W898" t="s">
        <v>44</v>
      </c>
      <c r="X898" t="s">
        <v>44</v>
      </c>
      <c r="Y898">
        <v>8</v>
      </c>
      <c r="Z898" t="s">
        <v>44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9</v>
      </c>
      <c r="AQ898">
        <f t="shared" si="33"/>
        <v>9</v>
      </c>
      <c r="AR898" s="5">
        <f>VLOOKUP(F898,'[2]SCP_24-25'!$A:$D,4,0)</f>
        <v>137.76</v>
      </c>
      <c r="AS898" s="5">
        <f t="shared" si="30"/>
        <v>1239.8399999999999</v>
      </c>
    </row>
    <row r="899" spans="1:45" x14ac:dyDescent="0.3">
      <c r="A899" s="1">
        <v>45900.962500000001</v>
      </c>
      <c r="B899" t="s">
        <v>1363</v>
      </c>
      <c r="C899" t="s">
        <v>1364</v>
      </c>
      <c r="D899" t="s">
        <v>843</v>
      </c>
      <c r="F899" t="s">
        <v>1873</v>
      </c>
      <c r="G899" t="s">
        <v>844</v>
      </c>
      <c r="H899" t="s">
        <v>130</v>
      </c>
      <c r="I899" t="s">
        <v>415</v>
      </c>
      <c r="J899">
        <v>10</v>
      </c>
      <c r="K899">
        <v>19</v>
      </c>
      <c r="L899">
        <v>10</v>
      </c>
      <c r="M899">
        <v>11</v>
      </c>
      <c r="N899">
        <v>216</v>
      </c>
      <c r="O899">
        <v>9</v>
      </c>
      <c r="P899">
        <v>0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>
        <v>88</v>
      </c>
      <c r="W899" t="s">
        <v>44</v>
      </c>
      <c r="X899" t="s">
        <v>44</v>
      </c>
      <c r="Y899">
        <v>88</v>
      </c>
      <c r="Z899" t="s">
        <v>44</v>
      </c>
      <c r="AA899">
        <v>6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103</v>
      </c>
      <c r="AQ899">
        <f t="shared" si="33"/>
        <v>103</v>
      </c>
      <c r="AR899" s="5">
        <f>VLOOKUP(F899,'[2]SCP_24-25'!$A:$D,4,0)</f>
        <v>147.47</v>
      </c>
      <c r="AS899" s="5">
        <f t="shared" ref="AS899:AS962" si="34">AQ899*AR899</f>
        <v>15189.41</v>
      </c>
    </row>
    <row r="900" spans="1:45" x14ac:dyDescent="0.3">
      <c r="A900" s="1">
        <v>45900.962500000001</v>
      </c>
      <c r="B900" t="s">
        <v>1363</v>
      </c>
      <c r="C900" t="s">
        <v>1364</v>
      </c>
      <c r="D900" t="s">
        <v>845</v>
      </c>
      <c r="F900" t="s">
        <v>1874</v>
      </c>
      <c r="G900" t="s">
        <v>846</v>
      </c>
      <c r="H900" t="s">
        <v>130</v>
      </c>
      <c r="I900" t="s">
        <v>415</v>
      </c>
      <c r="J900">
        <v>10</v>
      </c>
      <c r="K900">
        <v>19</v>
      </c>
      <c r="L900">
        <v>10</v>
      </c>
      <c r="M900">
        <v>11</v>
      </c>
      <c r="N900">
        <v>216</v>
      </c>
      <c r="O900">
        <v>12</v>
      </c>
      <c r="P900">
        <v>0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>
        <v>48</v>
      </c>
      <c r="W900" t="s">
        <v>44</v>
      </c>
      <c r="X900" t="s">
        <v>44</v>
      </c>
      <c r="Y900">
        <v>48</v>
      </c>
      <c r="Z900" t="s">
        <v>44</v>
      </c>
      <c r="AA900">
        <v>3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63</v>
      </c>
      <c r="AQ900">
        <f t="shared" si="33"/>
        <v>63</v>
      </c>
      <c r="AR900" s="5">
        <f>VLOOKUP(F900,'[2]SCP_24-25'!$A:$D,4,0)</f>
        <v>147.47</v>
      </c>
      <c r="AS900" s="5">
        <f t="shared" si="34"/>
        <v>9290.61</v>
      </c>
    </row>
    <row r="901" spans="1:45" x14ac:dyDescent="0.3">
      <c r="A901" s="1">
        <v>45900.963194444441</v>
      </c>
      <c r="B901" t="s">
        <v>1363</v>
      </c>
      <c r="C901" t="s">
        <v>1364</v>
      </c>
      <c r="D901" t="s">
        <v>133</v>
      </c>
      <c r="F901" t="s">
        <v>1544</v>
      </c>
      <c r="G901" t="s">
        <v>134</v>
      </c>
      <c r="H901" t="s">
        <v>66</v>
      </c>
      <c r="I901" t="s">
        <v>43</v>
      </c>
      <c r="J901">
        <v>137</v>
      </c>
      <c r="K901">
        <v>19</v>
      </c>
      <c r="L901">
        <v>10</v>
      </c>
      <c r="M901">
        <v>11</v>
      </c>
      <c r="N901">
        <v>69389</v>
      </c>
      <c r="O901">
        <v>20</v>
      </c>
      <c r="P901">
        <v>0</v>
      </c>
      <c r="Q901">
        <v>37</v>
      </c>
      <c r="R901">
        <v>4967</v>
      </c>
      <c r="S901" t="s">
        <v>44</v>
      </c>
      <c r="T901" t="s">
        <v>44</v>
      </c>
      <c r="U901" t="s">
        <v>44</v>
      </c>
      <c r="V901">
        <v>2740</v>
      </c>
      <c r="W901" t="s">
        <v>44</v>
      </c>
      <c r="X901" t="s">
        <v>44</v>
      </c>
      <c r="Y901">
        <v>2740</v>
      </c>
      <c r="Z901" t="s">
        <v>44</v>
      </c>
      <c r="AA901">
        <v>3</v>
      </c>
      <c r="AB901">
        <v>0</v>
      </c>
      <c r="AC901">
        <v>0</v>
      </c>
      <c r="AD901">
        <v>0</v>
      </c>
      <c r="AE901">
        <v>162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 s="2">
        <v>2763</v>
      </c>
      <c r="AQ901">
        <f t="shared" si="33"/>
        <v>2763</v>
      </c>
      <c r="AR901" s="5">
        <f>VLOOKUP(F901,'[2]SCP_24-25'!$A:$D,4,0)</f>
        <v>27.66</v>
      </c>
      <c r="AS901" s="5">
        <f t="shared" si="34"/>
        <v>76424.58</v>
      </c>
    </row>
    <row r="902" spans="1:45" x14ac:dyDescent="0.3">
      <c r="A902" s="1">
        <v>45900.963194444441</v>
      </c>
      <c r="B902" t="s">
        <v>1363</v>
      </c>
      <c r="C902" t="s">
        <v>1364</v>
      </c>
      <c r="D902" t="s">
        <v>155</v>
      </c>
      <c r="F902" t="s">
        <v>1555</v>
      </c>
      <c r="G902" t="s">
        <v>156</v>
      </c>
      <c r="H902" t="s">
        <v>66</v>
      </c>
      <c r="I902" t="s">
        <v>43</v>
      </c>
      <c r="J902">
        <v>93.19</v>
      </c>
      <c r="K902">
        <v>18</v>
      </c>
      <c r="L902">
        <v>9.5</v>
      </c>
      <c r="M902">
        <v>11</v>
      </c>
      <c r="N902">
        <v>160278</v>
      </c>
      <c r="O902">
        <v>137</v>
      </c>
      <c r="P902">
        <v>0</v>
      </c>
      <c r="Q902">
        <v>15</v>
      </c>
      <c r="R902">
        <v>9341</v>
      </c>
      <c r="S902" t="s">
        <v>44</v>
      </c>
      <c r="T902" t="s">
        <v>44</v>
      </c>
      <c r="U902" t="s">
        <v>44</v>
      </c>
      <c r="V902">
        <v>1698</v>
      </c>
      <c r="W902" t="s">
        <v>44</v>
      </c>
      <c r="X902" t="s">
        <v>44</v>
      </c>
      <c r="Y902">
        <v>1688</v>
      </c>
      <c r="Z902" t="s">
        <v>44</v>
      </c>
      <c r="AA902">
        <v>125</v>
      </c>
      <c r="AB902">
        <v>0</v>
      </c>
      <c r="AC902">
        <v>0</v>
      </c>
      <c r="AD902">
        <v>0</v>
      </c>
      <c r="AE902">
        <v>94</v>
      </c>
      <c r="AF902">
        <v>6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 s="2">
        <v>1960</v>
      </c>
      <c r="AQ902">
        <f t="shared" si="33"/>
        <v>1960</v>
      </c>
      <c r="AR902" s="5">
        <f>VLOOKUP(F902,'[2]SCP_24-25'!$A:$D,4,0)</f>
        <v>53.202222222222218</v>
      </c>
      <c r="AS902" s="5">
        <f t="shared" si="34"/>
        <v>104276.35555555555</v>
      </c>
    </row>
    <row r="903" spans="1:45" x14ac:dyDescent="0.3">
      <c r="A903" s="1">
        <v>45900.963194444441</v>
      </c>
      <c r="B903" t="s">
        <v>1363</v>
      </c>
      <c r="C903" t="s">
        <v>1364</v>
      </c>
      <c r="D903" t="s">
        <v>177</v>
      </c>
      <c r="F903" t="s">
        <v>1566</v>
      </c>
      <c r="G903" t="s">
        <v>178</v>
      </c>
      <c r="H903" t="s">
        <v>66</v>
      </c>
      <c r="I903" t="s">
        <v>43</v>
      </c>
      <c r="J903">
        <v>102</v>
      </c>
      <c r="K903">
        <v>19</v>
      </c>
      <c r="L903">
        <v>9.5</v>
      </c>
      <c r="M903">
        <v>11</v>
      </c>
      <c r="N903">
        <v>207093</v>
      </c>
      <c r="O903">
        <v>230</v>
      </c>
      <c r="P903">
        <v>0</v>
      </c>
      <c r="Q903">
        <v>209</v>
      </c>
      <c r="R903">
        <v>12685</v>
      </c>
      <c r="S903">
        <v>1</v>
      </c>
      <c r="T903" t="s">
        <v>44</v>
      </c>
      <c r="U903" t="s">
        <v>44</v>
      </c>
      <c r="V903">
        <v>2043</v>
      </c>
      <c r="W903" t="s">
        <v>44</v>
      </c>
      <c r="X903" t="s">
        <v>44</v>
      </c>
      <c r="Y903">
        <v>2001</v>
      </c>
      <c r="Z903">
        <v>1</v>
      </c>
      <c r="AA903">
        <v>167</v>
      </c>
      <c r="AB903">
        <v>0</v>
      </c>
      <c r="AC903">
        <v>0</v>
      </c>
      <c r="AD903">
        <v>0</v>
      </c>
      <c r="AE903">
        <v>145</v>
      </c>
      <c r="AF903">
        <v>8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 s="2">
        <v>2440</v>
      </c>
      <c r="AQ903">
        <f t="shared" si="33"/>
        <v>2440</v>
      </c>
      <c r="AR903" s="5">
        <f>VLOOKUP(F903,'[2]SCP_24-25'!$A:$D,4,0)</f>
        <v>76.619230769230754</v>
      </c>
      <c r="AS903" s="5">
        <f t="shared" si="34"/>
        <v>186950.92307692303</v>
      </c>
    </row>
    <row r="904" spans="1:45" x14ac:dyDescent="0.3">
      <c r="A904" s="1">
        <v>45900.963194444441</v>
      </c>
      <c r="B904" t="s">
        <v>1363</v>
      </c>
      <c r="C904" t="s">
        <v>1364</v>
      </c>
      <c r="D904" t="s">
        <v>183</v>
      </c>
      <c r="F904" t="s">
        <v>1569</v>
      </c>
      <c r="G904" t="s">
        <v>184</v>
      </c>
      <c r="H904" t="s">
        <v>66</v>
      </c>
      <c r="I904" t="s">
        <v>43</v>
      </c>
      <c r="J904">
        <v>105.88</v>
      </c>
      <c r="K904">
        <v>19</v>
      </c>
      <c r="L904">
        <v>9.5</v>
      </c>
      <c r="M904">
        <v>11</v>
      </c>
      <c r="N904">
        <v>389638</v>
      </c>
      <c r="O904">
        <v>532</v>
      </c>
      <c r="P904">
        <v>0</v>
      </c>
      <c r="Q904">
        <v>180</v>
      </c>
      <c r="R904">
        <v>18769</v>
      </c>
      <c r="S904" t="s">
        <v>44</v>
      </c>
      <c r="T904">
        <v>5742</v>
      </c>
      <c r="U904" t="s">
        <v>44</v>
      </c>
      <c r="V904">
        <v>2253</v>
      </c>
      <c r="W904" t="s">
        <v>44</v>
      </c>
      <c r="X904" t="s">
        <v>44</v>
      </c>
      <c r="Y904">
        <v>2253</v>
      </c>
      <c r="Z904" t="s">
        <v>44</v>
      </c>
      <c r="AA904">
        <v>966</v>
      </c>
      <c r="AB904">
        <v>0</v>
      </c>
      <c r="AC904">
        <v>0</v>
      </c>
      <c r="AD904">
        <v>0</v>
      </c>
      <c r="AE904">
        <v>107</v>
      </c>
      <c r="AF904">
        <v>19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 s="2">
        <v>3751</v>
      </c>
      <c r="AQ904">
        <f t="shared" si="33"/>
        <v>3751</v>
      </c>
      <c r="AR904" s="5">
        <f>VLOOKUP(F904,'[2]SCP_24-25'!$A:$D,4,0)</f>
        <v>51.841111111111118</v>
      </c>
      <c r="AS904" s="5">
        <f t="shared" si="34"/>
        <v>194456.00777777779</v>
      </c>
    </row>
    <row r="905" spans="1:45" x14ac:dyDescent="0.3">
      <c r="A905" s="1">
        <v>45900.963194444441</v>
      </c>
      <c r="B905" t="s">
        <v>1363</v>
      </c>
      <c r="C905" t="s">
        <v>1364</v>
      </c>
      <c r="D905" t="s">
        <v>200</v>
      </c>
      <c r="E905" t="s">
        <v>201</v>
      </c>
      <c r="F905" t="s">
        <v>1577</v>
      </c>
      <c r="G905" t="s">
        <v>202</v>
      </c>
      <c r="H905" t="s">
        <v>66</v>
      </c>
      <c r="I905" t="s">
        <v>43</v>
      </c>
      <c r="J905">
        <v>37</v>
      </c>
      <c r="K905">
        <v>19</v>
      </c>
      <c r="L905">
        <v>9.5</v>
      </c>
      <c r="M905">
        <v>11</v>
      </c>
      <c r="N905">
        <v>75383</v>
      </c>
      <c r="O905">
        <v>7</v>
      </c>
      <c r="P905">
        <v>0</v>
      </c>
      <c r="Q905">
        <v>9</v>
      </c>
      <c r="R905">
        <v>12319</v>
      </c>
      <c r="S905" t="s">
        <v>44</v>
      </c>
      <c r="T905" t="s">
        <v>44</v>
      </c>
      <c r="U905" t="s">
        <v>44</v>
      </c>
      <c r="V905">
        <v>1579</v>
      </c>
      <c r="W905" t="s">
        <v>44</v>
      </c>
      <c r="X905" t="s">
        <v>44</v>
      </c>
      <c r="Y905">
        <v>1575</v>
      </c>
      <c r="Z905" t="s">
        <v>44</v>
      </c>
      <c r="AA905">
        <v>6</v>
      </c>
      <c r="AB905">
        <v>0</v>
      </c>
      <c r="AC905">
        <v>0</v>
      </c>
      <c r="AD905">
        <v>0</v>
      </c>
      <c r="AE905">
        <v>3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 s="2">
        <v>1592</v>
      </c>
      <c r="AQ905">
        <f t="shared" si="33"/>
        <v>1592</v>
      </c>
      <c r="AR905" s="5">
        <f>VLOOKUP(F905,'[2]SCP_24-25'!$A:$D,4,0)</f>
        <v>18.564999999999998</v>
      </c>
      <c r="AS905" s="5">
        <f t="shared" si="34"/>
        <v>29555.479999999996</v>
      </c>
    </row>
    <row r="906" spans="1:45" x14ac:dyDescent="0.3">
      <c r="A906" s="1">
        <v>45900.963194444441</v>
      </c>
      <c r="B906" t="s">
        <v>1363</v>
      </c>
      <c r="C906" t="s">
        <v>1364</v>
      </c>
      <c r="D906" t="s">
        <v>203</v>
      </c>
      <c r="F906" t="s">
        <v>1578</v>
      </c>
      <c r="G906" t="s">
        <v>204</v>
      </c>
      <c r="H906" t="s">
        <v>66</v>
      </c>
      <c r="I906" t="s">
        <v>43</v>
      </c>
      <c r="J906">
        <v>37</v>
      </c>
      <c r="K906">
        <v>19</v>
      </c>
      <c r="L906">
        <v>9.5</v>
      </c>
      <c r="M906">
        <v>11</v>
      </c>
      <c r="N906">
        <v>100178</v>
      </c>
      <c r="O906">
        <v>88</v>
      </c>
      <c r="P906">
        <v>0</v>
      </c>
      <c r="Q906">
        <v>18</v>
      </c>
      <c r="R906">
        <v>8666</v>
      </c>
      <c r="S906" t="s">
        <v>44</v>
      </c>
      <c r="T906" t="s">
        <v>44</v>
      </c>
      <c r="U906" t="s">
        <v>44</v>
      </c>
      <c r="V906">
        <v>5677</v>
      </c>
      <c r="W906" t="s">
        <v>44</v>
      </c>
      <c r="X906" t="s">
        <v>44</v>
      </c>
      <c r="Y906">
        <v>5677</v>
      </c>
      <c r="Z906" t="s">
        <v>44</v>
      </c>
      <c r="AA906">
        <v>41</v>
      </c>
      <c r="AB906">
        <v>0</v>
      </c>
      <c r="AC906">
        <v>0</v>
      </c>
      <c r="AD906">
        <v>0</v>
      </c>
      <c r="AE906">
        <v>26</v>
      </c>
      <c r="AF906">
        <v>25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 s="2">
        <v>5806</v>
      </c>
      <c r="AQ906">
        <f t="shared" si="33"/>
        <v>5806</v>
      </c>
      <c r="AR906" s="5">
        <f>VLOOKUP(F906,'[2]SCP_24-25'!$A:$D,4,0)</f>
        <v>19.899999999999999</v>
      </c>
      <c r="AS906" s="5">
        <f t="shared" si="34"/>
        <v>115539.4</v>
      </c>
    </row>
    <row r="907" spans="1:45" x14ac:dyDescent="0.3">
      <c r="A907" s="1">
        <v>45900.963194444441</v>
      </c>
      <c r="B907" t="s">
        <v>1363</v>
      </c>
      <c r="C907" t="s">
        <v>1364</v>
      </c>
      <c r="D907" t="s">
        <v>210</v>
      </c>
      <c r="E907" t="s">
        <v>211</v>
      </c>
      <c r="F907" t="s">
        <v>1581</v>
      </c>
      <c r="G907" t="s">
        <v>212</v>
      </c>
      <c r="H907" t="s">
        <v>66</v>
      </c>
      <c r="I907" t="s">
        <v>43</v>
      </c>
      <c r="J907">
        <v>23</v>
      </c>
      <c r="K907">
        <v>19</v>
      </c>
      <c r="L907">
        <v>9.5</v>
      </c>
      <c r="M907">
        <v>11</v>
      </c>
      <c r="N907">
        <v>111080</v>
      </c>
      <c r="O907">
        <v>9</v>
      </c>
      <c r="P907">
        <v>0</v>
      </c>
      <c r="Q907">
        <v>20</v>
      </c>
      <c r="R907">
        <v>21118</v>
      </c>
      <c r="S907" t="s">
        <v>44</v>
      </c>
      <c r="T907" t="s">
        <v>44</v>
      </c>
      <c r="U907" t="s">
        <v>44</v>
      </c>
      <c r="V907">
        <v>2491</v>
      </c>
      <c r="W907" t="s">
        <v>44</v>
      </c>
      <c r="X907" t="s">
        <v>44</v>
      </c>
      <c r="Y907">
        <v>2491</v>
      </c>
      <c r="Z907" t="s">
        <v>44</v>
      </c>
      <c r="AA907">
        <v>9</v>
      </c>
      <c r="AB907">
        <v>0</v>
      </c>
      <c r="AC907">
        <v>0</v>
      </c>
      <c r="AD907">
        <v>0</v>
      </c>
      <c r="AE907">
        <v>0</v>
      </c>
      <c r="AF907">
        <v>11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 s="2">
        <v>2509</v>
      </c>
      <c r="AQ907">
        <f t="shared" si="33"/>
        <v>2509</v>
      </c>
      <c r="AR907" s="5">
        <f>VLOOKUP(F907,'[2]SCP_24-25'!$A:$D,4,0)</f>
        <v>11.69</v>
      </c>
      <c r="AS907" s="5">
        <f t="shared" si="34"/>
        <v>29330.21</v>
      </c>
    </row>
    <row r="908" spans="1:45" x14ac:dyDescent="0.3">
      <c r="A908" s="1">
        <v>45900.963194444441</v>
      </c>
      <c r="B908" t="s">
        <v>1363</v>
      </c>
      <c r="C908" t="s">
        <v>1364</v>
      </c>
      <c r="D908" t="s">
        <v>216</v>
      </c>
      <c r="F908" t="s">
        <v>1583</v>
      </c>
      <c r="G908" t="s">
        <v>217</v>
      </c>
      <c r="H908" t="s">
        <v>66</v>
      </c>
      <c r="I908" t="s">
        <v>43</v>
      </c>
      <c r="J908">
        <v>205</v>
      </c>
      <c r="K908">
        <v>19</v>
      </c>
      <c r="L908">
        <v>10</v>
      </c>
      <c r="M908">
        <v>11</v>
      </c>
      <c r="N908">
        <v>63486</v>
      </c>
      <c r="O908">
        <v>29</v>
      </c>
      <c r="P908">
        <v>0</v>
      </c>
      <c r="Q908">
        <v>21</v>
      </c>
      <c r="R908">
        <v>5557</v>
      </c>
      <c r="S908" t="s">
        <v>44</v>
      </c>
      <c r="T908" t="s">
        <v>44</v>
      </c>
      <c r="U908" t="s">
        <v>44</v>
      </c>
      <c r="V908">
        <v>2582</v>
      </c>
      <c r="W908" t="s">
        <v>44</v>
      </c>
      <c r="X908" t="s">
        <v>44</v>
      </c>
      <c r="Y908">
        <v>2528</v>
      </c>
      <c r="Z908" t="s">
        <v>44</v>
      </c>
      <c r="AA908">
        <v>29</v>
      </c>
      <c r="AB908">
        <v>0</v>
      </c>
      <c r="AC908">
        <v>0</v>
      </c>
      <c r="AD908">
        <v>0</v>
      </c>
      <c r="AE908">
        <v>121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 s="2">
        <v>2640</v>
      </c>
      <c r="AQ908">
        <f t="shared" si="33"/>
        <v>2640</v>
      </c>
      <c r="AR908" s="5">
        <f>VLOOKUP(F908,'[2]SCP_24-25'!$A:$D,4,0)</f>
        <v>61.48</v>
      </c>
      <c r="AS908" s="5">
        <f t="shared" si="34"/>
        <v>162307.19999999998</v>
      </c>
    </row>
    <row r="909" spans="1:45" x14ac:dyDescent="0.3">
      <c r="A909" s="1">
        <v>45900.963194444441</v>
      </c>
      <c r="B909" t="s">
        <v>1363</v>
      </c>
      <c r="C909" t="s">
        <v>1364</v>
      </c>
      <c r="D909" t="s">
        <v>224</v>
      </c>
      <c r="F909" t="s">
        <v>1587</v>
      </c>
      <c r="G909" t="s">
        <v>225</v>
      </c>
      <c r="H909" t="s">
        <v>66</v>
      </c>
      <c r="I909" t="s">
        <v>43</v>
      </c>
      <c r="J909">
        <v>102</v>
      </c>
      <c r="K909">
        <v>19</v>
      </c>
      <c r="L909">
        <v>10</v>
      </c>
      <c r="M909">
        <v>11</v>
      </c>
      <c r="N909">
        <v>427000</v>
      </c>
      <c r="O909">
        <v>225</v>
      </c>
      <c r="P909">
        <v>0</v>
      </c>
      <c r="Q909">
        <v>53</v>
      </c>
      <c r="R909">
        <v>25664</v>
      </c>
      <c r="S909" t="s">
        <v>44</v>
      </c>
      <c r="T909" t="s">
        <v>44</v>
      </c>
      <c r="U909" t="s">
        <v>44</v>
      </c>
      <c r="V909">
        <v>1853</v>
      </c>
      <c r="W909" t="s">
        <v>44</v>
      </c>
      <c r="X909" t="s">
        <v>44</v>
      </c>
      <c r="Y909">
        <v>1853</v>
      </c>
      <c r="Z909" t="s">
        <v>44</v>
      </c>
      <c r="AA909">
        <v>386</v>
      </c>
      <c r="AB909">
        <v>0</v>
      </c>
      <c r="AC909">
        <v>0</v>
      </c>
      <c r="AD909">
        <v>0</v>
      </c>
      <c r="AE909">
        <v>29</v>
      </c>
      <c r="AF909">
        <v>9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 s="2">
        <v>2464</v>
      </c>
      <c r="AQ909">
        <f t="shared" si="33"/>
        <v>2464</v>
      </c>
      <c r="AR909" s="5">
        <f>VLOOKUP(F909,'[2]SCP_24-25'!$A:$D,4,0)</f>
        <v>66.328461538461553</v>
      </c>
      <c r="AS909" s="5">
        <f t="shared" si="34"/>
        <v>163433.32923076928</v>
      </c>
    </row>
    <row r="910" spans="1:45" x14ac:dyDescent="0.3">
      <c r="A910" s="1">
        <v>45900.963194444441</v>
      </c>
      <c r="B910" t="s">
        <v>1363</v>
      </c>
      <c r="C910" t="s">
        <v>1364</v>
      </c>
      <c r="D910" t="s">
        <v>274</v>
      </c>
      <c r="E910" t="s">
        <v>275</v>
      </c>
      <c r="F910" t="s">
        <v>1606</v>
      </c>
      <c r="G910" t="s">
        <v>276</v>
      </c>
      <c r="H910" t="s">
        <v>103</v>
      </c>
      <c r="I910" t="s">
        <v>43</v>
      </c>
      <c r="J910">
        <v>238.02</v>
      </c>
      <c r="K910">
        <v>19</v>
      </c>
      <c r="L910">
        <v>9.5</v>
      </c>
      <c r="M910">
        <v>11</v>
      </c>
      <c r="N910">
        <v>319687</v>
      </c>
      <c r="O910">
        <v>1082</v>
      </c>
      <c r="P910">
        <v>0</v>
      </c>
      <c r="Q910">
        <v>213</v>
      </c>
      <c r="R910">
        <v>3975</v>
      </c>
      <c r="S910" t="s">
        <v>44</v>
      </c>
      <c r="T910">
        <v>5256</v>
      </c>
      <c r="U910" t="s">
        <v>44</v>
      </c>
      <c r="V910">
        <v>3929</v>
      </c>
      <c r="W910" t="s">
        <v>44</v>
      </c>
      <c r="X910" t="s">
        <v>44</v>
      </c>
      <c r="Y910">
        <v>3929</v>
      </c>
      <c r="Z910">
        <v>2</v>
      </c>
      <c r="AA910">
        <v>539</v>
      </c>
      <c r="AB910">
        <v>0</v>
      </c>
      <c r="AC910">
        <v>0</v>
      </c>
      <c r="AD910">
        <v>0</v>
      </c>
      <c r="AE910">
        <v>12</v>
      </c>
      <c r="AF910">
        <v>22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 s="2">
        <v>5550</v>
      </c>
      <c r="AQ910">
        <f t="shared" si="33"/>
        <v>5550</v>
      </c>
      <c r="AR910" s="5">
        <f>VLOOKUP(F910,'[2]SCP_24-25'!$A:$D,4,0)</f>
        <v>82.6</v>
      </c>
      <c r="AS910" s="5">
        <f t="shared" si="34"/>
        <v>458429.99999999994</v>
      </c>
    </row>
    <row r="911" spans="1:45" x14ac:dyDescent="0.3">
      <c r="A911" s="1">
        <v>45900.963194444441</v>
      </c>
      <c r="B911" t="s">
        <v>1363</v>
      </c>
      <c r="C911" t="s">
        <v>1364</v>
      </c>
      <c r="D911" t="s">
        <v>280</v>
      </c>
      <c r="E911" t="s">
        <v>281</v>
      </c>
      <c r="F911" t="s">
        <v>1608</v>
      </c>
      <c r="G911" t="s">
        <v>282</v>
      </c>
      <c r="H911" t="s">
        <v>103</v>
      </c>
      <c r="I911" t="s">
        <v>43</v>
      </c>
      <c r="J911">
        <v>199</v>
      </c>
      <c r="K911">
        <v>19</v>
      </c>
      <c r="L911">
        <v>9.5</v>
      </c>
      <c r="M911">
        <v>11</v>
      </c>
      <c r="N911">
        <v>124949</v>
      </c>
      <c r="O911">
        <v>266</v>
      </c>
      <c r="P911">
        <v>0</v>
      </c>
      <c r="Q911">
        <v>15</v>
      </c>
      <c r="R911">
        <v>6914</v>
      </c>
      <c r="S911" t="s">
        <v>44</v>
      </c>
      <c r="T911" t="s">
        <v>44</v>
      </c>
      <c r="U911" t="s">
        <v>44</v>
      </c>
      <c r="V911">
        <v>2265</v>
      </c>
      <c r="W911" t="s">
        <v>44</v>
      </c>
      <c r="X911" t="s">
        <v>44</v>
      </c>
      <c r="Y911">
        <v>2265</v>
      </c>
      <c r="Z911" t="s">
        <v>44</v>
      </c>
      <c r="AA911">
        <v>182</v>
      </c>
      <c r="AB911">
        <v>0</v>
      </c>
      <c r="AC911">
        <v>0</v>
      </c>
      <c r="AD911">
        <v>0</v>
      </c>
      <c r="AE911">
        <v>10</v>
      </c>
      <c r="AF911">
        <v>2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 s="2">
        <v>2713</v>
      </c>
      <c r="AQ911">
        <f t="shared" si="33"/>
        <v>2713</v>
      </c>
      <c r="AR911" s="5">
        <f>VLOOKUP(F911,'[2]SCP_24-25'!$A:$D,4,0)</f>
        <v>85.41</v>
      </c>
      <c r="AS911" s="5">
        <f t="shared" si="34"/>
        <v>231717.33</v>
      </c>
    </row>
    <row r="912" spans="1:45" x14ac:dyDescent="0.3">
      <c r="A912" s="1">
        <v>45900.963194444441</v>
      </c>
      <c r="B912" t="s">
        <v>1363</v>
      </c>
      <c r="C912" t="s">
        <v>1364</v>
      </c>
      <c r="D912" t="s">
        <v>301</v>
      </c>
      <c r="F912" t="s">
        <v>1616</v>
      </c>
      <c r="G912" t="s">
        <v>302</v>
      </c>
      <c r="H912" t="s">
        <v>66</v>
      </c>
      <c r="I912" t="s">
        <v>43</v>
      </c>
      <c r="J912">
        <v>30</v>
      </c>
      <c r="K912">
        <v>19</v>
      </c>
      <c r="L912">
        <v>9.5</v>
      </c>
      <c r="M912">
        <v>11</v>
      </c>
      <c r="N912">
        <v>91951</v>
      </c>
      <c r="O912">
        <v>324</v>
      </c>
      <c r="P912">
        <v>0</v>
      </c>
      <c r="Q912">
        <v>11</v>
      </c>
      <c r="R912">
        <v>11020</v>
      </c>
      <c r="S912" t="s">
        <v>44</v>
      </c>
      <c r="T912" t="s">
        <v>44</v>
      </c>
      <c r="U912" t="s">
        <v>44</v>
      </c>
      <c r="V912">
        <v>6969</v>
      </c>
      <c r="W912" t="s">
        <v>44</v>
      </c>
      <c r="X912" t="s">
        <v>44</v>
      </c>
      <c r="Y912">
        <v>6969</v>
      </c>
      <c r="Z912" t="s">
        <v>44</v>
      </c>
      <c r="AA912">
        <v>15</v>
      </c>
      <c r="AB912">
        <v>0</v>
      </c>
      <c r="AC912">
        <v>0</v>
      </c>
      <c r="AD912">
        <v>0</v>
      </c>
      <c r="AE912">
        <v>56</v>
      </c>
      <c r="AF912">
        <v>2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s="2">
        <v>7308</v>
      </c>
      <c r="AQ912">
        <f t="shared" si="33"/>
        <v>7308</v>
      </c>
      <c r="AR912" s="5">
        <f>VLOOKUP(F912,'[2]SCP_24-25'!$A:$D,4,0)</f>
        <v>17.305</v>
      </c>
      <c r="AS912" s="5">
        <f t="shared" si="34"/>
        <v>126464.94</v>
      </c>
    </row>
    <row r="913" spans="1:45" x14ac:dyDescent="0.3">
      <c r="A913" s="1">
        <v>45900.963194444441</v>
      </c>
      <c r="B913" t="s">
        <v>1363</v>
      </c>
      <c r="C913" t="s">
        <v>1364</v>
      </c>
      <c r="D913" t="s">
        <v>323</v>
      </c>
      <c r="E913" t="s">
        <v>324</v>
      </c>
      <c r="F913" t="s">
        <v>1624</v>
      </c>
      <c r="G913" t="s">
        <v>325</v>
      </c>
      <c r="H913" t="s">
        <v>66</v>
      </c>
      <c r="I913" t="s">
        <v>43</v>
      </c>
      <c r="J913">
        <v>50</v>
      </c>
      <c r="K913">
        <v>19</v>
      </c>
      <c r="L913">
        <v>11</v>
      </c>
      <c r="M913">
        <v>9.5</v>
      </c>
      <c r="N913">
        <v>42576</v>
      </c>
      <c r="O913">
        <v>0</v>
      </c>
      <c r="P913">
        <v>0</v>
      </c>
      <c r="Q913">
        <v>3</v>
      </c>
      <c r="R913">
        <v>9113</v>
      </c>
      <c r="S913" t="s">
        <v>44</v>
      </c>
      <c r="T913" t="s">
        <v>44</v>
      </c>
      <c r="U913" t="s">
        <v>44</v>
      </c>
      <c r="V913">
        <v>1168</v>
      </c>
      <c r="W913" t="s">
        <v>44</v>
      </c>
      <c r="X913" t="s">
        <v>44</v>
      </c>
      <c r="Y913">
        <v>1168</v>
      </c>
      <c r="Z913" t="s">
        <v>44</v>
      </c>
      <c r="AA913">
        <v>0</v>
      </c>
      <c r="AB913">
        <v>0</v>
      </c>
      <c r="AC913">
        <v>0</v>
      </c>
      <c r="AD913">
        <v>0</v>
      </c>
      <c r="AE913">
        <v>2102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 s="2">
        <v>1168</v>
      </c>
      <c r="AQ913">
        <f t="shared" si="33"/>
        <v>1168</v>
      </c>
      <c r="AR913" s="5">
        <f>VLOOKUP(F913,'[2]SCP_24-25'!$A:$D,4,0)</f>
        <v>14.330000000000002</v>
      </c>
      <c r="AS913" s="5">
        <f t="shared" si="34"/>
        <v>16737.440000000002</v>
      </c>
    </row>
    <row r="914" spans="1:45" x14ac:dyDescent="0.3">
      <c r="A914" s="1">
        <v>45900.963194444441</v>
      </c>
      <c r="B914" t="s">
        <v>1363</v>
      </c>
      <c r="C914" t="s">
        <v>1364</v>
      </c>
      <c r="D914" t="s">
        <v>100</v>
      </c>
      <c r="E914" t="s">
        <v>101</v>
      </c>
      <c r="F914" t="s">
        <v>1532</v>
      </c>
      <c r="G914" t="s">
        <v>102</v>
      </c>
      <c r="H914" t="s">
        <v>103</v>
      </c>
      <c r="I914" t="s">
        <v>43</v>
      </c>
      <c r="J914">
        <v>250</v>
      </c>
      <c r="K914">
        <v>19</v>
      </c>
      <c r="L914">
        <v>10</v>
      </c>
      <c r="M914">
        <v>11</v>
      </c>
      <c r="N914">
        <v>179971</v>
      </c>
      <c r="O914">
        <v>855</v>
      </c>
      <c r="P914">
        <v>0</v>
      </c>
      <c r="Q914">
        <v>111</v>
      </c>
      <c r="R914">
        <v>7981</v>
      </c>
      <c r="S914" t="s">
        <v>44</v>
      </c>
      <c r="T914" t="s">
        <v>44</v>
      </c>
      <c r="U914" t="s">
        <v>44</v>
      </c>
      <c r="V914">
        <v>2392</v>
      </c>
      <c r="W914" t="s">
        <v>44</v>
      </c>
      <c r="X914" t="s">
        <v>44</v>
      </c>
      <c r="Y914">
        <v>2392</v>
      </c>
      <c r="Z914" t="s">
        <v>44</v>
      </c>
      <c r="AA914">
        <v>191</v>
      </c>
      <c r="AB914">
        <v>0</v>
      </c>
      <c r="AC914">
        <v>0</v>
      </c>
      <c r="AD914">
        <v>0</v>
      </c>
      <c r="AE914">
        <v>14</v>
      </c>
      <c r="AF914">
        <v>17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 s="2">
        <v>3438</v>
      </c>
      <c r="AQ914">
        <f t="shared" si="33"/>
        <v>3438</v>
      </c>
      <c r="AR914" s="5">
        <f>VLOOKUP(F914,'[2]SCP_24-25'!$A:$D,4,0)</f>
        <v>50.854210526315775</v>
      </c>
      <c r="AS914" s="5">
        <f t="shared" si="34"/>
        <v>174836.77578947364</v>
      </c>
    </row>
    <row r="915" spans="1:45" x14ac:dyDescent="0.3">
      <c r="A915" s="1">
        <v>45900.963194444441</v>
      </c>
      <c r="B915" t="s">
        <v>1363</v>
      </c>
      <c r="C915" t="s">
        <v>1364</v>
      </c>
      <c r="D915" t="s">
        <v>326</v>
      </c>
      <c r="F915" t="s">
        <v>1625</v>
      </c>
      <c r="G915" t="s">
        <v>327</v>
      </c>
      <c r="H915" t="s">
        <v>66</v>
      </c>
      <c r="I915" t="s">
        <v>43</v>
      </c>
      <c r="J915">
        <v>40</v>
      </c>
      <c r="K915">
        <v>19</v>
      </c>
      <c r="L915">
        <v>11</v>
      </c>
      <c r="M915">
        <v>9.5</v>
      </c>
      <c r="N915">
        <v>155980</v>
      </c>
      <c r="O915">
        <v>69</v>
      </c>
      <c r="P915">
        <v>0</v>
      </c>
      <c r="Q915">
        <v>9</v>
      </c>
      <c r="R915">
        <v>27148</v>
      </c>
      <c r="S915" t="s">
        <v>44</v>
      </c>
      <c r="T915" t="s">
        <v>44</v>
      </c>
      <c r="U915" t="s">
        <v>44</v>
      </c>
      <c r="V915">
        <v>8983</v>
      </c>
      <c r="W915" t="s">
        <v>44</v>
      </c>
      <c r="X915" t="s">
        <v>44</v>
      </c>
      <c r="Y915">
        <v>8983</v>
      </c>
      <c r="Z915" t="s">
        <v>44</v>
      </c>
      <c r="AA915">
        <v>19</v>
      </c>
      <c r="AB915">
        <v>0</v>
      </c>
      <c r="AC915">
        <v>0</v>
      </c>
      <c r="AD915">
        <v>0</v>
      </c>
      <c r="AE915">
        <v>21</v>
      </c>
      <c r="AF915">
        <v>24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 s="2">
        <v>9071</v>
      </c>
      <c r="AQ915">
        <f t="shared" si="33"/>
        <v>9071</v>
      </c>
      <c r="AR915" s="5">
        <f>VLOOKUP(F915,'[2]SCP_24-25'!$A:$D,4,0)</f>
        <v>15.920000000000002</v>
      </c>
      <c r="AS915" s="5">
        <f t="shared" si="34"/>
        <v>144410.32</v>
      </c>
    </row>
    <row r="916" spans="1:45" x14ac:dyDescent="0.3">
      <c r="A916" s="1">
        <v>45900.963194444441</v>
      </c>
      <c r="B916" t="s">
        <v>1363</v>
      </c>
      <c r="C916" t="s">
        <v>1364</v>
      </c>
      <c r="D916" t="s">
        <v>113</v>
      </c>
      <c r="F916" t="s">
        <v>1536</v>
      </c>
      <c r="G916" t="s">
        <v>114</v>
      </c>
      <c r="H916" t="s">
        <v>66</v>
      </c>
      <c r="I916" t="s">
        <v>43</v>
      </c>
      <c r="J916">
        <v>37</v>
      </c>
      <c r="K916">
        <v>19</v>
      </c>
      <c r="L916">
        <v>11</v>
      </c>
      <c r="M916">
        <v>9.5</v>
      </c>
      <c r="N916">
        <v>111804</v>
      </c>
      <c r="O916">
        <v>0</v>
      </c>
      <c r="P916">
        <v>0</v>
      </c>
      <c r="Q916">
        <v>8</v>
      </c>
      <c r="R916">
        <v>32753</v>
      </c>
      <c r="S916" t="s">
        <v>44</v>
      </c>
      <c r="T916" t="s">
        <v>44</v>
      </c>
      <c r="U916" t="s">
        <v>44</v>
      </c>
      <c r="V916">
        <v>1556</v>
      </c>
      <c r="W916" t="s">
        <v>44</v>
      </c>
      <c r="X916" t="s">
        <v>44</v>
      </c>
      <c r="Y916">
        <v>1556</v>
      </c>
      <c r="Z916" t="s">
        <v>44</v>
      </c>
      <c r="AA916">
        <v>4</v>
      </c>
      <c r="AB916">
        <v>0</v>
      </c>
      <c r="AC916">
        <v>0</v>
      </c>
      <c r="AD916">
        <v>0</v>
      </c>
      <c r="AE916">
        <v>36</v>
      </c>
      <c r="AF916">
        <v>12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 s="2">
        <v>1560</v>
      </c>
      <c r="AQ916">
        <f t="shared" si="33"/>
        <v>1560</v>
      </c>
      <c r="AR916" s="5">
        <f>VLOOKUP(F916,'[2]SCP_24-25'!$A:$D,4,0)</f>
        <v>13.56</v>
      </c>
      <c r="AS916" s="5">
        <f t="shared" si="34"/>
        <v>21153.600000000002</v>
      </c>
    </row>
    <row r="917" spans="1:45" x14ac:dyDescent="0.3">
      <c r="A917" s="1">
        <v>45900.963194444441</v>
      </c>
      <c r="B917" t="s">
        <v>1363</v>
      </c>
      <c r="C917" t="s">
        <v>1364</v>
      </c>
      <c r="D917" t="s">
        <v>328</v>
      </c>
      <c r="E917" t="s">
        <v>329</v>
      </c>
      <c r="F917" t="s">
        <v>1626</v>
      </c>
      <c r="G917" t="s">
        <v>330</v>
      </c>
      <c r="H917" t="s">
        <v>130</v>
      </c>
      <c r="I917" t="s">
        <v>43</v>
      </c>
      <c r="J917">
        <v>15.82</v>
      </c>
      <c r="K917">
        <v>19</v>
      </c>
      <c r="L917">
        <v>10</v>
      </c>
      <c r="M917">
        <v>11</v>
      </c>
      <c r="N917">
        <v>34371</v>
      </c>
      <c r="O917">
        <v>15</v>
      </c>
      <c r="P917">
        <v>0</v>
      </c>
      <c r="Q917">
        <v>1</v>
      </c>
      <c r="R917">
        <v>6318</v>
      </c>
      <c r="S917" t="s">
        <v>44</v>
      </c>
      <c r="T917" t="s">
        <v>44</v>
      </c>
      <c r="U917" t="s">
        <v>44</v>
      </c>
      <c r="V917">
        <v>1036</v>
      </c>
      <c r="W917">
        <v>170</v>
      </c>
      <c r="X917" t="s">
        <v>44</v>
      </c>
      <c r="Y917">
        <v>1036</v>
      </c>
      <c r="Z917" t="s">
        <v>44</v>
      </c>
      <c r="AA917">
        <v>14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 s="2">
        <v>1065</v>
      </c>
      <c r="AQ917">
        <f t="shared" si="33"/>
        <v>1065</v>
      </c>
      <c r="AR917" s="5">
        <f>VLOOKUP(F917,'[2]SCP_24-25'!$A:$D,4,0)</f>
        <v>51.93</v>
      </c>
      <c r="AS917" s="5">
        <f t="shared" si="34"/>
        <v>55305.45</v>
      </c>
    </row>
    <row r="918" spans="1:45" x14ac:dyDescent="0.3">
      <c r="A918" s="1">
        <v>45900.963194444441</v>
      </c>
      <c r="B918" t="s">
        <v>1363</v>
      </c>
      <c r="C918" t="s">
        <v>1364</v>
      </c>
      <c r="D918" t="s">
        <v>895</v>
      </c>
      <c r="E918" t="s">
        <v>332</v>
      </c>
      <c r="F918" t="s">
        <v>1898</v>
      </c>
      <c r="G918" t="s">
        <v>896</v>
      </c>
      <c r="H918" t="s">
        <v>130</v>
      </c>
      <c r="I918" t="s">
        <v>43</v>
      </c>
      <c r="J918">
        <v>12.92</v>
      </c>
      <c r="K918">
        <v>19</v>
      </c>
      <c r="L918">
        <v>10</v>
      </c>
      <c r="M918">
        <v>11</v>
      </c>
      <c r="N918">
        <v>11496</v>
      </c>
      <c r="O918">
        <v>7</v>
      </c>
      <c r="P918">
        <v>0</v>
      </c>
      <c r="Q918">
        <v>4</v>
      </c>
      <c r="R918">
        <v>3208</v>
      </c>
      <c r="S918" t="s">
        <v>44</v>
      </c>
      <c r="T918" t="s">
        <v>44</v>
      </c>
      <c r="U918" t="s">
        <v>44</v>
      </c>
      <c r="V918">
        <v>1205</v>
      </c>
      <c r="W918">
        <v>17</v>
      </c>
      <c r="X918" t="s">
        <v>44</v>
      </c>
      <c r="Y918">
        <v>1117</v>
      </c>
      <c r="Z918" t="s">
        <v>44</v>
      </c>
      <c r="AA918">
        <v>2</v>
      </c>
      <c r="AB918">
        <v>0</v>
      </c>
      <c r="AC918">
        <v>0</v>
      </c>
      <c r="AD918">
        <v>0</v>
      </c>
      <c r="AE918">
        <v>190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 s="2">
        <v>1214</v>
      </c>
      <c r="AQ918">
        <f t="shared" si="33"/>
        <v>1214</v>
      </c>
      <c r="AR918" s="5">
        <f>VLOOKUP(F918,'[2]SCP_24-25'!$A:$D,4,0)</f>
        <v>50.4</v>
      </c>
      <c r="AS918" s="5">
        <f t="shared" si="34"/>
        <v>61185.599999999999</v>
      </c>
    </row>
    <row r="919" spans="1:45" x14ac:dyDescent="0.3">
      <c r="A919" s="1">
        <v>45900.963194444441</v>
      </c>
      <c r="B919" t="s">
        <v>1363</v>
      </c>
      <c r="C919" t="s">
        <v>1364</v>
      </c>
      <c r="D919" t="s">
        <v>899</v>
      </c>
      <c r="E919" t="s">
        <v>900</v>
      </c>
      <c r="F919" t="s">
        <v>1900</v>
      </c>
      <c r="G919" t="s">
        <v>901</v>
      </c>
      <c r="H919" t="s">
        <v>621</v>
      </c>
      <c r="I919" t="s">
        <v>43</v>
      </c>
      <c r="J919">
        <v>70.8</v>
      </c>
      <c r="K919">
        <v>19</v>
      </c>
      <c r="L919">
        <v>8.5</v>
      </c>
      <c r="M919">
        <v>11</v>
      </c>
      <c r="N919">
        <v>664016</v>
      </c>
      <c r="O919">
        <v>0</v>
      </c>
      <c r="P919">
        <v>0</v>
      </c>
      <c r="Q919" t="s">
        <v>44</v>
      </c>
      <c r="R919" t="s">
        <v>44</v>
      </c>
      <c r="S919" t="s">
        <v>44</v>
      </c>
      <c r="T919">
        <v>20012</v>
      </c>
      <c r="U919" t="s">
        <v>44</v>
      </c>
      <c r="V919">
        <v>2012</v>
      </c>
      <c r="W919" t="s">
        <v>44</v>
      </c>
      <c r="X919" t="s">
        <v>44</v>
      </c>
      <c r="Y919">
        <v>2019</v>
      </c>
      <c r="Z919" t="s">
        <v>44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 s="2">
        <v>2012</v>
      </c>
      <c r="AQ919">
        <f t="shared" si="33"/>
        <v>2012</v>
      </c>
      <c r="AR919" s="5">
        <f>VLOOKUP(F919,'[2]SCP_24-25'!$A:$D,4,0)</f>
        <v>3.9500000000000011</v>
      </c>
      <c r="AS919" s="5">
        <f t="shared" si="34"/>
        <v>7947.4000000000024</v>
      </c>
    </row>
    <row r="920" spans="1:45" x14ac:dyDescent="0.3">
      <c r="A920" s="1">
        <v>45900.963194444441</v>
      </c>
      <c r="B920" t="s">
        <v>1363</v>
      </c>
      <c r="C920" t="s">
        <v>1364</v>
      </c>
      <c r="D920" t="s">
        <v>1315</v>
      </c>
      <c r="E920" t="s">
        <v>1316</v>
      </c>
      <c r="F920" t="s">
        <v>2108</v>
      </c>
      <c r="G920" t="s">
        <v>1317</v>
      </c>
      <c r="H920" t="s">
        <v>621</v>
      </c>
      <c r="I920" t="s">
        <v>43</v>
      </c>
      <c r="J920">
        <v>822</v>
      </c>
      <c r="K920">
        <v>48</v>
      </c>
      <c r="L920">
        <v>22</v>
      </c>
      <c r="M920">
        <v>36</v>
      </c>
      <c r="N920">
        <v>20626</v>
      </c>
      <c r="O920">
        <v>0</v>
      </c>
      <c r="P920">
        <v>0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>
        <v>4546</v>
      </c>
      <c r="W920" t="s">
        <v>44</v>
      </c>
      <c r="X920" t="s">
        <v>44</v>
      </c>
      <c r="Y920">
        <v>4546</v>
      </c>
      <c r="Z920" t="s">
        <v>44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 s="2">
        <v>4546</v>
      </c>
      <c r="AQ920">
        <f t="shared" si="33"/>
        <v>4546</v>
      </c>
      <c r="AR920" s="5">
        <f>VLOOKUP(F920,'[2]SCP_24-25'!$A:$D,4,0)</f>
        <v>47.625</v>
      </c>
      <c r="AS920" s="5">
        <f t="shared" si="34"/>
        <v>216503.25</v>
      </c>
    </row>
    <row r="921" spans="1:45" x14ac:dyDescent="0.3">
      <c r="A921" s="1">
        <v>45900.963194444441</v>
      </c>
      <c r="B921" t="s">
        <v>1363</v>
      </c>
      <c r="C921" t="s">
        <v>1364</v>
      </c>
      <c r="D921" t="s">
        <v>405</v>
      </c>
      <c r="F921" t="s">
        <v>1660</v>
      </c>
      <c r="G921" t="s">
        <v>406</v>
      </c>
      <c r="H921" t="s">
        <v>103</v>
      </c>
      <c r="I921" t="s">
        <v>43</v>
      </c>
      <c r="J921">
        <v>90</v>
      </c>
      <c r="K921">
        <v>19</v>
      </c>
      <c r="L921">
        <v>10</v>
      </c>
      <c r="M921">
        <v>11</v>
      </c>
      <c r="N921">
        <v>268682</v>
      </c>
      <c r="O921">
        <v>141</v>
      </c>
      <c r="P921">
        <v>0</v>
      </c>
      <c r="Q921">
        <v>87</v>
      </c>
      <c r="R921">
        <v>53262</v>
      </c>
      <c r="S921" t="s">
        <v>44</v>
      </c>
      <c r="T921" t="s">
        <v>44</v>
      </c>
      <c r="U921" t="s">
        <v>44</v>
      </c>
      <c r="V921">
        <v>1213</v>
      </c>
      <c r="W921" t="s">
        <v>44</v>
      </c>
      <c r="X921" t="s">
        <v>44</v>
      </c>
      <c r="Y921">
        <v>1213</v>
      </c>
      <c r="Z921" t="s">
        <v>44</v>
      </c>
      <c r="AA921">
        <v>353</v>
      </c>
      <c r="AB921">
        <v>0</v>
      </c>
      <c r="AC921">
        <v>0</v>
      </c>
      <c r="AD921">
        <v>0</v>
      </c>
      <c r="AE921">
        <v>11</v>
      </c>
      <c r="AF921">
        <v>7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 s="2">
        <v>1707</v>
      </c>
      <c r="AQ921">
        <f t="shared" si="33"/>
        <v>1707</v>
      </c>
      <c r="AR921" s="5">
        <f>VLOOKUP(F921,'[2]SCP_24-25'!$A:$D,4,0)</f>
        <v>83.794500000000028</v>
      </c>
      <c r="AS921" s="5">
        <f t="shared" si="34"/>
        <v>143037.21150000003</v>
      </c>
    </row>
    <row r="922" spans="1:45" x14ac:dyDescent="0.3">
      <c r="A922" s="1">
        <v>45900.963194444441</v>
      </c>
      <c r="B922" t="s">
        <v>1363</v>
      </c>
      <c r="C922" t="s">
        <v>1364</v>
      </c>
      <c r="D922" t="s">
        <v>126</v>
      </c>
      <c r="F922" t="s">
        <v>1541</v>
      </c>
      <c r="G922" t="s">
        <v>127</v>
      </c>
      <c r="H922" t="s">
        <v>42</v>
      </c>
      <c r="I922" t="s">
        <v>43</v>
      </c>
      <c r="J922">
        <v>51</v>
      </c>
      <c r="K922">
        <v>19</v>
      </c>
      <c r="L922">
        <v>11</v>
      </c>
      <c r="M922">
        <v>9.5</v>
      </c>
      <c r="N922">
        <v>32015</v>
      </c>
      <c r="O922">
        <v>9</v>
      </c>
      <c r="P922">
        <v>0</v>
      </c>
      <c r="Q922">
        <v>12</v>
      </c>
      <c r="R922">
        <v>8684</v>
      </c>
      <c r="S922" t="s">
        <v>44</v>
      </c>
      <c r="T922" t="s">
        <v>44</v>
      </c>
      <c r="U922" t="s">
        <v>44</v>
      </c>
      <c r="V922">
        <v>3560</v>
      </c>
      <c r="W922">
        <v>24</v>
      </c>
      <c r="X922" t="s">
        <v>44</v>
      </c>
      <c r="Y922">
        <v>3560</v>
      </c>
      <c r="Z922" t="s">
        <v>44</v>
      </c>
      <c r="AA922">
        <v>10</v>
      </c>
      <c r="AB922">
        <v>0</v>
      </c>
      <c r="AC922">
        <v>0</v>
      </c>
      <c r="AD922">
        <v>0</v>
      </c>
      <c r="AE922">
        <v>5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 s="2">
        <v>3579</v>
      </c>
      <c r="AQ922">
        <f t="shared" si="33"/>
        <v>3579</v>
      </c>
      <c r="AR922" s="5">
        <f>VLOOKUP(F922,'[2]SCP_24-25'!$A:$D,4,0)</f>
        <v>150.74</v>
      </c>
      <c r="AS922" s="5">
        <f t="shared" si="34"/>
        <v>539498.46000000008</v>
      </c>
    </row>
    <row r="923" spans="1:45" x14ac:dyDescent="0.3">
      <c r="A923" s="1">
        <v>45900.963194444441</v>
      </c>
      <c r="B923" t="s">
        <v>1363</v>
      </c>
      <c r="C923" t="s">
        <v>1364</v>
      </c>
      <c r="D923" t="s">
        <v>1358</v>
      </c>
      <c r="E923" t="s">
        <v>1359</v>
      </c>
      <c r="F923" t="s">
        <v>2127</v>
      </c>
      <c r="G923" t="s">
        <v>1360</v>
      </c>
      <c r="H923" t="s">
        <v>621</v>
      </c>
      <c r="I923" t="s">
        <v>43</v>
      </c>
      <c r="J923">
        <v>50.8</v>
      </c>
      <c r="K923">
        <v>19</v>
      </c>
      <c r="L923">
        <v>11</v>
      </c>
      <c r="M923">
        <v>8.5</v>
      </c>
      <c r="N923">
        <v>515681</v>
      </c>
      <c r="O923">
        <v>0</v>
      </c>
      <c r="P923">
        <v>0</v>
      </c>
      <c r="Q923" t="s">
        <v>44</v>
      </c>
      <c r="R923">
        <v>6000</v>
      </c>
      <c r="S923" t="s">
        <v>44</v>
      </c>
      <c r="T923" t="s">
        <v>44</v>
      </c>
      <c r="U923" t="s">
        <v>44</v>
      </c>
      <c r="V923">
        <v>1706</v>
      </c>
      <c r="W923" t="s">
        <v>44</v>
      </c>
      <c r="X923" t="s">
        <v>44</v>
      </c>
      <c r="Y923">
        <v>1699</v>
      </c>
      <c r="Z923" t="s">
        <v>44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 s="2">
        <v>1706</v>
      </c>
      <c r="AQ923">
        <f t="shared" si="33"/>
        <v>1706</v>
      </c>
      <c r="AR923" s="5">
        <f>VLOOKUP(F923,'[2]SCP_24-25'!$A:$D,4,0)</f>
        <v>2.8999999999999995</v>
      </c>
      <c r="AS923" s="5">
        <f t="shared" si="34"/>
        <v>4947.3999999999987</v>
      </c>
    </row>
    <row r="924" spans="1:45" x14ac:dyDescent="0.3">
      <c r="A924" s="1">
        <v>45900.963194444441</v>
      </c>
      <c r="B924" t="s">
        <v>1363</v>
      </c>
      <c r="C924" t="s">
        <v>1364</v>
      </c>
      <c r="D924" t="s">
        <v>399</v>
      </c>
      <c r="F924" t="s">
        <v>1657</v>
      </c>
      <c r="G924" t="s">
        <v>400</v>
      </c>
      <c r="H924" t="s">
        <v>66</v>
      </c>
      <c r="I924" t="s">
        <v>43</v>
      </c>
      <c r="J924">
        <v>59.02</v>
      </c>
      <c r="K924">
        <v>19</v>
      </c>
      <c r="L924">
        <v>11</v>
      </c>
      <c r="M924">
        <v>10</v>
      </c>
      <c r="N924">
        <v>96559</v>
      </c>
      <c r="O924">
        <v>52</v>
      </c>
      <c r="P924">
        <v>0</v>
      </c>
      <c r="Q924">
        <v>13</v>
      </c>
      <c r="R924">
        <v>11076</v>
      </c>
      <c r="S924" t="s">
        <v>44</v>
      </c>
      <c r="T924" t="s">
        <v>44</v>
      </c>
      <c r="U924" t="s">
        <v>44</v>
      </c>
      <c r="V924">
        <v>2066</v>
      </c>
      <c r="W924" t="s">
        <v>44</v>
      </c>
      <c r="X924" t="s">
        <v>44</v>
      </c>
      <c r="Y924">
        <v>2066</v>
      </c>
      <c r="Z924" t="s">
        <v>44</v>
      </c>
      <c r="AA924">
        <v>51</v>
      </c>
      <c r="AB924">
        <v>0</v>
      </c>
      <c r="AC924">
        <v>0</v>
      </c>
      <c r="AD924">
        <v>0</v>
      </c>
      <c r="AE924">
        <v>3</v>
      </c>
      <c r="AF924">
        <v>21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 s="2">
        <v>2169</v>
      </c>
      <c r="AQ924">
        <f t="shared" si="33"/>
        <v>2169</v>
      </c>
      <c r="AR924" s="5">
        <f>VLOOKUP(F924,'[2]SCP_24-25'!$A:$D,4,0)</f>
        <v>50.06</v>
      </c>
      <c r="AS924" s="5">
        <f t="shared" si="34"/>
        <v>108580.14</v>
      </c>
    </row>
    <row r="925" spans="1:45" x14ac:dyDescent="0.3">
      <c r="A925" s="1">
        <v>45900.963194444441</v>
      </c>
      <c r="B925" t="s">
        <v>1363</v>
      </c>
      <c r="C925" t="s">
        <v>1364</v>
      </c>
      <c r="D925" t="s">
        <v>425</v>
      </c>
      <c r="F925" t="s">
        <v>1669</v>
      </c>
      <c r="G925" t="s">
        <v>426</v>
      </c>
      <c r="H925" t="s">
        <v>66</v>
      </c>
      <c r="I925" t="s">
        <v>43</v>
      </c>
      <c r="J925">
        <v>46.59</v>
      </c>
      <c r="K925">
        <v>19</v>
      </c>
      <c r="L925">
        <v>10</v>
      </c>
      <c r="M925">
        <v>11</v>
      </c>
      <c r="N925">
        <v>14810</v>
      </c>
      <c r="O925">
        <v>20</v>
      </c>
      <c r="P925">
        <v>0</v>
      </c>
      <c r="Q925">
        <v>3</v>
      </c>
      <c r="R925" t="s">
        <v>44</v>
      </c>
      <c r="S925" t="s">
        <v>44</v>
      </c>
      <c r="T925" t="s">
        <v>44</v>
      </c>
      <c r="U925" t="s">
        <v>44</v>
      </c>
      <c r="V925">
        <v>4432</v>
      </c>
      <c r="W925" t="s">
        <v>44</v>
      </c>
      <c r="X925" t="s">
        <v>44</v>
      </c>
      <c r="Y925">
        <v>4432</v>
      </c>
      <c r="Z925" t="s">
        <v>44</v>
      </c>
      <c r="AA925">
        <v>96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 s="2">
        <v>4548</v>
      </c>
      <c r="AQ925">
        <f t="shared" si="33"/>
        <v>4548</v>
      </c>
      <c r="AR925" s="5">
        <f>VLOOKUP(F925,'[2]SCP_24-25'!$A:$D,4,0)</f>
        <v>37.46</v>
      </c>
      <c r="AS925" s="5">
        <f t="shared" si="34"/>
        <v>170368.08000000002</v>
      </c>
    </row>
    <row r="926" spans="1:45" x14ac:dyDescent="0.3">
      <c r="A926" s="1">
        <v>45900.963194444441</v>
      </c>
      <c r="B926" t="s">
        <v>1363</v>
      </c>
      <c r="C926" t="s">
        <v>1364</v>
      </c>
      <c r="D926" t="s">
        <v>418</v>
      </c>
      <c r="F926" t="s">
        <v>1666</v>
      </c>
      <c r="G926" t="s">
        <v>419</v>
      </c>
      <c r="H926" t="s">
        <v>66</v>
      </c>
      <c r="I926" t="s">
        <v>43</v>
      </c>
      <c r="J926">
        <v>90.08</v>
      </c>
      <c r="K926">
        <v>19</v>
      </c>
      <c r="L926">
        <v>10</v>
      </c>
      <c r="M926">
        <v>11</v>
      </c>
      <c r="N926">
        <v>99943</v>
      </c>
      <c r="O926">
        <v>535</v>
      </c>
      <c r="P926">
        <v>0</v>
      </c>
      <c r="Q926">
        <v>82</v>
      </c>
      <c r="R926">
        <v>7581</v>
      </c>
      <c r="S926" t="s">
        <v>44</v>
      </c>
      <c r="T926" t="s">
        <v>44</v>
      </c>
      <c r="U926" t="s">
        <v>44</v>
      </c>
      <c r="V926">
        <v>4277</v>
      </c>
      <c r="W926" t="s">
        <v>44</v>
      </c>
      <c r="X926" t="s">
        <v>44</v>
      </c>
      <c r="Y926">
        <v>4277</v>
      </c>
      <c r="Z926" t="s">
        <v>44</v>
      </c>
      <c r="AA926">
        <v>1136</v>
      </c>
      <c r="AB926">
        <v>0</v>
      </c>
      <c r="AC926">
        <v>0</v>
      </c>
      <c r="AD926">
        <v>0</v>
      </c>
      <c r="AE926">
        <v>10</v>
      </c>
      <c r="AF926">
        <v>14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 s="2">
        <v>5948</v>
      </c>
      <c r="AQ926">
        <f t="shared" si="33"/>
        <v>5948</v>
      </c>
      <c r="AR926" s="5">
        <f>VLOOKUP(F926,'[2]SCP_24-25'!$A:$D,4,0)</f>
        <v>45.279999999999994</v>
      </c>
      <c r="AS926" s="5">
        <f t="shared" si="34"/>
        <v>269325.43999999994</v>
      </c>
    </row>
    <row r="927" spans="1:45" x14ac:dyDescent="0.3">
      <c r="A927" s="1">
        <v>45900.963194444441</v>
      </c>
      <c r="B927" t="s">
        <v>1363</v>
      </c>
      <c r="C927" t="s">
        <v>1364</v>
      </c>
      <c r="D927" t="s">
        <v>407</v>
      </c>
      <c r="F927" t="s">
        <v>1661</v>
      </c>
      <c r="G927" t="s">
        <v>408</v>
      </c>
      <c r="H927" t="s">
        <v>66</v>
      </c>
      <c r="I927" t="s">
        <v>43</v>
      </c>
      <c r="J927">
        <v>90.08</v>
      </c>
      <c r="K927">
        <v>19</v>
      </c>
      <c r="L927">
        <v>10</v>
      </c>
      <c r="M927">
        <v>11</v>
      </c>
      <c r="N927">
        <v>320435</v>
      </c>
      <c r="O927">
        <v>1565</v>
      </c>
      <c r="P927">
        <v>0</v>
      </c>
      <c r="Q927">
        <v>206</v>
      </c>
      <c r="R927">
        <v>16287</v>
      </c>
      <c r="S927" t="s">
        <v>44</v>
      </c>
      <c r="T927" t="s">
        <v>44</v>
      </c>
      <c r="U927" t="s">
        <v>44</v>
      </c>
      <c r="V927">
        <v>2061</v>
      </c>
      <c r="W927" t="s">
        <v>44</v>
      </c>
      <c r="X927" t="s">
        <v>44</v>
      </c>
      <c r="Y927">
        <v>2061</v>
      </c>
      <c r="Z927" t="s">
        <v>44</v>
      </c>
      <c r="AA927">
        <v>1692</v>
      </c>
      <c r="AB927">
        <v>0</v>
      </c>
      <c r="AC927">
        <v>0</v>
      </c>
      <c r="AD927">
        <v>0</v>
      </c>
      <c r="AE927">
        <v>7</v>
      </c>
      <c r="AF927">
        <v>35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s="2">
        <v>5318</v>
      </c>
      <c r="AQ927">
        <f t="shared" si="33"/>
        <v>5318</v>
      </c>
      <c r="AR927" s="5">
        <f>VLOOKUP(F927,'[2]SCP_24-25'!$A:$D,4,0)</f>
        <v>71.819000000000003</v>
      </c>
      <c r="AS927" s="5">
        <f t="shared" si="34"/>
        <v>381933.44200000004</v>
      </c>
    </row>
    <row r="928" spans="1:45" x14ac:dyDescent="0.3">
      <c r="A928" s="1">
        <v>45900.963194444441</v>
      </c>
      <c r="B928" t="s">
        <v>1363</v>
      </c>
      <c r="C928" t="s">
        <v>1364</v>
      </c>
      <c r="D928" t="s">
        <v>1337</v>
      </c>
      <c r="F928" t="s">
        <v>2118</v>
      </c>
      <c r="G928" t="s">
        <v>1338</v>
      </c>
      <c r="H928" t="s">
        <v>103</v>
      </c>
      <c r="I928" t="s">
        <v>43</v>
      </c>
      <c r="J928">
        <v>217.02</v>
      </c>
      <c r="K928">
        <v>19</v>
      </c>
      <c r="L928">
        <v>10</v>
      </c>
      <c r="M928">
        <v>11</v>
      </c>
      <c r="N928">
        <v>244441</v>
      </c>
      <c r="O928">
        <v>1766</v>
      </c>
      <c r="P928">
        <v>0</v>
      </c>
      <c r="Q928">
        <v>164</v>
      </c>
      <c r="R928">
        <v>9106</v>
      </c>
      <c r="S928" t="s">
        <v>44</v>
      </c>
      <c r="T928" t="s">
        <v>44</v>
      </c>
      <c r="U928" t="s">
        <v>44</v>
      </c>
      <c r="V928">
        <v>2412</v>
      </c>
      <c r="W928" t="s">
        <v>44</v>
      </c>
      <c r="X928" t="s">
        <v>44</v>
      </c>
      <c r="Y928">
        <v>2412</v>
      </c>
      <c r="Z928" t="s">
        <v>44</v>
      </c>
      <c r="AA928">
        <v>1132</v>
      </c>
      <c r="AB928">
        <v>0</v>
      </c>
      <c r="AC928">
        <v>0</v>
      </c>
      <c r="AD928">
        <v>0</v>
      </c>
      <c r="AE928">
        <v>3</v>
      </c>
      <c r="AF928">
        <v>15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 s="2">
        <v>5310</v>
      </c>
      <c r="AQ928">
        <f t="shared" si="33"/>
        <v>5310</v>
      </c>
      <c r="AR928" s="5">
        <f>VLOOKUP(F928,'[2]SCP_24-25'!$A:$D,4,0)</f>
        <v>60.216666666666661</v>
      </c>
      <c r="AS928" s="5">
        <f t="shared" si="34"/>
        <v>319750.5</v>
      </c>
    </row>
    <row r="929" spans="1:45" x14ac:dyDescent="0.3">
      <c r="A929" s="1">
        <v>45900.963194444441</v>
      </c>
      <c r="B929" t="s">
        <v>1363</v>
      </c>
      <c r="C929" t="s">
        <v>1364</v>
      </c>
      <c r="D929" t="s">
        <v>1308</v>
      </c>
      <c r="F929" t="s">
        <v>2105</v>
      </c>
      <c r="G929" t="s">
        <v>1309</v>
      </c>
      <c r="H929" t="s">
        <v>66</v>
      </c>
      <c r="I929" t="s">
        <v>43</v>
      </c>
      <c r="J929">
        <v>8</v>
      </c>
      <c r="K929">
        <v>19</v>
      </c>
      <c r="L929">
        <v>10</v>
      </c>
      <c r="M929">
        <v>11</v>
      </c>
      <c r="N929">
        <v>28599</v>
      </c>
      <c r="O929">
        <v>318</v>
      </c>
      <c r="P929">
        <v>0</v>
      </c>
      <c r="Q929">
        <v>1</v>
      </c>
      <c r="R929">
        <v>10275</v>
      </c>
      <c r="S929" t="s">
        <v>44</v>
      </c>
      <c r="T929" t="s">
        <v>44</v>
      </c>
      <c r="U929" t="s">
        <v>44</v>
      </c>
      <c r="V929">
        <v>1495</v>
      </c>
      <c r="W929">
        <v>70</v>
      </c>
      <c r="X929" t="s">
        <v>44</v>
      </c>
      <c r="Y929">
        <v>1495</v>
      </c>
      <c r="Z929" t="s">
        <v>44</v>
      </c>
      <c r="AA929">
        <v>24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 s="2">
        <v>1837</v>
      </c>
      <c r="AQ929">
        <f t="shared" si="33"/>
        <v>1837</v>
      </c>
      <c r="AR929" s="5">
        <f>VLOOKUP(F929,'[2]SCP_24-25'!$A:$D,4,0)</f>
        <v>14.949999999999998</v>
      </c>
      <c r="AS929" s="5">
        <f t="shared" si="34"/>
        <v>27463.149999999994</v>
      </c>
    </row>
    <row r="930" spans="1:45" x14ac:dyDescent="0.3">
      <c r="A930" s="1">
        <v>45900.963194444441</v>
      </c>
      <c r="B930" t="s">
        <v>1363</v>
      </c>
      <c r="C930" t="s">
        <v>1364</v>
      </c>
      <c r="D930" t="s">
        <v>568</v>
      </c>
      <c r="F930" t="s">
        <v>1738</v>
      </c>
      <c r="G930" t="s">
        <v>569</v>
      </c>
      <c r="H930" t="s">
        <v>130</v>
      </c>
      <c r="I930" t="s">
        <v>43</v>
      </c>
      <c r="J930">
        <v>24.02</v>
      </c>
      <c r="K930">
        <v>19</v>
      </c>
      <c r="L930">
        <v>10</v>
      </c>
      <c r="M930">
        <v>11</v>
      </c>
      <c r="N930">
        <v>12008</v>
      </c>
      <c r="O930">
        <v>2</v>
      </c>
      <c r="P930">
        <v>0</v>
      </c>
      <c r="Q930">
        <v>84</v>
      </c>
      <c r="R930">
        <v>5085</v>
      </c>
      <c r="S930" t="s">
        <v>44</v>
      </c>
      <c r="T930" t="s">
        <v>44</v>
      </c>
      <c r="U930" t="s">
        <v>44</v>
      </c>
      <c r="V930">
        <v>1170</v>
      </c>
      <c r="W930" t="s">
        <v>44</v>
      </c>
      <c r="X930" t="s">
        <v>44</v>
      </c>
      <c r="Y930">
        <v>1170</v>
      </c>
      <c r="Z930" t="s">
        <v>44</v>
      </c>
      <c r="AA930">
        <v>3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 s="2">
        <v>1175</v>
      </c>
      <c r="AQ930">
        <f t="shared" si="33"/>
        <v>1175</v>
      </c>
      <c r="AR930" s="5">
        <f>VLOOKUP(F930,'[2]SCP_24-25'!$A:$D,4,0)</f>
        <v>79.680000000000007</v>
      </c>
      <c r="AS930" s="5">
        <f t="shared" si="34"/>
        <v>93624.000000000015</v>
      </c>
    </row>
    <row r="931" spans="1:45" x14ac:dyDescent="0.3">
      <c r="A931" s="1">
        <v>45900.963194444441</v>
      </c>
      <c r="B931" t="s">
        <v>1363</v>
      </c>
      <c r="C931" t="s">
        <v>1364</v>
      </c>
      <c r="D931" t="s">
        <v>485</v>
      </c>
      <c r="F931" t="s">
        <v>1697</v>
      </c>
      <c r="G931" t="s">
        <v>486</v>
      </c>
      <c r="H931" t="s">
        <v>130</v>
      </c>
      <c r="I931" t="s">
        <v>43</v>
      </c>
      <c r="J931">
        <v>24.02</v>
      </c>
      <c r="K931">
        <v>19</v>
      </c>
      <c r="L931">
        <v>10</v>
      </c>
      <c r="M931">
        <v>11</v>
      </c>
      <c r="N931">
        <v>13297</v>
      </c>
      <c r="O931">
        <v>8</v>
      </c>
      <c r="P931">
        <v>0</v>
      </c>
      <c r="Q931" t="s">
        <v>44</v>
      </c>
      <c r="R931">
        <v>4285</v>
      </c>
      <c r="S931" t="s">
        <v>44</v>
      </c>
      <c r="T931" t="s">
        <v>44</v>
      </c>
      <c r="U931" t="s">
        <v>44</v>
      </c>
      <c r="V931">
        <v>1240</v>
      </c>
      <c r="W931">
        <v>71</v>
      </c>
      <c r="X931" t="s">
        <v>44</v>
      </c>
      <c r="Y931">
        <v>1240</v>
      </c>
      <c r="Z931" t="s">
        <v>44</v>
      </c>
      <c r="AA931">
        <v>7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 s="2">
        <v>1255</v>
      </c>
      <c r="AQ931">
        <f t="shared" si="33"/>
        <v>1255</v>
      </c>
      <c r="AR931" s="5">
        <f>VLOOKUP(F931,'[2]SCP_24-25'!$A:$D,4,0)</f>
        <v>79.680000000000007</v>
      </c>
      <c r="AS931" s="5">
        <f t="shared" si="34"/>
        <v>99998.400000000009</v>
      </c>
    </row>
    <row r="932" spans="1:45" x14ac:dyDescent="0.3">
      <c r="A932" s="1">
        <v>45900.963194444441</v>
      </c>
      <c r="B932" t="s">
        <v>1363</v>
      </c>
      <c r="C932" t="s">
        <v>1364</v>
      </c>
      <c r="D932" t="s">
        <v>487</v>
      </c>
      <c r="F932" t="s">
        <v>1698</v>
      </c>
      <c r="G932" t="s">
        <v>488</v>
      </c>
      <c r="H932" t="s">
        <v>130</v>
      </c>
      <c r="I932" t="s">
        <v>43</v>
      </c>
      <c r="J932">
        <v>24.02</v>
      </c>
      <c r="K932">
        <v>19</v>
      </c>
      <c r="L932">
        <v>10</v>
      </c>
      <c r="M932">
        <v>11</v>
      </c>
      <c r="N932">
        <v>17342</v>
      </c>
      <c r="O932">
        <v>2</v>
      </c>
      <c r="P932">
        <v>0</v>
      </c>
      <c r="Q932" t="s">
        <v>44</v>
      </c>
      <c r="R932">
        <v>7552</v>
      </c>
      <c r="S932" t="s">
        <v>44</v>
      </c>
      <c r="T932" t="s">
        <v>44</v>
      </c>
      <c r="U932" t="s">
        <v>44</v>
      </c>
      <c r="V932">
        <v>2032</v>
      </c>
      <c r="W932">
        <v>28</v>
      </c>
      <c r="X932" t="s">
        <v>44</v>
      </c>
      <c r="Y932">
        <v>2032</v>
      </c>
      <c r="Z932" t="s">
        <v>44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 s="2">
        <v>2035</v>
      </c>
      <c r="AQ932">
        <f t="shared" si="33"/>
        <v>2035</v>
      </c>
      <c r="AR932" s="5">
        <f>VLOOKUP(F932,'[2]SCP_24-25'!$A:$D,4,0)</f>
        <v>79.680000000000007</v>
      </c>
      <c r="AS932" s="5">
        <f t="shared" si="34"/>
        <v>162148.80000000002</v>
      </c>
    </row>
    <row r="933" spans="1:45" x14ac:dyDescent="0.3">
      <c r="A933" s="1">
        <v>45900.963194444441</v>
      </c>
      <c r="B933" t="s">
        <v>1363</v>
      </c>
      <c r="C933" t="s">
        <v>1364</v>
      </c>
      <c r="D933" t="s">
        <v>451</v>
      </c>
      <c r="F933" t="s">
        <v>1680</v>
      </c>
      <c r="G933" t="s">
        <v>452</v>
      </c>
      <c r="H933" t="s">
        <v>130</v>
      </c>
      <c r="I933" t="s">
        <v>43</v>
      </c>
      <c r="J933">
        <v>125.02</v>
      </c>
      <c r="K933">
        <v>19</v>
      </c>
      <c r="L933">
        <v>10</v>
      </c>
      <c r="M933">
        <v>11</v>
      </c>
      <c r="N933">
        <v>16748</v>
      </c>
      <c r="O933">
        <v>0</v>
      </c>
      <c r="P933">
        <v>0</v>
      </c>
      <c r="Q933">
        <v>1</v>
      </c>
      <c r="R933">
        <v>6998</v>
      </c>
      <c r="S933" t="s">
        <v>44</v>
      </c>
      <c r="T933" t="s">
        <v>44</v>
      </c>
      <c r="U933" t="s">
        <v>44</v>
      </c>
      <c r="V933">
        <v>1653</v>
      </c>
      <c r="W933">
        <v>24</v>
      </c>
      <c r="X933" t="s">
        <v>44</v>
      </c>
      <c r="Y933">
        <v>1653</v>
      </c>
      <c r="Z933" t="s">
        <v>44</v>
      </c>
      <c r="AA933">
        <v>4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 s="2">
        <v>1657</v>
      </c>
      <c r="AQ933">
        <f t="shared" si="33"/>
        <v>1657</v>
      </c>
      <c r="AR933" s="5">
        <f>VLOOKUP(F933,'[2]SCP_24-25'!$A:$D,4,0)</f>
        <v>168.55</v>
      </c>
      <c r="AS933" s="5">
        <f t="shared" si="34"/>
        <v>279287.35000000003</v>
      </c>
    </row>
    <row r="934" spans="1:45" x14ac:dyDescent="0.3">
      <c r="A934" s="1">
        <v>45900.963194444441</v>
      </c>
      <c r="B934" t="s">
        <v>1363</v>
      </c>
      <c r="C934" t="s">
        <v>1364</v>
      </c>
      <c r="D934" t="s">
        <v>457</v>
      </c>
      <c r="F934" t="s">
        <v>1683</v>
      </c>
      <c r="G934" t="s">
        <v>458</v>
      </c>
      <c r="H934" t="s">
        <v>130</v>
      </c>
      <c r="I934" t="s">
        <v>43</v>
      </c>
      <c r="J934">
        <v>40.020000000000003</v>
      </c>
      <c r="K934">
        <v>19</v>
      </c>
      <c r="L934">
        <v>10</v>
      </c>
      <c r="M934">
        <v>11</v>
      </c>
      <c r="N934">
        <v>9735</v>
      </c>
      <c r="O934">
        <v>8</v>
      </c>
      <c r="P934">
        <v>0</v>
      </c>
      <c r="Q934" t="s">
        <v>44</v>
      </c>
      <c r="R934">
        <v>2971</v>
      </c>
      <c r="S934" t="s">
        <v>44</v>
      </c>
      <c r="T934" t="s">
        <v>44</v>
      </c>
      <c r="U934" t="s">
        <v>44</v>
      </c>
      <c r="V934">
        <v>1308</v>
      </c>
      <c r="W934">
        <v>7</v>
      </c>
      <c r="X934" t="s">
        <v>44</v>
      </c>
      <c r="Y934">
        <v>1308</v>
      </c>
      <c r="Z934" t="s">
        <v>44</v>
      </c>
      <c r="AA934">
        <v>10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 s="2">
        <v>1326</v>
      </c>
      <c r="AQ934">
        <f t="shared" si="33"/>
        <v>1326</v>
      </c>
      <c r="AR934" s="5">
        <f>VLOOKUP(F934,'[2]SCP_24-25'!$A:$D,4,0)</f>
        <v>98.299999999999983</v>
      </c>
      <c r="AS934" s="5">
        <f t="shared" si="34"/>
        <v>130345.79999999997</v>
      </c>
    </row>
    <row r="935" spans="1:45" x14ac:dyDescent="0.3">
      <c r="A935" s="1">
        <v>45900.963194444441</v>
      </c>
      <c r="B935" t="s">
        <v>1363</v>
      </c>
      <c r="C935" t="s">
        <v>1364</v>
      </c>
      <c r="D935" t="s">
        <v>576</v>
      </c>
      <c r="F935" t="s">
        <v>1742</v>
      </c>
      <c r="G935" t="s">
        <v>577</v>
      </c>
      <c r="H935" t="s">
        <v>130</v>
      </c>
      <c r="I935" t="s">
        <v>43</v>
      </c>
      <c r="J935">
        <v>40.020000000000003</v>
      </c>
      <c r="K935">
        <v>19</v>
      </c>
      <c r="L935">
        <v>10</v>
      </c>
      <c r="M935">
        <v>11</v>
      </c>
      <c r="N935">
        <v>10229</v>
      </c>
      <c r="O935">
        <v>11</v>
      </c>
      <c r="P935">
        <v>0</v>
      </c>
      <c r="Q935">
        <v>2</v>
      </c>
      <c r="R935">
        <v>2901</v>
      </c>
      <c r="S935" t="s">
        <v>44</v>
      </c>
      <c r="T935" t="s">
        <v>44</v>
      </c>
      <c r="U935" t="s">
        <v>44</v>
      </c>
      <c r="V935">
        <v>1183</v>
      </c>
      <c r="W935">
        <v>74</v>
      </c>
      <c r="X935" t="s">
        <v>44</v>
      </c>
      <c r="Y935">
        <v>1183</v>
      </c>
      <c r="Z935" t="s">
        <v>44</v>
      </c>
      <c r="AA935">
        <v>12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 s="2">
        <v>1206</v>
      </c>
      <c r="AQ935">
        <f t="shared" si="33"/>
        <v>1206</v>
      </c>
      <c r="AR935" s="5">
        <f>VLOOKUP(F935,'[2]SCP_24-25'!$A:$D,4,0)</f>
        <v>98.3</v>
      </c>
      <c r="AS935" s="5">
        <f t="shared" si="34"/>
        <v>118549.8</v>
      </c>
    </row>
    <row r="936" spans="1:45" x14ac:dyDescent="0.3">
      <c r="A936" s="1">
        <v>45900.963194444441</v>
      </c>
      <c r="B936" t="s">
        <v>1363</v>
      </c>
      <c r="C936" t="s">
        <v>1364</v>
      </c>
      <c r="D936" t="s">
        <v>540</v>
      </c>
      <c r="F936" t="s">
        <v>1724</v>
      </c>
      <c r="G936" t="s">
        <v>541</v>
      </c>
      <c r="H936" t="s">
        <v>130</v>
      </c>
      <c r="I936" t="s">
        <v>43</v>
      </c>
      <c r="J936">
        <v>53</v>
      </c>
      <c r="K936">
        <v>19</v>
      </c>
      <c r="L936">
        <v>10</v>
      </c>
      <c r="M936">
        <v>11</v>
      </c>
      <c r="N936">
        <v>8663</v>
      </c>
      <c r="O936">
        <v>0</v>
      </c>
      <c r="P936">
        <v>0</v>
      </c>
      <c r="Q936" t="s">
        <v>44</v>
      </c>
      <c r="R936">
        <v>2963</v>
      </c>
      <c r="S936" t="s">
        <v>44</v>
      </c>
      <c r="T936" t="s">
        <v>44</v>
      </c>
      <c r="U936" t="s">
        <v>44</v>
      </c>
      <c r="V936">
        <v>1150</v>
      </c>
      <c r="W936" t="s">
        <v>44</v>
      </c>
      <c r="X936" t="s">
        <v>44</v>
      </c>
      <c r="Y936">
        <v>1150</v>
      </c>
      <c r="Z936" t="s">
        <v>44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 s="2">
        <v>1150</v>
      </c>
      <c r="AQ936">
        <f t="shared" si="33"/>
        <v>1150</v>
      </c>
      <c r="AR936" s="5">
        <f>VLOOKUP(F936,'[2]SCP_24-25'!$A:$D,4,0)</f>
        <v>51.74</v>
      </c>
      <c r="AS936" s="5">
        <f t="shared" si="34"/>
        <v>59501</v>
      </c>
    </row>
    <row r="937" spans="1:45" x14ac:dyDescent="0.3">
      <c r="A937" s="1">
        <v>45900.963194444441</v>
      </c>
      <c r="B937" t="s">
        <v>1363</v>
      </c>
      <c r="C937" t="s">
        <v>1364</v>
      </c>
      <c r="D937" t="s">
        <v>700</v>
      </c>
      <c r="F937" t="s">
        <v>1803</v>
      </c>
      <c r="G937" t="s">
        <v>701</v>
      </c>
      <c r="H937" t="s">
        <v>120</v>
      </c>
      <c r="I937" t="s">
        <v>43</v>
      </c>
      <c r="J937">
        <v>50</v>
      </c>
      <c r="K937">
        <v>19</v>
      </c>
      <c r="L937">
        <v>11</v>
      </c>
      <c r="M937">
        <v>10</v>
      </c>
      <c r="N937">
        <v>6241</v>
      </c>
      <c r="O937">
        <v>12</v>
      </c>
      <c r="P937">
        <v>0</v>
      </c>
      <c r="Q937" t="s">
        <v>44</v>
      </c>
      <c r="R937">
        <v>4</v>
      </c>
      <c r="S937" t="s">
        <v>44</v>
      </c>
      <c r="T937">
        <v>50</v>
      </c>
      <c r="U937" t="s">
        <v>44</v>
      </c>
      <c r="V937">
        <v>1050</v>
      </c>
      <c r="W937" t="s">
        <v>44</v>
      </c>
      <c r="X937" t="s">
        <v>44</v>
      </c>
      <c r="Y937">
        <v>1050</v>
      </c>
      <c r="Z937" t="s">
        <v>44</v>
      </c>
      <c r="AA937">
        <v>5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 s="2">
        <v>1067</v>
      </c>
      <c r="AQ937">
        <f t="shared" si="33"/>
        <v>1067</v>
      </c>
      <c r="AR937" s="5">
        <f>VLOOKUP(F937,'[2]SCP_24-25'!$A:$D,4,0)</f>
        <v>30</v>
      </c>
      <c r="AS937" s="5">
        <f t="shared" si="34"/>
        <v>32010</v>
      </c>
    </row>
    <row r="938" spans="1:45" x14ac:dyDescent="0.3">
      <c r="A938" s="1">
        <v>45900.963194444441</v>
      </c>
      <c r="B938" t="s">
        <v>1363</v>
      </c>
      <c r="C938" t="s">
        <v>1364</v>
      </c>
      <c r="D938" t="s">
        <v>542</v>
      </c>
      <c r="F938" t="s">
        <v>1725</v>
      </c>
      <c r="G938" t="s">
        <v>543</v>
      </c>
      <c r="H938" t="s">
        <v>130</v>
      </c>
      <c r="I938" t="s">
        <v>43</v>
      </c>
      <c r="J938">
        <v>32.020000000000003</v>
      </c>
      <c r="K938">
        <v>19</v>
      </c>
      <c r="L938">
        <v>10</v>
      </c>
      <c r="M938">
        <v>11</v>
      </c>
      <c r="N938">
        <v>11612</v>
      </c>
      <c r="O938">
        <v>316</v>
      </c>
      <c r="P938">
        <v>0</v>
      </c>
      <c r="Q938">
        <v>2</v>
      </c>
      <c r="R938">
        <v>6</v>
      </c>
      <c r="S938" t="s">
        <v>44</v>
      </c>
      <c r="T938">
        <v>84</v>
      </c>
      <c r="U938" t="s">
        <v>44</v>
      </c>
      <c r="V938">
        <v>1085</v>
      </c>
      <c r="W938" t="s">
        <v>44</v>
      </c>
      <c r="X938" t="s">
        <v>44</v>
      </c>
      <c r="Y938">
        <v>1085</v>
      </c>
      <c r="Z938" t="s">
        <v>44</v>
      </c>
      <c r="AA938">
        <v>69</v>
      </c>
      <c r="AB938">
        <v>0</v>
      </c>
      <c r="AC938">
        <v>0</v>
      </c>
      <c r="AD938">
        <v>0</v>
      </c>
      <c r="AE938">
        <v>1</v>
      </c>
      <c r="AF938">
        <v>2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 s="2">
        <v>1470</v>
      </c>
      <c r="AQ938">
        <f t="shared" si="33"/>
        <v>1470</v>
      </c>
      <c r="AR938" s="5">
        <f>VLOOKUP(F938,'[2]SCP_24-25'!$A:$D,4,0)</f>
        <v>96.2</v>
      </c>
      <c r="AS938" s="5">
        <f t="shared" si="34"/>
        <v>141414</v>
      </c>
    </row>
    <row r="939" spans="1:45" x14ac:dyDescent="0.3">
      <c r="A939" s="1">
        <v>45900.963194444441</v>
      </c>
      <c r="B939" t="s">
        <v>1363</v>
      </c>
      <c r="C939" t="s">
        <v>1364</v>
      </c>
      <c r="D939" t="s">
        <v>411</v>
      </c>
      <c r="F939" t="s">
        <v>1663</v>
      </c>
      <c r="G939" t="s">
        <v>412</v>
      </c>
      <c r="H939" t="s">
        <v>66</v>
      </c>
      <c r="I939" t="s">
        <v>43</v>
      </c>
      <c r="J939">
        <v>115</v>
      </c>
      <c r="K939">
        <v>19</v>
      </c>
      <c r="L939">
        <v>11</v>
      </c>
      <c r="M939">
        <v>10</v>
      </c>
      <c r="N939">
        <v>76787</v>
      </c>
      <c r="O939">
        <v>69</v>
      </c>
      <c r="P939">
        <v>0</v>
      </c>
      <c r="Q939">
        <v>6</v>
      </c>
      <c r="R939">
        <v>5892</v>
      </c>
      <c r="S939" t="s">
        <v>44</v>
      </c>
      <c r="T939" t="s">
        <v>44</v>
      </c>
      <c r="U939" t="s">
        <v>44</v>
      </c>
      <c r="V939">
        <v>3342</v>
      </c>
      <c r="W939" t="s">
        <v>44</v>
      </c>
      <c r="X939" t="s">
        <v>44</v>
      </c>
      <c r="Y939">
        <v>3342</v>
      </c>
      <c r="Z939" t="s">
        <v>44</v>
      </c>
      <c r="AA939">
        <v>61</v>
      </c>
      <c r="AB939">
        <v>0</v>
      </c>
      <c r="AC939">
        <v>0</v>
      </c>
      <c r="AD939">
        <v>0</v>
      </c>
      <c r="AE939">
        <v>0</v>
      </c>
      <c r="AF939">
        <v>4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 s="2">
        <v>3472</v>
      </c>
      <c r="AQ939">
        <f t="shared" ref="AQ939:AQ1002" si="35">O939+P939+V939+AA939</f>
        <v>3472</v>
      </c>
      <c r="AR939" s="5">
        <f>VLOOKUP(F939,'[2]SCP_24-25'!$A:$D,4,0)</f>
        <v>54.699999999999996</v>
      </c>
      <c r="AS939" s="5">
        <f t="shared" si="34"/>
        <v>189918.4</v>
      </c>
    </row>
    <row r="940" spans="1:45" x14ac:dyDescent="0.3">
      <c r="A940" s="1">
        <v>45900.963194444441</v>
      </c>
      <c r="B940" t="s">
        <v>1363</v>
      </c>
      <c r="C940" t="s">
        <v>1364</v>
      </c>
      <c r="D940" t="s">
        <v>467</v>
      </c>
      <c r="F940" t="s">
        <v>1688</v>
      </c>
      <c r="G940" t="s">
        <v>468</v>
      </c>
      <c r="H940" t="s">
        <v>66</v>
      </c>
      <c r="I940" t="s">
        <v>43</v>
      </c>
      <c r="J940">
        <v>459.02</v>
      </c>
      <c r="K940">
        <v>19</v>
      </c>
      <c r="L940">
        <v>11</v>
      </c>
      <c r="M940">
        <v>10</v>
      </c>
      <c r="N940">
        <v>20836</v>
      </c>
      <c r="O940">
        <v>27</v>
      </c>
      <c r="P940">
        <v>0</v>
      </c>
      <c r="Q940">
        <v>20</v>
      </c>
      <c r="R940">
        <v>260</v>
      </c>
      <c r="S940" t="s">
        <v>44</v>
      </c>
      <c r="T940">
        <v>144</v>
      </c>
      <c r="U940" t="s">
        <v>44</v>
      </c>
      <c r="V940">
        <v>1741</v>
      </c>
      <c r="W940" t="s">
        <v>44</v>
      </c>
      <c r="X940" t="s">
        <v>44</v>
      </c>
      <c r="Y940">
        <v>1741</v>
      </c>
      <c r="Z940" t="s">
        <v>44</v>
      </c>
      <c r="AA940">
        <v>15</v>
      </c>
      <c r="AB940">
        <v>0</v>
      </c>
      <c r="AC940">
        <v>0</v>
      </c>
      <c r="AD940">
        <v>0</v>
      </c>
      <c r="AE940">
        <v>3</v>
      </c>
      <c r="AF940">
        <v>3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 s="2">
        <v>1783</v>
      </c>
      <c r="AQ940">
        <f t="shared" si="35"/>
        <v>1783</v>
      </c>
      <c r="AR940" s="5">
        <f>VLOOKUP(F940,'[2]SCP_24-25'!$A:$D,4,0)</f>
        <v>79.760000000000005</v>
      </c>
      <c r="AS940" s="5">
        <f t="shared" si="34"/>
        <v>142212.08000000002</v>
      </c>
    </row>
    <row r="941" spans="1:45" x14ac:dyDescent="0.3">
      <c r="A941" s="1">
        <v>45900.963194444441</v>
      </c>
      <c r="B941" t="s">
        <v>1363</v>
      </c>
      <c r="C941" t="s">
        <v>1364</v>
      </c>
      <c r="D941" t="s">
        <v>469</v>
      </c>
      <c r="F941" t="s">
        <v>1689</v>
      </c>
      <c r="G941" t="s">
        <v>470</v>
      </c>
      <c r="H941" t="s">
        <v>66</v>
      </c>
      <c r="I941" t="s">
        <v>43</v>
      </c>
      <c r="J941">
        <v>459.02</v>
      </c>
      <c r="K941">
        <v>19</v>
      </c>
      <c r="L941">
        <v>11</v>
      </c>
      <c r="M941">
        <v>10</v>
      </c>
      <c r="N941">
        <v>23024</v>
      </c>
      <c r="O941">
        <v>33</v>
      </c>
      <c r="P941">
        <v>0</v>
      </c>
      <c r="Q941">
        <v>23</v>
      </c>
      <c r="R941">
        <v>101</v>
      </c>
      <c r="S941" t="s">
        <v>44</v>
      </c>
      <c r="T941" t="s">
        <v>44</v>
      </c>
      <c r="U941" t="s">
        <v>44</v>
      </c>
      <c r="V941">
        <v>1857</v>
      </c>
      <c r="W941" t="s">
        <v>44</v>
      </c>
      <c r="X941" t="s">
        <v>44</v>
      </c>
      <c r="Y941">
        <v>1857</v>
      </c>
      <c r="Z941" t="s">
        <v>44</v>
      </c>
      <c r="AA941">
        <v>15</v>
      </c>
      <c r="AB941">
        <v>0</v>
      </c>
      <c r="AC941">
        <v>0</v>
      </c>
      <c r="AD941">
        <v>0</v>
      </c>
      <c r="AE941">
        <v>1</v>
      </c>
      <c r="AF941">
        <v>3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 s="2">
        <v>1905</v>
      </c>
      <c r="AQ941">
        <f t="shared" si="35"/>
        <v>1905</v>
      </c>
      <c r="AR941" s="5">
        <f>VLOOKUP(F941,'[2]SCP_24-25'!$A:$D,4,0)</f>
        <v>91.35</v>
      </c>
      <c r="AS941" s="5">
        <f t="shared" si="34"/>
        <v>174021.75</v>
      </c>
    </row>
    <row r="942" spans="1:45" x14ac:dyDescent="0.3">
      <c r="A942" s="1">
        <v>45900.963194444441</v>
      </c>
      <c r="B942" t="s">
        <v>1363</v>
      </c>
      <c r="C942" t="s">
        <v>1364</v>
      </c>
      <c r="D942" t="s">
        <v>807</v>
      </c>
      <c r="F942" t="s">
        <v>1855</v>
      </c>
      <c r="G942" t="s">
        <v>808</v>
      </c>
      <c r="H942" t="s">
        <v>120</v>
      </c>
      <c r="I942" t="s">
        <v>43</v>
      </c>
      <c r="J942">
        <v>100</v>
      </c>
      <c r="K942">
        <v>19</v>
      </c>
      <c r="L942">
        <v>11</v>
      </c>
      <c r="M942">
        <v>10</v>
      </c>
      <c r="N942">
        <v>5994</v>
      </c>
      <c r="O942">
        <v>0</v>
      </c>
      <c r="P942">
        <v>0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>
        <v>1176</v>
      </c>
      <c r="W942" t="s">
        <v>44</v>
      </c>
      <c r="X942" t="s">
        <v>44</v>
      </c>
      <c r="Y942">
        <v>1176</v>
      </c>
      <c r="Z942" t="s">
        <v>44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 s="2">
        <v>1177</v>
      </c>
      <c r="AQ942">
        <f t="shared" si="35"/>
        <v>1177</v>
      </c>
      <c r="AR942" s="5">
        <f>VLOOKUP(F942,'[2]SCP_24-25'!$A:$D,4,0)</f>
        <v>48</v>
      </c>
      <c r="AS942" s="5">
        <f t="shared" si="34"/>
        <v>56496</v>
      </c>
    </row>
    <row r="943" spans="1:45" x14ac:dyDescent="0.3">
      <c r="A943" s="1">
        <v>45900.963194444441</v>
      </c>
      <c r="B943" t="s">
        <v>1363</v>
      </c>
      <c r="C943" t="s">
        <v>1364</v>
      </c>
      <c r="D943" t="s">
        <v>619</v>
      </c>
      <c r="F943" t="s">
        <v>1762</v>
      </c>
      <c r="G943" t="s">
        <v>620</v>
      </c>
      <c r="H943" t="s">
        <v>621</v>
      </c>
      <c r="I943" t="s">
        <v>43</v>
      </c>
      <c r="J943">
        <v>250</v>
      </c>
      <c r="K943">
        <v>126</v>
      </c>
      <c r="L943">
        <v>50</v>
      </c>
      <c r="M943">
        <v>126</v>
      </c>
      <c r="N943">
        <v>17775</v>
      </c>
      <c r="O943">
        <v>0</v>
      </c>
      <c r="P943">
        <v>0</v>
      </c>
      <c r="Q943" t="s">
        <v>44</v>
      </c>
      <c r="R943">
        <v>608</v>
      </c>
      <c r="S943" t="s">
        <v>44</v>
      </c>
      <c r="T943" t="s">
        <v>44</v>
      </c>
      <c r="U943" t="s">
        <v>44</v>
      </c>
      <c r="V943">
        <v>9172</v>
      </c>
      <c r="W943" t="s">
        <v>44</v>
      </c>
      <c r="X943" t="s">
        <v>44</v>
      </c>
      <c r="Y943">
        <v>9172</v>
      </c>
      <c r="Z943" t="s">
        <v>44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 s="2">
        <v>9172</v>
      </c>
      <c r="AQ943">
        <f t="shared" si="35"/>
        <v>9172</v>
      </c>
      <c r="AR943" s="5">
        <f>VLOOKUP(F943,'[2]SCP_24-25'!$A:$D,4,0)</f>
        <v>45</v>
      </c>
      <c r="AS943" s="5">
        <f t="shared" si="34"/>
        <v>412740</v>
      </c>
    </row>
    <row r="944" spans="1:45" x14ac:dyDescent="0.3">
      <c r="A944" s="1">
        <v>45900.963194444441</v>
      </c>
      <c r="B944" t="s">
        <v>1363</v>
      </c>
      <c r="C944" t="s">
        <v>1364</v>
      </c>
      <c r="D944" t="s">
        <v>471</v>
      </c>
      <c r="F944" t="s">
        <v>1690</v>
      </c>
      <c r="G944" t="s">
        <v>472</v>
      </c>
      <c r="H944" t="s">
        <v>66</v>
      </c>
      <c r="I944" t="s">
        <v>415</v>
      </c>
      <c r="J944">
        <v>52.02</v>
      </c>
      <c r="K944">
        <v>19</v>
      </c>
      <c r="L944">
        <v>10</v>
      </c>
      <c r="M944">
        <v>11</v>
      </c>
      <c r="N944">
        <v>93564</v>
      </c>
      <c r="O944">
        <v>46</v>
      </c>
      <c r="P944">
        <v>0</v>
      </c>
      <c r="Q944">
        <v>8</v>
      </c>
      <c r="R944">
        <v>22442</v>
      </c>
      <c r="S944" t="s">
        <v>44</v>
      </c>
      <c r="T944" t="s">
        <v>44</v>
      </c>
      <c r="U944" t="s">
        <v>44</v>
      </c>
      <c r="V944">
        <v>5540</v>
      </c>
      <c r="W944" t="s">
        <v>44</v>
      </c>
      <c r="X944" t="s">
        <v>44</v>
      </c>
      <c r="Y944">
        <v>5540</v>
      </c>
      <c r="Z944" t="s">
        <v>44</v>
      </c>
      <c r="AA944">
        <v>85</v>
      </c>
      <c r="AB944">
        <v>0</v>
      </c>
      <c r="AC944">
        <v>0</v>
      </c>
      <c r="AD944">
        <v>0</v>
      </c>
      <c r="AE944">
        <v>0</v>
      </c>
      <c r="AF944">
        <v>75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 s="2">
        <v>5671</v>
      </c>
      <c r="AQ944">
        <f t="shared" si="35"/>
        <v>5671</v>
      </c>
      <c r="AR944" s="5">
        <f>VLOOKUP(F944,'[2]SCP_24-25'!$A:$D,4,0)</f>
        <v>87.59</v>
      </c>
      <c r="AS944" s="5">
        <f t="shared" si="34"/>
        <v>496722.89</v>
      </c>
    </row>
    <row r="945" spans="1:45" x14ac:dyDescent="0.3">
      <c r="A945" s="1">
        <v>45900.963194444441</v>
      </c>
      <c r="B945" t="s">
        <v>1363</v>
      </c>
      <c r="C945" t="s">
        <v>1364</v>
      </c>
      <c r="D945" t="s">
        <v>413</v>
      </c>
      <c r="F945" t="s">
        <v>1664</v>
      </c>
      <c r="G945" t="s">
        <v>414</v>
      </c>
      <c r="H945" t="s">
        <v>66</v>
      </c>
      <c r="I945" t="s">
        <v>415</v>
      </c>
      <c r="J945">
        <v>56.72</v>
      </c>
      <c r="K945">
        <v>19</v>
      </c>
      <c r="L945">
        <v>10</v>
      </c>
      <c r="M945">
        <v>11</v>
      </c>
      <c r="N945">
        <v>62246</v>
      </c>
      <c r="O945">
        <v>1271</v>
      </c>
      <c r="P945">
        <v>0</v>
      </c>
      <c r="Q945">
        <v>23</v>
      </c>
      <c r="R945">
        <v>12943</v>
      </c>
      <c r="S945" t="s">
        <v>44</v>
      </c>
      <c r="T945">
        <v>216</v>
      </c>
      <c r="U945" t="s">
        <v>44</v>
      </c>
      <c r="V945">
        <v>4568</v>
      </c>
      <c r="W945" t="s">
        <v>44</v>
      </c>
      <c r="X945" t="s">
        <v>44</v>
      </c>
      <c r="Y945">
        <v>4568</v>
      </c>
      <c r="Z945" t="s">
        <v>44</v>
      </c>
      <c r="AA945">
        <v>73</v>
      </c>
      <c r="AB945">
        <v>0</v>
      </c>
      <c r="AC945">
        <v>0</v>
      </c>
      <c r="AD945">
        <v>0</v>
      </c>
      <c r="AE945">
        <v>0</v>
      </c>
      <c r="AF945">
        <v>13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 s="2">
        <v>5912</v>
      </c>
      <c r="AQ945">
        <f t="shared" si="35"/>
        <v>5912</v>
      </c>
      <c r="AR945" s="5">
        <f>VLOOKUP(F945,'[2]SCP_24-25'!$A:$D,4,0)</f>
        <v>85.96</v>
      </c>
      <c r="AS945" s="5">
        <f t="shared" si="34"/>
        <v>508195.51999999996</v>
      </c>
    </row>
    <row r="946" spans="1:45" x14ac:dyDescent="0.3">
      <c r="A946" s="1">
        <v>45900.963194444441</v>
      </c>
      <c r="B946" t="s">
        <v>1363</v>
      </c>
      <c r="C946" t="s">
        <v>1364</v>
      </c>
      <c r="D946" t="s">
        <v>505</v>
      </c>
      <c r="F946" t="s">
        <v>1707</v>
      </c>
      <c r="G946" t="s">
        <v>506</v>
      </c>
      <c r="H946" t="s">
        <v>66</v>
      </c>
      <c r="I946" t="s">
        <v>415</v>
      </c>
      <c r="J946">
        <v>81.52</v>
      </c>
      <c r="K946">
        <v>19</v>
      </c>
      <c r="L946">
        <v>10</v>
      </c>
      <c r="M946">
        <v>11</v>
      </c>
      <c r="N946">
        <v>28951</v>
      </c>
      <c r="O946">
        <v>31</v>
      </c>
      <c r="P946">
        <v>0</v>
      </c>
      <c r="Q946">
        <v>21</v>
      </c>
      <c r="R946">
        <v>3896</v>
      </c>
      <c r="S946" t="s">
        <v>44</v>
      </c>
      <c r="T946" t="s">
        <v>44</v>
      </c>
      <c r="U946" t="s">
        <v>44</v>
      </c>
      <c r="V946">
        <v>1814</v>
      </c>
      <c r="W946" t="s">
        <v>44</v>
      </c>
      <c r="X946" t="s">
        <v>44</v>
      </c>
      <c r="Y946">
        <v>1814</v>
      </c>
      <c r="Z946" t="s">
        <v>44</v>
      </c>
      <c r="AA946">
        <v>62</v>
      </c>
      <c r="AB946">
        <v>0</v>
      </c>
      <c r="AC946">
        <v>0</v>
      </c>
      <c r="AD946">
        <v>0</v>
      </c>
      <c r="AE946">
        <v>0</v>
      </c>
      <c r="AF946">
        <v>3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 s="2">
        <v>1907</v>
      </c>
      <c r="AQ946">
        <f t="shared" si="35"/>
        <v>1907</v>
      </c>
      <c r="AR946" s="5">
        <f>VLOOKUP(F946,'[2]SCP_24-25'!$A:$D,4,0)</f>
        <v>84.2</v>
      </c>
      <c r="AS946" s="5">
        <f t="shared" si="34"/>
        <v>160569.4</v>
      </c>
    </row>
    <row r="947" spans="1:45" x14ac:dyDescent="0.3">
      <c r="A947" s="1">
        <v>45900.963194444441</v>
      </c>
      <c r="B947" t="s">
        <v>1363</v>
      </c>
      <c r="C947" t="s">
        <v>1364</v>
      </c>
      <c r="D947" t="s">
        <v>507</v>
      </c>
      <c r="F947" t="s">
        <v>1708</v>
      </c>
      <c r="G947" t="s">
        <v>508</v>
      </c>
      <c r="H947" t="s">
        <v>66</v>
      </c>
      <c r="I947" t="s">
        <v>415</v>
      </c>
      <c r="J947">
        <v>77</v>
      </c>
      <c r="K947">
        <v>19</v>
      </c>
      <c r="L947">
        <v>10</v>
      </c>
      <c r="M947">
        <v>11</v>
      </c>
      <c r="N947">
        <v>28893</v>
      </c>
      <c r="O947">
        <v>26</v>
      </c>
      <c r="P947">
        <v>0</v>
      </c>
      <c r="Q947">
        <v>8</v>
      </c>
      <c r="R947">
        <v>5659</v>
      </c>
      <c r="S947" t="s">
        <v>44</v>
      </c>
      <c r="T947" t="s">
        <v>44</v>
      </c>
      <c r="U947" t="s">
        <v>44</v>
      </c>
      <c r="V947">
        <v>2379</v>
      </c>
      <c r="W947" t="s">
        <v>44</v>
      </c>
      <c r="X947" t="s">
        <v>44</v>
      </c>
      <c r="Y947">
        <v>2379</v>
      </c>
      <c r="Z947" t="s">
        <v>44</v>
      </c>
      <c r="AA947">
        <v>46</v>
      </c>
      <c r="AB947">
        <v>0</v>
      </c>
      <c r="AC947">
        <v>0</v>
      </c>
      <c r="AD947">
        <v>0</v>
      </c>
      <c r="AE947">
        <v>0</v>
      </c>
      <c r="AF947">
        <v>7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 s="2">
        <v>2451</v>
      </c>
      <c r="AQ947">
        <f t="shared" si="35"/>
        <v>2451</v>
      </c>
      <c r="AR947" s="5">
        <f>VLOOKUP(F947,'[2]SCP_24-25'!$A:$D,4,0)</f>
        <v>91.25</v>
      </c>
      <c r="AS947" s="5">
        <f t="shared" si="34"/>
        <v>223653.75</v>
      </c>
    </row>
    <row r="948" spans="1:45" x14ac:dyDescent="0.3">
      <c r="A948" s="1">
        <v>45900.963194444441</v>
      </c>
      <c r="B948" t="s">
        <v>1363</v>
      </c>
      <c r="C948" t="s">
        <v>1364</v>
      </c>
      <c r="D948" t="s">
        <v>1361</v>
      </c>
      <c r="F948" t="s">
        <v>2128</v>
      </c>
      <c r="G948" t="s">
        <v>1362</v>
      </c>
      <c r="H948" t="s">
        <v>66</v>
      </c>
      <c r="I948" t="s">
        <v>415</v>
      </c>
      <c r="J948">
        <v>60</v>
      </c>
      <c r="K948">
        <v>19</v>
      </c>
      <c r="L948">
        <v>10</v>
      </c>
      <c r="M948">
        <v>11</v>
      </c>
      <c r="N948">
        <v>3342</v>
      </c>
      <c r="O948">
        <v>120</v>
      </c>
      <c r="P948">
        <v>0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>
        <v>1759</v>
      </c>
      <c r="W948" t="s">
        <v>44</v>
      </c>
      <c r="X948" t="s">
        <v>44</v>
      </c>
      <c r="Y948">
        <v>1759</v>
      </c>
      <c r="Z948" t="s">
        <v>44</v>
      </c>
      <c r="AA948">
        <v>32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 s="2">
        <v>1911</v>
      </c>
      <c r="AQ948">
        <f t="shared" si="35"/>
        <v>1911</v>
      </c>
      <c r="AR948" s="5">
        <f>VLOOKUP(F948,'[2]SCP_24-25'!$A:$D,4,0)</f>
        <v>86.75</v>
      </c>
      <c r="AS948" s="5">
        <f t="shared" si="34"/>
        <v>165779.25</v>
      </c>
    </row>
    <row r="949" spans="1:45" x14ac:dyDescent="0.3">
      <c r="A949" s="1">
        <v>45900.963194444441</v>
      </c>
      <c r="B949" t="s">
        <v>1363</v>
      </c>
      <c r="C949" t="s">
        <v>1364</v>
      </c>
      <c r="D949" t="s">
        <v>1333</v>
      </c>
      <c r="F949" t="s">
        <v>2116</v>
      </c>
      <c r="G949" t="s">
        <v>1334</v>
      </c>
      <c r="H949" t="s">
        <v>66</v>
      </c>
      <c r="I949" t="s">
        <v>43</v>
      </c>
      <c r="J949">
        <v>8</v>
      </c>
      <c r="K949">
        <v>19</v>
      </c>
      <c r="L949">
        <v>11</v>
      </c>
      <c r="M949">
        <v>10</v>
      </c>
      <c r="N949">
        <v>2500</v>
      </c>
      <c r="O949">
        <v>0</v>
      </c>
      <c r="P949">
        <v>0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>
        <v>2500</v>
      </c>
      <c r="W949" t="s">
        <v>44</v>
      </c>
      <c r="X949" t="s">
        <v>44</v>
      </c>
      <c r="Y949">
        <v>2500</v>
      </c>
      <c r="Z949" t="s">
        <v>44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 s="2">
        <v>2500</v>
      </c>
      <c r="AQ949">
        <f t="shared" si="35"/>
        <v>2500</v>
      </c>
      <c r="AR949" s="5">
        <f>VLOOKUP(F949,'[2]SCP_24-25'!$A:$D,4,0)</f>
        <v>11.289999999999996</v>
      </c>
      <c r="AS949" s="5">
        <f t="shared" si="34"/>
        <v>28224.999999999989</v>
      </c>
    </row>
    <row r="950" spans="1:45" x14ac:dyDescent="0.3">
      <c r="A950" s="1">
        <v>45900.963194444441</v>
      </c>
      <c r="B950" t="s">
        <v>1363</v>
      </c>
      <c r="C950" t="s">
        <v>1364</v>
      </c>
      <c r="D950" t="s">
        <v>1349</v>
      </c>
      <c r="F950" t="s">
        <v>2123</v>
      </c>
      <c r="G950" t="s">
        <v>1350</v>
      </c>
      <c r="H950" t="s">
        <v>66</v>
      </c>
      <c r="I950" t="s">
        <v>415</v>
      </c>
      <c r="J950">
        <v>25</v>
      </c>
      <c r="K950">
        <v>19</v>
      </c>
      <c r="L950">
        <v>10</v>
      </c>
      <c r="M950">
        <v>11</v>
      </c>
      <c r="N950">
        <v>7680</v>
      </c>
      <c r="O950">
        <v>64</v>
      </c>
      <c r="P950">
        <v>0</v>
      </c>
      <c r="Q950" t="s">
        <v>44</v>
      </c>
      <c r="R950" t="s">
        <v>44</v>
      </c>
      <c r="S950" t="s">
        <v>44</v>
      </c>
      <c r="T950">
        <v>192</v>
      </c>
      <c r="U950" t="s">
        <v>44</v>
      </c>
      <c r="V950">
        <v>3967</v>
      </c>
      <c r="W950" t="s">
        <v>44</v>
      </c>
      <c r="X950" t="s">
        <v>44</v>
      </c>
      <c r="Y950">
        <v>3967</v>
      </c>
      <c r="Z950" t="s">
        <v>44</v>
      </c>
      <c r="AA950">
        <v>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 s="2">
        <v>4043</v>
      </c>
      <c r="AQ950">
        <f t="shared" si="35"/>
        <v>4043</v>
      </c>
      <c r="AR950" s="5">
        <f>VLOOKUP(F950,'[2]SCP_24-25'!$A:$D,4,0)</f>
        <v>7.7</v>
      </c>
      <c r="AS950" s="5">
        <f t="shared" si="34"/>
        <v>31131.100000000002</v>
      </c>
    </row>
    <row r="951" spans="1:45" x14ac:dyDescent="0.3">
      <c r="A951" s="1">
        <v>45900.963194444441</v>
      </c>
      <c r="B951" t="s">
        <v>1363</v>
      </c>
      <c r="C951" t="s">
        <v>1364</v>
      </c>
      <c r="D951" t="s">
        <v>1351</v>
      </c>
      <c r="F951" t="s">
        <v>2124</v>
      </c>
      <c r="G951" t="s">
        <v>1352</v>
      </c>
      <c r="H951" t="s">
        <v>66</v>
      </c>
      <c r="I951" t="s">
        <v>415</v>
      </c>
      <c r="J951">
        <v>25</v>
      </c>
      <c r="K951">
        <v>19</v>
      </c>
      <c r="L951">
        <v>10</v>
      </c>
      <c r="M951">
        <v>11</v>
      </c>
      <c r="N951">
        <v>6240</v>
      </c>
      <c r="O951">
        <v>0</v>
      </c>
      <c r="P951">
        <v>0</v>
      </c>
      <c r="Q951" t="s">
        <v>44</v>
      </c>
      <c r="R951" t="s">
        <v>44</v>
      </c>
      <c r="S951" t="s">
        <v>44</v>
      </c>
      <c r="T951">
        <v>288</v>
      </c>
      <c r="U951" t="s">
        <v>44</v>
      </c>
      <c r="V951">
        <v>2791</v>
      </c>
      <c r="W951" t="s">
        <v>44</v>
      </c>
      <c r="X951" t="s">
        <v>44</v>
      </c>
      <c r="Y951">
        <v>2791</v>
      </c>
      <c r="Z951" t="s">
        <v>44</v>
      </c>
      <c r="AA951">
        <v>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 s="2">
        <v>2803</v>
      </c>
      <c r="AQ951">
        <f t="shared" si="35"/>
        <v>2803</v>
      </c>
      <c r="AR951" s="5">
        <f>VLOOKUP(F951,'[2]SCP_24-25'!$A:$D,4,0)</f>
        <v>9.9</v>
      </c>
      <c r="AS951" s="5">
        <f t="shared" si="34"/>
        <v>27749.7</v>
      </c>
    </row>
    <row r="952" spans="1:45" x14ac:dyDescent="0.3">
      <c r="A952" s="1">
        <v>45900.963194444441</v>
      </c>
      <c r="B952" t="s">
        <v>1363</v>
      </c>
      <c r="C952" t="s">
        <v>1364</v>
      </c>
      <c r="D952" t="s">
        <v>879</v>
      </c>
      <c r="F952" t="s">
        <v>1891</v>
      </c>
      <c r="G952" t="s">
        <v>880</v>
      </c>
      <c r="H952" t="s">
        <v>120</v>
      </c>
      <c r="I952" t="s">
        <v>43</v>
      </c>
      <c r="J952">
        <v>100</v>
      </c>
      <c r="K952">
        <v>19</v>
      </c>
      <c r="L952">
        <v>11</v>
      </c>
      <c r="M952">
        <v>10</v>
      </c>
      <c r="N952">
        <v>4050</v>
      </c>
      <c r="O952">
        <v>46</v>
      </c>
      <c r="P952">
        <v>0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>
        <v>3126</v>
      </c>
      <c r="W952" t="s">
        <v>44</v>
      </c>
      <c r="X952" t="s">
        <v>44</v>
      </c>
      <c r="Y952">
        <v>3126</v>
      </c>
      <c r="Z952" t="s">
        <v>44</v>
      </c>
      <c r="AA952">
        <v>5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 s="2">
        <v>3177</v>
      </c>
      <c r="AQ952">
        <f t="shared" si="35"/>
        <v>3177</v>
      </c>
      <c r="AR952" s="5">
        <f>VLOOKUP(F952,'[2]SCP_24-25'!$A:$D,4,0)</f>
        <v>46.5</v>
      </c>
      <c r="AS952" s="5">
        <f t="shared" si="34"/>
        <v>147730.5</v>
      </c>
    </row>
    <row r="953" spans="1:45" x14ac:dyDescent="0.3">
      <c r="A953" s="1">
        <v>45900.963194444441</v>
      </c>
      <c r="B953" t="s">
        <v>1463</v>
      </c>
      <c r="C953" t="s">
        <v>1464</v>
      </c>
      <c r="D953" t="s">
        <v>205</v>
      </c>
      <c r="E953" t="s">
        <v>206</v>
      </c>
      <c r="F953" t="s">
        <v>1579</v>
      </c>
      <c r="G953" t="s">
        <v>207</v>
      </c>
      <c r="H953" t="s">
        <v>66</v>
      </c>
      <c r="I953" t="s">
        <v>43</v>
      </c>
      <c r="J953">
        <v>23</v>
      </c>
      <c r="K953">
        <v>19</v>
      </c>
      <c r="L953">
        <v>9.5</v>
      </c>
      <c r="M953">
        <v>11</v>
      </c>
      <c r="N953">
        <v>70517</v>
      </c>
      <c r="O953">
        <v>6</v>
      </c>
      <c r="P953">
        <v>0</v>
      </c>
      <c r="Q953">
        <v>10</v>
      </c>
      <c r="R953">
        <v>2966</v>
      </c>
      <c r="S953" t="s">
        <v>44</v>
      </c>
      <c r="T953" t="s">
        <v>44</v>
      </c>
      <c r="U953" t="s">
        <v>44</v>
      </c>
      <c r="V953">
        <v>10658</v>
      </c>
      <c r="W953" t="s">
        <v>44</v>
      </c>
      <c r="X953" t="s">
        <v>44</v>
      </c>
      <c r="Y953">
        <v>10654</v>
      </c>
      <c r="Z953" t="s">
        <v>44</v>
      </c>
      <c r="AA953">
        <v>5</v>
      </c>
      <c r="AB953">
        <v>0</v>
      </c>
      <c r="AC953">
        <v>0</v>
      </c>
      <c r="AD953">
        <v>0</v>
      </c>
      <c r="AE953">
        <v>0</v>
      </c>
      <c r="AF953">
        <v>3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 s="2">
        <v>10669</v>
      </c>
      <c r="AQ953">
        <f t="shared" si="35"/>
        <v>10669</v>
      </c>
      <c r="AR953" s="5">
        <f>VLOOKUP(F953,'[2]SCP_24-25'!$A:$D,4,0)</f>
        <v>16.38</v>
      </c>
      <c r="AS953" s="5">
        <f t="shared" si="34"/>
        <v>174758.22</v>
      </c>
    </row>
    <row r="954" spans="1:45" x14ac:dyDescent="0.3">
      <c r="A954" s="1">
        <v>45900.963194444441</v>
      </c>
      <c r="B954" t="s">
        <v>1463</v>
      </c>
      <c r="C954" t="s">
        <v>1464</v>
      </c>
      <c r="D954" t="s">
        <v>224</v>
      </c>
      <c r="F954" t="s">
        <v>1587</v>
      </c>
      <c r="G954" t="s">
        <v>225</v>
      </c>
      <c r="H954" t="s">
        <v>66</v>
      </c>
      <c r="I954" t="s">
        <v>43</v>
      </c>
      <c r="J954">
        <v>102</v>
      </c>
      <c r="K954">
        <v>19</v>
      </c>
      <c r="L954">
        <v>10</v>
      </c>
      <c r="M954">
        <v>11</v>
      </c>
      <c r="N954">
        <v>316295</v>
      </c>
      <c r="O954">
        <v>945</v>
      </c>
      <c r="P954">
        <v>0</v>
      </c>
      <c r="Q954">
        <v>66</v>
      </c>
      <c r="R954">
        <v>37594</v>
      </c>
      <c r="S954" t="s">
        <v>44</v>
      </c>
      <c r="T954" t="s">
        <v>44</v>
      </c>
      <c r="U954" t="s">
        <v>44</v>
      </c>
      <c r="V954">
        <v>11001</v>
      </c>
      <c r="W954">
        <v>32</v>
      </c>
      <c r="X954" t="s">
        <v>44</v>
      </c>
      <c r="Y954">
        <v>10956</v>
      </c>
      <c r="Z954" t="s">
        <v>44</v>
      </c>
      <c r="AA954">
        <v>12</v>
      </c>
      <c r="AB954">
        <v>0</v>
      </c>
      <c r="AC954">
        <v>0</v>
      </c>
      <c r="AD954">
        <v>0</v>
      </c>
      <c r="AE954">
        <v>24</v>
      </c>
      <c r="AF954">
        <v>35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 s="2">
        <v>11958</v>
      </c>
      <c r="AQ954">
        <f t="shared" si="35"/>
        <v>11958</v>
      </c>
      <c r="AR954" s="5">
        <f>VLOOKUP(F954,'[2]SCP_24-25'!$A:$D,4,0)</f>
        <v>66.328461538461553</v>
      </c>
      <c r="AS954" s="5">
        <f t="shared" si="34"/>
        <v>793155.7430769233</v>
      </c>
    </row>
    <row r="955" spans="1:45" x14ac:dyDescent="0.3">
      <c r="A955" s="1">
        <v>45900.963194444441</v>
      </c>
      <c r="B955" t="s">
        <v>1463</v>
      </c>
      <c r="C955" t="s">
        <v>1464</v>
      </c>
      <c r="D955" t="s">
        <v>260</v>
      </c>
      <c r="E955" t="s">
        <v>261</v>
      </c>
      <c r="F955" t="s">
        <v>1601</v>
      </c>
      <c r="G955" t="s">
        <v>262</v>
      </c>
      <c r="H955" t="s">
        <v>66</v>
      </c>
      <c r="I955" t="s">
        <v>43</v>
      </c>
      <c r="J955">
        <v>150</v>
      </c>
      <c r="K955">
        <v>19</v>
      </c>
      <c r="L955">
        <v>11</v>
      </c>
      <c r="M955">
        <v>9.5</v>
      </c>
      <c r="N955">
        <v>67023</v>
      </c>
      <c r="O955">
        <v>688</v>
      </c>
      <c r="P955">
        <v>0</v>
      </c>
      <c r="Q955">
        <v>48</v>
      </c>
      <c r="R955">
        <v>2965</v>
      </c>
      <c r="S955" t="s">
        <v>44</v>
      </c>
      <c r="T955">
        <v>48</v>
      </c>
      <c r="U955" t="s">
        <v>44</v>
      </c>
      <c r="V955">
        <v>11176</v>
      </c>
      <c r="W955">
        <v>9</v>
      </c>
      <c r="X955" t="s">
        <v>44</v>
      </c>
      <c r="Y955">
        <v>10988</v>
      </c>
      <c r="Z955" t="s">
        <v>44</v>
      </c>
      <c r="AA955">
        <v>11</v>
      </c>
      <c r="AB955">
        <v>0</v>
      </c>
      <c r="AC955">
        <v>0</v>
      </c>
      <c r="AD955">
        <v>0</v>
      </c>
      <c r="AE955">
        <v>9</v>
      </c>
      <c r="AF955">
        <v>8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 s="2">
        <v>11875</v>
      </c>
      <c r="AQ955">
        <f t="shared" si="35"/>
        <v>11875</v>
      </c>
      <c r="AR955" s="5">
        <f>VLOOKUP(F955,'[2]SCP_24-25'!$A:$D,4,0)</f>
        <v>40.29</v>
      </c>
      <c r="AS955" s="5">
        <f t="shared" si="34"/>
        <v>478443.75</v>
      </c>
    </row>
    <row r="956" spans="1:45" x14ac:dyDescent="0.3">
      <c r="A956" s="1">
        <v>45900.963194444441</v>
      </c>
      <c r="B956" t="s">
        <v>1463</v>
      </c>
      <c r="C956" t="s">
        <v>1464</v>
      </c>
      <c r="D956" t="s">
        <v>301</v>
      </c>
      <c r="F956" t="s">
        <v>1616</v>
      </c>
      <c r="G956" t="s">
        <v>302</v>
      </c>
      <c r="H956" t="s">
        <v>66</v>
      </c>
      <c r="I956" t="s">
        <v>43</v>
      </c>
      <c r="J956">
        <v>30</v>
      </c>
      <c r="K956">
        <v>19</v>
      </c>
      <c r="L956">
        <v>9.5</v>
      </c>
      <c r="M956">
        <v>11</v>
      </c>
      <c r="N956">
        <v>83569</v>
      </c>
      <c r="O956">
        <v>584</v>
      </c>
      <c r="P956">
        <v>0</v>
      </c>
      <c r="Q956">
        <v>15</v>
      </c>
      <c r="R956">
        <v>1024</v>
      </c>
      <c r="S956" t="s">
        <v>44</v>
      </c>
      <c r="T956" t="s">
        <v>44</v>
      </c>
      <c r="U956" t="s">
        <v>44</v>
      </c>
      <c r="V956">
        <v>11668</v>
      </c>
      <c r="W956" t="s">
        <v>44</v>
      </c>
      <c r="X956" t="s">
        <v>44</v>
      </c>
      <c r="Y956">
        <v>11668</v>
      </c>
      <c r="Z956" t="s">
        <v>44</v>
      </c>
      <c r="AA956">
        <v>15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 s="2">
        <v>12267</v>
      </c>
      <c r="AQ956">
        <f t="shared" si="35"/>
        <v>12267</v>
      </c>
      <c r="AR956" s="5">
        <f>VLOOKUP(F956,'[2]SCP_24-25'!$A:$D,4,0)</f>
        <v>17.305</v>
      </c>
      <c r="AS956" s="5">
        <f t="shared" si="34"/>
        <v>212280.435</v>
      </c>
    </row>
    <row r="957" spans="1:45" x14ac:dyDescent="0.3">
      <c r="A957" s="1">
        <v>45900.963194444441</v>
      </c>
      <c r="B957" t="s">
        <v>1463</v>
      </c>
      <c r="C957" t="s">
        <v>1464</v>
      </c>
      <c r="D957" t="s">
        <v>113</v>
      </c>
      <c r="F957" t="s">
        <v>1536</v>
      </c>
      <c r="G957" t="s">
        <v>114</v>
      </c>
      <c r="H957" t="s">
        <v>66</v>
      </c>
      <c r="I957" t="s">
        <v>43</v>
      </c>
      <c r="J957">
        <v>37</v>
      </c>
      <c r="K957">
        <v>19</v>
      </c>
      <c r="L957">
        <v>11</v>
      </c>
      <c r="M957">
        <v>9.5</v>
      </c>
      <c r="N957">
        <v>102657</v>
      </c>
      <c r="O957">
        <v>12</v>
      </c>
      <c r="P957">
        <v>0</v>
      </c>
      <c r="Q957">
        <v>23</v>
      </c>
      <c r="R957">
        <v>3354</v>
      </c>
      <c r="S957" t="s">
        <v>44</v>
      </c>
      <c r="T957" t="s">
        <v>44</v>
      </c>
      <c r="U957" t="s">
        <v>44</v>
      </c>
      <c r="V957">
        <v>13979</v>
      </c>
      <c r="W957" t="s">
        <v>44</v>
      </c>
      <c r="X957" t="s">
        <v>44</v>
      </c>
      <c r="Y957">
        <v>13979</v>
      </c>
      <c r="Z957" t="s">
        <v>44</v>
      </c>
      <c r="AA957">
        <v>0</v>
      </c>
      <c r="AB957">
        <v>0</v>
      </c>
      <c r="AC957">
        <v>0</v>
      </c>
      <c r="AD957">
        <v>0</v>
      </c>
      <c r="AE957">
        <v>48</v>
      </c>
      <c r="AF957">
        <v>2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 s="2">
        <v>13991</v>
      </c>
      <c r="AQ957">
        <f t="shared" si="35"/>
        <v>13991</v>
      </c>
      <c r="AR957" s="5">
        <f>VLOOKUP(F957,'[2]SCP_24-25'!$A:$D,4,0)</f>
        <v>13.56</v>
      </c>
      <c r="AS957" s="5">
        <f t="shared" si="34"/>
        <v>189717.96000000002</v>
      </c>
    </row>
    <row r="958" spans="1:45" x14ac:dyDescent="0.3">
      <c r="A958" s="1">
        <v>45900.963194444441</v>
      </c>
      <c r="B958" t="s">
        <v>1463</v>
      </c>
      <c r="C958" t="s">
        <v>1464</v>
      </c>
      <c r="D958" t="s">
        <v>1346</v>
      </c>
      <c r="E958" t="s">
        <v>1347</v>
      </c>
      <c r="F958" t="s">
        <v>2122</v>
      </c>
      <c r="G958" t="s">
        <v>1348</v>
      </c>
      <c r="H958" t="s">
        <v>621</v>
      </c>
      <c r="I958" t="s">
        <v>43</v>
      </c>
      <c r="J958">
        <v>139.30000000000001</v>
      </c>
      <c r="K958">
        <v>1</v>
      </c>
      <c r="L958">
        <v>7.62</v>
      </c>
      <c r="M958">
        <v>17.7</v>
      </c>
      <c r="N958">
        <v>415833</v>
      </c>
      <c r="O958">
        <v>0</v>
      </c>
      <c r="P958">
        <v>0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>
        <v>13009</v>
      </c>
      <c r="W958" t="s">
        <v>44</v>
      </c>
      <c r="X958" t="s">
        <v>44</v>
      </c>
      <c r="Y958">
        <v>13006</v>
      </c>
      <c r="Z958" t="s">
        <v>44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 s="2">
        <v>13009</v>
      </c>
      <c r="AQ958">
        <f t="shared" si="35"/>
        <v>13009</v>
      </c>
      <c r="AR958" s="5">
        <f>VLOOKUP(F958,'[2]SCP_24-25'!$A:$D,4,0)</f>
        <v>6.9774999999999991</v>
      </c>
      <c r="AS958" s="5">
        <f t="shared" si="34"/>
        <v>90770.297499999986</v>
      </c>
    </row>
    <row r="959" spans="1:45" x14ac:dyDescent="0.3">
      <c r="A959" s="1">
        <v>45900.963194444441</v>
      </c>
      <c r="B959" t="s">
        <v>1463</v>
      </c>
      <c r="C959" t="s">
        <v>1464</v>
      </c>
      <c r="D959" t="s">
        <v>1315</v>
      </c>
      <c r="E959" t="s">
        <v>1316</v>
      </c>
      <c r="F959" t="s">
        <v>2108</v>
      </c>
      <c r="G959" t="s">
        <v>1317</v>
      </c>
      <c r="H959" t="s">
        <v>621</v>
      </c>
      <c r="I959" t="s">
        <v>43</v>
      </c>
      <c r="J959">
        <v>822</v>
      </c>
      <c r="K959">
        <v>48</v>
      </c>
      <c r="L959">
        <v>22</v>
      </c>
      <c r="M959">
        <v>36</v>
      </c>
      <c r="N959">
        <v>32585</v>
      </c>
      <c r="O959">
        <v>0</v>
      </c>
      <c r="P959">
        <v>0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>
        <v>11492</v>
      </c>
      <c r="W959" t="s">
        <v>44</v>
      </c>
      <c r="X959" t="s">
        <v>44</v>
      </c>
      <c r="Y959">
        <v>11492</v>
      </c>
      <c r="Z959" t="s">
        <v>44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 s="2">
        <v>11492</v>
      </c>
      <c r="AQ959">
        <f t="shared" si="35"/>
        <v>11492</v>
      </c>
      <c r="AR959" s="5">
        <f>VLOOKUP(F959,'[2]SCP_24-25'!$A:$D,4,0)</f>
        <v>47.625</v>
      </c>
      <c r="AS959" s="5">
        <f t="shared" si="34"/>
        <v>547306.5</v>
      </c>
    </row>
    <row r="960" spans="1:45" x14ac:dyDescent="0.3">
      <c r="A960" s="1">
        <v>45900.963194444441</v>
      </c>
      <c r="B960" t="s">
        <v>1463</v>
      </c>
      <c r="C960" t="s">
        <v>1464</v>
      </c>
      <c r="D960" t="s">
        <v>405</v>
      </c>
      <c r="F960" t="s">
        <v>1660</v>
      </c>
      <c r="G960" t="s">
        <v>406</v>
      </c>
      <c r="H960" t="s">
        <v>103</v>
      </c>
      <c r="I960" t="s">
        <v>43</v>
      </c>
      <c r="J960">
        <v>90</v>
      </c>
      <c r="K960">
        <v>19</v>
      </c>
      <c r="L960">
        <v>10</v>
      </c>
      <c r="M960">
        <v>11</v>
      </c>
      <c r="N960">
        <v>261458</v>
      </c>
      <c r="O960">
        <v>3171</v>
      </c>
      <c r="P960">
        <v>0</v>
      </c>
      <c r="Q960">
        <v>244</v>
      </c>
      <c r="R960">
        <v>391</v>
      </c>
      <c r="S960" t="s">
        <v>44</v>
      </c>
      <c r="T960">
        <v>288</v>
      </c>
      <c r="U960" t="s">
        <v>44</v>
      </c>
      <c r="V960">
        <v>13388</v>
      </c>
      <c r="W960">
        <v>83</v>
      </c>
      <c r="X960" t="s">
        <v>44</v>
      </c>
      <c r="Y960">
        <v>13387</v>
      </c>
      <c r="Z960" t="s">
        <v>44</v>
      </c>
      <c r="AA960">
        <v>33</v>
      </c>
      <c r="AB960">
        <v>0</v>
      </c>
      <c r="AC960">
        <v>0</v>
      </c>
      <c r="AD960">
        <v>0</v>
      </c>
      <c r="AE960">
        <v>0</v>
      </c>
      <c r="AF960">
        <v>31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 s="2">
        <v>16592</v>
      </c>
      <c r="AQ960">
        <f t="shared" si="35"/>
        <v>16592</v>
      </c>
      <c r="AR960" s="5">
        <f>VLOOKUP(F960,'[2]SCP_24-25'!$A:$D,4,0)</f>
        <v>83.794500000000028</v>
      </c>
      <c r="AS960" s="5">
        <f t="shared" si="34"/>
        <v>1390318.3440000005</v>
      </c>
    </row>
    <row r="961" spans="1:45" x14ac:dyDescent="0.3">
      <c r="A961" s="1">
        <v>45900.963194444441</v>
      </c>
      <c r="B961" t="s">
        <v>1463</v>
      </c>
      <c r="C961" t="s">
        <v>1464</v>
      </c>
      <c r="D961" t="s">
        <v>407</v>
      </c>
      <c r="F961" t="s">
        <v>1661</v>
      </c>
      <c r="G961" t="s">
        <v>408</v>
      </c>
      <c r="H961" t="s">
        <v>66</v>
      </c>
      <c r="I961" t="s">
        <v>43</v>
      </c>
      <c r="J961">
        <v>90.08</v>
      </c>
      <c r="K961">
        <v>19</v>
      </c>
      <c r="L961">
        <v>10</v>
      </c>
      <c r="M961">
        <v>11</v>
      </c>
      <c r="N961">
        <v>270909</v>
      </c>
      <c r="O961">
        <v>2743</v>
      </c>
      <c r="P961">
        <v>0</v>
      </c>
      <c r="Q961">
        <v>308</v>
      </c>
      <c r="R961">
        <v>4</v>
      </c>
      <c r="S961" t="s">
        <v>44</v>
      </c>
      <c r="T961" t="s">
        <v>44</v>
      </c>
      <c r="U961" t="s">
        <v>44</v>
      </c>
      <c r="V961">
        <v>13612</v>
      </c>
      <c r="W961">
        <v>65</v>
      </c>
      <c r="X961" t="s">
        <v>44</v>
      </c>
      <c r="Y961">
        <v>13612</v>
      </c>
      <c r="Z961" t="s">
        <v>44</v>
      </c>
      <c r="AA961">
        <v>93</v>
      </c>
      <c r="AB961">
        <v>0</v>
      </c>
      <c r="AC961">
        <v>0</v>
      </c>
      <c r="AD961">
        <v>0</v>
      </c>
      <c r="AE961">
        <v>0</v>
      </c>
      <c r="AF961">
        <v>59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2000</v>
      </c>
      <c r="AP961" s="2">
        <v>16448</v>
      </c>
      <c r="AQ961">
        <f t="shared" si="35"/>
        <v>16448</v>
      </c>
      <c r="AR961" s="5">
        <f>VLOOKUP(F961,'[2]SCP_24-25'!$A:$D,4,0)</f>
        <v>71.819000000000003</v>
      </c>
      <c r="AS961" s="5">
        <f t="shared" si="34"/>
        <v>1181278.912</v>
      </c>
    </row>
    <row r="962" spans="1:45" x14ac:dyDescent="0.3">
      <c r="A962" s="1">
        <v>45900.963194444441</v>
      </c>
      <c r="B962" t="s">
        <v>1463</v>
      </c>
      <c r="C962" t="s">
        <v>1464</v>
      </c>
      <c r="D962" t="s">
        <v>1335</v>
      </c>
      <c r="F962" t="s">
        <v>2117</v>
      </c>
      <c r="G962" t="s">
        <v>1336</v>
      </c>
      <c r="H962" t="s">
        <v>66</v>
      </c>
      <c r="I962" t="s">
        <v>43</v>
      </c>
      <c r="J962">
        <v>5</v>
      </c>
      <c r="K962">
        <v>19</v>
      </c>
      <c r="L962">
        <v>11</v>
      </c>
      <c r="M962">
        <v>10</v>
      </c>
      <c r="N962">
        <v>10656</v>
      </c>
      <c r="O962">
        <v>0</v>
      </c>
      <c r="P962">
        <v>0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>
        <v>10656</v>
      </c>
      <c r="W962" t="s">
        <v>44</v>
      </c>
      <c r="X962" t="s">
        <v>44</v>
      </c>
      <c r="Y962">
        <v>10656</v>
      </c>
      <c r="Z962" t="s">
        <v>44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 s="2">
        <v>10656</v>
      </c>
      <c r="AQ962">
        <f t="shared" si="35"/>
        <v>10656</v>
      </c>
      <c r="AR962" s="5">
        <f>VLOOKUP(F962,'[1]Cost Sheet'!$C:$D,2,0)</f>
        <v>16.23</v>
      </c>
      <c r="AS962" s="5">
        <f t="shared" si="34"/>
        <v>172946.88</v>
      </c>
    </row>
    <row r="963" spans="1:45" x14ac:dyDescent="0.3">
      <c r="A963" s="1">
        <v>45900.963194444441</v>
      </c>
      <c r="B963" t="s">
        <v>1463</v>
      </c>
      <c r="C963" t="s">
        <v>1464</v>
      </c>
      <c r="D963" t="s">
        <v>143</v>
      </c>
      <c r="F963" t="s">
        <v>1549</v>
      </c>
      <c r="G963" t="s">
        <v>144</v>
      </c>
      <c r="H963" t="s">
        <v>103</v>
      </c>
      <c r="I963" t="s">
        <v>43</v>
      </c>
      <c r="J963">
        <v>122</v>
      </c>
      <c r="K963">
        <v>19</v>
      </c>
      <c r="L963">
        <v>9.5</v>
      </c>
      <c r="M963">
        <v>11</v>
      </c>
      <c r="N963">
        <v>36324</v>
      </c>
      <c r="O963">
        <v>112</v>
      </c>
      <c r="P963">
        <v>0</v>
      </c>
      <c r="Q963">
        <v>156</v>
      </c>
      <c r="R963">
        <v>2895</v>
      </c>
      <c r="S963" t="s">
        <v>44</v>
      </c>
      <c r="T963" t="s">
        <v>44</v>
      </c>
      <c r="U963" t="s">
        <v>44</v>
      </c>
      <c r="V963">
        <v>886</v>
      </c>
      <c r="W963">
        <v>24</v>
      </c>
      <c r="X963" t="s">
        <v>44</v>
      </c>
      <c r="Y963">
        <v>869</v>
      </c>
      <c r="Z963" t="s">
        <v>44</v>
      </c>
      <c r="AA963">
        <v>5</v>
      </c>
      <c r="AB963">
        <v>0</v>
      </c>
      <c r="AC963">
        <v>0</v>
      </c>
      <c r="AD963">
        <v>0</v>
      </c>
      <c r="AE963">
        <v>5</v>
      </c>
      <c r="AF963">
        <v>5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 s="2">
        <v>1003</v>
      </c>
      <c r="AQ963">
        <f t="shared" si="35"/>
        <v>1003</v>
      </c>
      <c r="AR963" s="5">
        <f>VLOOKUP(F963,'[2]SCP_24-25'!$A:$D,4,0)</f>
        <v>100.66</v>
      </c>
      <c r="AS963" s="5">
        <f t="shared" ref="AS963:AS1026" si="36">AQ963*AR963</f>
        <v>100961.98</v>
      </c>
    </row>
    <row r="964" spans="1:45" x14ac:dyDescent="0.3">
      <c r="A964" s="1">
        <v>45900.963194444441</v>
      </c>
      <c r="B964" t="s">
        <v>1463</v>
      </c>
      <c r="C964" t="s">
        <v>1464</v>
      </c>
      <c r="D964" t="s">
        <v>157</v>
      </c>
      <c r="F964" t="s">
        <v>1556</v>
      </c>
      <c r="G964" t="s">
        <v>158</v>
      </c>
      <c r="H964" t="s">
        <v>66</v>
      </c>
      <c r="I964" t="s">
        <v>43</v>
      </c>
      <c r="J964">
        <v>116</v>
      </c>
      <c r="K964">
        <v>19</v>
      </c>
      <c r="L964">
        <v>9.5</v>
      </c>
      <c r="M964">
        <v>11</v>
      </c>
      <c r="N964">
        <v>21852</v>
      </c>
      <c r="O964">
        <v>31</v>
      </c>
      <c r="P964">
        <v>0</v>
      </c>
      <c r="Q964">
        <v>21</v>
      </c>
      <c r="R964">
        <v>1776</v>
      </c>
      <c r="S964" t="s">
        <v>44</v>
      </c>
      <c r="T964" t="s">
        <v>44</v>
      </c>
      <c r="U964" t="s">
        <v>44</v>
      </c>
      <c r="V964">
        <v>1078</v>
      </c>
      <c r="W964">
        <v>3</v>
      </c>
      <c r="X964" t="s">
        <v>44</v>
      </c>
      <c r="Y964">
        <v>822</v>
      </c>
      <c r="Z964" t="s">
        <v>44</v>
      </c>
      <c r="AA964">
        <v>0</v>
      </c>
      <c r="AB964">
        <v>0</v>
      </c>
      <c r="AC964">
        <v>0</v>
      </c>
      <c r="AD964">
        <v>0</v>
      </c>
      <c r="AE964">
        <v>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 s="2">
        <v>1109</v>
      </c>
      <c r="AQ964">
        <f t="shared" si="35"/>
        <v>1109</v>
      </c>
      <c r="AR964" s="5">
        <f>VLOOKUP(F964,'[2]SCP_24-25'!$A:$D,4,0)</f>
        <v>37.17</v>
      </c>
      <c r="AS964" s="5">
        <f t="shared" si="36"/>
        <v>41221.53</v>
      </c>
    </row>
    <row r="965" spans="1:45" x14ac:dyDescent="0.3">
      <c r="A965" s="1">
        <v>45900.963194444441</v>
      </c>
      <c r="B965" t="s">
        <v>1463</v>
      </c>
      <c r="C965" t="s">
        <v>1464</v>
      </c>
      <c r="D965" t="s">
        <v>159</v>
      </c>
      <c r="F965" t="s">
        <v>1557</v>
      </c>
      <c r="G965" t="s">
        <v>160</v>
      </c>
      <c r="H965" t="s">
        <v>66</v>
      </c>
      <c r="I965" t="s">
        <v>43</v>
      </c>
      <c r="J965">
        <v>73.209999999999994</v>
      </c>
      <c r="K965">
        <v>19</v>
      </c>
      <c r="L965">
        <v>9.5</v>
      </c>
      <c r="M965">
        <v>11</v>
      </c>
      <c r="N965">
        <v>17431</v>
      </c>
      <c r="O965">
        <v>59</v>
      </c>
      <c r="P965">
        <v>0</v>
      </c>
      <c r="Q965">
        <v>84</v>
      </c>
      <c r="R965">
        <v>1956</v>
      </c>
      <c r="S965" t="s">
        <v>44</v>
      </c>
      <c r="T965">
        <v>2</v>
      </c>
      <c r="U965" t="s">
        <v>44</v>
      </c>
      <c r="V965">
        <v>977</v>
      </c>
      <c r="W965">
        <v>2</v>
      </c>
      <c r="X965" t="s">
        <v>44</v>
      </c>
      <c r="Y965">
        <v>664</v>
      </c>
      <c r="Z965" t="s">
        <v>44</v>
      </c>
      <c r="AA965">
        <v>0</v>
      </c>
      <c r="AB965">
        <v>0</v>
      </c>
      <c r="AC965">
        <v>0</v>
      </c>
      <c r="AD965">
        <v>0</v>
      </c>
      <c r="AE965">
        <v>76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 s="2">
        <v>1036</v>
      </c>
      <c r="AQ965">
        <f t="shared" si="35"/>
        <v>1036</v>
      </c>
      <c r="AR965" s="5">
        <f>VLOOKUP(F965,'[2]SCP_24-25'!$A:$D,4,0)</f>
        <v>40.090000000000003</v>
      </c>
      <c r="AS965" s="5">
        <f t="shared" si="36"/>
        <v>41533.240000000005</v>
      </c>
    </row>
    <row r="966" spans="1:45" x14ac:dyDescent="0.3">
      <c r="A966" s="1">
        <v>45900.963194444441</v>
      </c>
      <c r="B966" t="s">
        <v>1463</v>
      </c>
      <c r="C966" t="s">
        <v>1464</v>
      </c>
      <c r="D966" t="s">
        <v>163</v>
      </c>
      <c r="F966" t="s">
        <v>1559</v>
      </c>
      <c r="G966" t="s">
        <v>164</v>
      </c>
      <c r="H966" t="s">
        <v>66</v>
      </c>
      <c r="I966" t="s">
        <v>43</v>
      </c>
      <c r="J966">
        <v>75.400000000000006</v>
      </c>
      <c r="K966">
        <v>19</v>
      </c>
      <c r="L966">
        <v>11</v>
      </c>
      <c r="M966">
        <v>9.5</v>
      </c>
      <c r="N966">
        <v>19924</v>
      </c>
      <c r="O966">
        <v>71</v>
      </c>
      <c r="P966">
        <v>0</v>
      </c>
      <c r="Q966">
        <v>86</v>
      </c>
      <c r="R966">
        <v>1641</v>
      </c>
      <c r="S966" t="s">
        <v>44</v>
      </c>
      <c r="T966" t="s">
        <v>44</v>
      </c>
      <c r="U966" t="s">
        <v>44</v>
      </c>
      <c r="V966">
        <v>386</v>
      </c>
      <c r="W966">
        <v>2</v>
      </c>
      <c r="X966" t="s">
        <v>44</v>
      </c>
      <c r="Y966">
        <v>147</v>
      </c>
      <c r="Z966" t="s">
        <v>44</v>
      </c>
      <c r="AA966">
        <v>0</v>
      </c>
      <c r="AB966">
        <v>0</v>
      </c>
      <c r="AC966">
        <v>0</v>
      </c>
      <c r="AD966">
        <v>0</v>
      </c>
      <c r="AE966">
        <v>257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457</v>
      </c>
      <c r="AQ966">
        <f t="shared" si="35"/>
        <v>457</v>
      </c>
      <c r="AR966" s="5">
        <f>VLOOKUP(F966,'[2]SCP_24-25'!$A:$D,4,0)</f>
        <v>63.65</v>
      </c>
      <c r="AS966" s="5">
        <f t="shared" si="36"/>
        <v>29088.05</v>
      </c>
    </row>
    <row r="967" spans="1:45" x14ac:dyDescent="0.3">
      <c r="A967" s="1">
        <v>45900.963194444441</v>
      </c>
      <c r="B967" t="s">
        <v>1463</v>
      </c>
      <c r="C967" t="s">
        <v>1464</v>
      </c>
      <c r="D967" t="s">
        <v>169</v>
      </c>
      <c r="F967" t="s">
        <v>1562</v>
      </c>
      <c r="G967" t="s">
        <v>170</v>
      </c>
      <c r="H967" t="s">
        <v>66</v>
      </c>
      <c r="I967" t="s">
        <v>43</v>
      </c>
      <c r="J967">
        <v>89.29</v>
      </c>
      <c r="K967">
        <v>19</v>
      </c>
      <c r="L967">
        <v>11</v>
      </c>
      <c r="M967">
        <v>9.5</v>
      </c>
      <c r="N967">
        <v>27901</v>
      </c>
      <c r="O967">
        <v>26</v>
      </c>
      <c r="P967">
        <v>0</v>
      </c>
      <c r="Q967">
        <v>104</v>
      </c>
      <c r="R967">
        <v>3812</v>
      </c>
      <c r="S967" t="s">
        <v>44</v>
      </c>
      <c r="T967" t="s">
        <v>44</v>
      </c>
      <c r="U967" t="s">
        <v>44</v>
      </c>
      <c r="V967">
        <v>741</v>
      </c>
      <c r="W967">
        <v>2</v>
      </c>
      <c r="X967" t="s">
        <v>44</v>
      </c>
      <c r="Y967">
        <v>734</v>
      </c>
      <c r="Z967" t="s">
        <v>44</v>
      </c>
      <c r="AA967">
        <v>3</v>
      </c>
      <c r="AB967">
        <v>0</v>
      </c>
      <c r="AC967">
        <v>0</v>
      </c>
      <c r="AD967">
        <v>0</v>
      </c>
      <c r="AE967">
        <v>552</v>
      </c>
      <c r="AF967">
        <v>5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770</v>
      </c>
      <c r="AQ967">
        <f t="shared" si="35"/>
        <v>770</v>
      </c>
      <c r="AR967" s="5">
        <f>VLOOKUP(F967,'[2]SCP_24-25'!$A:$D,4,0)</f>
        <v>121.49</v>
      </c>
      <c r="AS967" s="5">
        <f t="shared" si="36"/>
        <v>93547.3</v>
      </c>
    </row>
    <row r="968" spans="1:45" x14ac:dyDescent="0.3">
      <c r="A968" s="1">
        <v>45900.963194444441</v>
      </c>
      <c r="B968" t="s">
        <v>1463</v>
      </c>
      <c r="C968" t="s">
        <v>1464</v>
      </c>
      <c r="D968" t="s">
        <v>185</v>
      </c>
      <c r="F968" t="s">
        <v>1570</v>
      </c>
      <c r="G968" t="s">
        <v>186</v>
      </c>
      <c r="H968" t="s">
        <v>66</v>
      </c>
      <c r="I968" t="s">
        <v>43</v>
      </c>
      <c r="J968">
        <v>100</v>
      </c>
      <c r="K968">
        <v>19</v>
      </c>
      <c r="L968">
        <v>9.5</v>
      </c>
      <c r="M968">
        <v>11</v>
      </c>
      <c r="N968">
        <v>38544</v>
      </c>
      <c r="O968">
        <v>64</v>
      </c>
      <c r="P968">
        <v>0</v>
      </c>
      <c r="Q968">
        <v>106</v>
      </c>
      <c r="R968">
        <v>5913</v>
      </c>
      <c r="S968" t="s">
        <v>44</v>
      </c>
      <c r="T968" t="s">
        <v>44</v>
      </c>
      <c r="U968" t="s">
        <v>44</v>
      </c>
      <c r="V968">
        <v>655</v>
      </c>
      <c r="W968">
        <v>19</v>
      </c>
      <c r="X968" t="s">
        <v>44</v>
      </c>
      <c r="Y968">
        <v>538</v>
      </c>
      <c r="Z968" t="s">
        <v>44</v>
      </c>
      <c r="AA968">
        <v>3</v>
      </c>
      <c r="AB968">
        <v>0</v>
      </c>
      <c r="AC968">
        <v>0</v>
      </c>
      <c r="AD968">
        <v>0</v>
      </c>
      <c r="AE968">
        <v>36</v>
      </c>
      <c r="AF968">
        <v>2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722</v>
      </c>
      <c r="AQ968">
        <f t="shared" si="35"/>
        <v>722</v>
      </c>
      <c r="AR968" s="5">
        <f>VLOOKUP(F968,'[2]SCP_24-25'!$A:$D,4,0)</f>
        <v>50.46</v>
      </c>
      <c r="AS968" s="5">
        <f t="shared" si="36"/>
        <v>36432.120000000003</v>
      </c>
    </row>
    <row r="969" spans="1:45" x14ac:dyDescent="0.3">
      <c r="A969" s="1">
        <v>45900.963194444441</v>
      </c>
      <c r="B969" t="s">
        <v>1463</v>
      </c>
      <c r="C969" t="s">
        <v>1464</v>
      </c>
      <c r="D969" t="s">
        <v>187</v>
      </c>
      <c r="F969" t="s">
        <v>1571</v>
      </c>
      <c r="G969" t="s">
        <v>188</v>
      </c>
      <c r="H969" t="s">
        <v>66</v>
      </c>
      <c r="I969" t="s">
        <v>43</v>
      </c>
      <c r="J969">
        <v>102</v>
      </c>
      <c r="K969">
        <v>19</v>
      </c>
      <c r="L969">
        <v>9.5</v>
      </c>
      <c r="M969">
        <v>11</v>
      </c>
      <c r="N969">
        <v>30876</v>
      </c>
      <c r="O969">
        <v>39</v>
      </c>
      <c r="P969">
        <v>0</v>
      </c>
      <c r="Q969">
        <v>189</v>
      </c>
      <c r="R969">
        <v>2765</v>
      </c>
      <c r="S969" t="s">
        <v>44</v>
      </c>
      <c r="T969" t="s">
        <v>44</v>
      </c>
      <c r="U969" t="s">
        <v>44</v>
      </c>
      <c r="V969">
        <v>880</v>
      </c>
      <c r="W969">
        <v>9</v>
      </c>
      <c r="X969" t="s">
        <v>44</v>
      </c>
      <c r="Y969">
        <v>537</v>
      </c>
      <c r="Z969" t="s">
        <v>44</v>
      </c>
      <c r="AA969">
        <v>1</v>
      </c>
      <c r="AB969">
        <v>0</v>
      </c>
      <c r="AC969">
        <v>0</v>
      </c>
      <c r="AD969">
        <v>0</v>
      </c>
      <c r="AE969">
        <v>243</v>
      </c>
      <c r="AF969">
        <v>3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920</v>
      </c>
      <c r="AQ969">
        <f t="shared" si="35"/>
        <v>920</v>
      </c>
      <c r="AR969" s="5">
        <f>VLOOKUP(F969,'[2]SCP_24-25'!$A:$D,4,0)</f>
        <v>65.349999999999994</v>
      </c>
      <c r="AS969" s="5">
        <f t="shared" si="36"/>
        <v>60121.999999999993</v>
      </c>
    </row>
    <row r="970" spans="1:45" x14ac:dyDescent="0.3">
      <c r="A970" s="1">
        <v>45900.963194444441</v>
      </c>
      <c r="B970" t="s">
        <v>1463</v>
      </c>
      <c r="C970" t="s">
        <v>1464</v>
      </c>
      <c r="D970" t="s">
        <v>189</v>
      </c>
      <c r="F970" t="s">
        <v>1572</v>
      </c>
      <c r="G970" t="s">
        <v>190</v>
      </c>
      <c r="H970" t="s">
        <v>66</v>
      </c>
      <c r="I970" t="s">
        <v>43</v>
      </c>
      <c r="J970">
        <v>115</v>
      </c>
      <c r="K970">
        <v>19</v>
      </c>
      <c r="L970">
        <v>9.5</v>
      </c>
      <c r="M970">
        <v>11</v>
      </c>
      <c r="N970">
        <v>36480</v>
      </c>
      <c r="O970">
        <v>74</v>
      </c>
      <c r="P970">
        <v>0</v>
      </c>
      <c r="Q970">
        <v>35</v>
      </c>
      <c r="R970">
        <v>3870</v>
      </c>
      <c r="S970" t="s">
        <v>44</v>
      </c>
      <c r="T970" t="s">
        <v>44</v>
      </c>
      <c r="U970" t="s">
        <v>44</v>
      </c>
      <c r="V970">
        <v>493</v>
      </c>
      <c r="W970">
        <v>12</v>
      </c>
      <c r="X970" t="s">
        <v>44</v>
      </c>
      <c r="Y970">
        <v>283</v>
      </c>
      <c r="Z970" t="s">
        <v>44</v>
      </c>
      <c r="AA970">
        <v>3</v>
      </c>
      <c r="AB970">
        <v>0</v>
      </c>
      <c r="AC970">
        <v>0</v>
      </c>
      <c r="AD970">
        <v>0</v>
      </c>
      <c r="AE970">
        <v>38</v>
      </c>
      <c r="AF970">
        <v>3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570</v>
      </c>
      <c r="AQ970">
        <f t="shared" si="35"/>
        <v>570</v>
      </c>
      <c r="AR970" s="5">
        <f>VLOOKUP(F970,'[2]SCP_24-25'!$A:$D,4,0)</f>
        <v>72.599999999999994</v>
      </c>
      <c r="AS970" s="5">
        <f t="shared" si="36"/>
        <v>41382</v>
      </c>
    </row>
    <row r="971" spans="1:45" x14ac:dyDescent="0.3">
      <c r="A971" s="1">
        <v>45900.963194444441</v>
      </c>
      <c r="B971" t="s">
        <v>1463</v>
      </c>
      <c r="C971" t="s">
        <v>1464</v>
      </c>
      <c r="D971" t="s">
        <v>226</v>
      </c>
      <c r="F971" t="s">
        <v>1588</v>
      </c>
      <c r="G971" t="s">
        <v>227</v>
      </c>
      <c r="H971" t="s">
        <v>66</v>
      </c>
      <c r="I971" t="s">
        <v>43</v>
      </c>
      <c r="J971">
        <v>101</v>
      </c>
      <c r="K971">
        <v>19</v>
      </c>
      <c r="L971">
        <v>10</v>
      </c>
      <c r="M971">
        <v>11</v>
      </c>
      <c r="N971">
        <v>21857</v>
      </c>
      <c r="O971">
        <v>32</v>
      </c>
      <c r="P971">
        <v>0</v>
      </c>
      <c r="Q971">
        <v>35</v>
      </c>
      <c r="R971">
        <v>2358</v>
      </c>
      <c r="S971" t="s">
        <v>44</v>
      </c>
      <c r="T971" t="s">
        <v>44</v>
      </c>
      <c r="U971" t="s">
        <v>44</v>
      </c>
      <c r="V971">
        <v>409</v>
      </c>
      <c r="W971">
        <v>1</v>
      </c>
      <c r="X971" t="s">
        <v>44</v>
      </c>
      <c r="Y971">
        <v>136</v>
      </c>
      <c r="Z971" t="s">
        <v>44</v>
      </c>
      <c r="AA971">
        <v>1</v>
      </c>
      <c r="AB971">
        <v>0</v>
      </c>
      <c r="AC971">
        <v>0</v>
      </c>
      <c r="AD971">
        <v>0</v>
      </c>
      <c r="AE971">
        <v>168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442</v>
      </c>
      <c r="AQ971">
        <f t="shared" si="35"/>
        <v>442</v>
      </c>
      <c r="AR971" s="5">
        <f>VLOOKUP(F971,'[2]SCP_24-25'!$A:$D,4,0)</f>
        <v>70.2</v>
      </c>
      <c r="AS971" s="5">
        <f t="shared" si="36"/>
        <v>31028.400000000001</v>
      </c>
    </row>
    <row r="972" spans="1:45" x14ac:dyDescent="0.3">
      <c r="A972" s="1">
        <v>45900.963194444441</v>
      </c>
      <c r="B972" t="s">
        <v>1463</v>
      </c>
      <c r="C972" t="s">
        <v>1464</v>
      </c>
      <c r="D972" t="s">
        <v>237</v>
      </c>
      <c r="F972" t="s">
        <v>1593</v>
      </c>
      <c r="G972" t="s">
        <v>238</v>
      </c>
      <c r="H972" t="s">
        <v>66</v>
      </c>
      <c r="I972" t="s">
        <v>43</v>
      </c>
      <c r="J972">
        <v>90</v>
      </c>
      <c r="K972">
        <v>19</v>
      </c>
      <c r="L972">
        <v>9.5</v>
      </c>
      <c r="M972">
        <v>11</v>
      </c>
      <c r="N972">
        <v>21662</v>
      </c>
      <c r="O972">
        <v>43</v>
      </c>
      <c r="P972">
        <v>0</v>
      </c>
      <c r="Q972">
        <v>62</v>
      </c>
      <c r="R972">
        <v>1781</v>
      </c>
      <c r="S972" t="s">
        <v>44</v>
      </c>
      <c r="T972" t="s">
        <v>44</v>
      </c>
      <c r="U972" t="s">
        <v>44</v>
      </c>
      <c r="V972">
        <v>134</v>
      </c>
      <c r="W972" t="s">
        <v>44</v>
      </c>
      <c r="X972" t="s">
        <v>44</v>
      </c>
      <c r="Y972">
        <v>104</v>
      </c>
      <c r="Z972" t="s">
        <v>44</v>
      </c>
      <c r="AA972">
        <v>0</v>
      </c>
      <c r="AB972">
        <v>0</v>
      </c>
      <c r="AC972">
        <v>0</v>
      </c>
      <c r="AD972">
        <v>0</v>
      </c>
      <c r="AE972">
        <v>467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177</v>
      </c>
      <c r="AQ972">
        <f t="shared" si="35"/>
        <v>177</v>
      </c>
      <c r="AR972" s="5">
        <f>VLOOKUP(F972,'[2]SCP_24-25'!$A:$D,4,0)</f>
        <v>60</v>
      </c>
      <c r="AS972" s="5">
        <f t="shared" si="36"/>
        <v>10620</v>
      </c>
    </row>
    <row r="973" spans="1:45" x14ac:dyDescent="0.3">
      <c r="A973" s="1">
        <v>45900.963194444441</v>
      </c>
      <c r="B973" t="s">
        <v>1463</v>
      </c>
      <c r="C973" t="s">
        <v>1464</v>
      </c>
      <c r="D973" t="s">
        <v>239</v>
      </c>
      <c r="E973" t="s">
        <v>240</v>
      </c>
      <c r="F973" t="s">
        <v>1594</v>
      </c>
      <c r="G973" t="s">
        <v>241</v>
      </c>
      <c r="H973" t="s">
        <v>66</v>
      </c>
      <c r="I973" t="s">
        <v>43</v>
      </c>
      <c r="J973">
        <v>35</v>
      </c>
      <c r="K973">
        <v>19</v>
      </c>
      <c r="L973">
        <v>11</v>
      </c>
      <c r="M973">
        <v>9.5</v>
      </c>
      <c r="N973">
        <v>28412</v>
      </c>
      <c r="O973">
        <v>81</v>
      </c>
      <c r="P973">
        <v>0</v>
      </c>
      <c r="Q973">
        <v>113</v>
      </c>
      <c r="R973">
        <v>4549</v>
      </c>
      <c r="S973" t="s">
        <v>44</v>
      </c>
      <c r="T973" t="s">
        <v>44</v>
      </c>
      <c r="U973" t="s">
        <v>44</v>
      </c>
      <c r="V973">
        <v>1037</v>
      </c>
      <c r="W973">
        <v>2</v>
      </c>
      <c r="X973" t="s">
        <v>44</v>
      </c>
      <c r="Y973">
        <v>974</v>
      </c>
      <c r="Z973" t="s">
        <v>44</v>
      </c>
      <c r="AA973">
        <v>1</v>
      </c>
      <c r="AB973">
        <v>0</v>
      </c>
      <c r="AC973">
        <v>0</v>
      </c>
      <c r="AD973">
        <v>0</v>
      </c>
      <c r="AE973">
        <v>374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 s="2">
        <v>1119</v>
      </c>
      <c r="AQ973">
        <f t="shared" si="35"/>
        <v>1119</v>
      </c>
      <c r="AR973" s="5">
        <f>VLOOKUP(F973,'[2]SCP_24-25'!$A:$D,4,0)</f>
        <v>31.31</v>
      </c>
      <c r="AS973" s="5">
        <f t="shared" si="36"/>
        <v>35035.89</v>
      </c>
    </row>
    <row r="974" spans="1:45" x14ac:dyDescent="0.3">
      <c r="A974" s="1">
        <v>45900.963194444441</v>
      </c>
      <c r="B974" t="s">
        <v>1463</v>
      </c>
      <c r="C974" t="s">
        <v>1464</v>
      </c>
      <c r="D974" t="s">
        <v>248</v>
      </c>
      <c r="E974" t="s">
        <v>249</v>
      </c>
      <c r="F974" t="s">
        <v>1597</v>
      </c>
      <c r="G974" t="s">
        <v>250</v>
      </c>
      <c r="H974" t="s">
        <v>66</v>
      </c>
      <c r="I974" t="s">
        <v>43</v>
      </c>
      <c r="J974">
        <v>35</v>
      </c>
      <c r="K974">
        <v>19</v>
      </c>
      <c r="L974">
        <v>11</v>
      </c>
      <c r="M974">
        <v>9.5</v>
      </c>
      <c r="N974">
        <v>14694</v>
      </c>
      <c r="O974">
        <v>86</v>
      </c>
      <c r="P974">
        <v>0</v>
      </c>
      <c r="Q974">
        <v>30</v>
      </c>
      <c r="R974">
        <v>1242</v>
      </c>
      <c r="S974" t="s">
        <v>44</v>
      </c>
      <c r="T974" t="s">
        <v>44</v>
      </c>
      <c r="U974" t="s">
        <v>44</v>
      </c>
      <c r="V974">
        <v>455</v>
      </c>
      <c r="W974">
        <v>7</v>
      </c>
      <c r="X974" t="s">
        <v>44</v>
      </c>
      <c r="Y974">
        <v>429</v>
      </c>
      <c r="Z974" t="s">
        <v>44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541</v>
      </c>
      <c r="AQ974">
        <f t="shared" si="35"/>
        <v>541</v>
      </c>
      <c r="AR974" s="5">
        <f>VLOOKUP(F974,'[2]SCP_24-25'!$A:$D,4,0)</f>
        <v>26.914999999999996</v>
      </c>
      <c r="AS974" s="5">
        <f t="shared" si="36"/>
        <v>14561.014999999998</v>
      </c>
    </row>
    <row r="975" spans="1:45" x14ac:dyDescent="0.3">
      <c r="A975" s="1">
        <v>45900.963194444441</v>
      </c>
      <c r="B975" t="s">
        <v>1463</v>
      </c>
      <c r="C975" t="s">
        <v>1464</v>
      </c>
      <c r="D975" t="s">
        <v>286</v>
      </c>
      <c r="E975" t="s">
        <v>287</v>
      </c>
      <c r="F975" t="s">
        <v>1610</v>
      </c>
      <c r="G975" t="s">
        <v>288</v>
      </c>
      <c r="H975" t="s">
        <v>66</v>
      </c>
      <c r="I975" t="s">
        <v>43</v>
      </c>
      <c r="J975">
        <v>122.02</v>
      </c>
      <c r="K975">
        <v>19</v>
      </c>
      <c r="L975">
        <v>9.5</v>
      </c>
      <c r="M975">
        <v>11</v>
      </c>
      <c r="N975">
        <v>15980</v>
      </c>
      <c r="O975">
        <v>62</v>
      </c>
      <c r="P975">
        <v>0</v>
      </c>
      <c r="Q975">
        <v>60</v>
      </c>
      <c r="R975">
        <v>1558</v>
      </c>
      <c r="S975" t="s">
        <v>44</v>
      </c>
      <c r="T975">
        <v>60</v>
      </c>
      <c r="U975" t="s">
        <v>44</v>
      </c>
      <c r="V975">
        <v>730</v>
      </c>
      <c r="W975" t="s">
        <v>44</v>
      </c>
      <c r="X975" t="s">
        <v>44</v>
      </c>
      <c r="Y975">
        <v>477</v>
      </c>
      <c r="Z975" t="s">
        <v>44</v>
      </c>
      <c r="AA975">
        <v>0</v>
      </c>
      <c r="AB975">
        <v>0</v>
      </c>
      <c r="AC975">
        <v>0</v>
      </c>
      <c r="AD975">
        <v>0</v>
      </c>
      <c r="AE975">
        <v>11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792</v>
      </c>
      <c r="AQ975">
        <f t="shared" si="35"/>
        <v>792</v>
      </c>
      <c r="AR975" s="5">
        <f>VLOOKUP(F975,'[2]SCP_24-25'!$A:$D,4,0)</f>
        <v>79.260000000000005</v>
      </c>
      <c r="AS975" s="5">
        <f t="shared" si="36"/>
        <v>62773.920000000006</v>
      </c>
    </row>
    <row r="976" spans="1:45" x14ac:dyDescent="0.3">
      <c r="A976" s="1">
        <v>45900.963194444441</v>
      </c>
      <c r="B976" t="s">
        <v>1463</v>
      </c>
      <c r="C976" t="s">
        <v>1464</v>
      </c>
      <c r="D976" t="s">
        <v>295</v>
      </c>
      <c r="F976" t="s">
        <v>1613</v>
      </c>
      <c r="G976" t="s">
        <v>296</v>
      </c>
      <c r="H976" t="s">
        <v>103</v>
      </c>
      <c r="I976" t="s">
        <v>43</v>
      </c>
      <c r="J976">
        <v>150</v>
      </c>
      <c r="K976">
        <v>19</v>
      </c>
      <c r="L976">
        <v>9.5</v>
      </c>
      <c r="M976">
        <v>11</v>
      </c>
      <c r="N976">
        <v>18609</v>
      </c>
      <c r="O976">
        <v>42</v>
      </c>
      <c r="P976">
        <v>0</v>
      </c>
      <c r="Q976">
        <v>64</v>
      </c>
      <c r="R976">
        <v>1620</v>
      </c>
      <c r="S976" t="s">
        <v>44</v>
      </c>
      <c r="T976" t="s">
        <v>44</v>
      </c>
      <c r="U976" t="s">
        <v>44</v>
      </c>
      <c r="V976">
        <v>906</v>
      </c>
      <c r="W976">
        <v>1</v>
      </c>
      <c r="X976" t="s">
        <v>44</v>
      </c>
      <c r="Y976">
        <v>868</v>
      </c>
      <c r="Z976" t="s">
        <v>44</v>
      </c>
      <c r="AA976">
        <v>1</v>
      </c>
      <c r="AB976">
        <v>0</v>
      </c>
      <c r="AC976">
        <v>0</v>
      </c>
      <c r="AD976">
        <v>0</v>
      </c>
      <c r="AE976">
        <v>172</v>
      </c>
      <c r="AF976">
        <v>8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949</v>
      </c>
      <c r="AQ976">
        <f t="shared" si="35"/>
        <v>949</v>
      </c>
      <c r="AR976" s="5">
        <f>VLOOKUP(F976,'[2]SCP_24-25'!$A:$D,4,0)</f>
        <v>45.01</v>
      </c>
      <c r="AS976" s="5">
        <f t="shared" si="36"/>
        <v>42714.49</v>
      </c>
    </row>
    <row r="977" spans="1:45" x14ac:dyDescent="0.3">
      <c r="A977" s="1">
        <v>45900.963194444441</v>
      </c>
      <c r="B977" t="s">
        <v>1463</v>
      </c>
      <c r="C977" t="s">
        <v>1464</v>
      </c>
      <c r="D977" t="s">
        <v>317</v>
      </c>
      <c r="E977" t="s">
        <v>318</v>
      </c>
      <c r="F977" t="s">
        <v>1622</v>
      </c>
      <c r="G977" t="s">
        <v>319</v>
      </c>
      <c r="H977" t="s">
        <v>66</v>
      </c>
      <c r="I977" t="s">
        <v>43</v>
      </c>
      <c r="J977">
        <v>170</v>
      </c>
      <c r="K977">
        <v>19</v>
      </c>
      <c r="L977">
        <v>11</v>
      </c>
      <c r="M977">
        <v>9.5</v>
      </c>
      <c r="N977">
        <v>22057</v>
      </c>
      <c r="O977">
        <v>30</v>
      </c>
      <c r="P977">
        <v>0</v>
      </c>
      <c r="Q977">
        <v>40</v>
      </c>
      <c r="R977">
        <v>1683</v>
      </c>
      <c r="S977" t="s">
        <v>44</v>
      </c>
      <c r="T977" t="s">
        <v>44</v>
      </c>
      <c r="U977" t="s">
        <v>44</v>
      </c>
      <c r="V977">
        <v>738</v>
      </c>
      <c r="W977">
        <v>8</v>
      </c>
      <c r="X977" t="s">
        <v>44</v>
      </c>
      <c r="Y977">
        <v>693</v>
      </c>
      <c r="Z977" t="s">
        <v>44</v>
      </c>
      <c r="AA977">
        <v>1</v>
      </c>
      <c r="AB977">
        <v>0</v>
      </c>
      <c r="AC977">
        <v>0</v>
      </c>
      <c r="AD977">
        <v>0</v>
      </c>
      <c r="AE977">
        <v>126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769</v>
      </c>
      <c r="AQ977">
        <f t="shared" si="35"/>
        <v>769</v>
      </c>
      <c r="AR977" s="5">
        <f>VLOOKUP(F977,'[2]SCP_24-25'!$A:$D,4,0)</f>
        <v>67.69</v>
      </c>
      <c r="AS977" s="5">
        <f t="shared" si="36"/>
        <v>52053.61</v>
      </c>
    </row>
    <row r="978" spans="1:45" x14ac:dyDescent="0.3">
      <c r="A978" s="1">
        <v>45900.963194444441</v>
      </c>
      <c r="B978" t="s">
        <v>1463</v>
      </c>
      <c r="C978" t="s">
        <v>1464</v>
      </c>
      <c r="D978" t="s">
        <v>48</v>
      </c>
      <c r="E978" t="s">
        <v>49</v>
      </c>
      <c r="F978" t="s">
        <v>1515</v>
      </c>
      <c r="G978" t="s">
        <v>50</v>
      </c>
      <c r="H978" t="s">
        <v>42</v>
      </c>
      <c r="I978" t="s">
        <v>43</v>
      </c>
      <c r="J978">
        <v>180</v>
      </c>
      <c r="K978">
        <v>19</v>
      </c>
      <c r="L978">
        <v>9.5</v>
      </c>
      <c r="M978">
        <v>11</v>
      </c>
      <c r="N978">
        <v>18896</v>
      </c>
      <c r="O978">
        <v>32</v>
      </c>
      <c r="P978">
        <v>0</v>
      </c>
      <c r="Q978">
        <v>971</v>
      </c>
      <c r="R978">
        <v>3861</v>
      </c>
      <c r="S978" t="s">
        <v>44</v>
      </c>
      <c r="T978">
        <v>186</v>
      </c>
      <c r="U978" t="s">
        <v>44</v>
      </c>
      <c r="V978">
        <v>993</v>
      </c>
      <c r="W978">
        <v>12</v>
      </c>
      <c r="X978" t="s">
        <v>44</v>
      </c>
      <c r="Y978">
        <v>993</v>
      </c>
      <c r="Z978" t="s">
        <v>44</v>
      </c>
      <c r="AA978">
        <v>3</v>
      </c>
      <c r="AB978">
        <v>0</v>
      </c>
      <c r="AC978">
        <v>0</v>
      </c>
      <c r="AD978">
        <v>0</v>
      </c>
      <c r="AE978">
        <v>4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 s="2">
        <v>1028</v>
      </c>
      <c r="AQ978">
        <f t="shared" si="35"/>
        <v>1028</v>
      </c>
      <c r="AR978" s="5">
        <f>VLOOKUP(F978,'[2]SCP_24-25'!$A:$D,4,0)</f>
        <v>57</v>
      </c>
      <c r="AS978" s="5">
        <f t="shared" si="36"/>
        <v>58596</v>
      </c>
    </row>
    <row r="979" spans="1:45" x14ac:dyDescent="0.3">
      <c r="A979" s="1">
        <v>45900.963194444441</v>
      </c>
      <c r="B979" t="s">
        <v>1463</v>
      </c>
      <c r="C979" t="s">
        <v>1464</v>
      </c>
      <c r="D979" t="s">
        <v>51</v>
      </c>
      <c r="E979" t="s">
        <v>52</v>
      </c>
      <c r="F979" t="s">
        <v>1516</v>
      </c>
      <c r="G979" t="s">
        <v>53</v>
      </c>
      <c r="H979" t="s">
        <v>42</v>
      </c>
      <c r="I979" t="s">
        <v>43</v>
      </c>
      <c r="J979">
        <v>200</v>
      </c>
      <c r="K979">
        <v>19</v>
      </c>
      <c r="L979">
        <v>9.5</v>
      </c>
      <c r="M979">
        <v>11</v>
      </c>
      <c r="N979">
        <v>24329</v>
      </c>
      <c r="O979">
        <v>124</v>
      </c>
      <c r="P979">
        <v>0</v>
      </c>
      <c r="Q979">
        <v>142</v>
      </c>
      <c r="R979">
        <v>4975</v>
      </c>
      <c r="S979" t="s">
        <v>44</v>
      </c>
      <c r="T979" t="s">
        <v>44</v>
      </c>
      <c r="U979" t="s">
        <v>44</v>
      </c>
      <c r="V979">
        <v>376</v>
      </c>
      <c r="W979">
        <v>11</v>
      </c>
      <c r="X979" t="s">
        <v>44</v>
      </c>
      <c r="Y979">
        <v>375</v>
      </c>
      <c r="Z979" t="s">
        <v>44</v>
      </c>
      <c r="AA979">
        <v>5</v>
      </c>
      <c r="AB979">
        <v>0</v>
      </c>
      <c r="AC979">
        <v>0</v>
      </c>
      <c r="AD979">
        <v>0</v>
      </c>
      <c r="AE979">
        <v>0</v>
      </c>
      <c r="AF979">
        <v>2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505</v>
      </c>
      <c r="AQ979">
        <f t="shared" si="35"/>
        <v>505</v>
      </c>
      <c r="AR979" s="5">
        <f>VLOOKUP(F979,'[2]SCP_24-25'!$A:$D,4,0)</f>
        <v>106.31</v>
      </c>
      <c r="AS979" s="5">
        <f t="shared" si="36"/>
        <v>53686.55</v>
      </c>
    </row>
    <row r="980" spans="1:45" x14ac:dyDescent="0.3">
      <c r="A980" s="1">
        <v>45900.963194444441</v>
      </c>
      <c r="B980" t="s">
        <v>1463</v>
      </c>
      <c r="C980" t="s">
        <v>1464</v>
      </c>
      <c r="D980" t="s">
        <v>54</v>
      </c>
      <c r="E980" t="s">
        <v>55</v>
      </c>
      <c r="F980" t="s">
        <v>1517</v>
      </c>
      <c r="G980" t="s">
        <v>56</v>
      </c>
      <c r="H980" t="s">
        <v>42</v>
      </c>
      <c r="I980" t="s">
        <v>43</v>
      </c>
      <c r="J980">
        <v>200</v>
      </c>
      <c r="K980">
        <v>19</v>
      </c>
      <c r="L980">
        <v>9.5</v>
      </c>
      <c r="M980">
        <v>11</v>
      </c>
      <c r="N980">
        <v>27003</v>
      </c>
      <c r="O980">
        <v>90</v>
      </c>
      <c r="P980">
        <v>0</v>
      </c>
      <c r="Q980">
        <v>153</v>
      </c>
      <c r="R980">
        <v>6878</v>
      </c>
      <c r="S980" t="s">
        <v>44</v>
      </c>
      <c r="T980" t="s">
        <v>44</v>
      </c>
      <c r="U980" t="s">
        <v>44</v>
      </c>
      <c r="V980">
        <v>634</v>
      </c>
      <c r="W980">
        <v>2</v>
      </c>
      <c r="X980" t="s">
        <v>44</v>
      </c>
      <c r="Y980">
        <v>634</v>
      </c>
      <c r="Z980" t="s">
        <v>44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3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725</v>
      </c>
      <c r="AQ980">
        <f t="shared" si="35"/>
        <v>725</v>
      </c>
      <c r="AR980" s="5">
        <f>VLOOKUP(F980,'[2]SCP_24-25'!$A:$D,4,0)</f>
        <v>116.69999999999999</v>
      </c>
      <c r="AS980" s="5">
        <f t="shared" si="36"/>
        <v>84607.499999999985</v>
      </c>
    </row>
    <row r="981" spans="1:45" x14ac:dyDescent="0.3">
      <c r="A981" s="1">
        <v>45900.963194444441</v>
      </c>
      <c r="B981" t="s">
        <v>1463</v>
      </c>
      <c r="C981" t="s">
        <v>1464</v>
      </c>
      <c r="D981" t="s">
        <v>67</v>
      </c>
      <c r="E981" t="s">
        <v>68</v>
      </c>
      <c r="F981" t="s">
        <v>1521</v>
      </c>
      <c r="G981" t="s">
        <v>69</v>
      </c>
      <c r="H981" t="s">
        <v>66</v>
      </c>
      <c r="I981" t="s">
        <v>43</v>
      </c>
      <c r="J981">
        <v>110</v>
      </c>
      <c r="K981">
        <v>19</v>
      </c>
      <c r="L981">
        <v>9.5</v>
      </c>
      <c r="M981">
        <v>11</v>
      </c>
      <c r="N981">
        <v>44482</v>
      </c>
      <c r="O981">
        <v>168</v>
      </c>
      <c r="P981">
        <v>0</v>
      </c>
      <c r="Q981">
        <v>21</v>
      </c>
      <c r="R981">
        <v>124</v>
      </c>
      <c r="S981" t="s">
        <v>44</v>
      </c>
      <c r="T981" t="s">
        <v>44</v>
      </c>
      <c r="U981" t="s">
        <v>44</v>
      </c>
      <c r="V981">
        <v>452</v>
      </c>
      <c r="W981">
        <v>8</v>
      </c>
      <c r="X981" t="s">
        <v>44</v>
      </c>
      <c r="Y981">
        <v>452</v>
      </c>
      <c r="Z981" t="s">
        <v>44</v>
      </c>
      <c r="AA981">
        <v>5</v>
      </c>
      <c r="AB981">
        <v>0</v>
      </c>
      <c r="AC981">
        <v>0</v>
      </c>
      <c r="AD981">
        <v>0</v>
      </c>
      <c r="AE981">
        <v>5</v>
      </c>
      <c r="AF981">
        <v>36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625</v>
      </c>
      <c r="AQ981">
        <f t="shared" si="35"/>
        <v>625</v>
      </c>
      <c r="AR981" s="5">
        <f>VLOOKUP(F981,'[2]SCP_24-25'!$A:$D,4,0)</f>
        <v>53.91</v>
      </c>
      <c r="AS981" s="5">
        <f t="shared" si="36"/>
        <v>33693.75</v>
      </c>
    </row>
    <row r="982" spans="1:45" x14ac:dyDescent="0.3">
      <c r="A982" s="1">
        <v>45900.963194444441</v>
      </c>
      <c r="B982" t="s">
        <v>1463</v>
      </c>
      <c r="C982" t="s">
        <v>1464</v>
      </c>
      <c r="D982" t="s">
        <v>70</v>
      </c>
      <c r="E982" t="s">
        <v>71</v>
      </c>
      <c r="F982" t="s">
        <v>1522</v>
      </c>
      <c r="G982" t="s">
        <v>72</v>
      </c>
      <c r="H982" t="s">
        <v>66</v>
      </c>
      <c r="I982" t="s">
        <v>43</v>
      </c>
      <c r="J982">
        <v>150</v>
      </c>
      <c r="K982">
        <v>19</v>
      </c>
      <c r="L982">
        <v>9.5</v>
      </c>
      <c r="M982">
        <v>11</v>
      </c>
      <c r="N982">
        <v>27956</v>
      </c>
      <c r="O982">
        <v>19</v>
      </c>
      <c r="P982">
        <v>0</v>
      </c>
      <c r="Q982">
        <v>14</v>
      </c>
      <c r="R982">
        <v>1693</v>
      </c>
      <c r="S982" t="s">
        <v>44</v>
      </c>
      <c r="T982" t="s">
        <v>44</v>
      </c>
      <c r="U982" t="s">
        <v>44</v>
      </c>
      <c r="V982">
        <v>728</v>
      </c>
      <c r="W982">
        <v>9</v>
      </c>
      <c r="X982" t="s">
        <v>44</v>
      </c>
      <c r="Y982">
        <v>712</v>
      </c>
      <c r="Z982" t="s">
        <v>44</v>
      </c>
      <c r="AA982">
        <v>3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750</v>
      </c>
      <c r="AQ982">
        <f t="shared" si="35"/>
        <v>750</v>
      </c>
      <c r="AR982" s="5">
        <f>VLOOKUP(F982,'[2]SCP_24-25'!$A:$D,4,0)</f>
        <v>103.36</v>
      </c>
      <c r="AS982" s="5">
        <f t="shared" si="36"/>
        <v>77520</v>
      </c>
    </row>
    <row r="983" spans="1:45" x14ac:dyDescent="0.3">
      <c r="A983" s="1">
        <v>45900.963194444441</v>
      </c>
      <c r="B983" t="s">
        <v>1463</v>
      </c>
      <c r="C983" t="s">
        <v>1464</v>
      </c>
      <c r="D983" t="s">
        <v>76</v>
      </c>
      <c r="E983" t="s">
        <v>77</v>
      </c>
      <c r="F983" t="s">
        <v>1524</v>
      </c>
      <c r="G983" t="s">
        <v>78</v>
      </c>
      <c r="H983" t="s">
        <v>66</v>
      </c>
      <c r="I983" t="s">
        <v>43</v>
      </c>
      <c r="J983">
        <v>50</v>
      </c>
      <c r="K983">
        <v>19</v>
      </c>
      <c r="L983">
        <v>9.5</v>
      </c>
      <c r="M983">
        <v>11</v>
      </c>
      <c r="N983">
        <v>12658</v>
      </c>
      <c r="O983">
        <v>1</v>
      </c>
      <c r="P983">
        <v>0</v>
      </c>
      <c r="Q983">
        <v>3</v>
      </c>
      <c r="R983">
        <v>1374</v>
      </c>
      <c r="S983" t="s">
        <v>44</v>
      </c>
      <c r="T983" t="s">
        <v>44</v>
      </c>
      <c r="U983" t="s">
        <v>44</v>
      </c>
      <c r="V983">
        <v>495</v>
      </c>
      <c r="W983">
        <v>4</v>
      </c>
      <c r="X983" t="s">
        <v>44</v>
      </c>
      <c r="Y983">
        <v>453</v>
      </c>
      <c r="Z983" t="s">
        <v>44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496</v>
      </c>
      <c r="AQ983">
        <f t="shared" si="35"/>
        <v>496</v>
      </c>
      <c r="AR983" s="5">
        <f>VLOOKUP(F983,'[2]SCP_24-25'!$A:$D,4,0)</f>
        <v>28.3</v>
      </c>
      <c r="AS983" s="5">
        <f t="shared" si="36"/>
        <v>14036.800000000001</v>
      </c>
    </row>
    <row r="984" spans="1:45" x14ac:dyDescent="0.3">
      <c r="A984" s="1">
        <v>45900.963194444441</v>
      </c>
      <c r="B984" t="s">
        <v>1463</v>
      </c>
      <c r="C984" t="s">
        <v>1464</v>
      </c>
      <c r="D984" t="s">
        <v>85</v>
      </c>
      <c r="E984" t="s">
        <v>86</v>
      </c>
      <c r="F984" t="s">
        <v>1527</v>
      </c>
      <c r="G984" t="s">
        <v>87</v>
      </c>
      <c r="H984" t="s">
        <v>66</v>
      </c>
      <c r="I984" t="s">
        <v>43</v>
      </c>
      <c r="J984">
        <v>100</v>
      </c>
      <c r="K984">
        <v>19</v>
      </c>
      <c r="L984">
        <v>9.5</v>
      </c>
      <c r="M984">
        <v>11</v>
      </c>
      <c r="N984">
        <v>7332</v>
      </c>
      <c r="O984">
        <v>3</v>
      </c>
      <c r="P984">
        <v>0</v>
      </c>
      <c r="Q984">
        <v>115</v>
      </c>
      <c r="R984">
        <v>884</v>
      </c>
      <c r="S984" t="s">
        <v>44</v>
      </c>
      <c r="T984" t="s">
        <v>44</v>
      </c>
      <c r="U984" t="s">
        <v>44</v>
      </c>
      <c r="V984">
        <v>405</v>
      </c>
      <c r="W984">
        <v>1</v>
      </c>
      <c r="X984" t="s">
        <v>44</v>
      </c>
      <c r="Y984">
        <v>396</v>
      </c>
      <c r="Z984" t="s">
        <v>44</v>
      </c>
      <c r="AA984">
        <v>0</v>
      </c>
      <c r="AB984">
        <v>0</v>
      </c>
      <c r="AC984">
        <v>0</v>
      </c>
      <c r="AD984">
        <v>0</v>
      </c>
      <c r="AE984">
        <v>472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408</v>
      </c>
      <c r="AQ984">
        <f t="shared" si="35"/>
        <v>408</v>
      </c>
      <c r="AR984" s="5">
        <f>VLOOKUP(F984,'[2]SCP_24-25'!$A:$D,4,0)</f>
        <v>105.05000000000001</v>
      </c>
      <c r="AS984" s="5">
        <f t="shared" si="36"/>
        <v>42860.4</v>
      </c>
    </row>
    <row r="985" spans="1:45" x14ac:dyDescent="0.3">
      <c r="A985" s="1">
        <v>45900.963194444441</v>
      </c>
      <c r="B985" t="s">
        <v>1463</v>
      </c>
      <c r="C985" t="s">
        <v>1464</v>
      </c>
      <c r="D985" t="s">
        <v>88</v>
      </c>
      <c r="E985" t="s">
        <v>89</v>
      </c>
      <c r="F985" t="s">
        <v>1528</v>
      </c>
      <c r="G985" t="s">
        <v>90</v>
      </c>
      <c r="H985" t="s">
        <v>66</v>
      </c>
      <c r="I985" t="s">
        <v>43</v>
      </c>
      <c r="J985">
        <v>150</v>
      </c>
      <c r="K985">
        <v>19</v>
      </c>
      <c r="L985">
        <v>9.5</v>
      </c>
      <c r="M985">
        <v>11</v>
      </c>
      <c r="N985">
        <v>12457</v>
      </c>
      <c r="O985">
        <v>12</v>
      </c>
      <c r="P985">
        <v>0</v>
      </c>
      <c r="Q985">
        <v>16</v>
      </c>
      <c r="R985">
        <v>10</v>
      </c>
      <c r="S985" t="s">
        <v>44</v>
      </c>
      <c r="T985" t="s">
        <v>44</v>
      </c>
      <c r="U985" t="s">
        <v>44</v>
      </c>
      <c r="V985">
        <v>245</v>
      </c>
      <c r="W985">
        <v>5</v>
      </c>
      <c r="X985" t="s">
        <v>44</v>
      </c>
      <c r="Y985">
        <v>232</v>
      </c>
      <c r="Z985" t="s">
        <v>44</v>
      </c>
      <c r="AA985">
        <v>0</v>
      </c>
      <c r="AB985">
        <v>0</v>
      </c>
      <c r="AC985">
        <v>0</v>
      </c>
      <c r="AD985">
        <v>0</v>
      </c>
      <c r="AE985">
        <v>41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257</v>
      </c>
      <c r="AQ985">
        <f t="shared" si="35"/>
        <v>257</v>
      </c>
      <c r="AR985" s="5">
        <f>VLOOKUP(F985,'[2]SCP_24-25'!$A:$D,4,0)</f>
        <v>100.13</v>
      </c>
      <c r="AS985" s="5">
        <f t="shared" si="36"/>
        <v>25733.41</v>
      </c>
    </row>
    <row r="986" spans="1:45" x14ac:dyDescent="0.3">
      <c r="A986" s="1">
        <v>45900.963194444441</v>
      </c>
      <c r="B986" t="s">
        <v>1463</v>
      </c>
      <c r="C986" t="s">
        <v>1464</v>
      </c>
      <c r="D986" t="s">
        <v>91</v>
      </c>
      <c r="E986" t="s">
        <v>92</v>
      </c>
      <c r="F986" t="s">
        <v>1529</v>
      </c>
      <c r="G986" t="s">
        <v>93</v>
      </c>
      <c r="H986" t="s">
        <v>66</v>
      </c>
      <c r="I986" t="s">
        <v>43</v>
      </c>
      <c r="J986">
        <v>150</v>
      </c>
      <c r="K986">
        <v>19</v>
      </c>
      <c r="L986">
        <v>9.5</v>
      </c>
      <c r="M986">
        <v>11</v>
      </c>
      <c r="N986">
        <v>13931</v>
      </c>
      <c r="O986">
        <v>81</v>
      </c>
      <c r="P986">
        <v>0</v>
      </c>
      <c r="Q986">
        <v>23</v>
      </c>
      <c r="R986">
        <v>1324</v>
      </c>
      <c r="S986" t="s">
        <v>44</v>
      </c>
      <c r="T986" t="s">
        <v>44</v>
      </c>
      <c r="U986" t="s">
        <v>44</v>
      </c>
      <c r="V986">
        <v>227</v>
      </c>
      <c r="W986">
        <v>4</v>
      </c>
      <c r="X986" t="s">
        <v>44</v>
      </c>
      <c r="Y986">
        <v>114</v>
      </c>
      <c r="Z986" t="s">
        <v>44</v>
      </c>
      <c r="AA986">
        <v>0</v>
      </c>
      <c r="AB986">
        <v>0</v>
      </c>
      <c r="AC986">
        <v>0</v>
      </c>
      <c r="AD986">
        <v>0</v>
      </c>
      <c r="AE986">
        <v>109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308</v>
      </c>
      <c r="AQ986">
        <f t="shared" si="35"/>
        <v>308</v>
      </c>
      <c r="AR986" s="5">
        <f>VLOOKUP(F986,'[2]SCP_24-25'!$A:$D,4,0)</f>
        <v>96.77</v>
      </c>
      <c r="AS986" s="5">
        <f t="shared" si="36"/>
        <v>29805.16</v>
      </c>
    </row>
    <row r="987" spans="1:45" x14ac:dyDescent="0.3">
      <c r="A987" s="1">
        <v>45900.963194444441</v>
      </c>
      <c r="B987" t="s">
        <v>1463</v>
      </c>
      <c r="C987" t="s">
        <v>1464</v>
      </c>
      <c r="D987" t="s">
        <v>97</v>
      </c>
      <c r="E987" t="s">
        <v>98</v>
      </c>
      <c r="F987" t="s">
        <v>1531</v>
      </c>
      <c r="G987" t="s">
        <v>99</v>
      </c>
      <c r="H987" t="s">
        <v>66</v>
      </c>
      <c r="I987" t="s">
        <v>43</v>
      </c>
      <c r="J987">
        <v>100</v>
      </c>
      <c r="K987">
        <v>19</v>
      </c>
      <c r="L987">
        <v>9.5</v>
      </c>
      <c r="M987">
        <v>11</v>
      </c>
      <c r="N987">
        <v>20792</v>
      </c>
      <c r="O987">
        <v>43</v>
      </c>
      <c r="P987">
        <v>0</v>
      </c>
      <c r="Q987">
        <v>12</v>
      </c>
      <c r="R987">
        <v>465</v>
      </c>
      <c r="S987" t="s">
        <v>44</v>
      </c>
      <c r="T987" t="s">
        <v>44</v>
      </c>
      <c r="U987" t="s">
        <v>44</v>
      </c>
      <c r="V987">
        <v>694</v>
      </c>
      <c r="W987" t="s">
        <v>44</v>
      </c>
      <c r="X987" t="s">
        <v>44</v>
      </c>
      <c r="Y987">
        <v>692</v>
      </c>
      <c r="Z987" t="s">
        <v>44</v>
      </c>
      <c r="AA987">
        <v>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739</v>
      </c>
      <c r="AQ987">
        <f t="shared" si="35"/>
        <v>739</v>
      </c>
      <c r="AR987" s="5">
        <f>VLOOKUP(F987,'[2]SCP_24-25'!$A:$D,4,0)</f>
        <v>132.01</v>
      </c>
      <c r="AS987" s="5">
        <f t="shared" si="36"/>
        <v>97555.39</v>
      </c>
    </row>
    <row r="988" spans="1:45" x14ac:dyDescent="0.3">
      <c r="A988" s="1">
        <v>45900.963194444441</v>
      </c>
      <c r="B988" t="s">
        <v>1463</v>
      </c>
      <c r="C988" t="s">
        <v>1464</v>
      </c>
      <c r="D988" t="s">
        <v>107</v>
      </c>
      <c r="E988" t="s">
        <v>108</v>
      </c>
      <c r="F988" t="s">
        <v>1534</v>
      </c>
      <c r="G988" t="s">
        <v>109</v>
      </c>
      <c r="H988" t="s">
        <v>103</v>
      </c>
      <c r="I988" t="s">
        <v>43</v>
      </c>
      <c r="J988">
        <v>130</v>
      </c>
      <c r="K988">
        <v>19</v>
      </c>
      <c r="L988">
        <v>10</v>
      </c>
      <c r="M988">
        <v>11</v>
      </c>
      <c r="N988">
        <v>69162</v>
      </c>
      <c r="O988">
        <v>319</v>
      </c>
      <c r="P988">
        <v>0</v>
      </c>
      <c r="Q988">
        <v>54</v>
      </c>
      <c r="R988">
        <v>6580</v>
      </c>
      <c r="S988" t="s">
        <v>44</v>
      </c>
      <c r="T988" t="s">
        <v>44</v>
      </c>
      <c r="U988" t="s">
        <v>44</v>
      </c>
      <c r="V988">
        <v>679</v>
      </c>
      <c r="W988">
        <v>9</v>
      </c>
      <c r="X988" t="s">
        <v>44</v>
      </c>
      <c r="Y988">
        <v>644</v>
      </c>
      <c r="Z988" t="s">
        <v>44</v>
      </c>
      <c r="AA988">
        <v>27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 s="2">
        <v>1025</v>
      </c>
      <c r="AQ988">
        <f t="shared" si="35"/>
        <v>1025</v>
      </c>
      <c r="AR988" s="5">
        <f>VLOOKUP(F988,'[2]SCP_24-25'!$A:$D,4,0)</f>
        <v>61.997777777777777</v>
      </c>
      <c r="AS988" s="5">
        <f t="shared" si="36"/>
        <v>63547.722222222219</v>
      </c>
    </row>
    <row r="989" spans="1:45" x14ac:dyDescent="0.3">
      <c r="A989" s="1">
        <v>45900.963194444441</v>
      </c>
      <c r="B989" t="s">
        <v>1463</v>
      </c>
      <c r="C989" t="s">
        <v>1464</v>
      </c>
      <c r="D989" t="s">
        <v>331</v>
      </c>
      <c r="E989" t="s">
        <v>332</v>
      </c>
      <c r="F989" t="s">
        <v>1627</v>
      </c>
      <c r="G989" t="s">
        <v>333</v>
      </c>
      <c r="H989" t="s">
        <v>130</v>
      </c>
      <c r="I989" t="s">
        <v>43</v>
      </c>
      <c r="J989">
        <v>12</v>
      </c>
      <c r="K989">
        <v>19</v>
      </c>
      <c r="L989">
        <v>10</v>
      </c>
      <c r="M989">
        <v>11</v>
      </c>
      <c r="N989">
        <v>5481</v>
      </c>
      <c r="O989">
        <v>3</v>
      </c>
      <c r="P989">
        <v>0</v>
      </c>
      <c r="Q989">
        <v>14</v>
      </c>
      <c r="R989">
        <v>721</v>
      </c>
      <c r="S989" t="s">
        <v>44</v>
      </c>
      <c r="T989" t="s">
        <v>44</v>
      </c>
      <c r="U989" t="s">
        <v>44</v>
      </c>
      <c r="V989">
        <v>1012</v>
      </c>
      <c r="W989" t="s">
        <v>44</v>
      </c>
      <c r="X989" t="s">
        <v>44</v>
      </c>
      <c r="Y989">
        <v>695</v>
      </c>
      <c r="Z989" t="s">
        <v>44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 s="2">
        <v>1015</v>
      </c>
      <c r="AQ989">
        <f t="shared" si="35"/>
        <v>1015</v>
      </c>
      <c r="AR989" s="5">
        <f>VLOOKUP(F989,'[2]SCP_24-25'!$A:$D,4,0)</f>
        <v>63.22</v>
      </c>
      <c r="AS989" s="5">
        <f t="shared" si="36"/>
        <v>64168.299999999996</v>
      </c>
    </row>
    <row r="990" spans="1:45" x14ac:dyDescent="0.3">
      <c r="A990" s="1">
        <v>45900.963194444441</v>
      </c>
      <c r="B990" t="s">
        <v>1463</v>
      </c>
      <c r="C990" t="s">
        <v>1464</v>
      </c>
      <c r="D990" t="s">
        <v>516</v>
      </c>
      <c r="E990" t="s">
        <v>332</v>
      </c>
      <c r="F990" t="s">
        <v>1712</v>
      </c>
      <c r="G990" t="s">
        <v>517</v>
      </c>
      <c r="H990" t="s">
        <v>130</v>
      </c>
      <c r="I990" t="s">
        <v>43</v>
      </c>
      <c r="J990">
        <v>12.92</v>
      </c>
      <c r="K990">
        <v>19</v>
      </c>
      <c r="L990">
        <v>10</v>
      </c>
      <c r="M990">
        <v>11</v>
      </c>
      <c r="N990">
        <v>5383</v>
      </c>
      <c r="O990">
        <v>4</v>
      </c>
      <c r="P990">
        <v>0</v>
      </c>
      <c r="Q990">
        <v>19</v>
      </c>
      <c r="R990">
        <v>740</v>
      </c>
      <c r="S990" t="s">
        <v>44</v>
      </c>
      <c r="T990" t="s">
        <v>44</v>
      </c>
      <c r="U990" t="s">
        <v>44</v>
      </c>
      <c r="V990">
        <v>969</v>
      </c>
      <c r="W990" t="s">
        <v>44</v>
      </c>
      <c r="X990" t="s">
        <v>44</v>
      </c>
      <c r="Y990">
        <v>548</v>
      </c>
      <c r="Z990" t="s">
        <v>44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973</v>
      </c>
      <c r="AQ990">
        <f t="shared" si="35"/>
        <v>973</v>
      </c>
      <c r="AR990" s="5">
        <f>VLOOKUP(F990,'[2]SCP_24-25'!$A:$D,4,0)</f>
        <v>53.64</v>
      </c>
      <c r="AS990" s="5">
        <f t="shared" si="36"/>
        <v>52191.72</v>
      </c>
    </row>
    <row r="991" spans="1:45" x14ac:dyDescent="0.3">
      <c r="A991" s="1">
        <v>45900.963194444441</v>
      </c>
      <c r="B991" t="s">
        <v>1463</v>
      </c>
      <c r="C991" t="s">
        <v>1464</v>
      </c>
      <c r="D991" t="s">
        <v>334</v>
      </c>
      <c r="E991" t="s">
        <v>335</v>
      </c>
      <c r="F991" t="s">
        <v>1628</v>
      </c>
      <c r="G991" t="s">
        <v>336</v>
      </c>
      <c r="H991" t="s">
        <v>130</v>
      </c>
      <c r="I991" t="s">
        <v>43</v>
      </c>
      <c r="J991">
        <v>42</v>
      </c>
      <c r="K991">
        <v>19</v>
      </c>
      <c r="L991">
        <v>10</v>
      </c>
      <c r="M991">
        <v>11</v>
      </c>
      <c r="N991">
        <v>29257</v>
      </c>
      <c r="O991">
        <v>85</v>
      </c>
      <c r="P991">
        <v>0</v>
      </c>
      <c r="Q991">
        <v>20</v>
      </c>
      <c r="R991">
        <v>1551</v>
      </c>
      <c r="S991" t="s">
        <v>44</v>
      </c>
      <c r="T991" t="s">
        <v>44</v>
      </c>
      <c r="U991" t="s">
        <v>44</v>
      </c>
      <c r="V991">
        <v>817</v>
      </c>
      <c r="W991">
        <v>1</v>
      </c>
      <c r="X991" t="s">
        <v>44</v>
      </c>
      <c r="Y991">
        <v>742</v>
      </c>
      <c r="Z991" t="s">
        <v>44</v>
      </c>
      <c r="AA991">
        <v>2</v>
      </c>
      <c r="AB991">
        <v>0</v>
      </c>
      <c r="AC991">
        <v>0</v>
      </c>
      <c r="AD991">
        <v>0</v>
      </c>
      <c r="AE991">
        <v>0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904</v>
      </c>
      <c r="AQ991">
        <f t="shared" si="35"/>
        <v>904</v>
      </c>
      <c r="AR991" s="5">
        <f>VLOOKUP(F991,'[2]SCP_24-25'!$A:$D,4,0)</f>
        <v>68.577500000000001</v>
      </c>
      <c r="AS991" s="5">
        <f t="shared" si="36"/>
        <v>61994.06</v>
      </c>
    </row>
    <row r="992" spans="1:45" x14ac:dyDescent="0.3">
      <c r="A992" s="1">
        <v>45900.963194444441</v>
      </c>
      <c r="B992" t="s">
        <v>1463</v>
      </c>
      <c r="C992" t="s">
        <v>1464</v>
      </c>
      <c r="D992" t="s">
        <v>342</v>
      </c>
      <c r="E992" t="s">
        <v>338</v>
      </c>
      <c r="F992" t="s">
        <v>1631</v>
      </c>
      <c r="G992" t="s">
        <v>343</v>
      </c>
      <c r="H992" t="s">
        <v>130</v>
      </c>
      <c r="I992" t="s">
        <v>43</v>
      </c>
      <c r="J992">
        <v>48</v>
      </c>
      <c r="K992">
        <v>19</v>
      </c>
      <c r="L992">
        <v>10</v>
      </c>
      <c r="M992">
        <v>11</v>
      </c>
      <c r="N992">
        <v>13749</v>
      </c>
      <c r="O992">
        <v>17</v>
      </c>
      <c r="P992">
        <v>0</v>
      </c>
      <c r="Q992">
        <v>15</v>
      </c>
      <c r="R992">
        <v>588</v>
      </c>
      <c r="S992" t="s">
        <v>44</v>
      </c>
      <c r="T992" t="s">
        <v>44</v>
      </c>
      <c r="U992" t="s">
        <v>44</v>
      </c>
      <c r="V992">
        <v>715</v>
      </c>
      <c r="W992">
        <v>8</v>
      </c>
      <c r="X992" t="s">
        <v>44</v>
      </c>
      <c r="Y992">
        <v>692</v>
      </c>
      <c r="Z992" t="s">
        <v>44</v>
      </c>
      <c r="AA992">
        <v>4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736</v>
      </c>
      <c r="AQ992">
        <f t="shared" si="35"/>
        <v>736</v>
      </c>
      <c r="AR992" s="5">
        <f>VLOOKUP(F992,'[2]SCP_24-25'!$A:$D,4,0)</f>
        <v>64.540000000000006</v>
      </c>
      <c r="AS992" s="5">
        <f t="shared" si="36"/>
        <v>47501.440000000002</v>
      </c>
    </row>
    <row r="993" spans="1:45" x14ac:dyDescent="0.3">
      <c r="A993" s="1">
        <v>45900.963194444441</v>
      </c>
      <c r="B993" t="s">
        <v>1463</v>
      </c>
      <c r="C993" t="s">
        <v>1464</v>
      </c>
      <c r="D993" t="s">
        <v>351</v>
      </c>
      <c r="E993" t="s">
        <v>345</v>
      </c>
      <c r="F993" t="s">
        <v>1635</v>
      </c>
      <c r="G993" t="s">
        <v>352</v>
      </c>
      <c r="H993" t="s">
        <v>130</v>
      </c>
      <c r="I993" t="s">
        <v>43</v>
      </c>
      <c r="J993">
        <v>112.62</v>
      </c>
      <c r="K993">
        <v>19</v>
      </c>
      <c r="L993">
        <v>10</v>
      </c>
      <c r="M993">
        <v>11</v>
      </c>
      <c r="N993">
        <v>9724</v>
      </c>
      <c r="O993">
        <v>19</v>
      </c>
      <c r="P993">
        <v>0</v>
      </c>
      <c r="Q993">
        <v>12</v>
      </c>
      <c r="R993">
        <v>652</v>
      </c>
      <c r="S993" t="s">
        <v>44</v>
      </c>
      <c r="T993" t="s">
        <v>44</v>
      </c>
      <c r="U993" t="s">
        <v>44</v>
      </c>
      <c r="V993">
        <v>394</v>
      </c>
      <c r="W993">
        <v>1</v>
      </c>
      <c r="X993" t="s">
        <v>44</v>
      </c>
      <c r="Y993">
        <v>388</v>
      </c>
      <c r="Z993" t="s">
        <v>44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415</v>
      </c>
      <c r="AQ993">
        <f t="shared" si="35"/>
        <v>415</v>
      </c>
      <c r="AR993" s="5">
        <f>VLOOKUP(F993,'[2]SCP_24-25'!$A:$D,4,0)</f>
        <v>114.81</v>
      </c>
      <c r="AS993" s="5">
        <f t="shared" si="36"/>
        <v>47646.15</v>
      </c>
    </row>
    <row r="994" spans="1:45" x14ac:dyDescent="0.3">
      <c r="A994" s="1">
        <v>45900.963194444441</v>
      </c>
      <c r="B994" t="s">
        <v>1463</v>
      </c>
      <c r="C994" t="s">
        <v>1464</v>
      </c>
      <c r="D994" t="s">
        <v>353</v>
      </c>
      <c r="E994" t="s">
        <v>345</v>
      </c>
      <c r="F994" t="s">
        <v>1636</v>
      </c>
      <c r="G994" t="s">
        <v>354</v>
      </c>
      <c r="H994" t="s">
        <v>130</v>
      </c>
      <c r="I994" t="s">
        <v>43</v>
      </c>
      <c r="J994">
        <v>112.62</v>
      </c>
      <c r="K994">
        <v>19</v>
      </c>
      <c r="L994">
        <v>10</v>
      </c>
      <c r="M994">
        <v>11</v>
      </c>
      <c r="N994">
        <v>9749</v>
      </c>
      <c r="O994">
        <v>32</v>
      </c>
      <c r="P994">
        <v>0</v>
      </c>
      <c r="Q994">
        <v>7</v>
      </c>
      <c r="R994">
        <v>472</v>
      </c>
      <c r="S994" t="s">
        <v>44</v>
      </c>
      <c r="T994" t="s">
        <v>44</v>
      </c>
      <c r="U994" t="s">
        <v>44</v>
      </c>
      <c r="V994">
        <v>966</v>
      </c>
      <c r="W994">
        <v>1</v>
      </c>
      <c r="X994" t="s">
        <v>44</v>
      </c>
      <c r="Y994">
        <v>934</v>
      </c>
      <c r="Z994" t="s">
        <v>44</v>
      </c>
      <c r="AA994">
        <v>2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 s="2">
        <v>1000</v>
      </c>
      <c r="AQ994">
        <f t="shared" si="35"/>
        <v>1000</v>
      </c>
      <c r="AR994" s="5">
        <f>VLOOKUP(F994,'[2]SCP_24-25'!$A:$D,4,0)</f>
        <v>114.81</v>
      </c>
      <c r="AS994" s="5">
        <f t="shared" si="36"/>
        <v>114810</v>
      </c>
    </row>
    <row r="995" spans="1:45" x14ac:dyDescent="0.3">
      <c r="A995" s="1">
        <v>45900.963194444441</v>
      </c>
      <c r="B995" t="s">
        <v>1463</v>
      </c>
      <c r="C995" t="s">
        <v>1464</v>
      </c>
      <c r="D995" t="s">
        <v>560</v>
      </c>
      <c r="E995" t="s">
        <v>345</v>
      </c>
      <c r="F995" t="s">
        <v>1734</v>
      </c>
      <c r="G995" t="s">
        <v>561</v>
      </c>
      <c r="H995" t="s">
        <v>130</v>
      </c>
      <c r="I995" t="s">
        <v>43</v>
      </c>
      <c r="J995">
        <v>112.62</v>
      </c>
      <c r="K995">
        <v>19</v>
      </c>
      <c r="L995">
        <v>10</v>
      </c>
      <c r="M995">
        <v>11</v>
      </c>
      <c r="N995">
        <v>6780</v>
      </c>
      <c r="O995">
        <v>14</v>
      </c>
      <c r="P995">
        <v>0</v>
      </c>
      <c r="Q995">
        <v>23</v>
      </c>
      <c r="R995">
        <v>616</v>
      </c>
      <c r="S995" t="s">
        <v>44</v>
      </c>
      <c r="T995" t="s">
        <v>44</v>
      </c>
      <c r="U995" t="s">
        <v>44</v>
      </c>
      <c r="V995">
        <v>737</v>
      </c>
      <c r="W995">
        <v>1</v>
      </c>
      <c r="X995" t="s">
        <v>44</v>
      </c>
      <c r="Y995">
        <v>655</v>
      </c>
      <c r="Z995" t="s">
        <v>44</v>
      </c>
      <c r="AA995">
        <v>14</v>
      </c>
      <c r="AB995">
        <v>0</v>
      </c>
      <c r="AC995">
        <v>0</v>
      </c>
      <c r="AD995">
        <v>0</v>
      </c>
      <c r="AE995">
        <v>16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765</v>
      </c>
      <c r="AQ995">
        <f t="shared" si="35"/>
        <v>765</v>
      </c>
      <c r="AR995" s="5">
        <f>VLOOKUP(F995,'[2]SCP_24-25'!$A:$D,4,0)</f>
        <v>114.81</v>
      </c>
      <c r="AS995" s="5">
        <f t="shared" si="36"/>
        <v>87829.650000000009</v>
      </c>
    </row>
    <row r="996" spans="1:45" x14ac:dyDescent="0.3">
      <c r="A996" s="1">
        <v>45900.963194444441</v>
      </c>
      <c r="B996" t="s">
        <v>1463</v>
      </c>
      <c r="C996" t="s">
        <v>1464</v>
      </c>
      <c r="D996" t="s">
        <v>518</v>
      </c>
      <c r="E996" t="s">
        <v>356</v>
      </c>
      <c r="F996" t="s">
        <v>1713</v>
      </c>
      <c r="G996" t="s">
        <v>519</v>
      </c>
      <c r="H996" t="s">
        <v>130</v>
      </c>
      <c r="I996" t="s">
        <v>43</v>
      </c>
      <c r="J996">
        <v>81.42</v>
      </c>
      <c r="K996">
        <v>19</v>
      </c>
      <c r="L996">
        <v>10</v>
      </c>
      <c r="M996">
        <v>11</v>
      </c>
      <c r="N996">
        <v>9951</v>
      </c>
      <c r="O996">
        <v>3</v>
      </c>
      <c r="P996">
        <v>0</v>
      </c>
      <c r="Q996">
        <v>40</v>
      </c>
      <c r="R996">
        <v>2351</v>
      </c>
      <c r="S996" t="s">
        <v>44</v>
      </c>
      <c r="T996" t="s">
        <v>44</v>
      </c>
      <c r="U996" t="s">
        <v>44</v>
      </c>
      <c r="V996">
        <v>432</v>
      </c>
      <c r="W996" t="s">
        <v>44</v>
      </c>
      <c r="X996" t="s">
        <v>44</v>
      </c>
      <c r="Y996">
        <v>432</v>
      </c>
      <c r="Z996" t="s">
        <v>44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436</v>
      </c>
      <c r="AQ996">
        <f t="shared" si="35"/>
        <v>436</v>
      </c>
      <c r="AR996" s="5">
        <f>VLOOKUP(F996,'[2]SCP_24-25'!$A:$D,4,0)</f>
        <v>83.14</v>
      </c>
      <c r="AS996" s="5">
        <f t="shared" si="36"/>
        <v>36249.040000000001</v>
      </c>
    </row>
    <row r="997" spans="1:45" x14ac:dyDescent="0.3">
      <c r="A997" s="1">
        <v>45900.963194444441</v>
      </c>
      <c r="B997" t="s">
        <v>1463</v>
      </c>
      <c r="C997" t="s">
        <v>1464</v>
      </c>
      <c r="D997" t="s">
        <v>367</v>
      </c>
      <c r="E997" t="s">
        <v>368</v>
      </c>
      <c r="F997" t="s">
        <v>1642</v>
      </c>
      <c r="G997" t="s">
        <v>369</v>
      </c>
      <c r="H997" t="s">
        <v>130</v>
      </c>
      <c r="I997" t="s">
        <v>43</v>
      </c>
      <c r="J997">
        <v>24.02</v>
      </c>
      <c r="K997">
        <v>19</v>
      </c>
      <c r="L997">
        <v>10</v>
      </c>
      <c r="M997">
        <v>11</v>
      </c>
      <c r="N997">
        <v>10597</v>
      </c>
      <c r="O997">
        <v>27</v>
      </c>
      <c r="P997">
        <v>0</v>
      </c>
      <c r="Q997">
        <v>3</v>
      </c>
      <c r="R997">
        <v>862</v>
      </c>
      <c r="S997" t="s">
        <v>44</v>
      </c>
      <c r="T997" t="s">
        <v>44</v>
      </c>
      <c r="U997" t="s">
        <v>44</v>
      </c>
      <c r="V997">
        <v>747</v>
      </c>
      <c r="W997">
        <v>1</v>
      </c>
      <c r="X997" t="s">
        <v>44</v>
      </c>
      <c r="Y997">
        <v>747</v>
      </c>
      <c r="Z997" t="s">
        <v>44</v>
      </c>
      <c r="AA997">
        <v>0</v>
      </c>
      <c r="AB997">
        <v>0</v>
      </c>
      <c r="AC997">
        <v>0</v>
      </c>
      <c r="AD997">
        <v>0</v>
      </c>
      <c r="AE997">
        <v>5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774</v>
      </c>
      <c r="AQ997">
        <f t="shared" si="35"/>
        <v>774</v>
      </c>
      <c r="AR997" s="5">
        <f>VLOOKUP(F997,'[2]SCP_24-25'!$A:$D,4,0)</f>
        <v>77.84</v>
      </c>
      <c r="AS997" s="5">
        <f t="shared" si="36"/>
        <v>60248.160000000003</v>
      </c>
    </row>
    <row r="998" spans="1:45" x14ac:dyDescent="0.3">
      <c r="A998" s="1">
        <v>45900.963194444441</v>
      </c>
      <c r="B998" t="s">
        <v>1463</v>
      </c>
      <c r="C998" t="s">
        <v>1464</v>
      </c>
      <c r="D998" t="s">
        <v>376</v>
      </c>
      <c r="E998" t="s">
        <v>368</v>
      </c>
      <c r="F998" t="s">
        <v>1646</v>
      </c>
      <c r="G998" t="s">
        <v>377</v>
      </c>
      <c r="H998" t="s">
        <v>130</v>
      </c>
      <c r="I998" t="s">
        <v>43</v>
      </c>
      <c r="J998">
        <v>24.02</v>
      </c>
      <c r="K998">
        <v>19</v>
      </c>
      <c r="L998">
        <v>10</v>
      </c>
      <c r="M998">
        <v>11</v>
      </c>
      <c r="N998">
        <v>9841</v>
      </c>
      <c r="O998">
        <v>28</v>
      </c>
      <c r="P998">
        <v>0</v>
      </c>
      <c r="Q998">
        <v>5</v>
      </c>
      <c r="R998" t="s">
        <v>44</v>
      </c>
      <c r="S998" t="s">
        <v>44</v>
      </c>
      <c r="T998" t="s">
        <v>44</v>
      </c>
      <c r="U998" t="s">
        <v>44</v>
      </c>
      <c r="V998">
        <v>449</v>
      </c>
      <c r="W998" t="s">
        <v>44</v>
      </c>
      <c r="X998" t="s">
        <v>44</v>
      </c>
      <c r="Y998">
        <v>440</v>
      </c>
      <c r="Z998" t="s">
        <v>44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477</v>
      </c>
      <c r="AQ998">
        <f t="shared" si="35"/>
        <v>477</v>
      </c>
      <c r="AR998" s="5">
        <f>VLOOKUP(F998,'[2]SCP_24-25'!$A:$D,4,0)</f>
        <v>78.760000000000005</v>
      </c>
      <c r="AS998" s="5">
        <f t="shared" si="36"/>
        <v>37568.520000000004</v>
      </c>
    </row>
    <row r="999" spans="1:45" x14ac:dyDescent="0.3">
      <c r="A999" s="1">
        <v>45900.963194444441</v>
      </c>
      <c r="B999" t="s">
        <v>1463</v>
      </c>
      <c r="C999" t="s">
        <v>1464</v>
      </c>
      <c r="D999" t="s">
        <v>380</v>
      </c>
      <c r="E999" t="s">
        <v>368</v>
      </c>
      <c r="F999" t="s">
        <v>1648</v>
      </c>
      <c r="G999" t="s">
        <v>381</v>
      </c>
      <c r="H999" t="s">
        <v>130</v>
      </c>
      <c r="I999" t="s">
        <v>43</v>
      </c>
      <c r="J999">
        <v>24.02</v>
      </c>
      <c r="K999">
        <v>19</v>
      </c>
      <c r="L999">
        <v>10</v>
      </c>
      <c r="M999">
        <v>11</v>
      </c>
      <c r="N999">
        <v>6707</v>
      </c>
      <c r="O999">
        <v>14</v>
      </c>
      <c r="P999">
        <v>0</v>
      </c>
      <c r="Q999">
        <v>6</v>
      </c>
      <c r="R999">
        <v>444</v>
      </c>
      <c r="S999" t="s">
        <v>44</v>
      </c>
      <c r="T999" t="s">
        <v>44</v>
      </c>
      <c r="U999" t="s">
        <v>44</v>
      </c>
      <c r="V999">
        <v>405</v>
      </c>
      <c r="W999" t="s">
        <v>44</v>
      </c>
      <c r="X999" t="s">
        <v>44</v>
      </c>
      <c r="Y999">
        <v>301</v>
      </c>
      <c r="Z999" t="s">
        <v>44</v>
      </c>
      <c r="AA999">
        <v>0</v>
      </c>
      <c r="AB999">
        <v>0</v>
      </c>
      <c r="AC999">
        <v>0</v>
      </c>
      <c r="AD999">
        <v>0</v>
      </c>
      <c r="AE999">
        <v>24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419</v>
      </c>
      <c r="AQ999">
        <f t="shared" si="35"/>
        <v>419</v>
      </c>
      <c r="AR999" s="5">
        <f>VLOOKUP(F999,'[2]SCP_24-25'!$A:$D,4,0)</f>
        <v>77.84</v>
      </c>
      <c r="AS999" s="5">
        <f t="shared" si="36"/>
        <v>32614.960000000003</v>
      </c>
    </row>
    <row r="1000" spans="1:45" x14ac:dyDescent="0.3">
      <c r="A1000" s="1">
        <v>45900.963194444441</v>
      </c>
      <c r="B1000" t="s">
        <v>1463</v>
      </c>
      <c r="C1000" t="s">
        <v>1464</v>
      </c>
      <c r="D1000" t="s">
        <v>382</v>
      </c>
      <c r="E1000" t="s">
        <v>368</v>
      </c>
      <c r="F1000" t="s">
        <v>1649</v>
      </c>
      <c r="G1000" t="s">
        <v>383</v>
      </c>
      <c r="H1000" t="s">
        <v>130</v>
      </c>
      <c r="I1000" t="s">
        <v>43</v>
      </c>
      <c r="J1000">
        <v>24.02</v>
      </c>
      <c r="K1000">
        <v>19</v>
      </c>
      <c r="L1000">
        <v>10</v>
      </c>
      <c r="M1000">
        <v>11</v>
      </c>
      <c r="N1000">
        <v>10500</v>
      </c>
      <c r="O1000">
        <v>22</v>
      </c>
      <c r="P1000">
        <v>0</v>
      </c>
      <c r="Q1000">
        <v>7</v>
      </c>
      <c r="R1000">
        <v>395</v>
      </c>
      <c r="S1000" t="s">
        <v>44</v>
      </c>
      <c r="T1000" t="s">
        <v>44</v>
      </c>
      <c r="U1000" t="s">
        <v>44</v>
      </c>
      <c r="V1000">
        <v>831</v>
      </c>
      <c r="W1000" t="s">
        <v>44</v>
      </c>
      <c r="X1000" t="s">
        <v>44</v>
      </c>
      <c r="Y1000">
        <v>830</v>
      </c>
      <c r="Z1000" t="s">
        <v>44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853</v>
      </c>
      <c r="AQ1000">
        <f t="shared" si="35"/>
        <v>853</v>
      </c>
      <c r="AR1000" s="5">
        <f>VLOOKUP(F1000,'[2]SCP_24-25'!$A:$D,4,0)</f>
        <v>77.84</v>
      </c>
      <c r="AS1000" s="5">
        <f t="shared" si="36"/>
        <v>66397.52</v>
      </c>
    </row>
    <row r="1001" spans="1:45" x14ac:dyDescent="0.3">
      <c r="A1001" s="1">
        <v>45900.963194444441</v>
      </c>
      <c r="B1001" t="s">
        <v>1463</v>
      </c>
      <c r="C1001" t="s">
        <v>1464</v>
      </c>
      <c r="D1001" t="s">
        <v>384</v>
      </c>
      <c r="E1001" t="s">
        <v>368</v>
      </c>
      <c r="F1001" t="s">
        <v>1650</v>
      </c>
      <c r="G1001" t="s">
        <v>385</v>
      </c>
      <c r="H1001" t="s">
        <v>130</v>
      </c>
      <c r="I1001" t="s">
        <v>43</v>
      </c>
      <c r="J1001">
        <v>24</v>
      </c>
      <c r="K1001">
        <v>19</v>
      </c>
      <c r="L1001">
        <v>10</v>
      </c>
      <c r="M1001">
        <v>11</v>
      </c>
      <c r="N1001">
        <v>6660</v>
      </c>
      <c r="O1001">
        <v>14</v>
      </c>
      <c r="P1001">
        <v>0</v>
      </c>
      <c r="Q1001">
        <v>12</v>
      </c>
      <c r="R1001">
        <v>445</v>
      </c>
      <c r="S1001" t="s">
        <v>44</v>
      </c>
      <c r="T1001" t="s">
        <v>44</v>
      </c>
      <c r="U1001" t="s">
        <v>44</v>
      </c>
      <c r="V1001">
        <v>823</v>
      </c>
      <c r="W1001" t="s">
        <v>44</v>
      </c>
      <c r="X1001" t="s">
        <v>44</v>
      </c>
      <c r="Y1001">
        <v>740</v>
      </c>
      <c r="Z1001" t="s">
        <v>44</v>
      </c>
      <c r="AA1001">
        <v>1</v>
      </c>
      <c r="AB1001">
        <v>0</v>
      </c>
      <c r="AC1001">
        <v>0</v>
      </c>
      <c r="AD1001">
        <v>0</v>
      </c>
      <c r="AE1001">
        <v>17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838</v>
      </c>
      <c r="AQ1001">
        <f t="shared" si="35"/>
        <v>838</v>
      </c>
      <c r="AR1001" s="5">
        <f>VLOOKUP(F1001,'[2]SCP_24-25'!$A:$D,4,0)</f>
        <v>79.066666666666677</v>
      </c>
      <c r="AS1001" s="5">
        <f t="shared" si="36"/>
        <v>66257.866666666669</v>
      </c>
    </row>
    <row r="1002" spans="1:45" x14ac:dyDescent="0.3">
      <c r="A1002" s="1">
        <v>45900.963194444441</v>
      </c>
      <c r="B1002" t="s">
        <v>1463</v>
      </c>
      <c r="C1002" t="s">
        <v>1464</v>
      </c>
      <c r="D1002" t="s">
        <v>386</v>
      </c>
      <c r="E1002" t="s">
        <v>368</v>
      </c>
      <c r="F1002" t="s">
        <v>1651</v>
      </c>
      <c r="G1002" t="s">
        <v>387</v>
      </c>
      <c r="H1002" t="s">
        <v>130</v>
      </c>
      <c r="I1002" t="s">
        <v>43</v>
      </c>
      <c r="J1002">
        <v>24.02</v>
      </c>
      <c r="K1002">
        <v>19</v>
      </c>
      <c r="L1002">
        <v>10</v>
      </c>
      <c r="M1002">
        <v>11</v>
      </c>
      <c r="N1002">
        <v>7287</v>
      </c>
      <c r="O1002">
        <v>16</v>
      </c>
      <c r="P1002">
        <v>0</v>
      </c>
      <c r="Q1002">
        <v>9</v>
      </c>
      <c r="R1002">
        <v>373</v>
      </c>
      <c r="S1002" t="s">
        <v>44</v>
      </c>
      <c r="T1002" t="s">
        <v>44</v>
      </c>
      <c r="U1002" t="s">
        <v>44</v>
      </c>
      <c r="V1002">
        <v>798</v>
      </c>
      <c r="W1002" t="s">
        <v>44</v>
      </c>
      <c r="X1002" t="s">
        <v>44</v>
      </c>
      <c r="Y1002">
        <v>779</v>
      </c>
      <c r="Z1002" t="s">
        <v>44</v>
      </c>
      <c r="AA1002">
        <v>1</v>
      </c>
      <c r="AB1002">
        <v>0</v>
      </c>
      <c r="AC1002">
        <v>0</v>
      </c>
      <c r="AD1002">
        <v>0</v>
      </c>
      <c r="AE1002">
        <v>12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815</v>
      </c>
      <c r="AQ1002">
        <f t="shared" si="35"/>
        <v>815</v>
      </c>
      <c r="AR1002" s="5">
        <f>VLOOKUP(F1002,'[2]SCP_24-25'!$A:$D,4,0)</f>
        <v>77.84</v>
      </c>
      <c r="AS1002" s="5">
        <f t="shared" si="36"/>
        <v>63439.600000000006</v>
      </c>
    </row>
    <row r="1003" spans="1:45" x14ac:dyDescent="0.3">
      <c r="A1003" s="1">
        <v>45900.963194444441</v>
      </c>
      <c r="B1003" t="s">
        <v>1463</v>
      </c>
      <c r="C1003" t="s">
        <v>1464</v>
      </c>
      <c r="D1003" t="s">
        <v>394</v>
      </c>
      <c r="E1003" t="s">
        <v>395</v>
      </c>
      <c r="F1003" t="s">
        <v>1655</v>
      </c>
      <c r="G1003" t="s">
        <v>396</v>
      </c>
      <c r="H1003" t="s">
        <v>130</v>
      </c>
      <c r="I1003" t="s">
        <v>43</v>
      </c>
      <c r="J1003">
        <v>24.22</v>
      </c>
      <c r="K1003">
        <v>19</v>
      </c>
      <c r="L1003">
        <v>10</v>
      </c>
      <c r="M1003">
        <v>11</v>
      </c>
      <c r="N1003">
        <v>5478</v>
      </c>
      <c r="O1003">
        <v>93</v>
      </c>
      <c r="P1003">
        <v>0</v>
      </c>
      <c r="Q1003">
        <v>21</v>
      </c>
      <c r="R1003">
        <v>399</v>
      </c>
      <c r="S1003" t="s">
        <v>44</v>
      </c>
      <c r="T1003">
        <v>2</v>
      </c>
      <c r="U1003" t="s">
        <v>44</v>
      </c>
      <c r="V1003">
        <v>1039</v>
      </c>
      <c r="W1003" t="s">
        <v>44</v>
      </c>
      <c r="X1003" t="s">
        <v>44</v>
      </c>
      <c r="Y1003">
        <v>923</v>
      </c>
      <c r="Z1003" t="s">
        <v>44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 s="2">
        <v>1133</v>
      </c>
      <c r="AQ1003">
        <f t="shared" ref="AQ1003:AQ1066" si="37">O1003+P1003+V1003+AA1003</f>
        <v>1133</v>
      </c>
      <c r="AR1003" s="5">
        <f>VLOOKUP(F1003,'[2]SCP_24-25'!$A:$D,4,0)</f>
        <v>87.9</v>
      </c>
      <c r="AS1003" s="5">
        <f t="shared" si="36"/>
        <v>99590.700000000012</v>
      </c>
    </row>
    <row r="1004" spans="1:45" x14ac:dyDescent="0.3">
      <c r="A1004" s="1">
        <v>45900.963194444441</v>
      </c>
      <c r="B1004" t="s">
        <v>1463</v>
      </c>
      <c r="C1004" t="s">
        <v>1464</v>
      </c>
      <c r="D1004" t="s">
        <v>397</v>
      </c>
      <c r="E1004" t="s">
        <v>395</v>
      </c>
      <c r="F1004" t="s">
        <v>1656</v>
      </c>
      <c r="G1004" t="s">
        <v>398</v>
      </c>
      <c r="H1004" t="s">
        <v>130</v>
      </c>
      <c r="I1004" t="s">
        <v>43</v>
      </c>
      <c r="J1004">
        <v>24.22</v>
      </c>
      <c r="K1004">
        <v>19</v>
      </c>
      <c r="L1004">
        <v>10</v>
      </c>
      <c r="M1004">
        <v>11</v>
      </c>
      <c r="N1004">
        <v>4183</v>
      </c>
      <c r="O1004">
        <v>79</v>
      </c>
      <c r="P1004">
        <v>0</v>
      </c>
      <c r="Q1004">
        <v>11</v>
      </c>
      <c r="R1004">
        <v>452</v>
      </c>
      <c r="S1004" t="s">
        <v>44</v>
      </c>
      <c r="T1004">
        <v>48</v>
      </c>
      <c r="U1004" t="s">
        <v>44</v>
      </c>
      <c r="V1004">
        <v>484</v>
      </c>
      <c r="W1004" t="s">
        <v>44</v>
      </c>
      <c r="X1004" t="s">
        <v>44</v>
      </c>
      <c r="Y1004">
        <v>445</v>
      </c>
      <c r="Z1004" t="s">
        <v>44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563</v>
      </c>
      <c r="AQ1004">
        <f t="shared" si="37"/>
        <v>563</v>
      </c>
      <c r="AR1004" s="5">
        <f>VLOOKUP(F1004,'[2]SCP_24-25'!$A:$D,4,0)</f>
        <v>87.9</v>
      </c>
      <c r="AS1004" s="5">
        <f t="shared" si="36"/>
        <v>49487.700000000004</v>
      </c>
    </row>
    <row r="1005" spans="1:45" x14ac:dyDescent="0.3">
      <c r="A1005" s="1">
        <v>45900.963194444441</v>
      </c>
      <c r="B1005" t="s">
        <v>1463</v>
      </c>
      <c r="C1005" t="s">
        <v>1464</v>
      </c>
      <c r="D1005" t="s">
        <v>115</v>
      </c>
      <c r="E1005" t="s">
        <v>116</v>
      </c>
      <c r="F1005" t="s">
        <v>1537</v>
      </c>
      <c r="G1005" t="s">
        <v>117</v>
      </c>
      <c r="H1005" t="s">
        <v>66</v>
      </c>
      <c r="I1005" t="s">
        <v>43</v>
      </c>
      <c r="J1005">
        <v>60</v>
      </c>
      <c r="K1005">
        <v>19</v>
      </c>
      <c r="L1005">
        <v>11</v>
      </c>
      <c r="M1005">
        <v>10</v>
      </c>
      <c r="N1005">
        <v>20977</v>
      </c>
      <c r="O1005">
        <v>29</v>
      </c>
      <c r="P1005">
        <v>0</v>
      </c>
      <c r="Q1005">
        <v>26</v>
      </c>
      <c r="R1005">
        <v>734</v>
      </c>
      <c r="S1005" t="s">
        <v>44</v>
      </c>
      <c r="T1005">
        <v>1</v>
      </c>
      <c r="U1005" t="s">
        <v>44</v>
      </c>
      <c r="V1005">
        <v>586</v>
      </c>
      <c r="W1005">
        <v>10</v>
      </c>
      <c r="X1005" t="s">
        <v>44</v>
      </c>
      <c r="Y1005">
        <v>571</v>
      </c>
      <c r="Z1005" t="s">
        <v>44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5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615</v>
      </c>
      <c r="AQ1005">
        <f t="shared" si="37"/>
        <v>615</v>
      </c>
      <c r="AR1005" s="5">
        <f>VLOOKUP(F1005,'[2]SCP_24-25'!$A:$D,4,0)</f>
        <v>94.559999999999988</v>
      </c>
      <c r="AS1005" s="5">
        <f t="shared" si="36"/>
        <v>58154.399999999994</v>
      </c>
    </row>
    <row r="1006" spans="1:45" x14ac:dyDescent="0.3">
      <c r="A1006" s="1">
        <v>45900.963194444441</v>
      </c>
      <c r="B1006" t="s">
        <v>1463</v>
      </c>
      <c r="C1006" t="s">
        <v>1464</v>
      </c>
      <c r="D1006" t="s">
        <v>789</v>
      </c>
      <c r="F1006" t="s">
        <v>1846</v>
      </c>
      <c r="G1006" t="s">
        <v>790</v>
      </c>
      <c r="H1006" t="s">
        <v>66</v>
      </c>
      <c r="I1006" t="s">
        <v>43</v>
      </c>
      <c r="J1006">
        <v>61.92</v>
      </c>
      <c r="K1006">
        <v>19</v>
      </c>
      <c r="L1006">
        <v>10</v>
      </c>
      <c r="M1006">
        <v>11</v>
      </c>
      <c r="N1006">
        <v>13025</v>
      </c>
      <c r="O1006">
        <v>1</v>
      </c>
      <c r="P1006">
        <v>0</v>
      </c>
      <c r="Q1006">
        <v>11</v>
      </c>
      <c r="R1006">
        <v>819</v>
      </c>
      <c r="S1006" t="s">
        <v>44</v>
      </c>
      <c r="T1006" t="s">
        <v>44</v>
      </c>
      <c r="U1006" t="s">
        <v>44</v>
      </c>
      <c r="V1006">
        <v>460</v>
      </c>
      <c r="W1006" t="s">
        <v>44</v>
      </c>
      <c r="X1006" t="s">
        <v>44</v>
      </c>
      <c r="Y1006">
        <v>409</v>
      </c>
      <c r="Z1006" t="s">
        <v>44</v>
      </c>
      <c r="AA1006">
        <v>5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466</v>
      </c>
      <c r="AQ1006">
        <f t="shared" si="37"/>
        <v>466</v>
      </c>
      <c r="AR1006" s="5">
        <f>VLOOKUP(F1006,'[2]SCP_24-25'!$A:$D,4,0)</f>
        <v>23.39</v>
      </c>
      <c r="AS1006" s="5">
        <f t="shared" si="36"/>
        <v>10899.74</v>
      </c>
    </row>
    <row r="1007" spans="1:45" x14ac:dyDescent="0.3">
      <c r="A1007" s="1">
        <v>45900.963194444441</v>
      </c>
      <c r="B1007" t="s">
        <v>1463</v>
      </c>
      <c r="C1007" t="s">
        <v>1464</v>
      </c>
      <c r="D1007" t="s">
        <v>562</v>
      </c>
      <c r="F1007" t="s">
        <v>1735</v>
      </c>
      <c r="G1007" t="s">
        <v>563</v>
      </c>
      <c r="H1007" t="s">
        <v>66</v>
      </c>
      <c r="I1007" t="s">
        <v>43</v>
      </c>
      <c r="J1007">
        <v>44.99</v>
      </c>
      <c r="K1007">
        <v>19</v>
      </c>
      <c r="L1007">
        <v>11</v>
      </c>
      <c r="M1007">
        <v>10</v>
      </c>
      <c r="N1007">
        <v>10401</v>
      </c>
      <c r="O1007">
        <v>179</v>
      </c>
      <c r="P1007">
        <v>0</v>
      </c>
      <c r="Q1007">
        <v>22</v>
      </c>
      <c r="R1007">
        <v>1</v>
      </c>
      <c r="S1007" t="s">
        <v>44</v>
      </c>
      <c r="T1007" t="s">
        <v>44</v>
      </c>
      <c r="U1007" t="s">
        <v>44</v>
      </c>
      <c r="V1007">
        <v>357</v>
      </c>
      <c r="W1007">
        <v>8</v>
      </c>
      <c r="X1007" t="s">
        <v>44</v>
      </c>
      <c r="Y1007">
        <v>357</v>
      </c>
      <c r="Z1007" t="s">
        <v>44</v>
      </c>
      <c r="AA1007">
        <v>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538</v>
      </c>
      <c r="AQ1007">
        <f t="shared" si="37"/>
        <v>538</v>
      </c>
      <c r="AR1007" s="5">
        <f>VLOOKUP(F1007,'[2]SCP_24-25'!$A:$D,4,0)</f>
        <v>40.44</v>
      </c>
      <c r="AS1007" s="5">
        <f t="shared" si="36"/>
        <v>21756.719999999998</v>
      </c>
    </row>
    <row r="1008" spans="1:45" x14ac:dyDescent="0.3">
      <c r="A1008" s="1">
        <v>45900.963194444441</v>
      </c>
      <c r="B1008" t="s">
        <v>1463</v>
      </c>
      <c r="C1008" t="s">
        <v>1464</v>
      </c>
      <c r="D1008" t="s">
        <v>611</v>
      </c>
      <c r="F1008" t="s">
        <v>1759</v>
      </c>
      <c r="G1008" t="s">
        <v>612</v>
      </c>
      <c r="H1008" t="s">
        <v>130</v>
      </c>
      <c r="I1008" t="s">
        <v>43</v>
      </c>
      <c r="J1008">
        <v>70</v>
      </c>
      <c r="K1008">
        <v>19</v>
      </c>
      <c r="L1008">
        <v>11</v>
      </c>
      <c r="M1008">
        <v>10</v>
      </c>
      <c r="N1008">
        <v>7267</v>
      </c>
      <c r="O1008">
        <v>18</v>
      </c>
      <c r="P1008">
        <v>0</v>
      </c>
      <c r="Q1008">
        <v>7</v>
      </c>
      <c r="R1008" t="s">
        <v>44</v>
      </c>
      <c r="S1008" t="s">
        <v>44</v>
      </c>
      <c r="T1008" t="s">
        <v>44</v>
      </c>
      <c r="U1008" t="s">
        <v>44</v>
      </c>
      <c r="V1008">
        <v>120</v>
      </c>
      <c r="W1008" t="s">
        <v>44</v>
      </c>
      <c r="X1008" t="s">
        <v>44</v>
      </c>
      <c r="Y1008">
        <v>119</v>
      </c>
      <c r="Z1008" t="s">
        <v>44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138</v>
      </c>
      <c r="AQ1008">
        <f t="shared" si="37"/>
        <v>138</v>
      </c>
      <c r="AR1008" s="5">
        <f>VLOOKUP(F1008,'[2]SCP_24-25'!$A:$D,4,0)</f>
        <v>61.75</v>
      </c>
      <c r="AS1008" s="5">
        <f t="shared" si="36"/>
        <v>8521.5</v>
      </c>
    </row>
    <row r="1009" spans="1:45" x14ac:dyDescent="0.3">
      <c r="A1009" s="1">
        <v>45900.963194444441</v>
      </c>
      <c r="B1009" t="s">
        <v>1463</v>
      </c>
      <c r="C1009" t="s">
        <v>1464</v>
      </c>
      <c r="D1009" t="s">
        <v>791</v>
      </c>
      <c r="F1009" t="s">
        <v>1847</v>
      </c>
      <c r="G1009" t="s">
        <v>792</v>
      </c>
      <c r="H1009" t="s">
        <v>120</v>
      </c>
      <c r="I1009" t="s">
        <v>43</v>
      </c>
      <c r="J1009">
        <v>200</v>
      </c>
      <c r="K1009">
        <v>19</v>
      </c>
      <c r="L1009">
        <v>10</v>
      </c>
      <c r="M1009">
        <v>11</v>
      </c>
      <c r="N1009">
        <v>3855</v>
      </c>
      <c r="O1009">
        <v>0</v>
      </c>
      <c r="P1009">
        <v>0</v>
      </c>
      <c r="Q1009" t="s">
        <v>44</v>
      </c>
      <c r="R1009">
        <v>834</v>
      </c>
      <c r="S1009" t="s">
        <v>44</v>
      </c>
      <c r="T1009" t="s">
        <v>44</v>
      </c>
      <c r="U1009" t="s">
        <v>44</v>
      </c>
      <c r="V1009">
        <v>671</v>
      </c>
      <c r="W1009" t="s">
        <v>44</v>
      </c>
      <c r="X1009" t="s">
        <v>44</v>
      </c>
      <c r="Y1009">
        <v>671</v>
      </c>
      <c r="Z1009" t="s">
        <v>44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671</v>
      </c>
      <c r="AQ1009">
        <f t="shared" si="37"/>
        <v>671</v>
      </c>
      <c r="AR1009" s="5">
        <f>VLOOKUP(F1009,'[2]SCP_24-25'!$A:$D,4,0)</f>
        <v>48</v>
      </c>
      <c r="AS1009" s="5">
        <f t="shared" si="36"/>
        <v>32208</v>
      </c>
    </row>
    <row r="1010" spans="1:45" x14ac:dyDescent="0.3">
      <c r="A1010" s="1">
        <v>45900.963194444441</v>
      </c>
      <c r="B1010" t="s">
        <v>1463</v>
      </c>
      <c r="C1010" t="s">
        <v>1464</v>
      </c>
      <c r="D1010" t="s">
        <v>425</v>
      </c>
      <c r="F1010" t="s">
        <v>1669</v>
      </c>
      <c r="G1010" t="s">
        <v>426</v>
      </c>
      <c r="H1010" t="s">
        <v>66</v>
      </c>
      <c r="I1010" t="s">
        <v>43</v>
      </c>
      <c r="J1010">
        <v>46.59</v>
      </c>
      <c r="K1010">
        <v>19</v>
      </c>
      <c r="L1010">
        <v>10</v>
      </c>
      <c r="M1010">
        <v>11</v>
      </c>
      <c r="N1010">
        <v>14124</v>
      </c>
      <c r="O1010">
        <v>66</v>
      </c>
      <c r="P1010">
        <v>0</v>
      </c>
      <c r="Q1010">
        <v>9</v>
      </c>
      <c r="R1010">
        <v>1</v>
      </c>
      <c r="S1010" t="s">
        <v>44</v>
      </c>
      <c r="T1010" t="s">
        <v>44</v>
      </c>
      <c r="U1010" t="s">
        <v>44</v>
      </c>
      <c r="V1010">
        <v>854</v>
      </c>
      <c r="W1010">
        <v>1</v>
      </c>
      <c r="X1010" t="s">
        <v>44</v>
      </c>
      <c r="Y1010">
        <v>854</v>
      </c>
      <c r="Z1010" t="s">
        <v>44</v>
      </c>
      <c r="AA1010">
        <v>8</v>
      </c>
      <c r="AB1010">
        <v>0</v>
      </c>
      <c r="AC1010">
        <v>0</v>
      </c>
      <c r="AD1010">
        <v>0</v>
      </c>
      <c r="AE1010">
        <v>0</v>
      </c>
      <c r="AF1010">
        <v>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928</v>
      </c>
      <c r="AQ1010">
        <f t="shared" si="37"/>
        <v>928</v>
      </c>
      <c r="AR1010" s="5">
        <f>VLOOKUP(F1010,'[2]SCP_24-25'!$A:$D,4,0)</f>
        <v>37.46</v>
      </c>
      <c r="AS1010" s="5">
        <f t="shared" si="36"/>
        <v>34762.879999999997</v>
      </c>
    </row>
    <row r="1011" spans="1:45" x14ac:dyDescent="0.3">
      <c r="A1011" s="1">
        <v>45900.963194444441</v>
      </c>
      <c r="B1011" t="s">
        <v>1463</v>
      </c>
      <c r="C1011" t="s">
        <v>1464</v>
      </c>
      <c r="D1011" t="s">
        <v>636</v>
      </c>
      <c r="E1011" t="s">
        <v>636</v>
      </c>
      <c r="F1011" t="s">
        <v>1771</v>
      </c>
      <c r="G1011" t="s">
        <v>637</v>
      </c>
      <c r="H1011" t="s">
        <v>635</v>
      </c>
      <c r="I1011" t="s">
        <v>43</v>
      </c>
      <c r="N1011">
        <v>833</v>
      </c>
      <c r="O1011">
        <v>0</v>
      </c>
      <c r="P1011">
        <v>0</v>
      </c>
      <c r="Q1011" t="s">
        <v>44</v>
      </c>
      <c r="R1011">
        <v>64</v>
      </c>
      <c r="S1011" t="s">
        <v>44</v>
      </c>
      <c r="T1011" t="s">
        <v>44</v>
      </c>
      <c r="U1011" t="s">
        <v>44</v>
      </c>
      <c r="V1011">
        <v>101</v>
      </c>
      <c r="W1011" t="s">
        <v>44</v>
      </c>
      <c r="X1011" t="s">
        <v>44</v>
      </c>
      <c r="Y1011">
        <v>101</v>
      </c>
      <c r="Z1011" t="s">
        <v>44</v>
      </c>
      <c r="AA1011">
        <v>0</v>
      </c>
      <c r="AB1011">
        <v>0</v>
      </c>
      <c r="AC1011">
        <v>0</v>
      </c>
      <c r="AD1011">
        <v>0</v>
      </c>
      <c r="AE1011">
        <v>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101</v>
      </c>
      <c r="AQ1011">
        <f t="shared" si="37"/>
        <v>101</v>
      </c>
      <c r="AR1011" s="5">
        <f>VLOOKUP(F1011,'[1]Cost Sheet'!$C:$D,2,0)</f>
        <v>42.19</v>
      </c>
      <c r="AS1011" s="5">
        <f t="shared" si="36"/>
        <v>4261.1899999999996</v>
      </c>
    </row>
    <row r="1012" spans="1:45" x14ac:dyDescent="0.3">
      <c r="A1012" s="1">
        <v>45900.963194444441</v>
      </c>
      <c r="B1012" t="s">
        <v>1463</v>
      </c>
      <c r="C1012" t="s">
        <v>1464</v>
      </c>
      <c r="D1012" t="s">
        <v>943</v>
      </c>
      <c r="E1012" t="s">
        <v>943</v>
      </c>
      <c r="F1012" t="s">
        <v>1921</v>
      </c>
      <c r="G1012" t="s">
        <v>944</v>
      </c>
      <c r="H1012" t="s">
        <v>635</v>
      </c>
      <c r="I1012" t="s">
        <v>43</v>
      </c>
      <c r="N1012">
        <v>1323</v>
      </c>
      <c r="O1012">
        <v>0</v>
      </c>
      <c r="P1012">
        <v>0</v>
      </c>
      <c r="Q1012" t="s">
        <v>44</v>
      </c>
      <c r="R1012">
        <v>223</v>
      </c>
      <c r="S1012" t="s">
        <v>44</v>
      </c>
      <c r="T1012" t="s">
        <v>44</v>
      </c>
      <c r="U1012" t="s">
        <v>44</v>
      </c>
      <c r="V1012">
        <v>146</v>
      </c>
      <c r="W1012" t="s">
        <v>44</v>
      </c>
      <c r="X1012" t="s">
        <v>44</v>
      </c>
      <c r="Y1012">
        <v>146</v>
      </c>
      <c r="Z1012" t="s">
        <v>44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146</v>
      </c>
      <c r="AQ1012">
        <f t="shared" si="37"/>
        <v>146</v>
      </c>
      <c r="AR1012" s="5">
        <f>VLOOKUP(F1012,'[1]Cost Sheet'!$C:$D,2,0)</f>
        <v>51.841111111111118</v>
      </c>
      <c r="AS1012" s="5">
        <f t="shared" si="36"/>
        <v>7568.8022222222235</v>
      </c>
    </row>
    <row r="1013" spans="1:45" x14ac:dyDescent="0.3">
      <c r="A1013" s="1">
        <v>45900.963194444441</v>
      </c>
      <c r="B1013" t="s">
        <v>1463</v>
      </c>
      <c r="C1013" t="s">
        <v>1464</v>
      </c>
      <c r="D1013" t="s">
        <v>795</v>
      </c>
      <c r="E1013" t="s">
        <v>795</v>
      </c>
      <c r="F1013" t="s">
        <v>1849</v>
      </c>
      <c r="G1013" t="s">
        <v>796</v>
      </c>
      <c r="H1013" t="s">
        <v>635</v>
      </c>
      <c r="I1013" t="s">
        <v>43</v>
      </c>
      <c r="N1013">
        <v>1189</v>
      </c>
      <c r="O1013">
        <v>1</v>
      </c>
      <c r="P1013">
        <v>0</v>
      </c>
      <c r="Q1013" t="s">
        <v>44</v>
      </c>
      <c r="R1013">
        <v>224</v>
      </c>
      <c r="S1013" t="s">
        <v>44</v>
      </c>
      <c r="T1013" t="s">
        <v>44</v>
      </c>
      <c r="U1013" t="s">
        <v>44</v>
      </c>
      <c r="V1013">
        <v>149</v>
      </c>
      <c r="W1013" t="s">
        <v>44</v>
      </c>
      <c r="X1013" t="s">
        <v>44</v>
      </c>
      <c r="Y1013">
        <v>149</v>
      </c>
      <c r="Z1013" t="s">
        <v>44</v>
      </c>
      <c r="AA1013">
        <v>0</v>
      </c>
      <c r="AB1013">
        <v>0</v>
      </c>
      <c r="AC1013">
        <v>0</v>
      </c>
      <c r="AD1013">
        <v>0</v>
      </c>
      <c r="AE1013">
        <v>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150</v>
      </c>
      <c r="AQ1013">
        <f t="shared" si="37"/>
        <v>150</v>
      </c>
      <c r="AR1013" s="5">
        <f>VLOOKUP(F1013,'[1]Cost Sheet'!$C:$D,2,0)</f>
        <v>121.49</v>
      </c>
      <c r="AS1013" s="5">
        <f t="shared" si="36"/>
        <v>18223.5</v>
      </c>
    </row>
    <row r="1014" spans="1:45" x14ac:dyDescent="0.3">
      <c r="A1014" s="1">
        <v>45900.963194444441</v>
      </c>
      <c r="B1014" t="s">
        <v>1463</v>
      </c>
      <c r="C1014" t="s">
        <v>1464</v>
      </c>
      <c r="D1014" t="s">
        <v>945</v>
      </c>
      <c r="E1014" t="s">
        <v>945</v>
      </c>
      <c r="F1014" t="s">
        <v>1922</v>
      </c>
      <c r="G1014" t="s">
        <v>946</v>
      </c>
      <c r="H1014" t="s">
        <v>635</v>
      </c>
      <c r="I1014" t="s">
        <v>43</v>
      </c>
      <c r="N1014">
        <v>651</v>
      </c>
      <c r="O1014">
        <v>0</v>
      </c>
      <c r="P1014">
        <v>0</v>
      </c>
      <c r="Q1014" t="s">
        <v>44</v>
      </c>
      <c r="R1014">
        <v>84</v>
      </c>
      <c r="S1014" t="s">
        <v>44</v>
      </c>
      <c r="T1014" t="s">
        <v>44</v>
      </c>
      <c r="U1014" t="s">
        <v>44</v>
      </c>
      <c r="V1014">
        <v>145</v>
      </c>
      <c r="W1014" t="s">
        <v>44</v>
      </c>
      <c r="X1014" t="s">
        <v>44</v>
      </c>
      <c r="Y1014">
        <v>145</v>
      </c>
      <c r="Z1014" t="s">
        <v>44</v>
      </c>
      <c r="AA1014">
        <v>0</v>
      </c>
      <c r="AB1014">
        <v>0</v>
      </c>
      <c r="AC1014">
        <v>0</v>
      </c>
      <c r="AD1014">
        <v>0</v>
      </c>
      <c r="AE1014">
        <v>9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145</v>
      </c>
      <c r="AQ1014">
        <f t="shared" si="37"/>
        <v>145</v>
      </c>
      <c r="AR1014" s="5">
        <f>VLOOKUP(F1014,'[1]Cost Sheet'!$C:$D,2,0)</f>
        <v>63.65</v>
      </c>
      <c r="AS1014" s="5">
        <f t="shared" si="36"/>
        <v>9229.25</v>
      </c>
    </row>
    <row r="1015" spans="1:45" x14ac:dyDescent="0.3">
      <c r="A1015" s="1">
        <v>45900.963194444441</v>
      </c>
      <c r="B1015" t="s">
        <v>1463</v>
      </c>
      <c r="C1015" t="s">
        <v>1464</v>
      </c>
      <c r="D1015" t="s">
        <v>650</v>
      </c>
      <c r="E1015" t="s">
        <v>650</v>
      </c>
      <c r="F1015" t="s">
        <v>1778</v>
      </c>
      <c r="G1015" t="s">
        <v>651</v>
      </c>
      <c r="H1015" t="s">
        <v>635</v>
      </c>
      <c r="I1015" t="s">
        <v>43</v>
      </c>
      <c r="N1015">
        <v>1123</v>
      </c>
      <c r="O1015">
        <v>0</v>
      </c>
      <c r="P1015">
        <v>0</v>
      </c>
      <c r="Q1015" t="s">
        <v>44</v>
      </c>
      <c r="R1015">
        <v>201</v>
      </c>
      <c r="S1015" t="s">
        <v>44</v>
      </c>
      <c r="T1015" t="s">
        <v>44</v>
      </c>
      <c r="U1015" t="s">
        <v>44</v>
      </c>
      <c r="V1015">
        <v>170</v>
      </c>
      <c r="W1015" t="s">
        <v>44</v>
      </c>
      <c r="X1015" t="s">
        <v>44</v>
      </c>
      <c r="Y1015">
        <v>170</v>
      </c>
      <c r="Z1015" t="s">
        <v>44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170</v>
      </c>
      <c r="AQ1015">
        <f t="shared" si="37"/>
        <v>170</v>
      </c>
      <c r="AR1015" s="5">
        <f>VLOOKUP(F1015,'[1]Cost Sheet'!$C:$D,2,0)</f>
        <v>75.27</v>
      </c>
      <c r="AS1015" s="5">
        <f t="shared" si="36"/>
        <v>12795.9</v>
      </c>
    </row>
    <row r="1016" spans="1:45" x14ac:dyDescent="0.3">
      <c r="A1016" s="1">
        <v>45900.963194444441</v>
      </c>
      <c r="B1016" t="s">
        <v>1463</v>
      </c>
      <c r="C1016" t="s">
        <v>1464</v>
      </c>
      <c r="D1016" t="s">
        <v>660</v>
      </c>
      <c r="E1016" t="s">
        <v>660</v>
      </c>
      <c r="F1016" t="s">
        <v>1783</v>
      </c>
      <c r="G1016" t="s">
        <v>661</v>
      </c>
      <c r="H1016" t="s">
        <v>635</v>
      </c>
      <c r="I1016" t="s">
        <v>43</v>
      </c>
      <c r="N1016">
        <v>991</v>
      </c>
      <c r="O1016">
        <v>1</v>
      </c>
      <c r="P1016">
        <v>0</v>
      </c>
      <c r="Q1016" t="s">
        <v>44</v>
      </c>
      <c r="R1016">
        <v>158</v>
      </c>
      <c r="S1016" t="s">
        <v>44</v>
      </c>
      <c r="T1016" t="s">
        <v>44</v>
      </c>
      <c r="U1016" t="s">
        <v>44</v>
      </c>
      <c r="V1016">
        <v>134</v>
      </c>
      <c r="W1016" t="s">
        <v>44</v>
      </c>
      <c r="X1016" t="s">
        <v>44</v>
      </c>
      <c r="Y1016">
        <v>134</v>
      </c>
      <c r="Z1016" t="s">
        <v>44</v>
      </c>
      <c r="AA1016">
        <v>0</v>
      </c>
      <c r="AB1016">
        <v>0</v>
      </c>
      <c r="AC1016">
        <v>0</v>
      </c>
      <c r="AD1016">
        <v>0</v>
      </c>
      <c r="AE1016">
        <v>25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135</v>
      </c>
      <c r="AQ1016">
        <f t="shared" si="37"/>
        <v>135</v>
      </c>
      <c r="AR1016" s="5">
        <f>VLOOKUP(F1016,'[1]Cost Sheet'!$C:$D,2,0)</f>
        <v>60.73</v>
      </c>
      <c r="AS1016" s="5">
        <f t="shared" si="36"/>
        <v>8198.5499999999993</v>
      </c>
    </row>
    <row r="1017" spans="1:45" x14ac:dyDescent="0.3">
      <c r="A1017" s="1">
        <v>45900.963194444441</v>
      </c>
      <c r="B1017" t="s">
        <v>1463</v>
      </c>
      <c r="C1017" t="s">
        <v>1464</v>
      </c>
      <c r="D1017" t="s">
        <v>997</v>
      </c>
      <c r="E1017" t="s">
        <v>997</v>
      </c>
      <c r="F1017" t="s">
        <v>1948</v>
      </c>
      <c r="G1017" t="s">
        <v>998</v>
      </c>
      <c r="H1017" t="s">
        <v>635</v>
      </c>
      <c r="I1017" t="s">
        <v>43</v>
      </c>
      <c r="N1017">
        <v>773</v>
      </c>
      <c r="O1017">
        <v>0</v>
      </c>
      <c r="P1017">
        <v>0</v>
      </c>
      <c r="Q1017" t="s">
        <v>44</v>
      </c>
      <c r="R1017">
        <v>125</v>
      </c>
      <c r="S1017" t="s">
        <v>44</v>
      </c>
      <c r="T1017" t="s">
        <v>44</v>
      </c>
      <c r="U1017" t="s">
        <v>44</v>
      </c>
      <c r="V1017">
        <v>112</v>
      </c>
      <c r="W1017" t="s">
        <v>44</v>
      </c>
      <c r="X1017" t="s">
        <v>44</v>
      </c>
      <c r="Y1017">
        <v>112</v>
      </c>
      <c r="Z1017" t="s">
        <v>44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112</v>
      </c>
      <c r="AQ1017">
        <f t="shared" si="37"/>
        <v>112</v>
      </c>
      <c r="AR1017" s="5">
        <f>VLOOKUP(F1017,'[1]Cost Sheet'!$C:$D,2,0)</f>
        <v>116.69999999999999</v>
      </c>
      <c r="AS1017" s="5">
        <f t="shared" si="36"/>
        <v>13070.399999999998</v>
      </c>
    </row>
    <row r="1018" spans="1:45" x14ac:dyDescent="0.3">
      <c r="A1018" s="1">
        <v>45900.963194444441</v>
      </c>
      <c r="B1018" t="s">
        <v>1463</v>
      </c>
      <c r="C1018" t="s">
        <v>1464</v>
      </c>
      <c r="D1018" t="s">
        <v>1001</v>
      </c>
      <c r="E1018" t="s">
        <v>1001</v>
      </c>
      <c r="F1018" t="s">
        <v>1950</v>
      </c>
      <c r="G1018" t="s">
        <v>1002</v>
      </c>
      <c r="H1018" t="s">
        <v>635</v>
      </c>
      <c r="I1018" t="s">
        <v>43</v>
      </c>
      <c r="N1018">
        <v>824</v>
      </c>
      <c r="O1018">
        <v>0</v>
      </c>
      <c r="P1018">
        <v>0</v>
      </c>
      <c r="Q1018" t="s">
        <v>44</v>
      </c>
      <c r="R1018">
        <v>136</v>
      </c>
      <c r="S1018" t="s">
        <v>44</v>
      </c>
      <c r="T1018" t="s">
        <v>44</v>
      </c>
      <c r="U1018" t="s">
        <v>44</v>
      </c>
      <c r="V1018">
        <v>117</v>
      </c>
      <c r="W1018" t="s">
        <v>44</v>
      </c>
      <c r="X1018" t="s">
        <v>44</v>
      </c>
      <c r="Y1018">
        <v>117</v>
      </c>
      <c r="Z1018" t="s">
        <v>44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117</v>
      </c>
      <c r="AQ1018">
        <f t="shared" si="37"/>
        <v>117</v>
      </c>
      <c r="AR1018" s="5">
        <f>VLOOKUP(F1018,'[1]Cost Sheet'!$C:$D,2,0)</f>
        <v>152.38000000000002</v>
      </c>
      <c r="AS1018" s="5">
        <f t="shared" si="36"/>
        <v>17828.460000000003</v>
      </c>
    </row>
    <row r="1019" spans="1:45" x14ac:dyDescent="0.3">
      <c r="A1019" s="1">
        <v>45900.963194444441</v>
      </c>
      <c r="B1019" t="s">
        <v>1463</v>
      </c>
      <c r="C1019" t="s">
        <v>1464</v>
      </c>
      <c r="D1019" t="s">
        <v>799</v>
      </c>
      <c r="F1019" t="s">
        <v>1851</v>
      </c>
      <c r="G1019" t="s">
        <v>800</v>
      </c>
      <c r="H1019" t="s">
        <v>103</v>
      </c>
      <c r="I1019" t="s">
        <v>43</v>
      </c>
      <c r="J1019">
        <v>217</v>
      </c>
      <c r="K1019">
        <v>19</v>
      </c>
      <c r="L1019">
        <v>10</v>
      </c>
      <c r="M1019">
        <v>11</v>
      </c>
      <c r="N1019">
        <v>46407</v>
      </c>
      <c r="O1019">
        <v>94</v>
      </c>
      <c r="P1019">
        <v>0</v>
      </c>
      <c r="Q1019">
        <v>7</v>
      </c>
      <c r="R1019" t="s">
        <v>44</v>
      </c>
      <c r="S1019" t="s">
        <v>44</v>
      </c>
      <c r="T1019">
        <v>120</v>
      </c>
      <c r="U1019" t="s">
        <v>44</v>
      </c>
      <c r="V1019">
        <v>718</v>
      </c>
      <c r="W1019">
        <v>27</v>
      </c>
      <c r="X1019" t="s">
        <v>44</v>
      </c>
      <c r="Y1019">
        <v>718</v>
      </c>
      <c r="Z1019" t="s">
        <v>44</v>
      </c>
      <c r="AA1019">
        <v>12</v>
      </c>
      <c r="AB1019">
        <v>0</v>
      </c>
      <c r="AC1019">
        <v>0</v>
      </c>
      <c r="AD1019">
        <v>0</v>
      </c>
      <c r="AE1019">
        <v>0</v>
      </c>
      <c r="AF1019">
        <v>10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824</v>
      </c>
      <c r="AQ1019">
        <f t="shared" si="37"/>
        <v>824</v>
      </c>
      <c r="AR1019" s="5">
        <f>VLOOKUP(F1019,'[2]SCP_24-25'!$A:$D,4,0)</f>
        <v>41.552</v>
      </c>
      <c r="AS1019" s="5">
        <f t="shared" si="36"/>
        <v>34238.847999999998</v>
      </c>
    </row>
    <row r="1020" spans="1:45" x14ac:dyDescent="0.3">
      <c r="A1020" s="1">
        <v>45900.963194444441</v>
      </c>
      <c r="B1020" t="s">
        <v>1463</v>
      </c>
      <c r="C1020" t="s">
        <v>1464</v>
      </c>
      <c r="D1020" t="s">
        <v>698</v>
      </c>
      <c r="E1020" t="s">
        <v>698</v>
      </c>
      <c r="F1020" t="s">
        <v>1802</v>
      </c>
      <c r="G1020" t="s">
        <v>699</v>
      </c>
      <c r="H1020" t="s">
        <v>635</v>
      </c>
      <c r="I1020" t="s">
        <v>43</v>
      </c>
      <c r="J1020">
        <v>15</v>
      </c>
      <c r="K1020">
        <v>19</v>
      </c>
      <c r="L1020">
        <v>10</v>
      </c>
      <c r="M1020">
        <v>11</v>
      </c>
      <c r="N1020">
        <v>695</v>
      </c>
      <c r="O1020">
        <v>0</v>
      </c>
      <c r="P1020">
        <v>0</v>
      </c>
      <c r="Q1020" t="s">
        <v>44</v>
      </c>
      <c r="R1020">
        <v>193</v>
      </c>
      <c r="S1020" t="s">
        <v>44</v>
      </c>
      <c r="T1020" t="s">
        <v>44</v>
      </c>
      <c r="U1020" t="s">
        <v>44</v>
      </c>
      <c r="V1020">
        <v>176</v>
      </c>
      <c r="W1020" t="s">
        <v>44</v>
      </c>
      <c r="X1020" t="s">
        <v>44</v>
      </c>
      <c r="Y1020">
        <v>176</v>
      </c>
      <c r="Z1020" t="s">
        <v>44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176</v>
      </c>
      <c r="AQ1020">
        <f t="shared" si="37"/>
        <v>176</v>
      </c>
      <c r="AR1020" s="5">
        <f>VLOOKUP(F1020,'[1]Cost Sheet'!$C:$D,2,0)</f>
        <v>34.455294117647057</v>
      </c>
      <c r="AS1020" s="5">
        <f t="shared" si="36"/>
        <v>6064.1317647058822</v>
      </c>
    </row>
    <row r="1021" spans="1:45" x14ac:dyDescent="0.3">
      <c r="A1021" s="1">
        <v>45900.963194444441</v>
      </c>
      <c r="B1021" t="s">
        <v>1463</v>
      </c>
      <c r="C1021" t="s">
        <v>1464</v>
      </c>
      <c r="D1021" t="s">
        <v>1105</v>
      </c>
      <c r="F1021" t="s">
        <v>2002</v>
      </c>
      <c r="G1021" t="s">
        <v>1106</v>
      </c>
      <c r="H1021" t="s">
        <v>120</v>
      </c>
      <c r="I1021" t="s">
        <v>43</v>
      </c>
      <c r="J1021">
        <v>10</v>
      </c>
      <c r="K1021">
        <v>19</v>
      </c>
      <c r="L1021">
        <v>11</v>
      </c>
      <c r="M1021">
        <v>10</v>
      </c>
      <c r="N1021">
        <v>3755</v>
      </c>
      <c r="O1021">
        <v>0</v>
      </c>
      <c r="P1021">
        <v>0</v>
      </c>
      <c r="Q1021">
        <v>11</v>
      </c>
      <c r="R1021" t="s">
        <v>44</v>
      </c>
      <c r="S1021" t="s">
        <v>44</v>
      </c>
      <c r="T1021" t="s">
        <v>44</v>
      </c>
      <c r="U1021" t="s">
        <v>44</v>
      </c>
      <c r="V1021">
        <v>228</v>
      </c>
      <c r="W1021" t="s">
        <v>44</v>
      </c>
      <c r="X1021" t="s">
        <v>44</v>
      </c>
      <c r="Y1021">
        <v>228</v>
      </c>
      <c r="Z1021" t="s">
        <v>44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228</v>
      </c>
      <c r="AQ1021">
        <f t="shared" si="37"/>
        <v>228</v>
      </c>
      <c r="AR1021" s="5">
        <f>VLOOKUP(F1021,'[2]SCP_24-25'!$A:$D,4,0)</f>
        <v>1.9</v>
      </c>
      <c r="AS1021" s="5">
        <f t="shared" si="36"/>
        <v>433.2</v>
      </c>
    </row>
    <row r="1022" spans="1:45" x14ac:dyDescent="0.3">
      <c r="A1022" s="1">
        <v>45900.963194444441</v>
      </c>
      <c r="B1022" t="s">
        <v>1463</v>
      </c>
      <c r="C1022" t="s">
        <v>1464</v>
      </c>
      <c r="D1022" t="s">
        <v>1107</v>
      </c>
      <c r="F1022" t="s">
        <v>2003</v>
      </c>
      <c r="G1022" t="s">
        <v>1108</v>
      </c>
      <c r="H1022" t="s">
        <v>120</v>
      </c>
      <c r="I1022" t="s">
        <v>43</v>
      </c>
      <c r="J1022">
        <v>200</v>
      </c>
      <c r="K1022">
        <v>19</v>
      </c>
      <c r="L1022">
        <v>11</v>
      </c>
      <c r="M1022">
        <v>10</v>
      </c>
      <c r="N1022">
        <v>5908</v>
      </c>
      <c r="O1022">
        <v>0</v>
      </c>
      <c r="P1022">
        <v>0</v>
      </c>
      <c r="Q1022">
        <v>1</v>
      </c>
      <c r="R1022">
        <v>1247</v>
      </c>
      <c r="S1022" t="s">
        <v>44</v>
      </c>
      <c r="T1022" t="s">
        <v>44</v>
      </c>
      <c r="U1022" t="s">
        <v>44</v>
      </c>
      <c r="V1022">
        <v>188</v>
      </c>
      <c r="W1022" t="s">
        <v>44</v>
      </c>
      <c r="X1022" t="s">
        <v>44</v>
      </c>
      <c r="Y1022">
        <v>188</v>
      </c>
      <c r="Z1022" t="s">
        <v>44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188</v>
      </c>
      <c r="AQ1022">
        <f t="shared" si="37"/>
        <v>188</v>
      </c>
      <c r="AR1022" s="5">
        <f>VLOOKUP(F1022,'[2]SCP_24-25'!$A:$D,4,0)</f>
        <v>50</v>
      </c>
      <c r="AS1022" s="5">
        <f t="shared" si="36"/>
        <v>9400</v>
      </c>
    </row>
    <row r="1023" spans="1:45" x14ac:dyDescent="0.3">
      <c r="A1023" s="1">
        <v>45900.963194444441</v>
      </c>
      <c r="B1023" t="s">
        <v>1463</v>
      </c>
      <c r="C1023" t="s">
        <v>1464</v>
      </c>
      <c r="D1023" t="s">
        <v>1398</v>
      </c>
      <c r="F1023" t="s">
        <v>2145</v>
      </c>
      <c r="G1023" t="s">
        <v>1399</v>
      </c>
      <c r="H1023" t="s">
        <v>120</v>
      </c>
      <c r="I1023" t="s">
        <v>43</v>
      </c>
      <c r="J1023">
        <v>50</v>
      </c>
      <c r="K1023">
        <v>19</v>
      </c>
      <c r="L1023">
        <v>10</v>
      </c>
      <c r="M1023">
        <v>11</v>
      </c>
      <c r="N1023">
        <v>1552</v>
      </c>
      <c r="O1023">
        <v>0</v>
      </c>
      <c r="P1023">
        <v>0</v>
      </c>
      <c r="Q1023" t="s">
        <v>44</v>
      </c>
      <c r="R1023">
        <v>108</v>
      </c>
      <c r="S1023" t="s">
        <v>44</v>
      </c>
      <c r="T1023" t="s">
        <v>44</v>
      </c>
      <c r="U1023" t="s">
        <v>44</v>
      </c>
      <c r="V1023">
        <v>332</v>
      </c>
      <c r="W1023" t="s">
        <v>44</v>
      </c>
      <c r="X1023" t="s">
        <v>44</v>
      </c>
      <c r="Y1023">
        <v>332</v>
      </c>
      <c r="Z1023" t="s">
        <v>44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332</v>
      </c>
      <c r="AQ1023">
        <f t="shared" si="37"/>
        <v>332</v>
      </c>
      <c r="AR1023" s="5">
        <f>VLOOKUP(F1023,'[2]SCP_24-25'!$A:$D,4,0)</f>
        <v>300</v>
      </c>
      <c r="AS1023" s="5">
        <f t="shared" si="36"/>
        <v>99600</v>
      </c>
    </row>
    <row r="1024" spans="1:45" x14ac:dyDescent="0.3">
      <c r="A1024" s="1">
        <v>45900.963194444441</v>
      </c>
      <c r="B1024" t="s">
        <v>1463</v>
      </c>
      <c r="C1024" t="s">
        <v>1464</v>
      </c>
      <c r="D1024" t="s">
        <v>524</v>
      </c>
      <c r="E1024" t="s">
        <v>445</v>
      </c>
      <c r="F1024" t="s">
        <v>1716</v>
      </c>
      <c r="G1024" t="s">
        <v>525</v>
      </c>
      <c r="H1024" t="s">
        <v>130</v>
      </c>
      <c r="I1024" t="s">
        <v>43</v>
      </c>
      <c r="J1024">
        <v>60.02</v>
      </c>
      <c r="K1024">
        <v>19</v>
      </c>
      <c r="L1024">
        <v>10</v>
      </c>
      <c r="M1024">
        <v>11</v>
      </c>
      <c r="N1024">
        <v>5611</v>
      </c>
      <c r="O1024">
        <v>3</v>
      </c>
      <c r="P1024">
        <v>0</v>
      </c>
      <c r="Q1024">
        <v>4</v>
      </c>
      <c r="R1024" t="s">
        <v>44</v>
      </c>
      <c r="S1024" t="s">
        <v>44</v>
      </c>
      <c r="T1024" t="s">
        <v>44</v>
      </c>
      <c r="U1024" t="s">
        <v>44</v>
      </c>
      <c r="V1024">
        <v>672</v>
      </c>
      <c r="W1024" t="s">
        <v>44</v>
      </c>
      <c r="X1024" t="s">
        <v>44</v>
      </c>
      <c r="Y1024">
        <v>672</v>
      </c>
      <c r="Z1024" t="s">
        <v>44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675</v>
      </c>
      <c r="AQ1024">
        <f t="shared" si="37"/>
        <v>675</v>
      </c>
      <c r="AR1024" s="5">
        <f>VLOOKUP(F1024,'[2]SCP_24-25'!$A:$D,4,0)</f>
        <v>86.7</v>
      </c>
      <c r="AS1024" s="5">
        <f t="shared" si="36"/>
        <v>58522.5</v>
      </c>
    </row>
    <row r="1025" spans="1:45" x14ac:dyDescent="0.3">
      <c r="A1025" s="1">
        <v>45900.963194444441</v>
      </c>
      <c r="B1025" t="s">
        <v>1463</v>
      </c>
      <c r="C1025" t="s">
        <v>1464</v>
      </c>
      <c r="D1025" t="s">
        <v>594</v>
      </c>
      <c r="E1025" t="s">
        <v>595</v>
      </c>
      <c r="F1025" t="s">
        <v>1751</v>
      </c>
      <c r="G1025" t="s">
        <v>596</v>
      </c>
      <c r="H1025" t="s">
        <v>130</v>
      </c>
      <c r="I1025" t="s">
        <v>43</v>
      </c>
      <c r="J1025">
        <v>60.02</v>
      </c>
      <c r="K1025">
        <v>19</v>
      </c>
      <c r="L1025">
        <v>10</v>
      </c>
      <c r="M1025">
        <v>11</v>
      </c>
      <c r="N1025">
        <v>6075</v>
      </c>
      <c r="O1025">
        <v>3</v>
      </c>
      <c r="P1025">
        <v>0</v>
      </c>
      <c r="Q1025">
        <v>6</v>
      </c>
      <c r="R1025" t="s">
        <v>44</v>
      </c>
      <c r="S1025" t="s">
        <v>44</v>
      </c>
      <c r="T1025" t="s">
        <v>44</v>
      </c>
      <c r="U1025" t="s">
        <v>44</v>
      </c>
      <c r="V1025">
        <v>434</v>
      </c>
      <c r="W1025">
        <v>1</v>
      </c>
      <c r="X1025" t="s">
        <v>44</v>
      </c>
      <c r="Y1025">
        <v>434</v>
      </c>
      <c r="Z1025" t="s">
        <v>44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437</v>
      </c>
      <c r="AQ1025">
        <f t="shared" si="37"/>
        <v>437</v>
      </c>
      <c r="AR1025" s="5">
        <f>VLOOKUP(F1025,'[2]SCP_24-25'!$A:$D,4,0)</f>
        <v>120.58</v>
      </c>
      <c r="AS1025" s="5">
        <f t="shared" si="36"/>
        <v>52693.46</v>
      </c>
    </row>
    <row r="1026" spans="1:45" x14ac:dyDescent="0.3">
      <c r="A1026" s="1">
        <v>45900.963194444441</v>
      </c>
      <c r="B1026" t="s">
        <v>1463</v>
      </c>
      <c r="C1026" t="s">
        <v>1464</v>
      </c>
      <c r="D1026" t="s">
        <v>597</v>
      </c>
      <c r="F1026" t="s">
        <v>1752</v>
      </c>
      <c r="G1026" t="s">
        <v>598</v>
      </c>
      <c r="H1026" t="s">
        <v>130</v>
      </c>
      <c r="I1026" t="s">
        <v>43</v>
      </c>
      <c r="J1026">
        <v>40</v>
      </c>
      <c r="K1026">
        <v>19</v>
      </c>
      <c r="L1026">
        <v>10</v>
      </c>
      <c r="M1026">
        <v>11</v>
      </c>
      <c r="N1026">
        <v>6499</v>
      </c>
      <c r="O1026">
        <v>13</v>
      </c>
      <c r="P1026">
        <v>0</v>
      </c>
      <c r="Q1026">
        <v>1</v>
      </c>
      <c r="R1026" t="s">
        <v>44</v>
      </c>
      <c r="S1026" t="s">
        <v>44</v>
      </c>
      <c r="T1026" t="s">
        <v>44</v>
      </c>
      <c r="U1026" t="s">
        <v>44</v>
      </c>
      <c r="V1026">
        <v>978</v>
      </c>
      <c r="W1026">
        <v>1</v>
      </c>
      <c r="X1026" t="s">
        <v>44</v>
      </c>
      <c r="Y1026">
        <v>978</v>
      </c>
      <c r="Z1026" t="s">
        <v>44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991</v>
      </c>
      <c r="AQ1026">
        <f t="shared" si="37"/>
        <v>991</v>
      </c>
      <c r="AR1026" s="5">
        <f>VLOOKUP(F1026,'[2]SCP_24-25'!$A:$D,4,0)</f>
        <v>98.3</v>
      </c>
      <c r="AS1026" s="5">
        <f t="shared" si="36"/>
        <v>97415.3</v>
      </c>
    </row>
    <row r="1027" spans="1:45" x14ac:dyDescent="0.3">
      <c r="A1027" s="1">
        <v>45900.963194444441</v>
      </c>
      <c r="B1027" t="s">
        <v>1463</v>
      </c>
      <c r="C1027" t="s">
        <v>1464</v>
      </c>
      <c r="D1027" t="s">
        <v>534</v>
      </c>
      <c r="F1027" t="s">
        <v>1721</v>
      </c>
      <c r="G1027" t="s">
        <v>535</v>
      </c>
      <c r="H1027" t="s">
        <v>130</v>
      </c>
      <c r="I1027" t="s">
        <v>43</v>
      </c>
      <c r="J1027">
        <v>40.020000000000003</v>
      </c>
      <c r="K1027">
        <v>19</v>
      </c>
      <c r="L1027">
        <v>10</v>
      </c>
      <c r="M1027">
        <v>11</v>
      </c>
      <c r="N1027">
        <v>7201</v>
      </c>
      <c r="O1027">
        <v>22</v>
      </c>
      <c r="P1027">
        <v>0</v>
      </c>
      <c r="Q1027">
        <v>2</v>
      </c>
      <c r="R1027" t="s">
        <v>44</v>
      </c>
      <c r="S1027" t="s">
        <v>44</v>
      </c>
      <c r="T1027" t="s">
        <v>44</v>
      </c>
      <c r="U1027" t="s">
        <v>44</v>
      </c>
      <c r="V1027">
        <v>650</v>
      </c>
      <c r="W1027">
        <v>1</v>
      </c>
      <c r="X1027" t="s">
        <v>44</v>
      </c>
      <c r="Y1027">
        <v>650</v>
      </c>
      <c r="Z1027" t="s">
        <v>44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673</v>
      </c>
      <c r="AQ1027">
        <f t="shared" si="37"/>
        <v>673</v>
      </c>
      <c r="AR1027" s="5">
        <f>VLOOKUP(F1027,'[2]SCP_24-25'!$A:$D,4,0)</f>
        <v>98.3</v>
      </c>
      <c r="AS1027" s="5">
        <f t="shared" ref="AS1027:AS1090" si="38">AQ1027*AR1027</f>
        <v>66155.899999999994</v>
      </c>
    </row>
    <row r="1028" spans="1:45" x14ac:dyDescent="0.3">
      <c r="A1028" s="1">
        <v>45900.963194444441</v>
      </c>
      <c r="B1028" t="s">
        <v>1463</v>
      </c>
      <c r="C1028" t="s">
        <v>1464</v>
      </c>
      <c r="D1028" t="s">
        <v>536</v>
      </c>
      <c r="F1028" t="s">
        <v>1722</v>
      </c>
      <c r="G1028" t="s">
        <v>537</v>
      </c>
      <c r="H1028" t="s">
        <v>130</v>
      </c>
      <c r="I1028" t="s">
        <v>43</v>
      </c>
      <c r="J1028">
        <v>40.020000000000003</v>
      </c>
      <c r="K1028">
        <v>19</v>
      </c>
      <c r="L1028">
        <v>10</v>
      </c>
      <c r="M1028">
        <v>11</v>
      </c>
      <c r="N1028">
        <v>4857</v>
      </c>
      <c r="O1028">
        <v>11</v>
      </c>
      <c r="P1028">
        <v>0</v>
      </c>
      <c r="Q1028">
        <v>2</v>
      </c>
      <c r="R1028" t="s">
        <v>44</v>
      </c>
      <c r="S1028" t="s">
        <v>44</v>
      </c>
      <c r="T1028" t="s">
        <v>44</v>
      </c>
      <c r="U1028" t="s">
        <v>44</v>
      </c>
      <c r="V1028">
        <v>714</v>
      </c>
      <c r="W1028">
        <v>1</v>
      </c>
      <c r="X1028" t="s">
        <v>44</v>
      </c>
      <c r="Y1028">
        <v>714</v>
      </c>
      <c r="Z1028" t="s">
        <v>44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725</v>
      </c>
      <c r="AQ1028">
        <f t="shared" si="37"/>
        <v>725</v>
      </c>
      <c r="AR1028" s="5">
        <f>VLOOKUP(F1028,'[2]SCP_24-25'!$A:$D,4,0)</f>
        <v>98.3</v>
      </c>
      <c r="AS1028" s="5">
        <f t="shared" si="38"/>
        <v>71267.5</v>
      </c>
    </row>
    <row r="1029" spans="1:45" x14ac:dyDescent="0.3">
      <c r="A1029" s="1">
        <v>45900.963194444441</v>
      </c>
      <c r="B1029" t="s">
        <v>1463</v>
      </c>
      <c r="C1029" t="s">
        <v>1464</v>
      </c>
      <c r="D1029" t="s">
        <v>491</v>
      </c>
      <c r="F1029" t="s">
        <v>1700</v>
      </c>
      <c r="G1029" t="s">
        <v>492</v>
      </c>
      <c r="H1029" t="s">
        <v>130</v>
      </c>
      <c r="I1029" t="s">
        <v>43</v>
      </c>
      <c r="J1029">
        <v>40.020000000000003</v>
      </c>
      <c r="K1029">
        <v>19</v>
      </c>
      <c r="L1029">
        <v>10</v>
      </c>
      <c r="M1029">
        <v>11</v>
      </c>
      <c r="N1029">
        <v>4264</v>
      </c>
      <c r="O1029">
        <v>17</v>
      </c>
      <c r="P1029">
        <v>0</v>
      </c>
      <c r="Q1029">
        <v>4</v>
      </c>
      <c r="R1029" t="s">
        <v>44</v>
      </c>
      <c r="S1029" t="s">
        <v>44</v>
      </c>
      <c r="T1029" t="s">
        <v>44</v>
      </c>
      <c r="U1029" t="s">
        <v>44</v>
      </c>
      <c r="V1029">
        <v>404</v>
      </c>
      <c r="W1029">
        <v>1</v>
      </c>
      <c r="X1029" t="s">
        <v>44</v>
      </c>
      <c r="Y1029">
        <v>404</v>
      </c>
      <c r="Z1029" t="s">
        <v>44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422</v>
      </c>
      <c r="AQ1029">
        <f t="shared" si="37"/>
        <v>422</v>
      </c>
      <c r="AR1029" s="5">
        <f>VLOOKUP(F1029,'[2]SCP_24-25'!$A:$D,4,0)</f>
        <v>98.3</v>
      </c>
      <c r="AS1029" s="5">
        <f t="shared" si="38"/>
        <v>41482.6</v>
      </c>
    </row>
    <row r="1030" spans="1:45" x14ac:dyDescent="0.3">
      <c r="A1030" s="1">
        <v>45900.963194444441</v>
      </c>
      <c r="B1030" t="s">
        <v>1463</v>
      </c>
      <c r="C1030" t="s">
        <v>1464</v>
      </c>
      <c r="D1030" t="s">
        <v>457</v>
      </c>
      <c r="F1030" t="s">
        <v>1683</v>
      </c>
      <c r="G1030" t="s">
        <v>458</v>
      </c>
      <c r="H1030" t="s">
        <v>130</v>
      </c>
      <c r="I1030" t="s">
        <v>43</v>
      </c>
      <c r="J1030">
        <v>40.020000000000003</v>
      </c>
      <c r="K1030">
        <v>19</v>
      </c>
      <c r="L1030">
        <v>10</v>
      </c>
      <c r="M1030">
        <v>11</v>
      </c>
      <c r="N1030">
        <v>4927</v>
      </c>
      <c r="O1030">
        <v>6</v>
      </c>
      <c r="P1030">
        <v>0</v>
      </c>
      <c r="Q1030">
        <v>2</v>
      </c>
      <c r="R1030" t="s">
        <v>44</v>
      </c>
      <c r="S1030" t="s">
        <v>44</v>
      </c>
      <c r="T1030" t="s">
        <v>44</v>
      </c>
      <c r="U1030" t="s">
        <v>44</v>
      </c>
      <c r="V1030">
        <v>752</v>
      </c>
      <c r="W1030">
        <v>1</v>
      </c>
      <c r="X1030" t="s">
        <v>44</v>
      </c>
      <c r="Y1030">
        <v>752</v>
      </c>
      <c r="Z1030" t="s">
        <v>44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758</v>
      </c>
      <c r="AQ1030">
        <f t="shared" si="37"/>
        <v>758</v>
      </c>
      <c r="AR1030" s="5">
        <f>VLOOKUP(F1030,'[2]SCP_24-25'!$A:$D,4,0)</f>
        <v>98.299999999999983</v>
      </c>
      <c r="AS1030" s="5">
        <f t="shared" si="38"/>
        <v>74511.399999999994</v>
      </c>
    </row>
    <row r="1031" spans="1:45" x14ac:dyDescent="0.3">
      <c r="A1031" s="1">
        <v>45900.963194444441</v>
      </c>
      <c r="B1031" t="s">
        <v>1463</v>
      </c>
      <c r="C1031" t="s">
        <v>1464</v>
      </c>
      <c r="D1031" t="s">
        <v>538</v>
      </c>
      <c r="F1031" t="s">
        <v>1723</v>
      </c>
      <c r="G1031" t="s">
        <v>539</v>
      </c>
      <c r="H1031" t="s">
        <v>130</v>
      </c>
      <c r="I1031" t="s">
        <v>43</v>
      </c>
      <c r="J1031">
        <v>40.020000000000003</v>
      </c>
      <c r="K1031">
        <v>19</v>
      </c>
      <c r="L1031">
        <v>10</v>
      </c>
      <c r="M1031">
        <v>11</v>
      </c>
      <c r="N1031">
        <v>6402</v>
      </c>
      <c r="O1031">
        <v>19</v>
      </c>
      <c r="P1031">
        <v>0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>
        <v>182</v>
      </c>
      <c r="W1031">
        <v>1</v>
      </c>
      <c r="X1031" t="s">
        <v>44</v>
      </c>
      <c r="Y1031">
        <v>182</v>
      </c>
      <c r="Z1031" t="s">
        <v>44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201</v>
      </c>
      <c r="AQ1031">
        <f t="shared" si="37"/>
        <v>201</v>
      </c>
      <c r="AR1031" s="5">
        <f>VLOOKUP(F1031,'[2]SCP_24-25'!$A:$D,4,0)</f>
        <v>98.3</v>
      </c>
      <c r="AS1031" s="5">
        <f t="shared" si="38"/>
        <v>19758.3</v>
      </c>
    </row>
    <row r="1032" spans="1:45" x14ac:dyDescent="0.3">
      <c r="A1032" s="1">
        <v>45900.963194444441</v>
      </c>
      <c r="B1032" t="s">
        <v>1463</v>
      </c>
      <c r="C1032" t="s">
        <v>1464</v>
      </c>
      <c r="D1032" t="s">
        <v>429</v>
      </c>
      <c r="F1032" t="s">
        <v>1671</v>
      </c>
      <c r="G1032" t="s">
        <v>430</v>
      </c>
      <c r="H1032" t="s">
        <v>130</v>
      </c>
      <c r="I1032" t="s">
        <v>43</v>
      </c>
      <c r="J1032">
        <v>40.020000000000003</v>
      </c>
      <c r="K1032">
        <v>19</v>
      </c>
      <c r="L1032">
        <v>10</v>
      </c>
      <c r="M1032">
        <v>11</v>
      </c>
      <c r="N1032">
        <v>7372</v>
      </c>
      <c r="O1032">
        <v>18</v>
      </c>
      <c r="P1032">
        <v>0</v>
      </c>
      <c r="Q1032" t="s">
        <v>44</v>
      </c>
      <c r="R1032" t="s">
        <v>44</v>
      </c>
      <c r="S1032" t="s">
        <v>44</v>
      </c>
      <c r="T1032">
        <v>96</v>
      </c>
      <c r="U1032" t="s">
        <v>44</v>
      </c>
      <c r="V1032">
        <v>641</v>
      </c>
      <c r="W1032">
        <v>1</v>
      </c>
      <c r="X1032" t="s">
        <v>44</v>
      </c>
      <c r="Y1032">
        <v>641</v>
      </c>
      <c r="Z1032" t="s">
        <v>44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659</v>
      </c>
      <c r="AQ1032">
        <f t="shared" si="37"/>
        <v>659</v>
      </c>
      <c r="AR1032" s="5">
        <f>VLOOKUP(F1032,'[2]SCP_24-25'!$A:$D,4,0)</f>
        <v>98.299999999999983</v>
      </c>
      <c r="AS1032" s="5">
        <f t="shared" si="38"/>
        <v>64779.69999999999</v>
      </c>
    </row>
    <row r="1033" spans="1:45" x14ac:dyDescent="0.3">
      <c r="A1033" s="1">
        <v>45900.963194444441</v>
      </c>
      <c r="B1033" t="s">
        <v>1463</v>
      </c>
      <c r="C1033" t="s">
        <v>1464</v>
      </c>
      <c r="D1033" t="s">
        <v>580</v>
      </c>
      <c r="F1033" t="s">
        <v>1744</v>
      </c>
      <c r="G1033" t="s">
        <v>581</v>
      </c>
      <c r="H1033" t="s">
        <v>130</v>
      </c>
      <c r="I1033" t="s">
        <v>43</v>
      </c>
      <c r="J1033">
        <v>40.020000000000003</v>
      </c>
      <c r="K1033">
        <v>19</v>
      </c>
      <c r="L1033">
        <v>10</v>
      </c>
      <c r="M1033">
        <v>11</v>
      </c>
      <c r="N1033">
        <v>5733</v>
      </c>
      <c r="O1033">
        <v>10</v>
      </c>
      <c r="P1033">
        <v>0</v>
      </c>
      <c r="Q1033">
        <v>2</v>
      </c>
      <c r="R1033" t="s">
        <v>44</v>
      </c>
      <c r="S1033" t="s">
        <v>44</v>
      </c>
      <c r="T1033" t="s">
        <v>44</v>
      </c>
      <c r="U1033" t="s">
        <v>44</v>
      </c>
      <c r="V1033">
        <v>258</v>
      </c>
      <c r="W1033">
        <v>1</v>
      </c>
      <c r="X1033" t="s">
        <v>44</v>
      </c>
      <c r="Y1033">
        <v>258</v>
      </c>
      <c r="Z1033" t="s">
        <v>44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268</v>
      </c>
      <c r="AQ1033">
        <f t="shared" si="37"/>
        <v>268</v>
      </c>
      <c r="AR1033" s="5">
        <f>VLOOKUP(F1033,'[2]SCP_24-25'!$A:$D,4,0)</f>
        <v>98.3</v>
      </c>
      <c r="AS1033" s="5">
        <f t="shared" si="38"/>
        <v>26344.399999999998</v>
      </c>
    </row>
    <row r="1034" spans="1:45" x14ac:dyDescent="0.3">
      <c r="A1034" s="1">
        <v>45900.963194444441</v>
      </c>
      <c r="B1034" t="s">
        <v>1463</v>
      </c>
      <c r="C1034" t="s">
        <v>1464</v>
      </c>
      <c r="D1034" t="s">
        <v>420</v>
      </c>
      <c r="F1034" t="s">
        <v>1667</v>
      </c>
      <c r="G1034" t="s">
        <v>421</v>
      </c>
      <c r="H1034" t="s">
        <v>130</v>
      </c>
      <c r="I1034" t="s">
        <v>43</v>
      </c>
      <c r="J1034">
        <v>40.020000000000003</v>
      </c>
      <c r="K1034">
        <v>19</v>
      </c>
      <c r="L1034">
        <v>10</v>
      </c>
      <c r="M1034">
        <v>11</v>
      </c>
      <c r="N1034">
        <v>5915</v>
      </c>
      <c r="O1034">
        <v>6</v>
      </c>
      <c r="P1034">
        <v>0</v>
      </c>
      <c r="Q1034">
        <v>7</v>
      </c>
      <c r="R1034" t="s">
        <v>44</v>
      </c>
      <c r="S1034" t="s">
        <v>44</v>
      </c>
      <c r="T1034" t="s">
        <v>44</v>
      </c>
      <c r="U1034" t="s">
        <v>44</v>
      </c>
      <c r="V1034">
        <v>255</v>
      </c>
      <c r="W1034">
        <v>2</v>
      </c>
      <c r="X1034" t="s">
        <v>44</v>
      </c>
      <c r="Y1034">
        <v>255</v>
      </c>
      <c r="Z1034" t="s">
        <v>44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261</v>
      </c>
      <c r="AQ1034">
        <f t="shared" si="37"/>
        <v>261</v>
      </c>
      <c r="AR1034" s="5">
        <f>VLOOKUP(F1034,'[2]SCP_24-25'!$A:$D,4,0)</f>
        <v>98.3</v>
      </c>
      <c r="AS1034" s="5">
        <f t="shared" si="38"/>
        <v>25656.3</v>
      </c>
    </row>
    <row r="1035" spans="1:45" x14ac:dyDescent="0.3">
      <c r="A1035" s="1">
        <v>45900.963194444441</v>
      </c>
      <c r="B1035" t="s">
        <v>1463</v>
      </c>
      <c r="C1035" t="s">
        <v>1464</v>
      </c>
      <c r="D1035" t="s">
        <v>590</v>
      </c>
      <c r="F1035" t="s">
        <v>1749</v>
      </c>
      <c r="G1035" t="s">
        <v>591</v>
      </c>
      <c r="H1035" t="s">
        <v>130</v>
      </c>
      <c r="I1035" t="s">
        <v>43</v>
      </c>
      <c r="J1035">
        <v>53.02</v>
      </c>
      <c r="K1035">
        <v>19</v>
      </c>
      <c r="L1035">
        <v>10</v>
      </c>
      <c r="M1035">
        <v>11</v>
      </c>
      <c r="N1035">
        <v>4249</v>
      </c>
      <c r="O1035">
        <v>0</v>
      </c>
      <c r="P1035">
        <v>0</v>
      </c>
      <c r="Q1035">
        <v>8</v>
      </c>
      <c r="R1035" t="s">
        <v>44</v>
      </c>
      <c r="S1035" t="s">
        <v>44</v>
      </c>
      <c r="T1035" t="s">
        <v>44</v>
      </c>
      <c r="U1035" t="s">
        <v>44</v>
      </c>
      <c r="V1035">
        <v>277</v>
      </c>
      <c r="W1035" t="s">
        <v>44</v>
      </c>
      <c r="X1035" t="s">
        <v>44</v>
      </c>
      <c r="Y1035">
        <v>277</v>
      </c>
      <c r="Z1035" t="s">
        <v>44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277</v>
      </c>
      <c r="AQ1035">
        <f t="shared" si="37"/>
        <v>277</v>
      </c>
      <c r="AR1035" s="5">
        <f>VLOOKUP(F1035,'[2]SCP_24-25'!$A:$D,4,0)</f>
        <v>51.74</v>
      </c>
      <c r="AS1035" s="5">
        <f t="shared" si="38"/>
        <v>14331.980000000001</v>
      </c>
    </row>
    <row r="1036" spans="1:45" x14ac:dyDescent="0.3">
      <c r="A1036" s="1">
        <v>45900.963194444441</v>
      </c>
      <c r="B1036" t="s">
        <v>1463</v>
      </c>
      <c r="C1036" t="s">
        <v>1464</v>
      </c>
      <c r="D1036" t="s">
        <v>497</v>
      </c>
      <c r="F1036" t="s">
        <v>1703</v>
      </c>
      <c r="G1036" t="s">
        <v>498</v>
      </c>
      <c r="H1036" t="s">
        <v>130</v>
      </c>
      <c r="I1036" t="s">
        <v>43</v>
      </c>
      <c r="J1036">
        <v>53</v>
      </c>
      <c r="K1036">
        <v>19</v>
      </c>
      <c r="L1036">
        <v>10</v>
      </c>
      <c r="M1036">
        <v>11</v>
      </c>
      <c r="N1036">
        <v>4817</v>
      </c>
      <c r="O1036">
        <v>0</v>
      </c>
      <c r="P1036">
        <v>0</v>
      </c>
      <c r="Q1036">
        <v>6</v>
      </c>
      <c r="R1036" t="s">
        <v>44</v>
      </c>
      <c r="S1036" t="s">
        <v>44</v>
      </c>
      <c r="T1036" t="s">
        <v>44</v>
      </c>
      <c r="U1036" t="s">
        <v>44</v>
      </c>
      <c r="V1036">
        <v>351</v>
      </c>
      <c r="W1036" t="s">
        <v>44</v>
      </c>
      <c r="X1036" t="s">
        <v>44</v>
      </c>
      <c r="Y1036">
        <v>351</v>
      </c>
      <c r="Z1036" t="s">
        <v>44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351</v>
      </c>
      <c r="AQ1036">
        <f t="shared" si="37"/>
        <v>351</v>
      </c>
      <c r="AR1036" s="5">
        <f>VLOOKUP(F1036,'[2]SCP_24-25'!$A:$D,4,0)</f>
        <v>51.74</v>
      </c>
      <c r="AS1036" s="5">
        <f t="shared" si="38"/>
        <v>18160.740000000002</v>
      </c>
    </row>
    <row r="1037" spans="1:45" x14ac:dyDescent="0.3">
      <c r="A1037" s="1">
        <v>45900.963194444441</v>
      </c>
      <c r="B1037" t="s">
        <v>1463</v>
      </c>
      <c r="C1037" t="s">
        <v>1464</v>
      </c>
      <c r="D1037" t="s">
        <v>540</v>
      </c>
      <c r="F1037" t="s">
        <v>1724</v>
      </c>
      <c r="G1037" t="s">
        <v>541</v>
      </c>
      <c r="H1037" t="s">
        <v>130</v>
      </c>
      <c r="I1037" t="s">
        <v>43</v>
      </c>
      <c r="J1037">
        <v>53</v>
      </c>
      <c r="K1037">
        <v>19</v>
      </c>
      <c r="L1037">
        <v>10</v>
      </c>
      <c r="M1037">
        <v>11</v>
      </c>
      <c r="N1037">
        <v>5130</v>
      </c>
      <c r="O1037">
        <v>0</v>
      </c>
      <c r="P1037">
        <v>0</v>
      </c>
      <c r="Q1037">
        <v>10</v>
      </c>
      <c r="R1037" t="s">
        <v>44</v>
      </c>
      <c r="S1037" t="s">
        <v>44</v>
      </c>
      <c r="T1037" t="s">
        <v>44</v>
      </c>
      <c r="U1037" t="s">
        <v>44</v>
      </c>
      <c r="V1037">
        <v>684</v>
      </c>
      <c r="W1037" t="s">
        <v>44</v>
      </c>
      <c r="X1037" t="s">
        <v>44</v>
      </c>
      <c r="Y1037">
        <v>684</v>
      </c>
      <c r="Z1037" t="s">
        <v>44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684</v>
      </c>
      <c r="AQ1037">
        <f t="shared" si="37"/>
        <v>684</v>
      </c>
      <c r="AR1037" s="5">
        <f>VLOOKUP(F1037,'[2]SCP_24-25'!$A:$D,4,0)</f>
        <v>51.74</v>
      </c>
      <c r="AS1037" s="5">
        <f t="shared" si="38"/>
        <v>35390.160000000003</v>
      </c>
    </row>
    <row r="1038" spans="1:45" x14ac:dyDescent="0.3">
      <c r="A1038" s="1">
        <v>45900.963194444441</v>
      </c>
      <c r="B1038" t="s">
        <v>1463</v>
      </c>
      <c r="C1038" t="s">
        <v>1464</v>
      </c>
      <c r="D1038" t="s">
        <v>461</v>
      </c>
      <c r="F1038" t="s">
        <v>1685</v>
      </c>
      <c r="G1038" t="s">
        <v>462</v>
      </c>
      <c r="H1038" t="s">
        <v>130</v>
      </c>
      <c r="I1038" t="s">
        <v>43</v>
      </c>
      <c r="J1038">
        <v>53.02</v>
      </c>
      <c r="K1038">
        <v>19</v>
      </c>
      <c r="L1038">
        <v>10</v>
      </c>
      <c r="M1038">
        <v>11</v>
      </c>
      <c r="N1038">
        <v>4255</v>
      </c>
      <c r="O1038">
        <v>0</v>
      </c>
      <c r="P1038">
        <v>0</v>
      </c>
      <c r="Q1038">
        <v>4</v>
      </c>
      <c r="R1038" t="s">
        <v>44</v>
      </c>
      <c r="S1038" t="s">
        <v>44</v>
      </c>
      <c r="T1038" t="s">
        <v>44</v>
      </c>
      <c r="U1038" t="s">
        <v>44</v>
      </c>
      <c r="V1038">
        <v>478</v>
      </c>
      <c r="W1038" t="s">
        <v>44</v>
      </c>
      <c r="X1038" t="s">
        <v>44</v>
      </c>
      <c r="Y1038">
        <v>478</v>
      </c>
      <c r="Z1038" t="s">
        <v>44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478</v>
      </c>
      <c r="AQ1038">
        <f t="shared" si="37"/>
        <v>478</v>
      </c>
      <c r="AR1038" s="5">
        <f>VLOOKUP(F1038,'[2]SCP_24-25'!$A:$D,4,0)</f>
        <v>51.74</v>
      </c>
      <c r="AS1038" s="5">
        <f t="shared" si="38"/>
        <v>24731.72</v>
      </c>
    </row>
    <row r="1039" spans="1:45" x14ac:dyDescent="0.3">
      <c r="A1039" s="1">
        <v>45900.963194444441</v>
      </c>
      <c r="B1039" t="s">
        <v>1463</v>
      </c>
      <c r="C1039" t="s">
        <v>1464</v>
      </c>
      <c r="D1039" t="s">
        <v>463</v>
      </c>
      <c r="F1039" t="s">
        <v>1686</v>
      </c>
      <c r="G1039" t="s">
        <v>464</v>
      </c>
      <c r="H1039" t="s">
        <v>130</v>
      </c>
      <c r="I1039" t="s">
        <v>43</v>
      </c>
      <c r="J1039">
        <v>53.02</v>
      </c>
      <c r="K1039">
        <v>19</v>
      </c>
      <c r="L1039">
        <v>10</v>
      </c>
      <c r="M1039">
        <v>11</v>
      </c>
      <c r="N1039">
        <v>4888</v>
      </c>
      <c r="O1039">
        <v>0</v>
      </c>
      <c r="P1039">
        <v>0</v>
      </c>
      <c r="Q1039">
        <v>1</v>
      </c>
      <c r="R1039" t="s">
        <v>44</v>
      </c>
      <c r="S1039" t="s">
        <v>44</v>
      </c>
      <c r="T1039" t="s">
        <v>44</v>
      </c>
      <c r="U1039" t="s">
        <v>44</v>
      </c>
      <c r="V1039">
        <v>1000</v>
      </c>
      <c r="W1039" t="s">
        <v>44</v>
      </c>
      <c r="X1039" t="s">
        <v>44</v>
      </c>
      <c r="Y1039">
        <v>1000</v>
      </c>
      <c r="Z1039" t="s">
        <v>44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 s="2">
        <v>1000</v>
      </c>
      <c r="AQ1039">
        <f t="shared" si="37"/>
        <v>1000</v>
      </c>
      <c r="AR1039" s="5">
        <f>VLOOKUP(F1039,'[2]SCP_24-25'!$A:$D,4,0)</f>
        <v>51.74</v>
      </c>
      <c r="AS1039" s="5">
        <f t="shared" si="38"/>
        <v>51740</v>
      </c>
    </row>
    <row r="1040" spans="1:45" x14ac:dyDescent="0.3">
      <c r="A1040" s="1">
        <v>45900.963194444441</v>
      </c>
      <c r="B1040" t="s">
        <v>1463</v>
      </c>
      <c r="C1040" t="s">
        <v>1464</v>
      </c>
      <c r="D1040" t="s">
        <v>700</v>
      </c>
      <c r="F1040" t="s">
        <v>1803</v>
      </c>
      <c r="G1040" t="s">
        <v>701</v>
      </c>
      <c r="H1040" t="s">
        <v>120</v>
      </c>
      <c r="I1040" t="s">
        <v>43</v>
      </c>
      <c r="J1040">
        <v>50</v>
      </c>
      <c r="K1040">
        <v>19</v>
      </c>
      <c r="L1040">
        <v>11</v>
      </c>
      <c r="M1040">
        <v>10</v>
      </c>
      <c r="N1040">
        <v>4807</v>
      </c>
      <c r="O1040">
        <v>44</v>
      </c>
      <c r="P1040">
        <v>0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>
        <v>607</v>
      </c>
      <c r="W1040" t="s">
        <v>44</v>
      </c>
      <c r="X1040" t="s">
        <v>44</v>
      </c>
      <c r="Y1040">
        <v>607</v>
      </c>
      <c r="Z1040" t="s">
        <v>44</v>
      </c>
      <c r="AA1040">
        <v>4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655</v>
      </c>
      <c r="AQ1040">
        <f t="shared" si="37"/>
        <v>655</v>
      </c>
      <c r="AR1040" s="5">
        <f>VLOOKUP(F1040,'[2]SCP_24-25'!$A:$D,4,0)</f>
        <v>30</v>
      </c>
      <c r="AS1040" s="5">
        <f t="shared" si="38"/>
        <v>19650</v>
      </c>
    </row>
    <row r="1041" spans="1:45" x14ac:dyDescent="0.3">
      <c r="A1041" s="1">
        <v>45900.963194444441</v>
      </c>
      <c r="B1041" t="s">
        <v>1463</v>
      </c>
      <c r="C1041" t="s">
        <v>1464</v>
      </c>
      <c r="D1041" t="s">
        <v>720</v>
      </c>
      <c r="F1041" t="s">
        <v>1813</v>
      </c>
      <c r="G1041" t="s">
        <v>721</v>
      </c>
      <c r="H1041" t="s">
        <v>130</v>
      </c>
      <c r="I1041" t="s">
        <v>43</v>
      </c>
      <c r="J1041">
        <v>32.020000000000003</v>
      </c>
      <c r="K1041">
        <v>19</v>
      </c>
      <c r="L1041">
        <v>10</v>
      </c>
      <c r="M1041">
        <v>11</v>
      </c>
      <c r="N1041">
        <v>5650</v>
      </c>
      <c r="O1041">
        <v>101</v>
      </c>
      <c r="P1041">
        <v>0</v>
      </c>
      <c r="Q1041">
        <v>1</v>
      </c>
      <c r="R1041">
        <v>1</v>
      </c>
      <c r="S1041" t="s">
        <v>44</v>
      </c>
      <c r="T1041" t="s">
        <v>44</v>
      </c>
      <c r="U1041" t="s">
        <v>44</v>
      </c>
      <c r="V1041">
        <v>391</v>
      </c>
      <c r="W1041">
        <v>3</v>
      </c>
      <c r="X1041" t="s">
        <v>44</v>
      </c>
      <c r="Y1041">
        <v>391</v>
      </c>
      <c r="Z1041" t="s">
        <v>44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2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493</v>
      </c>
      <c r="AQ1041">
        <f t="shared" si="37"/>
        <v>493</v>
      </c>
      <c r="AR1041" s="5">
        <f>VLOOKUP(F1041,'[2]SCP_24-25'!$A:$D,4,0)</f>
        <v>96.2</v>
      </c>
      <c r="AS1041" s="5">
        <f t="shared" si="38"/>
        <v>47426.6</v>
      </c>
    </row>
    <row r="1042" spans="1:45" x14ac:dyDescent="0.3">
      <c r="A1042" s="1">
        <v>45900.963194444441</v>
      </c>
      <c r="B1042" t="s">
        <v>1463</v>
      </c>
      <c r="C1042" t="s">
        <v>1464</v>
      </c>
      <c r="D1042" t="s">
        <v>601</v>
      </c>
      <c r="F1042" t="s">
        <v>1754</v>
      </c>
      <c r="G1042" t="s">
        <v>602</v>
      </c>
      <c r="H1042" t="s">
        <v>130</v>
      </c>
      <c r="I1042" t="s">
        <v>43</v>
      </c>
      <c r="J1042">
        <v>32.020000000000003</v>
      </c>
      <c r="K1042">
        <v>19</v>
      </c>
      <c r="L1042">
        <v>10</v>
      </c>
      <c r="M1042">
        <v>11</v>
      </c>
      <c r="N1042">
        <v>8831</v>
      </c>
      <c r="O1042">
        <v>165</v>
      </c>
      <c r="P1042">
        <v>0</v>
      </c>
      <c r="Q1042">
        <v>3</v>
      </c>
      <c r="R1042" t="s">
        <v>44</v>
      </c>
      <c r="S1042" t="s">
        <v>44</v>
      </c>
      <c r="T1042" t="s">
        <v>44</v>
      </c>
      <c r="U1042" t="s">
        <v>44</v>
      </c>
      <c r="V1042">
        <v>127</v>
      </c>
      <c r="W1042">
        <v>4</v>
      </c>
      <c r="X1042" t="s">
        <v>44</v>
      </c>
      <c r="Y1042">
        <v>127</v>
      </c>
      <c r="Z1042" t="s">
        <v>44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293</v>
      </c>
      <c r="AQ1042">
        <f t="shared" si="37"/>
        <v>293</v>
      </c>
      <c r="AR1042" s="5">
        <f>VLOOKUP(F1042,'[2]SCP_24-25'!$A:$D,4,0)</f>
        <v>96.2</v>
      </c>
      <c r="AS1042" s="5">
        <f t="shared" si="38"/>
        <v>28186.600000000002</v>
      </c>
    </row>
    <row r="1043" spans="1:45" x14ac:dyDescent="0.3">
      <c r="A1043" s="1">
        <v>45900.963194444441</v>
      </c>
      <c r="B1043" t="s">
        <v>1463</v>
      </c>
      <c r="C1043" t="s">
        <v>1464</v>
      </c>
      <c r="D1043" t="s">
        <v>542</v>
      </c>
      <c r="F1043" t="s">
        <v>1725</v>
      </c>
      <c r="G1043" t="s">
        <v>543</v>
      </c>
      <c r="H1043" t="s">
        <v>130</v>
      </c>
      <c r="I1043" t="s">
        <v>43</v>
      </c>
      <c r="J1043">
        <v>32.020000000000003</v>
      </c>
      <c r="K1043">
        <v>19</v>
      </c>
      <c r="L1043">
        <v>10</v>
      </c>
      <c r="M1043">
        <v>11</v>
      </c>
      <c r="N1043">
        <v>8187</v>
      </c>
      <c r="O1043">
        <v>28</v>
      </c>
      <c r="P1043">
        <v>0</v>
      </c>
      <c r="Q1043">
        <v>13</v>
      </c>
      <c r="R1043" t="s">
        <v>44</v>
      </c>
      <c r="S1043" t="s">
        <v>44</v>
      </c>
      <c r="T1043" t="s">
        <v>44</v>
      </c>
      <c r="U1043" t="s">
        <v>44</v>
      </c>
      <c r="V1043">
        <v>468</v>
      </c>
      <c r="W1043" t="s">
        <v>44</v>
      </c>
      <c r="X1043" t="s">
        <v>44</v>
      </c>
      <c r="Y1043">
        <v>468</v>
      </c>
      <c r="Z1043" t="s">
        <v>44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496</v>
      </c>
      <c r="AQ1043">
        <f t="shared" si="37"/>
        <v>496</v>
      </c>
      <c r="AR1043" s="5">
        <f>VLOOKUP(F1043,'[2]SCP_24-25'!$A:$D,4,0)</f>
        <v>96.2</v>
      </c>
      <c r="AS1043" s="5">
        <f t="shared" si="38"/>
        <v>47715.200000000004</v>
      </c>
    </row>
    <row r="1044" spans="1:45" x14ac:dyDescent="0.3">
      <c r="A1044" s="1">
        <v>45900.963194444441</v>
      </c>
      <c r="B1044" t="s">
        <v>1463</v>
      </c>
      <c r="C1044" t="s">
        <v>1464</v>
      </c>
      <c r="D1044" t="s">
        <v>586</v>
      </c>
      <c r="F1044" t="s">
        <v>1747</v>
      </c>
      <c r="G1044" t="s">
        <v>587</v>
      </c>
      <c r="H1044" t="s">
        <v>130</v>
      </c>
      <c r="I1044" t="s">
        <v>43</v>
      </c>
      <c r="J1044">
        <v>32.020000000000003</v>
      </c>
      <c r="K1044">
        <v>19</v>
      </c>
      <c r="L1044">
        <v>10</v>
      </c>
      <c r="M1044">
        <v>11</v>
      </c>
      <c r="N1044">
        <v>8493</v>
      </c>
      <c r="O1044">
        <v>43</v>
      </c>
      <c r="P1044">
        <v>0</v>
      </c>
      <c r="Q1044">
        <v>4</v>
      </c>
      <c r="R1044" t="s">
        <v>44</v>
      </c>
      <c r="S1044" t="s">
        <v>44</v>
      </c>
      <c r="T1044" t="s">
        <v>44</v>
      </c>
      <c r="U1044" t="s">
        <v>44</v>
      </c>
      <c r="V1044">
        <v>817</v>
      </c>
      <c r="W1044">
        <v>10</v>
      </c>
      <c r="X1044" t="s">
        <v>44</v>
      </c>
      <c r="Y1044">
        <v>817</v>
      </c>
      <c r="Z1044" t="s">
        <v>44</v>
      </c>
      <c r="AA1044">
        <v>3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863</v>
      </c>
      <c r="AQ1044">
        <f t="shared" si="37"/>
        <v>863</v>
      </c>
      <c r="AR1044" s="5">
        <f>VLOOKUP(F1044,'[2]SCP_24-25'!$A:$D,4,0)</f>
        <v>96.2</v>
      </c>
      <c r="AS1044" s="5">
        <f t="shared" si="38"/>
        <v>83020.600000000006</v>
      </c>
    </row>
    <row r="1045" spans="1:45" x14ac:dyDescent="0.3">
      <c r="A1045" s="1">
        <v>45900.963194444441</v>
      </c>
      <c r="B1045" t="s">
        <v>1463</v>
      </c>
      <c r="C1045" t="s">
        <v>1464</v>
      </c>
      <c r="D1045" t="s">
        <v>592</v>
      </c>
      <c r="F1045" t="s">
        <v>1750</v>
      </c>
      <c r="G1045" t="s">
        <v>593</v>
      </c>
      <c r="H1045" t="s">
        <v>130</v>
      </c>
      <c r="I1045" t="s">
        <v>43</v>
      </c>
      <c r="J1045">
        <v>32.020000000000003</v>
      </c>
      <c r="K1045">
        <v>19</v>
      </c>
      <c r="L1045">
        <v>10</v>
      </c>
      <c r="M1045">
        <v>11</v>
      </c>
      <c r="N1045">
        <v>10430</v>
      </c>
      <c r="O1045">
        <v>114</v>
      </c>
      <c r="P1045">
        <v>0</v>
      </c>
      <c r="Q1045">
        <v>6</v>
      </c>
      <c r="R1045" t="s">
        <v>44</v>
      </c>
      <c r="S1045" t="s">
        <v>44</v>
      </c>
      <c r="T1045" t="s">
        <v>44</v>
      </c>
      <c r="U1045" t="s">
        <v>44</v>
      </c>
      <c r="V1045">
        <v>213</v>
      </c>
      <c r="W1045">
        <v>2</v>
      </c>
      <c r="X1045" t="s">
        <v>44</v>
      </c>
      <c r="Y1045">
        <v>213</v>
      </c>
      <c r="Z1045" t="s">
        <v>44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327</v>
      </c>
      <c r="AQ1045">
        <f t="shared" si="37"/>
        <v>327</v>
      </c>
      <c r="AR1045" s="5">
        <f>VLOOKUP(F1045,'[2]SCP_24-25'!$A:$D,4,0)</f>
        <v>96.2</v>
      </c>
      <c r="AS1045" s="5">
        <f t="shared" si="38"/>
        <v>31457.4</v>
      </c>
    </row>
    <row r="1046" spans="1:45" x14ac:dyDescent="0.3">
      <c r="A1046" s="1">
        <v>45900.963194444441</v>
      </c>
      <c r="B1046" t="s">
        <v>1463</v>
      </c>
      <c r="C1046" t="s">
        <v>1464</v>
      </c>
      <c r="D1046" t="s">
        <v>1193</v>
      </c>
      <c r="F1046" t="s">
        <v>2046</v>
      </c>
      <c r="G1046" t="s">
        <v>1194</v>
      </c>
      <c r="H1046" t="s">
        <v>130</v>
      </c>
      <c r="I1046" t="s">
        <v>43</v>
      </c>
      <c r="J1046">
        <v>32</v>
      </c>
      <c r="K1046">
        <v>19</v>
      </c>
      <c r="L1046">
        <v>10</v>
      </c>
      <c r="M1046">
        <v>11</v>
      </c>
      <c r="N1046">
        <v>7601</v>
      </c>
      <c r="O1046">
        <v>32</v>
      </c>
      <c r="P1046">
        <v>0</v>
      </c>
      <c r="Q1046">
        <v>4</v>
      </c>
      <c r="R1046" t="s">
        <v>44</v>
      </c>
      <c r="S1046" t="s">
        <v>44</v>
      </c>
      <c r="T1046" t="s">
        <v>44</v>
      </c>
      <c r="U1046" t="s">
        <v>44</v>
      </c>
      <c r="V1046">
        <v>272</v>
      </c>
      <c r="W1046" t="s">
        <v>44</v>
      </c>
      <c r="X1046" t="s">
        <v>44</v>
      </c>
      <c r="Y1046">
        <v>272</v>
      </c>
      <c r="Z1046" t="s">
        <v>44</v>
      </c>
      <c r="AA1046">
        <v>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306</v>
      </c>
      <c r="AQ1046">
        <f t="shared" si="37"/>
        <v>306</v>
      </c>
      <c r="AR1046" s="5">
        <f>VLOOKUP(F1046,'[2]SCP_24-25'!$A:$D,4,0)</f>
        <v>96.2</v>
      </c>
      <c r="AS1046" s="5">
        <f t="shared" si="38"/>
        <v>29437.200000000001</v>
      </c>
    </row>
    <row r="1047" spans="1:45" x14ac:dyDescent="0.3">
      <c r="A1047" s="1">
        <v>45900.963194444441</v>
      </c>
      <c r="B1047" t="s">
        <v>1463</v>
      </c>
      <c r="C1047" t="s">
        <v>1464</v>
      </c>
      <c r="D1047" t="s">
        <v>722</v>
      </c>
      <c r="F1047" t="s">
        <v>1814</v>
      </c>
      <c r="G1047" t="s">
        <v>723</v>
      </c>
      <c r="H1047" t="s">
        <v>120</v>
      </c>
      <c r="I1047" t="s">
        <v>43</v>
      </c>
      <c r="J1047">
        <v>100</v>
      </c>
      <c r="K1047">
        <v>19</v>
      </c>
      <c r="L1047">
        <v>10</v>
      </c>
      <c r="M1047">
        <v>11</v>
      </c>
      <c r="N1047">
        <v>129</v>
      </c>
      <c r="O1047">
        <v>0</v>
      </c>
      <c r="P1047">
        <v>0</v>
      </c>
      <c r="Q1047" t="s">
        <v>44</v>
      </c>
      <c r="R1047" t="s">
        <v>44</v>
      </c>
      <c r="S1047" t="s">
        <v>44</v>
      </c>
      <c r="T1047" t="s">
        <v>44</v>
      </c>
      <c r="U1047" t="s">
        <v>44</v>
      </c>
      <c r="V1047">
        <v>129</v>
      </c>
      <c r="W1047" t="s">
        <v>44</v>
      </c>
      <c r="X1047" t="s">
        <v>44</v>
      </c>
      <c r="Y1047">
        <v>129</v>
      </c>
      <c r="Z1047" t="s">
        <v>44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129</v>
      </c>
      <c r="AQ1047">
        <f t="shared" si="37"/>
        <v>129</v>
      </c>
      <c r="AR1047" s="5">
        <f>VLOOKUP(F1047,'[2]SCP_24-25'!$A:$D,4,0)</f>
        <v>11.05</v>
      </c>
      <c r="AS1047" s="5">
        <f t="shared" si="38"/>
        <v>1425.45</v>
      </c>
    </row>
    <row r="1048" spans="1:45" x14ac:dyDescent="0.3">
      <c r="A1048" s="1">
        <v>45900.963194444441</v>
      </c>
      <c r="B1048" t="s">
        <v>1463</v>
      </c>
      <c r="C1048" t="s">
        <v>1464</v>
      </c>
      <c r="D1048" t="s">
        <v>1195</v>
      </c>
      <c r="F1048" t="s">
        <v>2047</v>
      </c>
      <c r="G1048" t="s">
        <v>1196</v>
      </c>
      <c r="H1048" t="s">
        <v>120</v>
      </c>
      <c r="I1048" t="s">
        <v>43</v>
      </c>
      <c r="J1048">
        <v>100</v>
      </c>
      <c r="K1048">
        <v>19</v>
      </c>
      <c r="L1048">
        <v>10</v>
      </c>
      <c r="M1048">
        <v>11</v>
      </c>
      <c r="N1048">
        <v>128</v>
      </c>
      <c r="O1048">
        <v>0</v>
      </c>
      <c r="P1048">
        <v>0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>
        <v>128</v>
      </c>
      <c r="W1048" t="s">
        <v>44</v>
      </c>
      <c r="X1048" t="s">
        <v>44</v>
      </c>
      <c r="Y1048">
        <v>128</v>
      </c>
      <c r="Z1048" t="s">
        <v>44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128</v>
      </c>
      <c r="AQ1048">
        <f t="shared" si="37"/>
        <v>128</v>
      </c>
      <c r="AR1048" s="5">
        <f>VLOOKUP(F1048,'[2]SCP_24-25'!$A:$D,4,0)</f>
        <v>30</v>
      </c>
      <c r="AS1048" s="5">
        <f t="shared" si="38"/>
        <v>3840</v>
      </c>
    </row>
    <row r="1049" spans="1:45" x14ac:dyDescent="0.3">
      <c r="A1049" s="1">
        <v>45900.963194444441</v>
      </c>
      <c r="B1049" t="s">
        <v>1463</v>
      </c>
      <c r="C1049" t="s">
        <v>1464</v>
      </c>
      <c r="D1049" t="s">
        <v>546</v>
      </c>
      <c r="F1049" t="s">
        <v>1727</v>
      </c>
      <c r="G1049" t="s">
        <v>547</v>
      </c>
      <c r="H1049" t="s">
        <v>130</v>
      </c>
      <c r="I1049" t="s">
        <v>43</v>
      </c>
      <c r="J1049">
        <v>71.02</v>
      </c>
      <c r="K1049">
        <v>19</v>
      </c>
      <c r="L1049">
        <v>10</v>
      </c>
      <c r="M1049">
        <v>11</v>
      </c>
      <c r="N1049">
        <v>7412</v>
      </c>
      <c r="O1049">
        <v>27</v>
      </c>
      <c r="P1049">
        <v>0</v>
      </c>
      <c r="Q1049">
        <v>1</v>
      </c>
      <c r="R1049" t="s">
        <v>44</v>
      </c>
      <c r="S1049" t="s">
        <v>44</v>
      </c>
      <c r="T1049" t="s">
        <v>44</v>
      </c>
      <c r="U1049" t="s">
        <v>44</v>
      </c>
      <c r="V1049">
        <v>971</v>
      </c>
      <c r="W1049">
        <v>6</v>
      </c>
      <c r="X1049" t="s">
        <v>44</v>
      </c>
      <c r="Y1049">
        <v>971</v>
      </c>
      <c r="Z1049" t="s">
        <v>44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998</v>
      </c>
      <c r="AQ1049">
        <f t="shared" si="37"/>
        <v>998</v>
      </c>
      <c r="AR1049" s="5">
        <f>VLOOKUP(F1049,'[2]SCP_24-25'!$A:$D,4,0)</f>
        <v>129.18</v>
      </c>
      <c r="AS1049" s="5">
        <f t="shared" si="38"/>
        <v>128921.64000000001</v>
      </c>
    </row>
    <row r="1050" spans="1:45" x14ac:dyDescent="0.3">
      <c r="A1050" s="1">
        <v>45900.963194444441</v>
      </c>
      <c r="B1050" t="s">
        <v>1463</v>
      </c>
      <c r="C1050" t="s">
        <v>1464</v>
      </c>
      <c r="D1050" t="s">
        <v>499</v>
      </c>
      <c r="F1050" t="s">
        <v>1704</v>
      </c>
      <c r="G1050" t="s">
        <v>500</v>
      </c>
      <c r="H1050" t="s">
        <v>130</v>
      </c>
      <c r="I1050" t="s">
        <v>43</v>
      </c>
      <c r="J1050">
        <v>71.02</v>
      </c>
      <c r="K1050">
        <v>19</v>
      </c>
      <c r="L1050">
        <v>10</v>
      </c>
      <c r="M1050">
        <v>11</v>
      </c>
      <c r="N1050">
        <v>6017</v>
      </c>
      <c r="O1050">
        <v>49</v>
      </c>
      <c r="P1050">
        <v>0</v>
      </c>
      <c r="Q1050">
        <v>4</v>
      </c>
      <c r="R1050" t="s">
        <v>44</v>
      </c>
      <c r="S1050" t="s">
        <v>44</v>
      </c>
      <c r="T1050" t="s">
        <v>44</v>
      </c>
      <c r="U1050" t="s">
        <v>44</v>
      </c>
      <c r="V1050">
        <v>626</v>
      </c>
      <c r="W1050">
        <v>6</v>
      </c>
      <c r="X1050" t="s">
        <v>44</v>
      </c>
      <c r="Y1050">
        <v>626</v>
      </c>
      <c r="Z1050" t="s">
        <v>44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675</v>
      </c>
      <c r="AQ1050">
        <f t="shared" si="37"/>
        <v>675</v>
      </c>
      <c r="AR1050" s="5">
        <f>VLOOKUP(F1050,'[2]SCP_24-25'!$A:$D,4,0)</f>
        <v>129.18</v>
      </c>
      <c r="AS1050" s="5">
        <f t="shared" si="38"/>
        <v>87196.5</v>
      </c>
    </row>
    <row r="1051" spans="1:45" x14ac:dyDescent="0.3">
      <c r="A1051" s="1">
        <v>45900.963194444441</v>
      </c>
      <c r="B1051" t="s">
        <v>1463</v>
      </c>
      <c r="C1051" t="s">
        <v>1464</v>
      </c>
      <c r="D1051" t="s">
        <v>803</v>
      </c>
      <c r="F1051" t="s">
        <v>1853</v>
      </c>
      <c r="G1051" t="s">
        <v>804</v>
      </c>
      <c r="H1051" t="s">
        <v>130</v>
      </c>
      <c r="I1051" t="s">
        <v>43</v>
      </c>
      <c r="J1051">
        <v>63.02</v>
      </c>
      <c r="K1051">
        <v>19</v>
      </c>
      <c r="L1051">
        <v>10</v>
      </c>
      <c r="M1051">
        <v>11</v>
      </c>
      <c r="N1051">
        <v>6128</v>
      </c>
      <c r="O1051">
        <v>33</v>
      </c>
      <c r="P1051">
        <v>0</v>
      </c>
      <c r="Q1051">
        <v>1</v>
      </c>
      <c r="R1051" t="s">
        <v>44</v>
      </c>
      <c r="S1051" t="s">
        <v>44</v>
      </c>
      <c r="T1051" t="s">
        <v>44</v>
      </c>
      <c r="U1051" t="s">
        <v>44</v>
      </c>
      <c r="V1051">
        <v>473</v>
      </c>
      <c r="W1051" t="s">
        <v>44</v>
      </c>
      <c r="X1051" t="s">
        <v>44</v>
      </c>
      <c r="Y1051">
        <v>473</v>
      </c>
      <c r="Z1051" t="s">
        <v>44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506</v>
      </c>
      <c r="AQ1051">
        <f t="shared" si="37"/>
        <v>506</v>
      </c>
      <c r="AR1051" s="5">
        <f>VLOOKUP(F1051,'[2]SCP_24-25'!$A:$D,4,0)</f>
        <v>91.39</v>
      </c>
      <c r="AS1051" s="5">
        <f t="shared" si="38"/>
        <v>46243.340000000004</v>
      </c>
    </row>
    <row r="1052" spans="1:45" x14ac:dyDescent="0.3">
      <c r="A1052" s="1">
        <v>45900.963194444441</v>
      </c>
      <c r="B1052" t="s">
        <v>1463</v>
      </c>
      <c r="C1052" t="s">
        <v>1464</v>
      </c>
      <c r="D1052" t="s">
        <v>503</v>
      </c>
      <c r="F1052" t="s">
        <v>1706</v>
      </c>
      <c r="G1052" t="s">
        <v>504</v>
      </c>
      <c r="H1052" t="s">
        <v>103</v>
      </c>
      <c r="I1052" t="s">
        <v>43</v>
      </c>
      <c r="J1052">
        <v>131.02000000000001</v>
      </c>
      <c r="K1052">
        <v>19</v>
      </c>
      <c r="L1052">
        <v>11</v>
      </c>
      <c r="M1052">
        <v>10</v>
      </c>
      <c r="N1052">
        <v>68330</v>
      </c>
      <c r="O1052">
        <v>1036</v>
      </c>
      <c r="P1052">
        <v>0</v>
      </c>
      <c r="Q1052">
        <v>6800</v>
      </c>
      <c r="R1052" t="s">
        <v>44</v>
      </c>
      <c r="S1052" t="s">
        <v>44</v>
      </c>
      <c r="T1052" t="s">
        <v>44</v>
      </c>
      <c r="U1052" t="s">
        <v>44</v>
      </c>
      <c r="V1052">
        <v>463</v>
      </c>
      <c r="W1052">
        <v>881</v>
      </c>
      <c r="X1052" t="s">
        <v>44</v>
      </c>
      <c r="Y1052">
        <v>463</v>
      </c>
      <c r="Z1052" t="s">
        <v>44</v>
      </c>
      <c r="AA1052">
        <v>4</v>
      </c>
      <c r="AB1052">
        <v>0</v>
      </c>
      <c r="AC1052">
        <v>0</v>
      </c>
      <c r="AD1052">
        <v>0</v>
      </c>
      <c r="AE1052">
        <v>0</v>
      </c>
      <c r="AF1052">
        <v>5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 s="2">
        <v>1503</v>
      </c>
      <c r="AQ1052">
        <f t="shared" si="37"/>
        <v>1503</v>
      </c>
      <c r="AR1052" s="5">
        <f>VLOOKUP(F1052,'[2]SCP_24-25'!$A:$D,4,0)</f>
        <v>34.880000000000003</v>
      </c>
      <c r="AS1052" s="5">
        <f t="shared" si="38"/>
        <v>52424.640000000007</v>
      </c>
    </row>
    <row r="1053" spans="1:45" x14ac:dyDescent="0.3">
      <c r="A1053" s="1">
        <v>45900.963194444441</v>
      </c>
      <c r="B1053" t="s">
        <v>1463</v>
      </c>
      <c r="C1053" t="s">
        <v>1464</v>
      </c>
      <c r="D1053" t="s">
        <v>409</v>
      </c>
      <c r="F1053" t="s">
        <v>1662</v>
      </c>
      <c r="G1053" t="s">
        <v>410</v>
      </c>
      <c r="H1053" t="s">
        <v>103</v>
      </c>
      <c r="I1053" t="s">
        <v>43</v>
      </c>
      <c r="J1053">
        <v>100.52</v>
      </c>
      <c r="K1053">
        <v>19</v>
      </c>
      <c r="L1053">
        <v>11</v>
      </c>
      <c r="M1053">
        <v>10</v>
      </c>
      <c r="N1053">
        <v>21573</v>
      </c>
      <c r="O1053">
        <v>236</v>
      </c>
      <c r="P1053">
        <v>0</v>
      </c>
      <c r="Q1053">
        <v>32</v>
      </c>
      <c r="R1053">
        <v>1</v>
      </c>
      <c r="S1053" t="s">
        <v>44</v>
      </c>
      <c r="T1053" t="s">
        <v>44</v>
      </c>
      <c r="U1053" t="s">
        <v>44</v>
      </c>
      <c r="V1053">
        <v>279</v>
      </c>
      <c r="W1053">
        <v>29</v>
      </c>
      <c r="X1053" t="s">
        <v>44</v>
      </c>
      <c r="Y1053">
        <v>279</v>
      </c>
      <c r="Z1053" t="s">
        <v>44</v>
      </c>
      <c r="AA1053">
        <v>3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518</v>
      </c>
      <c r="AQ1053">
        <f t="shared" si="37"/>
        <v>518</v>
      </c>
      <c r="AR1053" s="5">
        <f>VLOOKUP(F1053,'[2]SCP_24-25'!$A:$D,4,0)</f>
        <v>71.81</v>
      </c>
      <c r="AS1053" s="5">
        <f t="shared" si="38"/>
        <v>37197.58</v>
      </c>
    </row>
    <row r="1054" spans="1:45" x14ac:dyDescent="0.3">
      <c r="A1054" s="1">
        <v>45900.963194444441</v>
      </c>
      <c r="B1054" t="s">
        <v>1463</v>
      </c>
      <c r="C1054" t="s">
        <v>1464</v>
      </c>
      <c r="D1054" t="s">
        <v>1207</v>
      </c>
      <c r="F1054" t="s">
        <v>2053</v>
      </c>
      <c r="G1054" t="s">
        <v>1208</v>
      </c>
      <c r="H1054" t="s">
        <v>66</v>
      </c>
      <c r="I1054" t="s">
        <v>43</v>
      </c>
      <c r="J1054">
        <v>30</v>
      </c>
      <c r="K1054">
        <v>19</v>
      </c>
      <c r="L1054">
        <v>10</v>
      </c>
      <c r="M1054">
        <v>11</v>
      </c>
      <c r="N1054">
        <v>1530</v>
      </c>
      <c r="O1054">
        <v>0</v>
      </c>
      <c r="P1054">
        <v>0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>
        <v>365</v>
      </c>
      <c r="W1054" t="s">
        <v>44</v>
      </c>
      <c r="X1054" t="s">
        <v>44</v>
      </c>
      <c r="Y1054">
        <v>365</v>
      </c>
      <c r="Z1054" t="s">
        <v>44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365</v>
      </c>
      <c r="AQ1054">
        <f t="shared" si="37"/>
        <v>365</v>
      </c>
      <c r="AR1054" s="5">
        <f>VLOOKUP(F1054,'[1]Cost Sheet'!$C:$D,2,0)</f>
        <v>90.823333333333338</v>
      </c>
      <c r="AS1054" s="5">
        <f t="shared" si="38"/>
        <v>33150.51666666667</v>
      </c>
    </row>
    <row r="1055" spans="1:45" x14ac:dyDescent="0.3">
      <c r="A1055" s="1">
        <v>45900.963194444441</v>
      </c>
      <c r="B1055" t="s">
        <v>1463</v>
      </c>
      <c r="C1055" t="s">
        <v>1464</v>
      </c>
      <c r="D1055" t="s">
        <v>467</v>
      </c>
      <c r="F1055" t="s">
        <v>1688</v>
      </c>
      <c r="G1055" t="s">
        <v>468</v>
      </c>
      <c r="H1055" t="s">
        <v>66</v>
      </c>
      <c r="I1055" t="s">
        <v>43</v>
      </c>
      <c r="J1055">
        <v>459.02</v>
      </c>
      <c r="K1055">
        <v>19</v>
      </c>
      <c r="L1055">
        <v>11</v>
      </c>
      <c r="M1055">
        <v>10</v>
      </c>
      <c r="N1055">
        <v>16135</v>
      </c>
      <c r="O1055">
        <v>51</v>
      </c>
      <c r="P1055">
        <v>0</v>
      </c>
      <c r="Q1055">
        <v>54</v>
      </c>
      <c r="R1055" t="s">
        <v>44</v>
      </c>
      <c r="S1055" t="s">
        <v>44</v>
      </c>
      <c r="T1055" t="s">
        <v>44</v>
      </c>
      <c r="U1055" t="s">
        <v>44</v>
      </c>
      <c r="V1055">
        <v>611</v>
      </c>
      <c r="W1055">
        <v>17</v>
      </c>
      <c r="X1055" t="s">
        <v>44</v>
      </c>
      <c r="Y1055">
        <v>611</v>
      </c>
      <c r="Z1055" t="s">
        <v>44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662</v>
      </c>
      <c r="AQ1055">
        <f t="shared" si="37"/>
        <v>662</v>
      </c>
      <c r="AR1055" s="5">
        <f>VLOOKUP(F1055,'[2]SCP_24-25'!$A:$D,4,0)</f>
        <v>79.760000000000005</v>
      </c>
      <c r="AS1055" s="5">
        <f t="shared" si="38"/>
        <v>52801.120000000003</v>
      </c>
    </row>
    <row r="1056" spans="1:45" x14ac:dyDescent="0.3">
      <c r="A1056" s="1">
        <v>45900.963194444441</v>
      </c>
      <c r="B1056" t="s">
        <v>1463</v>
      </c>
      <c r="C1056" t="s">
        <v>1464</v>
      </c>
      <c r="D1056" t="s">
        <v>805</v>
      </c>
      <c r="F1056" t="s">
        <v>1854</v>
      </c>
      <c r="G1056" t="s">
        <v>806</v>
      </c>
      <c r="H1056" t="s">
        <v>130</v>
      </c>
      <c r="I1056" t="s">
        <v>43</v>
      </c>
      <c r="J1056">
        <v>112.62</v>
      </c>
      <c r="K1056">
        <v>19</v>
      </c>
      <c r="L1056">
        <v>11</v>
      </c>
      <c r="M1056">
        <v>10</v>
      </c>
      <c r="N1056">
        <v>3654</v>
      </c>
      <c r="O1056">
        <v>8</v>
      </c>
      <c r="P1056">
        <v>0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>
        <v>770</v>
      </c>
      <c r="W1056">
        <v>1</v>
      </c>
      <c r="X1056" t="s">
        <v>44</v>
      </c>
      <c r="Y1056">
        <v>652</v>
      </c>
      <c r="Z1056" t="s">
        <v>44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778</v>
      </c>
      <c r="AQ1056">
        <f t="shared" si="37"/>
        <v>778</v>
      </c>
      <c r="AR1056" s="5">
        <f>VLOOKUP(F1056,'[2]SCP_24-25'!$A:$D,4,0)</f>
        <v>114.81</v>
      </c>
      <c r="AS1056" s="5">
        <f t="shared" si="38"/>
        <v>89322.180000000008</v>
      </c>
    </row>
    <row r="1057" spans="1:45" x14ac:dyDescent="0.3">
      <c r="A1057" s="1">
        <v>45900.963194444441</v>
      </c>
      <c r="B1057" t="s">
        <v>1463</v>
      </c>
      <c r="C1057" t="s">
        <v>1464</v>
      </c>
      <c r="D1057" t="s">
        <v>1244</v>
      </c>
      <c r="F1057" t="s">
        <v>2072</v>
      </c>
      <c r="G1057" t="s">
        <v>1245</v>
      </c>
      <c r="H1057" t="s">
        <v>66</v>
      </c>
      <c r="I1057" t="s">
        <v>43</v>
      </c>
      <c r="J1057">
        <v>163.02000000000001</v>
      </c>
      <c r="K1057">
        <v>19</v>
      </c>
      <c r="L1057">
        <v>11</v>
      </c>
      <c r="M1057">
        <v>10</v>
      </c>
      <c r="N1057">
        <v>8292</v>
      </c>
      <c r="O1057">
        <v>62</v>
      </c>
      <c r="P1057">
        <v>0</v>
      </c>
      <c r="Q1057">
        <v>3</v>
      </c>
      <c r="R1057" t="s">
        <v>44</v>
      </c>
      <c r="S1057" t="s">
        <v>44</v>
      </c>
      <c r="T1057" t="s">
        <v>44</v>
      </c>
      <c r="U1057" t="s">
        <v>44</v>
      </c>
      <c r="V1057">
        <v>349</v>
      </c>
      <c r="W1057">
        <v>2</v>
      </c>
      <c r="X1057" t="s">
        <v>44</v>
      </c>
      <c r="Y1057">
        <v>349</v>
      </c>
      <c r="Z1057" t="s">
        <v>44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411</v>
      </c>
      <c r="AQ1057">
        <f t="shared" si="37"/>
        <v>411</v>
      </c>
      <c r="AR1057" s="5">
        <f>VLOOKUP(F1057,'[2]SCP_24-25'!$A:$D,4,0)</f>
        <v>70.5</v>
      </c>
      <c r="AS1057" s="5">
        <f t="shared" si="38"/>
        <v>28975.5</v>
      </c>
    </row>
    <row r="1058" spans="1:45" x14ac:dyDescent="0.3">
      <c r="A1058" s="1">
        <v>45900.963194444441</v>
      </c>
      <c r="B1058" t="s">
        <v>1463</v>
      </c>
      <c r="C1058" t="s">
        <v>1464</v>
      </c>
      <c r="D1058" t="s">
        <v>750</v>
      </c>
      <c r="F1058" t="s">
        <v>1828</v>
      </c>
      <c r="G1058" t="s">
        <v>751</v>
      </c>
      <c r="H1058" t="s">
        <v>66</v>
      </c>
      <c r="I1058" t="s">
        <v>43</v>
      </c>
      <c r="J1058">
        <v>161.02000000000001</v>
      </c>
      <c r="K1058">
        <v>19</v>
      </c>
      <c r="L1058">
        <v>11</v>
      </c>
      <c r="M1058">
        <v>10</v>
      </c>
      <c r="N1058">
        <v>1302</v>
      </c>
      <c r="O1058">
        <v>6</v>
      </c>
      <c r="P1058">
        <v>0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>
        <v>459</v>
      </c>
      <c r="W1058" t="s">
        <v>44</v>
      </c>
      <c r="X1058" t="s">
        <v>44</v>
      </c>
      <c r="Y1058">
        <v>459</v>
      </c>
      <c r="Z1058" t="s">
        <v>44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465</v>
      </c>
      <c r="AQ1058">
        <f t="shared" si="37"/>
        <v>465</v>
      </c>
      <c r="AR1058" s="5">
        <f>VLOOKUP(F1058,'[2]SCP_24-25'!$A:$D,4,0)</f>
        <v>297.47000000000003</v>
      </c>
      <c r="AS1058" s="5">
        <f t="shared" si="38"/>
        <v>138323.55000000002</v>
      </c>
    </row>
    <row r="1059" spans="1:45" x14ac:dyDescent="0.3">
      <c r="A1059" s="1">
        <v>45900.963194444441</v>
      </c>
      <c r="B1059" t="s">
        <v>1463</v>
      </c>
      <c r="C1059" t="s">
        <v>1464</v>
      </c>
      <c r="D1059" t="s">
        <v>1465</v>
      </c>
      <c r="E1059" t="s">
        <v>1250</v>
      </c>
      <c r="F1059" t="s">
        <v>2181</v>
      </c>
      <c r="G1059" t="s">
        <v>1466</v>
      </c>
      <c r="H1059" t="s">
        <v>120</v>
      </c>
      <c r="I1059" t="s">
        <v>415</v>
      </c>
      <c r="J1059">
        <v>100</v>
      </c>
      <c r="K1059">
        <v>19</v>
      </c>
      <c r="L1059">
        <v>10</v>
      </c>
      <c r="M1059">
        <v>11</v>
      </c>
      <c r="N1059">
        <v>918</v>
      </c>
      <c r="O1059">
        <v>20</v>
      </c>
      <c r="P1059">
        <v>0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>
        <v>119</v>
      </c>
      <c r="W1059" t="s">
        <v>44</v>
      </c>
      <c r="X1059" t="s">
        <v>44</v>
      </c>
      <c r="Y1059">
        <v>119</v>
      </c>
      <c r="Z1059" t="s">
        <v>44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139</v>
      </c>
      <c r="AQ1059">
        <f t="shared" si="37"/>
        <v>139</v>
      </c>
      <c r="AR1059" s="5">
        <f>VLOOKUP(F1059,'[1]Cost Sheet'!$C:$D,2,0)</f>
        <v>70</v>
      </c>
      <c r="AS1059" s="5">
        <f t="shared" si="38"/>
        <v>9730</v>
      </c>
    </row>
    <row r="1060" spans="1:45" x14ac:dyDescent="0.3">
      <c r="A1060" s="1">
        <v>45900.963194444441</v>
      </c>
      <c r="B1060" t="s">
        <v>1463</v>
      </c>
      <c r="C1060" t="s">
        <v>1464</v>
      </c>
      <c r="D1060" t="s">
        <v>584</v>
      </c>
      <c r="F1060" t="s">
        <v>1746</v>
      </c>
      <c r="G1060" t="s">
        <v>585</v>
      </c>
      <c r="H1060" t="s">
        <v>103</v>
      </c>
      <c r="I1060" t="s">
        <v>415</v>
      </c>
      <c r="J1060">
        <v>200</v>
      </c>
      <c r="K1060">
        <v>19</v>
      </c>
      <c r="L1060">
        <v>10</v>
      </c>
      <c r="M1060">
        <v>11</v>
      </c>
      <c r="N1060">
        <v>5981</v>
      </c>
      <c r="O1060">
        <v>149</v>
      </c>
      <c r="P1060">
        <v>0</v>
      </c>
      <c r="Q1060">
        <v>1</v>
      </c>
      <c r="R1060" t="s">
        <v>44</v>
      </c>
      <c r="S1060" t="s">
        <v>44</v>
      </c>
      <c r="T1060" t="s">
        <v>44</v>
      </c>
      <c r="U1060" t="s">
        <v>44</v>
      </c>
      <c r="V1060">
        <v>141</v>
      </c>
      <c r="W1060">
        <v>5</v>
      </c>
      <c r="X1060" t="s">
        <v>44</v>
      </c>
      <c r="Y1060">
        <v>141</v>
      </c>
      <c r="Z1060" t="s">
        <v>44</v>
      </c>
      <c r="AA1060">
        <v>4</v>
      </c>
      <c r="AB1060">
        <v>0</v>
      </c>
      <c r="AC1060">
        <v>0</v>
      </c>
      <c r="AD1060">
        <v>0</v>
      </c>
      <c r="AE1060">
        <v>0</v>
      </c>
      <c r="AF1060">
        <v>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294</v>
      </c>
      <c r="AQ1060">
        <f t="shared" si="37"/>
        <v>294</v>
      </c>
      <c r="AR1060" s="5">
        <f>VLOOKUP(F1060,'[2]SCP_24-25'!$A:$D,4,0)</f>
        <v>65.53</v>
      </c>
      <c r="AS1060" s="5">
        <f t="shared" si="38"/>
        <v>19265.82</v>
      </c>
    </row>
    <row r="1061" spans="1:45" x14ac:dyDescent="0.3">
      <c r="A1061" s="1">
        <v>45900.963194444441</v>
      </c>
      <c r="B1061" t="s">
        <v>1463</v>
      </c>
      <c r="C1061" t="s">
        <v>1464</v>
      </c>
      <c r="D1061" t="s">
        <v>811</v>
      </c>
      <c r="F1061" t="s">
        <v>1857</v>
      </c>
      <c r="G1061" t="s">
        <v>812</v>
      </c>
      <c r="H1061" t="s">
        <v>130</v>
      </c>
      <c r="I1061" t="s">
        <v>415</v>
      </c>
      <c r="J1061">
        <v>3.5</v>
      </c>
      <c r="K1061">
        <v>19</v>
      </c>
      <c r="L1061">
        <v>10</v>
      </c>
      <c r="M1061">
        <v>11</v>
      </c>
      <c r="N1061">
        <v>1632</v>
      </c>
      <c r="O1061">
        <v>0</v>
      </c>
      <c r="P1061">
        <v>0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>
        <v>927</v>
      </c>
      <c r="W1061" t="s">
        <v>44</v>
      </c>
      <c r="X1061" t="s">
        <v>44</v>
      </c>
      <c r="Y1061">
        <v>927</v>
      </c>
      <c r="Z1061" t="s">
        <v>44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927</v>
      </c>
      <c r="AQ1061">
        <f t="shared" si="37"/>
        <v>927</v>
      </c>
      <c r="AR1061" s="5">
        <f>VLOOKUP(F1061,'[2]SCP_24-25'!$A:$D,4,0)</f>
        <v>149.82</v>
      </c>
      <c r="AS1061" s="5">
        <f t="shared" si="38"/>
        <v>138883.13999999998</v>
      </c>
    </row>
    <row r="1062" spans="1:45" x14ac:dyDescent="0.3">
      <c r="A1062" s="1">
        <v>45900.963194444441</v>
      </c>
      <c r="B1062" t="s">
        <v>1463</v>
      </c>
      <c r="C1062" t="s">
        <v>1464</v>
      </c>
      <c r="D1062" t="s">
        <v>821</v>
      </c>
      <c r="F1062" t="s">
        <v>1862</v>
      </c>
      <c r="G1062" t="s">
        <v>822</v>
      </c>
      <c r="H1062" t="s">
        <v>130</v>
      </c>
      <c r="I1062" t="s">
        <v>415</v>
      </c>
      <c r="J1062">
        <v>3.5</v>
      </c>
      <c r="K1062">
        <v>19</v>
      </c>
      <c r="L1062">
        <v>10</v>
      </c>
      <c r="M1062">
        <v>11</v>
      </c>
      <c r="N1062">
        <v>1152</v>
      </c>
      <c r="O1062">
        <v>3</v>
      </c>
      <c r="P1062">
        <v>0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>
        <v>965</v>
      </c>
      <c r="W1062" t="s">
        <v>44</v>
      </c>
      <c r="X1062" t="s">
        <v>44</v>
      </c>
      <c r="Y1062">
        <v>965</v>
      </c>
      <c r="Z1062" t="s">
        <v>44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968</v>
      </c>
      <c r="AQ1062">
        <f t="shared" si="37"/>
        <v>968</v>
      </c>
      <c r="AR1062" s="5">
        <f>VLOOKUP(F1062,'[2]SCP_24-25'!$A:$D,4,0)</f>
        <v>149.82</v>
      </c>
      <c r="AS1062" s="5">
        <f t="shared" si="38"/>
        <v>145025.75999999998</v>
      </c>
    </row>
    <row r="1063" spans="1:45" x14ac:dyDescent="0.3">
      <c r="A1063" s="1">
        <v>45900.963194444441</v>
      </c>
      <c r="B1063" t="s">
        <v>1463</v>
      </c>
      <c r="C1063" t="s">
        <v>1464</v>
      </c>
      <c r="D1063" t="s">
        <v>1318</v>
      </c>
      <c r="F1063" t="s">
        <v>2109</v>
      </c>
      <c r="G1063" t="s">
        <v>1319</v>
      </c>
      <c r="H1063" t="s">
        <v>66</v>
      </c>
      <c r="I1063" t="s">
        <v>415</v>
      </c>
      <c r="J1063">
        <v>10</v>
      </c>
      <c r="K1063">
        <v>19</v>
      </c>
      <c r="L1063">
        <v>10</v>
      </c>
      <c r="M1063">
        <v>11</v>
      </c>
      <c r="N1063">
        <v>1400</v>
      </c>
      <c r="O1063">
        <v>3</v>
      </c>
      <c r="P1063">
        <v>0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>
        <v>933</v>
      </c>
      <c r="W1063" t="s">
        <v>44</v>
      </c>
      <c r="X1063" t="s">
        <v>44</v>
      </c>
      <c r="Y1063">
        <v>933</v>
      </c>
      <c r="Z1063" t="s">
        <v>44</v>
      </c>
      <c r="AA1063">
        <v>4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940</v>
      </c>
      <c r="AQ1063">
        <f t="shared" si="37"/>
        <v>940</v>
      </c>
      <c r="AR1063" s="5">
        <f>VLOOKUP(F1063,'[2]SCP_24-25'!$A:$D,4,0)</f>
        <v>44.56</v>
      </c>
      <c r="AS1063" s="5">
        <f t="shared" si="38"/>
        <v>41886.400000000001</v>
      </c>
    </row>
    <row r="1064" spans="1:45" x14ac:dyDescent="0.3">
      <c r="A1064" s="1">
        <v>45900.963194444441</v>
      </c>
      <c r="B1064" t="s">
        <v>1463</v>
      </c>
      <c r="C1064" t="s">
        <v>1464</v>
      </c>
      <c r="D1064" t="s">
        <v>769</v>
      </c>
      <c r="F1064" t="s">
        <v>1837</v>
      </c>
      <c r="G1064" t="s">
        <v>770</v>
      </c>
      <c r="H1064" t="s">
        <v>130</v>
      </c>
      <c r="I1064" t="s">
        <v>415</v>
      </c>
      <c r="J1064">
        <v>12</v>
      </c>
      <c r="K1064">
        <v>19</v>
      </c>
      <c r="L1064">
        <v>10</v>
      </c>
      <c r="M1064">
        <v>11</v>
      </c>
      <c r="N1064">
        <v>960</v>
      </c>
      <c r="O1064">
        <v>9</v>
      </c>
      <c r="P1064">
        <v>0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>
        <v>262</v>
      </c>
      <c r="W1064" t="s">
        <v>44</v>
      </c>
      <c r="X1064" t="s">
        <v>44</v>
      </c>
      <c r="Y1064">
        <v>262</v>
      </c>
      <c r="Z1064" t="s">
        <v>44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271</v>
      </c>
      <c r="AQ1064">
        <f t="shared" si="37"/>
        <v>271</v>
      </c>
      <c r="AR1064" s="5">
        <f>VLOOKUP(F1064,'[2]SCP_24-25'!$A:$D,4,0)</f>
        <v>137.76</v>
      </c>
      <c r="AS1064" s="5">
        <f t="shared" si="38"/>
        <v>37332.959999999999</v>
      </c>
    </row>
    <row r="1065" spans="1:45" x14ac:dyDescent="0.3">
      <c r="A1065" s="1">
        <v>45900.963194444441</v>
      </c>
      <c r="B1065" t="s">
        <v>1463</v>
      </c>
      <c r="C1065" t="s">
        <v>1464</v>
      </c>
      <c r="D1065" t="s">
        <v>839</v>
      </c>
      <c r="F1065" t="s">
        <v>1871</v>
      </c>
      <c r="G1065" t="s">
        <v>840</v>
      </c>
      <c r="H1065" t="s">
        <v>130</v>
      </c>
      <c r="I1065" t="s">
        <v>415</v>
      </c>
      <c r="J1065">
        <v>12</v>
      </c>
      <c r="K1065">
        <v>19</v>
      </c>
      <c r="L1065">
        <v>10</v>
      </c>
      <c r="M1065">
        <v>11</v>
      </c>
      <c r="N1065">
        <v>960</v>
      </c>
      <c r="O1065">
        <v>3</v>
      </c>
      <c r="P1065">
        <v>0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>
        <v>329</v>
      </c>
      <c r="W1065" t="s">
        <v>44</v>
      </c>
      <c r="X1065" t="s">
        <v>44</v>
      </c>
      <c r="Y1065">
        <v>329</v>
      </c>
      <c r="Z1065" t="s">
        <v>44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332</v>
      </c>
      <c r="AQ1065">
        <f t="shared" si="37"/>
        <v>332</v>
      </c>
      <c r="AR1065" s="5">
        <f>VLOOKUP(F1065,'[2]SCP_24-25'!$A:$D,4,0)</f>
        <v>137.76</v>
      </c>
      <c r="AS1065" s="5">
        <f t="shared" si="38"/>
        <v>45736.32</v>
      </c>
    </row>
    <row r="1066" spans="1:45" x14ac:dyDescent="0.3">
      <c r="A1066" s="1">
        <v>45900.963194444441</v>
      </c>
      <c r="B1066" t="s">
        <v>1463</v>
      </c>
      <c r="C1066" t="s">
        <v>1464</v>
      </c>
      <c r="D1066" t="s">
        <v>841</v>
      </c>
      <c r="F1066" t="s">
        <v>1872</v>
      </c>
      <c r="G1066" t="s">
        <v>842</v>
      </c>
      <c r="H1066" t="s">
        <v>130</v>
      </c>
      <c r="I1066" t="s">
        <v>415</v>
      </c>
      <c r="J1066">
        <v>12</v>
      </c>
      <c r="K1066">
        <v>19</v>
      </c>
      <c r="L1066">
        <v>10</v>
      </c>
      <c r="M1066">
        <v>11</v>
      </c>
      <c r="N1066">
        <v>960</v>
      </c>
      <c r="O1066">
        <v>14</v>
      </c>
      <c r="P1066">
        <v>0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>
        <v>356</v>
      </c>
      <c r="W1066" t="s">
        <v>44</v>
      </c>
      <c r="X1066" t="s">
        <v>44</v>
      </c>
      <c r="Y1066">
        <v>356</v>
      </c>
      <c r="Z1066" t="s">
        <v>44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370</v>
      </c>
      <c r="AQ1066">
        <f t="shared" si="37"/>
        <v>370</v>
      </c>
      <c r="AR1066" s="5">
        <f>VLOOKUP(F1066,'[2]SCP_24-25'!$A:$D,4,0)</f>
        <v>137.76</v>
      </c>
      <c r="AS1066" s="5">
        <f t="shared" si="38"/>
        <v>50971.199999999997</v>
      </c>
    </row>
    <row r="1067" spans="1:45" x14ac:dyDescent="0.3">
      <c r="A1067" s="1">
        <v>45900.963194444441</v>
      </c>
      <c r="B1067" t="s">
        <v>1463</v>
      </c>
      <c r="C1067" t="s">
        <v>1464</v>
      </c>
      <c r="D1067" t="s">
        <v>1320</v>
      </c>
      <c r="F1067" t="s">
        <v>2110</v>
      </c>
      <c r="G1067" t="s">
        <v>1321</v>
      </c>
      <c r="H1067" t="s">
        <v>103</v>
      </c>
      <c r="I1067" t="s">
        <v>43</v>
      </c>
      <c r="J1067">
        <v>400</v>
      </c>
      <c r="K1067">
        <v>19</v>
      </c>
      <c r="L1067">
        <v>11</v>
      </c>
      <c r="M1067">
        <v>10</v>
      </c>
      <c r="N1067">
        <v>1320</v>
      </c>
      <c r="O1067">
        <v>0</v>
      </c>
      <c r="P1067">
        <v>0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>
        <v>408</v>
      </c>
      <c r="W1067" t="s">
        <v>44</v>
      </c>
      <c r="X1067" t="s">
        <v>44</v>
      </c>
      <c r="Y1067">
        <v>408</v>
      </c>
      <c r="Z1067" t="s">
        <v>44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408</v>
      </c>
      <c r="AQ1067">
        <f t="shared" ref="AQ1067:AQ1125" si="39">O1067+P1067+V1067+AA1067</f>
        <v>408</v>
      </c>
      <c r="AR1067" s="5">
        <f>VLOOKUP(F1067,'[1]Cost Sheet'!$C:$D,2,0)</f>
        <v>170.18</v>
      </c>
      <c r="AS1067" s="5">
        <f t="shared" si="38"/>
        <v>69433.440000000002</v>
      </c>
    </row>
    <row r="1068" spans="1:45" x14ac:dyDescent="0.3">
      <c r="A1068" s="1">
        <v>45900.963194444441</v>
      </c>
      <c r="B1068" t="s">
        <v>1463</v>
      </c>
      <c r="C1068" t="s">
        <v>1464</v>
      </c>
      <c r="D1068" t="s">
        <v>773</v>
      </c>
      <c r="F1068" t="s">
        <v>1839</v>
      </c>
      <c r="G1068" t="s">
        <v>774</v>
      </c>
      <c r="H1068" t="s">
        <v>120</v>
      </c>
      <c r="I1068" t="s">
        <v>43</v>
      </c>
      <c r="J1068">
        <v>100</v>
      </c>
      <c r="K1068">
        <v>19</v>
      </c>
      <c r="L1068">
        <v>11</v>
      </c>
      <c r="M1068">
        <v>10</v>
      </c>
      <c r="N1068">
        <v>200</v>
      </c>
      <c r="O1068">
        <v>0</v>
      </c>
      <c r="P1068">
        <v>0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>
        <v>200</v>
      </c>
      <c r="W1068" t="s">
        <v>44</v>
      </c>
      <c r="X1068" t="s">
        <v>44</v>
      </c>
      <c r="Y1068">
        <v>200</v>
      </c>
      <c r="Z1068" t="s">
        <v>44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200</v>
      </c>
      <c r="AQ1068">
        <f t="shared" si="39"/>
        <v>200</v>
      </c>
      <c r="AR1068" s="5">
        <f>VLOOKUP(F1068,'[1]Cost Sheet'!$C:$D,2,0)</f>
        <v>130</v>
      </c>
      <c r="AS1068" s="5">
        <f t="shared" si="38"/>
        <v>26000</v>
      </c>
    </row>
    <row r="1069" spans="1:45" x14ac:dyDescent="0.3">
      <c r="A1069" s="1">
        <v>45900.963194444441</v>
      </c>
      <c r="B1069" t="s">
        <v>1463</v>
      </c>
      <c r="C1069" t="s">
        <v>1464</v>
      </c>
      <c r="D1069" t="s">
        <v>1349</v>
      </c>
      <c r="F1069" t="s">
        <v>2123</v>
      </c>
      <c r="G1069" t="s">
        <v>1350</v>
      </c>
      <c r="H1069" t="s">
        <v>66</v>
      </c>
      <c r="I1069" t="s">
        <v>415</v>
      </c>
      <c r="J1069">
        <v>25</v>
      </c>
      <c r="K1069">
        <v>19</v>
      </c>
      <c r="L1069">
        <v>10</v>
      </c>
      <c r="M1069">
        <v>11</v>
      </c>
      <c r="N1069">
        <v>5280</v>
      </c>
      <c r="O1069">
        <v>188</v>
      </c>
      <c r="P1069">
        <v>0</v>
      </c>
      <c r="Q1069" t="s">
        <v>44</v>
      </c>
      <c r="R1069" t="s">
        <v>44</v>
      </c>
      <c r="S1069" t="s">
        <v>44</v>
      </c>
      <c r="T1069">
        <v>5664</v>
      </c>
      <c r="U1069" t="s">
        <v>44</v>
      </c>
      <c r="V1069">
        <v>208</v>
      </c>
      <c r="W1069" t="s">
        <v>44</v>
      </c>
      <c r="X1069" t="s">
        <v>44</v>
      </c>
      <c r="Y1069">
        <v>208</v>
      </c>
      <c r="Z1069" t="s">
        <v>44</v>
      </c>
      <c r="AA1069">
        <v>14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410</v>
      </c>
      <c r="AQ1069">
        <f t="shared" si="39"/>
        <v>410</v>
      </c>
      <c r="AR1069" s="5">
        <f>VLOOKUP(F1069,'[2]SCP_24-25'!$A:$D,4,0)</f>
        <v>7.7</v>
      </c>
      <c r="AS1069" s="5">
        <f t="shared" si="38"/>
        <v>3157</v>
      </c>
    </row>
    <row r="1070" spans="1:45" x14ac:dyDescent="0.3">
      <c r="A1070" s="1">
        <v>45900.963194444441</v>
      </c>
      <c r="B1070" t="s">
        <v>1463</v>
      </c>
      <c r="C1070" t="s">
        <v>1464</v>
      </c>
      <c r="D1070" t="s">
        <v>1351</v>
      </c>
      <c r="F1070" t="s">
        <v>2124</v>
      </c>
      <c r="G1070" t="s">
        <v>1352</v>
      </c>
      <c r="H1070" t="s">
        <v>66</v>
      </c>
      <c r="I1070" t="s">
        <v>415</v>
      </c>
      <c r="J1070">
        <v>25</v>
      </c>
      <c r="K1070">
        <v>19</v>
      </c>
      <c r="L1070">
        <v>10</v>
      </c>
      <c r="M1070">
        <v>11</v>
      </c>
      <c r="N1070">
        <v>4992</v>
      </c>
      <c r="O1070">
        <v>5</v>
      </c>
      <c r="P1070">
        <v>0</v>
      </c>
      <c r="Q1070" t="s">
        <v>44</v>
      </c>
      <c r="R1070" t="s">
        <v>44</v>
      </c>
      <c r="S1070" t="s">
        <v>44</v>
      </c>
      <c r="T1070">
        <v>4512</v>
      </c>
      <c r="U1070" t="s">
        <v>44</v>
      </c>
      <c r="V1070">
        <v>532</v>
      </c>
      <c r="W1070" t="s">
        <v>44</v>
      </c>
      <c r="X1070" t="s">
        <v>44</v>
      </c>
      <c r="Y1070">
        <v>532</v>
      </c>
      <c r="Z1070" t="s">
        <v>44</v>
      </c>
      <c r="AA1070">
        <v>14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551</v>
      </c>
      <c r="AQ1070">
        <f t="shared" si="39"/>
        <v>551</v>
      </c>
      <c r="AR1070" s="5">
        <f>VLOOKUP(F1070,'[2]SCP_24-25'!$A:$D,4,0)</f>
        <v>9.9</v>
      </c>
      <c r="AS1070" s="5">
        <f t="shared" si="38"/>
        <v>5454.9000000000005</v>
      </c>
    </row>
    <row r="1071" spans="1:45" x14ac:dyDescent="0.3">
      <c r="A1071" s="1">
        <v>45900.963194444441</v>
      </c>
      <c r="B1071" t="s">
        <v>1463</v>
      </c>
      <c r="C1071" t="s">
        <v>1464</v>
      </c>
      <c r="D1071" t="s">
        <v>1270</v>
      </c>
      <c r="F1071" t="s">
        <v>2087</v>
      </c>
      <c r="G1071" t="s">
        <v>1271</v>
      </c>
      <c r="H1071" t="s">
        <v>130</v>
      </c>
      <c r="I1071" t="s">
        <v>415</v>
      </c>
      <c r="J1071">
        <v>1.4</v>
      </c>
      <c r="K1071">
        <v>19</v>
      </c>
      <c r="L1071">
        <v>10</v>
      </c>
      <c r="M1071">
        <v>11</v>
      </c>
      <c r="N1071">
        <v>192</v>
      </c>
      <c r="O1071">
        <v>0</v>
      </c>
      <c r="P1071">
        <v>0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>
        <v>184</v>
      </c>
      <c r="W1071" t="s">
        <v>44</v>
      </c>
      <c r="X1071" t="s">
        <v>44</v>
      </c>
      <c r="Y1071">
        <v>184</v>
      </c>
      <c r="Z1071" t="s">
        <v>44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184</v>
      </c>
      <c r="AQ1071">
        <f t="shared" si="39"/>
        <v>184</v>
      </c>
      <c r="AR1071" s="5">
        <f>VLOOKUP(F1071,'[2]SCP_24-25'!$A:$D,4,0)</f>
        <v>174.11</v>
      </c>
      <c r="AS1071" s="5">
        <f t="shared" si="38"/>
        <v>32036.240000000002</v>
      </c>
    </row>
    <row r="1072" spans="1:45" x14ac:dyDescent="0.3">
      <c r="A1072" s="1">
        <v>45900.963194444441</v>
      </c>
      <c r="B1072" t="s">
        <v>1463</v>
      </c>
      <c r="C1072" t="s">
        <v>1464</v>
      </c>
      <c r="D1072" t="s">
        <v>1272</v>
      </c>
      <c r="F1072" t="s">
        <v>2088</v>
      </c>
      <c r="G1072" t="s">
        <v>1273</v>
      </c>
      <c r="H1072" t="s">
        <v>130</v>
      </c>
      <c r="I1072" t="s">
        <v>415</v>
      </c>
      <c r="J1072">
        <v>1.4</v>
      </c>
      <c r="K1072">
        <v>19</v>
      </c>
      <c r="L1072">
        <v>10</v>
      </c>
      <c r="M1072">
        <v>11</v>
      </c>
      <c r="N1072">
        <v>192</v>
      </c>
      <c r="O1072">
        <v>0</v>
      </c>
      <c r="P1072">
        <v>0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>
        <v>184</v>
      </c>
      <c r="W1072" t="s">
        <v>44</v>
      </c>
      <c r="X1072" t="s">
        <v>44</v>
      </c>
      <c r="Y1072">
        <v>184</v>
      </c>
      <c r="Z1072" t="s">
        <v>44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184</v>
      </c>
      <c r="AQ1072">
        <f t="shared" si="39"/>
        <v>184</v>
      </c>
      <c r="AR1072" s="5">
        <f>VLOOKUP(F1072,'[2]SCP_24-25'!$A:$D,4,0)</f>
        <v>174.11</v>
      </c>
      <c r="AS1072" s="5">
        <f t="shared" si="38"/>
        <v>32036.240000000002</v>
      </c>
    </row>
    <row r="1073" spans="1:45" x14ac:dyDescent="0.3">
      <c r="A1073" s="1">
        <v>45900.963194444441</v>
      </c>
      <c r="B1073" t="s">
        <v>1463</v>
      </c>
      <c r="C1073" t="s">
        <v>1464</v>
      </c>
      <c r="D1073" t="s">
        <v>1274</v>
      </c>
      <c r="F1073" t="s">
        <v>2089</v>
      </c>
      <c r="G1073" t="s">
        <v>1275</v>
      </c>
      <c r="H1073" t="s">
        <v>130</v>
      </c>
      <c r="I1073" t="s">
        <v>415</v>
      </c>
      <c r="J1073">
        <v>1.4</v>
      </c>
      <c r="K1073">
        <v>19</v>
      </c>
      <c r="L1073">
        <v>10</v>
      </c>
      <c r="M1073">
        <v>11</v>
      </c>
      <c r="N1073">
        <v>180</v>
      </c>
      <c r="O1073">
        <v>0</v>
      </c>
      <c r="P1073">
        <v>0</v>
      </c>
      <c r="Q1073" t="s">
        <v>44</v>
      </c>
      <c r="R1073" t="s">
        <v>44</v>
      </c>
      <c r="S1073" t="s">
        <v>44</v>
      </c>
      <c r="T1073">
        <v>12</v>
      </c>
      <c r="U1073" t="s">
        <v>44</v>
      </c>
      <c r="V1073">
        <v>172</v>
      </c>
      <c r="W1073" t="s">
        <v>44</v>
      </c>
      <c r="X1073" t="s">
        <v>44</v>
      </c>
      <c r="Y1073">
        <v>172</v>
      </c>
      <c r="Z1073" t="s">
        <v>44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172</v>
      </c>
      <c r="AQ1073">
        <f t="shared" si="39"/>
        <v>172</v>
      </c>
      <c r="AR1073" s="5">
        <f>VLOOKUP(F1073,'[2]SCP_24-25'!$A:$D,4,0)</f>
        <v>174.11</v>
      </c>
      <c r="AS1073" s="5">
        <f t="shared" si="38"/>
        <v>29946.920000000002</v>
      </c>
    </row>
    <row r="1074" spans="1:45" x14ac:dyDescent="0.3">
      <c r="A1074" s="1">
        <v>45900.963194444441</v>
      </c>
      <c r="B1074" t="s">
        <v>1463</v>
      </c>
      <c r="C1074" t="s">
        <v>1464</v>
      </c>
      <c r="D1074" t="s">
        <v>1276</v>
      </c>
      <c r="F1074" t="s">
        <v>2090</v>
      </c>
      <c r="G1074" t="s">
        <v>1277</v>
      </c>
      <c r="H1074" t="s">
        <v>130</v>
      </c>
      <c r="I1074" t="s">
        <v>415</v>
      </c>
      <c r="J1074">
        <v>1.4</v>
      </c>
      <c r="K1074">
        <v>19</v>
      </c>
      <c r="L1074">
        <v>10</v>
      </c>
      <c r="M1074">
        <v>11</v>
      </c>
      <c r="N1074">
        <v>144</v>
      </c>
      <c r="O1074">
        <v>0</v>
      </c>
      <c r="P1074">
        <v>0</v>
      </c>
      <c r="Q1074" t="s">
        <v>44</v>
      </c>
      <c r="R1074" t="s">
        <v>44</v>
      </c>
      <c r="S1074" t="s">
        <v>44</v>
      </c>
      <c r="T1074">
        <v>48</v>
      </c>
      <c r="U1074" t="s">
        <v>44</v>
      </c>
      <c r="V1074">
        <v>136</v>
      </c>
      <c r="W1074" t="s">
        <v>44</v>
      </c>
      <c r="X1074" t="s">
        <v>44</v>
      </c>
      <c r="Y1074">
        <v>136</v>
      </c>
      <c r="Z1074" t="s">
        <v>44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136</v>
      </c>
      <c r="AQ1074">
        <f t="shared" si="39"/>
        <v>136</v>
      </c>
      <c r="AR1074" s="5">
        <f>VLOOKUP(F1074,'[2]SCP_24-25'!$A:$D,4,0)</f>
        <v>174.11</v>
      </c>
      <c r="AS1074" s="5">
        <f t="shared" si="38"/>
        <v>23678.960000000003</v>
      </c>
    </row>
    <row r="1075" spans="1:45" x14ac:dyDescent="0.3">
      <c r="A1075" s="1">
        <v>45900.963194444441</v>
      </c>
      <c r="B1075" t="s">
        <v>1463</v>
      </c>
      <c r="C1075" t="s">
        <v>1464</v>
      </c>
      <c r="D1075" t="s">
        <v>1278</v>
      </c>
      <c r="F1075" t="s">
        <v>2091</v>
      </c>
      <c r="G1075" t="s">
        <v>1279</v>
      </c>
      <c r="H1075" t="s">
        <v>130</v>
      </c>
      <c r="I1075" t="s">
        <v>415</v>
      </c>
      <c r="J1075">
        <v>1.4</v>
      </c>
      <c r="K1075">
        <v>19</v>
      </c>
      <c r="L1075">
        <v>10</v>
      </c>
      <c r="M1075">
        <v>11</v>
      </c>
      <c r="N1075">
        <v>144</v>
      </c>
      <c r="O1075">
        <v>0</v>
      </c>
      <c r="P1075">
        <v>0</v>
      </c>
      <c r="Q1075" t="s">
        <v>44</v>
      </c>
      <c r="R1075" t="s">
        <v>44</v>
      </c>
      <c r="S1075" t="s">
        <v>44</v>
      </c>
      <c r="T1075">
        <v>48</v>
      </c>
      <c r="U1075" t="s">
        <v>44</v>
      </c>
      <c r="V1075">
        <v>136</v>
      </c>
      <c r="W1075" t="s">
        <v>44</v>
      </c>
      <c r="X1075" t="s">
        <v>44</v>
      </c>
      <c r="Y1075">
        <v>136</v>
      </c>
      <c r="Z1075" t="s">
        <v>44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136</v>
      </c>
      <c r="AQ1075">
        <f t="shared" si="39"/>
        <v>136</v>
      </c>
      <c r="AR1075" s="5">
        <f>VLOOKUP(F1075,'[2]SCP_24-25'!$A:$D,4,0)</f>
        <v>174.11</v>
      </c>
      <c r="AS1075" s="5">
        <f t="shared" si="38"/>
        <v>23678.960000000003</v>
      </c>
    </row>
    <row r="1076" spans="1:45" x14ac:dyDescent="0.3">
      <c r="A1076" s="1">
        <v>45900.963194444441</v>
      </c>
      <c r="B1076" t="s">
        <v>1463</v>
      </c>
      <c r="C1076" t="s">
        <v>1464</v>
      </c>
      <c r="D1076" t="s">
        <v>1280</v>
      </c>
      <c r="F1076" t="s">
        <v>2092</v>
      </c>
      <c r="G1076" t="s">
        <v>1281</v>
      </c>
      <c r="H1076" t="s">
        <v>130</v>
      </c>
      <c r="I1076" t="s">
        <v>415</v>
      </c>
      <c r="J1076">
        <v>1.4</v>
      </c>
      <c r="K1076">
        <v>19</v>
      </c>
      <c r="L1076">
        <v>10</v>
      </c>
      <c r="M1076">
        <v>11</v>
      </c>
      <c r="N1076">
        <v>192</v>
      </c>
      <c r="O1076">
        <v>0</v>
      </c>
      <c r="P1076">
        <v>0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>
        <v>184</v>
      </c>
      <c r="W1076" t="s">
        <v>44</v>
      </c>
      <c r="X1076" t="s">
        <v>44</v>
      </c>
      <c r="Y1076">
        <v>184</v>
      </c>
      <c r="Z1076" t="s">
        <v>44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184</v>
      </c>
      <c r="AQ1076">
        <f t="shared" si="39"/>
        <v>184</v>
      </c>
      <c r="AR1076" s="5">
        <f>VLOOKUP(F1076,'[2]SCP_24-25'!$A:$D,4,0)</f>
        <v>174.11</v>
      </c>
      <c r="AS1076" s="5">
        <f t="shared" si="38"/>
        <v>32036.240000000002</v>
      </c>
    </row>
    <row r="1077" spans="1:45" x14ac:dyDescent="0.3">
      <c r="A1077" s="1">
        <v>45900.963194444441</v>
      </c>
      <c r="B1077" t="s">
        <v>1463</v>
      </c>
      <c r="C1077" t="s">
        <v>1464</v>
      </c>
      <c r="D1077" t="s">
        <v>1282</v>
      </c>
      <c r="F1077" t="s">
        <v>2093</v>
      </c>
      <c r="G1077" t="s">
        <v>1283</v>
      </c>
      <c r="H1077" t="s">
        <v>130</v>
      </c>
      <c r="I1077" t="s">
        <v>415</v>
      </c>
      <c r="J1077">
        <v>1.4</v>
      </c>
      <c r="K1077">
        <v>19</v>
      </c>
      <c r="L1077">
        <v>10</v>
      </c>
      <c r="M1077">
        <v>11</v>
      </c>
      <c r="N1077">
        <v>192</v>
      </c>
      <c r="O1077">
        <v>0</v>
      </c>
      <c r="P1077">
        <v>0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>
        <v>184</v>
      </c>
      <c r="W1077" t="s">
        <v>44</v>
      </c>
      <c r="X1077" t="s">
        <v>44</v>
      </c>
      <c r="Y1077">
        <v>184</v>
      </c>
      <c r="Z1077" t="s">
        <v>44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184</v>
      </c>
      <c r="AQ1077">
        <f t="shared" si="39"/>
        <v>184</v>
      </c>
      <c r="AR1077" s="5">
        <f>VLOOKUP(F1077,'[2]SCP_24-25'!$A:$D,4,0)</f>
        <v>174.11</v>
      </c>
      <c r="AS1077" s="5">
        <f t="shared" si="38"/>
        <v>32036.240000000002</v>
      </c>
    </row>
    <row r="1078" spans="1:45" x14ac:dyDescent="0.3">
      <c r="A1078" s="1">
        <v>45900.963194444441</v>
      </c>
      <c r="B1078" t="s">
        <v>1463</v>
      </c>
      <c r="C1078" t="s">
        <v>1464</v>
      </c>
      <c r="D1078" t="s">
        <v>1284</v>
      </c>
      <c r="F1078" t="s">
        <v>2094</v>
      </c>
      <c r="G1078" t="s">
        <v>1285</v>
      </c>
      <c r="H1078" t="s">
        <v>130</v>
      </c>
      <c r="I1078" t="s">
        <v>415</v>
      </c>
      <c r="J1078">
        <v>1.4</v>
      </c>
      <c r="K1078">
        <v>19</v>
      </c>
      <c r="L1078">
        <v>10</v>
      </c>
      <c r="M1078">
        <v>11</v>
      </c>
      <c r="N1078">
        <v>144</v>
      </c>
      <c r="O1078">
        <v>0</v>
      </c>
      <c r="P1078">
        <v>0</v>
      </c>
      <c r="Q1078" t="s">
        <v>44</v>
      </c>
      <c r="R1078" t="s">
        <v>44</v>
      </c>
      <c r="S1078" t="s">
        <v>44</v>
      </c>
      <c r="T1078">
        <v>48</v>
      </c>
      <c r="U1078" t="s">
        <v>44</v>
      </c>
      <c r="V1078">
        <v>136</v>
      </c>
      <c r="W1078" t="s">
        <v>44</v>
      </c>
      <c r="X1078" t="s">
        <v>44</v>
      </c>
      <c r="Y1078">
        <v>136</v>
      </c>
      <c r="Z1078" t="s">
        <v>44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136</v>
      </c>
      <c r="AQ1078">
        <f t="shared" si="39"/>
        <v>136</v>
      </c>
      <c r="AR1078" s="5">
        <f>VLOOKUP(F1078,'[2]SCP_24-25'!$A:$D,4,0)</f>
        <v>174.11</v>
      </c>
      <c r="AS1078" s="5">
        <f t="shared" si="38"/>
        <v>23678.960000000003</v>
      </c>
    </row>
    <row r="1079" spans="1:45" x14ac:dyDescent="0.3">
      <c r="A1079" s="1">
        <v>45900.963194444441</v>
      </c>
      <c r="B1079" t="s">
        <v>1463</v>
      </c>
      <c r="C1079" t="s">
        <v>1464</v>
      </c>
      <c r="D1079" t="s">
        <v>1286</v>
      </c>
      <c r="F1079" t="s">
        <v>2095</v>
      </c>
      <c r="G1079" t="s">
        <v>1287</v>
      </c>
      <c r="H1079" t="s">
        <v>130</v>
      </c>
      <c r="I1079" t="s">
        <v>415</v>
      </c>
      <c r="J1079">
        <v>1.4</v>
      </c>
      <c r="K1079">
        <v>19</v>
      </c>
      <c r="L1079">
        <v>10</v>
      </c>
      <c r="M1079">
        <v>11</v>
      </c>
      <c r="N1079">
        <v>192</v>
      </c>
      <c r="O1079">
        <v>0</v>
      </c>
      <c r="P1079">
        <v>0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>
        <v>184</v>
      </c>
      <c r="W1079" t="s">
        <v>44</v>
      </c>
      <c r="X1079" t="s">
        <v>44</v>
      </c>
      <c r="Y1079">
        <v>184</v>
      </c>
      <c r="Z1079" t="s">
        <v>44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184</v>
      </c>
      <c r="AQ1079">
        <f t="shared" si="39"/>
        <v>184</v>
      </c>
      <c r="AR1079" s="5">
        <f>VLOOKUP(F1079,'[2]SCP_24-25'!$A:$D,4,0)</f>
        <v>174.11</v>
      </c>
      <c r="AS1079" s="5">
        <f t="shared" si="38"/>
        <v>32036.240000000002</v>
      </c>
    </row>
    <row r="1080" spans="1:45" x14ac:dyDescent="0.3">
      <c r="A1080" s="1">
        <v>45900.963194444441</v>
      </c>
      <c r="B1080" t="s">
        <v>1463</v>
      </c>
      <c r="C1080" t="s">
        <v>1464</v>
      </c>
      <c r="D1080" t="s">
        <v>1288</v>
      </c>
      <c r="F1080" t="s">
        <v>2096</v>
      </c>
      <c r="G1080" t="s">
        <v>1289</v>
      </c>
      <c r="H1080" t="s">
        <v>130</v>
      </c>
      <c r="I1080" t="s">
        <v>415</v>
      </c>
      <c r="J1080">
        <v>1.4</v>
      </c>
      <c r="K1080">
        <v>19</v>
      </c>
      <c r="L1080">
        <v>10</v>
      </c>
      <c r="M1080">
        <v>11</v>
      </c>
      <c r="N1080">
        <v>144</v>
      </c>
      <c r="O1080">
        <v>0</v>
      </c>
      <c r="P1080">
        <v>0</v>
      </c>
      <c r="Q1080" t="s">
        <v>44</v>
      </c>
      <c r="R1080" t="s">
        <v>44</v>
      </c>
      <c r="S1080" t="s">
        <v>44</v>
      </c>
      <c r="T1080">
        <v>48</v>
      </c>
      <c r="U1080" t="s">
        <v>44</v>
      </c>
      <c r="V1080">
        <v>136</v>
      </c>
      <c r="W1080" t="s">
        <v>44</v>
      </c>
      <c r="X1080" t="s">
        <v>44</v>
      </c>
      <c r="Y1080">
        <v>136</v>
      </c>
      <c r="Z1080" t="s">
        <v>44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136</v>
      </c>
      <c r="AQ1080">
        <f t="shared" si="39"/>
        <v>136</v>
      </c>
      <c r="AR1080" s="5">
        <f>VLOOKUP(F1080,'[2]SCP_24-25'!$A:$D,4,0)</f>
        <v>174.11</v>
      </c>
      <c r="AS1080" s="5">
        <f t="shared" si="38"/>
        <v>23678.960000000003</v>
      </c>
    </row>
    <row r="1081" spans="1:45" x14ac:dyDescent="0.3">
      <c r="A1081" s="1">
        <v>45900.963194444441</v>
      </c>
      <c r="B1081" t="s">
        <v>1463</v>
      </c>
      <c r="C1081" t="s">
        <v>1464</v>
      </c>
      <c r="D1081" t="s">
        <v>1290</v>
      </c>
      <c r="F1081" t="s">
        <v>2097</v>
      </c>
      <c r="G1081" t="s">
        <v>1291</v>
      </c>
      <c r="H1081" t="s">
        <v>130</v>
      </c>
      <c r="I1081" t="s">
        <v>415</v>
      </c>
      <c r="J1081">
        <v>1.4</v>
      </c>
      <c r="K1081">
        <v>19</v>
      </c>
      <c r="L1081">
        <v>10</v>
      </c>
      <c r="M1081">
        <v>11</v>
      </c>
      <c r="N1081">
        <v>192</v>
      </c>
      <c r="O1081">
        <v>0</v>
      </c>
      <c r="P1081">
        <v>0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>
        <v>184</v>
      </c>
      <c r="W1081" t="s">
        <v>44</v>
      </c>
      <c r="X1081" t="s">
        <v>44</v>
      </c>
      <c r="Y1081">
        <v>184</v>
      </c>
      <c r="Z1081" t="s">
        <v>44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184</v>
      </c>
      <c r="AQ1081">
        <f t="shared" si="39"/>
        <v>184</v>
      </c>
      <c r="AR1081" s="5">
        <f>VLOOKUP(F1081,'[2]SCP_24-25'!$A:$D,4,0)</f>
        <v>174.11</v>
      </c>
      <c r="AS1081" s="5">
        <f t="shared" si="38"/>
        <v>32036.240000000002</v>
      </c>
    </row>
    <row r="1082" spans="1:45" x14ac:dyDescent="0.3">
      <c r="A1082" s="1">
        <v>45900.963194444441</v>
      </c>
      <c r="B1082" t="s">
        <v>1463</v>
      </c>
      <c r="C1082" t="s">
        <v>1464</v>
      </c>
      <c r="D1082" t="s">
        <v>1292</v>
      </c>
      <c r="F1082" t="s">
        <v>2098</v>
      </c>
      <c r="G1082" t="s">
        <v>1293</v>
      </c>
      <c r="H1082" t="s">
        <v>130</v>
      </c>
      <c r="I1082" t="s">
        <v>415</v>
      </c>
      <c r="J1082">
        <v>1.4</v>
      </c>
      <c r="K1082">
        <v>19</v>
      </c>
      <c r="L1082">
        <v>10</v>
      </c>
      <c r="M1082">
        <v>11</v>
      </c>
      <c r="N1082">
        <v>144</v>
      </c>
      <c r="O1082">
        <v>0</v>
      </c>
      <c r="P1082">
        <v>0</v>
      </c>
      <c r="Q1082" t="s">
        <v>44</v>
      </c>
      <c r="R1082" t="s">
        <v>44</v>
      </c>
      <c r="S1082" t="s">
        <v>44</v>
      </c>
      <c r="T1082">
        <v>48</v>
      </c>
      <c r="U1082" t="s">
        <v>44</v>
      </c>
      <c r="V1082">
        <v>136</v>
      </c>
      <c r="W1082" t="s">
        <v>44</v>
      </c>
      <c r="X1082" t="s">
        <v>44</v>
      </c>
      <c r="Y1082">
        <v>136</v>
      </c>
      <c r="Z1082" t="s">
        <v>44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136</v>
      </c>
      <c r="AQ1082">
        <f t="shared" si="39"/>
        <v>136</v>
      </c>
      <c r="AR1082" s="5">
        <f>VLOOKUP(F1082,'[2]SCP_24-25'!$A:$D,4,0)</f>
        <v>174.11</v>
      </c>
      <c r="AS1082" s="5">
        <f t="shared" si="38"/>
        <v>23678.960000000003</v>
      </c>
    </row>
    <row r="1083" spans="1:45" x14ac:dyDescent="0.3">
      <c r="A1083" s="1">
        <v>45900.963194444441</v>
      </c>
      <c r="B1083" t="s">
        <v>1463</v>
      </c>
      <c r="C1083" t="s">
        <v>1464</v>
      </c>
      <c r="D1083" t="s">
        <v>1294</v>
      </c>
      <c r="F1083" t="s">
        <v>2099</v>
      </c>
      <c r="G1083" t="s">
        <v>1295</v>
      </c>
      <c r="H1083" t="s">
        <v>130</v>
      </c>
      <c r="I1083" t="s">
        <v>415</v>
      </c>
      <c r="J1083">
        <v>1.4</v>
      </c>
      <c r="K1083">
        <v>19</v>
      </c>
      <c r="L1083">
        <v>10</v>
      </c>
      <c r="M1083">
        <v>11</v>
      </c>
      <c r="N1083">
        <v>192</v>
      </c>
      <c r="O1083">
        <v>0</v>
      </c>
      <c r="P1083">
        <v>0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>
        <v>184</v>
      </c>
      <c r="W1083" t="s">
        <v>44</v>
      </c>
      <c r="X1083" t="s">
        <v>44</v>
      </c>
      <c r="Y1083">
        <v>184</v>
      </c>
      <c r="Z1083" t="s">
        <v>44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184</v>
      </c>
      <c r="AQ1083">
        <f t="shared" si="39"/>
        <v>184</v>
      </c>
      <c r="AR1083" s="5">
        <f>VLOOKUP(F1083,'[2]SCP_24-25'!$A:$D,4,0)</f>
        <v>174.11</v>
      </c>
      <c r="AS1083" s="5">
        <f t="shared" si="38"/>
        <v>32036.240000000002</v>
      </c>
    </row>
    <row r="1084" spans="1:45" x14ac:dyDescent="0.3">
      <c r="A1084" s="1">
        <v>45900.963194444441</v>
      </c>
      <c r="B1084" t="s">
        <v>1463</v>
      </c>
      <c r="C1084" t="s">
        <v>1464</v>
      </c>
      <c r="D1084" t="s">
        <v>1296</v>
      </c>
      <c r="F1084" t="s">
        <v>2100</v>
      </c>
      <c r="G1084" t="s">
        <v>1297</v>
      </c>
      <c r="H1084" t="s">
        <v>130</v>
      </c>
      <c r="I1084" t="s">
        <v>415</v>
      </c>
      <c r="J1084">
        <v>1.4</v>
      </c>
      <c r="K1084">
        <v>19</v>
      </c>
      <c r="L1084">
        <v>10</v>
      </c>
      <c r="M1084">
        <v>11</v>
      </c>
      <c r="N1084">
        <v>144</v>
      </c>
      <c r="O1084">
        <v>0</v>
      </c>
      <c r="P1084">
        <v>0</v>
      </c>
      <c r="Q1084" t="s">
        <v>44</v>
      </c>
      <c r="R1084" t="s">
        <v>44</v>
      </c>
      <c r="S1084" t="s">
        <v>44</v>
      </c>
      <c r="T1084">
        <v>48</v>
      </c>
      <c r="U1084" t="s">
        <v>44</v>
      </c>
      <c r="V1084">
        <v>136</v>
      </c>
      <c r="W1084" t="s">
        <v>44</v>
      </c>
      <c r="X1084" t="s">
        <v>44</v>
      </c>
      <c r="Y1084">
        <v>136</v>
      </c>
      <c r="Z1084" t="s">
        <v>44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136</v>
      </c>
      <c r="AQ1084">
        <f t="shared" si="39"/>
        <v>136</v>
      </c>
      <c r="AR1084" s="5">
        <f>VLOOKUP(F1084,'[2]SCP_24-25'!$A:$D,4,0)</f>
        <v>174.11</v>
      </c>
      <c r="AS1084" s="5">
        <f t="shared" si="38"/>
        <v>23678.960000000003</v>
      </c>
    </row>
    <row r="1085" spans="1:45" x14ac:dyDescent="0.3">
      <c r="A1085" s="1">
        <v>45900.963194444441</v>
      </c>
      <c r="B1085" t="s">
        <v>1463</v>
      </c>
      <c r="C1085" t="s">
        <v>1464</v>
      </c>
      <c r="D1085" t="s">
        <v>879</v>
      </c>
      <c r="F1085" t="s">
        <v>1891</v>
      </c>
      <c r="G1085" t="s">
        <v>880</v>
      </c>
      <c r="H1085" t="s">
        <v>120</v>
      </c>
      <c r="I1085" t="s">
        <v>43</v>
      </c>
      <c r="J1085">
        <v>100</v>
      </c>
      <c r="K1085">
        <v>19</v>
      </c>
      <c r="L1085">
        <v>11</v>
      </c>
      <c r="M1085">
        <v>10</v>
      </c>
      <c r="N1085">
        <v>3000</v>
      </c>
      <c r="O1085">
        <v>123</v>
      </c>
      <c r="P1085">
        <v>0</v>
      </c>
      <c r="Q1085" t="s">
        <v>44</v>
      </c>
      <c r="R1085" t="s">
        <v>44</v>
      </c>
      <c r="S1085" t="s">
        <v>44</v>
      </c>
      <c r="T1085" t="s">
        <v>44</v>
      </c>
      <c r="U1085" t="s">
        <v>44</v>
      </c>
      <c r="V1085">
        <v>922</v>
      </c>
      <c r="W1085" t="s">
        <v>44</v>
      </c>
      <c r="X1085" t="s">
        <v>44</v>
      </c>
      <c r="Y1085">
        <v>922</v>
      </c>
      <c r="Z1085" t="s">
        <v>44</v>
      </c>
      <c r="AA1085">
        <v>9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 s="2">
        <v>1054</v>
      </c>
      <c r="AQ1085">
        <f t="shared" si="39"/>
        <v>1054</v>
      </c>
      <c r="AR1085" s="5">
        <f>VLOOKUP(F1085,'[2]SCP_24-25'!$A:$D,4,0)</f>
        <v>46.5</v>
      </c>
      <c r="AS1085" s="5">
        <f t="shared" si="38"/>
        <v>49011</v>
      </c>
    </row>
    <row r="1086" spans="1:45" x14ac:dyDescent="0.3">
      <c r="A1086" s="1">
        <v>45900.963194444441</v>
      </c>
      <c r="B1086" t="s">
        <v>1463</v>
      </c>
      <c r="C1086" t="s">
        <v>1464</v>
      </c>
      <c r="D1086" t="s">
        <v>1328</v>
      </c>
      <c r="F1086" t="s">
        <v>2114</v>
      </c>
      <c r="G1086" t="s">
        <v>1329</v>
      </c>
      <c r="H1086" t="s">
        <v>130</v>
      </c>
      <c r="I1086" t="s">
        <v>415</v>
      </c>
      <c r="J1086">
        <v>1.4</v>
      </c>
      <c r="K1086">
        <v>19</v>
      </c>
      <c r="L1086">
        <v>10</v>
      </c>
      <c r="M1086">
        <v>11</v>
      </c>
      <c r="N1086">
        <v>720</v>
      </c>
      <c r="O1086">
        <v>0</v>
      </c>
      <c r="P1086">
        <v>0</v>
      </c>
      <c r="Q1086" t="s">
        <v>44</v>
      </c>
      <c r="R1086" t="s">
        <v>44</v>
      </c>
      <c r="S1086" t="s">
        <v>44</v>
      </c>
      <c r="T1086" t="s">
        <v>44</v>
      </c>
      <c r="U1086" t="s">
        <v>44</v>
      </c>
      <c r="V1086">
        <v>699</v>
      </c>
      <c r="W1086" t="s">
        <v>44</v>
      </c>
      <c r="X1086" t="s">
        <v>44</v>
      </c>
      <c r="Y1086">
        <v>699</v>
      </c>
      <c r="Z1086" t="s">
        <v>44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699</v>
      </c>
      <c r="AQ1086">
        <f t="shared" si="39"/>
        <v>699</v>
      </c>
      <c r="AR1086" s="5">
        <f>VLOOKUP(F1086,'[2]SCP_24-25'!$A:$D,4,0)</f>
        <v>417.21</v>
      </c>
      <c r="AS1086" s="5">
        <f t="shared" si="38"/>
        <v>291629.78999999998</v>
      </c>
    </row>
    <row r="1087" spans="1:45" x14ac:dyDescent="0.3">
      <c r="A1087" s="1">
        <v>45900.963194444441</v>
      </c>
      <c r="B1087" t="s">
        <v>1463</v>
      </c>
      <c r="C1087" t="s">
        <v>1464</v>
      </c>
      <c r="D1087" t="s">
        <v>135</v>
      </c>
      <c r="F1087" t="s">
        <v>1545</v>
      </c>
      <c r="G1087" t="s">
        <v>136</v>
      </c>
      <c r="H1087" t="s">
        <v>66</v>
      </c>
      <c r="I1087" t="s">
        <v>43</v>
      </c>
      <c r="J1087">
        <v>85</v>
      </c>
      <c r="K1087">
        <v>19</v>
      </c>
      <c r="L1087">
        <v>10</v>
      </c>
      <c r="M1087">
        <v>11</v>
      </c>
      <c r="N1087">
        <v>27895</v>
      </c>
      <c r="O1087">
        <v>2</v>
      </c>
      <c r="P1087">
        <v>0</v>
      </c>
      <c r="Q1087">
        <v>166</v>
      </c>
      <c r="R1087">
        <v>3634</v>
      </c>
      <c r="S1087" t="s">
        <v>44</v>
      </c>
      <c r="T1087" t="s">
        <v>44</v>
      </c>
      <c r="U1087" t="s">
        <v>44</v>
      </c>
      <c r="V1087">
        <v>20</v>
      </c>
      <c r="W1087">
        <v>6</v>
      </c>
      <c r="X1087" t="s">
        <v>44</v>
      </c>
      <c r="Y1087" t="s">
        <v>44</v>
      </c>
      <c r="Z1087" t="s">
        <v>44</v>
      </c>
      <c r="AA1087">
        <v>0</v>
      </c>
      <c r="AB1087">
        <v>0</v>
      </c>
      <c r="AC1087">
        <v>0</v>
      </c>
      <c r="AD1087">
        <v>0</v>
      </c>
      <c r="AE1087">
        <v>391</v>
      </c>
      <c r="AF1087">
        <v>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22</v>
      </c>
      <c r="AQ1087">
        <f t="shared" si="39"/>
        <v>22</v>
      </c>
      <c r="AR1087" s="5">
        <f>VLOOKUP(F1087,'[2]SCP_24-25'!$A:$D,4,0)</f>
        <v>42.19</v>
      </c>
      <c r="AS1087" s="5">
        <f t="shared" si="38"/>
        <v>928.18</v>
      </c>
    </row>
    <row r="1088" spans="1:45" x14ac:dyDescent="0.3">
      <c r="A1088" s="1">
        <v>45900.963194444441</v>
      </c>
      <c r="B1088" t="s">
        <v>1463</v>
      </c>
      <c r="C1088" t="s">
        <v>1464</v>
      </c>
      <c r="D1088" t="s">
        <v>153</v>
      </c>
      <c r="F1088" t="s">
        <v>1554</v>
      </c>
      <c r="G1088" t="s">
        <v>154</v>
      </c>
      <c r="H1088" t="s">
        <v>66</v>
      </c>
      <c r="I1088" t="s">
        <v>43</v>
      </c>
      <c r="J1088">
        <v>92.91</v>
      </c>
      <c r="K1088">
        <v>19</v>
      </c>
      <c r="L1088">
        <v>9.5</v>
      </c>
      <c r="M1088">
        <v>11</v>
      </c>
      <c r="N1088">
        <v>19325</v>
      </c>
      <c r="O1088">
        <v>68</v>
      </c>
      <c r="P1088">
        <v>0</v>
      </c>
      <c r="Q1088">
        <v>26</v>
      </c>
      <c r="R1088">
        <v>1486</v>
      </c>
      <c r="S1088" t="s">
        <v>44</v>
      </c>
      <c r="T1088" t="s">
        <v>44</v>
      </c>
      <c r="U1088" t="s">
        <v>44</v>
      </c>
      <c r="V1088">
        <v>276</v>
      </c>
      <c r="W1088">
        <v>3</v>
      </c>
      <c r="X1088" t="s">
        <v>44</v>
      </c>
      <c r="Y1088">
        <v>15</v>
      </c>
      <c r="Z1088" t="s">
        <v>44</v>
      </c>
      <c r="AA1088">
        <v>0</v>
      </c>
      <c r="AB1088">
        <v>0</v>
      </c>
      <c r="AC1088">
        <v>0</v>
      </c>
      <c r="AD1088">
        <v>0</v>
      </c>
      <c r="AE1088">
        <v>2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344</v>
      </c>
      <c r="AQ1088">
        <f t="shared" si="39"/>
        <v>344</v>
      </c>
      <c r="AR1088" s="5">
        <f>VLOOKUP(F1088,'[2]SCP_24-25'!$A:$D,4,0)</f>
        <v>41.09</v>
      </c>
      <c r="AS1088" s="5">
        <f t="shared" si="38"/>
        <v>14134.960000000001</v>
      </c>
    </row>
    <row r="1089" spans="1:45" x14ac:dyDescent="0.3">
      <c r="A1089" s="1">
        <v>45900.963194444441</v>
      </c>
      <c r="B1089" t="s">
        <v>1463</v>
      </c>
      <c r="C1089" t="s">
        <v>1464</v>
      </c>
      <c r="D1089" t="s">
        <v>167</v>
      </c>
      <c r="F1089" t="s">
        <v>1561</v>
      </c>
      <c r="G1089" t="s">
        <v>168</v>
      </c>
      <c r="H1089" t="s">
        <v>103</v>
      </c>
      <c r="I1089" t="s">
        <v>43</v>
      </c>
      <c r="J1089">
        <v>228.22</v>
      </c>
      <c r="K1089">
        <v>19</v>
      </c>
      <c r="L1089">
        <v>11</v>
      </c>
      <c r="M1089">
        <v>9.5</v>
      </c>
      <c r="N1089">
        <v>31216</v>
      </c>
      <c r="O1089">
        <v>51</v>
      </c>
      <c r="P1089">
        <v>0</v>
      </c>
      <c r="Q1089">
        <v>87</v>
      </c>
      <c r="R1089">
        <v>4065</v>
      </c>
      <c r="S1089" t="s">
        <v>44</v>
      </c>
      <c r="T1089" t="s">
        <v>44</v>
      </c>
      <c r="U1089" t="s">
        <v>44</v>
      </c>
      <c r="V1089">
        <v>430</v>
      </c>
      <c r="W1089">
        <v>17</v>
      </c>
      <c r="X1089" t="s">
        <v>44</v>
      </c>
      <c r="Y1089">
        <v>32</v>
      </c>
      <c r="Z1089" t="s">
        <v>44</v>
      </c>
      <c r="AA1089">
        <v>1</v>
      </c>
      <c r="AB1089">
        <v>0</v>
      </c>
      <c r="AC1089">
        <v>0</v>
      </c>
      <c r="AD1089">
        <v>0</v>
      </c>
      <c r="AE1089">
        <v>48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482</v>
      </c>
      <c r="AQ1089">
        <f t="shared" si="39"/>
        <v>482</v>
      </c>
      <c r="AR1089" s="5">
        <f>VLOOKUP(F1089,'[2]SCP_24-25'!$A:$D,4,0)</f>
        <v>75.010000000000005</v>
      </c>
      <c r="AS1089" s="5">
        <f t="shared" si="38"/>
        <v>36154.82</v>
      </c>
    </row>
    <row r="1090" spans="1:45" x14ac:dyDescent="0.3">
      <c r="A1090" s="1">
        <v>45900.963194444441</v>
      </c>
      <c r="B1090" t="s">
        <v>1463</v>
      </c>
      <c r="C1090" t="s">
        <v>1464</v>
      </c>
      <c r="D1090" t="s">
        <v>181</v>
      </c>
      <c r="F1090" t="s">
        <v>1568</v>
      </c>
      <c r="G1090" t="s">
        <v>182</v>
      </c>
      <c r="H1090" t="s">
        <v>66</v>
      </c>
      <c r="I1090" t="s">
        <v>43</v>
      </c>
      <c r="J1090">
        <v>206</v>
      </c>
      <c r="K1090">
        <v>19</v>
      </c>
      <c r="L1090">
        <v>9.5</v>
      </c>
      <c r="M1090">
        <v>11</v>
      </c>
      <c r="N1090">
        <v>17448</v>
      </c>
      <c r="O1090">
        <v>2</v>
      </c>
      <c r="P1090">
        <v>0</v>
      </c>
      <c r="Q1090">
        <v>135</v>
      </c>
      <c r="R1090">
        <v>2064</v>
      </c>
      <c r="S1090" t="s">
        <v>44</v>
      </c>
      <c r="T1090" t="s">
        <v>44</v>
      </c>
      <c r="U1090" t="s">
        <v>44</v>
      </c>
      <c r="V1090">
        <v>322</v>
      </c>
      <c r="W1090">
        <v>4</v>
      </c>
      <c r="X1090" t="s">
        <v>44</v>
      </c>
      <c r="Y1090" t="s">
        <v>44</v>
      </c>
      <c r="Z1090" t="s">
        <v>44</v>
      </c>
      <c r="AA1090">
        <v>0</v>
      </c>
      <c r="AB1090">
        <v>0</v>
      </c>
      <c r="AC1090">
        <v>0</v>
      </c>
      <c r="AD1090">
        <v>0</v>
      </c>
      <c r="AE1090">
        <v>146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324</v>
      </c>
      <c r="AQ1090">
        <f t="shared" si="39"/>
        <v>324</v>
      </c>
      <c r="AR1090" s="5">
        <f>VLOOKUP(F1090,'[2]SCP_24-25'!$A:$D,4,0)</f>
        <v>61.72</v>
      </c>
      <c r="AS1090" s="5">
        <f t="shared" si="38"/>
        <v>19997.28</v>
      </c>
    </row>
    <row r="1091" spans="1:45" x14ac:dyDescent="0.3">
      <c r="A1091" s="1">
        <v>45900.963194444441</v>
      </c>
      <c r="B1091" t="s">
        <v>1463</v>
      </c>
      <c r="C1091" t="s">
        <v>1464</v>
      </c>
      <c r="D1091" t="s">
        <v>113</v>
      </c>
      <c r="E1091" t="s">
        <v>208</v>
      </c>
      <c r="F1091" t="s">
        <v>1580</v>
      </c>
      <c r="G1091" t="s">
        <v>209</v>
      </c>
      <c r="H1091" t="s">
        <v>66</v>
      </c>
      <c r="I1091" t="s">
        <v>43</v>
      </c>
      <c r="J1091">
        <v>23</v>
      </c>
      <c r="K1091">
        <v>19</v>
      </c>
      <c r="L1091">
        <v>9.5</v>
      </c>
      <c r="M1091">
        <v>11</v>
      </c>
      <c r="N1091">
        <v>5932</v>
      </c>
      <c r="O1091">
        <v>0</v>
      </c>
      <c r="P1091">
        <v>0</v>
      </c>
      <c r="Q1091">
        <v>6</v>
      </c>
      <c r="R1091">
        <v>1230</v>
      </c>
      <c r="S1091" t="s">
        <v>44</v>
      </c>
      <c r="T1091" t="s">
        <v>44</v>
      </c>
      <c r="U1091" t="s">
        <v>44</v>
      </c>
      <c r="V1091">
        <v>7</v>
      </c>
      <c r="W1091">
        <v>3</v>
      </c>
      <c r="X1091" t="s">
        <v>44</v>
      </c>
      <c r="Y1091" t="s">
        <v>44</v>
      </c>
      <c r="Z1091" t="s">
        <v>44</v>
      </c>
      <c r="AA1091">
        <v>0</v>
      </c>
      <c r="AB1091">
        <v>0</v>
      </c>
      <c r="AC1091">
        <v>0</v>
      </c>
      <c r="AD1091">
        <v>0</v>
      </c>
      <c r="AE1091">
        <v>278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7</v>
      </c>
      <c r="AQ1091">
        <f t="shared" si="39"/>
        <v>7</v>
      </c>
      <c r="AR1091" s="5">
        <f>VLOOKUP(F1091,'[2]SCP_24-25'!$A:$D,4,0)</f>
        <v>11.96</v>
      </c>
      <c r="AS1091" s="5">
        <f t="shared" ref="AS1091:AS1154" si="40">AQ1091*AR1091</f>
        <v>83.72</v>
      </c>
    </row>
    <row r="1092" spans="1:45" x14ac:dyDescent="0.3">
      <c r="A1092" s="1">
        <v>45900.963194444441</v>
      </c>
      <c r="B1092" t="s">
        <v>1463</v>
      </c>
      <c r="C1092" t="s">
        <v>1464</v>
      </c>
      <c r="D1092" t="s">
        <v>218</v>
      </c>
      <c r="F1092" t="s">
        <v>1584</v>
      </c>
      <c r="G1092" t="s">
        <v>219</v>
      </c>
      <c r="H1092" t="s">
        <v>66</v>
      </c>
      <c r="I1092" t="s">
        <v>43</v>
      </c>
      <c r="J1092">
        <v>133</v>
      </c>
      <c r="K1092">
        <v>19</v>
      </c>
      <c r="L1092">
        <v>10</v>
      </c>
      <c r="M1092">
        <v>11</v>
      </c>
      <c r="N1092">
        <v>17281</v>
      </c>
      <c r="O1092">
        <v>151</v>
      </c>
      <c r="P1092">
        <v>0</v>
      </c>
      <c r="Q1092">
        <v>699</v>
      </c>
      <c r="R1092">
        <v>1378</v>
      </c>
      <c r="S1092" t="s">
        <v>44</v>
      </c>
      <c r="T1092">
        <v>12</v>
      </c>
      <c r="U1092" t="s">
        <v>44</v>
      </c>
      <c r="V1092">
        <v>10</v>
      </c>
      <c r="W1092">
        <v>16</v>
      </c>
      <c r="X1092" t="s">
        <v>44</v>
      </c>
      <c r="Y1092" t="s">
        <v>44</v>
      </c>
      <c r="Z1092" t="s">
        <v>44</v>
      </c>
      <c r="AA1092">
        <v>0</v>
      </c>
      <c r="AB1092">
        <v>0</v>
      </c>
      <c r="AC1092">
        <v>0</v>
      </c>
      <c r="AD1092">
        <v>0</v>
      </c>
      <c r="AE1092">
        <v>122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161</v>
      </c>
      <c r="AQ1092">
        <f t="shared" si="39"/>
        <v>161</v>
      </c>
      <c r="AR1092" s="5">
        <f>VLOOKUP(F1092,'[2]SCP_24-25'!$A:$D,4,0)</f>
        <v>32.03</v>
      </c>
      <c r="AS1092" s="5">
        <f t="shared" si="40"/>
        <v>5156.83</v>
      </c>
    </row>
    <row r="1093" spans="1:45" x14ac:dyDescent="0.3">
      <c r="A1093" s="1">
        <v>45900.963194444441</v>
      </c>
      <c r="B1093" t="s">
        <v>1463</v>
      </c>
      <c r="C1093" t="s">
        <v>1464</v>
      </c>
      <c r="D1093" t="s">
        <v>222</v>
      </c>
      <c r="F1093" t="s">
        <v>1586</v>
      </c>
      <c r="G1093" t="s">
        <v>223</v>
      </c>
      <c r="H1093" t="s">
        <v>66</v>
      </c>
      <c r="I1093" t="s">
        <v>43</v>
      </c>
      <c r="J1093">
        <v>91</v>
      </c>
      <c r="K1093">
        <v>19</v>
      </c>
      <c r="L1093">
        <v>10</v>
      </c>
      <c r="M1093">
        <v>11</v>
      </c>
      <c r="N1093">
        <v>29111</v>
      </c>
      <c r="O1093">
        <v>32</v>
      </c>
      <c r="P1093">
        <v>0</v>
      </c>
      <c r="Q1093">
        <v>62</v>
      </c>
      <c r="R1093">
        <v>5615</v>
      </c>
      <c r="S1093" t="s">
        <v>44</v>
      </c>
      <c r="T1093" t="s">
        <v>44</v>
      </c>
      <c r="U1093" t="s">
        <v>44</v>
      </c>
      <c r="V1093">
        <v>92</v>
      </c>
      <c r="W1093">
        <v>7</v>
      </c>
      <c r="X1093" t="s">
        <v>44</v>
      </c>
      <c r="Y1093">
        <v>63</v>
      </c>
      <c r="Z1093" t="s">
        <v>44</v>
      </c>
      <c r="AA1093">
        <v>0</v>
      </c>
      <c r="AB1093">
        <v>0</v>
      </c>
      <c r="AC1093">
        <v>0</v>
      </c>
      <c r="AD1093">
        <v>0</v>
      </c>
      <c r="AE1093">
        <v>401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124</v>
      </c>
      <c r="AQ1093">
        <f t="shared" si="39"/>
        <v>124</v>
      </c>
      <c r="AR1093" s="5">
        <f>VLOOKUP(F1093,'[2]SCP_24-25'!$A:$D,4,0)</f>
        <v>60.73</v>
      </c>
      <c r="AS1093" s="5">
        <f t="shared" si="40"/>
        <v>7530.5199999999995</v>
      </c>
    </row>
    <row r="1094" spans="1:45" x14ac:dyDescent="0.3">
      <c r="A1094" s="1">
        <v>45900.963194444441</v>
      </c>
      <c r="B1094" t="s">
        <v>1463</v>
      </c>
      <c r="C1094" t="s">
        <v>1464</v>
      </c>
      <c r="D1094" t="s">
        <v>228</v>
      </c>
      <c r="F1094" t="s">
        <v>1589</v>
      </c>
      <c r="G1094" t="s">
        <v>229</v>
      </c>
      <c r="H1094" t="s">
        <v>66</v>
      </c>
      <c r="I1094" t="s">
        <v>43</v>
      </c>
      <c r="J1094">
        <v>79</v>
      </c>
      <c r="K1094">
        <v>19</v>
      </c>
      <c r="L1094">
        <v>10</v>
      </c>
      <c r="M1094">
        <v>11</v>
      </c>
      <c r="N1094">
        <v>16206</v>
      </c>
      <c r="O1094">
        <v>89</v>
      </c>
      <c r="P1094">
        <v>0</v>
      </c>
      <c r="Q1094">
        <v>39</v>
      </c>
      <c r="R1094">
        <v>1637</v>
      </c>
      <c r="S1094" t="s">
        <v>44</v>
      </c>
      <c r="T1094" t="s">
        <v>44</v>
      </c>
      <c r="U1094" t="s">
        <v>44</v>
      </c>
      <c r="V1094">
        <v>261</v>
      </c>
      <c r="W1094">
        <v>11</v>
      </c>
      <c r="X1094" t="s">
        <v>44</v>
      </c>
      <c r="Y1094">
        <v>4</v>
      </c>
      <c r="Z1094" t="s">
        <v>44</v>
      </c>
      <c r="AA1094">
        <v>0</v>
      </c>
      <c r="AB1094">
        <v>0</v>
      </c>
      <c r="AC1094">
        <v>0</v>
      </c>
      <c r="AD1094">
        <v>0</v>
      </c>
      <c r="AE1094">
        <v>53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350</v>
      </c>
      <c r="AQ1094">
        <f t="shared" si="39"/>
        <v>350</v>
      </c>
      <c r="AR1094" s="5">
        <f>VLOOKUP(F1094,'[2]SCP_24-25'!$A:$D,4,0)</f>
        <v>69.61</v>
      </c>
      <c r="AS1094" s="5">
        <f t="shared" si="40"/>
        <v>24363.5</v>
      </c>
    </row>
    <row r="1095" spans="1:45" x14ac:dyDescent="0.3">
      <c r="A1095" s="1">
        <v>45900.963194444441</v>
      </c>
      <c r="B1095" t="s">
        <v>1463</v>
      </c>
      <c r="C1095" t="s">
        <v>1464</v>
      </c>
      <c r="D1095" t="s">
        <v>232</v>
      </c>
      <c r="E1095" t="s">
        <v>233</v>
      </c>
      <c r="F1095" t="s">
        <v>1591</v>
      </c>
      <c r="G1095" t="s">
        <v>234</v>
      </c>
      <c r="H1095" t="s">
        <v>66</v>
      </c>
      <c r="I1095" t="s">
        <v>43</v>
      </c>
      <c r="J1095">
        <v>95</v>
      </c>
      <c r="K1095">
        <v>19</v>
      </c>
      <c r="L1095">
        <v>11</v>
      </c>
      <c r="M1095">
        <v>9.5</v>
      </c>
      <c r="N1095">
        <v>119294</v>
      </c>
      <c r="O1095">
        <v>317</v>
      </c>
      <c r="P1095">
        <v>0</v>
      </c>
      <c r="Q1095">
        <v>102</v>
      </c>
      <c r="R1095">
        <v>8948</v>
      </c>
      <c r="S1095" t="s">
        <v>44</v>
      </c>
      <c r="T1095">
        <v>1</v>
      </c>
      <c r="U1095" t="s">
        <v>44</v>
      </c>
      <c r="V1095">
        <v>304</v>
      </c>
      <c r="W1095">
        <v>10</v>
      </c>
      <c r="X1095" t="s">
        <v>44</v>
      </c>
      <c r="Y1095" t="s">
        <v>44</v>
      </c>
      <c r="Z1095" t="s">
        <v>44</v>
      </c>
      <c r="AA1095">
        <v>4</v>
      </c>
      <c r="AB1095">
        <v>0</v>
      </c>
      <c r="AC1095">
        <v>0</v>
      </c>
      <c r="AD1095">
        <v>0</v>
      </c>
      <c r="AE1095">
        <v>304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625</v>
      </c>
      <c r="AQ1095">
        <f t="shared" si="39"/>
        <v>625</v>
      </c>
      <c r="AR1095" s="5">
        <f>VLOOKUP(F1095,'[2]SCP_24-25'!$A:$D,4,0)</f>
        <v>70.52</v>
      </c>
      <c r="AS1095" s="5">
        <f t="shared" si="40"/>
        <v>44075</v>
      </c>
    </row>
    <row r="1096" spans="1:45" x14ac:dyDescent="0.3">
      <c r="A1096" s="1">
        <v>45900.963194444441</v>
      </c>
      <c r="B1096" t="s">
        <v>1463</v>
      </c>
      <c r="C1096" t="s">
        <v>1464</v>
      </c>
      <c r="D1096" t="s">
        <v>235</v>
      </c>
      <c r="F1096" t="s">
        <v>1592</v>
      </c>
      <c r="G1096" t="s">
        <v>236</v>
      </c>
      <c r="H1096" t="s">
        <v>66</v>
      </c>
      <c r="I1096" t="s">
        <v>43</v>
      </c>
      <c r="J1096">
        <v>90</v>
      </c>
      <c r="K1096">
        <v>19</v>
      </c>
      <c r="L1096">
        <v>9.5</v>
      </c>
      <c r="M1096">
        <v>11</v>
      </c>
      <c r="N1096">
        <v>8153</v>
      </c>
      <c r="O1096">
        <v>0</v>
      </c>
      <c r="P1096">
        <v>0</v>
      </c>
      <c r="Q1096">
        <v>54</v>
      </c>
      <c r="R1096">
        <v>1476</v>
      </c>
      <c r="S1096" t="s">
        <v>44</v>
      </c>
      <c r="T1096" t="s">
        <v>44</v>
      </c>
      <c r="U1096" t="s">
        <v>44</v>
      </c>
      <c r="V1096">
        <v>588</v>
      </c>
      <c r="W1096">
        <v>14</v>
      </c>
      <c r="X1096" t="s">
        <v>44</v>
      </c>
      <c r="Y1096" t="s">
        <v>44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226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588</v>
      </c>
      <c r="AQ1096">
        <f t="shared" si="39"/>
        <v>588</v>
      </c>
      <c r="AR1096" s="5">
        <f>VLOOKUP(F1096,'[2]SCP_24-25'!$A:$D,4,0)</f>
        <v>52.010000000000005</v>
      </c>
      <c r="AS1096" s="5">
        <f t="shared" si="40"/>
        <v>30581.880000000005</v>
      </c>
    </row>
    <row r="1097" spans="1:45" x14ac:dyDescent="0.3">
      <c r="A1097" s="1">
        <v>45900.963194444441</v>
      </c>
      <c r="B1097" t="s">
        <v>1463</v>
      </c>
      <c r="C1097" t="s">
        <v>1464</v>
      </c>
      <c r="D1097" t="s">
        <v>242</v>
      </c>
      <c r="E1097" t="s">
        <v>243</v>
      </c>
      <c r="F1097" t="s">
        <v>1595</v>
      </c>
      <c r="G1097" t="s">
        <v>244</v>
      </c>
      <c r="H1097" t="s">
        <v>66</v>
      </c>
      <c r="I1097" t="s">
        <v>43</v>
      </c>
      <c r="J1097">
        <v>35</v>
      </c>
      <c r="K1097">
        <v>19</v>
      </c>
      <c r="L1097">
        <v>11</v>
      </c>
      <c r="M1097">
        <v>9.5</v>
      </c>
      <c r="N1097">
        <v>9266</v>
      </c>
      <c r="O1097">
        <v>0</v>
      </c>
      <c r="P1097">
        <v>0</v>
      </c>
      <c r="Q1097">
        <v>47</v>
      </c>
      <c r="R1097">
        <v>1300</v>
      </c>
      <c r="S1097" t="s">
        <v>44</v>
      </c>
      <c r="T1097" t="s">
        <v>44</v>
      </c>
      <c r="U1097" t="s">
        <v>44</v>
      </c>
      <c r="V1097">
        <v>399</v>
      </c>
      <c r="W1097">
        <v>2</v>
      </c>
      <c r="X1097" t="s">
        <v>44</v>
      </c>
      <c r="Y1097">
        <v>4</v>
      </c>
      <c r="Z1097" t="s">
        <v>44</v>
      </c>
      <c r="AA1097">
        <v>0</v>
      </c>
      <c r="AB1097">
        <v>0</v>
      </c>
      <c r="AC1097">
        <v>0</v>
      </c>
      <c r="AD1097">
        <v>0</v>
      </c>
      <c r="AE1097">
        <v>62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399</v>
      </c>
      <c r="AQ1097">
        <f t="shared" si="39"/>
        <v>399</v>
      </c>
      <c r="AR1097" s="5">
        <f>VLOOKUP(F1097,'[2]SCP_24-25'!$A:$D,4,0)</f>
        <v>31.06</v>
      </c>
      <c r="AS1097" s="5">
        <f t="shared" si="40"/>
        <v>12392.939999999999</v>
      </c>
    </row>
    <row r="1098" spans="1:45" x14ac:dyDescent="0.3">
      <c r="A1098" s="1">
        <v>45900.963194444441</v>
      </c>
      <c r="B1098" t="s">
        <v>1463</v>
      </c>
      <c r="C1098" t="s">
        <v>1464</v>
      </c>
      <c r="D1098" t="s">
        <v>245</v>
      </c>
      <c r="E1098" t="s">
        <v>246</v>
      </c>
      <c r="F1098" t="s">
        <v>1596</v>
      </c>
      <c r="G1098" t="s">
        <v>247</v>
      </c>
      <c r="H1098" t="s">
        <v>66</v>
      </c>
      <c r="I1098" t="s">
        <v>43</v>
      </c>
      <c r="J1098">
        <v>35</v>
      </c>
      <c r="K1098">
        <v>19</v>
      </c>
      <c r="L1098">
        <v>11</v>
      </c>
      <c r="M1098">
        <v>9.5</v>
      </c>
      <c r="N1098">
        <v>15331</v>
      </c>
      <c r="O1098">
        <v>10</v>
      </c>
      <c r="P1098">
        <v>0</v>
      </c>
      <c r="Q1098">
        <v>22</v>
      </c>
      <c r="R1098">
        <v>1661</v>
      </c>
      <c r="S1098" t="s">
        <v>44</v>
      </c>
      <c r="T1098" t="s">
        <v>44</v>
      </c>
      <c r="U1098" t="s">
        <v>44</v>
      </c>
      <c r="V1098">
        <v>4</v>
      </c>
      <c r="W1098">
        <v>4</v>
      </c>
      <c r="X1098" t="s">
        <v>44</v>
      </c>
      <c r="Y1098" t="s">
        <v>44</v>
      </c>
      <c r="Z1098" t="s">
        <v>44</v>
      </c>
      <c r="AA1098">
        <v>1</v>
      </c>
      <c r="AB1098">
        <v>0</v>
      </c>
      <c r="AC1098">
        <v>0</v>
      </c>
      <c r="AD1098">
        <v>0</v>
      </c>
      <c r="AE1098">
        <v>7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15</v>
      </c>
      <c r="AQ1098">
        <f t="shared" si="39"/>
        <v>15</v>
      </c>
      <c r="AR1098" s="5">
        <f>VLOOKUP(F1098,'[2]SCP_24-25'!$A:$D,4,0)</f>
        <v>26.27</v>
      </c>
      <c r="AS1098" s="5">
        <f t="shared" si="40"/>
        <v>394.05</v>
      </c>
    </row>
    <row r="1099" spans="1:45" x14ac:dyDescent="0.3">
      <c r="A1099" s="1">
        <v>45900.963194444441</v>
      </c>
      <c r="B1099" t="s">
        <v>1463</v>
      </c>
      <c r="C1099" t="s">
        <v>1464</v>
      </c>
      <c r="D1099" t="s">
        <v>888</v>
      </c>
      <c r="E1099" t="s">
        <v>889</v>
      </c>
      <c r="F1099" t="s">
        <v>1895</v>
      </c>
      <c r="G1099" t="s">
        <v>890</v>
      </c>
      <c r="H1099" t="s">
        <v>66</v>
      </c>
      <c r="I1099" t="s">
        <v>43</v>
      </c>
      <c r="J1099">
        <v>35</v>
      </c>
      <c r="K1099">
        <v>19</v>
      </c>
      <c r="L1099">
        <v>11</v>
      </c>
      <c r="M1099">
        <v>9.5</v>
      </c>
      <c r="N1099">
        <v>4646</v>
      </c>
      <c r="O1099">
        <v>0</v>
      </c>
      <c r="P1099">
        <v>0</v>
      </c>
      <c r="Q1099">
        <v>73</v>
      </c>
      <c r="R1099">
        <v>923</v>
      </c>
      <c r="S1099" t="s">
        <v>44</v>
      </c>
      <c r="T1099" t="s">
        <v>44</v>
      </c>
      <c r="U1099" t="s">
        <v>44</v>
      </c>
      <c r="V1099">
        <v>39</v>
      </c>
      <c r="W1099" t="s">
        <v>44</v>
      </c>
      <c r="X1099" t="s">
        <v>44</v>
      </c>
      <c r="Y1099" t="s">
        <v>44</v>
      </c>
      <c r="Z1099" t="s">
        <v>44</v>
      </c>
      <c r="AA1099">
        <v>0</v>
      </c>
      <c r="AB1099">
        <v>0</v>
      </c>
      <c r="AC1099">
        <v>0</v>
      </c>
      <c r="AD1099">
        <v>0</v>
      </c>
      <c r="AE1099">
        <v>351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39</v>
      </c>
      <c r="AQ1099">
        <f t="shared" si="39"/>
        <v>39</v>
      </c>
      <c r="AR1099" s="5">
        <f>VLOOKUP(F1099,'[2]SCP_24-25'!$A:$D,4,0)</f>
        <v>37.06</v>
      </c>
      <c r="AS1099" s="5">
        <f t="shared" si="40"/>
        <v>1445.3400000000001</v>
      </c>
    </row>
    <row r="1100" spans="1:45" x14ac:dyDescent="0.3">
      <c r="A1100" s="1">
        <v>45900.963194444441</v>
      </c>
      <c r="B1100" t="s">
        <v>1463</v>
      </c>
      <c r="C1100" t="s">
        <v>1464</v>
      </c>
      <c r="D1100" t="s">
        <v>251</v>
      </c>
      <c r="E1100" t="s">
        <v>252</v>
      </c>
      <c r="F1100" t="s">
        <v>1598</v>
      </c>
      <c r="G1100" t="s">
        <v>253</v>
      </c>
      <c r="H1100" t="s">
        <v>66</v>
      </c>
      <c r="I1100" t="s">
        <v>43</v>
      </c>
      <c r="J1100">
        <v>35</v>
      </c>
      <c r="K1100">
        <v>19</v>
      </c>
      <c r="L1100">
        <v>11</v>
      </c>
      <c r="M1100">
        <v>9.5</v>
      </c>
      <c r="N1100">
        <v>20316</v>
      </c>
      <c r="O1100">
        <v>67</v>
      </c>
      <c r="P1100">
        <v>0</v>
      </c>
      <c r="Q1100">
        <v>246</v>
      </c>
      <c r="R1100">
        <v>2370</v>
      </c>
      <c r="S1100" t="s">
        <v>44</v>
      </c>
      <c r="T1100" t="s">
        <v>44</v>
      </c>
      <c r="U1100" t="s">
        <v>44</v>
      </c>
      <c r="V1100">
        <v>0</v>
      </c>
      <c r="W1100">
        <v>1</v>
      </c>
      <c r="X1100" t="s">
        <v>44</v>
      </c>
      <c r="Y1100" t="s">
        <v>44</v>
      </c>
      <c r="Z1100" t="s">
        <v>44</v>
      </c>
      <c r="AA1100">
        <v>1</v>
      </c>
      <c r="AB1100">
        <v>0</v>
      </c>
      <c r="AC1100">
        <v>0</v>
      </c>
      <c r="AD1100">
        <v>0</v>
      </c>
      <c r="AE1100">
        <v>255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68</v>
      </c>
      <c r="AQ1100">
        <f t="shared" si="39"/>
        <v>68</v>
      </c>
      <c r="AR1100" s="5">
        <f>VLOOKUP(F1100,'[2]SCP_24-25'!$A:$D,4,0)</f>
        <v>28.82</v>
      </c>
      <c r="AS1100" s="5">
        <f t="shared" si="40"/>
        <v>1959.76</v>
      </c>
    </row>
    <row r="1101" spans="1:45" x14ac:dyDescent="0.3">
      <c r="A1101" s="1">
        <v>45900.963194444441</v>
      </c>
      <c r="B1101" t="s">
        <v>1463</v>
      </c>
      <c r="C1101" t="s">
        <v>1464</v>
      </c>
      <c r="D1101" t="s">
        <v>257</v>
      </c>
      <c r="E1101" t="s">
        <v>258</v>
      </c>
      <c r="F1101" t="s">
        <v>1600</v>
      </c>
      <c r="G1101" t="s">
        <v>259</v>
      </c>
      <c r="H1101" t="s">
        <v>66</v>
      </c>
      <c r="I1101" t="s">
        <v>43</v>
      </c>
      <c r="J1101">
        <v>200</v>
      </c>
      <c r="K1101">
        <v>19</v>
      </c>
      <c r="L1101">
        <v>11</v>
      </c>
      <c r="M1101">
        <v>9.5</v>
      </c>
      <c r="N1101">
        <v>13826</v>
      </c>
      <c r="O1101">
        <v>6</v>
      </c>
      <c r="P1101">
        <v>0</v>
      </c>
      <c r="Q1101">
        <v>27</v>
      </c>
      <c r="R1101">
        <v>1785</v>
      </c>
      <c r="S1101" t="s">
        <v>44</v>
      </c>
      <c r="T1101" t="s">
        <v>44</v>
      </c>
      <c r="U1101" t="s">
        <v>44</v>
      </c>
      <c r="V1101">
        <v>53</v>
      </c>
      <c r="W1101">
        <v>2</v>
      </c>
      <c r="X1101" t="s">
        <v>44</v>
      </c>
      <c r="Y1101" t="s">
        <v>44</v>
      </c>
      <c r="Z1101" t="s">
        <v>44</v>
      </c>
      <c r="AA1101">
        <v>0</v>
      </c>
      <c r="AB1101">
        <v>0</v>
      </c>
      <c r="AC1101">
        <v>0</v>
      </c>
      <c r="AD1101">
        <v>0</v>
      </c>
      <c r="AE1101">
        <v>91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59</v>
      </c>
      <c r="AQ1101">
        <f t="shared" si="39"/>
        <v>59</v>
      </c>
      <c r="AR1101" s="5">
        <f>VLOOKUP(F1101,'[2]SCP_24-25'!$A:$D,4,0)</f>
        <v>62.99</v>
      </c>
      <c r="AS1101" s="5">
        <f t="shared" si="40"/>
        <v>3716.4100000000003</v>
      </c>
    </row>
    <row r="1102" spans="1:45" x14ac:dyDescent="0.3">
      <c r="A1102" s="1">
        <v>45900.963194444441</v>
      </c>
      <c r="B1102" t="s">
        <v>1463</v>
      </c>
      <c r="C1102" t="s">
        <v>1464</v>
      </c>
      <c r="D1102" t="s">
        <v>266</v>
      </c>
      <c r="E1102" t="s">
        <v>267</v>
      </c>
      <c r="F1102" t="s">
        <v>1603</v>
      </c>
      <c r="G1102" t="s">
        <v>268</v>
      </c>
      <c r="H1102" t="s">
        <v>66</v>
      </c>
      <c r="I1102" t="s">
        <v>43</v>
      </c>
      <c r="J1102">
        <v>120</v>
      </c>
      <c r="K1102">
        <v>19</v>
      </c>
      <c r="L1102">
        <v>11</v>
      </c>
      <c r="M1102">
        <v>9.5</v>
      </c>
      <c r="N1102">
        <v>29510</v>
      </c>
      <c r="O1102">
        <v>152</v>
      </c>
      <c r="P1102">
        <v>0</v>
      </c>
      <c r="Q1102">
        <v>21</v>
      </c>
      <c r="R1102">
        <v>2722</v>
      </c>
      <c r="S1102" t="s">
        <v>44</v>
      </c>
      <c r="T1102" t="s">
        <v>44</v>
      </c>
      <c r="U1102" t="s">
        <v>44</v>
      </c>
      <c r="V1102">
        <v>7</v>
      </c>
      <c r="W1102">
        <v>15</v>
      </c>
      <c r="X1102" t="s">
        <v>44</v>
      </c>
      <c r="Y1102" t="s">
        <v>44</v>
      </c>
      <c r="Z1102" t="s">
        <v>44</v>
      </c>
      <c r="AA1102">
        <v>2</v>
      </c>
      <c r="AB1102">
        <v>0</v>
      </c>
      <c r="AC1102">
        <v>0</v>
      </c>
      <c r="AD1102">
        <v>0</v>
      </c>
      <c r="AE1102">
        <v>8</v>
      </c>
      <c r="AF1102">
        <v>2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161</v>
      </c>
      <c r="AQ1102">
        <f t="shared" si="39"/>
        <v>161</v>
      </c>
      <c r="AR1102" s="5">
        <f>VLOOKUP(F1102,'[2]SCP_24-25'!$A:$D,4,0)</f>
        <v>43.71</v>
      </c>
      <c r="AS1102" s="5">
        <f t="shared" si="40"/>
        <v>7037.31</v>
      </c>
    </row>
    <row r="1103" spans="1:45" x14ac:dyDescent="0.3">
      <c r="A1103" s="1">
        <v>45900.963194444441</v>
      </c>
      <c r="B1103" t="s">
        <v>1463</v>
      </c>
      <c r="C1103" t="s">
        <v>1464</v>
      </c>
      <c r="D1103" t="s">
        <v>891</v>
      </c>
      <c r="E1103" t="s">
        <v>892</v>
      </c>
      <c r="F1103" t="s">
        <v>1896</v>
      </c>
      <c r="G1103" t="s">
        <v>893</v>
      </c>
      <c r="H1103" t="s">
        <v>66</v>
      </c>
      <c r="I1103" t="s">
        <v>43</v>
      </c>
      <c r="J1103">
        <v>50</v>
      </c>
      <c r="K1103">
        <v>19</v>
      </c>
      <c r="L1103">
        <v>11</v>
      </c>
      <c r="M1103">
        <v>9.5</v>
      </c>
      <c r="N1103">
        <v>196</v>
      </c>
      <c r="O1103">
        <v>0</v>
      </c>
      <c r="P1103">
        <v>0</v>
      </c>
      <c r="Q1103">
        <v>9</v>
      </c>
      <c r="R1103" t="s">
        <v>44</v>
      </c>
      <c r="S1103" t="s">
        <v>44</v>
      </c>
      <c r="T1103" t="s">
        <v>44</v>
      </c>
      <c r="U1103" t="s">
        <v>44</v>
      </c>
      <c r="V1103">
        <v>6</v>
      </c>
      <c r="W1103" t="s">
        <v>44</v>
      </c>
      <c r="X1103" t="s">
        <v>44</v>
      </c>
      <c r="Y1103" t="s">
        <v>44</v>
      </c>
      <c r="Z1103" t="s">
        <v>44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6</v>
      </c>
      <c r="AQ1103">
        <f t="shared" si="39"/>
        <v>6</v>
      </c>
      <c r="AR1103" s="5">
        <f>VLOOKUP(F1103,'[1]Cost Sheet'!$C:$D,2,0)</f>
        <v>55.05</v>
      </c>
      <c r="AS1103" s="5">
        <f t="shared" si="40"/>
        <v>330.29999999999995</v>
      </c>
    </row>
    <row r="1104" spans="1:45" x14ac:dyDescent="0.3">
      <c r="A1104" s="1">
        <v>45900.963194444441</v>
      </c>
      <c r="B1104" t="s">
        <v>1463</v>
      </c>
      <c r="C1104" t="s">
        <v>1464</v>
      </c>
      <c r="D1104" t="s">
        <v>272</v>
      </c>
      <c r="F1104" t="s">
        <v>1605</v>
      </c>
      <c r="G1104" t="s">
        <v>273</v>
      </c>
      <c r="H1104" t="s">
        <v>66</v>
      </c>
      <c r="I1104" t="s">
        <v>43</v>
      </c>
      <c r="J1104">
        <v>200</v>
      </c>
      <c r="K1104">
        <v>19</v>
      </c>
      <c r="L1104">
        <v>9.5</v>
      </c>
      <c r="M1104">
        <v>11</v>
      </c>
      <c r="N1104">
        <v>898</v>
      </c>
      <c r="O1104">
        <v>0</v>
      </c>
      <c r="P1104">
        <v>0</v>
      </c>
      <c r="Q1104">
        <v>6</v>
      </c>
      <c r="R1104">
        <v>1</v>
      </c>
      <c r="S1104" t="s">
        <v>44</v>
      </c>
      <c r="T1104" t="s">
        <v>44</v>
      </c>
      <c r="U1104" t="s">
        <v>44</v>
      </c>
      <c r="V1104">
        <v>5</v>
      </c>
      <c r="W1104" t="s">
        <v>44</v>
      </c>
      <c r="X1104" t="s">
        <v>44</v>
      </c>
      <c r="Y1104" t="s">
        <v>44</v>
      </c>
      <c r="Z1104" t="s">
        <v>44</v>
      </c>
      <c r="AA1104">
        <v>0</v>
      </c>
      <c r="AB1104">
        <v>0</v>
      </c>
      <c r="AC1104">
        <v>0</v>
      </c>
      <c r="AD1104">
        <v>0</v>
      </c>
      <c r="AE1104">
        <v>42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5</v>
      </c>
      <c r="AQ1104">
        <f t="shared" si="39"/>
        <v>5</v>
      </c>
      <c r="AR1104" s="5">
        <f>VLOOKUP(F1104,'[2]SCP_24-25'!$A:$D,4,0)</f>
        <v>66.42</v>
      </c>
      <c r="AS1104" s="5">
        <f t="shared" si="40"/>
        <v>332.1</v>
      </c>
    </row>
    <row r="1105" spans="1:45" x14ac:dyDescent="0.3">
      <c r="A1105" s="1">
        <v>45900.963194444441</v>
      </c>
      <c r="B1105" t="s">
        <v>1463</v>
      </c>
      <c r="C1105" t="s">
        <v>1464</v>
      </c>
      <c r="D1105" t="s">
        <v>289</v>
      </c>
      <c r="E1105" t="s">
        <v>290</v>
      </c>
      <c r="F1105" t="s">
        <v>1611</v>
      </c>
      <c r="G1105" t="s">
        <v>291</v>
      </c>
      <c r="H1105" t="s">
        <v>103</v>
      </c>
      <c r="I1105" t="s">
        <v>43</v>
      </c>
      <c r="J1105">
        <v>138.99</v>
      </c>
      <c r="K1105">
        <v>19</v>
      </c>
      <c r="L1105">
        <v>9.5</v>
      </c>
      <c r="M1105">
        <v>11</v>
      </c>
      <c r="N1105">
        <v>12987</v>
      </c>
      <c r="O1105">
        <v>18</v>
      </c>
      <c r="P1105">
        <v>0</v>
      </c>
      <c r="Q1105">
        <v>51</v>
      </c>
      <c r="R1105">
        <v>1345</v>
      </c>
      <c r="S1105" t="s">
        <v>44</v>
      </c>
      <c r="T1105" t="s">
        <v>44</v>
      </c>
      <c r="U1105" t="s">
        <v>44</v>
      </c>
      <c r="V1105">
        <v>494</v>
      </c>
      <c r="W1105">
        <v>2</v>
      </c>
      <c r="X1105" t="s">
        <v>44</v>
      </c>
      <c r="Y1105" t="s">
        <v>44</v>
      </c>
      <c r="Z1105" t="s">
        <v>44</v>
      </c>
      <c r="AA1105">
        <v>0</v>
      </c>
      <c r="AB1105">
        <v>0</v>
      </c>
      <c r="AC1105">
        <v>0</v>
      </c>
      <c r="AD1105">
        <v>0</v>
      </c>
      <c r="AE1105">
        <v>64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512</v>
      </c>
      <c r="AQ1105">
        <f t="shared" si="39"/>
        <v>512</v>
      </c>
      <c r="AR1105" s="5">
        <f>VLOOKUP(F1105,'[2]SCP_24-25'!$A:$D,4,0)</f>
        <v>99.63</v>
      </c>
      <c r="AS1105" s="5">
        <f t="shared" si="40"/>
        <v>51010.559999999998</v>
      </c>
    </row>
    <row r="1106" spans="1:45" x14ac:dyDescent="0.3">
      <c r="A1106" s="1">
        <v>45900.963194444441</v>
      </c>
      <c r="B1106" t="s">
        <v>1463</v>
      </c>
      <c r="C1106" t="s">
        <v>1464</v>
      </c>
      <c r="D1106" t="s">
        <v>292</v>
      </c>
      <c r="E1106" t="s">
        <v>293</v>
      </c>
      <c r="F1106" t="s">
        <v>1612</v>
      </c>
      <c r="G1106" t="s">
        <v>294</v>
      </c>
      <c r="H1106" t="s">
        <v>103</v>
      </c>
      <c r="I1106" t="s">
        <v>43</v>
      </c>
      <c r="J1106">
        <v>125.02</v>
      </c>
      <c r="K1106">
        <v>19</v>
      </c>
      <c r="L1106">
        <v>9.5</v>
      </c>
      <c r="M1106">
        <v>11</v>
      </c>
      <c r="N1106">
        <v>18131</v>
      </c>
      <c r="O1106">
        <v>2</v>
      </c>
      <c r="P1106">
        <v>0</v>
      </c>
      <c r="Q1106">
        <v>71</v>
      </c>
      <c r="R1106">
        <v>2803</v>
      </c>
      <c r="S1106" t="s">
        <v>44</v>
      </c>
      <c r="T1106">
        <v>1</v>
      </c>
      <c r="U1106" t="s">
        <v>44</v>
      </c>
      <c r="V1106">
        <v>33</v>
      </c>
      <c r="W1106">
        <v>1</v>
      </c>
      <c r="X1106" t="s">
        <v>44</v>
      </c>
      <c r="Y1106" t="s">
        <v>44</v>
      </c>
      <c r="Z1106" t="s">
        <v>44</v>
      </c>
      <c r="AA1106">
        <v>0</v>
      </c>
      <c r="AB1106">
        <v>0</v>
      </c>
      <c r="AC1106">
        <v>0</v>
      </c>
      <c r="AD1106">
        <v>0</v>
      </c>
      <c r="AE1106">
        <v>88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35</v>
      </c>
      <c r="AQ1106">
        <f t="shared" si="39"/>
        <v>35</v>
      </c>
      <c r="AR1106" s="5">
        <f>VLOOKUP(F1106,'[2]SCP_24-25'!$A:$D,4,0)</f>
        <v>67.05</v>
      </c>
      <c r="AS1106" s="5">
        <f t="shared" si="40"/>
        <v>2346.75</v>
      </c>
    </row>
    <row r="1107" spans="1:45" x14ac:dyDescent="0.3">
      <c r="A1107" s="1">
        <v>45900.963194444441</v>
      </c>
      <c r="B1107" t="s">
        <v>1463</v>
      </c>
      <c r="C1107" t="s">
        <v>1464</v>
      </c>
      <c r="D1107" t="s">
        <v>297</v>
      </c>
      <c r="F1107" t="s">
        <v>1614</v>
      </c>
      <c r="G1107" t="s">
        <v>298</v>
      </c>
      <c r="H1107" t="s">
        <v>66</v>
      </c>
      <c r="I1107" t="s">
        <v>43</v>
      </c>
      <c r="J1107">
        <v>30</v>
      </c>
      <c r="K1107">
        <v>19</v>
      </c>
      <c r="L1107">
        <v>9.5</v>
      </c>
      <c r="M1107">
        <v>11</v>
      </c>
      <c r="N1107">
        <v>6143</v>
      </c>
      <c r="O1107">
        <v>0</v>
      </c>
      <c r="P1107">
        <v>0</v>
      </c>
      <c r="Q1107">
        <v>10</v>
      </c>
      <c r="R1107">
        <v>1079</v>
      </c>
      <c r="S1107" t="s">
        <v>44</v>
      </c>
      <c r="T1107" t="s">
        <v>44</v>
      </c>
      <c r="U1107" t="s">
        <v>44</v>
      </c>
      <c r="V1107">
        <v>38</v>
      </c>
      <c r="W1107" t="s">
        <v>44</v>
      </c>
      <c r="X1107" t="s">
        <v>44</v>
      </c>
      <c r="Y1107" t="s">
        <v>44</v>
      </c>
      <c r="Z1107" t="s">
        <v>44</v>
      </c>
      <c r="AA1107">
        <v>0</v>
      </c>
      <c r="AB1107">
        <v>0</v>
      </c>
      <c r="AC1107">
        <v>0</v>
      </c>
      <c r="AD1107">
        <v>0</v>
      </c>
      <c r="AE1107">
        <v>23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38</v>
      </c>
      <c r="AQ1107">
        <f t="shared" si="39"/>
        <v>38</v>
      </c>
      <c r="AR1107" s="5">
        <f>VLOOKUP(F1107,'[2]SCP_24-25'!$A:$D,4,0)</f>
        <v>31.11</v>
      </c>
      <c r="AS1107" s="5">
        <f t="shared" si="40"/>
        <v>1182.18</v>
      </c>
    </row>
    <row r="1108" spans="1:45" x14ac:dyDescent="0.3">
      <c r="A1108" s="1">
        <v>45900.963194444441</v>
      </c>
      <c r="B1108" t="s">
        <v>1463</v>
      </c>
      <c r="C1108" t="s">
        <v>1464</v>
      </c>
      <c r="D1108" t="s">
        <v>299</v>
      </c>
      <c r="F1108" t="s">
        <v>1615</v>
      </c>
      <c r="G1108" t="s">
        <v>300</v>
      </c>
      <c r="H1108" t="s">
        <v>66</v>
      </c>
      <c r="I1108" t="s">
        <v>43</v>
      </c>
      <c r="J1108">
        <v>30</v>
      </c>
      <c r="K1108">
        <v>19</v>
      </c>
      <c r="L1108">
        <v>9.5</v>
      </c>
      <c r="M1108">
        <v>11</v>
      </c>
      <c r="N1108">
        <v>18334</v>
      </c>
      <c r="O1108">
        <v>79</v>
      </c>
      <c r="P1108">
        <v>0</v>
      </c>
      <c r="Q1108">
        <v>15</v>
      </c>
      <c r="R1108">
        <v>1654</v>
      </c>
      <c r="S1108" t="s">
        <v>44</v>
      </c>
      <c r="T1108" t="s">
        <v>44</v>
      </c>
      <c r="U1108" t="s">
        <v>44</v>
      </c>
      <c r="V1108">
        <v>51</v>
      </c>
      <c r="W1108">
        <v>8</v>
      </c>
      <c r="X1108" t="s">
        <v>44</v>
      </c>
      <c r="Y1108" t="s">
        <v>44</v>
      </c>
      <c r="Z1108" t="s">
        <v>44</v>
      </c>
      <c r="AA1108">
        <v>3</v>
      </c>
      <c r="AB1108">
        <v>0</v>
      </c>
      <c r="AC1108">
        <v>0</v>
      </c>
      <c r="AD1108">
        <v>0</v>
      </c>
      <c r="AE1108">
        <v>22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133</v>
      </c>
      <c r="AQ1108">
        <f t="shared" si="39"/>
        <v>133</v>
      </c>
      <c r="AR1108" s="5">
        <f>VLOOKUP(F1108,'[2]SCP_24-25'!$A:$D,4,0)</f>
        <v>25.930000000000003</v>
      </c>
      <c r="AS1108" s="5">
        <f t="shared" si="40"/>
        <v>3448.6900000000005</v>
      </c>
    </row>
    <row r="1109" spans="1:45" x14ac:dyDescent="0.3">
      <c r="A1109" s="1">
        <v>45900.963194444441</v>
      </c>
      <c r="B1109" t="s">
        <v>1463</v>
      </c>
      <c r="C1109" t="s">
        <v>1464</v>
      </c>
      <c r="D1109" t="s">
        <v>311</v>
      </c>
      <c r="E1109" t="s">
        <v>312</v>
      </c>
      <c r="F1109" t="s">
        <v>1620</v>
      </c>
      <c r="G1109" t="s">
        <v>313</v>
      </c>
      <c r="H1109" t="s">
        <v>66</v>
      </c>
      <c r="I1109" t="s">
        <v>43</v>
      </c>
      <c r="J1109">
        <v>50</v>
      </c>
      <c r="K1109">
        <v>19</v>
      </c>
      <c r="L1109">
        <v>11</v>
      </c>
      <c r="M1109">
        <v>9.5</v>
      </c>
      <c r="N1109">
        <v>9670</v>
      </c>
      <c r="O1109">
        <v>18</v>
      </c>
      <c r="P1109">
        <v>0</v>
      </c>
      <c r="Q1109">
        <v>47</v>
      </c>
      <c r="R1109">
        <v>795</v>
      </c>
      <c r="S1109" t="s">
        <v>44</v>
      </c>
      <c r="T1109" t="s">
        <v>44</v>
      </c>
      <c r="U1109" t="s">
        <v>44</v>
      </c>
      <c r="V1109">
        <v>147</v>
      </c>
      <c r="W1109">
        <v>3</v>
      </c>
      <c r="X1109" t="s">
        <v>44</v>
      </c>
      <c r="Y1109" t="s">
        <v>44</v>
      </c>
      <c r="Z1109" t="s">
        <v>44</v>
      </c>
      <c r="AA1109">
        <v>0</v>
      </c>
      <c r="AB1109">
        <v>0</v>
      </c>
      <c r="AC1109">
        <v>0</v>
      </c>
      <c r="AD1109">
        <v>0</v>
      </c>
      <c r="AE1109">
        <v>59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165</v>
      </c>
      <c r="AQ1109">
        <f t="shared" si="39"/>
        <v>165</v>
      </c>
      <c r="AR1109" s="5">
        <f>VLOOKUP(F1109,'[2]SCP_24-25'!$A:$D,4,0)</f>
        <v>131.68</v>
      </c>
      <c r="AS1109" s="5">
        <f t="shared" si="40"/>
        <v>21727.200000000001</v>
      </c>
    </row>
    <row r="1110" spans="1:45" x14ac:dyDescent="0.3">
      <c r="A1110" s="1">
        <v>45900.963194444441</v>
      </c>
      <c r="B1110" t="s">
        <v>1463</v>
      </c>
      <c r="C1110" t="s">
        <v>1464</v>
      </c>
      <c r="D1110" t="s">
        <v>39</v>
      </c>
      <c r="E1110" t="s">
        <v>40</v>
      </c>
      <c r="F1110" t="s">
        <v>1513</v>
      </c>
      <c r="G1110" t="s">
        <v>41</v>
      </c>
      <c r="H1110" t="s">
        <v>42</v>
      </c>
      <c r="I1110" t="s">
        <v>43</v>
      </c>
      <c r="J1110">
        <v>180</v>
      </c>
      <c r="K1110">
        <v>19</v>
      </c>
      <c r="L1110">
        <v>9.5</v>
      </c>
      <c r="M1110">
        <v>11</v>
      </c>
      <c r="N1110">
        <v>20392</v>
      </c>
      <c r="O1110">
        <v>10</v>
      </c>
      <c r="P1110">
        <v>0</v>
      </c>
      <c r="Q1110">
        <v>1537</v>
      </c>
      <c r="R1110">
        <v>3648</v>
      </c>
      <c r="S1110" t="s">
        <v>44</v>
      </c>
      <c r="T1110">
        <v>122</v>
      </c>
      <c r="U1110" t="s">
        <v>44</v>
      </c>
      <c r="V1110">
        <v>1</v>
      </c>
      <c r="W1110" t="s">
        <v>44</v>
      </c>
      <c r="X1110" t="s">
        <v>44</v>
      </c>
      <c r="Y1110">
        <v>1</v>
      </c>
      <c r="Z1110" t="s">
        <v>44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11</v>
      </c>
      <c r="AQ1110">
        <f t="shared" si="39"/>
        <v>11</v>
      </c>
      <c r="AR1110" s="5">
        <f>VLOOKUP(F1110,'[2]SCP_24-25'!$A:$D,4,0)</f>
        <v>61.93</v>
      </c>
      <c r="AS1110" s="5">
        <f t="shared" si="40"/>
        <v>681.23</v>
      </c>
    </row>
    <row r="1111" spans="1:45" x14ac:dyDescent="0.3">
      <c r="A1111" s="1">
        <v>45900.963194444441</v>
      </c>
      <c r="B1111" t="s">
        <v>1463</v>
      </c>
      <c r="C1111" t="s">
        <v>1464</v>
      </c>
      <c r="D1111" t="s">
        <v>45</v>
      </c>
      <c r="E1111" t="s">
        <v>46</v>
      </c>
      <c r="F1111" t="s">
        <v>1514</v>
      </c>
      <c r="G1111" t="s">
        <v>47</v>
      </c>
      <c r="H1111" t="s">
        <v>42</v>
      </c>
      <c r="I1111" t="s">
        <v>43</v>
      </c>
      <c r="J1111">
        <v>180</v>
      </c>
      <c r="K1111">
        <v>19</v>
      </c>
      <c r="L1111">
        <v>9.5</v>
      </c>
      <c r="M1111">
        <v>11</v>
      </c>
      <c r="N1111">
        <v>16911</v>
      </c>
      <c r="O1111">
        <v>18</v>
      </c>
      <c r="P1111">
        <v>0</v>
      </c>
      <c r="Q1111">
        <v>316</v>
      </c>
      <c r="R1111">
        <v>4124</v>
      </c>
      <c r="S1111" t="s">
        <v>44</v>
      </c>
      <c r="T1111">
        <v>253</v>
      </c>
      <c r="U1111" t="s">
        <v>44</v>
      </c>
      <c r="V1111">
        <v>3</v>
      </c>
      <c r="W1111">
        <v>12</v>
      </c>
      <c r="X1111" t="s">
        <v>44</v>
      </c>
      <c r="Y1111">
        <v>3</v>
      </c>
      <c r="Z1111" t="s">
        <v>44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21</v>
      </c>
      <c r="AQ1111">
        <f t="shared" si="39"/>
        <v>21</v>
      </c>
      <c r="AR1111" s="5">
        <f>VLOOKUP(F1111,'[2]SCP_24-25'!$A:$D,4,0)</f>
        <v>61.45</v>
      </c>
      <c r="AS1111" s="5">
        <f t="shared" si="40"/>
        <v>1290.45</v>
      </c>
    </row>
    <row r="1112" spans="1:45" x14ac:dyDescent="0.3">
      <c r="A1112" s="1">
        <v>45900.963194444441</v>
      </c>
      <c r="B1112" t="s">
        <v>1463</v>
      </c>
      <c r="C1112" t="s">
        <v>1464</v>
      </c>
      <c r="D1112" t="s">
        <v>57</v>
      </c>
      <c r="E1112" t="s">
        <v>58</v>
      </c>
      <c r="F1112" t="s">
        <v>1518</v>
      </c>
      <c r="G1112" t="s">
        <v>59</v>
      </c>
      <c r="H1112" t="s">
        <v>42</v>
      </c>
      <c r="I1112" t="s">
        <v>43</v>
      </c>
      <c r="J1112">
        <v>200</v>
      </c>
      <c r="K1112">
        <v>19</v>
      </c>
      <c r="L1112">
        <v>9.5</v>
      </c>
      <c r="M1112">
        <v>11</v>
      </c>
      <c r="N1112">
        <v>24300</v>
      </c>
      <c r="O1112">
        <v>19</v>
      </c>
      <c r="P1112">
        <v>0</v>
      </c>
      <c r="Q1112">
        <v>112</v>
      </c>
      <c r="R1112">
        <v>4738</v>
      </c>
      <c r="S1112" t="s">
        <v>44</v>
      </c>
      <c r="T1112" t="s">
        <v>44</v>
      </c>
      <c r="U1112" t="s">
        <v>44</v>
      </c>
      <c r="V1112">
        <v>35</v>
      </c>
      <c r="W1112">
        <v>9</v>
      </c>
      <c r="X1112" t="s">
        <v>44</v>
      </c>
      <c r="Y1112">
        <v>35</v>
      </c>
      <c r="Z1112" t="s">
        <v>44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4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54</v>
      </c>
      <c r="AQ1112">
        <f t="shared" si="39"/>
        <v>54</v>
      </c>
      <c r="AR1112" s="5">
        <f>VLOOKUP(F1112,'[2]SCP_24-25'!$A:$D,4,0)</f>
        <v>106.44999999999999</v>
      </c>
      <c r="AS1112" s="5">
        <f t="shared" si="40"/>
        <v>5748.2999999999993</v>
      </c>
    </row>
    <row r="1113" spans="1:45" x14ac:dyDescent="0.3">
      <c r="A1113" s="1">
        <v>45900.963194444441</v>
      </c>
      <c r="B1113" t="s">
        <v>1463</v>
      </c>
      <c r="C1113" t="s">
        <v>1464</v>
      </c>
      <c r="D1113" t="s">
        <v>60</v>
      </c>
      <c r="E1113" t="s">
        <v>61</v>
      </c>
      <c r="F1113" t="s">
        <v>1519</v>
      </c>
      <c r="G1113" t="s">
        <v>62</v>
      </c>
      <c r="H1113" t="s">
        <v>42</v>
      </c>
      <c r="I1113" t="s">
        <v>43</v>
      </c>
      <c r="J1113">
        <v>200</v>
      </c>
      <c r="K1113">
        <v>19</v>
      </c>
      <c r="L1113">
        <v>9.5</v>
      </c>
      <c r="M1113">
        <v>11</v>
      </c>
      <c r="N1113">
        <v>48417</v>
      </c>
      <c r="O1113">
        <v>20</v>
      </c>
      <c r="P1113">
        <v>0</v>
      </c>
      <c r="Q1113">
        <v>47</v>
      </c>
      <c r="R1113">
        <v>10499</v>
      </c>
      <c r="S1113" t="s">
        <v>44</v>
      </c>
      <c r="T1113">
        <v>5</v>
      </c>
      <c r="U1113" t="s">
        <v>44</v>
      </c>
      <c r="V1113">
        <v>99</v>
      </c>
      <c r="W1113">
        <v>2</v>
      </c>
      <c r="X1113" t="s">
        <v>44</v>
      </c>
      <c r="Y1113">
        <v>83</v>
      </c>
      <c r="Z1113" t="s">
        <v>44</v>
      </c>
      <c r="AA1113">
        <v>26</v>
      </c>
      <c r="AB1113">
        <v>0</v>
      </c>
      <c r="AC1113">
        <v>0</v>
      </c>
      <c r="AD1113">
        <v>0</v>
      </c>
      <c r="AE1113">
        <v>0</v>
      </c>
      <c r="AF1113">
        <v>9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145</v>
      </c>
      <c r="AQ1113">
        <f t="shared" si="39"/>
        <v>145</v>
      </c>
      <c r="AR1113" s="5">
        <f>VLOOKUP(F1113,'[2]SCP_24-25'!$A:$D,4,0)</f>
        <v>152.38000000000002</v>
      </c>
      <c r="AS1113" s="5">
        <f t="shared" si="40"/>
        <v>22095.100000000002</v>
      </c>
    </row>
    <row r="1114" spans="1:45" x14ac:dyDescent="0.3">
      <c r="A1114" s="1">
        <v>45900.963194444441</v>
      </c>
      <c r="B1114" t="s">
        <v>1463</v>
      </c>
      <c r="C1114" t="s">
        <v>1464</v>
      </c>
      <c r="D1114" t="s">
        <v>63</v>
      </c>
      <c r="E1114" t="s">
        <v>64</v>
      </c>
      <c r="F1114" t="s">
        <v>1520</v>
      </c>
      <c r="G1114" t="s">
        <v>65</v>
      </c>
      <c r="H1114" t="s">
        <v>66</v>
      </c>
      <c r="I1114" t="s">
        <v>43</v>
      </c>
      <c r="J1114">
        <v>150</v>
      </c>
      <c r="K1114">
        <v>19</v>
      </c>
      <c r="L1114">
        <v>9.5</v>
      </c>
      <c r="M1114">
        <v>11</v>
      </c>
      <c r="N1114">
        <v>5068</v>
      </c>
      <c r="O1114">
        <v>0</v>
      </c>
      <c r="P1114">
        <v>0</v>
      </c>
      <c r="Q1114">
        <v>29</v>
      </c>
      <c r="R1114">
        <v>522</v>
      </c>
      <c r="S1114" t="s">
        <v>44</v>
      </c>
      <c r="T1114" t="s">
        <v>44</v>
      </c>
      <c r="U1114" t="s">
        <v>44</v>
      </c>
      <c r="V1114">
        <v>1</v>
      </c>
      <c r="W1114">
        <v>1</v>
      </c>
      <c r="X1114" t="s">
        <v>44</v>
      </c>
      <c r="Y1114" t="s">
        <v>44</v>
      </c>
      <c r="Z1114" t="s">
        <v>44</v>
      </c>
      <c r="AA1114">
        <v>0</v>
      </c>
      <c r="AB1114">
        <v>0</v>
      </c>
      <c r="AC1114">
        <v>0</v>
      </c>
      <c r="AD1114">
        <v>0</v>
      </c>
      <c r="AE1114">
        <v>32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f t="shared" si="39"/>
        <v>1</v>
      </c>
      <c r="AR1114" s="5">
        <f>VLOOKUP(F1114,'[2]SCP_24-25'!$A:$D,4,0)</f>
        <v>89.66</v>
      </c>
      <c r="AS1114" s="5">
        <f t="shared" si="40"/>
        <v>89.66</v>
      </c>
    </row>
    <row r="1115" spans="1:45" x14ac:dyDescent="0.3">
      <c r="A1115" s="1">
        <v>45900.963194444441</v>
      </c>
      <c r="B1115" t="s">
        <v>1463</v>
      </c>
      <c r="C1115" t="s">
        <v>1464</v>
      </c>
      <c r="D1115" t="s">
        <v>73</v>
      </c>
      <c r="E1115" t="s">
        <v>74</v>
      </c>
      <c r="F1115" t="s">
        <v>1523</v>
      </c>
      <c r="G1115" t="s">
        <v>75</v>
      </c>
      <c r="H1115" t="s">
        <v>66</v>
      </c>
      <c r="I1115" t="s">
        <v>43</v>
      </c>
      <c r="J1115">
        <v>50</v>
      </c>
      <c r="K1115">
        <v>19</v>
      </c>
      <c r="L1115">
        <v>9.5</v>
      </c>
      <c r="M1115">
        <v>11</v>
      </c>
      <c r="N1115">
        <v>5998</v>
      </c>
      <c r="O1115">
        <v>0</v>
      </c>
      <c r="P1115">
        <v>0</v>
      </c>
      <c r="Q1115">
        <v>22</v>
      </c>
      <c r="R1115">
        <v>630</v>
      </c>
      <c r="S1115" t="s">
        <v>44</v>
      </c>
      <c r="T1115" t="s">
        <v>44</v>
      </c>
      <c r="U1115" t="s">
        <v>44</v>
      </c>
      <c r="V1115">
        <v>28</v>
      </c>
      <c r="W1115">
        <v>1</v>
      </c>
      <c r="X1115" t="s">
        <v>44</v>
      </c>
      <c r="Y1115" t="s">
        <v>44</v>
      </c>
      <c r="Z1115" t="s">
        <v>44</v>
      </c>
      <c r="AA1115">
        <v>0</v>
      </c>
      <c r="AB1115">
        <v>0</v>
      </c>
      <c r="AC1115">
        <v>0</v>
      </c>
      <c r="AD1115">
        <v>0</v>
      </c>
      <c r="AE1115">
        <v>57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28</v>
      </c>
      <c r="AQ1115">
        <f t="shared" si="39"/>
        <v>28</v>
      </c>
      <c r="AR1115" s="5">
        <f>VLOOKUP(F1115,'[2]SCP_24-25'!$A:$D,4,0)</f>
        <v>36.78</v>
      </c>
      <c r="AS1115" s="5">
        <f t="shared" si="40"/>
        <v>1029.8400000000001</v>
      </c>
    </row>
    <row r="1116" spans="1:45" x14ac:dyDescent="0.3">
      <c r="A1116" s="1">
        <v>45900.963194444441</v>
      </c>
      <c r="B1116" t="s">
        <v>1463</v>
      </c>
      <c r="C1116" t="s">
        <v>1464</v>
      </c>
      <c r="D1116" t="s">
        <v>79</v>
      </c>
      <c r="E1116" t="s">
        <v>80</v>
      </c>
      <c r="F1116" t="s">
        <v>1525</v>
      </c>
      <c r="G1116" t="s">
        <v>81</v>
      </c>
      <c r="H1116" t="s">
        <v>66</v>
      </c>
      <c r="I1116" t="s">
        <v>43</v>
      </c>
      <c r="J1116">
        <v>150</v>
      </c>
      <c r="K1116">
        <v>19</v>
      </c>
      <c r="L1116">
        <v>9.5</v>
      </c>
      <c r="M1116">
        <v>11</v>
      </c>
      <c r="N1116">
        <v>16605</v>
      </c>
      <c r="O1116">
        <v>80</v>
      </c>
      <c r="P1116">
        <v>0</v>
      </c>
      <c r="Q1116">
        <v>8</v>
      </c>
      <c r="R1116">
        <v>455</v>
      </c>
      <c r="S1116" t="s">
        <v>44</v>
      </c>
      <c r="T1116" t="s">
        <v>44</v>
      </c>
      <c r="U1116" t="s">
        <v>44</v>
      </c>
      <c r="V1116">
        <v>66</v>
      </c>
      <c r="W1116">
        <v>4</v>
      </c>
      <c r="X1116" t="s">
        <v>44</v>
      </c>
      <c r="Y1116" t="s">
        <v>44</v>
      </c>
      <c r="Z1116" t="s">
        <v>44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146</v>
      </c>
      <c r="AQ1116">
        <f t="shared" si="39"/>
        <v>146</v>
      </c>
      <c r="AR1116" s="5">
        <f>VLOOKUP(F1116,'[2]SCP_24-25'!$A:$D,4,0)</f>
        <v>48.72</v>
      </c>
      <c r="AS1116" s="5">
        <f t="shared" si="40"/>
        <v>7113.12</v>
      </c>
    </row>
    <row r="1117" spans="1:45" x14ac:dyDescent="0.3">
      <c r="A1117" s="1">
        <v>45900.963194444441</v>
      </c>
      <c r="B1117" t="s">
        <v>1463</v>
      </c>
      <c r="C1117" t="s">
        <v>1464</v>
      </c>
      <c r="D1117" t="s">
        <v>82</v>
      </c>
      <c r="E1117" t="s">
        <v>83</v>
      </c>
      <c r="F1117" t="s">
        <v>1526</v>
      </c>
      <c r="G1117" t="s">
        <v>84</v>
      </c>
      <c r="H1117" t="s">
        <v>66</v>
      </c>
      <c r="I1117" t="s">
        <v>43</v>
      </c>
      <c r="J1117">
        <v>150</v>
      </c>
      <c r="K1117">
        <v>19</v>
      </c>
      <c r="L1117">
        <v>9.5</v>
      </c>
      <c r="M1117">
        <v>11</v>
      </c>
      <c r="N1117">
        <v>10150</v>
      </c>
      <c r="O1117">
        <v>1</v>
      </c>
      <c r="P1117">
        <v>0</v>
      </c>
      <c r="Q1117">
        <v>36</v>
      </c>
      <c r="R1117">
        <v>929</v>
      </c>
      <c r="S1117" t="s">
        <v>44</v>
      </c>
      <c r="T1117" t="s">
        <v>44</v>
      </c>
      <c r="U1117" t="s">
        <v>44</v>
      </c>
      <c r="V1117">
        <v>172</v>
      </c>
      <c r="W1117">
        <v>5</v>
      </c>
      <c r="X1117" t="s">
        <v>44</v>
      </c>
      <c r="Y1117" t="s">
        <v>44</v>
      </c>
      <c r="Z1117" t="s">
        <v>44</v>
      </c>
      <c r="AA1117">
        <v>0</v>
      </c>
      <c r="AB1117">
        <v>0</v>
      </c>
      <c r="AC1117">
        <v>0</v>
      </c>
      <c r="AD1117">
        <v>0</v>
      </c>
      <c r="AE1117">
        <v>208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173</v>
      </c>
      <c r="AQ1117">
        <f t="shared" si="39"/>
        <v>173</v>
      </c>
      <c r="AR1117" s="5">
        <f>VLOOKUP(F1117,'[2]SCP_24-25'!$A:$D,4,0)</f>
        <v>50.08</v>
      </c>
      <c r="AS1117" s="5">
        <f t="shared" si="40"/>
        <v>8663.84</v>
      </c>
    </row>
    <row r="1118" spans="1:45" x14ac:dyDescent="0.3">
      <c r="A1118" s="1">
        <v>45900.963194444441</v>
      </c>
      <c r="B1118" t="s">
        <v>1463</v>
      </c>
      <c r="C1118" t="s">
        <v>1464</v>
      </c>
      <c r="D1118" t="s">
        <v>94</v>
      </c>
      <c r="E1118" t="s">
        <v>95</v>
      </c>
      <c r="F1118" t="s">
        <v>1530</v>
      </c>
      <c r="G1118" t="s">
        <v>96</v>
      </c>
      <c r="H1118" t="s">
        <v>66</v>
      </c>
      <c r="I1118" t="s">
        <v>43</v>
      </c>
      <c r="J1118">
        <v>100</v>
      </c>
      <c r="K1118">
        <v>19</v>
      </c>
      <c r="L1118">
        <v>9.5</v>
      </c>
      <c r="M1118">
        <v>11</v>
      </c>
      <c r="N1118">
        <v>5064</v>
      </c>
      <c r="O1118">
        <v>8</v>
      </c>
      <c r="P1118">
        <v>0</v>
      </c>
      <c r="Q1118">
        <v>6</v>
      </c>
      <c r="R1118">
        <v>730</v>
      </c>
      <c r="S1118" t="s">
        <v>44</v>
      </c>
      <c r="T1118">
        <v>96</v>
      </c>
      <c r="U1118" t="s">
        <v>44</v>
      </c>
      <c r="V1118">
        <v>308</v>
      </c>
      <c r="W1118">
        <v>7</v>
      </c>
      <c r="X1118" t="s">
        <v>44</v>
      </c>
      <c r="Y1118" t="s">
        <v>44</v>
      </c>
      <c r="Z1118" t="s">
        <v>44</v>
      </c>
      <c r="AA1118">
        <v>0</v>
      </c>
      <c r="AB1118">
        <v>0</v>
      </c>
      <c r="AC1118">
        <v>0</v>
      </c>
      <c r="AD1118">
        <v>0</v>
      </c>
      <c r="AE1118">
        <v>23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316</v>
      </c>
      <c r="AQ1118">
        <f t="shared" si="39"/>
        <v>316</v>
      </c>
      <c r="AR1118" s="5">
        <f>VLOOKUP(F1118,'[2]SCP_24-25'!$A:$D,4,0)</f>
        <v>70.400000000000006</v>
      </c>
      <c r="AS1118" s="5">
        <f t="shared" si="40"/>
        <v>22246.400000000001</v>
      </c>
    </row>
    <row r="1119" spans="1:45" x14ac:dyDescent="0.3">
      <c r="A1119" s="1">
        <v>45900.963194444441</v>
      </c>
      <c r="B1119" t="s">
        <v>1463</v>
      </c>
      <c r="C1119" t="s">
        <v>1464</v>
      </c>
      <c r="D1119" t="s">
        <v>100</v>
      </c>
      <c r="E1119" t="s">
        <v>101</v>
      </c>
      <c r="F1119" t="s">
        <v>1532</v>
      </c>
      <c r="G1119" t="s">
        <v>102</v>
      </c>
      <c r="H1119" t="s">
        <v>103</v>
      </c>
      <c r="I1119" t="s">
        <v>43</v>
      </c>
      <c r="J1119">
        <v>250</v>
      </c>
      <c r="K1119">
        <v>19</v>
      </c>
      <c r="L1119">
        <v>10</v>
      </c>
      <c r="M1119">
        <v>11</v>
      </c>
      <c r="N1119">
        <v>195324</v>
      </c>
      <c r="O1119">
        <v>299</v>
      </c>
      <c r="P1119">
        <v>0</v>
      </c>
      <c r="Q1119">
        <v>1278</v>
      </c>
      <c r="R1119">
        <v>21511</v>
      </c>
      <c r="S1119" t="s">
        <v>44</v>
      </c>
      <c r="T1119">
        <v>24</v>
      </c>
      <c r="U1119" t="s">
        <v>44</v>
      </c>
      <c r="V1119">
        <v>4</v>
      </c>
      <c r="W1119">
        <v>84</v>
      </c>
      <c r="X1119" t="s">
        <v>44</v>
      </c>
      <c r="Y1119" t="s">
        <v>44</v>
      </c>
      <c r="Z1119" t="s">
        <v>44</v>
      </c>
      <c r="AA1119">
        <v>48</v>
      </c>
      <c r="AB1119">
        <v>0</v>
      </c>
      <c r="AC1119">
        <v>0</v>
      </c>
      <c r="AD1119">
        <v>0</v>
      </c>
      <c r="AE1119">
        <v>0</v>
      </c>
      <c r="AF1119">
        <v>9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351</v>
      </c>
      <c r="AQ1119">
        <f t="shared" si="39"/>
        <v>351</v>
      </c>
      <c r="AR1119" s="5">
        <f>VLOOKUP(F1119,'[2]SCP_24-25'!$A:$D,4,0)</f>
        <v>50.854210526315775</v>
      </c>
      <c r="AS1119" s="5">
        <f t="shared" si="40"/>
        <v>17849.827894736838</v>
      </c>
    </row>
    <row r="1120" spans="1:45" x14ac:dyDescent="0.3">
      <c r="A1120" s="1">
        <v>45900.963194444441</v>
      </c>
      <c r="B1120" t="s">
        <v>1463</v>
      </c>
      <c r="C1120" t="s">
        <v>1464</v>
      </c>
      <c r="D1120" t="s">
        <v>344</v>
      </c>
      <c r="E1120" t="s">
        <v>345</v>
      </c>
      <c r="F1120" t="s">
        <v>1632</v>
      </c>
      <c r="G1120" t="s">
        <v>346</v>
      </c>
      <c r="H1120" t="s">
        <v>130</v>
      </c>
      <c r="I1120" t="s">
        <v>43</v>
      </c>
      <c r="J1120">
        <v>112.62</v>
      </c>
      <c r="K1120">
        <v>19</v>
      </c>
      <c r="L1120">
        <v>10</v>
      </c>
      <c r="M1120">
        <v>11</v>
      </c>
      <c r="N1120">
        <v>11046</v>
      </c>
      <c r="O1120">
        <v>92</v>
      </c>
      <c r="P1120">
        <v>0</v>
      </c>
      <c r="Q1120">
        <v>19</v>
      </c>
      <c r="R1120">
        <v>507</v>
      </c>
      <c r="S1120" t="s">
        <v>44</v>
      </c>
      <c r="T1120" t="s">
        <v>44</v>
      </c>
      <c r="U1120" t="s">
        <v>44</v>
      </c>
      <c r="V1120">
        <v>125</v>
      </c>
      <c r="W1120">
        <v>9</v>
      </c>
      <c r="X1120" t="s">
        <v>44</v>
      </c>
      <c r="Y1120">
        <v>8</v>
      </c>
      <c r="Z1120" t="s">
        <v>44</v>
      </c>
      <c r="AA1120">
        <v>2</v>
      </c>
      <c r="AB1120">
        <v>0</v>
      </c>
      <c r="AC1120">
        <v>0</v>
      </c>
      <c r="AD1120">
        <v>0</v>
      </c>
      <c r="AE1120">
        <v>0</v>
      </c>
      <c r="AF1120">
        <v>4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219</v>
      </c>
      <c r="AQ1120">
        <f t="shared" si="39"/>
        <v>219</v>
      </c>
      <c r="AR1120" s="5">
        <f>VLOOKUP(F1120,'[2]SCP_24-25'!$A:$D,4,0)</f>
        <v>114.81</v>
      </c>
      <c r="AS1120" s="5">
        <f t="shared" si="40"/>
        <v>25143.39</v>
      </c>
    </row>
    <row r="1121" spans="1:45" x14ac:dyDescent="0.3">
      <c r="A1121" s="1">
        <v>45900.963194444441</v>
      </c>
      <c r="B1121" t="s">
        <v>1463</v>
      </c>
      <c r="C1121" t="s">
        <v>1464</v>
      </c>
      <c r="D1121" t="s">
        <v>347</v>
      </c>
      <c r="E1121" t="s">
        <v>345</v>
      </c>
      <c r="F1121" t="s">
        <v>1633</v>
      </c>
      <c r="G1121" t="s">
        <v>348</v>
      </c>
      <c r="H1121" t="s">
        <v>130</v>
      </c>
      <c r="I1121" t="s">
        <v>43</v>
      </c>
      <c r="J1121">
        <v>112.62</v>
      </c>
      <c r="K1121">
        <v>19</v>
      </c>
      <c r="L1121">
        <v>10</v>
      </c>
      <c r="M1121">
        <v>11</v>
      </c>
      <c r="N1121">
        <v>12320</v>
      </c>
      <c r="O1121">
        <v>157</v>
      </c>
      <c r="P1121">
        <v>0</v>
      </c>
      <c r="Q1121">
        <v>14</v>
      </c>
      <c r="R1121">
        <v>406</v>
      </c>
      <c r="S1121" t="s">
        <v>44</v>
      </c>
      <c r="T1121" t="s">
        <v>44</v>
      </c>
      <c r="U1121" t="s">
        <v>44</v>
      </c>
      <c r="V1121">
        <v>63</v>
      </c>
      <c r="W1121">
        <v>3</v>
      </c>
      <c r="X1121" t="s">
        <v>44</v>
      </c>
      <c r="Y1121">
        <v>63</v>
      </c>
      <c r="Z1121" t="s">
        <v>44</v>
      </c>
      <c r="AA1121">
        <v>7</v>
      </c>
      <c r="AB1121">
        <v>0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227</v>
      </c>
      <c r="AQ1121">
        <f t="shared" si="39"/>
        <v>227</v>
      </c>
      <c r="AR1121" s="5">
        <f>VLOOKUP(F1121,'[2]SCP_24-25'!$A:$D,4,0)</f>
        <v>114.80999999999999</v>
      </c>
      <c r="AS1121" s="5">
        <f t="shared" si="40"/>
        <v>26061.87</v>
      </c>
    </row>
    <row r="1122" spans="1:45" x14ac:dyDescent="0.3">
      <c r="A1122" s="1">
        <v>45900.963194444441</v>
      </c>
      <c r="B1122" t="s">
        <v>1463</v>
      </c>
      <c r="C1122" t="s">
        <v>1464</v>
      </c>
      <c r="D1122" t="s">
        <v>355</v>
      </c>
      <c r="E1122" t="s">
        <v>356</v>
      </c>
      <c r="F1122" t="s">
        <v>1637</v>
      </c>
      <c r="G1122" t="s">
        <v>357</v>
      </c>
      <c r="H1122" t="s">
        <v>130</v>
      </c>
      <c r="I1122" t="s">
        <v>43</v>
      </c>
      <c r="J1122">
        <v>81.42</v>
      </c>
      <c r="K1122">
        <v>19</v>
      </c>
      <c r="L1122">
        <v>10</v>
      </c>
      <c r="M1122">
        <v>11</v>
      </c>
      <c r="N1122">
        <v>10284</v>
      </c>
      <c r="O1122">
        <v>2</v>
      </c>
      <c r="P1122">
        <v>0</v>
      </c>
      <c r="Q1122">
        <v>69</v>
      </c>
      <c r="R1122">
        <v>1513</v>
      </c>
      <c r="S1122" t="s">
        <v>44</v>
      </c>
      <c r="T1122" t="s">
        <v>44</v>
      </c>
      <c r="U1122" t="s">
        <v>44</v>
      </c>
      <c r="V1122">
        <v>4</v>
      </c>
      <c r="W1122" t="s">
        <v>44</v>
      </c>
      <c r="X1122" t="s">
        <v>44</v>
      </c>
      <c r="Y1122" t="s">
        <v>44</v>
      </c>
      <c r="Z1122" t="s">
        <v>44</v>
      </c>
      <c r="AA1122">
        <v>2</v>
      </c>
      <c r="AB1122">
        <v>0</v>
      </c>
      <c r="AC1122">
        <v>0</v>
      </c>
      <c r="AD1122">
        <v>0</v>
      </c>
      <c r="AE1122">
        <v>0</v>
      </c>
      <c r="AF1122">
        <v>2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8</v>
      </c>
      <c r="AQ1122">
        <f t="shared" si="39"/>
        <v>8</v>
      </c>
      <c r="AR1122" s="5">
        <f>VLOOKUP(F1122,'[2]SCP_24-25'!$A:$D,4,0)</f>
        <v>83.14</v>
      </c>
      <c r="AS1122" s="5">
        <f t="shared" si="40"/>
        <v>665.12</v>
      </c>
    </row>
    <row r="1123" spans="1:45" x14ac:dyDescent="0.3">
      <c r="A1123" s="1">
        <v>45900.963194444441</v>
      </c>
      <c r="B1123" t="s">
        <v>1463</v>
      </c>
      <c r="C1123" t="s">
        <v>1464</v>
      </c>
      <c r="D1123" t="s">
        <v>358</v>
      </c>
      <c r="E1123" t="s">
        <v>356</v>
      </c>
      <c r="F1123" t="s">
        <v>1638</v>
      </c>
      <c r="G1123" t="s">
        <v>359</v>
      </c>
      <c r="H1123" t="s">
        <v>130</v>
      </c>
      <c r="I1123" t="s">
        <v>43</v>
      </c>
      <c r="J1123">
        <v>81</v>
      </c>
      <c r="K1123">
        <v>19</v>
      </c>
      <c r="L1123">
        <v>10</v>
      </c>
      <c r="M1123">
        <v>11</v>
      </c>
      <c r="N1123">
        <v>10838</v>
      </c>
      <c r="O1123">
        <v>6</v>
      </c>
      <c r="P1123">
        <v>0</v>
      </c>
      <c r="Q1123">
        <v>60</v>
      </c>
      <c r="R1123">
        <v>1891</v>
      </c>
      <c r="S1123" t="s">
        <v>44</v>
      </c>
      <c r="T1123" t="s">
        <v>44</v>
      </c>
      <c r="U1123" t="s">
        <v>44</v>
      </c>
      <c r="V1123">
        <v>1</v>
      </c>
      <c r="W1123">
        <v>1</v>
      </c>
      <c r="X1123" t="s">
        <v>44</v>
      </c>
      <c r="Y1123" t="s">
        <v>44</v>
      </c>
      <c r="Z1123" t="s">
        <v>44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7</v>
      </c>
      <c r="AQ1123">
        <f t="shared" si="39"/>
        <v>7</v>
      </c>
      <c r="AR1123" s="5">
        <f>VLOOKUP(F1123,'[2]SCP_24-25'!$A:$D,4,0)</f>
        <v>83.14</v>
      </c>
      <c r="AS1123" s="5">
        <f t="shared" si="40"/>
        <v>581.98</v>
      </c>
    </row>
    <row r="1124" spans="1:45" x14ac:dyDescent="0.3">
      <c r="A1124" s="1">
        <v>45900.963194444441</v>
      </c>
      <c r="B1124" t="s">
        <v>1463</v>
      </c>
      <c r="C1124" t="s">
        <v>1464</v>
      </c>
      <c r="D1124" t="s">
        <v>360</v>
      </c>
      <c r="E1124" t="s">
        <v>356</v>
      </c>
      <c r="F1124" t="s">
        <v>1639</v>
      </c>
      <c r="G1124" t="s">
        <v>361</v>
      </c>
      <c r="H1124" t="s">
        <v>130</v>
      </c>
      <c r="I1124" t="s">
        <v>43</v>
      </c>
      <c r="J1124">
        <v>81.42</v>
      </c>
      <c r="K1124">
        <v>19</v>
      </c>
      <c r="L1124">
        <v>10</v>
      </c>
      <c r="M1124">
        <v>11</v>
      </c>
      <c r="N1124">
        <v>12518</v>
      </c>
      <c r="O1124">
        <v>89</v>
      </c>
      <c r="P1124">
        <v>0</v>
      </c>
      <c r="Q1124">
        <v>22</v>
      </c>
      <c r="R1124">
        <v>2108</v>
      </c>
      <c r="S1124" t="s">
        <v>44</v>
      </c>
      <c r="T1124" t="s">
        <v>44</v>
      </c>
      <c r="U1124" t="s">
        <v>44</v>
      </c>
      <c r="V1124">
        <v>0</v>
      </c>
      <c r="W1124" t="s">
        <v>44</v>
      </c>
      <c r="X1124" t="s">
        <v>44</v>
      </c>
      <c r="Y1124" t="s">
        <v>44</v>
      </c>
      <c r="Z1124" t="s">
        <v>44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89</v>
      </c>
      <c r="AQ1124">
        <f t="shared" si="39"/>
        <v>89</v>
      </c>
      <c r="AR1124" s="5">
        <f>VLOOKUP(F1124,'[2]SCP_24-25'!$A:$D,4,0)</f>
        <v>83.14</v>
      </c>
      <c r="AS1124" s="5">
        <f t="shared" si="40"/>
        <v>7399.46</v>
      </c>
    </row>
    <row r="1125" spans="1:45" x14ac:dyDescent="0.3">
      <c r="A1125" s="1">
        <v>45900.963194444441</v>
      </c>
      <c r="B1125" t="s">
        <v>1463</v>
      </c>
      <c r="C1125" t="s">
        <v>1464</v>
      </c>
      <c r="D1125" t="s">
        <v>362</v>
      </c>
      <c r="E1125" t="s">
        <v>356</v>
      </c>
      <c r="F1125" t="s">
        <v>1640</v>
      </c>
      <c r="G1125" t="s">
        <v>363</v>
      </c>
      <c r="H1125" t="s">
        <v>130</v>
      </c>
      <c r="I1125" t="s">
        <v>43</v>
      </c>
      <c r="J1125">
        <v>81.42</v>
      </c>
      <c r="K1125">
        <v>19</v>
      </c>
      <c r="L1125">
        <v>10</v>
      </c>
      <c r="M1125">
        <v>11</v>
      </c>
      <c r="N1125">
        <v>11339</v>
      </c>
      <c r="O1125">
        <v>38</v>
      </c>
      <c r="P1125">
        <v>0</v>
      </c>
      <c r="Q1125">
        <v>31</v>
      </c>
      <c r="R1125">
        <v>2264</v>
      </c>
      <c r="S1125" t="s">
        <v>44</v>
      </c>
      <c r="T1125" t="s">
        <v>44</v>
      </c>
      <c r="U1125" t="s">
        <v>44</v>
      </c>
      <c r="V1125">
        <v>14</v>
      </c>
      <c r="W1125" t="s">
        <v>44</v>
      </c>
      <c r="X1125" t="s">
        <v>44</v>
      </c>
      <c r="Y1125">
        <v>14</v>
      </c>
      <c r="Z1125" t="s">
        <v>44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52</v>
      </c>
      <c r="AQ1125">
        <f t="shared" si="39"/>
        <v>52</v>
      </c>
      <c r="AR1125" s="5">
        <f>VLOOKUP(F1125,'[2]SCP_24-25'!$A:$D,4,0)</f>
        <v>83.14</v>
      </c>
      <c r="AS1125" s="5">
        <f t="shared" si="40"/>
        <v>4323.28</v>
      </c>
    </row>
    <row r="1126" spans="1:45" x14ac:dyDescent="0.3">
      <c r="A1126" s="1">
        <v>45900.963194444441</v>
      </c>
      <c r="B1126" t="s">
        <v>1463</v>
      </c>
      <c r="C1126" t="s">
        <v>1464</v>
      </c>
      <c r="D1126" t="s">
        <v>372</v>
      </c>
      <c r="E1126" t="s">
        <v>368</v>
      </c>
      <c r="F1126" t="s">
        <v>1644</v>
      </c>
      <c r="G1126" t="s">
        <v>373</v>
      </c>
      <c r="H1126" t="s">
        <v>130</v>
      </c>
      <c r="I1126" t="s">
        <v>43</v>
      </c>
      <c r="J1126">
        <v>24.02</v>
      </c>
      <c r="K1126">
        <v>19</v>
      </c>
      <c r="L1126">
        <v>10</v>
      </c>
      <c r="M1126">
        <v>11</v>
      </c>
      <c r="N1126">
        <v>13149</v>
      </c>
      <c r="O1126">
        <v>76</v>
      </c>
      <c r="P1126">
        <v>0</v>
      </c>
      <c r="Q1126">
        <v>8</v>
      </c>
      <c r="R1126">
        <v>1</v>
      </c>
      <c r="S1126" t="s">
        <v>44</v>
      </c>
      <c r="T1126" t="s">
        <v>44</v>
      </c>
      <c r="U1126" t="s">
        <v>44</v>
      </c>
      <c r="V1126">
        <v>0</v>
      </c>
      <c r="W1126">
        <v>2</v>
      </c>
      <c r="X1126" t="s">
        <v>44</v>
      </c>
      <c r="Y1126" t="s">
        <v>44</v>
      </c>
      <c r="Z1126" t="s">
        <v>44</v>
      </c>
      <c r="AA1126">
        <v>1</v>
      </c>
      <c r="AB1126">
        <v>0</v>
      </c>
      <c r="AC1126">
        <v>0</v>
      </c>
      <c r="AD1126">
        <v>0</v>
      </c>
      <c r="AE1126">
        <v>2</v>
      </c>
      <c r="AF1126">
        <v>2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77</v>
      </c>
      <c r="AQ1126">
        <f t="shared" ref="AQ1126:AQ1183" si="41">O1126+P1126+V1126+AA1126</f>
        <v>77</v>
      </c>
      <c r="AR1126" s="5">
        <f>VLOOKUP(F1126,'[2]SCP_24-25'!$A:$D,4,0)</f>
        <v>78.575999999999993</v>
      </c>
      <c r="AS1126" s="5">
        <f t="shared" si="40"/>
        <v>6050.3519999999999</v>
      </c>
    </row>
    <row r="1127" spans="1:45" x14ac:dyDescent="0.3">
      <c r="A1127" s="1">
        <v>45900.963194444441</v>
      </c>
      <c r="B1127" t="s">
        <v>1463</v>
      </c>
      <c r="C1127" t="s">
        <v>1464</v>
      </c>
      <c r="D1127" t="s">
        <v>392</v>
      </c>
      <c r="E1127" t="s">
        <v>368</v>
      </c>
      <c r="F1127" t="s">
        <v>1654</v>
      </c>
      <c r="G1127" t="s">
        <v>393</v>
      </c>
      <c r="H1127" t="s">
        <v>130</v>
      </c>
      <c r="I1127" t="s">
        <v>43</v>
      </c>
      <c r="J1127">
        <v>24.02</v>
      </c>
      <c r="K1127">
        <v>19</v>
      </c>
      <c r="L1127">
        <v>10</v>
      </c>
      <c r="M1127">
        <v>11</v>
      </c>
      <c r="N1127">
        <v>7664</v>
      </c>
      <c r="O1127">
        <v>1</v>
      </c>
      <c r="P1127">
        <v>0</v>
      </c>
      <c r="Q1127">
        <v>6</v>
      </c>
      <c r="R1127">
        <v>539</v>
      </c>
      <c r="S1127" t="s">
        <v>44</v>
      </c>
      <c r="T1127" t="s">
        <v>44</v>
      </c>
      <c r="U1127" t="s">
        <v>44</v>
      </c>
      <c r="V1127">
        <v>1922</v>
      </c>
      <c r="W1127" t="s">
        <v>44</v>
      </c>
      <c r="X1127" t="s">
        <v>44</v>
      </c>
      <c r="Y1127">
        <v>4</v>
      </c>
      <c r="Z1127" t="s">
        <v>44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 s="2">
        <v>1923</v>
      </c>
      <c r="AQ1127">
        <f t="shared" si="41"/>
        <v>1923</v>
      </c>
      <c r="AR1127" s="5">
        <f>VLOOKUP(F1127,'[2]SCP_24-25'!$A:$D,4,0)</f>
        <v>79.679999999999993</v>
      </c>
      <c r="AS1127" s="5">
        <f t="shared" si="40"/>
        <v>153224.63999999998</v>
      </c>
    </row>
    <row r="1128" spans="1:45" x14ac:dyDescent="0.3">
      <c r="A1128" s="1">
        <v>45900.963194444441</v>
      </c>
      <c r="B1128" t="s">
        <v>1463</v>
      </c>
      <c r="C1128" t="s">
        <v>1464</v>
      </c>
      <c r="D1128" t="s">
        <v>118</v>
      </c>
      <c r="E1128" t="s">
        <v>118</v>
      </c>
      <c r="F1128" t="s">
        <v>1538</v>
      </c>
      <c r="G1128" t="s">
        <v>119</v>
      </c>
      <c r="H1128" t="s">
        <v>120</v>
      </c>
      <c r="I1128" t="s">
        <v>43</v>
      </c>
      <c r="J1128">
        <v>70</v>
      </c>
      <c r="K1128">
        <v>19</v>
      </c>
      <c r="L1128">
        <v>9</v>
      </c>
      <c r="M1128">
        <v>11</v>
      </c>
      <c r="N1128">
        <v>2443</v>
      </c>
      <c r="O1128">
        <v>0</v>
      </c>
      <c r="P1128">
        <v>0</v>
      </c>
      <c r="Q1128" t="s">
        <v>44</v>
      </c>
      <c r="R1128">
        <v>700</v>
      </c>
      <c r="S1128" t="s">
        <v>44</v>
      </c>
      <c r="T1128" t="s">
        <v>44</v>
      </c>
      <c r="U1128" t="s">
        <v>44</v>
      </c>
      <c r="V1128">
        <v>3</v>
      </c>
      <c r="W1128" t="s">
        <v>44</v>
      </c>
      <c r="X1128" t="s">
        <v>44</v>
      </c>
      <c r="Y1128">
        <v>3</v>
      </c>
      <c r="Z1128" t="s">
        <v>44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3</v>
      </c>
      <c r="AQ1128">
        <f t="shared" si="41"/>
        <v>3</v>
      </c>
      <c r="AR1128" s="5">
        <f>VLOOKUP(F1128,'[1]Cost Sheet'!$C:$D,2,0)</f>
        <v>41.5</v>
      </c>
      <c r="AS1128" s="5">
        <f t="shared" si="40"/>
        <v>124.5</v>
      </c>
    </row>
    <row r="1129" spans="1:45" x14ac:dyDescent="0.3">
      <c r="A1129" s="1">
        <v>45900.963194444441</v>
      </c>
      <c r="B1129" t="s">
        <v>1463</v>
      </c>
      <c r="C1129" t="s">
        <v>1464</v>
      </c>
      <c r="D1129" t="s">
        <v>121</v>
      </c>
      <c r="F1129" t="s">
        <v>1539</v>
      </c>
      <c r="G1129" t="s">
        <v>122</v>
      </c>
      <c r="H1129" t="s">
        <v>103</v>
      </c>
      <c r="I1129" t="s">
        <v>43</v>
      </c>
      <c r="J1129">
        <v>216.02</v>
      </c>
      <c r="K1129">
        <v>19</v>
      </c>
      <c r="L1129">
        <v>10</v>
      </c>
      <c r="M1129">
        <v>11</v>
      </c>
      <c r="N1129">
        <v>75166</v>
      </c>
      <c r="O1129">
        <v>202</v>
      </c>
      <c r="P1129">
        <v>0</v>
      </c>
      <c r="Q1129">
        <v>634</v>
      </c>
      <c r="R1129">
        <v>1277</v>
      </c>
      <c r="S1129" t="s">
        <v>44</v>
      </c>
      <c r="T1129" t="s">
        <v>44</v>
      </c>
      <c r="U1129" t="s">
        <v>44</v>
      </c>
      <c r="V1129">
        <v>1</v>
      </c>
      <c r="W1129">
        <v>54</v>
      </c>
      <c r="X1129" t="s">
        <v>44</v>
      </c>
      <c r="Y1129" t="s">
        <v>44</v>
      </c>
      <c r="Z1129" t="s">
        <v>44</v>
      </c>
      <c r="AA1129">
        <v>31</v>
      </c>
      <c r="AB1129">
        <v>0</v>
      </c>
      <c r="AC1129">
        <v>0</v>
      </c>
      <c r="AD1129">
        <v>0</v>
      </c>
      <c r="AE1129">
        <v>0</v>
      </c>
      <c r="AF1129">
        <v>3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234</v>
      </c>
      <c r="AQ1129">
        <f t="shared" si="41"/>
        <v>234</v>
      </c>
      <c r="AR1129" s="5">
        <f>VLOOKUP(F1129,'[2]SCP_24-25'!$A:$D,4,0)</f>
        <v>53.14</v>
      </c>
      <c r="AS1129" s="5">
        <f t="shared" si="40"/>
        <v>12434.76</v>
      </c>
    </row>
    <row r="1130" spans="1:45" x14ac:dyDescent="0.3">
      <c r="A1130" s="1">
        <v>45900.963194444441</v>
      </c>
      <c r="B1130" t="s">
        <v>1463</v>
      </c>
      <c r="C1130" t="s">
        <v>1464</v>
      </c>
      <c r="D1130" t="s">
        <v>128</v>
      </c>
      <c r="F1130" t="s">
        <v>1542</v>
      </c>
      <c r="G1130" t="s">
        <v>129</v>
      </c>
      <c r="H1130" t="s">
        <v>130</v>
      </c>
      <c r="I1130" t="s">
        <v>43</v>
      </c>
      <c r="J1130">
        <v>80</v>
      </c>
      <c r="K1130">
        <v>19</v>
      </c>
      <c r="L1130">
        <v>11</v>
      </c>
      <c r="M1130">
        <v>10</v>
      </c>
      <c r="N1130">
        <v>12672</v>
      </c>
      <c r="O1130">
        <v>66</v>
      </c>
      <c r="P1130">
        <v>0</v>
      </c>
      <c r="Q1130">
        <v>4</v>
      </c>
      <c r="R1130">
        <v>185</v>
      </c>
      <c r="S1130" t="s">
        <v>44</v>
      </c>
      <c r="T1130">
        <v>48</v>
      </c>
      <c r="U1130" t="s">
        <v>44</v>
      </c>
      <c r="V1130">
        <v>0</v>
      </c>
      <c r="W1130" t="s">
        <v>44</v>
      </c>
      <c r="X1130" t="s">
        <v>44</v>
      </c>
      <c r="Y1130" t="s">
        <v>44</v>
      </c>
      <c r="Z1130" t="s">
        <v>44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5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66</v>
      </c>
      <c r="AQ1130">
        <f t="shared" si="41"/>
        <v>66</v>
      </c>
      <c r="AR1130" s="5">
        <f>VLOOKUP(F1130,'[2]SCP_24-25'!$A:$D,4,0)</f>
        <v>46.19</v>
      </c>
      <c r="AS1130" s="5">
        <f t="shared" si="40"/>
        <v>3048.54</v>
      </c>
    </row>
    <row r="1131" spans="1:45" x14ac:dyDescent="0.3">
      <c r="A1131" s="1">
        <v>45900.963194444441</v>
      </c>
      <c r="B1131" t="s">
        <v>1463</v>
      </c>
      <c r="C1131" t="s">
        <v>1464</v>
      </c>
      <c r="D1131" t="s">
        <v>629</v>
      </c>
      <c r="F1131" t="s">
        <v>1768</v>
      </c>
      <c r="G1131" t="s">
        <v>630</v>
      </c>
      <c r="H1131" t="s">
        <v>120</v>
      </c>
      <c r="I1131" t="s">
        <v>43</v>
      </c>
      <c r="J1131">
        <v>200</v>
      </c>
      <c r="K1131">
        <v>19</v>
      </c>
      <c r="L1131">
        <v>10</v>
      </c>
      <c r="M1131">
        <v>11</v>
      </c>
      <c r="N1131">
        <v>2531</v>
      </c>
      <c r="O1131">
        <v>0</v>
      </c>
      <c r="P1131">
        <v>0</v>
      </c>
      <c r="Q1131" t="s">
        <v>44</v>
      </c>
      <c r="R1131">
        <v>1094</v>
      </c>
      <c r="S1131" t="s">
        <v>44</v>
      </c>
      <c r="T1131" t="s">
        <v>44</v>
      </c>
      <c r="U1131" t="s">
        <v>44</v>
      </c>
      <c r="V1131">
        <v>1</v>
      </c>
      <c r="W1131" t="s">
        <v>44</v>
      </c>
      <c r="X1131" t="s">
        <v>44</v>
      </c>
      <c r="Y1131">
        <v>1</v>
      </c>
      <c r="Z1131" t="s">
        <v>44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f t="shared" si="41"/>
        <v>1</v>
      </c>
      <c r="AR1131" s="5">
        <f>VLOOKUP(F1131,'[1]Cost Sheet'!$C:$D,2,0)</f>
        <v>48</v>
      </c>
      <c r="AS1131" s="5">
        <f t="shared" si="40"/>
        <v>48</v>
      </c>
    </row>
    <row r="1132" spans="1:45" x14ac:dyDescent="0.3">
      <c r="A1132" s="1">
        <v>45900.963194444441</v>
      </c>
      <c r="B1132" t="s">
        <v>1463</v>
      </c>
      <c r="C1132" t="s">
        <v>1464</v>
      </c>
      <c r="D1132" t="s">
        <v>631</v>
      </c>
      <c r="F1132" t="s">
        <v>1769</v>
      </c>
      <c r="G1132" t="s">
        <v>632</v>
      </c>
      <c r="H1132" t="s">
        <v>120</v>
      </c>
      <c r="I1132" t="s">
        <v>43</v>
      </c>
      <c r="J1132">
        <v>200</v>
      </c>
      <c r="K1132">
        <v>19</v>
      </c>
      <c r="L1132">
        <v>10</v>
      </c>
      <c r="M1132">
        <v>11</v>
      </c>
      <c r="N1132">
        <v>3238</v>
      </c>
      <c r="O1132">
        <v>0</v>
      </c>
      <c r="P1132">
        <v>0</v>
      </c>
      <c r="Q1132" t="s">
        <v>44</v>
      </c>
      <c r="R1132">
        <v>1393</v>
      </c>
      <c r="S1132" t="s">
        <v>44</v>
      </c>
      <c r="T1132" t="s">
        <v>44</v>
      </c>
      <c r="U1132" t="s">
        <v>44</v>
      </c>
      <c r="V1132">
        <v>61</v>
      </c>
      <c r="W1132" t="s">
        <v>44</v>
      </c>
      <c r="X1132" t="s">
        <v>44</v>
      </c>
      <c r="Y1132">
        <v>61</v>
      </c>
      <c r="Z1132" t="s">
        <v>44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61</v>
      </c>
      <c r="AQ1132">
        <f t="shared" si="41"/>
        <v>61</v>
      </c>
      <c r="AR1132" s="5">
        <f>VLOOKUP(F1132,'[1]Cost Sheet'!$C:$D,2,0)</f>
        <v>48</v>
      </c>
      <c r="AS1132" s="5">
        <f t="shared" si="40"/>
        <v>2928</v>
      </c>
    </row>
    <row r="1133" spans="1:45" x14ac:dyDescent="0.3">
      <c r="A1133" s="1">
        <v>45900.963194444441</v>
      </c>
      <c r="B1133" t="s">
        <v>1463</v>
      </c>
      <c r="C1133" t="s">
        <v>1464</v>
      </c>
      <c r="D1133" t="s">
        <v>401</v>
      </c>
      <c r="F1133" t="s">
        <v>1658</v>
      </c>
      <c r="G1133" t="s">
        <v>402</v>
      </c>
      <c r="H1133" t="s">
        <v>66</v>
      </c>
      <c r="I1133" t="s">
        <v>43</v>
      </c>
      <c r="J1133">
        <v>59.02</v>
      </c>
      <c r="K1133">
        <v>19</v>
      </c>
      <c r="L1133">
        <v>11</v>
      </c>
      <c r="M1133">
        <v>10</v>
      </c>
      <c r="N1133">
        <v>54790</v>
      </c>
      <c r="O1133">
        <v>194</v>
      </c>
      <c r="P1133">
        <v>0</v>
      </c>
      <c r="Q1133">
        <v>17</v>
      </c>
      <c r="R1133">
        <v>1164</v>
      </c>
      <c r="S1133" t="s">
        <v>44</v>
      </c>
      <c r="T1133">
        <v>1656</v>
      </c>
      <c r="U1133" t="s">
        <v>44</v>
      </c>
      <c r="V1133">
        <v>0</v>
      </c>
      <c r="W1133">
        <v>7</v>
      </c>
      <c r="X1133" t="s">
        <v>44</v>
      </c>
      <c r="Y1133" t="s">
        <v>44</v>
      </c>
      <c r="Z1133" t="s">
        <v>44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4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194</v>
      </c>
      <c r="AQ1133">
        <f t="shared" si="41"/>
        <v>194</v>
      </c>
      <c r="AR1133" s="5">
        <f>VLOOKUP(F1133,'[2]SCP_24-25'!$A:$D,4,0)</f>
        <v>61.06</v>
      </c>
      <c r="AS1133" s="5">
        <f t="shared" si="40"/>
        <v>11845.640000000001</v>
      </c>
    </row>
    <row r="1134" spans="1:45" x14ac:dyDescent="0.3">
      <c r="A1134" s="1">
        <v>45900.963194444441</v>
      </c>
      <c r="B1134" t="s">
        <v>1463</v>
      </c>
      <c r="C1134" t="s">
        <v>1464</v>
      </c>
      <c r="D1134" t="s">
        <v>927</v>
      </c>
      <c r="F1134" t="s">
        <v>1913</v>
      </c>
      <c r="G1134" t="s">
        <v>928</v>
      </c>
      <c r="H1134" t="s">
        <v>103</v>
      </c>
      <c r="I1134" t="s">
        <v>43</v>
      </c>
      <c r="J1134">
        <v>217</v>
      </c>
      <c r="K1134">
        <v>19</v>
      </c>
      <c r="L1134">
        <v>10</v>
      </c>
      <c r="M1134">
        <v>11</v>
      </c>
      <c r="N1134">
        <v>16932</v>
      </c>
      <c r="O1134">
        <v>16</v>
      </c>
      <c r="P1134">
        <v>0</v>
      </c>
      <c r="Q1134">
        <v>5</v>
      </c>
      <c r="R1134" t="s">
        <v>44</v>
      </c>
      <c r="S1134" t="s">
        <v>44</v>
      </c>
      <c r="T1134" t="s">
        <v>44</v>
      </c>
      <c r="U1134" t="s">
        <v>44</v>
      </c>
      <c r="V1134">
        <v>5</v>
      </c>
      <c r="W1134">
        <v>8</v>
      </c>
      <c r="X1134" t="s">
        <v>44</v>
      </c>
      <c r="Y1134">
        <v>5</v>
      </c>
      <c r="Z1134" t="s">
        <v>44</v>
      </c>
      <c r="AA1134">
        <v>10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31</v>
      </c>
      <c r="AQ1134">
        <f t="shared" si="41"/>
        <v>31</v>
      </c>
      <c r="AR1134" s="5">
        <f>VLOOKUP(F1134,'[2]SCP_24-25'!$A:$D,4,0)</f>
        <v>53.669999999999995</v>
      </c>
      <c r="AS1134" s="5">
        <f t="shared" si="40"/>
        <v>1663.7699999999998</v>
      </c>
    </row>
    <row r="1135" spans="1:45" x14ac:dyDescent="0.3">
      <c r="A1135" s="1">
        <v>45900.963194444441</v>
      </c>
      <c r="B1135" t="s">
        <v>1463</v>
      </c>
      <c r="C1135" t="s">
        <v>1464</v>
      </c>
      <c r="D1135" t="s">
        <v>564</v>
      </c>
      <c r="F1135" t="s">
        <v>1736</v>
      </c>
      <c r="G1135" t="s">
        <v>565</v>
      </c>
      <c r="H1135" t="s">
        <v>103</v>
      </c>
      <c r="I1135" t="s">
        <v>43</v>
      </c>
      <c r="J1135">
        <v>236.02</v>
      </c>
      <c r="K1135">
        <v>19</v>
      </c>
      <c r="L1135">
        <v>10</v>
      </c>
      <c r="M1135">
        <v>11</v>
      </c>
      <c r="N1135">
        <v>10156</v>
      </c>
      <c r="O1135">
        <v>0</v>
      </c>
      <c r="P1135">
        <v>0</v>
      </c>
      <c r="Q1135">
        <v>3</v>
      </c>
      <c r="R1135" t="s">
        <v>44</v>
      </c>
      <c r="S1135" t="s">
        <v>44</v>
      </c>
      <c r="T1135">
        <v>2</v>
      </c>
      <c r="U1135" t="s">
        <v>44</v>
      </c>
      <c r="V1135">
        <v>0</v>
      </c>
      <c r="W1135" t="s">
        <v>44</v>
      </c>
      <c r="X1135" t="s">
        <v>44</v>
      </c>
      <c r="Y1135" t="s">
        <v>44</v>
      </c>
      <c r="Z1135" t="s">
        <v>44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f t="shared" si="41"/>
        <v>1</v>
      </c>
      <c r="AR1135" s="5">
        <f>VLOOKUP(F1135,'[2]SCP_24-25'!$A:$D,4,0)</f>
        <v>59.82</v>
      </c>
      <c r="AS1135" s="5">
        <f t="shared" si="40"/>
        <v>59.82</v>
      </c>
    </row>
    <row r="1136" spans="1:45" x14ac:dyDescent="0.3">
      <c r="A1136" s="1">
        <v>45900.963194444441</v>
      </c>
      <c r="B1136" t="s">
        <v>1463</v>
      </c>
      <c r="C1136" t="s">
        <v>1464</v>
      </c>
      <c r="D1136" t="s">
        <v>403</v>
      </c>
      <c r="F1136" t="s">
        <v>1659</v>
      </c>
      <c r="G1136" t="s">
        <v>404</v>
      </c>
      <c r="H1136" t="s">
        <v>103</v>
      </c>
      <c r="I1136" t="s">
        <v>43</v>
      </c>
      <c r="J1136">
        <v>272.02</v>
      </c>
      <c r="K1136">
        <v>19</v>
      </c>
      <c r="L1136">
        <v>11</v>
      </c>
      <c r="M1136">
        <v>10</v>
      </c>
      <c r="N1136">
        <v>47069</v>
      </c>
      <c r="O1136">
        <v>53</v>
      </c>
      <c r="P1136">
        <v>0</v>
      </c>
      <c r="Q1136">
        <v>87</v>
      </c>
      <c r="R1136">
        <v>2</v>
      </c>
      <c r="S1136" t="s">
        <v>44</v>
      </c>
      <c r="T1136">
        <v>12</v>
      </c>
      <c r="U1136" t="s">
        <v>44</v>
      </c>
      <c r="V1136">
        <v>0</v>
      </c>
      <c r="W1136">
        <v>23</v>
      </c>
      <c r="X1136" t="s">
        <v>44</v>
      </c>
      <c r="Y1136" t="s">
        <v>44</v>
      </c>
      <c r="Z1136" t="s">
        <v>44</v>
      </c>
      <c r="AA1136">
        <v>2</v>
      </c>
      <c r="AB1136">
        <v>0</v>
      </c>
      <c r="AC1136">
        <v>0</v>
      </c>
      <c r="AD1136">
        <v>0</v>
      </c>
      <c r="AE1136">
        <v>0</v>
      </c>
      <c r="AF1136">
        <v>5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55</v>
      </c>
      <c r="AQ1136">
        <f t="shared" si="41"/>
        <v>55</v>
      </c>
      <c r="AR1136" s="5">
        <f>VLOOKUP(F1136,'[2]SCP_24-25'!$A:$D,4,0)</f>
        <v>231.99</v>
      </c>
      <c r="AS1136" s="5">
        <f t="shared" si="40"/>
        <v>12759.45</v>
      </c>
    </row>
    <row r="1137" spans="1:45" x14ac:dyDescent="0.3">
      <c r="A1137" s="1">
        <v>45900.963194444441</v>
      </c>
      <c r="B1137" t="s">
        <v>1463</v>
      </c>
      <c r="C1137" t="s">
        <v>1464</v>
      </c>
      <c r="D1137" t="s">
        <v>605</v>
      </c>
      <c r="F1137" t="s">
        <v>1756</v>
      </c>
      <c r="G1137" t="s">
        <v>606</v>
      </c>
      <c r="H1137" t="s">
        <v>66</v>
      </c>
      <c r="I1137" t="s">
        <v>43</v>
      </c>
      <c r="J1137">
        <v>46.59</v>
      </c>
      <c r="K1137">
        <v>19</v>
      </c>
      <c r="L1137">
        <v>10</v>
      </c>
      <c r="M1137">
        <v>11</v>
      </c>
      <c r="N1137">
        <v>17863</v>
      </c>
      <c r="O1137">
        <v>310</v>
      </c>
      <c r="P1137">
        <v>0</v>
      </c>
      <c r="Q1137">
        <v>5</v>
      </c>
      <c r="R1137" t="s">
        <v>44</v>
      </c>
      <c r="S1137" t="s">
        <v>44</v>
      </c>
      <c r="T1137" t="s">
        <v>44</v>
      </c>
      <c r="U1137" t="s">
        <v>44</v>
      </c>
      <c r="V1137">
        <v>0</v>
      </c>
      <c r="W1137">
        <v>4</v>
      </c>
      <c r="X1137" t="s">
        <v>44</v>
      </c>
      <c r="Y1137" t="s">
        <v>44</v>
      </c>
      <c r="Z1137" t="s">
        <v>44</v>
      </c>
      <c r="AA1137">
        <v>18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328</v>
      </c>
      <c r="AQ1137">
        <f t="shared" si="41"/>
        <v>328</v>
      </c>
      <c r="AR1137" s="5">
        <f>VLOOKUP(F1137,'[2]SCP_24-25'!$A:$D,4,0)</f>
        <v>29.02</v>
      </c>
      <c r="AS1137" s="5">
        <f t="shared" si="40"/>
        <v>9518.56</v>
      </c>
    </row>
    <row r="1138" spans="1:45" x14ac:dyDescent="0.3">
      <c r="A1138" s="1">
        <v>45900.963194444441</v>
      </c>
      <c r="B1138" t="s">
        <v>1463</v>
      </c>
      <c r="C1138" t="s">
        <v>1464</v>
      </c>
      <c r="D1138" t="s">
        <v>423</v>
      </c>
      <c r="F1138" t="s">
        <v>1668</v>
      </c>
      <c r="G1138" t="s">
        <v>424</v>
      </c>
      <c r="H1138" t="s">
        <v>66</v>
      </c>
      <c r="I1138" t="s">
        <v>43</v>
      </c>
      <c r="J1138">
        <v>123.19</v>
      </c>
      <c r="K1138">
        <v>19</v>
      </c>
      <c r="L1138">
        <v>10</v>
      </c>
      <c r="M1138">
        <v>11</v>
      </c>
      <c r="N1138">
        <v>51943</v>
      </c>
      <c r="O1138">
        <v>123</v>
      </c>
      <c r="P1138">
        <v>0</v>
      </c>
      <c r="Q1138">
        <v>84</v>
      </c>
      <c r="R1138" t="s">
        <v>44</v>
      </c>
      <c r="S1138" t="s">
        <v>44</v>
      </c>
      <c r="T1138" t="s">
        <v>44</v>
      </c>
      <c r="U1138" t="s">
        <v>44</v>
      </c>
      <c r="V1138">
        <v>0</v>
      </c>
      <c r="W1138">
        <v>147</v>
      </c>
      <c r="X1138" t="s">
        <v>44</v>
      </c>
      <c r="Y1138" t="s">
        <v>44</v>
      </c>
      <c r="Z1138" t="s">
        <v>44</v>
      </c>
      <c r="AA1138">
        <v>9</v>
      </c>
      <c r="AB1138">
        <v>0</v>
      </c>
      <c r="AC1138">
        <v>0</v>
      </c>
      <c r="AD1138">
        <v>0</v>
      </c>
      <c r="AE1138">
        <v>0</v>
      </c>
      <c r="AF1138">
        <v>8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132</v>
      </c>
      <c r="AQ1138">
        <f t="shared" si="41"/>
        <v>132</v>
      </c>
      <c r="AR1138" s="5">
        <f>VLOOKUP(F1138,'[2]SCP_24-25'!$A:$D,4,0)</f>
        <v>76.260909090909081</v>
      </c>
      <c r="AS1138" s="5">
        <f t="shared" si="40"/>
        <v>10066.439999999999</v>
      </c>
    </row>
    <row r="1139" spans="1:45" x14ac:dyDescent="0.3">
      <c r="A1139" s="1">
        <v>45900.963194444441</v>
      </c>
      <c r="B1139" t="s">
        <v>1463</v>
      </c>
      <c r="C1139" t="s">
        <v>1464</v>
      </c>
      <c r="D1139" t="s">
        <v>633</v>
      </c>
      <c r="E1139" t="s">
        <v>633</v>
      </c>
      <c r="F1139" t="s">
        <v>1770</v>
      </c>
      <c r="G1139" t="s">
        <v>634</v>
      </c>
      <c r="H1139" t="s">
        <v>635</v>
      </c>
      <c r="I1139" t="s">
        <v>43</v>
      </c>
      <c r="N1139">
        <v>841</v>
      </c>
      <c r="O1139">
        <v>4</v>
      </c>
      <c r="P1139">
        <v>0</v>
      </c>
      <c r="Q1139" t="s">
        <v>44</v>
      </c>
      <c r="R1139">
        <v>187</v>
      </c>
      <c r="S1139" t="s">
        <v>44</v>
      </c>
      <c r="T1139" t="s">
        <v>44</v>
      </c>
      <c r="U1139" t="s">
        <v>44</v>
      </c>
      <c r="V1139">
        <v>41</v>
      </c>
      <c r="W1139" t="s">
        <v>44</v>
      </c>
      <c r="X1139" t="s">
        <v>44</v>
      </c>
      <c r="Y1139">
        <v>41</v>
      </c>
      <c r="Z1139" t="s">
        <v>44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45</v>
      </c>
      <c r="AQ1139">
        <f t="shared" si="41"/>
        <v>45</v>
      </c>
      <c r="AR1139" s="5">
        <f>VLOOKUP(F1139,'[1]Cost Sheet'!$C:$D,2,0)</f>
        <v>27.66</v>
      </c>
      <c r="AS1139" s="5">
        <f t="shared" si="40"/>
        <v>1244.7</v>
      </c>
    </row>
    <row r="1140" spans="1:45" x14ac:dyDescent="0.3">
      <c r="A1140" s="1">
        <v>45900.963194444441</v>
      </c>
      <c r="B1140" t="s">
        <v>1463</v>
      </c>
      <c r="C1140" t="s">
        <v>1464</v>
      </c>
      <c r="D1140" t="s">
        <v>931</v>
      </c>
      <c r="E1140" t="s">
        <v>931</v>
      </c>
      <c r="F1140" t="s">
        <v>1915</v>
      </c>
      <c r="G1140" t="s">
        <v>932</v>
      </c>
      <c r="H1140" t="s">
        <v>635</v>
      </c>
      <c r="I1140" t="s">
        <v>43</v>
      </c>
      <c r="N1140">
        <v>701</v>
      </c>
      <c r="O1140">
        <v>2</v>
      </c>
      <c r="P1140">
        <v>0</v>
      </c>
      <c r="Q1140" t="s">
        <v>44</v>
      </c>
      <c r="R1140">
        <v>154</v>
      </c>
      <c r="S1140" t="s">
        <v>44</v>
      </c>
      <c r="T1140" t="s">
        <v>44</v>
      </c>
      <c r="U1140" t="s">
        <v>44</v>
      </c>
      <c r="V1140">
        <v>0</v>
      </c>
      <c r="W1140" t="s">
        <v>44</v>
      </c>
      <c r="X1140" t="s">
        <v>44</v>
      </c>
      <c r="Y1140" t="s">
        <v>44</v>
      </c>
      <c r="Z1140" t="s">
        <v>44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2</v>
      </c>
      <c r="AQ1140">
        <f t="shared" si="41"/>
        <v>2</v>
      </c>
      <c r="AR1140" s="5">
        <f>VLOOKUP(F1140,'[1]Cost Sheet'!$C:$D,2,0)</f>
        <v>60.54</v>
      </c>
      <c r="AS1140" s="5">
        <f t="shared" si="40"/>
        <v>121.08</v>
      </c>
    </row>
    <row r="1141" spans="1:45" x14ac:dyDescent="0.3">
      <c r="A1141" s="1">
        <v>45900.963194444441</v>
      </c>
      <c r="B1141" t="s">
        <v>1463</v>
      </c>
      <c r="C1141" t="s">
        <v>1464</v>
      </c>
      <c r="D1141" t="s">
        <v>933</v>
      </c>
      <c r="E1141" t="s">
        <v>933</v>
      </c>
      <c r="F1141" t="s">
        <v>1916</v>
      </c>
      <c r="G1141" t="s">
        <v>934</v>
      </c>
      <c r="H1141" t="s">
        <v>635</v>
      </c>
      <c r="I1141" t="s">
        <v>43</v>
      </c>
      <c r="N1141">
        <v>923</v>
      </c>
      <c r="O1141">
        <v>0</v>
      </c>
      <c r="P1141">
        <v>0</v>
      </c>
      <c r="Q1141" t="s">
        <v>44</v>
      </c>
      <c r="R1141">
        <v>254</v>
      </c>
      <c r="S1141" t="s">
        <v>44</v>
      </c>
      <c r="T1141" t="s">
        <v>44</v>
      </c>
      <c r="U1141" t="s">
        <v>44</v>
      </c>
      <c r="V1141">
        <v>2</v>
      </c>
      <c r="W1141" t="s">
        <v>44</v>
      </c>
      <c r="X1141" t="s">
        <v>44</v>
      </c>
      <c r="Y1141">
        <v>2</v>
      </c>
      <c r="Z1141" t="s">
        <v>44</v>
      </c>
      <c r="AA1141">
        <v>0</v>
      </c>
      <c r="AB1141">
        <v>0</v>
      </c>
      <c r="AC1141">
        <v>0</v>
      </c>
      <c r="AD1141">
        <v>0</v>
      </c>
      <c r="AE1141">
        <v>2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2</v>
      </c>
      <c r="AQ1141">
        <f t="shared" si="41"/>
        <v>2</v>
      </c>
      <c r="AR1141" s="5">
        <f>VLOOKUP(F1141,'[1]Cost Sheet'!$C:$D,2,0)</f>
        <v>94.530000000000015</v>
      </c>
      <c r="AS1141" s="5">
        <f t="shared" si="40"/>
        <v>189.06000000000003</v>
      </c>
    </row>
    <row r="1142" spans="1:45" x14ac:dyDescent="0.3">
      <c r="A1142" s="1">
        <v>45900.963194444441</v>
      </c>
      <c r="B1142" t="s">
        <v>1463</v>
      </c>
      <c r="C1142" t="s">
        <v>1464</v>
      </c>
      <c r="D1142" t="s">
        <v>935</v>
      </c>
      <c r="E1142" t="s">
        <v>935</v>
      </c>
      <c r="F1142" t="s">
        <v>1917</v>
      </c>
      <c r="G1142" t="s">
        <v>936</v>
      </c>
      <c r="H1142" t="s">
        <v>635</v>
      </c>
      <c r="I1142" t="s">
        <v>43</v>
      </c>
      <c r="N1142">
        <v>687</v>
      </c>
      <c r="O1142">
        <v>0</v>
      </c>
      <c r="P1142">
        <v>0</v>
      </c>
      <c r="Q1142" t="s">
        <v>44</v>
      </c>
      <c r="R1142">
        <v>77</v>
      </c>
      <c r="S1142" t="s">
        <v>44</v>
      </c>
      <c r="T1142" t="s">
        <v>44</v>
      </c>
      <c r="U1142" t="s">
        <v>44</v>
      </c>
      <c r="V1142">
        <v>78</v>
      </c>
      <c r="W1142" t="s">
        <v>44</v>
      </c>
      <c r="X1142" t="s">
        <v>44</v>
      </c>
      <c r="Y1142">
        <v>78</v>
      </c>
      <c r="Z1142" t="s">
        <v>44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78</v>
      </c>
      <c r="AQ1142">
        <f t="shared" si="41"/>
        <v>78</v>
      </c>
      <c r="AR1142" s="5">
        <f>VLOOKUP(F1142,'[1]Cost Sheet'!$C:$D,2,0)</f>
        <v>100.66</v>
      </c>
      <c r="AS1142" s="5">
        <f t="shared" si="40"/>
        <v>7851.48</v>
      </c>
    </row>
    <row r="1143" spans="1:45" x14ac:dyDescent="0.3">
      <c r="A1143" s="1">
        <v>45900.963194444441</v>
      </c>
      <c r="B1143" t="s">
        <v>1463</v>
      </c>
      <c r="C1143" t="s">
        <v>1464</v>
      </c>
      <c r="D1143" t="s">
        <v>937</v>
      </c>
      <c r="E1143" t="s">
        <v>937</v>
      </c>
      <c r="F1143" t="s">
        <v>1918</v>
      </c>
      <c r="G1143" t="s">
        <v>938</v>
      </c>
      <c r="H1143" t="s">
        <v>635</v>
      </c>
      <c r="I1143" t="s">
        <v>43</v>
      </c>
      <c r="N1143">
        <v>1206</v>
      </c>
      <c r="O1143">
        <v>6</v>
      </c>
      <c r="P1143">
        <v>0</v>
      </c>
      <c r="Q1143" t="s">
        <v>44</v>
      </c>
      <c r="R1143">
        <v>306</v>
      </c>
      <c r="S1143" t="s">
        <v>44</v>
      </c>
      <c r="T1143" t="s">
        <v>44</v>
      </c>
      <c r="U1143" t="s">
        <v>44</v>
      </c>
      <c r="V1143">
        <v>2</v>
      </c>
      <c r="W1143" t="s">
        <v>44</v>
      </c>
      <c r="X1143" t="s">
        <v>44</v>
      </c>
      <c r="Y1143">
        <v>2</v>
      </c>
      <c r="Z1143" t="s">
        <v>44</v>
      </c>
      <c r="AA1143">
        <v>0</v>
      </c>
      <c r="AB1143">
        <v>0</v>
      </c>
      <c r="AC1143">
        <v>0</v>
      </c>
      <c r="AD1143">
        <v>0</v>
      </c>
      <c r="AE1143">
        <v>9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8</v>
      </c>
      <c r="AQ1143">
        <f t="shared" si="41"/>
        <v>8</v>
      </c>
      <c r="AR1143" s="5">
        <f>VLOOKUP(F1143,'[1]Cost Sheet'!$C:$D,2,0)</f>
        <v>53.202222222222218</v>
      </c>
      <c r="AS1143" s="5">
        <f t="shared" si="40"/>
        <v>425.61777777777775</v>
      </c>
    </row>
    <row r="1144" spans="1:45" x14ac:dyDescent="0.3">
      <c r="A1144" s="1">
        <v>45900.963194444441</v>
      </c>
      <c r="B1144" t="s">
        <v>1463</v>
      </c>
      <c r="C1144" t="s">
        <v>1464</v>
      </c>
      <c r="D1144" t="s">
        <v>939</v>
      </c>
      <c r="E1144" t="s">
        <v>939</v>
      </c>
      <c r="F1144" t="s">
        <v>1919</v>
      </c>
      <c r="G1144" t="s">
        <v>940</v>
      </c>
      <c r="H1144" t="s">
        <v>635</v>
      </c>
      <c r="I1144" t="s">
        <v>43</v>
      </c>
      <c r="N1144">
        <v>736</v>
      </c>
      <c r="O1144">
        <v>0</v>
      </c>
      <c r="P1144">
        <v>0</v>
      </c>
      <c r="Q1144" t="s">
        <v>44</v>
      </c>
      <c r="R1144">
        <v>151</v>
      </c>
      <c r="S1144" t="s">
        <v>44</v>
      </c>
      <c r="T1144" t="s">
        <v>44</v>
      </c>
      <c r="U1144" t="s">
        <v>44</v>
      </c>
      <c r="V1144">
        <v>27</v>
      </c>
      <c r="W1144" t="s">
        <v>44</v>
      </c>
      <c r="X1144" t="s">
        <v>44</v>
      </c>
      <c r="Y1144">
        <v>27</v>
      </c>
      <c r="Z1144" t="s">
        <v>44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27</v>
      </c>
      <c r="AQ1144">
        <f t="shared" si="41"/>
        <v>27</v>
      </c>
      <c r="AR1144" s="5">
        <f>VLOOKUP(F1144,'[1]Cost Sheet'!$C:$D,2,0)</f>
        <v>37.17</v>
      </c>
      <c r="AS1144" s="5">
        <f t="shared" si="40"/>
        <v>1003.59</v>
      </c>
    </row>
    <row r="1145" spans="1:45" x14ac:dyDescent="0.3">
      <c r="A1145" s="1">
        <v>45900.963194444441</v>
      </c>
      <c r="B1145" t="s">
        <v>1463</v>
      </c>
      <c r="C1145" t="s">
        <v>1464</v>
      </c>
      <c r="D1145" t="s">
        <v>638</v>
      </c>
      <c r="E1145" t="s">
        <v>638</v>
      </c>
      <c r="F1145" t="s">
        <v>1772</v>
      </c>
      <c r="G1145" t="s">
        <v>639</v>
      </c>
      <c r="H1145" t="s">
        <v>635</v>
      </c>
      <c r="I1145" t="s">
        <v>43</v>
      </c>
      <c r="N1145">
        <v>875</v>
      </c>
      <c r="O1145">
        <v>0</v>
      </c>
      <c r="P1145">
        <v>0</v>
      </c>
      <c r="Q1145" t="s">
        <v>44</v>
      </c>
      <c r="R1145">
        <v>284</v>
      </c>
      <c r="S1145" t="s">
        <v>44</v>
      </c>
      <c r="T1145" t="s">
        <v>44</v>
      </c>
      <c r="U1145" t="s">
        <v>44</v>
      </c>
      <c r="V1145">
        <v>30</v>
      </c>
      <c r="W1145" t="s">
        <v>44</v>
      </c>
      <c r="X1145" t="s">
        <v>44</v>
      </c>
      <c r="Y1145">
        <v>30</v>
      </c>
      <c r="Z1145" t="s">
        <v>44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30</v>
      </c>
      <c r="AQ1145">
        <f t="shared" si="41"/>
        <v>30</v>
      </c>
      <c r="AR1145" s="5">
        <f>VLOOKUP(F1145,'[1]Cost Sheet'!$C:$D,2,0)</f>
        <v>25.264285714285712</v>
      </c>
      <c r="AS1145" s="5">
        <f t="shared" si="40"/>
        <v>757.92857142857133</v>
      </c>
    </row>
    <row r="1146" spans="1:45" x14ac:dyDescent="0.3">
      <c r="A1146" s="1">
        <v>45900.963194444441</v>
      </c>
      <c r="B1146" t="s">
        <v>1463</v>
      </c>
      <c r="C1146" t="s">
        <v>1464</v>
      </c>
      <c r="D1146" t="s">
        <v>640</v>
      </c>
      <c r="E1146" t="s">
        <v>640</v>
      </c>
      <c r="F1146" t="s">
        <v>1773</v>
      </c>
      <c r="G1146" t="s">
        <v>641</v>
      </c>
      <c r="H1146" t="s">
        <v>635</v>
      </c>
      <c r="I1146" t="s">
        <v>43</v>
      </c>
      <c r="N1146">
        <v>1414</v>
      </c>
      <c r="O1146">
        <v>2</v>
      </c>
      <c r="P1146">
        <v>0</v>
      </c>
      <c r="Q1146" t="s">
        <v>44</v>
      </c>
      <c r="R1146">
        <v>237</v>
      </c>
      <c r="S1146" t="s">
        <v>44</v>
      </c>
      <c r="T1146" t="s">
        <v>44</v>
      </c>
      <c r="U1146" t="s">
        <v>44</v>
      </c>
      <c r="V1146">
        <v>46</v>
      </c>
      <c r="W1146" t="s">
        <v>44</v>
      </c>
      <c r="X1146" t="s">
        <v>44</v>
      </c>
      <c r="Y1146">
        <v>46</v>
      </c>
      <c r="Z1146" t="s">
        <v>44</v>
      </c>
      <c r="AA1146">
        <v>0</v>
      </c>
      <c r="AB1146">
        <v>0</v>
      </c>
      <c r="AC1146">
        <v>0</v>
      </c>
      <c r="AD1146">
        <v>0</v>
      </c>
      <c r="AE1146">
        <v>168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48</v>
      </c>
      <c r="AQ1146">
        <f t="shared" si="41"/>
        <v>48</v>
      </c>
      <c r="AR1146" s="5">
        <f>VLOOKUP(F1146,'[1]Cost Sheet'!$C:$D,2,0)</f>
        <v>41.87</v>
      </c>
      <c r="AS1146" s="5">
        <f t="shared" si="40"/>
        <v>2009.7599999999998</v>
      </c>
    </row>
    <row r="1147" spans="1:45" x14ac:dyDescent="0.3">
      <c r="A1147" s="1">
        <v>45900.963194444441</v>
      </c>
      <c r="B1147" t="s">
        <v>1463</v>
      </c>
      <c r="C1147" t="s">
        <v>1464</v>
      </c>
      <c r="D1147" t="s">
        <v>642</v>
      </c>
      <c r="E1147" t="s">
        <v>642</v>
      </c>
      <c r="F1147" t="s">
        <v>1774</v>
      </c>
      <c r="G1147" t="s">
        <v>643</v>
      </c>
      <c r="H1147" t="s">
        <v>635</v>
      </c>
      <c r="I1147" t="s">
        <v>43</v>
      </c>
      <c r="N1147">
        <v>788</v>
      </c>
      <c r="O1147">
        <v>0</v>
      </c>
      <c r="P1147">
        <v>0</v>
      </c>
      <c r="Q1147" t="s">
        <v>44</v>
      </c>
      <c r="R1147">
        <v>199</v>
      </c>
      <c r="S1147" t="s">
        <v>44</v>
      </c>
      <c r="T1147" t="s">
        <v>44</v>
      </c>
      <c r="U1147" t="s">
        <v>44</v>
      </c>
      <c r="V1147">
        <v>29</v>
      </c>
      <c r="W1147" t="s">
        <v>44</v>
      </c>
      <c r="X1147" t="s">
        <v>44</v>
      </c>
      <c r="Y1147">
        <v>29</v>
      </c>
      <c r="Z1147" t="s">
        <v>44</v>
      </c>
      <c r="AA1147">
        <v>0</v>
      </c>
      <c r="AB1147">
        <v>0</v>
      </c>
      <c r="AC1147">
        <v>0</v>
      </c>
      <c r="AD1147">
        <v>0</v>
      </c>
      <c r="AE1147">
        <v>2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29</v>
      </c>
      <c r="AQ1147">
        <f t="shared" si="41"/>
        <v>29</v>
      </c>
      <c r="AR1147" s="5">
        <f>VLOOKUP(F1147,'[1]Cost Sheet'!$C:$D,2,0)</f>
        <v>40.090000000000003</v>
      </c>
      <c r="AS1147" s="5">
        <f t="shared" si="40"/>
        <v>1162.6100000000001</v>
      </c>
    </row>
    <row r="1148" spans="1:45" x14ac:dyDescent="0.3">
      <c r="A1148" s="1">
        <v>45900.963194444441</v>
      </c>
      <c r="B1148" t="s">
        <v>1463</v>
      </c>
      <c r="C1148" t="s">
        <v>1464</v>
      </c>
      <c r="D1148" t="s">
        <v>644</v>
      </c>
      <c r="E1148" t="s">
        <v>644</v>
      </c>
      <c r="F1148" t="s">
        <v>1775</v>
      </c>
      <c r="G1148" t="s">
        <v>645</v>
      </c>
      <c r="H1148" t="s">
        <v>635</v>
      </c>
      <c r="I1148" t="s">
        <v>43</v>
      </c>
      <c r="J1148">
        <v>104</v>
      </c>
      <c r="K1148">
        <v>19</v>
      </c>
      <c r="L1148">
        <v>10</v>
      </c>
      <c r="M1148">
        <v>9.5</v>
      </c>
      <c r="N1148">
        <v>1091</v>
      </c>
      <c r="O1148">
        <v>1</v>
      </c>
      <c r="P1148">
        <v>0</v>
      </c>
      <c r="Q1148" t="s">
        <v>44</v>
      </c>
      <c r="R1148">
        <v>182</v>
      </c>
      <c r="S1148" t="s">
        <v>44</v>
      </c>
      <c r="T1148" t="s">
        <v>44</v>
      </c>
      <c r="U1148" t="s">
        <v>44</v>
      </c>
      <c r="V1148">
        <v>3</v>
      </c>
      <c r="W1148" t="s">
        <v>44</v>
      </c>
      <c r="X1148" t="s">
        <v>44</v>
      </c>
      <c r="Y1148">
        <v>3</v>
      </c>
      <c r="Z1148" t="s">
        <v>44</v>
      </c>
      <c r="AA1148">
        <v>0</v>
      </c>
      <c r="AB1148">
        <v>0</v>
      </c>
      <c r="AC1148">
        <v>0</v>
      </c>
      <c r="AD1148">
        <v>0</v>
      </c>
      <c r="AE1148">
        <v>174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4</v>
      </c>
      <c r="AQ1148">
        <f t="shared" si="41"/>
        <v>4</v>
      </c>
      <c r="AR1148" s="5">
        <f>VLOOKUP(F1148,'[1]Cost Sheet'!$C:$D,2,0)</f>
        <v>69.16</v>
      </c>
      <c r="AS1148" s="5">
        <f t="shared" si="40"/>
        <v>276.64</v>
      </c>
    </row>
    <row r="1149" spans="1:45" x14ac:dyDescent="0.3">
      <c r="A1149" s="1">
        <v>45900.963194444441</v>
      </c>
      <c r="B1149" t="s">
        <v>1463</v>
      </c>
      <c r="C1149" t="s">
        <v>1464</v>
      </c>
      <c r="D1149" t="s">
        <v>646</v>
      </c>
      <c r="E1149" t="s">
        <v>646</v>
      </c>
      <c r="F1149" t="s">
        <v>1776</v>
      </c>
      <c r="G1149" t="s">
        <v>647</v>
      </c>
      <c r="H1149" t="s">
        <v>635</v>
      </c>
      <c r="I1149" t="s">
        <v>43</v>
      </c>
      <c r="N1149">
        <v>1035</v>
      </c>
      <c r="O1149">
        <v>0</v>
      </c>
      <c r="P1149">
        <v>0</v>
      </c>
      <c r="Q1149" t="s">
        <v>44</v>
      </c>
      <c r="R1149">
        <v>211</v>
      </c>
      <c r="S1149" t="s">
        <v>44</v>
      </c>
      <c r="T1149" t="s">
        <v>44</v>
      </c>
      <c r="U1149" t="s">
        <v>44</v>
      </c>
      <c r="V1149">
        <v>82</v>
      </c>
      <c r="W1149" t="s">
        <v>44</v>
      </c>
      <c r="X1149" t="s">
        <v>44</v>
      </c>
      <c r="Y1149">
        <v>82</v>
      </c>
      <c r="Z1149" t="s">
        <v>44</v>
      </c>
      <c r="AA1149">
        <v>0</v>
      </c>
      <c r="AB1149">
        <v>0</v>
      </c>
      <c r="AC1149">
        <v>0</v>
      </c>
      <c r="AD1149">
        <v>0</v>
      </c>
      <c r="AE1149">
        <v>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82</v>
      </c>
      <c r="AQ1149">
        <f t="shared" si="41"/>
        <v>82</v>
      </c>
      <c r="AR1149" s="5">
        <f>VLOOKUP(F1149,'[1]Cost Sheet'!$C:$D,2,0)</f>
        <v>75.69</v>
      </c>
      <c r="AS1149" s="5">
        <f t="shared" si="40"/>
        <v>6206.58</v>
      </c>
    </row>
    <row r="1150" spans="1:45" x14ac:dyDescent="0.3">
      <c r="A1150" s="1">
        <v>45900.963194444441</v>
      </c>
      <c r="B1150" t="s">
        <v>1463</v>
      </c>
      <c r="C1150" t="s">
        <v>1464</v>
      </c>
      <c r="D1150" t="s">
        <v>648</v>
      </c>
      <c r="E1150" t="s">
        <v>648</v>
      </c>
      <c r="F1150" t="s">
        <v>1777</v>
      </c>
      <c r="G1150" t="s">
        <v>649</v>
      </c>
      <c r="H1150" t="s">
        <v>635</v>
      </c>
      <c r="I1150" t="s">
        <v>43</v>
      </c>
      <c r="N1150">
        <v>705</v>
      </c>
      <c r="O1150">
        <v>0</v>
      </c>
      <c r="P1150">
        <v>0</v>
      </c>
      <c r="Q1150" t="s">
        <v>44</v>
      </c>
      <c r="R1150">
        <v>230</v>
      </c>
      <c r="S1150" t="s">
        <v>44</v>
      </c>
      <c r="T1150" t="s">
        <v>44</v>
      </c>
      <c r="U1150" t="s">
        <v>44</v>
      </c>
      <c r="V1150">
        <v>52</v>
      </c>
      <c r="W1150" t="s">
        <v>44</v>
      </c>
      <c r="X1150" t="s">
        <v>44</v>
      </c>
      <c r="Y1150">
        <v>52</v>
      </c>
      <c r="Z1150" t="s">
        <v>44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52</v>
      </c>
      <c r="AQ1150">
        <f t="shared" si="41"/>
        <v>52</v>
      </c>
      <c r="AR1150" s="5">
        <f>VLOOKUP(F1150,'[1]Cost Sheet'!$C:$D,2,0)</f>
        <v>51.353999999999999</v>
      </c>
      <c r="AS1150" s="5">
        <f t="shared" si="40"/>
        <v>2670.4079999999999</v>
      </c>
    </row>
    <row r="1151" spans="1:45" x14ac:dyDescent="0.3">
      <c r="A1151" s="1">
        <v>45900.963194444441</v>
      </c>
      <c r="B1151" t="s">
        <v>1463</v>
      </c>
      <c r="C1151" t="s">
        <v>1464</v>
      </c>
      <c r="D1151" t="s">
        <v>652</v>
      </c>
      <c r="E1151" t="s">
        <v>652</v>
      </c>
      <c r="F1151" t="s">
        <v>1779</v>
      </c>
      <c r="G1151" t="s">
        <v>653</v>
      </c>
      <c r="H1151" t="s">
        <v>635</v>
      </c>
      <c r="I1151" t="s">
        <v>43</v>
      </c>
      <c r="N1151">
        <v>971</v>
      </c>
      <c r="O1151">
        <v>1</v>
      </c>
      <c r="P1151">
        <v>0</v>
      </c>
      <c r="Q1151" t="s">
        <v>44</v>
      </c>
      <c r="R1151">
        <v>249</v>
      </c>
      <c r="S1151" t="s">
        <v>44</v>
      </c>
      <c r="T1151" t="s">
        <v>44</v>
      </c>
      <c r="U1151" t="s">
        <v>44</v>
      </c>
      <c r="V1151">
        <v>52</v>
      </c>
      <c r="W1151" t="s">
        <v>44</v>
      </c>
      <c r="X1151" t="s">
        <v>44</v>
      </c>
      <c r="Y1151">
        <v>52</v>
      </c>
      <c r="Z1151" t="s">
        <v>44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53</v>
      </c>
      <c r="AQ1151">
        <f t="shared" si="41"/>
        <v>53</v>
      </c>
      <c r="AR1151" s="5">
        <f>VLOOKUP(F1151,'[1]Cost Sheet'!$C:$D,2,0)</f>
        <v>76.619230769230754</v>
      </c>
      <c r="AS1151" s="5">
        <f t="shared" si="40"/>
        <v>4060.8192307692298</v>
      </c>
    </row>
    <row r="1152" spans="1:45" x14ac:dyDescent="0.3">
      <c r="A1152" s="1">
        <v>45900.963194444441</v>
      </c>
      <c r="B1152" t="s">
        <v>1463</v>
      </c>
      <c r="C1152" t="s">
        <v>1464</v>
      </c>
      <c r="D1152" t="s">
        <v>797</v>
      </c>
      <c r="E1152" t="s">
        <v>797</v>
      </c>
      <c r="F1152" t="s">
        <v>1850</v>
      </c>
      <c r="G1152" t="s">
        <v>798</v>
      </c>
      <c r="H1152" t="s">
        <v>635</v>
      </c>
      <c r="I1152" t="s">
        <v>43</v>
      </c>
      <c r="N1152">
        <v>1078</v>
      </c>
      <c r="O1152">
        <v>12</v>
      </c>
      <c r="P1152">
        <v>0</v>
      </c>
      <c r="Q1152" t="s">
        <v>44</v>
      </c>
      <c r="R1152">
        <v>163</v>
      </c>
      <c r="S1152" t="s">
        <v>44</v>
      </c>
      <c r="T1152" t="s">
        <v>44</v>
      </c>
      <c r="U1152" t="s">
        <v>44</v>
      </c>
      <c r="V1152">
        <v>51</v>
      </c>
      <c r="W1152" t="s">
        <v>44</v>
      </c>
      <c r="X1152" t="s">
        <v>44</v>
      </c>
      <c r="Y1152">
        <v>51</v>
      </c>
      <c r="Z1152" t="s">
        <v>44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63</v>
      </c>
      <c r="AQ1152">
        <f t="shared" si="41"/>
        <v>63</v>
      </c>
      <c r="AR1152" s="5">
        <f>VLOOKUP(F1152,'[1]Cost Sheet'!$C:$D,2,0)</f>
        <v>130.39230769230767</v>
      </c>
      <c r="AS1152" s="5">
        <f t="shared" si="40"/>
        <v>8214.7153846153833</v>
      </c>
    </row>
    <row r="1153" spans="1:45" x14ac:dyDescent="0.3">
      <c r="A1153" s="1">
        <v>45900.963194444441</v>
      </c>
      <c r="B1153" t="s">
        <v>1463</v>
      </c>
      <c r="C1153" t="s">
        <v>1464</v>
      </c>
      <c r="D1153" t="s">
        <v>947</v>
      </c>
      <c r="E1153" t="s">
        <v>947</v>
      </c>
      <c r="F1153" t="s">
        <v>1923</v>
      </c>
      <c r="G1153" t="s">
        <v>948</v>
      </c>
      <c r="H1153" t="s">
        <v>635</v>
      </c>
      <c r="I1153" t="s">
        <v>43</v>
      </c>
      <c r="N1153">
        <v>689</v>
      </c>
      <c r="O1153">
        <v>1</v>
      </c>
      <c r="P1153">
        <v>0</v>
      </c>
      <c r="Q1153" t="s">
        <v>44</v>
      </c>
      <c r="R1153">
        <v>169</v>
      </c>
      <c r="S1153" t="s">
        <v>44</v>
      </c>
      <c r="T1153" t="s">
        <v>44</v>
      </c>
      <c r="U1153" t="s">
        <v>44</v>
      </c>
      <c r="V1153">
        <v>7</v>
      </c>
      <c r="W1153" t="s">
        <v>44</v>
      </c>
      <c r="X1153" t="s">
        <v>44</v>
      </c>
      <c r="Y1153">
        <v>7</v>
      </c>
      <c r="Z1153" t="s">
        <v>44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8</v>
      </c>
      <c r="AQ1153">
        <f t="shared" si="41"/>
        <v>8</v>
      </c>
      <c r="AR1153" s="5">
        <f>VLOOKUP(F1153,'[1]Cost Sheet'!$C:$D,2,0)</f>
        <v>50.46</v>
      </c>
      <c r="AS1153" s="5">
        <f t="shared" si="40"/>
        <v>403.68</v>
      </c>
    </row>
    <row r="1154" spans="1:45" x14ac:dyDescent="0.3">
      <c r="A1154" s="1">
        <v>45900.963194444441</v>
      </c>
      <c r="B1154" t="s">
        <v>1463</v>
      </c>
      <c r="C1154" t="s">
        <v>1464</v>
      </c>
      <c r="D1154" t="s">
        <v>949</v>
      </c>
      <c r="E1154" t="s">
        <v>949</v>
      </c>
      <c r="F1154" t="s">
        <v>1924</v>
      </c>
      <c r="G1154" t="s">
        <v>950</v>
      </c>
      <c r="H1154" t="s">
        <v>635</v>
      </c>
      <c r="I1154" t="s">
        <v>43</v>
      </c>
      <c r="N1154">
        <v>858</v>
      </c>
      <c r="O1154">
        <v>0</v>
      </c>
      <c r="P1154">
        <v>0</v>
      </c>
      <c r="Q1154" t="s">
        <v>44</v>
      </c>
      <c r="R1154">
        <v>107</v>
      </c>
      <c r="S1154" t="s">
        <v>44</v>
      </c>
      <c r="T1154" t="s">
        <v>44</v>
      </c>
      <c r="U1154" t="s">
        <v>44</v>
      </c>
      <c r="V1154">
        <v>61</v>
      </c>
      <c r="W1154" t="s">
        <v>44</v>
      </c>
      <c r="X1154" t="s">
        <v>44</v>
      </c>
      <c r="Y1154">
        <v>61</v>
      </c>
      <c r="Z1154" t="s">
        <v>44</v>
      </c>
      <c r="AA1154">
        <v>0</v>
      </c>
      <c r="AB1154">
        <v>0</v>
      </c>
      <c r="AC1154">
        <v>0</v>
      </c>
      <c r="AD1154">
        <v>0</v>
      </c>
      <c r="AE1154">
        <v>57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61</v>
      </c>
      <c r="AQ1154">
        <f t="shared" si="41"/>
        <v>61</v>
      </c>
      <c r="AR1154" s="5">
        <f>VLOOKUP(F1154,'[1]Cost Sheet'!$C:$D,2,0)</f>
        <v>65.349999999999994</v>
      </c>
      <c r="AS1154" s="5">
        <f t="shared" si="40"/>
        <v>3986.3499999999995</v>
      </c>
    </row>
    <row r="1155" spans="1:45" x14ac:dyDescent="0.3">
      <c r="A1155" s="1">
        <v>45900.963194444441</v>
      </c>
      <c r="B1155" t="s">
        <v>1463</v>
      </c>
      <c r="C1155" t="s">
        <v>1464</v>
      </c>
      <c r="D1155" t="s">
        <v>951</v>
      </c>
      <c r="E1155" t="s">
        <v>951</v>
      </c>
      <c r="F1155" t="s">
        <v>1925</v>
      </c>
      <c r="G1155" t="s">
        <v>952</v>
      </c>
      <c r="H1155" t="s">
        <v>635</v>
      </c>
      <c r="I1155" t="s">
        <v>43</v>
      </c>
      <c r="N1155">
        <v>923</v>
      </c>
      <c r="O1155">
        <v>4</v>
      </c>
      <c r="P1155">
        <v>0</v>
      </c>
      <c r="Q1155" t="s">
        <v>44</v>
      </c>
      <c r="R1155">
        <v>177</v>
      </c>
      <c r="S1155" t="s">
        <v>44</v>
      </c>
      <c r="T1155" t="s">
        <v>44</v>
      </c>
      <c r="U1155" t="s">
        <v>44</v>
      </c>
      <c r="V1155">
        <v>23</v>
      </c>
      <c r="W1155" t="s">
        <v>44</v>
      </c>
      <c r="X1155" t="s">
        <v>44</v>
      </c>
      <c r="Y1155">
        <v>23</v>
      </c>
      <c r="Z1155" t="s">
        <v>44</v>
      </c>
      <c r="AA1155">
        <v>0</v>
      </c>
      <c r="AB1155">
        <v>0</v>
      </c>
      <c r="AC1155">
        <v>0</v>
      </c>
      <c r="AD1155">
        <v>0</v>
      </c>
      <c r="AE1155">
        <v>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27</v>
      </c>
      <c r="AQ1155">
        <f t="shared" si="41"/>
        <v>27</v>
      </c>
      <c r="AR1155" s="5">
        <f>VLOOKUP(F1155,'[1]Cost Sheet'!$C:$D,2,0)</f>
        <v>72.599999999999994</v>
      </c>
      <c r="AS1155" s="5">
        <f t="shared" ref="AS1155:AS1218" si="42">AQ1155*AR1155</f>
        <v>1960.1999999999998</v>
      </c>
    </row>
    <row r="1156" spans="1:45" x14ac:dyDescent="0.3">
      <c r="A1156" s="1">
        <v>45900.963194444441</v>
      </c>
      <c r="B1156" t="s">
        <v>1463</v>
      </c>
      <c r="C1156" t="s">
        <v>1464</v>
      </c>
      <c r="D1156" t="s">
        <v>953</v>
      </c>
      <c r="E1156" t="s">
        <v>953</v>
      </c>
      <c r="F1156" t="s">
        <v>1926</v>
      </c>
      <c r="G1156" t="s">
        <v>954</v>
      </c>
      <c r="H1156" t="s">
        <v>635</v>
      </c>
      <c r="I1156" t="s">
        <v>43</v>
      </c>
      <c r="N1156">
        <v>807</v>
      </c>
      <c r="O1156">
        <v>2</v>
      </c>
      <c r="P1156">
        <v>0</v>
      </c>
      <c r="Q1156" t="s">
        <v>44</v>
      </c>
      <c r="R1156">
        <v>159</v>
      </c>
      <c r="S1156" t="s">
        <v>44</v>
      </c>
      <c r="T1156" t="s">
        <v>44</v>
      </c>
      <c r="U1156" t="s">
        <v>44</v>
      </c>
      <c r="V1156">
        <v>0</v>
      </c>
      <c r="W1156" t="s">
        <v>44</v>
      </c>
      <c r="X1156" t="s">
        <v>44</v>
      </c>
      <c r="Y1156" t="s">
        <v>44</v>
      </c>
      <c r="Z1156" t="s">
        <v>44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2</v>
      </c>
      <c r="AQ1156">
        <f t="shared" si="41"/>
        <v>2</v>
      </c>
      <c r="AR1156" s="5">
        <f>VLOOKUP(F1156,'[1]Cost Sheet'!$C:$D,2,0)</f>
        <v>47.03</v>
      </c>
      <c r="AS1156" s="5">
        <f t="shared" si="42"/>
        <v>94.06</v>
      </c>
    </row>
    <row r="1157" spans="1:45" x14ac:dyDescent="0.3">
      <c r="A1157" s="1">
        <v>45900.963194444441</v>
      </c>
      <c r="B1157" t="s">
        <v>1463</v>
      </c>
      <c r="C1157" t="s">
        <v>1464</v>
      </c>
      <c r="D1157" t="s">
        <v>654</v>
      </c>
      <c r="E1157" t="s">
        <v>654</v>
      </c>
      <c r="F1157" t="s">
        <v>1780</v>
      </c>
      <c r="G1157" t="s">
        <v>655</v>
      </c>
      <c r="H1157" t="s">
        <v>635</v>
      </c>
      <c r="I1157" t="s">
        <v>43</v>
      </c>
      <c r="N1157">
        <v>1765</v>
      </c>
      <c r="O1157">
        <v>0</v>
      </c>
      <c r="P1157">
        <v>0</v>
      </c>
      <c r="Q1157" t="s">
        <v>44</v>
      </c>
      <c r="R1157">
        <v>129</v>
      </c>
      <c r="S1157" t="s">
        <v>44</v>
      </c>
      <c r="T1157" t="s">
        <v>44</v>
      </c>
      <c r="U1157" t="s">
        <v>44</v>
      </c>
      <c r="V1157">
        <v>82</v>
      </c>
      <c r="W1157" t="s">
        <v>44</v>
      </c>
      <c r="X1157" t="s">
        <v>44</v>
      </c>
      <c r="Y1157">
        <v>82</v>
      </c>
      <c r="Z1157" t="s">
        <v>44</v>
      </c>
      <c r="AA1157">
        <v>0</v>
      </c>
      <c r="AB1157">
        <v>0</v>
      </c>
      <c r="AC1157">
        <v>0</v>
      </c>
      <c r="AD1157">
        <v>0</v>
      </c>
      <c r="AE1157">
        <v>483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82</v>
      </c>
      <c r="AQ1157">
        <f t="shared" si="41"/>
        <v>82</v>
      </c>
      <c r="AR1157" s="5">
        <f>VLOOKUP(F1157,'[1]Cost Sheet'!$C:$D,2,0)</f>
        <v>63.26</v>
      </c>
      <c r="AS1157" s="5">
        <f t="shared" si="42"/>
        <v>5187.32</v>
      </c>
    </row>
    <row r="1158" spans="1:45" x14ac:dyDescent="0.3">
      <c r="A1158" s="1">
        <v>45900.963194444441</v>
      </c>
      <c r="B1158" t="s">
        <v>1463</v>
      </c>
      <c r="C1158" t="s">
        <v>1464</v>
      </c>
      <c r="D1158" t="s">
        <v>955</v>
      </c>
      <c r="E1158" t="s">
        <v>955</v>
      </c>
      <c r="F1158" t="s">
        <v>1927</v>
      </c>
      <c r="G1158" t="s">
        <v>956</v>
      </c>
      <c r="H1158" t="s">
        <v>635</v>
      </c>
      <c r="I1158" t="s">
        <v>43</v>
      </c>
      <c r="N1158">
        <v>641</v>
      </c>
      <c r="O1158">
        <v>0</v>
      </c>
      <c r="P1158">
        <v>0</v>
      </c>
      <c r="Q1158" t="s">
        <v>44</v>
      </c>
      <c r="R1158">
        <v>155</v>
      </c>
      <c r="S1158" t="s">
        <v>44</v>
      </c>
      <c r="T1158" t="s">
        <v>44</v>
      </c>
      <c r="U1158" t="s">
        <v>44</v>
      </c>
      <c r="V1158">
        <v>17</v>
      </c>
      <c r="W1158" t="s">
        <v>44</v>
      </c>
      <c r="X1158" t="s">
        <v>44</v>
      </c>
      <c r="Y1158">
        <v>17</v>
      </c>
      <c r="Z1158" t="s">
        <v>44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17</v>
      </c>
      <c r="AQ1158">
        <f t="shared" si="41"/>
        <v>17</v>
      </c>
      <c r="AR1158" s="5">
        <f>VLOOKUP(F1158,'[1]Cost Sheet'!$C:$D,2,0)</f>
        <v>99.42</v>
      </c>
      <c r="AS1158" s="5">
        <f t="shared" si="42"/>
        <v>1690.14</v>
      </c>
    </row>
    <row r="1159" spans="1:45" x14ac:dyDescent="0.3">
      <c r="A1159" s="1">
        <v>45900.963194444441</v>
      </c>
      <c r="B1159" t="s">
        <v>1463</v>
      </c>
      <c r="C1159" t="s">
        <v>1464</v>
      </c>
      <c r="D1159" t="s">
        <v>656</v>
      </c>
      <c r="E1159" t="s">
        <v>656</v>
      </c>
      <c r="F1159" t="s">
        <v>1781</v>
      </c>
      <c r="G1159" t="s">
        <v>657</v>
      </c>
      <c r="H1159" t="s">
        <v>635</v>
      </c>
      <c r="I1159" t="s">
        <v>43</v>
      </c>
      <c r="N1159">
        <v>1444</v>
      </c>
      <c r="O1159">
        <v>2</v>
      </c>
      <c r="P1159">
        <v>0</v>
      </c>
      <c r="Q1159" t="s">
        <v>44</v>
      </c>
      <c r="R1159">
        <v>179</v>
      </c>
      <c r="S1159" t="s">
        <v>44</v>
      </c>
      <c r="T1159" t="s">
        <v>44</v>
      </c>
      <c r="U1159" t="s">
        <v>44</v>
      </c>
      <c r="V1159">
        <v>75</v>
      </c>
      <c r="W1159" t="s">
        <v>44</v>
      </c>
      <c r="X1159" t="s">
        <v>44</v>
      </c>
      <c r="Y1159">
        <v>75</v>
      </c>
      <c r="Z1159" t="s">
        <v>44</v>
      </c>
      <c r="AA1159">
        <v>0</v>
      </c>
      <c r="AB1159">
        <v>0</v>
      </c>
      <c r="AC1159">
        <v>0</v>
      </c>
      <c r="AD1159">
        <v>0</v>
      </c>
      <c r="AE1159">
        <v>203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77</v>
      </c>
      <c r="AQ1159">
        <f t="shared" si="41"/>
        <v>77</v>
      </c>
      <c r="AR1159" s="5">
        <f>VLOOKUP(F1159,'[1]Cost Sheet'!$C:$D,2,0)</f>
        <v>70.52</v>
      </c>
      <c r="AS1159" s="5">
        <f t="shared" si="42"/>
        <v>5430.04</v>
      </c>
    </row>
    <row r="1160" spans="1:45" x14ac:dyDescent="0.3">
      <c r="A1160" s="1">
        <v>45900.963194444441</v>
      </c>
      <c r="B1160" t="s">
        <v>1463</v>
      </c>
      <c r="C1160" t="s">
        <v>1464</v>
      </c>
      <c r="D1160" t="s">
        <v>957</v>
      </c>
      <c r="E1160" t="s">
        <v>957</v>
      </c>
      <c r="F1160" t="s">
        <v>1928</v>
      </c>
      <c r="G1160" t="s">
        <v>958</v>
      </c>
      <c r="H1160" t="s">
        <v>635</v>
      </c>
      <c r="I1160" t="s">
        <v>43</v>
      </c>
      <c r="N1160">
        <v>824</v>
      </c>
      <c r="O1160">
        <v>1</v>
      </c>
      <c r="P1160">
        <v>0</v>
      </c>
      <c r="Q1160" t="s">
        <v>44</v>
      </c>
      <c r="R1160">
        <v>128</v>
      </c>
      <c r="S1160" t="s">
        <v>44</v>
      </c>
      <c r="T1160" t="s">
        <v>44</v>
      </c>
      <c r="U1160" t="s">
        <v>44</v>
      </c>
      <c r="V1160">
        <v>20</v>
      </c>
      <c r="W1160" t="s">
        <v>44</v>
      </c>
      <c r="X1160" t="s">
        <v>44</v>
      </c>
      <c r="Y1160">
        <v>20</v>
      </c>
      <c r="Z1160" t="s">
        <v>44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21</v>
      </c>
      <c r="AQ1160">
        <f t="shared" si="41"/>
        <v>21</v>
      </c>
      <c r="AR1160" s="5">
        <f>VLOOKUP(F1160,'[1]Cost Sheet'!$C:$D,2,0)</f>
        <v>60.46</v>
      </c>
      <c r="AS1160" s="5">
        <f t="shared" si="42"/>
        <v>1269.6600000000001</v>
      </c>
    </row>
    <row r="1161" spans="1:45" x14ac:dyDescent="0.3">
      <c r="A1161" s="1">
        <v>45900.963194444441</v>
      </c>
      <c r="B1161" t="s">
        <v>1463</v>
      </c>
      <c r="C1161" t="s">
        <v>1464</v>
      </c>
      <c r="D1161" t="s">
        <v>658</v>
      </c>
      <c r="E1161" t="s">
        <v>658</v>
      </c>
      <c r="F1161" t="s">
        <v>1782</v>
      </c>
      <c r="G1161" t="s">
        <v>659</v>
      </c>
      <c r="H1161" t="s">
        <v>635</v>
      </c>
      <c r="I1161" t="s">
        <v>43</v>
      </c>
      <c r="N1161">
        <v>1250</v>
      </c>
      <c r="O1161">
        <v>0</v>
      </c>
      <c r="P1161">
        <v>0</v>
      </c>
      <c r="Q1161" t="s">
        <v>44</v>
      </c>
      <c r="R1161">
        <v>198</v>
      </c>
      <c r="S1161" t="s">
        <v>44</v>
      </c>
      <c r="T1161" t="s">
        <v>44</v>
      </c>
      <c r="U1161" t="s">
        <v>44</v>
      </c>
      <c r="V1161">
        <v>11</v>
      </c>
      <c r="W1161" t="s">
        <v>44</v>
      </c>
      <c r="X1161" t="s">
        <v>44</v>
      </c>
      <c r="Y1161">
        <v>11</v>
      </c>
      <c r="Z1161" t="s">
        <v>44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11</v>
      </c>
      <c r="AQ1161">
        <f t="shared" si="41"/>
        <v>11</v>
      </c>
      <c r="AR1161" s="5">
        <f>VLOOKUP(F1161,'[1]Cost Sheet'!$C:$D,2,0)</f>
        <v>66.328461538461553</v>
      </c>
      <c r="AS1161" s="5">
        <f t="shared" si="42"/>
        <v>729.61307692307707</v>
      </c>
    </row>
    <row r="1162" spans="1:45" x14ac:dyDescent="0.3">
      <c r="A1162" s="1">
        <v>45900.963194444441</v>
      </c>
      <c r="B1162" t="s">
        <v>1463</v>
      </c>
      <c r="C1162" t="s">
        <v>1464</v>
      </c>
      <c r="D1162" t="s">
        <v>959</v>
      </c>
      <c r="E1162" t="s">
        <v>959</v>
      </c>
      <c r="F1162" t="s">
        <v>1929</v>
      </c>
      <c r="G1162" t="s">
        <v>960</v>
      </c>
      <c r="H1162" t="s">
        <v>635</v>
      </c>
      <c r="I1162" t="s">
        <v>43</v>
      </c>
      <c r="N1162">
        <v>709</v>
      </c>
      <c r="O1162">
        <v>0</v>
      </c>
      <c r="P1162">
        <v>0</v>
      </c>
      <c r="Q1162" t="s">
        <v>44</v>
      </c>
      <c r="R1162">
        <v>164</v>
      </c>
      <c r="S1162" t="s">
        <v>44</v>
      </c>
      <c r="T1162" t="s">
        <v>44</v>
      </c>
      <c r="U1162" t="s">
        <v>44</v>
      </c>
      <c r="V1162">
        <v>62</v>
      </c>
      <c r="W1162" t="s">
        <v>44</v>
      </c>
      <c r="X1162" t="s">
        <v>44</v>
      </c>
      <c r="Y1162">
        <v>62</v>
      </c>
      <c r="Z1162" t="s">
        <v>44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62</v>
      </c>
      <c r="AQ1162">
        <f t="shared" si="41"/>
        <v>62</v>
      </c>
      <c r="AR1162" s="5">
        <f>VLOOKUP(F1162,'[1]Cost Sheet'!$C:$D,2,0)</f>
        <v>70.2</v>
      </c>
      <c r="AS1162" s="5">
        <f t="shared" si="42"/>
        <v>4352.4000000000005</v>
      </c>
    </row>
    <row r="1163" spans="1:45" x14ac:dyDescent="0.3">
      <c r="A1163" s="1">
        <v>45900.963194444441</v>
      </c>
      <c r="B1163" t="s">
        <v>1463</v>
      </c>
      <c r="C1163" t="s">
        <v>1464</v>
      </c>
      <c r="D1163" t="s">
        <v>662</v>
      </c>
      <c r="E1163" t="s">
        <v>662</v>
      </c>
      <c r="F1163" t="s">
        <v>1784</v>
      </c>
      <c r="G1163" t="s">
        <v>663</v>
      </c>
      <c r="H1163" t="s">
        <v>635</v>
      </c>
      <c r="I1163" t="s">
        <v>43</v>
      </c>
      <c r="N1163">
        <v>976</v>
      </c>
      <c r="O1163">
        <v>5</v>
      </c>
      <c r="P1163">
        <v>0</v>
      </c>
      <c r="Q1163" t="s">
        <v>44</v>
      </c>
      <c r="R1163">
        <v>179</v>
      </c>
      <c r="S1163" t="s">
        <v>44</v>
      </c>
      <c r="T1163" t="s">
        <v>44</v>
      </c>
      <c r="U1163" t="s">
        <v>44</v>
      </c>
      <c r="V1163">
        <v>0</v>
      </c>
      <c r="W1163" t="s">
        <v>44</v>
      </c>
      <c r="X1163" t="s">
        <v>44</v>
      </c>
      <c r="Y1163" t="s">
        <v>44</v>
      </c>
      <c r="Z1163" t="s">
        <v>44</v>
      </c>
      <c r="AA1163">
        <v>0</v>
      </c>
      <c r="AB1163">
        <v>0</v>
      </c>
      <c r="AC1163">
        <v>0</v>
      </c>
      <c r="AD1163">
        <v>0</v>
      </c>
      <c r="AE1163">
        <v>81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5</v>
      </c>
      <c r="AQ1163">
        <f t="shared" si="41"/>
        <v>5</v>
      </c>
      <c r="AR1163" s="5">
        <f>VLOOKUP(F1163,'[1]Cost Sheet'!$C:$D,2,0)</f>
        <v>75.81</v>
      </c>
      <c r="AS1163" s="5">
        <f t="shared" si="42"/>
        <v>379.05</v>
      </c>
    </row>
    <row r="1164" spans="1:45" x14ac:dyDescent="0.3">
      <c r="A1164" s="1">
        <v>45900.963194444441</v>
      </c>
      <c r="B1164" t="s">
        <v>1463</v>
      </c>
      <c r="C1164" t="s">
        <v>1464</v>
      </c>
      <c r="D1164" t="s">
        <v>961</v>
      </c>
      <c r="E1164" t="s">
        <v>961</v>
      </c>
      <c r="F1164" t="s">
        <v>1930</v>
      </c>
      <c r="G1164" t="s">
        <v>962</v>
      </c>
      <c r="H1164" t="s">
        <v>635</v>
      </c>
      <c r="I1164" t="s">
        <v>43</v>
      </c>
      <c r="N1164">
        <v>574</v>
      </c>
      <c r="O1164">
        <v>0</v>
      </c>
      <c r="P1164">
        <v>0</v>
      </c>
      <c r="Q1164" t="s">
        <v>44</v>
      </c>
      <c r="R1164">
        <v>118</v>
      </c>
      <c r="S1164" t="s">
        <v>44</v>
      </c>
      <c r="T1164" t="s">
        <v>44</v>
      </c>
      <c r="U1164" t="s">
        <v>44</v>
      </c>
      <c r="V1164">
        <v>24</v>
      </c>
      <c r="W1164" t="s">
        <v>44</v>
      </c>
      <c r="X1164" t="s">
        <v>44</v>
      </c>
      <c r="Y1164">
        <v>24</v>
      </c>
      <c r="Z1164" t="s">
        <v>44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24</v>
      </c>
      <c r="AQ1164">
        <f t="shared" si="41"/>
        <v>24</v>
      </c>
      <c r="AR1164" s="5">
        <f>VLOOKUP(F1164,'[1]Cost Sheet'!$C:$D,2,0)</f>
        <v>32.03</v>
      </c>
      <c r="AS1164" s="5">
        <f t="shared" si="42"/>
        <v>768.72</v>
      </c>
    </row>
    <row r="1165" spans="1:45" x14ac:dyDescent="0.3">
      <c r="A1165" s="1">
        <v>45900.963194444441</v>
      </c>
      <c r="B1165" t="s">
        <v>1463</v>
      </c>
      <c r="C1165" t="s">
        <v>1464</v>
      </c>
      <c r="D1165" t="s">
        <v>664</v>
      </c>
      <c r="E1165" t="s">
        <v>664</v>
      </c>
      <c r="F1165" t="s">
        <v>1785</v>
      </c>
      <c r="G1165" t="s">
        <v>665</v>
      </c>
      <c r="H1165" t="s">
        <v>635</v>
      </c>
      <c r="I1165" t="s">
        <v>43</v>
      </c>
      <c r="N1165">
        <v>731</v>
      </c>
      <c r="O1165">
        <v>0</v>
      </c>
      <c r="P1165">
        <v>0</v>
      </c>
      <c r="Q1165" t="s">
        <v>44</v>
      </c>
      <c r="R1165">
        <v>162</v>
      </c>
      <c r="S1165" t="s">
        <v>44</v>
      </c>
      <c r="T1165" t="s">
        <v>44</v>
      </c>
      <c r="U1165" t="s">
        <v>44</v>
      </c>
      <c r="V1165">
        <v>58</v>
      </c>
      <c r="W1165" t="s">
        <v>44</v>
      </c>
      <c r="X1165" t="s">
        <v>44</v>
      </c>
      <c r="Y1165">
        <v>58</v>
      </c>
      <c r="Z1165" t="s">
        <v>44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58</v>
      </c>
      <c r="AQ1165">
        <f t="shared" si="41"/>
        <v>58</v>
      </c>
      <c r="AR1165" s="5">
        <f>VLOOKUP(F1165,'[1]Cost Sheet'!$C:$D,2,0)</f>
        <v>69.61</v>
      </c>
      <c r="AS1165" s="5">
        <f t="shared" si="42"/>
        <v>4037.38</v>
      </c>
    </row>
    <row r="1166" spans="1:45" x14ac:dyDescent="0.3">
      <c r="A1166" s="1">
        <v>45900.963194444441</v>
      </c>
      <c r="B1166" t="s">
        <v>1463</v>
      </c>
      <c r="C1166" t="s">
        <v>1464</v>
      </c>
      <c r="D1166" t="s">
        <v>666</v>
      </c>
      <c r="E1166" t="s">
        <v>666</v>
      </c>
      <c r="F1166" t="s">
        <v>1786</v>
      </c>
      <c r="G1166" t="s">
        <v>667</v>
      </c>
      <c r="H1166" t="s">
        <v>635</v>
      </c>
      <c r="I1166" t="s">
        <v>43</v>
      </c>
      <c r="N1166">
        <v>461</v>
      </c>
      <c r="O1166">
        <v>0</v>
      </c>
      <c r="P1166">
        <v>0</v>
      </c>
      <c r="Q1166" t="s">
        <v>44</v>
      </c>
      <c r="R1166">
        <v>30</v>
      </c>
      <c r="S1166" t="s">
        <v>44</v>
      </c>
      <c r="T1166" t="s">
        <v>44</v>
      </c>
      <c r="U1166" t="s">
        <v>44</v>
      </c>
      <c r="V1166">
        <v>27</v>
      </c>
      <c r="W1166" t="s">
        <v>44</v>
      </c>
      <c r="X1166" t="s">
        <v>44</v>
      </c>
      <c r="Y1166">
        <v>27</v>
      </c>
      <c r="Z1166" t="s">
        <v>44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27</v>
      </c>
      <c r="AQ1166">
        <f t="shared" si="41"/>
        <v>27</v>
      </c>
      <c r="AR1166" s="5">
        <f>VLOOKUP(F1166,'[1]Cost Sheet'!$C:$D,2,0)</f>
        <v>52.010000000000005</v>
      </c>
      <c r="AS1166" s="5">
        <f t="shared" si="42"/>
        <v>1404.2700000000002</v>
      </c>
    </row>
    <row r="1167" spans="1:45" x14ac:dyDescent="0.3">
      <c r="A1167" s="1">
        <v>45900.963194444441</v>
      </c>
      <c r="B1167" t="s">
        <v>1463</v>
      </c>
      <c r="C1167" t="s">
        <v>1464</v>
      </c>
      <c r="D1167" t="s">
        <v>668</v>
      </c>
      <c r="E1167" t="s">
        <v>668</v>
      </c>
      <c r="F1167" t="s">
        <v>1787</v>
      </c>
      <c r="G1167" t="s">
        <v>669</v>
      </c>
      <c r="H1167" t="s">
        <v>635</v>
      </c>
      <c r="I1167" t="s">
        <v>43</v>
      </c>
      <c r="N1167">
        <v>695</v>
      </c>
      <c r="O1167">
        <v>0</v>
      </c>
      <c r="P1167">
        <v>0</v>
      </c>
      <c r="Q1167" t="s">
        <v>44</v>
      </c>
      <c r="R1167">
        <v>134</v>
      </c>
      <c r="S1167" t="s">
        <v>44</v>
      </c>
      <c r="T1167" t="s">
        <v>44</v>
      </c>
      <c r="U1167" t="s">
        <v>44</v>
      </c>
      <c r="V1167">
        <v>39</v>
      </c>
      <c r="W1167" t="s">
        <v>44</v>
      </c>
      <c r="X1167" t="s">
        <v>44</v>
      </c>
      <c r="Y1167">
        <v>39</v>
      </c>
      <c r="Z1167" t="s">
        <v>44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39</v>
      </c>
      <c r="AQ1167">
        <f t="shared" si="41"/>
        <v>39</v>
      </c>
      <c r="AR1167" s="5">
        <f>VLOOKUP(F1167,'[1]Cost Sheet'!$C:$D,2,0)</f>
        <v>60</v>
      </c>
      <c r="AS1167" s="5">
        <f t="shared" si="42"/>
        <v>2340</v>
      </c>
    </row>
    <row r="1168" spans="1:45" x14ac:dyDescent="0.3">
      <c r="A1168" s="1">
        <v>45900.963194444441</v>
      </c>
      <c r="B1168" t="s">
        <v>1463</v>
      </c>
      <c r="C1168" t="s">
        <v>1464</v>
      </c>
      <c r="D1168" t="s">
        <v>1379</v>
      </c>
      <c r="E1168" t="s">
        <v>1379</v>
      </c>
      <c r="F1168" t="s">
        <v>2136</v>
      </c>
      <c r="G1168" t="s">
        <v>1380</v>
      </c>
      <c r="H1168" t="s">
        <v>635</v>
      </c>
      <c r="I1168" t="s">
        <v>43</v>
      </c>
      <c r="N1168">
        <v>775</v>
      </c>
      <c r="O1168">
        <v>0</v>
      </c>
      <c r="P1168">
        <v>0</v>
      </c>
      <c r="Q1168" t="s">
        <v>44</v>
      </c>
      <c r="R1168">
        <v>160</v>
      </c>
      <c r="S1168" t="s">
        <v>44</v>
      </c>
      <c r="T1168" t="s">
        <v>44</v>
      </c>
      <c r="U1168" t="s">
        <v>44</v>
      </c>
      <c r="V1168">
        <v>5</v>
      </c>
      <c r="W1168" t="s">
        <v>44</v>
      </c>
      <c r="X1168" t="s">
        <v>44</v>
      </c>
      <c r="Y1168">
        <v>5</v>
      </c>
      <c r="Z1168" t="s">
        <v>44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5</v>
      </c>
      <c r="AQ1168">
        <f t="shared" si="41"/>
        <v>5</v>
      </c>
      <c r="AR1168" s="5">
        <f>VLOOKUP(F1168,'[1]Cost Sheet'!$C:$D,2,0)</f>
        <v>112.63</v>
      </c>
      <c r="AS1168" s="5">
        <f t="shared" si="42"/>
        <v>563.15</v>
      </c>
    </row>
    <row r="1169" spans="1:45" x14ac:dyDescent="0.3">
      <c r="A1169" s="1">
        <v>45900.963194444441</v>
      </c>
      <c r="B1169" t="s">
        <v>1463</v>
      </c>
      <c r="C1169" t="s">
        <v>1464</v>
      </c>
      <c r="D1169" t="s">
        <v>670</v>
      </c>
      <c r="E1169" t="s">
        <v>670</v>
      </c>
      <c r="F1169" t="s">
        <v>1788</v>
      </c>
      <c r="G1169" t="s">
        <v>671</v>
      </c>
      <c r="H1169" t="s">
        <v>635</v>
      </c>
      <c r="I1169" t="s">
        <v>43</v>
      </c>
      <c r="N1169">
        <v>523</v>
      </c>
      <c r="O1169">
        <v>0</v>
      </c>
      <c r="P1169">
        <v>0</v>
      </c>
      <c r="Q1169" t="s">
        <v>44</v>
      </c>
      <c r="R1169">
        <v>81</v>
      </c>
      <c r="S1169" t="s">
        <v>44</v>
      </c>
      <c r="T1169" t="s">
        <v>44</v>
      </c>
      <c r="U1169" t="s">
        <v>44</v>
      </c>
      <c r="V1169">
        <v>30</v>
      </c>
      <c r="W1169" t="s">
        <v>44</v>
      </c>
      <c r="X1169" t="s">
        <v>44</v>
      </c>
      <c r="Y1169">
        <v>30</v>
      </c>
      <c r="Z1169" t="s">
        <v>44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30</v>
      </c>
      <c r="AQ1169">
        <f t="shared" si="41"/>
        <v>30</v>
      </c>
      <c r="AR1169" s="5">
        <f>VLOOKUP(F1169,'[1]Cost Sheet'!$C:$D,2,0)</f>
        <v>31.31</v>
      </c>
      <c r="AS1169" s="5">
        <f t="shared" si="42"/>
        <v>939.3</v>
      </c>
    </row>
    <row r="1170" spans="1:45" x14ac:dyDescent="0.3">
      <c r="A1170" s="1">
        <v>45900.963194444441</v>
      </c>
      <c r="B1170" t="s">
        <v>1463</v>
      </c>
      <c r="C1170" t="s">
        <v>1464</v>
      </c>
      <c r="D1170" t="s">
        <v>963</v>
      </c>
      <c r="E1170" t="s">
        <v>963</v>
      </c>
      <c r="F1170" t="s">
        <v>1931</v>
      </c>
      <c r="G1170" t="s">
        <v>964</v>
      </c>
      <c r="H1170" t="s">
        <v>635</v>
      </c>
      <c r="I1170" t="s">
        <v>43</v>
      </c>
      <c r="N1170">
        <v>501</v>
      </c>
      <c r="O1170">
        <v>0</v>
      </c>
      <c r="P1170">
        <v>0</v>
      </c>
      <c r="Q1170" t="s">
        <v>44</v>
      </c>
      <c r="R1170">
        <v>162</v>
      </c>
      <c r="S1170" t="s">
        <v>44</v>
      </c>
      <c r="T1170" t="s">
        <v>44</v>
      </c>
      <c r="U1170" t="s">
        <v>44</v>
      </c>
      <c r="V1170">
        <v>1</v>
      </c>
      <c r="W1170" t="s">
        <v>44</v>
      </c>
      <c r="X1170" t="s">
        <v>44</v>
      </c>
      <c r="Y1170">
        <v>1</v>
      </c>
      <c r="Z1170" t="s">
        <v>44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f t="shared" si="41"/>
        <v>1</v>
      </c>
      <c r="AR1170" s="5">
        <f>VLOOKUP(F1170,'[1]Cost Sheet'!$C:$D,2,0)</f>
        <v>31.06</v>
      </c>
      <c r="AS1170" s="5">
        <f t="shared" si="42"/>
        <v>31.06</v>
      </c>
    </row>
    <row r="1171" spans="1:45" x14ac:dyDescent="0.3">
      <c r="A1171" s="1">
        <v>45900.963194444441</v>
      </c>
      <c r="B1171" t="s">
        <v>1463</v>
      </c>
      <c r="C1171" t="s">
        <v>1464</v>
      </c>
      <c r="D1171" t="s">
        <v>672</v>
      </c>
      <c r="E1171" t="s">
        <v>672</v>
      </c>
      <c r="F1171" t="s">
        <v>1789</v>
      </c>
      <c r="G1171" t="s">
        <v>673</v>
      </c>
      <c r="H1171" t="s">
        <v>635</v>
      </c>
      <c r="I1171" t="s">
        <v>43</v>
      </c>
      <c r="N1171">
        <v>627</v>
      </c>
      <c r="O1171">
        <v>0</v>
      </c>
      <c r="P1171">
        <v>0</v>
      </c>
      <c r="Q1171" t="s">
        <v>44</v>
      </c>
      <c r="R1171">
        <v>176</v>
      </c>
      <c r="S1171" t="s">
        <v>44</v>
      </c>
      <c r="T1171" t="s">
        <v>44</v>
      </c>
      <c r="U1171" t="s">
        <v>44</v>
      </c>
      <c r="V1171">
        <v>24</v>
      </c>
      <c r="W1171" t="s">
        <v>44</v>
      </c>
      <c r="X1171" t="s">
        <v>44</v>
      </c>
      <c r="Y1171">
        <v>24</v>
      </c>
      <c r="Z1171" t="s">
        <v>44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24</v>
      </c>
      <c r="AQ1171">
        <f t="shared" si="41"/>
        <v>24</v>
      </c>
      <c r="AR1171" s="5">
        <f>VLOOKUP(F1171,'[1]Cost Sheet'!$C:$D,2,0)</f>
        <v>26.27</v>
      </c>
      <c r="AS1171" s="5">
        <f t="shared" si="42"/>
        <v>630.48</v>
      </c>
    </row>
    <row r="1172" spans="1:45" x14ac:dyDescent="0.3">
      <c r="A1172" s="1">
        <v>45900.963194444441</v>
      </c>
      <c r="B1172" t="s">
        <v>1463</v>
      </c>
      <c r="C1172" t="s">
        <v>1464</v>
      </c>
      <c r="D1172" t="s">
        <v>965</v>
      </c>
      <c r="E1172" t="s">
        <v>965</v>
      </c>
      <c r="F1172" t="s">
        <v>1932</v>
      </c>
      <c r="G1172" t="s">
        <v>966</v>
      </c>
      <c r="H1172" t="s">
        <v>635</v>
      </c>
      <c r="I1172" t="s">
        <v>43</v>
      </c>
      <c r="N1172">
        <v>502</v>
      </c>
      <c r="O1172">
        <v>0</v>
      </c>
      <c r="P1172">
        <v>0</v>
      </c>
      <c r="Q1172" t="s">
        <v>44</v>
      </c>
      <c r="R1172">
        <v>102</v>
      </c>
      <c r="S1172" t="s">
        <v>44</v>
      </c>
      <c r="T1172" t="s">
        <v>44</v>
      </c>
      <c r="U1172" t="s">
        <v>44</v>
      </c>
      <c r="V1172">
        <v>22</v>
      </c>
      <c r="W1172" t="s">
        <v>44</v>
      </c>
      <c r="X1172" t="s">
        <v>44</v>
      </c>
      <c r="Y1172">
        <v>22</v>
      </c>
      <c r="Z1172" t="s">
        <v>44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22</v>
      </c>
      <c r="AQ1172">
        <f t="shared" si="41"/>
        <v>22</v>
      </c>
      <c r="AR1172" s="5">
        <f>VLOOKUP(F1172,'[1]Cost Sheet'!$C:$D,2,0)</f>
        <v>26.914999999999996</v>
      </c>
      <c r="AS1172" s="5">
        <f t="shared" si="42"/>
        <v>592.12999999999988</v>
      </c>
    </row>
    <row r="1173" spans="1:45" x14ac:dyDescent="0.3">
      <c r="A1173" s="1">
        <v>45900.963194444441</v>
      </c>
      <c r="B1173" t="s">
        <v>1463</v>
      </c>
      <c r="C1173" t="s">
        <v>1464</v>
      </c>
      <c r="D1173" t="s">
        <v>967</v>
      </c>
      <c r="E1173" t="s">
        <v>967</v>
      </c>
      <c r="F1173" t="s">
        <v>1933</v>
      </c>
      <c r="G1173" t="s">
        <v>968</v>
      </c>
      <c r="H1173" t="s">
        <v>635</v>
      </c>
      <c r="I1173" t="s">
        <v>43</v>
      </c>
      <c r="N1173">
        <v>198</v>
      </c>
      <c r="O1173">
        <v>0</v>
      </c>
      <c r="P1173">
        <v>0</v>
      </c>
      <c r="Q1173" t="s">
        <v>44</v>
      </c>
      <c r="R1173">
        <v>8</v>
      </c>
      <c r="S1173" t="s">
        <v>44</v>
      </c>
      <c r="T1173" t="s">
        <v>44</v>
      </c>
      <c r="U1173" t="s">
        <v>44</v>
      </c>
      <c r="V1173">
        <v>35</v>
      </c>
      <c r="W1173" t="s">
        <v>44</v>
      </c>
      <c r="X1173" t="s">
        <v>44</v>
      </c>
      <c r="Y1173">
        <v>35</v>
      </c>
      <c r="Z1173" t="s">
        <v>44</v>
      </c>
      <c r="AA1173">
        <v>0</v>
      </c>
      <c r="AB1173">
        <v>0</v>
      </c>
      <c r="AC1173">
        <v>0</v>
      </c>
      <c r="AD1173">
        <v>0</v>
      </c>
      <c r="AE1173">
        <v>6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35</v>
      </c>
      <c r="AQ1173">
        <f t="shared" si="41"/>
        <v>35</v>
      </c>
      <c r="AR1173" s="5">
        <f>VLOOKUP(F1173,'[1]Cost Sheet'!$C:$D,2,0)</f>
        <v>37.06</v>
      </c>
      <c r="AS1173" s="5">
        <f t="shared" si="42"/>
        <v>1297.1000000000001</v>
      </c>
    </row>
    <row r="1174" spans="1:45" x14ac:dyDescent="0.3">
      <c r="A1174" s="1">
        <v>45900.963194444441</v>
      </c>
      <c r="B1174" t="s">
        <v>1463</v>
      </c>
      <c r="C1174" t="s">
        <v>1464</v>
      </c>
      <c r="D1174" t="s">
        <v>969</v>
      </c>
      <c r="E1174" t="s">
        <v>969</v>
      </c>
      <c r="F1174" t="s">
        <v>1934</v>
      </c>
      <c r="G1174" t="s">
        <v>970</v>
      </c>
      <c r="H1174" t="s">
        <v>635</v>
      </c>
      <c r="I1174" t="s">
        <v>43</v>
      </c>
      <c r="N1174">
        <v>625</v>
      </c>
      <c r="O1174">
        <v>0</v>
      </c>
      <c r="P1174">
        <v>0</v>
      </c>
      <c r="Q1174" t="s">
        <v>44</v>
      </c>
      <c r="R1174">
        <v>121</v>
      </c>
      <c r="S1174" t="s">
        <v>44</v>
      </c>
      <c r="T1174" t="s">
        <v>44</v>
      </c>
      <c r="U1174" t="s">
        <v>44</v>
      </c>
      <c r="V1174">
        <v>19</v>
      </c>
      <c r="W1174" t="s">
        <v>44</v>
      </c>
      <c r="X1174" t="s">
        <v>44</v>
      </c>
      <c r="Y1174">
        <v>19</v>
      </c>
      <c r="Z1174" t="s">
        <v>44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19</v>
      </c>
      <c r="AQ1174">
        <f t="shared" si="41"/>
        <v>19</v>
      </c>
      <c r="AR1174" s="5">
        <f>VLOOKUP(F1174,'[1]Cost Sheet'!$C:$D,2,0)</f>
        <v>31.706666666666667</v>
      </c>
      <c r="AS1174" s="5">
        <f t="shared" si="42"/>
        <v>602.42666666666662</v>
      </c>
    </row>
    <row r="1175" spans="1:45" x14ac:dyDescent="0.3">
      <c r="A1175" s="1">
        <v>45900.963194444441</v>
      </c>
      <c r="B1175" t="s">
        <v>1463</v>
      </c>
      <c r="C1175" t="s">
        <v>1464</v>
      </c>
      <c r="D1175" t="s">
        <v>971</v>
      </c>
      <c r="E1175" t="s">
        <v>971</v>
      </c>
      <c r="F1175" t="s">
        <v>1935</v>
      </c>
      <c r="G1175" t="s">
        <v>972</v>
      </c>
      <c r="H1175" t="s">
        <v>635</v>
      </c>
      <c r="I1175" t="s">
        <v>43</v>
      </c>
      <c r="N1175">
        <v>537</v>
      </c>
      <c r="O1175">
        <v>0</v>
      </c>
      <c r="P1175">
        <v>0</v>
      </c>
      <c r="Q1175" t="s">
        <v>44</v>
      </c>
      <c r="R1175">
        <v>40</v>
      </c>
      <c r="S1175" t="s">
        <v>44</v>
      </c>
      <c r="T1175" t="s">
        <v>44</v>
      </c>
      <c r="U1175" t="s">
        <v>44</v>
      </c>
      <c r="V1175">
        <v>1</v>
      </c>
      <c r="W1175" t="s">
        <v>44</v>
      </c>
      <c r="X1175" t="s">
        <v>44</v>
      </c>
      <c r="Y1175">
        <v>1</v>
      </c>
      <c r="Z1175" t="s">
        <v>44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f t="shared" si="41"/>
        <v>1</v>
      </c>
      <c r="AR1175" s="5">
        <f>VLOOKUP(F1175,'[1]Cost Sheet'!$C:$D,2,0)</f>
        <v>43.71</v>
      </c>
      <c r="AS1175" s="5">
        <f t="shared" si="42"/>
        <v>43.71</v>
      </c>
    </row>
    <row r="1176" spans="1:45" x14ac:dyDescent="0.3">
      <c r="A1176" s="1">
        <v>45900.963194444441</v>
      </c>
      <c r="B1176" t="s">
        <v>1463</v>
      </c>
      <c r="C1176" t="s">
        <v>1464</v>
      </c>
      <c r="D1176" t="s">
        <v>973</v>
      </c>
      <c r="E1176" t="s">
        <v>973</v>
      </c>
      <c r="F1176" t="s">
        <v>1936</v>
      </c>
      <c r="G1176" t="s">
        <v>974</v>
      </c>
      <c r="H1176" t="s">
        <v>635</v>
      </c>
      <c r="I1176" t="s">
        <v>43</v>
      </c>
      <c r="N1176">
        <v>641</v>
      </c>
      <c r="O1176">
        <v>2</v>
      </c>
      <c r="P1176">
        <v>0</v>
      </c>
      <c r="Q1176" t="s">
        <v>44</v>
      </c>
      <c r="R1176">
        <v>8</v>
      </c>
      <c r="S1176" t="s">
        <v>44</v>
      </c>
      <c r="T1176" t="s">
        <v>44</v>
      </c>
      <c r="U1176" t="s">
        <v>44</v>
      </c>
      <c r="V1176">
        <v>91</v>
      </c>
      <c r="W1176" t="s">
        <v>44</v>
      </c>
      <c r="X1176" t="s">
        <v>44</v>
      </c>
      <c r="Y1176">
        <v>91</v>
      </c>
      <c r="Z1176" t="s">
        <v>44</v>
      </c>
      <c r="AA1176">
        <v>0</v>
      </c>
      <c r="AB1176">
        <v>0</v>
      </c>
      <c r="AC1176">
        <v>0</v>
      </c>
      <c r="AD1176">
        <v>0</v>
      </c>
      <c r="AE1176">
        <v>31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93</v>
      </c>
      <c r="AQ1176">
        <f t="shared" si="41"/>
        <v>93</v>
      </c>
      <c r="AR1176" s="5">
        <f>VLOOKUP(F1176,'[1]Cost Sheet'!$C:$D,2,0)</f>
        <v>52.11</v>
      </c>
      <c r="AS1176" s="5">
        <f t="shared" si="42"/>
        <v>4846.2299999999996</v>
      </c>
    </row>
    <row r="1177" spans="1:45" x14ac:dyDescent="0.3">
      <c r="A1177" s="1">
        <v>45900.963194444441</v>
      </c>
      <c r="B1177" t="s">
        <v>1463</v>
      </c>
      <c r="C1177" t="s">
        <v>1464</v>
      </c>
      <c r="D1177" t="s">
        <v>975</v>
      </c>
      <c r="E1177" t="s">
        <v>975</v>
      </c>
      <c r="F1177" t="s">
        <v>1937</v>
      </c>
      <c r="G1177" t="s">
        <v>976</v>
      </c>
      <c r="H1177" t="s">
        <v>635</v>
      </c>
      <c r="I1177" t="s">
        <v>43</v>
      </c>
      <c r="N1177">
        <v>611</v>
      </c>
      <c r="O1177">
        <v>0</v>
      </c>
      <c r="P1177">
        <v>0</v>
      </c>
      <c r="Q1177" t="s">
        <v>44</v>
      </c>
      <c r="R1177">
        <v>165</v>
      </c>
      <c r="S1177" t="s">
        <v>44</v>
      </c>
      <c r="T1177" t="s">
        <v>44</v>
      </c>
      <c r="U1177" t="s">
        <v>44</v>
      </c>
      <c r="V1177">
        <v>24</v>
      </c>
      <c r="W1177" t="s">
        <v>44</v>
      </c>
      <c r="X1177" t="s">
        <v>44</v>
      </c>
      <c r="Y1177">
        <v>24</v>
      </c>
      <c r="Z1177" t="s">
        <v>44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24</v>
      </c>
      <c r="AQ1177">
        <f t="shared" si="41"/>
        <v>24</v>
      </c>
      <c r="AR1177" s="5">
        <f>VLOOKUP(F1177,'[1]Cost Sheet'!$C:$D,2,0)</f>
        <v>113.26</v>
      </c>
      <c r="AS1177" s="5">
        <f t="shared" si="42"/>
        <v>2718.2400000000002</v>
      </c>
    </row>
    <row r="1178" spans="1:45" x14ac:dyDescent="0.3">
      <c r="A1178" s="1">
        <v>45900.963194444441</v>
      </c>
      <c r="B1178" t="s">
        <v>1463</v>
      </c>
      <c r="C1178" t="s">
        <v>1464</v>
      </c>
      <c r="D1178" t="s">
        <v>676</v>
      </c>
      <c r="E1178" t="s">
        <v>676</v>
      </c>
      <c r="F1178" t="s">
        <v>1791</v>
      </c>
      <c r="G1178" t="s">
        <v>677</v>
      </c>
      <c r="H1178" t="s">
        <v>635</v>
      </c>
      <c r="I1178" t="s">
        <v>43</v>
      </c>
      <c r="N1178">
        <v>382</v>
      </c>
      <c r="O1178">
        <v>0</v>
      </c>
      <c r="P1178">
        <v>0</v>
      </c>
      <c r="Q1178" t="s">
        <v>44</v>
      </c>
      <c r="R1178">
        <v>16</v>
      </c>
      <c r="S1178" t="s">
        <v>44</v>
      </c>
      <c r="T1178" t="s">
        <v>44</v>
      </c>
      <c r="U1178" t="s">
        <v>44</v>
      </c>
      <c r="V1178">
        <v>22</v>
      </c>
      <c r="W1178" t="s">
        <v>44</v>
      </c>
      <c r="X1178" t="s">
        <v>44</v>
      </c>
      <c r="Y1178">
        <v>22</v>
      </c>
      <c r="Z1178" t="s">
        <v>44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22</v>
      </c>
      <c r="AQ1178">
        <f t="shared" si="41"/>
        <v>22</v>
      </c>
      <c r="AR1178" s="5">
        <f>VLOOKUP(F1178,'[1]Cost Sheet'!$C:$D,2,0)</f>
        <v>79.260000000000005</v>
      </c>
      <c r="AS1178" s="5">
        <f t="shared" si="42"/>
        <v>1743.72</v>
      </c>
    </row>
    <row r="1179" spans="1:45" x14ac:dyDescent="0.3">
      <c r="A1179" s="1">
        <v>45900.963194444441</v>
      </c>
      <c r="B1179" t="s">
        <v>1463</v>
      </c>
      <c r="C1179" t="s">
        <v>1464</v>
      </c>
      <c r="D1179" t="s">
        <v>977</v>
      </c>
      <c r="E1179" t="s">
        <v>977</v>
      </c>
      <c r="F1179" t="s">
        <v>1938</v>
      </c>
      <c r="G1179" t="s">
        <v>978</v>
      </c>
      <c r="H1179" t="s">
        <v>635</v>
      </c>
      <c r="I1179" t="s">
        <v>43</v>
      </c>
      <c r="N1179">
        <v>493</v>
      </c>
      <c r="O1179">
        <v>0</v>
      </c>
      <c r="P1179">
        <v>0</v>
      </c>
      <c r="Q1179" t="s">
        <v>44</v>
      </c>
      <c r="R1179">
        <v>144</v>
      </c>
      <c r="S1179" t="s">
        <v>44</v>
      </c>
      <c r="T1179" t="s">
        <v>44</v>
      </c>
      <c r="U1179" t="s">
        <v>44</v>
      </c>
      <c r="V1179">
        <v>25</v>
      </c>
      <c r="W1179" t="s">
        <v>44</v>
      </c>
      <c r="X1179" t="s">
        <v>44</v>
      </c>
      <c r="Y1179">
        <v>25</v>
      </c>
      <c r="Z1179" t="s">
        <v>44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25</v>
      </c>
      <c r="AQ1179">
        <f t="shared" si="41"/>
        <v>25</v>
      </c>
      <c r="AR1179" s="5">
        <f>VLOOKUP(F1179,'[1]Cost Sheet'!$C:$D,2,0)</f>
        <v>99.63</v>
      </c>
      <c r="AS1179" s="5">
        <f t="shared" si="42"/>
        <v>2490.75</v>
      </c>
    </row>
    <row r="1180" spans="1:45" x14ac:dyDescent="0.3">
      <c r="A1180" s="1">
        <v>45900.963194444441</v>
      </c>
      <c r="B1180" t="s">
        <v>1463</v>
      </c>
      <c r="C1180" t="s">
        <v>1464</v>
      </c>
      <c r="D1180" t="s">
        <v>979</v>
      </c>
      <c r="E1180" t="s">
        <v>979</v>
      </c>
      <c r="F1180" t="s">
        <v>1939</v>
      </c>
      <c r="G1180" t="s">
        <v>980</v>
      </c>
      <c r="H1180" t="s">
        <v>635</v>
      </c>
      <c r="I1180" t="s">
        <v>43</v>
      </c>
      <c r="N1180">
        <v>414</v>
      </c>
      <c r="O1180">
        <v>0</v>
      </c>
      <c r="P1180">
        <v>0</v>
      </c>
      <c r="Q1180" t="s">
        <v>44</v>
      </c>
      <c r="R1180">
        <v>23</v>
      </c>
      <c r="S1180" t="s">
        <v>44</v>
      </c>
      <c r="T1180" t="s">
        <v>44</v>
      </c>
      <c r="U1180" t="s">
        <v>44</v>
      </c>
      <c r="V1180">
        <v>28</v>
      </c>
      <c r="W1180" t="s">
        <v>44</v>
      </c>
      <c r="X1180" t="s">
        <v>44</v>
      </c>
      <c r="Y1180">
        <v>28</v>
      </c>
      <c r="Z1180" t="s">
        <v>44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28</v>
      </c>
      <c r="AQ1180">
        <f t="shared" si="41"/>
        <v>28</v>
      </c>
      <c r="AR1180" s="5">
        <f>VLOOKUP(F1180,'[1]Cost Sheet'!$C:$D,2,0)</f>
        <v>67.05</v>
      </c>
      <c r="AS1180" s="5">
        <f t="shared" si="42"/>
        <v>1877.3999999999999</v>
      </c>
    </row>
    <row r="1181" spans="1:45" x14ac:dyDescent="0.3">
      <c r="A1181" s="1">
        <v>45900.963194444441</v>
      </c>
      <c r="B1181" t="s">
        <v>1463</v>
      </c>
      <c r="C1181" t="s">
        <v>1464</v>
      </c>
      <c r="D1181" t="s">
        <v>1467</v>
      </c>
      <c r="E1181" t="s">
        <v>1467</v>
      </c>
      <c r="F1181" t="s">
        <v>2182</v>
      </c>
      <c r="G1181" t="s">
        <v>1468</v>
      </c>
      <c r="H1181" t="s">
        <v>635</v>
      </c>
      <c r="I1181" t="s">
        <v>43</v>
      </c>
      <c r="N1181">
        <v>356</v>
      </c>
      <c r="O1181">
        <v>0</v>
      </c>
      <c r="P1181">
        <v>0</v>
      </c>
      <c r="Q1181" t="s">
        <v>44</v>
      </c>
      <c r="R1181">
        <v>104</v>
      </c>
      <c r="S1181" t="s">
        <v>44</v>
      </c>
      <c r="T1181" t="s">
        <v>44</v>
      </c>
      <c r="U1181" t="s">
        <v>44</v>
      </c>
      <c r="V1181">
        <v>10</v>
      </c>
      <c r="W1181" t="s">
        <v>44</v>
      </c>
      <c r="X1181" t="s">
        <v>44</v>
      </c>
      <c r="Y1181">
        <v>10</v>
      </c>
      <c r="Z1181" t="s">
        <v>44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10</v>
      </c>
      <c r="AQ1181">
        <f t="shared" si="41"/>
        <v>10</v>
      </c>
      <c r="AR1181" s="5">
        <f>VLOOKUP(F1181,'[1]Cost Sheet'!$C:$D,2,0)</f>
        <v>31.11</v>
      </c>
      <c r="AS1181" s="5">
        <f t="shared" si="42"/>
        <v>311.10000000000002</v>
      </c>
    </row>
    <row r="1182" spans="1:45" x14ac:dyDescent="0.3">
      <c r="A1182" s="1">
        <v>45900.963194444441</v>
      </c>
      <c r="B1182" t="s">
        <v>1463</v>
      </c>
      <c r="C1182" t="s">
        <v>1464</v>
      </c>
      <c r="D1182" t="s">
        <v>981</v>
      </c>
      <c r="E1182" t="s">
        <v>981</v>
      </c>
      <c r="F1182" t="s">
        <v>1940</v>
      </c>
      <c r="G1182" t="s">
        <v>982</v>
      </c>
      <c r="H1182" t="s">
        <v>635</v>
      </c>
      <c r="I1182" t="s">
        <v>43</v>
      </c>
      <c r="N1182">
        <v>473</v>
      </c>
      <c r="O1182">
        <v>0</v>
      </c>
      <c r="P1182">
        <v>0</v>
      </c>
      <c r="Q1182" t="s">
        <v>44</v>
      </c>
      <c r="R1182">
        <v>36</v>
      </c>
      <c r="S1182" t="s">
        <v>44</v>
      </c>
      <c r="T1182" t="s">
        <v>44</v>
      </c>
      <c r="U1182" t="s">
        <v>44</v>
      </c>
      <c r="V1182">
        <v>24</v>
      </c>
      <c r="W1182" t="s">
        <v>44</v>
      </c>
      <c r="X1182" t="s">
        <v>44</v>
      </c>
      <c r="Y1182">
        <v>24</v>
      </c>
      <c r="Z1182" t="s">
        <v>44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24</v>
      </c>
      <c r="AQ1182">
        <f t="shared" si="41"/>
        <v>24</v>
      </c>
      <c r="AR1182" s="5">
        <f>VLOOKUP(F1182,'[1]Cost Sheet'!$C:$D,2,0)</f>
        <v>25.930000000000003</v>
      </c>
      <c r="AS1182" s="5">
        <f t="shared" si="42"/>
        <v>622.32000000000005</v>
      </c>
    </row>
    <row r="1183" spans="1:45" x14ac:dyDescent="0.3">
      <c r="A1183" s="1">
        <v>45900.963194444441</v>
      </c>
      <c r="B1183" t="s">
        <v>1463</v>
      </c>
      <c r="C1183" t="s">
        <v>1464</v>
      </c>
      <c r="D1183" t="s">
        <v>985</v>
      </c>
      <c r="E1183" t="s">
        <v>985</v>
      </c>
      <c r="F1183" t="s">
        <v>1942</v>
      </c>
      <c r="G1183" t="s">
        <v>986</v>
      </c>
      <c r="H1183" t="s">
        <v>635</v>
      </c>
      <c r="I1183" t="s">
        <v>43</v>
      </c>
      <c r="N1183">
        <v>493</v>
      </c>
      <c r="O1183">
        <v>0</v>
      </c>
      <c r="P1183">
        <v>0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>
        <v>41</v>
      </c>
      <c r="W1183" t="s">
        <v>44</v>
      </c>
      <c r="X1183" t="s">
        <v>44</v>
      </c>
      <c r="Y1183">
        <v>41</v>
      </c>
      <c r="Z1183" t="s">
        <v>44</v>
      </c>
      <c r="AA1183">
        <v>0</v>
      </c>
      <c r="AB1183">
        <v>0</v>
      </c>
      <c r="AC1183">
        <v>0</v>
      </c>
      <c r="AD1183">
        <v>0</v>
      </c>
      <c r="AE1183">
        <v>4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41</v>
      </c>
      <c r="AQ1183">
        <f t="shared" si="41"/>
        <v>41</v>
      </c>
      <c r="AR1183" s="5">
        <f>VLOOKUP(F1183,'[1]Cost Sheet'!$C:$D,2,0)</f>
        <v>131.68</v>
      </c>
      <c r="AS1183" s="5">
        <f t="shared" si="42"/>
        <v>5398.88</v>
      </c>
    </row>
    <row r="1184" spans="1:45" x14ac:dyDescent="0.3">
      <c r="A1184" s="1">
        <v>45900.963194444441</v>
      </c>
      <c r="B1184" t="s">
        <v>1463</v>
      </c>
      <c r="C1184" t="s">
        <v>1464</v>
      </c>
      <c r="D1184" t="s">
        <v>1381</v>
      </c>
      <c r="E1184" t="s">
        <v>1381</v>
      </c>
      <c r="F1184" t="s">
        <v>2137</v>
      </c>
      <c r="G1184" t="s">
        <v>1382</v>
      </c>
      <c r="H1184" t="s">
        <v>635</v>
      </c>
      <c r="I1184" t="s">
        <v>43</v>
      </c>
      <c r="N1184">
        <v>757</v>
      </c>
      <c r="O1184">
        <v>0</v>
      </c>
      <c r="P1184">
        <v>0</v>
      </c>
      <c r="Q1184" t="s">
        <v>44</v>
      </c>
      <c r="R1184">
        <v>73</v>
      </c>
      <c r="S1184" t="s">
        <v>44</v>
      </c>
      <c r="T1184" t="s">
        <v>44</v>
      </c>
      <c r="U1184" t="s">
        <v>44</v>
      </c>
      <c r="V1184">
        <v>26</v>
      </c>
      <c r="W1184" t="s">
        <v>44</v>
      </c>
      <c r="X1184" t="s">
        <v>44</v>
      </c>
      <c r="Y1184">
        <v>26</v>
      </c>
      <c r="Z1184" t="s">
        <v>44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26</v>
      </c>
      <c r="AQ1184">
        <f t="shared" ref="AQ1184:AQ1233" si="43">O1184+P1184+V1184+AA1184</f>
        <v>26</v>
      </c>
      <c r="AR1184" s="5">
        <f>VLOOKUP(F1184,'[1]Cost Sheet'!$C:$D,2,0)</f>
        <v>53.93</v>
      </c>
      <c r="AS1184" s="5">
        <f t="shared" si="42"/>
        <v>1402.18</v>
      </c>
    </row>
    <row r="1185" spans="1:45" x14ac:dyDescent="0.3">
      <c r="A1185" s="1">
        <v>45900.963194444441</v>
      </c>
      <c r="B1185" t="s">
        <v>1463</v>
      </c>
      <c r="C1185" t="s">
        <v>1464</v>
      </c>
      <c r="D1185" t="s">
        <v>987</v>
      </c>
      <c r="E1185" t="s">
        <v>987</v>
      </c>
      <c r="F1185" t="s">
        <v>1943</v>
      </c>
      <c r="G1185" t="s">
        <v>988</v>
      </c>
      <c r="H1185" t="s">
        <v>635</v>
      </c>
      <c r="I1185" t="s">
        <v>43</v>
      </c>
      <c r="N1185">
        <v>602</v>
      </c>
      <c r="O1185">
        <v>0</v>
      </c>
      <c r="P1185">
        <v>0</v>
      </c>
      <c r="Q1185" t="s">
        <v>44</v>
      </c>
      <c r="R1185">
        <v>148</v>
      </c>
      <c r="S1185" t="s">
        <v>44</v>
      </c>
      <c r="T1185" t="s">
        <v>44</v>
      </c>
      <c r="U1185" t="s">
        <v>44</v>
      </c>
      <c r="V1185">
        <v>5</v>
      </c>
      <c r="W1185" t="s">
        <v>44</v>
      </c>
      <c r="X1185" t="s">
        <v>44</v>
      </c>
      <c r="Y1185">
        <v>5</v>
      </c>
      <c r="Z1185" t="s">
        <v>44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5</v>
      </c>
      <c r="AQ1185">
        <f t="shared" si="43"/>
        <v>5</v>
      </c>
      <c r="AR1185" s="5">
        <f>VLOOKUP(F1185,'[1]Cost Sheet'!$C:$D,2,0)</f>
        <v>67.69</v>
      </c>
      <c r="AS1185" s="5">
        <f t="shared" si="42"/>
        <v>338.45</v>
      </c>
    </row>
    <row r="1186" spans="1:45" x14ac:dyDescent="0.3">
      <c r="A1186" s="1">
        <v>45900.963194444441</v>
      </c>
      <c r="B1186" t="s">
        <v>1463</v>
      </c>
      <c r="C1186" t="s">
        <v>1464</v>
      </c>
      <c r="D1186" t="s">
        <v>989</v>
      </c>
      <c r="E1186" t="s">
        <v>989</v>
      </c>
      <c r="F1186" t="s">
        <v>1944</v>
      </c>
      <c r="G1186" t="s">
        <v>990</v>
      </c>
      <c r="H1186" t="s">
        <v>635</v>
      </c>
      <c r="I1186" t="s">
        <v>43</v>
      </c>
      <c r="N1186">
        <v>293</v>
      </c>
      <c r="O1186">
        <v>0</v>
      </c>
      <c r="P1186">
        <v>0</v>
      </c>
      <c r="Q1186" t="s">
        <v>44</v>
      </c>
      <c r="R1186">
        <v>14</v>
      </c>
      <c r="S1186" t="s">
        <v>44</v>
      </c>
      <c r="T1186" t="s">
        <v>44</v>
      </c>
      <c r="U1186" t="s">
        <v>44</v>
      </c>
      <c r="V1186">
        <v>1</v>
      </c>
      <c r="W1186" t="s">
        <v>44</v>
      </c>
      <c r="X1186" t="s">
        <v>44</v>
      </c>
      <c r="Y1186">
        <v>1</v>
      </c>
      <c r="Z1186" t="s">
        <v>44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f t="shared" si="43"/>
        <v>1</v>
      </c>
      <c r="AR1186" s="5">
        <f>VLOOKUP(F1186,'[1]Cost Sheet'!$C:$D,2,0)</f>
        <v>61.93</v>
      </c>
      <c r="AS1186" s="5">
        <f t="shared" si="42"/>
        <v>61.93</v>
      </c>
    </row>
    <row r="1187" spans="1:45" x14ac:dyDescent="0.3">
      <c r="A1187" s="1">
        <v>45900.963194444441</v>
      </c>
      <c r="B1187" t="s">
        <v>1463</v>
      </c>
      <c r="C1187" t="s">
        <v>1464</v>
      </c>
      <c r="D1187" t="s">
        <v>991</v>
      </c>
      <c r="E1187" t="s">
        <v>991</v>
      </c>
      <c r="F1187" t="s">
        <v>1945</v>
      </c>
      <c r="G1187" t="s">
        <v>992</v>
      </c>
      <c r="H1187" t="s">
        <v>635</v>
      </c>
      <c r="I1187" t="s">
        <v>43</v>
      </c>
      <c r="N1187">
        <v>412</v>
      </c>
      <c r="O1187">
        <v>0</v>
      </c>
      <c r="P1187">
        <v>0</v>
      </c>
      <c r="Q1187" t="s">
        <v>44</v>
      </c>
      <c r="R1187">
        <v>33</v>
      </c>
      <c r="S1187" t="s">
        <v>44</v>
      </c>
      <c r="T1187" t="s">
        <v>44</v>
      </c>
      <c r="U1187" t="s">
        <v>44</v>
      </c>
      <c r="V1187">
        <v>30</v>
      </c>
      <c r="W1187" t="s">
        <v>44</v>
      </c>
      <c r="X1187" t="s">
        <v>44</v>
      </c>
      <c r="Y1187">
        <v>30</v>
      </c>
      <c r="Z1187" t="s">
        <v>44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30</v>
      </c>
      <c r="AQ1187">
        <f t="shared" si="43"/>
        <v>30</v>
      </c>
      <c r="AR1187" s="5">
        <f>VLOOKUP(F1187,'[1]Cost Sheet'!$C:$D,2,0)</f>
        <v>61.45</v>
      </c>
      <c r="AS1187" s="5">
        <f t="shared" si="42"/>
        <v>1843.5</v>
      </c>
    </row>
    <row r="1188" spans="1:45" x14ac:dyDescent="0.3">
      <c r="A1188" s="1">
        <v>45900.963194444441</v>
      </c>
      <c r="B1188" t="s">
        <v>1463</v>
      </c>
      <c r="C1188" t="s">
        <v>1464</v>
      </c>
      <c r="D1188" t="s">
        <v>993</v>
      </c>
      <c r="E1188" t="s">
        <v>993</v>
      </c>
      <c r="F1188" t="s">
        <v>1946</v>
      </c>
      <c r="G1188" t="s">
        <v>994</v>
      </c>
      <c r="H1188" t="s">
        <v>635</v>
      </c>
      <c r="I1188" t="s">
        <v>43</v>
      </c>
      <c r="N1188">
        <v>412</v>
      </c>
      <c r="O1188">
        <v>0</v>
      </c>
      <c r="P1188">
        <v>0</v>
      </c>
      <c r="Q1188" t="s">
        <v>44</v>
      </c>
      <c r="R1188">
        <v>14</v>
      </c>
      <c r="S1188" t="s">
        <v>44</v>
      </c>
      <c r="T1188" t="s">
        <v>44</v>
      </c>
      <c r="U1188" t="s">
        <v>44</v>
      </c>
      <c r="V1188">
        <v>34</v>
      </c>
      <c r="W1188" t="s">
        <v>44</v>
      </c>
      <c r="X1188" t="s">
        <v>44</v>
      </c>
      <c r="Y1188">
        <v>34</v>
      </c>
      <c r="Z1188" t="s">
        <v>44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34</v>
      </c>
      <c r="AQ1188">
        <f t="shared" si="43"/>
        <v>34</v>
      </c>
      <c r="AR1188" s="5">
        <f>VLOOKUP(F1188,'[1]Cost Sheet'!$C:$D,2,0)</f>
        <v>57</v>
      </c>
      <c r="AS1188" s="5">
        <f t="shared" si="42"/>
        <v>1938</v>
      </c>
    </row>
    <row r="1189" spans="1:45" x14ac:dyDescent="0.3">
      <c r="A1189" s="1">
        <v>45900.963194444441</v>
      </c>
      <c r="B1189" t="s">
        <v>1463</v>
      </c>
      <c r="C1189" t="s">
        <v>1464</v>
      </c>
      <c r="D1189" t="s">
        <v>995</v>
      </c>
      <c r="E1189" t="s">
        <v>995</v>
      </c>
      <c r="F1189" t="s">
        <v>1947</v>
      </c>
      <c r="G1189" t="s">
        <v>996</v>
      </c>
      <c r="H1189" t="s">
        <v>635</v>
      </c>
      <c r="I1189" t="s">
        <v>43</v>
      </c>
      <c r="N1189">
        <v>732</v>
      </c>
      <c r="O1189">
        <v>0</v>
      </c>
      <c r="P1189">
        <v>0</v>
      </c>
      <c r="Q1189" t="s">
        <v>44</v>
      </c>
      <c r="R1189">
        <v>118</v>
      </c>
      <c r="S1189" t="s">
        <v>44</v>
      </c>
      <c r="T1189" t="s">
        <v>44</v>
      </c>
      <c r="U1189" t="s">
        <v>44</v>
      </c>
      <c r="V1189">
        <v>97</v>
      </c>
      <c r="W1189" t="s">
        <v>44</v>
      </c>
      <c r="X1189" t="s">
        <v>44</v>
      </c>
      <c r="Y1189">
        <v>97</v>
      </c>
      <c r="Z1189" t="s">
        <v>44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97</v>
      </c>
      <c r="AQ1189">
        <f t="shared" si="43"/>
        <v>97</v>
      </c>
      <c r="AR1189" s="5">
        <f>VLOOKUP(F1189,'[1]Cost Sheet'!$C:$D,2,0)</f>
        <v>106.31</v>
      </c>
      <c r="AS1189" s="5">
        <f t="shared" si="42"/>
        <v>10312.07</v>
      </c>
    </row>
    <row r="1190" spans="1:45" x14ac:dyDescent="0.3">
      <c r="A1190" s="1">
        <v>45900.963194444441</v>
      </c>
      <c r="B1190" t="s">
        <v>1463</v>
      </c>
      <c r="C1190" t="s">
        <v>1464</v>
      </c>
      <c r="D1190" t="s">
        <v>999</v>
      </c>
      <c r="E1190" t="s">
        <v>999</v>
      </c>
      <c r="F1190" t="s">
        <v>1949</v>
      </c>
      <c r="G1190" t="s">
        <v>1000</v>
      </c>
      <c r="H1190" t="s">
        <v>635</v>
      </c>
      <c r="I1190" t="s">
        <v>43</v>
      </c>
      <c r="N1190">
        <v>571</v>
      </c>
      <c r="O1190">
        <v>0</v>
      </c>
      <c r="P1190">
        <v>0</v>
      </c>
      <c r="Q1190" t="s">
        <v>44</v>
      </c>
      <c r="R1190">
        <v>25</v>
      </c>
      <c r="S1190" t="s">
        <v>44</v>
      </c>
      <c r="T1190" t="s">
        <v>44</v>
      </c>
      <c r="U1190" t="s">
        <v>44</v>
      </c>
      <c r="V1190">
        <v>81</v>
      </c>
      <c r="W1190" t="s">
        <v>44</v>
      </c>
      <c r="X1190" t="s">
        <v>44</v>
      </c>
      <c r="Y1190">
        <v>81</v>
      </c>
      <c r="Z1190" t="s">
        <v>44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81</v>
      </c>
      <c r="AQ1190">
        <f t="shared" si="43"/>
        <v>81</v>
      </c>
      <c r="AR1190" s="5">
        <f>VLOOKUP(F1190,'[1]Cost Sheet'!$C:$D,2,0)</f>
        <v>106.44999999999999</v>
      </c>
      <c r="AS1190" s="5">
        <f t="shared" si="42"/>
        <v>8622.4499999999989</v>
      </c>
    </row>
    <row r="1191" spans="1:45" x14ac:dyDescent="0.3">
      <c r="A1191" s="1">
        <v>45900.963194444441</v>
      </c>
      <c r="B1191" t="s">
        <v>1463</v>
      </c>
      <c r="C1191" t="s">
        <v>1464</v>
      </c>
      <c r="D1191" t="s">
        <v>1003</v>
      </c>
      <c r="E1191" t="s">
        <v>1003</v>
      </c>
      <c r="F1191" t="s">
        <v>1951</v>
      </c>
      <c r="G1191" t="s">
        <v>1004</v>
      </c>
      <c r="H1191" t="s">
        <v>635</v>
      </c>
      <c r="I1191" t="s">
        <v>43</v>
      </c>
      <c r="N1191">
        <v>325</v>
      </c>
      <c r="O1191">
        <v>0</v>
      </c>
      <c r="P1191">
        <v>0</v>
      </c>
      <c r="Q1191" t="s">
        <v>44</v>
      </c>
      <c r="R1191">
        <v>34</v>
      </c>
      <c r="S1191" t="s">
        <v>44</v>
      </c>
      <c r="T1191" t="s">
        <v>44</v>
      </c>
      <c r="U1191" t="s">
        <v>44</v>
      </c>
      <c r="V1191">
        <v>34</v>
      </c>
      <c r="W1191" t="s">
        <v>44</v>
      </c>
      <c r="X1191" t="s">
        <v>44</v>
      </c>
      <c r="Y1191">
        <v>34</v>
      </c>
      <c r="Z1191" t="s">
        <v>44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34</v>
      </c>
      <c r="AQ1191">
        <f t="shared" si="43"/>
        <v>34</v>
      </c>
      <c r="AR1191" s="5">
        <f>VLOOKUP(F1191,'[1]Cost Sheet'!$C:$D,2,0)</f>
        <v>36.78</v>
      </c>
      <c r="AS1191" s="5">
        <f t="shared" si="42"/>
        <v>1250.52</v>
      </c>
    </row>
    <row r="1192" spans="1:45" x14ac:dyDescent="0.3">
      <c r="A1192" s="1">
        <v>45900.963194444441</v>
      </c>
      <c r="B1192" t="s">
        <v>1463</v>
      </c>
      <c r="C1192" t="s">
        <v>1464</v>
      </c>
      <c r="D1192" t="s">
        <v>1005</v>
      </c>
      <c r="E1192" t="s">
        <v>1005</v>
      </c>
      <c r="F1192" t="s">
        <v>1952</v>
      </c>
      <c r="G1192" t="s">
        <v>1006</v>
      </c>
      <c r="H1192" t="s">
        <v>635</v>
      </c>
      <c r="I1192" t="s">
        <v>43</v>
      </c>
      <c r="N1192">
        <v>546</v>
      </c>
      <c r="O1192">
        <v>0</v>
      </c>
      <c r="P1192">
        <v>0</v>
      </c>
      <c r="Q1192" t="s">
        <v>44</v>
      </c>
      <c r="R1192">
        <v>120</v>
      </c>
      <c r="S1192" t="s">
        <v>44</v>
      </c>
      <c r="T1192" t="s">
        <v>44</v>
      </c>
      <c r="U1192" t="s">
        <v>44</v>
      </c>
      <c r="V1192">
        <v>34</v>
      </c>
      <c r="W1192" t="s">
        <v>44</v>
      </c>
      <c r="X1192" t="s">
        <v>44</v>
      </c>
      <c r="Y1192">
        <v>34</v>
      </c>
      <c r="Z1192" t="s">
        <v>44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34</v>
      </c>
      <c r="AQ1192">
        <f t="shared" si="43"/>
        <v>34</v>
      </c>
      <c r="AR1192" s="5">
        <f>VLOOKUP(F1192,'[1]Cost Sheet'!$C:$D,2,0)</f>
        <v>28.3</v>
      </c>
      <c r="AS1192" s="5">
        <f t="shared" si="42"/>
        <v>962.2</v>
      </c>
    </row>
    <row r="1193" spans="1:45" x14ac:dyDescent="0.3">
      <c r="A1193" s="1">
        <v>45900.963194444441</v>
      </c>
      <c r="B1193" t="s">
        <v>1463</v>
      </c>
      <c r="C1193" t="s">
        <v>1464</v>
      </c>
      <c r="D1193" t="s">
        <v>1007</v>
      </c>
      <c r="E1193" t="s">
        <v>1007</v>
      </c>
      <c r="F1193" t="s">
        <v>1953</v>
      </c>
      <c r="G1193" t="s">
        <v>1008</v>
      </c>
      <c r="H1193" t="s">
        <v>635</v>
      </c>
      <c r="I1193" t="s">
        <v>43</v>
      </c>
      <c r="N1193">
        <v>757</v>
      </c>
      <c r="O1193">
        <v>0</v>
      </c>
      <c r="P1193">
        <v>0</v>
      </c>
      <c r="Q1193" t="s">
        <v>44</v>
      </c>
      <c r="R1193">
        <v>126</v>
      </c>
      <c r="S1193" t="s">
        <v>44</v>
      </c>
      <c r="T1193" t="s">
        <v>44</v>
      </c>
      <c r="U1193" t="s">
        <v>44</v>
      </c>
      <c r="V1193">
        <v>23</v>
      </c>
      <c r="W1193" t="s">
        <v>44</v>
      </c>
      <c r="X1193" t="s">
        <v>44</v>
      </c>
      <c r="Y1193">
        <v>23</v>
      </c>
      <c r="Z1193" t="s">
        <v>44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23</v>
      </c>
      <c r="AQ1193">
        <f t="shared" si="43"/>
        <v>23</v>
      </c>
      <c r="AR1193" s="5">
        <f>VLOOKUP(F1193,'[1]Cost Sheet'!$C:$D,2,0)</f>
        <v>103.36</v>
      </c>
      <c r="AS1193" s="5">
        <f t="shared" si="42"/>
        <v>2377.2800000000002</v>
      </c>
    </row>
    <row r="1194" spans="1:45" x14ac:dyDescent="0.3">
      <c r="A1194" s="1">
        <v>45900.963194444441</v>
      </c>
      <c r="B1194" t="s">
        <v>1463</v>
      </c>
      <c r="C1194" t="s">
        <v>1464</v>
      </c>
      <c r="D1194" t="s">
        <v>1009</v>
      </c>
      <c r="E1194" t="s">
        <v>1009</v>
      </c>
      <c r="F1194" t="s">
        <v>1954</v>
      </c>
      <c r="G1194" t="s">
        <v>1010</v>
      </c>
      <c r="H1194" t="s">
        <v>635</v>
      </c>
      <c r="I1194" t="s">
        <v>43</v>
      </c>
      <c r="N1194">
        <v>805</v>
      </c>
      <c r="O1194">
        <v>0</v>
      </c>
      <c r="P1194">
        <v>0</v>
      </c>
      <c r="Q1194" t="s">
        <v>44</v>
      </c>
      <c r="R1194">
        <v>57</v>
      </c>
      <c r="S1194" t="s">
        <v>44</v>
      </c>
      <c r="T1194" t="s">
        <v>44</v>
      </c>
      <c r="U1194" t="s">
        <v>44</v>
      </c>
      <c r="V1194">
        <v>52</v>
      </c>
      <c r="W1194" t="s">
        <v>44</v>
      </c>
      <c r="X1194" t="s">
        <v>44</v>
      </c>
      <c r="Y1194">
        <v>52</v>
      </c>
      <c r="Z1194" t="s">
        <v>44</v>
      </c>
      <c r="AA1194">
        <v>0</v>
      </c>
      <c r="AB1194">
        <v>0</v>
      </c>
      <c r="AC1194">
        <v>0</v>
      </c>
      <c r="AD1194">
        <v>0</v>
      </c>
      <c r="AE1194">
        <v>86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52</v>
      </c>
      <c r="AQ1194">
        <f t="shared" si="43"/>
        <v>52</v>
      </c>
      <c r="AR1194" s="5">
        <f>VLOOKUP(F1194,'[1]Cost Sheet'!$C:$D,2,0)</f>
        <v>50.08</v>
      </c>
      <c r="AS1194" s="5">
        <f t="shared" si="42"/>
        <v>2604.16</v>
      </c>
    </row>
    <row r="1195" spans="1:45" x14ac:dyDescent="0.3">
      <c r="A1195" s="1">
        <v>45900.963194444441</v>
      </c>
      <c r="B1195" t="s">
        <v>1463</v>
      </c>
      <c r="C1195" t="s">
        <v>1464</v>
      </c>
      <c r="D1195" t="s">
        <v>1011</v>
      </c>
      <c r="E1195" t="s">
        <v>1011</v>
      </c>
      <c r="F1195" t="s">
        <v>1955</v>
      </c>
      <c r="G1195" t="s">
        <v>1012</v>
      </c>
      <c r="H1195" t="s">
        <v>635</v>
      </c>
      <c r="I1195" t="s">
        <v>43</v>
      </c>
      <c r="N1195">
        <v>579</v>
      </c>
      <c r="O1195">
        <v>0</v>
      </c>
      <c r="P1195">
        <v>0</v>
      </c>
      <c r="Q1195" t="s">
        <v>44</v>
      </c>
      <c r="R1195">
        <v>57</v>
      </c>
      <c r="S1195" t="s">
        <v>44</v>
      </c>
      <c r="T1195" t="s">
        <v>44</v>
      </c>
      <c r="U1195" t="s">
        <v>44</v>
      </c>
      <c r="V1195">
        <v>64</v>
      </c>
      <c r="W1195" t="s">
        <v>44</v>
      </c>
      <c r="X1195" t="s">
        <v>44</v>
      </c>
      <c r="Y1195">
        <v>64</v>
      </c>
      <c r="Z1195" t="s">
        <v>44</v>
      </c>
      <c r="AA1195">
        <v>0</v>
      </c>
      <c r="AB1195">
        <v>0</v>
      </c>
      <c r="AC1195">
        <v>0</v>
      </c>
      <c r="AD1195">
        <v>0</v>
      </c>
      <c r="AE1195">
        <v>12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64</v>
      </c>
      <c r="AQ1195">
        <f t="shared" si="43"/>
        <v>64</v>
      </c>
      <c r="AR1195" s="5">
        <f>VLOOKUP(F1195,'[1]Cost Sheet'!$C:$D,2,0)</f>
        <v>105.05000000000001</v>
      </c>
      <c r="AS1195" s="5">
        <f t="shared" si="42"/>
        <v>6723.2000000000007</v>
      </c>
    </row>
    <row r="1196" spans="1:45" x14ac:dyDescent="0.3">
      <c r="A1196" s="1">
        <v>45900.963194444441</v>
      </c>
      <c r="B1196" t="s">
        <v>1463</v>
      </c>
      <c r="C1196" t="s">
        <v>1464</v>
      </c>
      <c r="D1196" t="s">
        <v>1015</v>
      </c>
      <c r="E1196" t="s">
        <v>1015</v>
      </c>
      <c r="F1196" t="s">
        <v>1957</v>
      </c>
      <c r="G1196" t="s">
        <v>1016</v>
      </c>
      <c r="H1196" t="s">
        <v>635</v>
      </c>
      <c r="I1196" t="s">
        <v>43</v>
      </c>
      <c r="N1196">
        <v>548</v>
      </c>
      <c r="O1196">
        <v>5</v>
      </c>
      <c r="P1196">
        <v>0</v>
      </c>
      <c r="Q1196" t="s">
        <v>44</v>
      </c>
      <c r="R1196">
        <v>126</v>
      </c>
      <c r="S1196" t="s">
        <v>44</v>
      </c>
      <c r="T1196" t="s">
        <v>44</v>
      </c>
      <c r="U1196" t="s">
        <v>44</v>
      </c>
      <c r="V1196">
        <v>7</v>
      </c>
      <c r="W1196" t="s">
        <v>44</v>
      </c>
      <c r="X1196" t="s">
        <v>44</v>
      </c>
      <c r="Y1196">
        <v>7</v>
      </c>
      <c r="Z1196" t="s">
        <v>44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12</v>
      </c>
      <c r="AQ1196">
        <f t="shared" si="43"/>
        <v>12</v>
      </c>
      <c r="AR1196" s="5">
        <f>VLOOKUP(F1196,'[1]Cost Sheet'!$C:$D,2,0)</f>
        <v>96.77</v>
      </c>
      <c r="AS1196" s="5">
        <f t="shared" si="42"/>
        <v>1161.24</v>
      </c>
    </row>
    <row r="1197" spans="1:45" x14ac:dyDescent="0.3">
      <c r="A1197" s="1">
        <v>45900.963194444441</v>
      </c>
      <c r="B1197" t="s">
        <v>1463</v>
      </c>
      <c r="C1197" t="s">
        <v>1464</v>
      </c>
      <c r="D1197" t="s">
        <v>1017</v>
      </c>
      <c r="E1197" t="s">
        <v>1017</v>
      </c>
      <c r="F1197" t="s">
        <v>1958</v>
      </c>
      <c r="G1197" t="s">
        <v>1018</v>
      </c>
      <c r="H1197" t="s">
        <v>635</v>
      </c>
      <c r="I1197" t="s">
        <v>43</v>
      </c>
      <c r="N1197">
        <v>635</v>
      </c>
      <c r="O1197">
        <v>0</v>
      </c>
      <c r="P1197">
        <v>0</v>
      </c>
      <c r="Q1197" t="s">
        <v>44</v>
      </c>
      <c r="R1197">
        <v>109</v>
      </c>
      <c r="S1197" t="s">
        <v>44</v>
      </c>
      <c r="T1197" t="s">
        <v>44</v>
      </c>
      <c r="U1197" t="s">
        <v>44</v>
      </c>
      <c r="V1197">
        <v>97</v>
      </c>
      <c r="W1197" t="s">
        <v>44</v>
      </c>
      <c r="X1197" t="s">
        <v>44</v>
      </c>
      <c r="Y1197">
        <v>97</v>
      </c>
      <c r="Z1197" t="s">
        <v>44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97</v>
      </c>
      <c r="AQ1197">
        <f t="shared" si="43"/>
        <v>97</v>
      </c>
      <c r="AR1197" s="5">
        <f>VLOOKUP(F1197,'[1]Cost Sheet'!$C:$D,2,0)</f>
        <v>61.997777777777777</v>
      </c>
      <c r="AS1197" s="5">
        <f t="shared" si="42"/>
        <v>6013.7844444444445</v>
      </c>
    </row>
    <row r="1198" spans="1:45" x14ac:dyDescent="0.3">
      <c r="A1198" s="1">
        <v>45900.963194444441</v>
      </c>
      <c r="B1198" t="s">
        <v>1463</v>
      </c>
      <c r="C1198" t="s">
        <v>1464</v>
      </c>
      <c r="D1198" t="s">
        <v>1019</v>
      </c>
      <c r="E1198" t="s">
        <v>1019</v>
      </c>
      <c r="F1198" t="s">
        <v>1959</v>
      </c>
      <c r="G1198" t="s">
        <v>1020</v>
      </c>
      <c r="H1198" t="s">
        <v>635</v>
      </c>
      <c r="I1198" t="s">
        <v>43</v>
      </c>
      <c r="N1198">
        <v>548</v>
      </c>
      <c r="O1198">
        <v>1</v>
      </c>
      <c r="P1198">
        <v>0</v>
      </c>
      <c r="Q1198" t="s">
        <v>44</v>
      </c>
      <c r="R1198">
        <v>100</v>
      </c>
      <c r="S1198" t="s">
        <v>44</v>
      </c>
      <c r="T1198" t="s">
        <v>44</v>
      </c>
      <c r="U1198" t="s">
        <v>44</v>
      </c>
      <c r="V1198">
        <v>0</v>
      </c>
      <c r="W1198" t="s">
        <v>44</v>
      </c>
      <c r="X1198" t="s">
        <v>44</v>
      </c>
      <c r="Y1198" t="s">
        <v>44</v>
      </c>
      <c r="Z1198" t="s">
        <v>44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f t="shared" si="43"/>
        <v>1</v>
      </c>
      <c r="AR1198" s="5">
        <f>VLOOKUP(F1198,'[1]Cost Sheet'!$C:$D,2,0)</f>
        <v>45.474000000000004</v>
      </c>
      <c r="AS1198" s="5">
        <f t="shared" si="42"/>
        <v>45.474000000000004</v>
      </c>
    </row>
    <row r="1199" spans="1:45" x14ac:dyDescent="0.3">
      <c r="A1199" s="1">
        <v>45900.963194444441</v>
      </c>
      <c r="B1199" t="s">
        <v>1463</v>
      </c>
      <c r="C1199" t="s">
        <v>1464</v>
      </c>
      <c r="D1199" t="s">
        <v>1025</v>
      </c>
      <c r="E1199" t="s">
        <v>1025</v>
      </c>
      <c r="F1199" t="s">
        <v>1962</v>
      </c>
      <c r="G1199" t="s">
        <v>1026</v>
      </c>
      <c r="H1199" t="s">
        <v>635</v>
      </c>
      <c r="I1199" t="s">
        <v>43</v>
      </c>
      <c r="N1199">
        <v>391</v>
      </c>
      <c r="O1199">
        <v>0</v>
      </c>
      <c r="P1199">
        <v>0</v>
      </c>
      <c r="Q1199" t="s">
        <v>44</v>
      </c>
      <c r="R1199">
        <v>37</v>
      </c>
      <c r="S1199" t="s">
        <v>44</v>
      </c>
      <c r="T1199" t="s">
        <v>44</v>
      </c>
      <c r="U1199" t="s">
        <v>44</v>
      </c>
      <c r="V1199">
        <v>41</v>
      </c>
      <c r="W1199" t="s">
        <v>44</v>
      </c>
      <c r="X1199" t="s">
        <v>44</v>
      </c>
      <c r="Y1199">
        <v>41</v>
      </c>
      <c r="Z1199" t="s">
        <v>44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41</v>
      </c>
      <c r="AQ1199">
        <f t="shared" si="43"/>
        <v>41</v>
      </c>
      <c r="AR1199" s="5">
        <f>VLOOKUP(F1199,'[1]Cost Sheet'!$C:$D,2,0)</f>
        <v>50.4</v>
      </c>
      <c r="AS1199" s="5">
        <f t="shared" si="42"/>
        <v>2066.4</v>
      </c>
    </row>
    <row r="1200" spans="1:45" x14ac:dyDescent="0.3">
      <c r="A1200" s="1">
        <v>45900.963194444441</v>
      </c>
      <c r="B1200" t="s">
        <v>1463</v>
      </c>
      <c r="C1200" t="s">
        <v>1464</v>
      </c>
      <c r="D1200" t="s">
        <v>1027</v>
      </c>
      <c r="E1200" t="s">
        <v>1027</v>
      </c>
      <c r="F1200" t="s">
        <v>1963</v>
      </c>
      <c r="G1200" t="s">
        <v>1028</v>
      </c>
      <c r="H1200" t="s">
        <v>635</v>
      </c>
      <c r="I1200" t="s">
        <v>43</v>
      </c>
      <c r="N1200">
        <v>336</v>
      </c>
      <c r="O1200">
        <v>0</v>
      </c>
      <c r="P1200">
        <v>0</v>
      </c>
      <c r="Q1200" t="s">
        <v>44</v>
      </c>
      <c r="R1200">
        <v>41</v>
      </c>
      <c r="S1200" t="s">
        <v>44</v>
      </c>
      <c r="T1200" t="s">
        <v>44</v>
      </c>
      <c r="U1200" t="s">
        <v>44</v>
      </c>
      <c r="V1200">
        <v>13</v>
      </c>
      <c r="W1200" t="s">
        <v>44</v>
      </c>
      <c r="X1200" t="s">
        <v>44</v>
      </c>
      <c r="Y1200">
        <v>13</v>
      </c>
      <c r="Z1200" t="s">
        <v>44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13</v>
      </c>
      <c r="AQ1200">
        <f t="shared" si="43"/>
        <v>13</v>
      </c>
      <c r="AR1200" s="5">
        <f>VLOOKUP(F1200,'[1]Cost Sheet'!$C:$D,2,0)</f>
        <v>63.22</v>
      </c>
      <c r="AS1200" s="5">
        <f t="shared" si="42"/>
        <v>821.86</v>
      </c>
    </row>
    <row r="1201" spans="1:45" x14ac:dyDescent="0.3">
      <c r="A1201" s="1">
        <v>45900.963194444441</v>
      </c>
      <c r="B1201" t="s">
        <v>1463</v>
      </c>
      <c r="C1201" t="s">
        <v>1464</v>
      </c>
      <c r="D1201" t="s">
        <v>1029</v>
      </c>
      <c r="E1201" t="s">
        <v>1029</v>
      </c>
      <c r="F1201" t="s">
        <v>1964</v>
      </c>
      <c r="G1201" t="s">
        <v>1030</v>
      </c>
      <c r="H1201" t="s">
        <v>635</v>
      </c>
      <c r="I1201" t="s">
        <v>43</v>
      </c>
      <c r="N1201">
        <v>330</v>
      </c>
      <c r="O1201">
        <v>0</v>
      </c>
      <c r="P1201">
        <v>0</v>
      </c>
      <c r="Q1201" t="s">
        <v>44</v>
      </c>
      <c r="R1201">
        <v>36</v>
      </c>
      <c r="S1201" t="s">
        <v>44</v>
      </c>
      <c r="T1201" t="s">
        <v>44</v>
      </c>
      <c r="U1201" t="s">
        <v>44</v>
      </c>
      <c r="V1201">
        <v>15</v>
      </c>
      <c r="W1201" t="s">
        <v>44</v>
      </c>
      <c r="X1201" t="s">
        <v>44</v>
      </c>
      <c r="Y1201">
        <v>15</v>
      </c>
      <c r="Z1201" t="s">
        <v>44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15</v>
      </c>
      <c r="AQ1201">
        <f t="shared" si="43"/>
        <v>15</v>
      </c>
      <c r="AR1201" s="5">
        <f>VLOOKUP(F1201,'[1]Cost Sheet'!$C:$D,2,0)</f>
        <v>53.64</v>
      </c>
      <c r="AS1201" s="5">
        <f t="shared" si="42"/>
        <v>804.6</v>
      </c>
    </row>
    <row r="1202" spans="1:45" x14ac:dyDescent="0.3">
      <c r="A1202" s="1">
        <v>45900.963194444441</v>
      </c>
      <c r="B1202" t="s">
        <v>1463</v>
      </c>
      <c r="C1202" t="s">
        <v>1464</v>
      </c>
      <c r="D1202" t="s">
        <v>680</v>
      </c>
      <c r="E1202" t="s">
        <v>680</v>
      </c>
      <c r="F1202" t="s">
        <v>1793</v>
      </c>
      <c r="G1202" t="s">
        <v>681</v>
      </c>
      <c r="H1202" t="s">
        <v>635</v>
      </c>
      <c r="I1202" t="s">
        <v>43</v>
      </c>
      <c r="N1202">
        <v>754</v>
      </c>
      <c r="O1202">
        <v>1</v>
      </c>
      <c r="P1202">
        <v>0</v>
      </c>
      <c r="Q1202" t="s">
        <v>44</v>
      </c>
      <c r="R1202">
        <v>132</v>
      </c>
      <c r="S1202" t="s">
        <v>44</v>
      </c>
      <c r="T1202" t="s">
        <v>44</v>
      </c>
      <c r="U1202" t="s">
        <v>44</v>
      </c>
      <c r="V1202">
        <v>0</v>
      </c>
      <c r="W1202" t="s">
        <v>44</v>
      </c>
      <c r="X1202" t="s">
        <v>44</v>
      </c>
      <c r="Y1202" t="s">
        <v>44</v>
      </c>
      <c r="Z1202" t="s">
        <v>44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f t="shared" si="43"/>
        <v>1</v>
      </c>
      <c r="AR1202" s="5">
        <f>VLOOKUP(F1202,'[1]Cost Sheet'!$C:$D,2,0)</f>
        <v>68.577500000000001</v>
      </c>
      <c r="AS1202" s="5">
        <f t="shared" si="42"/>
        <v>68.577500000000001</v>
      </c>
    </row>
    <row r="1203" spans="1:45" x14ac:dyDescent="0.3">
      <c r="A1203" s="1">
        <v>45900.963194444441</v>
      </c>
      <c r="B1203" t="s">
        <v>1463</v>
      </c>
      <c r="C1203" t="s">
        <v>1464</v>
      </c>
      <c r="D1203" t="s">
        <v>1031</v>
      </c>
      <c r="E1203" t="s">
        <v>1031</v>
      </c>
      <c r="F1203" t="s">
        <v>1965</v>
      </c>
      <c r="G1203" t="s">
        <v>1032</v>
      </c>
      <c r="H1203" t="s">
        <v>635</v>
      </c>
      <c r="I1203" t="s">
        <v>43</v>
      </c>
      <c r="N1203">
        <v>741</v>
      </c>
      <c r="O1203">
        <v>0</v>
      </c>
      <c r="P1203">
        <v>0</v>
      </c>
      <c r="Q1203" t="s">
        <v>44</v>
      </c>
      <c r="R1203">
        <v>141</v>
      </c>
      <c r="S1203" t="s">
        <v>44</v>
      </c>
      <c r="T1203" t="s">
        <v>44</v>
      </c>
      <c r="U1203" t="s">
        <v>44</v>
      </c>
      <c r="V1203">
        <v>62</v>
      </c>
      <c r="W1203" t="s">
        <v>44</v>
      </c>
      <c r="X1203" t="s">
        <v>44</v>
      </c>
      <c r="Y1203">
        <v>62</v>
      </c>
      <c r="Z1203" t="s">
        <v>44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62</v>
      </c>
      <c r="AQ1203">
        <f t="shared" si="43"/>
        <v>62</v>
      </c>
      <c r="AR1203" s="5">
        <f>VLOOKUP(F1203,'[1]Cost Sheet'!$C:$D,2,0)</f>
        <v>64.540000000000006</v>
      </c>
      <c r="AS1203" s="5">
        <f t="shared" si="42"/>
        <v>4001.4800000000005</v>
      </c>
    </row>
    <row r="1204" spans="1:45" x14ac:dyDescent="0.3">
      <c r="A1204" s="1">
        <v>45900.963194444441</v>
      </c>
      <c r="B1204" t="s">
        <v>1463</v>
      </c>
      <c r="C1204" t="s">
        <v>1464</v>
      </c>
      <c r="D1204" t="s">
        <v>1383</v>
      </c>
      <c r="E1204" t="s">
        <v>1383</v>
      </c>
      <c r="F1204" t="s">
        <v>2138</v>
      </c>
      <c r="G1204" t="s">
        <v>1384</v>
      </c>
      <c r="H1204" t="s">
        <v>635</v>
      </c>
      <c r="I1204" t="s">
        <v>43</v>
      </c>
      <c r="N1204">
        <v>636</v>
      </c>
      <c r="O1204">
        <v>0</v>
      </c>
      <c r="P1204">
        <v>0</v>
      </c>
      <c r="Q1204" t="s">
        <v>44</v>
      </c>
      <c r="R1204">
        <v>135</v>
      </c>
      <c r="S1204" t="s">
        <v>44</v>
      </c>
      <c r="T1204" t="s">
        <v>44</v>
      </c>
      <c r="U1204" t="s">
        <v>44</v>
      </c>
      <c r="V1204">
        <v>7</v>
      </c>
      <c r="W1204" t="s">
        <v>44</v>
      </c>
      <c r="X1204" t="s">
        <v>44</v>
      </c>
      <c r="Y1204">
        <v>7</v>
      </c>
      <c r="Z1204" t="s">
        <v>44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7</v>
      </c>
      <c r="AQ1204">
        <f t="shared" si="43"/>
        <v>7</v>
      </c>
      <c r="AR1204" s="5">
        <f>VLOOKUP(F1204,'[1]Cost Sheet'!$C:$D,2,0)</f>
        <v>63.836666666666673</v>
      </c>
      <c r="AS1204" s="5">
        <f t="shared" si="42"/>
        <v>446.85666666666668</v>
      </c>
    </row>
    <row r="1205" spans="1:45" x14ac:dyDescent="0.3">
      <c r="A1205" s="1">
        <v>45900.963194444441</v>
      </c>
      <c r="B1205" t="s">
        <v>1463</v>
      </c>
      <c r="C1205" t="s">
        <v>1464</v>
      </c>
      <c r="D1205" t="s">
        <v>1035</v>
      </c>
      <c r="E1205" t="s">
        <v>1035</v>
      </c>
      <c r="F1205" t="s">
        <v>1967</v>
      </c>
      <c r="G1205" t="s">
        <v>1036</v>
      </c>
      <c r="H1205" t="s">
        <v>635</v>
      </c>
      <c r="I1205" t="s">
        <v>43</v>
      </c>
      <c r="N1205">
        <v>363</v>
      </c>
      <c r="O1205">
        <v>4</v>
      </c>
      <c r="P1205">
        <v>0</v>
      </c>
      <c r="Q1205" t="s">
        <v>44</v>
      </c>
      <c r="R1205">
        <v>86</v>
      </c>
      <c r="S1205" t="s">
        <v>44</v>
      </c>
      <c r="T1205" t="s">
        <v>44</v>
      </c>
      <c r="U1205" t="s">
        <v>44</v>
      </c>
      <c r="V1205">
        <v>32</v>
      </c>
      <c r="W1205" t="s">
        <v>44</v>
      </c>
      <c r="X1205" t="s">
        <v>44</v>
      </c>
      <c r="Y1205">
        <v>32</v>
      </c>
      <c r="Z1205" t="s">
        <v>44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36</v>
      </c>
      <c r="AQ1205">
        <f t="shared" si="43"/>
        <v>36</v>
      </c>
      <c r="AR1205" s="5">
        <f>VLOOKUP(F1205,'[1]Cost Sheet'!$C:$D,2,0)</f>
        <v>114.81</v>
      </c>
      <c r="AS1205" s="5">
        <f t="shared" si="42"/>
        <v>4133.16</v>
      </c>
    </row>
    <row r="1206" spans="1:45" x14ac:dyDescent="0.3">
      <c r="A1206" s="1">
        <v>45900.963194444441</v>
      </c>
      <c r="B1206" t="s">
        <v>1463</v>
      </c>
      <c r="C1206" t="s">
        <v>1464</v>
      </c>
      <c r="D1206" t="s">
        <v>1037</v>
      </c>
      <c r="E1206" t="s">
        <v>1037</v>
      </c>
      <c r="F1206" t="s">
        <v>1968</v>
      </c>
      <c r="G1206" t="s">
        <v>1038</v>
      </c>
      <c r="H1206" t="s">
        <v>635</v>
      </c>
      <c r="I1206" t="s">
        <v>43</v>
      </c>
      <c r="N1206">
        <v>342</v>
      </c>
      <c r="O1206">
        <v>1</v>
      </c>
      <c r="P1206">
        <v>0</v>
      </c>
      <c r="Q1206" t="s">
        <v>44</v>
      </c>
      <c r="R1206">
        <v>91</v>
      </c>
      <c r="S1206" t="s">
        <v>44</v>
      </c>
      <c r="T1206" t="s">
        <v>44</v>
      </c>
      <c r="U1206" t="s">
        <v>44</v>
      </c>
      <c r="V1206">
        <v>20</v>
      </c>
      <c r="W1206" t="s">
        <v>44</v>
      </c>
      <c r="X1206" t="s">
        <v>44</v>
      </c>
      <c r="Y1206">
        <v>20</v>
      </c>
      <c r="Z1206" t="s">
        <v>44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21</v>
      </c>
      <c r="AQ1206">
        <f t="shared" si="43"/>
        <v>21</v>
      </c>
      <c r="AR1206" s="5">
        <f>VLOOKUP(F1206,'[1]Cost Sheet'!$C:$D,2,0)</f>
        <v>114.80999999999999</v>
      </c>
      <c r="AS1206" s="5">
        <f t="shared" si="42"/>
        <v>2411.0099999999998</v>
      </c>
    </row>
    <row r="1207" spans="1:45" x14ac:dyDescent="0.3">
      <c r="A1207" s="1">
        <v>45900.963194444441</v>
      </c>
      <c r="B1207" t="s">
        <v>1463</v>
      </c>
      <c r="C1207" t="s">
        <v>1464</v>
      </c>
      <c r="D1207" t="s">
        <v>1039</v>
      </c>
      <c r="E1207" t="s">
        <v>1039</v>
      </c>
      <c r="F1207" t="s">
        <v>1969</v>
      </c>
      <c r="G1207" t="s">
        <v>1040</v>
      </c>
      <c r="H1207" t="s">
        <v>635</v>
      </c>
      <c r="I1207" t="s">
        <v>43</v>
      </c>
      <c r="N1207">
        <v>439</v>
      </c>
      <c r="O1207">
        <v>3</v>
      </c>
      <c r="P1207">
        <v>0</v>
      </c>
      <c r="Q1207" t="s">
        <v>44</v>
      </c>
      <c r="R1207">
        <v>82</v>
      </c>
      <c r="S1207" t="s">
        <v>44</v>
      </c>
      <c r="T1207" t="s">
        <v>44</v>
      </c>
      <c r="U1207" t="s">
        <v>44</v>
      </c>
      <c r="V1207">
        <v>58</v>
      </c>
      <c r="W1207" t="s">
        <v>44</v>
      </c>
      <c r="X1207" t="s">
        <v>44</v>
      </c>
      <c r="Y1207">
        <v>58</v>
      </c>
      <c r="Z1207" t="s">
        <v>44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61</v>
      </c>
      <c r="AQ1207">
        <f t="shared" si="43"/>
        <v>61</v>
      </c>
      <c r="AR1207" s="5">
        <f>VLOOKUP(F1207,'[1]Cost Sheet'!$C:$D,2,0)</f>
        <v>114.80999999999999</v>
      </c>
      <c r="AS1207" s="5">
        <f t="shared" si="42"/>
        <v>7003.4099999999989</v>
      </c>
    </row>
    <row r="1208" spans="1:45" x14ac:dyDescent="0.3">
      <c r="A1208" s="1">
        <v>45900.963194444441</v>
      </c>
      <c r="B1208" t="s">
        <v>1463</v>
      </c>
      <c r="C1208" t="s">
        <v>1464</v>
      </c>
      <c r="D1208" t="s">
        <v>1041</v>
      </c>
      <c r="E1208" t="s">
        <v>1041</v>
      </c>
      <c r="F1208" t="s">
        <v>1970</v>
      </c>
      <c r="G1208" t="s">
        <v>1042</v>
      </c>
      <c r="H1208" t="s">
        <v>635</v>
      </c>
      <c r="I1208" t="s">
        <v>43</v>
      </c>
      <c r="N1208">
        <v>265</v>
      </c>
      <c r="O1208">
        <v>1</v>
      </c>
      <c r="P1208">
        <v>0</v>
      </c>
      <c r="Q1208" t="s">
        <v>44</v>
      </c>
      <c r="R1208">
        <v>32</v>
      </c>
      <c r="S1208" t="s">
        <v>44</v>
      </c>
      <c r="T1208" t="s">
        <v>44</v>
      </c>
      <c r="U1208" t="s">
        <v>44</v>
      </c>
      <c r="V1208">
        <v>0</v>
      </c>
      <c r="W1208" t="s">
        <v>44</v>
      </c>
      <c r="X1208" t="s">
        <v>44</v>
      </c>
      <c r="Y1208" t="s">
        <v>44</v>
      </c>
      <c r="Z1208" t="s">
        <v>44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f t="shared" si="43"/>
        <v>1</v>
      </c>
      <c r="AR1208" s="5">
        <f>VLOOKUP(F1208,'[1]Cost Sheet'!$C:$D,2,0)</f>
        <v>114.81</v>
      </c>
      <c r="AS1208" s="5">
        <f t="shared" si="42"/>
        <v>114.81</v>
      </c>
    </row>
    <row r="1209" spans="1:45" x14ac:dyDescent="0.3">
      <c r="A1209" s="1">
        <v>45900.963194444441</v>
      </c>
      <c r="B1209" t="s">
        <v>1463</v>
      </c>
      <c r="C1209" t="s">
        <v>1464</v>
      </c>
      <c r="D1209" t="s">
        <v>1043</v>
      </c>
      <c r="E1209" t="s">
        <v>1043</v>
      </c>
      <c r="F1209" t="s">
        <v>1971</v>
      </c>
      <c r="G1209" t="s">
        <v>1044</v>
      </c>
      <c r="H1209" t="s">
        <v>635</v>
      </c>
      <c r="I1209" t="s">
        <v>43</v>
      </c>
      <c r="N1209">
        <v>287</v>
      </c>
      <c r="O1209">
        <v>0</v>
      </c>
      <c r="P1209">
        <v>0</v>
      </c>
      <c r="Q1209" t="s">
        <v>44</v>
      </c>
      <c r="R1209">
        <v>30</v>
      </c>
      <c r="S1209" t="s">
        <v>44</v>
      </c>
      <c r="T1209" t="s">
        <v>44</v>
      </c>
      <c r="U1209" t="s">
        <v>44</v>
      </c>
      <c r="V1209">
        <v>7</v>
      </c>
      <c r="W1209" t="s">
        <v>44</v>
      </c>
      <c r="X1209" t="s">
        <v>44</v>
      </c>
      <c r="Y1209">
        <v>7</v>
      </c>
      <c r="Z1209" t="s">
        <v>44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7</v>
      </c>
      <c r="AQ1209">
        <f t="shared" si="43"/>
        <v>7</v>
      </c>
      <c r="AR1209" s="5">
        <f>VLOOKUP(F1209,'[1]Cost Sheet'!$C:$D,2,0)</f>
        <v>114.81</v>
      </c>
      <c r="AS1209" s="5">
        <f t="shared" si="42"/>
        <v>803.67000000000007</v>
      </c>
    </row>
    <row r="1210" spans="1:45" x14ac:dyDescent="0.3">
      <c r="A1210" s="1">
        <v>45900.963194444441</v>
      </c>
      <c r="B1210" t="s">
        <v>1463</v>
      </c>
      <c r="C1210" t="s">
        <v>1464</v>
      </c>
      <c r="D1210" t="s">
        <v>1045</v>
      </c>
      <c r="E1210" t="s">
        <v>1045</v>
      </c>
      <c r="F1210" t="s">
        <v>1972</v>
      </c>
      <c r="G1210" t="s">
        <v>1046</v>
      </c>
      <c r="H1210" t="s">
        <v>635</v>
      </c>
      <c r="I1210" t="s">
        <v>43</v>
      </c>
      <c r="N1210">
        <v>359</v>
      </c>
      <c r="O1210">
        <v>4</v>
      </c>
      <c r="P1210">
        <v>0</v>
      </c>
      <c r="Q1210" t="s">
        <v>44</v>
      </c>
      <c r="R1210">
        <v>119</v>
      </c>
      <c r="S1210" t="s">
        <v>44</v>
      </c>
      <c r="T1210" t="s">
        <v>44</v>
      </c>
      <c r="U1210" t="s">
        <v>44</v>
      </c>
      <c r="V1210">
        <v>0</v>
      </c>
      <c r="W1210" t="s">
        <v>44</v>
      </c>
      <c r="X1210" t="s">
        <v>44</v>
      </c>
      <c r="Y1210" t="s">
        <v>44</v>
      </c>
      <c r="Z1210" t="s">
        <v>44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4</v>
      </c>
      <c r="AQ1210">
        <f t="shared" si="43"/>
        <v>4</v>
      </c>
      <c r="AR1210" s="5">
        <f>VLOOKUP(F1210,'[1]Cost Sheet'!$C:$D,2,0)</f>
        <v>114.81</v>
      </c>
      <c r="AS1210" s="5">
        <f t="shared" si="42"/>
        <v>459.24</v>
      </c>
    </row>
    <row r="1211" spans="1:45" x14ac:dyDescent="0.3">
      <c r="A1211" s="1">
        <v>45900.963194444441</v>
      </c>
      <c r="B1211" t="s">
        <v>1463</v>
      </c>
      <c r="C1211" t="s">
        <v>1464</v>
      </c>
      <c r="D1211" t="s">
        <v>1047</v>
      </c>
      <c r="E1211" t="s">
        <v>1047</v>
      </c>
      <c r="F1211" t="s">
        <v>1973</v>
      </c>
      <c r="G1211" t="s">
        <v>1048</v>
      </c>
      <c r="H1211" t="s">
        <v>635</v>
      </c>
      <c r="I1211" t="s">
        <v>43</v>
      </c>
      <c r="N1211">
        <v>590</v>
      </c>
      <c r="O1211">
        <v>1</v>
      </c>
      <c r="P1211">
        <v>0</v>
      </c>
      <c r="Q1211" t="s">
        <v>44</v>
      </c>
      <c r="R1211">
        <v>88</v>
      </c>
      <c r="S1211" t="s">
        <v>44</v>
      </c>
      <c r="T1211" t="s">
        <v>44</v>
      </c>
      <c r="U1211" t="s">
        <v>44</v>
      </c>
      <c r="V1211">
        <v>14</v>
      </c>
      <c r="W1211" t="s">
        <v>44</v>
      </c>
      <c r="X1211" t="s">
        <v>44</v>
      </c>
      <c r="Y1211">
        <v>14</v>
      </c>
      <c r="Z1211" t="s">
        <v>44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15</v>
      </c>
      <c r="AQ1211">
        <f t="shared" si="43"/>
        <v>15</v>
      </c>
      <c r="AR1211" s="5">
        <f>VLOOKUP(F1211,'[1]Cost Sheet'!$C:$D,2,0)</f>
        <v>83.14</v>
      </c>
      <c r="AS1211" s="5">
        <f t="shared" si="42"/>
        <v>1247.0999999999999</v>
      </c>
    </row>
    <row r="1212" spans="1:45" x14ac:dyDescent="0.3">
      <c r="A1212" s="1">
        <v>45900.963194444441</v>
      </c>
      <c r="B1212" t="s">
        <v>1463</v>
      </c>
      <c r="C1212" t="s">
        <v>1464</v>
      </c>
      <c r="D1212" t="s">
        <v>1051</v>
      </c>
      <c r="E1212" t="s">
        <v>1051</v>
      </c>
      <c r="F1212" t="s">
        <v>1975</v>
      </c>
      <c r="G1212" t="s">
        <v>1052</v>
      </c>
      <c r="H1212" t="s">
        <v>635</v>
      </c>
      <c r="I1212" t="s">
        <v>43</v>
      </c>
      <c r="N1212">
        <v>640</v>
      </c>
      <c r="O1212">
        <v>3</v>
      </c>
      <c r="P1212">
        <v>0</v>
      </c>
      <c r="Q1212" t="s">
        <v>44</v>
      </c>
      <c r="R1212">
        <v>109</v>
      </c>
      <c r="S1212" t="s">
        <v>44</v>
      </c>
      <c r="T1212" t="s">
        <v>44</v>
      </c>
      <c r="U1212" t="s">
        <v>44</v>
      </c>
      <c r="V1212">
        <v>0</v>
      </c>
      <c r="W1212" t="s">
        <v>44</v>
      </c>
      <c r="X1212" t="s">
        <v>44</v>
      </c>
      <c r="Y1212" t="s">
        <v>44</v>
      </c>
      <c r="Z1212" t="s">
        <v>44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3</v>
      </c>
      <c r="AQ1212">
        <f t="shared" si="43"/>
        <v>3</v>
      </c>
      <c r="AR1212" s="5">
        <f>VLOOKUP(F1212,'[1]Cost Sheet'!$C:$D,2,0)</f>
        <v>83.14</v>
      </c>
      <c r="AS1212" s="5">
        <f t="shared" si="42"/>
        <v>249.42000000000002</v>
      </c>
    </row>
    <row r="1213" spans="1:45" x14ac:dyDescent="0.3">
      <c r="A1213" s="1">
        <v>45900.963194444441</v>
      </c>
      <c r="B1213" t="s">
        <v>1463</v>
      </c>
      <c r="C1213" t="s">
        <v>1464</v>
      </c>
      <c r="D1213" t="s">
        <v>682</v>
      </c>
      <c r="E1213" t="s">
        <v>682</v>
      </c>
      <c r="F1213" t="s">
        <v>1794</v>
      </c>
      <c r="G1213" t="s">
        <v>683</v>
      </c>
      <c r="H1213" t="s">
        <v>635</v>
      </c>
      <c r="I1213" t="s">
        <v>43</v>
      </c>
      <c r="N1213">
        <v>727</v>
      </c>
      <c r="O1213">
        <v>0</v>
      </c>
      <c r="P1213">
        <v>0</v>
      </c>
      <c r="Q1213" t="s">
        <v>44</v>
      </c>
      <c r="R1213">
        <v>107</v>
      </c>
      <c r="S1213" t="s">
        <v>44</v>
      </c>
      <c r="T1213" t="s">
        <v>44</v>
      </c>
      <c r="U1213" t="s">
        <v>44</v>
      </c>
      <c r="V1213">
        <v>14</v>
      </c>
      <c r="W1213" t="s">
        <v>44</v>
      </c>
      <c r="X1213" t="s">
        <v>44</v>
      </c>
      <c r="Y1213">
        <v>14</v>
      </c>
      <c r="Z1213" t="s">
        <v>44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14</v>
      </c>
      <c r="AQ1213">
        <f t="shared" si="43"/>
        <v>14</v>
      </c>
      <c r="AR1213" s="5">
        <f>VLOOKUP(F1213,'[1]Cost Sheet'!$C:$D,2,0)</f>
        <v>83.14</v>
      </c>
      <c r="AS1213" s="5">
        <f t="shared" si="42"/>
        <v>1163.96</v>
      </c>
    </row>
    <row r="1214" spans="1:45" x14ac:dyDescent="0.3">
      <c r="A1214" s="1">
        <v>45900.963194444441</v>
      </c>
      <c r="B1214" t="s">
        <v>1463</v>
      </c>
      <c r="C1214" t="s">
        <v>1464</v>
      </c>
      <c r="D1214" t="s">
        <v>684</v>
      </c>
      <c r="E1214" t="s">
        <v>684</v>
      </c>
      <c r="F1214" t="s">
        <v>1795</v>
      </c>
      <c r="G1214" t="s">
        <v>685</v>
      </c>
      <c r="H1214" t="s">
        <v>635</v>
      </c>
      <c r="I1214" t="s">
        <v>43</v>
      </c>
      <c r="N1214">
        <v>750</v>
      </c>
      <c r="O1214">
        <v>1</v>
      </c>
      <c r="P1214">
        <v>0</v>
      </c>
      <c r="Q1214" t="s">
        <v>44</v>
      </c>
      <c r="R1214">
        <v>108</v>
      </c>
      <c r="S1214" t="s">
        <v>44</v>
      </c>
      <c r="T1214" t="s">
        <v>44</v>
      </c>
      <c r="U1214" t="s">
        <v>44</v>
      </c>
      <c r="V1214">
        <v>40</v>
      </c>
      <c r="W1214" t="s">
        <v>44</v>
      </c>
      <c r="X1214" t="s">
        <v>44</v>
      </c>
      <c r="Y1214">
        <v>40</v>
      </c>
      <c r="Z1214" t="s">
        <v>44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41</v>
      </c>
      <c r="AQ1214">
        <f t="shared" si="43"/>
        <v>41</v>
      </c>
      <c r="AR1214" s="5">
        <f>VLOOKUP(F1214,'[1]Cost Sheet'!$C:$D,2,0)</f>
        <v>83.14</v>
      </c>
      <c r="AS1214" s="5">
        <f t="shared" si="42"/>
        <v>3408.7400000000002</v>
      </c>
    </row>
    <row r="1215" spans="1:45" x14ac:dyDescent="0.3">
      <c r="A1215" s="1">
        <v>45900.963194444441</v>
      </c>
      <c r="B1215" t="s">
        <v>1463</v>
      </c>
      <c r="C1215" t="s">
        <v>1464</v>
      </c>
      <c r="D1215" t="s">
        <v>1055</v>
      </c>
      <c r="E1215" t="s">
        <v>1055</v>
      </c>
      <c r="F1215" t="s">
        <v>1977</v>
      </c>
      <c r="G1215" t="s">
        <v>1056</v>
      </c>
      <c r="H1215" t="s">
        <v>635</v>
      </c>
      <c r="I1215" t="s">
        <v>43</v>
      </c>
      <c r="N1215">
        <v>474</v>
      </c>
      <c r="O1215">
        <v>0</v>
      </c>
      <c r="P1215">
        <v>0</v>
      </c>
      <c r="Q1215" t="s">
        <v>44</v>
      </c>
      <c r="R1215">
        <v>99</v>
      </c>
      <c r="S1215" t="s">
        <v>44</v>
      </c>
      <c r="T1215" t="s">
        <v>44</v>
      </c>
      <c r="U1215" t="s">
        <v>44</v>
      </c>
      <c r="V1215">
        <v>19</v>
      </c>
      <c r="W1215" t="s">
        <v>44</v>
      </c>
      <c r="X1215" t="s">
        <v>44</v>
      </c>
      <c r="Y1215">
        <v>19</v>
      </c>
      <c r="Z1215" t="s">
        <v>44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19</v>
      </c>
      <c r="AQ1215">
        <f t="shared" si="43"/>
        <v>19</v>
      </c>
      <c r="AR1215" s="5">
        <f>VLOOKUP(F1215,'[1]Cost Sheet'!$C:$D,2,0)</f>
        <v>77.84</v>
      </c>
      <c r="AS1215" s="5">
        <f t="shared" si="42"/>
        <v>1478.96</v>
      </c>
    </row>
    <row r="1216" spans="1:45" x14ac:dyDescent="0.3">
      <c r="A1216" s="1">
        <v>45900.963194444441</v>
      </c>
      <c r="B1216" t="s">
        <v>1463</v>
      </c>
      <c r="C1216" t="s">
        <v>1464</v>
      </c>
      <c r="D1216" t="s">
        <v>686</v>
      </c>
      <c r="E1216" t="s">
        <v>686</v>
      </c>
      <c r="F1216" t="s">
        <v>1796</v>
      </c>
      <c r="G1216" t="s">
        <v>687</v>
      </c>
      <c r="H1216" t="s">
        <v>635</v>
      </c>
      <c r="I1216" t="s">
        <v>43</v>
      </c>
      <c r="N1216">
        <v>585</v>
      </c>
      <c r="O1216">
        <v>5</v>
      </c>
      <c r="P1216">
        <v>0</v>
      </c>
      <c r="Q1216" t="s">
        <v>44</v>
      </c>
      <c r="R1216">
        <v>119</v>
      </c>
      <c r="S1216" t="s">
        <v>44</v>
      </c>
      <c r="T1216" t="s">
        <v>44</v>
      </c>
      <c r="U1216" t="s">
        <v>44</v>
      </c>
      <c r="V1216">
        <v>27</v>
      </c>
      <c r="W1216" t="s">
        <v>44</v>
      </c>
      <c r="X1216" t="s">
        <v>44</v>
      </c>
      <c r="Y1216">
        <v>27</v>
      </c>
      <c r="Z1216" t="s">
        <v>44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32</v>
      </c>
      <c r="AQ1216">
        <f t="shared" si="43"/>
        <v>32</v>
      </c>
      <c r="AR1216" s="5">
        <f>VLOOKUP(F1216,'[1]Cost Sheet'!$C:$D,2,0)</f>
        <v>77.84</v>
      </c>
      <c r="AS1216" s="5">
        <f t="shared" si="42"/>
        <v>2490.88</v>
      </c>
    </row>
    <row r="1217" spans="1:45" x14ac:dyDescent="0.3">
      <c r="A1217" s="1">
        <v>45900.963194444441</v>
      </c>
      <c r="B1217" t="s">
        <v>1463</v>
      </c>
      <c r="C1217" t="s">
        <v>1464</v>
      </c>
      <c r="D1217" t="s">
        <v>1057</v>
      </c>
      <c r="E1217" t="s">
        <v>1057</v>
      </c>
      <c r="F1217" t="s">
        <v>1978</v>
      </c>
      <c r="G1217" t="s">
        <v>1058</v>
      </c>
      <c r="H1217" t="s">
        <v>635</v>
      </c>
      <c r="I1217" t="s">
        <v>43</v>
      </c>
      <c r="N1217">
        <v>362</v>
      </c>
      <c r="O1217">
        <v>0</v>
      </c>
      <c r="P1217">
        <v>0</v>
      </c>
      <c r="Q1217" t="s">
        <v>44</v>
      </c>
      <c r="R1217">
        <v>23</v>
      </c>
      <c r="S1217" t="s">
        <v>44</v>
      </c>
      <c r="T1217" t="s">
        <v>44</v>
      </c>
      <c r="U1217" t="s">
        <v>44</v>
      </c>
      <c r="V1217">
        <v>1</v>
      </c>
      <c r="W1217" t="s">
        <v>44</v>
      </c>
      <c r="X1217" t="s">
        <v>44</v>
      </c>
      <c r="Y1217">
        <v>1</v>
      </c>
      <c r="Z1217" t="s">
        <v>44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f t="shared" si="43"/>
        <v>1</v>
      </c>
      <c r="AR1217" s="5">
        <f>VLOOKUP(F1217,'[1]Cost Sheet'!$C:$D,2,0)</f>
        <v>78.575999999999993</v>
      </c>
      <c r="AS1217" s="5">
        <f t="shared" si="42"/>
        <v>78.575999999999993</v>
      </c>
    </row>
    <row r="1218" spans="1:45" x14ac:dyDescent="0.3">
      <c r="A1218" s="1">
        <v>45900.963194444441</v>
      </c>
      <c r="B1218" t="s">
        <v>1463</v>
      </c>
      <c r="C1218" t="s">
        <v>1464</v>
      </c>
      <c r="D1218" t="s">
        <v>1059</v>
      </c>
      <c r="E1218" t="s">
        <v>1059</v>
      </c>
      <c r="F1218" t="s">
        <v>1979</v>
      </c>
      <c r="G1218" t="s">
        <v>1060</v>
      </c>
      <c r="H1218" t="s">
        <v>635</v>
      </c>
      <c r="I1218" t="s">
        <v>43</v>
      </c>
      <c r="N1218">
        <v>497</v>
      </c>
      <c r="O1218">
        <v>0</v>
      </c>
      <c r="P1218">
        <v>0</v>
      </c>
      <c r="Q1218" t="s">
        <v>44</v>
      </c>
      <c r="R1218">
        <v>127</v>
      </c>
      <c r="S1218" t="s">
        <v>44</v>
      </c>
      <c r="T1218" t="s">
        <v>44</v>
      </c>
      <c r="U1218" t="s">
        <v>44</v>
      </c>
      <c r="V1218">
        <v>23</v>
      </c>
      <c r="W1218" t="s">
        <v>44</v>
      </c>
      <c r="X1218" t="s">
        <v>44</v>
      </c>
      <c r="Y1218">
        <v>23</v>
      </c>
      <c r="Z1218" t="s">
        <v>44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23</v>
      </c>
      <c r="AQ1218">
        <f t="shared" si="43"/>
        <v>23</v>
      </c>
      <c r="AR1218" s="5">
        <f>VLOOKUP(F1218,'[1]Cost Sheet'!$C:$D,2,0)</f>
        <v>78.453333333333333</v>
      </c>
      <c r="AS1218" s="5">
        <f t="shared" si="42"/>
        <v>1804.4266666666667</v>
      </c>
    </row>
    <row r="1219" spans="1:45" x14ac:dyDescent="0.3">
      <c r="A1219" s="1">
        <v>45900.963194444441</v>
      </c>
      <c r="B1219" t="s">
        <v>1463</v>
      </c>
      <c r="C1219" t="s">
        <v>1464</v>
      </c>
      <c r="D1219" t="s">
        <v>1061</v>
      </c>
      <c r="E1219" t="s">
        <v>1061</v>
      </c>
      <c r="F1219" t="s">
        <v>1980</v>
      </c>
      <c r="G1219" t="s">
        <v>1062</v>
      </c>
      <c r="H1219" t="s">
        <v>635</v>
      </c>
      <c r="I1219" t="s">
        <v>43</v>
      </c>
      <c r="N1219">
        <v>451</v>
      </c>
      <c r="O1219">
        <v>0</v>
      </c>
      <c r="P1219">
        <v>0</v>
      </c>
      <c r="Q1219" t="s">
        <v>44</v>
      </c>
      <c r="R1219">
        <v>109</v>
      </c>
      <c r="S1219" t="s">
        <v>44</v>
      </c>
      <c r="T1219" t="s">
        <v>44</v>
      </c>
      <c r="U1219" t="s">
        <v>44</v>
      </c>
      <c r="V1219">
        <v>9</v>
      </c>
      <c r="W1219" t="s">
        <v>44</v>
      </c>
      <c r="X1219" t="s">
        <v>44</v>
      </c>
      <c r="Y1219">
        <v>9</v>
      </c>
      <c r="Z1219" t="s">
        <v>44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9</v>
      </c>
      <c r="AQ1219">
        <f t="shared" si="43"/>
        <v>9</v>
      </c>
      <c r="AR1219" s="5">
        <f>VLOOKUP(F1219,'[1]Cost Sheet'!$C:$D,2,0)</f>
        <v>79.066666666666677</v>
      </c>
      <c r="AS1219" s="5">
        <f t="shared" ref="AS1219:AS1282" si="44">AQ1219*AR1219</f>
        <v>711.60000000000014</v>
      </c>
    </row>
    <row r="1220" spans="1:45" x14ac:dyDescent="0.3">
      <c r="A1220" s="1">
        <v>45900.963194444441</v>
      </c>
      <c r="B1220" t="s">
        <v>1463</v>
      </c>
      <c r="C1220" t="s">
        <v>1464</v>
      </c>
      <c r="D1220" t="s">
        <v>690</v>
      </c>
      <c r="E1220" t="s">
        <v>690</v>
      </c>
      <c r="F1220" t="s">
        <v>1798</v>
      </c>
      <c r="G1220" t="s">
        <v>691</v>
      </c>
      <c r="H1220" t="s">
        <v>635</v>
      </c>
      <c r="I1220" t="s">
        <v>43</v>
      </c>
      <c r="N1220">
        <v>415</v>
      </c>
      <c r="O1220">
        <v>0</v>
      </c>
      <c r="P1220">
        <v>0</v>
      </c>
      <c r="Q1220" t="s">
        <v>44</v>
      </c>
      <c r="R1220">
        <v>101</v>
      </c>
      <c r="S1220" t="s">
        <v>44</v>
      </c>
      <c r="T1220" t="s">
        <v>44</v>
      </c>
      <c r="U1220" t="s">
        <v>44</v>
      </c>
      <c r="V1220">
        <v>24</v>
      </c>
      <c r="W1220" t="s">
        <v>44</v>
      </c>
      <c r="X1220" t="s">
        <v>44</v>
      </c>
      <c r="Y1220">
        <v>24</v>
      </c>
      <c r="Z1220" t="s">
        <v>44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24</v>
      </c>
      <c r="AQ1220">
        <f t="shared" si="43"/>
        <v>24</v>
      </c>
      <c r="AR1220" s="5">
        <f>VLOOKUP(F1220,'[1]Cost Sheet'!$C:$D,2,0)</f>
        <v>77.84</v>
      </c>
      <c r="AS1220" s="5">
        <f t="shared" si="44"/>
        <v>1868.16</v>
      </c>
    </row>
    <row r="1221" spans="1:45" x14ac:dyDescent="0.3">
      <c r="A1221" s="1">
        <v>45900.963194444441</v>
      </c>
      <c r="B1221" t="s">
        <v>1463</v>
      </c>
      <c r="C1221" t="s">
        <v>1464</v>
      </c>
      <c r="D1221" t="s">
        <v>1063</v>
      </c>
      <c r="E1221" t="s">
        <v>1063</v>
      </c>
      <c r="F1221" t="s">
        <v>1981</v>
      </c>
      <c r="G1221" t="s">
        <v>1064</v>
      </c>
      <c r="H1221" t="s">
        <v>635</v>
      </c>
      <c r="I1221" t="s">
        <v>43</v>
      </c>
      <c r="N1221">
        <v>485</v>
      </c>
      <c r="O1221">
        <v>0</v>
      </c>
      <c r="P1221">
        <v>0</v>
      </c>
      <c r="Q1221" t="s">
        <v>44</v>
      </c>
      <c r="R1221">
        <v>121</v>
      </c>
      <c r="S1221" t="s">
        <v>44</v>
      </c>
      <c r="T1221" t="s">
        <v>44</v>
      </c>
      <c r="U1221" t="s">
        <v>44</v>
      </c>
      <c r="V1221">
        <v>16</v>
      </c>
      <c r="W1221" t="s">
        <v>44</v>
      </c>
      <c r="X1221" t="s">
        <v>44</v>
      </c>
      <c r="Y1221">
        <v>16</v>
      </c>
      <c r="Z1221" t="s">
        <v>44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16</v>
      </c>
      <c r="AQ1221">
        <f t="shared" si="43"/>
        <v>16</v>
      </c>
      <c r="AR1221" s="5">
        <f>VLOOKUP(F1221,'[1]Cost Sheet'!$C:$D,2,0)</f>
        <v>77.84</v>
      </c>
      <c r="AS1221" s="5">
        <f t="shared" si="44"/>
        <v>1245.44</v>
      </c>
    </row>
    <row r="1222" spans="1:45" x14ac:dyDescent="0.3">
      <c r="A1222" s="1">
        <v>45900.963194444441</v>
      </c>
      <c r="B1222" t="s">
        <v>1463</v>
      </c>
      <c r="C1222" t="s">
        <v>1464</v>
      </c>
      <c r="D1222" t="s">
        <v>1065</v>
      </c>
      <c r="E1222" t="s">
        <v>1065</v>
      </c>
      <c r="F1222" t="s">
        <v>1982</v>
      </c>
      <c r="G1222" t="s">
        <v>1066</v>
      </c>
      <c r="H1222" t="s">
        <v>635</v>
      </c>
      <c r="I1222" t="s">
        <v>43</v>
      </c>
      <c r="N1222">
        <v>477</v>
      </c>
      <c r="O1222">
        <v>0</v>
      </c>
      <c r="P1222">
        <v>0</v>
      </c>
      <c r="Q1222" t="s">
        <v>44</v>
      </c>
      <c r="R1222">
        <v>120</v>
      </c>
      <c r="S1222" t="s">
        <v>44</v>
      </c>
      <c r="T1222" t="s">
        <v>44</v>
      </c>
      <c r="U1222" t="s">
        <v>44</v>
      </c>
      <c r="V1222">
        <v>17</v>
      </c>
      <c r="W1222" t="s">
        <v>44</v>
      </c>
      <c r="X1222" t="s">
        <v>44</v>
      </c>
      <c r="Y1222">
        <v>17</v>
      </c>
      <c r="Z1222" t="s">
        <v>44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17</v>
      </c>
      <c r="AQ1222">
        <f t="shared" si="43"/>
        <v>17</v>
      </c>
      <c r="AR1222" s="5">
        <f>VLOOKUP(F1222,'[1]Cost Sheet'!$C:$D,2,0)</f>
        <v>79.066666666666677</v>
      </c>
      <c r="AS1222" s="5">
        <f t="shared" si="44"/>
        <v>1344.1333333333334</v>
      </c>
    </row>
    <row r="1223" spans="1:45" x14ac:dyDescent="0.3">
      <c r="A1223" s="1">
        <v>45900.963194444441</v>
      </c>
      <c r="B1223" t="s">
        <v>1463</v>
      </c>
      <c r="C1223" t="s">
        <v>1464</v>
      </c>
      <c r="D1223" t="s">
        <v>1067</v>
      </c>
      <c r="E1223" t="s">
        <v>1067</v>
      </c>
      <c r="F1223" t="s">
        <v>1983</v>
      </c>
      <c r="G1223" t="s">
        <v>1068</v>
      </c>
      <c r="H1223" t="s">
        <v>635</v>
      </c>
      <c r="I1223" t="s">
        <v>43</v>
      </c>
      <c r="N1223">
        <v>411</v>
      </c>
      <c r="O1223">
        <v>0</v>
      </c>
      <c r="P1223">
        <v>0</v>
      </c>
      <c r="Q1223" t="s">
        <v>44</v>
      </c>
      <c r="R1223">
        <v>125</v>
      </c>
      <c r="S1223" t="s">
        <v>44</v>
      </c>
      <c r="T1223" t="s">
        <v>44</v>
      </c>
      <c r="U1223" t="s">
        <v>44</v>
      </c>
      <c r="V1223">
        <v>19</v>
      </c>
      <c r="W1223" t="s">
        <v>44</v>
      </c>
      <c r="X1223" t="s">
        <v>44</v>
      </c>
      <c r="Y1223">
        <v>19</v>
      </c>
      <c r="Z1223" t="s">
        <v>44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19</v>
      </c>
      <c r="AQ1223">
        <f t="shared" si="43"/>
        <v>19</v>
      </c>
      <c r="AR1223" s="5">
        <f>VLOOKUP(F1223,'[1]Cost Sheet'!$C:$D,2,0)</f>
        <v>77.84</v>
      </c>
      <c r="AS1223" s="5">
        <f t="shared" si="44"/>
        <v>1478.96</v>
      </c>
    </row>
    <row r="1224" spans="1:45" x14ac:dyDescent="0.3">
      <c r="A1224" s="1">
        <v>45900.963194444441</v>
      </c>
      <c r="B1224" t="s">
        <v>1463</v>
      </c>
      <c r="C1224" t="s">
        <v>1464</v>
      </c>
      <c r="D1224" t="s">
        <v>1069</v>
      </c>
      <c r="E1224" t="s">
        <v>1069</v>
      </c>
      <c r="F1224" t="s">
        <v>1984</v>
      </c>
      <c r="G1224" t="s">
        <v>1070</v>
      </c>
      <c r="H1224" t="s">
        <v>635</v>
      </c>
      <c r="I1224" t="s">
        <v>43</v>
      </c>
      <c r="N1224">
        <v>397</v>
      </c>
      <c r="O1224">
        <v>0</v>
      </c>
      <c r="P1224">
        <v>0</v>
      </c>
      <c r="Q1224" t="s">
        <v>44</v>
      </c>
      <c r="R1224">
        <v>92</v>
      </c>
      <c r="S1224" t="s">
        <v>44</v>
      </c>
      <c r="T1224" t="s">
        <v>44</v>
      </c>
      <c r="U1224" t="s">
        <v>44</v>
      </c>
      <c r="V1224">
        <v>2</v>
      </c>
      <c r="W1224" t="s">
        <v>44</v>
      </c>
      <c r="X1224" t="s">
        <v>44</v>
      </c>
      <c r="Y1224">
        <v>2</v>
      </c>
      <c r="Z1224" t="s">
        <v>44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2</v>
      </c>
      <c r="AQ1224">
        <f t="shared" si="43"/>
        <v>2</v>
      </c>
      <c r="AR1224" s="5">
        <f>VLOOKUP(F1224,'[1]Cost Sheet'!$C:$D,2,0)</f>
        <v>78.760000000000005</v>
      </c>
      <c r="AS1224" s="5">
        <f t="shared" si="44"/>
        <v>157.52000000000001</v>
      </c>
    </row>
    <row r="1225" spans="1:45" x14ac:dyDescent="0.3">
      <c r="A1225" s="1">
        <v>45900.963194444441</v>
      </c>
      <c r="B1225" t="s">
        <v>1463</v>
      </c>
      <c r="C1225" t="s">
        <v>1464</v>
      </c>
      <c r="D1225" t="s">
        <v>1071</v>
      </c>
      <c r="E1225" t="s">
        <v>1071</v>
      </c>
      <c r="F1225" t="s">
        <v>1985</v>
      </c>
      <c r="G1225" t="s">
        <v>1072</v>
      </c>
      <c r="H1225" t="s">
        <v>635</v>
      </c>
      <c r="I1225" t="s">
        <v>43</v>
      </c>
      <c r="N1225">
        <v>418</v>
      </c>
      <c r="O1225">
        <v>1</v>
      </c>
      <c r="P1225">
        <v>0</v>
      </c>
      <c r="Q1225" t="s">
        <v>44</v>
      </c>
      <c r="R1225">
        <v>82</v>
      </c>
      <c r="S1225" t="s">
        <v>44</v>
      </c>
      <c r="T1225" t="s">
        <v>44</v>
      </c>
      <c r="U1225" t="s">
        <v>44</v>
      </c>
      <c r="V1225">
        <v>9</v>
      </c>
      <c r="W1225" t="s">
        <v>44</v>
      </c>
      <c r="X1225" t="s">
        <v>44</v>
      </c>
      <c r="Y1225">
        <v>9</v>
      </c>
      <c r="Z1225" t="s">
        <v>44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10</v>
      </c>
      <c r="AQ1225">
        <f t="shared" si="43"/>
        <v>10</v>
      </c>
      <c r="AR1225" s="5">
        <f>VLOOKUP(F1225,'[1]Cost Sheet'!$C:$D,2,0)</f>
        <v>77.84</v>
      </c>
      <c r="AS1225" s="5">
        <f t="shared" si="44"/>
        <v>778.40000000000009</v>
      </c>
    </row>
    <row r="1226" spans="1:45" x14ac:dyDescent="0.3">
      <c r="A1226" s="1">
        <v>45900.963194444441</v>
      </c>
      <c r="B1226" t="s">
        <v>1463</v>
      </c>
      <c r="C1226" t="s">
        <v>1464</v>
      </c>
      <c r="D1226" t="s">
        <v>1073</v>
      </c>
      <c r="E1226" t="s">
        <v>1073</v>
      </c>
      <c r="F1226" t="s">
        <v>1986</v>
      </c>
      <c r="G1226" t="s">
        <v>1074</v>
      </c>
      <c r="H1226" t="s">
        <v>635</v>
      </c>
      <c r="I1226" t="s">
        <v>43</v>
      </c>
      <c r="N1226">
        <v>512</v>
      </c>
      <c r="O1226">
        <v>0</v>
      </c>
      <c r="P1226">
        <v>0</v>
      </c>
      <c r="Q1226" t="s">
        <v>44</v>
      </c>
      <c r="R1226">
        <v>95</v>
      </c>
      <c r="S1226" t="s">
        <v>44</v>
      </c>
      <c r="T1226" t="s">
        <v>44</v>
      </c>
      <c r="U1226" t="s">
        <v>44</v>
      </c>
      <c r="V1226">
        <v>59</v>
      </c>
      <c r="W1226" t="s">
        <v>44</v>
      </c>
      <c r="X1226" t="s">
        <v>44</v>
      </c>
      <c r="Y1226">
        <v>59</v>
      </c>
      <c r="Z1226" t="s">
        <v>44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59</v>
      </c>
      <c r="AQ1226">
        <f t="shared" si="43"/>
        <v>59</v>
      </c>
      <c r="AR1226" s="5">
        <f>VLOOKUP(F1226,'[1]Cost Sheet'!$C:$D,2,0)</f>
        <v>79.679999999999993</v>
      </c>
      <c r="AS1226" s="5">
        <f t="shared" si="44"/>
        <v>4701.12</v>
      </c>
    </row>
    <row r="1227" spans="1:45" x14ac:dyDescent="0.3">
      <c r="A1227" s="1">
        <v>45900.963194444441</v>
      </c>
      <c r="B1227" t="s">
        <v>1463</v>
      </c>
      <c r="C1227" t="s">
        <v>1464</v>
      </c>
      <c r="D1227" t="s">
        <v>1075</v>
      </c>
      <c r="E1227" t="s">
        <v>1075</v>
      </c>
      <c r="F1227" t="s">
        <v>1987</v>
      </c>
      <c r="G1227" t="s">
        <v>1076</v>
      </c>
      <c r="H1227" t="s">
        <v>635</v>
      </c>
      <c r="I1227" t="s">
        <v>43</v>
      </c>
      <c r="N1227">
        <v>326</v>
      </c>
      <c r="O1227">
        <v>0</v>
      </c>
      <c r="P1227">
        <v>0</v>
      </c>
      <c r="Q1227" t="s">
        <v>44</v>
      </c>
      <c r="R1227">
        <v>80</v>
      </c>
      <c r="S1227" t="s">
        <v>44</v>
      </c>
      <c r="T1227" t="s">
        <v>44</v>
      </c>
      <c r="U1227" t="s">
        <v>44</v>
      </c>
      <c r="V1227">
        <v>16</v>
      </c>
      <c r="W1227" t="s">
        <v>44</v>
      </c>
      <c r="X1227" t="s">
        <v>44</v>
      </c>
      <c r="Y1227">
        <v>16</v>
      </c>
      <c r="Z1227" t="s">
        <v>44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16</v>
      </c>
      <c r="AQ1227">
        <f t="shared" si="43"/>
        <v>16</v>
      </c>
      <c r="AR1227" s="5">
        <f>VLOOKUP(F1227,'[1]Cost Sheet'!$C:$D,2,0)</f>
        <v>87.9</v>
      </c>
      <c r="AS1227" s="5">
        <f t="shared" si="44"/>
        <v>1406.4</v>
      </c>
    </row>
    <row r="1228" spans="1:45" x14ac:dyDescent="0.3">
      <c r="A1228" s="1">
        <v>45900.963194444441</v>
      </c>
      <c r="B1228" t="s">
        <v>1463</v>
      </c>
      <c r="C1228" t="s">
        <v>1464</v>
      </c>
      <c r="D1228" t="s">
        <v>1077</v>
      </c>
      <c r="E1228" t="s">
        <v>1077</v>
      </c>
      <c r="F1228" t="s">
        <v>1988</v>
      </c>
      <c r="G1228" t="s">
        <v>1078</v>
      </c>
      <c r="H1228" t="s">
        <v>635</v>
      </c>
      <c r="I1228" t="s">
        <v>43</v>
      </c>
      <c r="J1228">
        <v>2.5</v>
      </c>
      <c r="K1228">
        <v>19</v>
      </c>
      <c r="L1228">
        <v>10</v>
      </c>
      <c r="M1228">
        <v>11</v>
      </c>
      <c r="N1228">
        <v>177</v>
      </c>
      <c r="O1228">
        <v>0</v>
      </c>
      <c r="P1228">
        <v>0</v>
      </c>
      <c r="Q1228" t="s">
        <v>44</v>
      </c>
      <c r="R1228">
        <v>28</v>
      </c>
      <c r="S1228" t="s">
        <v>44</v>
      </c>
      <c r="T1228" t="s">
        <v>44</v>
      </c>
      <c r="U1228" t="s">
        <v>44</v>
      </c>
      <c r="V1228">
        <v>29</v>
      </c>
      <c r="W1228" t="s">
        <v>44</v>
      </c>
      <c r="X1228" t="s">
        <v>44</v>
      </c>
      <c r="Y1228">
        <v>29</v>
      </c>
      <c r="Z1228" t="s">
        <v>44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29</v>
      </c>
      <c r="AQ1228">
        <f t="shared" si="43"/>
        <v>29</v>
      </c>
      <c r="AR1228" s="5">
        <f>VLOOKUP(F1228,'[1]Cost Sheet'!$C:$D,2,0)</f>
        <v>87.9</v>
      </c>
      <c r="AS1228" s="5">
        <f t="shared" si="44"/>
        <v>2549.1000000000004</v>
      </c>
    </row>
    <row r="1229" spans="1:45" x14ac:dyDescent="0.3">
      <c r="A1229" s="1">
        <v>45900.963194444441</v>
      </c>
      <c r="B1229" t="s">
        <v>1463</v>
      </c>
      <c r="C1229" t="s">
        <v>1464</v>
      </c>
      <c r="D1229" t="s">
        <v>1079</v>
      </c>
      <c r="E1229" t="s">
        <v>1079</v>
      </c>
      <c r="F1229" t="s">
        <v>1989</v>
      </c>
      <c r="G1229" t="s">
        <v>1080</v>
      </c>
      <c r="H1229" t="s">
        <v>635</v>
      </c>
      <c r="I1229" t="s">
        <v>43</v>
      </c>
      <c r="N1229">
        <v>450</v>
      </c>
      <c r="O1229">
        <v>0</v>
      </c>
      <c r="P1229">
        <v>0</v>
      </c>
      <c r="Q1229" t="s">
        <v>44</v>
      </c>
      <c r="R1229">
        <v>124</v>
      </c>
      <c r="S1229" t="s">
        <v>44</v>
      </c>
      <c r="T1229" t="s">
        <v>44</v>
      </c>
      <c r="U1229" t="s">
        <v>44</v>
      </c>
      <c r="V1229">
        <v>11</v>
      </c>
      <c r="W1229" t="s">
        <v>44</v>
      </c>
      <c r="X1229" t="s">
        <v>44</v>
      </c>
      <c r="Y1229">
        <v>11</v>
      </c>
      <c r="Z1229" t="s">
        <v>44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11</v>
      </c>
      <c r="AQ1229">
        <f t="shared" si="43"/>
        <v>11</v>
      </c>
      <c r="AR1229" s="5">
        <f>VLOOKUP(F1229,'[1]Cost Sheet'!$C:$D,2,0)</f>
        <v>87.899999999999991</v>
      </c>
      <c r="AS1229" s="5">
        <f t="shared" si="44"/>
        <v>966.89999999999986</v>
      </c>
    </row>
    <row r="1230" spans="1:45" x14ac:dyDescent="0.3">
      <c r="A1230" s="1">
        <v>45900.963194444441</v>
      </c>
      <c r="B1230" t="s">
        <v>1463</v>
      </c>
      <c r="C1230" t="s">
        <v>1464</v>
      </c>
      <c r="D1230" t="s">
        <v>1083</v>
      </c>
      <c r="E1230" t="s">
        <v>1083</v>
      </c>
      <c r="F1230" t="s">
        <v>1991</v>
      </c>
      <c r="G1230" t="s">
        <v>1084</v>
      </c>
      <c r="H1230" t="s">
        <v>635</v>
      </c>
      <c r="I1230" t="s">
        <v>43</v>
      </c>
      <c r="N1230">
        <v>410</v>
      </c>
      <c r="O1230">
        <v>0</v>
      </c>
      <c r="P1230">
        <v>0</v>
      </c>
      <c r="Q1230" t="s">
        <v>44</v>
      </c>
      <c r="R1230">
        <v>33</v>
      </c>
      <c r="S1230" t="s">
        <v>44</v>
      </c>
      <c r="T1230" t="s">
        <v>44</v>
      </c>
      <c r="U1230" t="s">
        <v>44</v>
      </c>
      <c r="V1230">
        <v>12</v>
      </c>
      <c r="W1230" t="s">
        <v>44</v>
      </c>
      <c r="X1230" t="s">
        <v>44</v>
      </c>
      <c r="Y1230">
        <v>12</v>
      </c>
      <c r="Z1230" t="s">
        <v>44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12</v>
      </c>
      <c r="AQ1230">
        <f t="shared" si="43"/>
        <v>12</v>
      </c>
      <c r="AR1230" s="5">
        <f>VLOOKUP(F1230,'[1]Cost Sheet'!$C:$D,2,0)</f>
        <v>94.559999999999988</v>
      </c>
      <c r="AS1230" s="5">
        <f t="shared" si="44"/>
        <v>1134.7199999999998</v>
      </c>
    </row>
    <row r="1231" spans="1:45" x14ac:dyDescent="0.3">
      <c r="A1231" s="1">
        <v>45900.963194444441</v>
      </c>
      <c r="B1231" t="s">
        <v>1463</v>
      </c>
      <c r="C1231" t="s">
        <v>1464</v>
      </c>
      <c r="D1231" t="s">
        <v>1085</v>
      </c>
      <c r="E1231" t="s">
        <v>1085</v>
      </c>
      <c r="F1231" t="s">
        <v>1992</v>
      </c>
      <c r="G1231" t="s">
        <v>1086</v>
      </c>
      <c r="H1231" t="s">
        <v>635</v>
      </c>
      <c r="I1231" t="s">
        <v>43</v>
      </c>
      <c r="N1231">
        <v>667</v>
      </c>
      <c r="O1231">
        <v>1</v>
      </c>
      <c r="P1231">
        <v>0</v>
      </c>
      <c r="Q1231" t="s">
        <v>44</v>
      </c>
      <c r="R1231">
        <v>205</v>
      </c>
      <c r="S1231" t="s">
        <v>44</v>
      </c>
      <c r="T1231" t="s">
        <v>44</v>
      </c>
      <c r="U1231" t="s">
        <v>44</v>
      </c>
      <c r="V1231">
        <v>67</v>
      </c>
      <c r="W1231" t="s">
        <v>44</v>
      </c>
      <c r="X1231" t="s">
        <v>44</v>
      </c>
      <c r="Y1231">
        <v>67</v>
      </c>
      <c r="Z1231" t="s">
        <v>44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68</v>
      </c>
      <c r="AQ1231">
        <f t="shared" si="43"/>
        <v>68</v>
      </c>
      <c r="AR1231" s="5">
        <f>VLOOKUP(F1231,'[1]Cost Sheet'!$C:$D,2,0)</f>
        <v>83.794500000000028</v>
      </c>
      <c r="AS1231" s="5">
        <f t="shared" si="44"/>
        <v>5698.0260000000017</v>
      </c>
    </row>
    <row r="1232" spans="1:45" x14ac:dyDescent="0.3">
      <c r="A1232" s="1">
        <v>45900.963194444441</v>
      </c>
      <c r="B1232" t="s">
        <v>1463</v>
      </c>
      <c r="C1232" t="s">
        <v>1464</v>
      </c>
      <c r="D1232" t="s">
        <v>1385</v>
      </c>
      <c r="E1232" t="s">
        <v>1385</v>
      </c>
      <c r="F1232" t="s">
        <v>2139</v>
      </c>
      <c r="G1232" t="s">
        <v>1386</v>
      </c>
      <c r="H1232" t="s">
        <v>635</v>
      </c>
      <c r="I1232" t="s">
        <v>43</v>
      </c>
      <c r="N1232">
        <v>331</v>
      </c>
      <c r="O1232">
        <v>0</v>
      </c>
      <c r="P1232">
        <v>0</v>
      </c>
      <c r="Q1232" t="s">
        <v>44</v>
      </c>
      <c r="R1232">
        <v>53</v>
      </c>
      <c r="S1232" t="s">
        <v>44</v>
      </c>
      <c r="T1232" t="s">
        <v>44</v>
      </c>
      <c r="U1232" t="s">
        <v>44</v>
      </c>
      <c r="V1232">
        <v>34</v>
      </c>
      <c r="W1232" t="s">
        <v>44</v>
      </c>
      <c r="X1232" t="s">
        <v>44</v>
      </c>
      <c r="Y1232">
        <v>34</v>
      </c>
      <c r="Z1232" t="s">
        <v>44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34</v>
      </c>
      <c r="AQ1232">
        <f t="shared" si="43"/>
        <v>34</v>
      </c>
      <c r="AR1232" s="5">
        <f>VLOOKUP(F1232,'[1]Cost Sheet'!$C:$D,2,0)</f>
        <v>150.74</v>
      </c>
      <c r="AS1232" s="5">
        <f t="shared" si="44"/>
        <v>5125.16</v>
      </c>
    </row>
    <row r="1233" spans="1:45" x14ac:dyDescent="0.3">
      <c r="A1233" s="1">
        <v>45900.963194444441</v>
      </c>
      <c r="B1233" t="s">
        <v>1463</v>
      </c>
      <c r="C1233" t="s">
        <v>1464</v>
      </c>
      <c r="D1233" t="s">
        <v>1091</v>
      </c>
      <c r="E1233" t="s">
        <v>1091</v>
      </c>
      <c r="F1233" t="s">
        <v>1995</v>
      </c>
      <c r="G1233" t="s">
        <v>1092</v>
      </c>
      <c r="H1233" t="s">
        <v>635</v>
      </c>
      <c r="I1233" t="s">
        <v>43</v>
      </c>
      <c r="N1233">
        <v>529</v>
      </c>
      <c r="O1233">
        <v>0</v>
      </c>
      <c r="P1233">
        <v>0</v>
      </c>
      <c r="Q1233" t="s">
        <v>44</v>
      </c>
      <c r="R1233">
        <v>90</v>
      </c>
      <c r="S1233" t="s">
        <v>44</v>
      </c>
      <c r="T1233" t="s">
        <v>44</v>
      </c>
      <c r="U1233" t="s">
        <v>44</v>
      </c>
      <c r="V1233">
        <v>26</v>
      </c>
      <c r="W1233" t="s">
        <v>44</v>
      </c>
      <c r="X1233" t="s">
        <v>44</v>
      </c>
      <c r="Y1233">
        <v>26</v>
      </c>
      <c r="Z1233" t="s">
        <v>44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26</v>
      </c>
      <c r="AQ1233">
        <f t="shared" si="43"/>
        <v>26</v>
      </c>
      <c r="AR1233" s="5">
        <f>VLOOKUP(F1233,'[1]Cost Sheet'!$C:$D,2,0)</f>
        <v>61.75</v>
      </c>
      <c r="AS1233" s="5">
        <f t="shared" si="44"/>
        <v>1605.5</v>
      </c>
    </row>
    <row r="1234" spans="1:45" x14ac:dyDescent="0.3">
      <c r="A1234" s="1">
        <v>45900.963194444441</v>
      </c>
      <c r="B1234" t="s">
        <v>1463</v>
      </c>
      <c r="C1234" t="s">
        <v>1464</v>
      </c>
      <c r="D1234" t="s">
        <v>1095</v>
      </c>
      <c r="E1234" t="s">
        <v>1095</v>
      </c>
      <c r="F1234" t="s">
        <v>1997</v>
      </c>
      <c r="G1234" t="s">
        <v>1096</v>
      </c>
      <c r="H1234" t="s">
        <v>635</v>
      </c>
      <c r="I1234" t="s">
        <v>43</v>
      </c>
      <c r="N1234">
        <v>692</v>
      </c>
      <c r="O1234">
        <v>0</v>
      </c>
      <c r="P1234">
        <v>0</v>
      </c>
      <c r="Q1234" t="s">
        <v>44</v>
      </c>
      <c r="R1234">
        <v>157</v>
      </c>
      <c r="S1234" t="s">
        <v>44</v>
      </c>
      <c r="T1234" t="s">
        <v>44</v>
      </c>
      <c r="U1234" t="s">
        <v>44</v>
      </c>
      <c r="V1234">
        <v>5</v>
      </c>
      <c r="W1234" t="s">
        <v>44</v>
      </c>
      <c r="X1234" t="s">
        <v>44</v>
      </c>
      <c r="Y1234">
        <v>5</v>
      </c>
      <c r="Z1234" t="s">
        <v>44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5</v>
      </c>
      <c r="AQ1234">
        <f t="shared" ref="AQ1234:AQ1284" si="45">O1234+P1234+V1234+AA1234</f>
        <v>5</v>
      </c>
      <c r="AR1234" s="5">
        <f>VLOOKUP(F1234,'[1]Cost Sheet'!$C:$D,2,0)</f>
        <v>50.06</v>
      </c>
      <c r="AS1234" s="5">
        <f t="shared" si="44"/>
        <v>250.3</v>
      </c>
    </row>
    <row r="1235" spans="1:45" x14ac:dyDescent="0.3">
      <c r="A1235" s="1">
        <v>45900.963194444441</v>
      </c>
      <c r="B1235" t="s">
        <v>1463</v>
      </c>
      <c r="C1235" t="s">
        <v>1464</v>
      </c>
      <c r="D1235" t="s">
        <v>442</v>
      </c>
      <c r="F1235" t="s">
        <v>1676</v>
      </c>
      <c r="G1235" t="s">
        <v>443</v>
      </c>
      <c r="H1235" t="s">
        <v>103</v>
      </c>
      <c r="I1235" t="s">
        <v>43</v>
      </c>
      <c r="J1235">
        <v>236.02</v>
      </c>
      <c r="K1235">
        <v>19</v>
      </c>
      <c r="L1235">
        <v>10</v>
      </c>
      <c r="M1235">
        <v>11</v>
      </c>
      <c r="N1235">
        <v>23763</v>
      </c>
      <c r="O1235">
        <v>30</v>
      </c>
      <c r="P1235">
        <v>0</v>
      </c>
      <c r="Q1235">
        <v>2</v>
      </c>
      <c r="R1235" t="s">
        <v>44</v>
      </c>
      <c r="S1235" t="s">
        <v>44</v>
      </c>
      <c r="T1235" t="s">
        <v>44</v>
      </c>
      <c r="U1235" t="s">
        <v>44</v>
      </c>
      <c r="V1235">
        <v>37</v>
      </c>
      <c r="W1235">
        <v>8</v>
      </c>
      <c r="X1235" t="s">
        <v>44</v>
      </c>
      <c r="Y1235">
        <v>37</v>
      </c>
      <c r="Z1235" t="s">
        <v>44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67</v>
      </c>
      <c r="AQ1235">
        <f t="shared" si="45"/>
        <v>67</v>
      </c>
      <c r="AR1235" s="5">
        <f>VLOOKUP(F1235,'[2]SCP_24-25'!$A:$D,4,0)</f>
        <v>57.620000000000005</v>
      </c>
      <c r="AS1235" s="5">
        <f t="shared" si="44"/>
        <v>3860.5400000000004</v>
      </c>
    </row>
    <row r="1236" spans="1:45" x14ac:dyDescent="0.3">
      <c r="A1236" s="1">
        <v>45900.963194444441</v>
      </c>
      <c r="B1236" t="s">
        <v>1463</v>
      </c>
      <c r="C1236" t="s">
        <v>1464</v>
      </c>
      <c r="D1236" t="s">
        <v>1337</v>
      </c>
      <c r="F1236" t="s">
        <v>2118</v>
      </c>
      <c r="G1236" t="s">
        <v>1338</v>
      </c>
      <c r="H1236" t="s">
        <v>103</v>
      </c>
      <c r="I1236" t="s">
        <v>43</v>
      </c>
      <c r="J1236">
        <v>217.02</v>
      </c>
      <c r="K1236">
        <v>19</v>
      </c>
      <c r="L1236">
        <v>10</v>
      </c>
      <c r="M1236">
        <v>11</v>
      </c>
      <c r="N1236">
        <v>301646</v>
      </c>
      <c r="O1236">
        <v>587</v>
      </c>
      <c r="P1236">
        <v>0</v>
      </c>
      <c r="Q1236">
        <v>6872</v>
      </c>
      <c r="R1236">
        <v>3</v>
      </c>
      <c r="S1236" t="s">
        <v>44</v>
      </c>
      <c r="T1236">
        <v>48</v>
      </c>
      <c r="U1236" t="s">
        <v>44</v>
      </c>
      <c r="V1236">
        <v>0</v>
      </c>
      <c r="W1236">
        <v>238</v>
      </c>
      <c r="X1236" t="s">
        <v>44</v>
      </c>
      <c r="Y1236" t="s">
        <v>44</v>
      </c>
      <c r="Z1236" t="s">
        <v>44</v>
      </c>
      <c r="AA1236">
        <v>160</v>
      </c>
      <c r="AB1236">
        <v>0</v>
      </c>
      <c r="AC1236">
        <v>0</v>
      </c>
      <c r="AD1236">
        <v>0</v>
      </c>
      <c r="AE1236">
        <v>0</v>
      </c>
      <c r="AF1236">
        <v>107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747</v>
      </c>
      <c r="AQ1236">
        <f t="shared" si="45"/>
        <v>747</v>
      </c>
      <c r="AR1236" s="5">
        <f>VLOOKUP(F1236,'[2]SCP_24-25'!$A:$D,4,0)</f>
        <v>60.216666666666661</v>
      </c>
      <c r="AS1236" s="5">
        <f t="shared" si="44"/>
        <v>44981.85</v>
      </c>
    </row>
    <row r="1237" spans="1:45" x14ac:dyDescent="0.3">
      <c r="A1237" s="1">
        <v>45900.963194444441</v>
      </c>
      <c r="B1237" t="s">
        <v>1463</v>
      </c>
      <c r="C1237" t="s">
        <v>1464</v>
      </c>
      <c r="D1237" t="s">
        <v>1097</v>
      </c>
      <c r="E1237" t="s">
        <v>1097</v>
      </c>
      <c r="F1237" t="s">
        <v>1998</v>
      </c>
      <c r="G1237" t="s">
        <v>1098</v>
      </c>
      <c r="H1237" t="s">
        <v>635</v>
      </c>
      <c r="I1237" t="s">
        <v>43</v>
      </c>
      <c r="N1237">
        <v>277</v>
      </c>
      <c r="O1237">
        <v>0</v>
      </c>
      <c r="P1237">
        <v>0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>
        <v>59</v>
      </c>
      <c r="W1237" t="s">
        <v>44</v>
      </c>
      <c r="X1237" t="s">
        <v>44</v>
      </c>
      <c r="Y1237">
        <v>59</v>
      </c>
      <c r="Z1237" t="s">
        <v>44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59</v>
      </c>
      <c r="AQ1237">
        <f t="shared" si="45"/>
        <v>59</v>
      </c>
      <c r="AR1237" s="5">
        <f>VLOOKUP(F1237,'[1]Cost Sheet'!$C:$D,2,0)</f>
        <v>90.48</v>
      </c>
      <c r="AS1237" s="5">
        <f t="shared" si="44"/>
        <v>5338.3200000000006</v>
      </c>
    </row>
    <row r="1238" spans="1:45" x14ac:dyDescent="0.3">
      <c r="A1238" s="1">
        <v>45900.963194444441</v>
      </c>
      <c r="B1238" t="s">
        <v>1463</v>
      </c>
      <c r="C1238" t="s">
        <v>1464</v>
      </c>
      <c r="D1238" t="s">
        <v>692</v>
      </c>
      <c r="E1238" t="s">
        <v>692</v>
      </c>
      <c r="F1238" t="s">
        <v>1799</v>
      </c>
      <c r="G1238" t="s">
        <v>693</v>
      </c>
      <c r="H1238" t="s">
        <v>635</v>
      </c>
      <c r="I1238" t="s">
        <v>43</v>
      </c>
      <c r="J1238">
        <v>120</v>
      </c>
      <c r="K1238">
        <v>19</v>
      </c>
      <c r="L1238">
        <v>10</v>
      </c>
      <c r="M1238">
        <v>11</v>
      </c>
      <c r="N1238">
        <v>463</v>
      </c>
      <c r="O1238">
        <v>6</v>
      </c>
      <c r="P1238">
        <v>0</v>
      </c>
      <c r="Q1238" t="s">
        <v>44</v>
      </c>
      <c r="R1238">
        <v>129</v>
      </c>
      <c r="S1238" t="s">
        <v>44</v>
      </c>
      <c r="T1238" t="s">
        <v>44</v>
      </c>
      <c r="U1238" t="s">
        <v>44</v>
      </c>
      <c r="V1238">
        <v>84</v>
      </c>
      <c r="W1238" t="s">
        <v>44</v>
      </c>
      <c r="X1238" t="s">
        <v>44</v>
      </c>
      <c r="Y1238">
        <v>84</v>
      </c>
      <c r="Z1238" t="s">
        <v>44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90</v>
      </c>
      <c r="AQ1238">
        <f t="shared" si="45"/>
        <v>90</v>
      </c>
      <c r="AR1238" s="5">
        <f>VLOOKUP(F1238,'[1]Cost Sheet'!$C:$D,2,0)</f>
        <v>231.99</v>
      </c>
      <c r="AS1238" s="5">
        <f t="shared" si="44"/>
        <v>20879.100000000002</v>
      </c>
    </row>
    <row r="1239" spans="1:45" x14ac:dyDescent="0.3">
      <c r="A1239" s="1">
        <v>45900.963194444441</v>
      </c>
      <c r="B1239" t="s">
        <v>1463</v>
      </c>
      <c r="C1239" t="s">
        <v>1464</v>
      </c>
      <c r="D1239" t="s">
        <v>1099</v>
      </c>
      <c r="E1239" t="s">
        <v>1099</v>
      </c>
      <c r="F1239" t="s">
        <v>1999</v>
      </c>
      <c r="G1239" t="s">
        <v>1100</v>
      </c>
      <c r="H1239" t="s">
        <v>635</v>
      </c>
      <c r="I1239" t="s">
        <v>43</v>
      </c>
      <c r="J1239">
        <v>15</v>
      </c>
      <c r="K1239">
        <v>19</v>
      </c>
      <c r="L1239">
        <v>10</v>
      </c>
      <c r="M1239">
        <v>11</v>
      </c>
      <c r="N1239">
        <v>338</v>
      </c>
      <c r="O1239">
        <v>0</v>
      </c>
      <c r="P1239">
        <v>0</v>
      </c>
      <c r="Q1239" t="s">
        <v>44</v>
      </c>
      <c r="R1239">
        <v>89</v>
      </c>
      <c r="S1239" t="s">
        <v>44</v>
      </c>
      <c r="T1239" t="s">
        <v>44</v>
      </c>
      <c r="U1239" t="s">
        <v>44</v>
      </c>
      <c r="V1239">
        <v>65</v>
      </c>
      <c r="W1239" t="s">
        <v>44</v>
      </c>
      <c r="X1239" t="s">
        <v>44</v>
      </c>
      <c r="Y1239">
        <v>65</v>
      </c>
      <c r="Z1239" t="s">
        <v>44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65</v>
      </c>
      <c r="AQ1239">
        <f t="shared" si="45"/>
        <v>65</v>
      </c>
      <c r="AR1239" s="5">
        <f>VLOOKUP(F1239,'[1]Cost Sheet'!$C:$D,2,0)</f>
        <v>37.46</v>
      </c>
      <c r="AS1239" s="5">
        <f t="shared" si="44"/>
        <v>2434.9</v>
      </c>
    </row>
    <row r="1240" spans="1:45" x14ac:dyDescent="0.3">
      <c r="A1240" s="1">
        <v>45900.963194444441</v>
      </c>
      <c r="B1240" t="s">
        <v>1463</v>
      </c>
      <c r="C1240" t="s">
        <v>1464</v>
      </c>
      <c r="D1240" t="s">
        <v>694</v>
      </c>
      <c r="E1240" t="s">
        <v>694</v>
      </c>
      <c r="F1240" t="s">
        <v>1800</v>
      </c>
      <c r="G1240" t="s">
        <v>695</v>
      </c>
      <c r="H1240" t="s">
        <v>635</v>
      </c>
      <c r="I1240" t="s">
        <v>43</v>
      </c>
      <c r="J1240">
        <v>15</v>
      </c>
      <c r="K1240">
        <v>19</v>
      </c>
      <c r="L1240">
        <v>10</v>
      </c>
      <c r="M1240">
        <v>11</v>
      </c>
      <c r="N1240">
        <v>337</v>
      </c>
      <c r="O1240">
        <v>0</v>
      </c>
      <c r="P1240">
        <v>0</v>
      </c>
      <c r="Q1240" t="s">
        <v>44</v>
      </c>
      <c r="R1240">
        <v>96</v>
      </c>
      <c r="S1240" t="s">
        <v>44</v>
      </c>
      <c r="T1240" t="s">
        <v>44</v>
      </c>
      <c r="U1240" t="s">
        <v>44</v>
      </c>
      <c r="V1240">
        <v>63</v>
      </c>
      <c r="W1240" t="s">
        <v>44</v>
      </c>
      <c r="X1240" t="s">
        <v>44</v>
      </c>
      <c r="Y1240">
        <v>63</v>
      </c>
      <c r="Z1240" t="s">
        <v>44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63</v>
      </c>
      <c r="AQ1240">
        <f t="shared" si="45"/>
        <v>63</v>
      </c>
      <c r="AR1240" s="5">
        <f>VLOOKUP(F1240,'[1]Cost Sheet'!$C:$D,2,0)</f>
        <v>28.199999999999996</v>
      </c>
      <c r="AS1240" s="5">
        <f t="shared" si="44"/>
        <v>1776.5999999999997</v>
      </c>
    </row>
    <row r="1241" spans="1:45" x14ac:dyDescent="0.3">
      <c r="A1241" s="1">
        <v>45900.963194444441</v>
      </c>
      <c r="B1241" t="s">
        <v>1463</v>
      </c>
      <c r="C1241" t="s">
        <v>1464</v>
      </c>
      <c r="D1241" t="s">
        <v>696</v>
      </c>
      <c r="E1241" t="s">
        <v>696</v>
      </c>
      <c r="F1241" t="s">
        <v>1801</v>
      </c>
      <c r="G1241" t="s">
        <v>697</v>
      </c>
      <c r="H1241" t="s">
        <v>635</v>
      </c>
      <c r="I1241" t="s">
        <v>43</v>
      </c>
      <c r="J1241">
        <v>15</v>
      </c>
      <c r="K1241">
        <v>19</v>
      </c>
      <c r="L1241">
        <v>10</v>
      </c>
      <c r="M1241">
        <v>11</v>
      </c>
      <c r="N1241">
        <v>393</v>
      </c>
      <c r="O1241">
        <v>0</v>
      </c>
      <c r="P1241">
        <v>0</v>
      </c>
      <c r="Q1241" t="s">
        <v>44</v>
      </c>
      <c r="R1241">
        <v>117</v>
      </c>
      <c r="S1241" t="s">
        <v>44</v>
      </c>
      <c r="T1241" t="s">
        <v>44</v>
      </c>
      <c r="U1241" t="s">
        <v>44</v>
      </c>
      <c r="V1241">
        <v>57</v>
      </c>
      <c r="W1241" t="s">
        <v>44</v>
      </c>
      <c r="X1241" t="s">
        <v>44</v>
      </c>
      <c r="Y1241">
        <v>57</v>
      </c>
      <c r="Z1241" t="s">
        <v>44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57</v>
      </c>
      <c r="AQ1241">
        <f t="shared" si="45"/>
        <v>57</v>
      </c>
      <c r="AR1241" s="5">
        <f>VLOOKUP(F1241,'[1]Cost Sheet'!$C:$D,2,0)</f>
        <v>29.02</v>
      </c>
      <c r="AS1241" s="5">
        <f t="shared" si="44"/>
        <v>1654.1399999999999</v>
      </c>
    </row>
    <row r="1242" spans="1:45" x14ac:dyDescent="0.3">
      <c r="A1242" s="1">
        <v>45900.963194444441</v>
      </c>
      <c r="B1242" t="s">
        <v>1463</v>
      </c>
      <c r="C1242" t="s">
        <v>1464</v>
      </c>
      <c r="D1242" t="s">
        <v>1101</v>
      </c>
      <c r="E1242" t="s">
        <v>1101</v>
      </c>
      <c r="F1242" t="s">
        <v>2000</v>
      </c>
      <c r="G1242" t="s">
        <v>1102</v>
      </c>
      <c r="H1242" t="s">
        <v>635</v>
      </c>
      <c r="I1242" t="s">
        <v>43</v>
      </c>
      <c r="J1242">
        <v>35</v>
      </c>
      <c r="K1242">
        <v>19</v>
      </c>
      <c r="L1242">
        <v>10</v>
      </c>
      <c r="M1242">
        <v>11</v>
      </c>
      <c r="N1242">
        <v>682</v>
      </c>
      <c r="O1242">
        <v>0</v>
      </c>
      <c r="P1242">
        <v>0</v>
      </c>
      <c r="Q1242" t="s">
        <v>44</v>
      </c>
      <c r="R1242">
        <v>133</v>
      </c>
      <c r="S1242" t="s">
        <v>44</v>
      </c>
      <c r="T1242" t="s">
        <v>44</v>
      </c>
      <c r="U1242" t="s">
        <v>44</v>
      </c>
      <c r="V1242">
        <v>85</v>
      </c>
      <c r="W1242" t="s">
        <v>44</v>
      </c>
      <c r="X1242" t="s">
        <v>44</v>
      </c>
      <c r="Y1242">
        <v>85</v>
      </c>
      <c r="Z1242" t="s">
        <v>44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85</v>
      </c>
      <c r="AQ1242">
        <f t="shared" si="45"/>
        <v>85</v>
      </c>
      <c r="AR1242" s="5">
        <f>VLOOKUP(F1242,'[1]Cost Sheet'!$C:$D,2,0)</f>
        <v>45.279999999999994</v>
      </c>
      <c r="AS1242" s="5">
        <f t="shared" si="44"/>
        <v>3848.7999999999993</v>
      </c>
    </row>
    <row r="1243" spans="1:45" x14ac:dyDescent="0.3">
      <c r="A1243" s="1">
        <v>45900.963194444441</v>
      </c>
      <c r="B1243" t="s">
        <v>1463</v>
      </c>
      <c r="C1243" t="s">
        <v>1464</v>
      </c>
      <c r="D1243" t="s">
        <v>1103</v>
      </c>
      <c r="E1243" t="s">
        <v>1103</v>
      </c>
      <c r="F1243" t="s">
        <v>2001</v>
      </c>
      <c r="G1243" t="s">
        <v>1104</v>
      </c>
      <c r="H1243" t="s">
        <v>635</v>
      </c>
      <c r="I1243" t="s">
        <v>43</v>
      </c>
      <c r="J1243">
        <v>25</v>
      </c>
      <c r="K1243">
        <v>19</v>
      </c>
      <c r="L1243">
        <v>10</v>
      </c>
      <c r="M1243">
        <v>11</v>
      </c>
      <c r="N1243">
        <v>894</v>
      </c>
      <c r="O1243">
        <v>0</v>
      </c>
      <c r="P1243">
        <v>0</v>
      </c>
      <c r="Q1243" t="s">
        <v>44</v>
      </c>
      <c r="R1243">
        <v>116</v>
      </c>
      <c r="S1243" t="s">
        <v>44</v>
      </c>
      <c r="T1243" t="s">
        <v>44</v>
      </c>
      <c r="U1243" t="s">
        <v>44</v>
      </c>
      <c r="V1243">
        <v>68</v>
      </c>
      <c r="W1243" t="s">
        <v>44</v>
      </c>
      <c r="X1243" t="s">
        <v>44</v>
      </c>
      <c r="Y1243">
        <v>68</v>
      </c>
      <c r="Z1243" t="s">
        <v>44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68</v>
      </c>
      <c r="AQ1243">
        <f t="shared" si="45"/>
        <v>68</v>
      </c>
      <c r="AR1243" s="5">
        <f>VLOOKUP(F1243,'[1]Cost Sheet'!$C:$D,2,0)</f>
        <v>76.260909090909081</v>
      </c>
      <c r="AS1243" s="5">
        <f t="shared" si="44"/>
        <v>5185.7418181818175</v>
      </c>
    </row>
    <row r="1244" spans="1:45" x14ac:dyDescent="0.3">
      <c r="A1244" s="1">
        <v>45900.963194444441</v>
      </c>
      <c r="B1244" t="s">
        <v>1463</v>
      </c>
      <c r="C1244" t="s">
        <v>1464</v>
      </c>
      <c r="D1244" t="s">
        <v>1396</v>
      </c>
      <c r="E1244" t="s">
        <v>1396</v>
      </c>
      <c r="F1244" t="s">
        <v>2144</v>
      </c>
      <c r="G1244" t="s">
        <v>1397</v>
      </c>
      <c r="H1244" t="s">
        <v>635</v>
      </c>
      <c r="I1244" t="s">
        <v>43</v>
      </c>
      <c r="J1244">
        <v>35</v>
      </c>
      <c r="K1244">
        <v>19</v>
      </c>
      <c r="L1244">
        <v>10</v>
      </c>
      <c r="M1244">
        <v>11</v>
      </c>
      <c r="N1244">
        <v>1028</v>
      </c>
      <c r="O1244">
        <v>0</v>
      </c>
      <c r="P1244">
        <v>0</v>
      </c>
      <c r="Q1244" t="s">
        <v>44</v>
      </c>
      <c r="R1244">
        <v>99</v>
      </c>
      <c r="S1244" t="s">
        <v>44</v>
      </c>
      <c r="T1244" t="s">
        <v>44</v>
      </c>
      <c r="U1244" t="s">
        <v>44</v>
      </c>
      <c r="V1244">
        <v>3</v>
      </c>
      <c r="W1244" t="s">
        <v>44</v>
      </c>
      <c r="X1244" t="s">
        <v>44</v>
      </c>
      <c r="Y1244">
        <v>3</v>
      </c>
      <c r="Z1244" t="s">
        <v>44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3</v>
      </c>
      <c r="AQ1244">
        <f t="shared" si="45"/>
        <v>3</v>
      </c>
      <c r="AR1244" s="5">
        <f>VLOOKUP(F1244,'[1]Cost Sheet'!$C:$D,2,0)</f>
        <v>71.819000000000003</v>
      </c>
      <c r="AS1244" s="5">
        <f t="shared" si="44"/>
        <v>215.45699999999999</v>
      </c>
    </row>
    <row r="1245" spans="1:45" x14ac:dyDescent="0.3">
      <c r="A1245" s="1">
        <v>45900.963194444441</v>
      </c>
      <c r="B1245" t="s">
        <v>1463</v>
      </c>
      <c r="C1245" t="s">
        <v>1464</v>
      </c>
      <c r="D1245" t="s">
        <v>1109</v>
      </c>
      <c r="F1245" t="s">
        <v>2004</v>
      </c>
      <c r="G1245" t="s">
        <v>1110</v>
      </c>
      <c r="H1245" t="s">
        <v>66</v>
      </c>
      <c r="I1245" t="s">
        <v>43</v>
      </c>
      <c r="J1245">
        <v>111</v>
      </c>
      <c r="K1245">
        <v>19</v>
      </c>
      <c r="L1245">
        <v>11</v>
      </c>
      <c r="M1245">
        <v>10</v>
      </c>
      <c r="N1245">
        <v>2513</v>
      </c>
      <c r="O1245">
        <v>16</v>
      </c>
      <c r="P1245">
        <v>0</v>
      </c>
      <c r="Q1245">
        <v>1</v>
      </c>
      <c r="R1245" t="s">
        <v>44</v>
      </c>
      <c r="S1245" t="s">
        <v>44</v>
      </c>
      <c r="T1245" t="s">
        <v>44</v>
      </c>
      <c r="U1245" t="s">
        <v>44</v>
      </c>
      <c r="V1245">
        <v>6</v>
      </c>
      <c r="W1245">
        <v>2</v>
      </c>
      <c r="X1245" t="s">
        <v>44</v>
      </c>
      <c r="Y1245">
        <v>6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22</v>
      </c>
      <c r="AQ1245">
        <f t="shared" si="45"/>
        <v>22</v>
      </c>
      <c r="AR1245" s="5">
        <f>VLOOKUP(F1245,'[2]SCP_24-25'!$A:$D,4,0)</f>
        <v>424.71</v>
      </c>
      <c r="AS1245" s="5">
        <f t="shared" si="44"/>
        <v>9343.619999999999</v>
      </c>
    </row>
    <row r="1246" spans="1:45" x14ac:dyDescent="0.3">
      <c r="A1246" s="1">
        <v>45900.963194444441</v>
      </c>
      <c r="B1246" t="s">
        <v>1463</v>
      </c>
      <c r="C1246" t="s">
        <v>1464</v>
      </c>
      <c r="D1246" t="s">
        <v>1111</v>
      </c>
      <c r="F1246" t="s">
        <v>2005</v>
      </c>
      <c r="G1246" t="s">
        <v>1112</v>
      </c>
      <c r="H1246" t="s">
        <v>120</v>
      </c>
      <c r="I1246" t="s">
        <v>43</v>
      </c>
      <c r="J1246">
        <v>50</v>
      </c>
      <c r="K1246">
        <v>19</v>
      </c>
      <c r="L1246">
        <v>10</v>
      </c>
      <c r="M1246">
        <v>11</v>
      </c>
      <c r="N1246">
        <v>1002</v>
      </c>
      <c r="O1246">
        <v>0</v>
      </c>
      <c r="P1246">
        <v>0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>
        <v>2</v>
      </c>
      <c r="W1246" t="s">
        <v>44</v>
      </c>
      <c r="X1246" t="s">
        <v>44</v>
      </c>
      <c r="Y1246">
        <v>2</v>
      </c>
      <c r="Z1246" t="s">
        <v>44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2</v>
      </c>
      <c r="AQ1246">
        <f t="shared" si="45"/>
        <v>2</v>
      </c>
      <c r="AR1246" s="5">
        <f>VLOOKUP(F1246,'[2]SCP_24-25'!$A:$D,4,0)</f>
        <v>120</v>
      </c>
      <c r="AS1246" s="5">
        <f t="shared" si="44"/>
        <v>240</v>
      </c>
    </row>
    <row r="1247" spans="1:45" x14ac:dyDescent="0.3">
      <c r="A1247" s="1">
        <v>45900.963194444441</v>
      </c>
      <c r="B1247" t="s">
        <v>1463</v>
      </c>
      <c r="C1247" t="s">
        <v>1464</v>
      </c>
      <c r="D1247" t="s">
        <v>449</v>
      </c>
      <c r="F1247" t="s">
        <v>1679</v>
      </c>
      <c r="G1247" t="s">
        <v>450</v>
      </c>
      <c r="H1247" t="s">
        <v>130</v>
      </c>
      <c r="I1247" t="s">
        <v>43</v>
      </c>
      <c r="J1247">
        <v>125</v>
      </c>
      <c r="K1247">
        <v>19</v>
      </c>
      <c r="L1247">
        <v>10</v>
      </c>
      <c r="M1247">
        <v>11</v>
      </c>
      <c r="N1247">
        <v>3042</v>
      </c>
      <c r="O1247">
        <v>5</v>
      </c>
      <c r="P1247">
        <v>0</v>
      </c>
      <c r="Q1247">
        <v>1</v>
      </c>
      <c r="R1247" t="s">
        <v>44</v>
      </c>
      <c r="S1247" t="s">
        <v>44</v>
      </c>
      <c r="T1247" t="s">
        <v>44</v>
      </c>
      <c r="U1247" t="s">
        <v>44</v>
      </c>
      <c r="V1247">
        <v>96</v>
      </c>
      <c r="W1247">
        <v>3</v>
      </c>
      <c r="X1247" t="s">
        <v>44</v>
      </c>
      <c r="Y1247">
        <v>96</v>
      </c>
      <c r="Z1247" t="s">
        <v>44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102</v>
      </c>
      <c r="AQ1247">
        <f t="shared" si="45"/>
        <v>102</v>
      </c>
      <c r="AR1247" s="5">
        <f>VLOOKUP(F1247,'[2]SCP_24-25'!$A:$D,4,0)</f>
        <v>168.55</v>
      </c>
      <c r="AS1247" s="5">
        <f t="shared" si="44"/>
        <v>17192.100000000002</v>
      </c>
    </row>
    <row r="1248" spans="1:45" x14ac:dyDescent="0.3">
      <c r="A1248" s="1">
        <v>45900.963194444441</v>
      </c>
      <c r="B1248" t="s">
        <v>1463</v>
      </c>
      <c r="C1248" t="s">
        <v>1464</v>
      </c>
      <c r="D1248" t="s">
        <v>578</v>
      </c>
      <c r="F1248" t="s">
        <v>1743</v>
      </c>
      <c r="G1248" t="s">
        <v>579</v>
      </c>
      <c r="H1248" t="s">
        <v>130</v>
      </c>
      <c r="I1248" t="s">
        <v>43</v>
      </c>
      <c r="J1248">
        <v>40.020000000000003</v>
      </c>
      <c r="K1248">
        <v>19</v>
      </c>
      <c r="L1248">
        <v>10</v>
      </c>
      <c r="M1248">
        <v>11</v>
      </c>
      <c r="N1248">
        <v>5155</v>
      </c>
      <c r="O1248">
        <v>22</v>
      </c>
      <c r="P1248">
        <v>0</v>
      </c>
      <c r="Q1248">
        <v>1</v>
      </c>
      <c r="R1248" t="s">
        <v>44</v>
      </c>
      <c r="S1248" t="s">
        <v>44</v>
      </c>
      <c r="T1248" t="s">
        <v>44</v>
      </c>
      <c r="U1248" t="s">
        <v>44</v>
      </c>
      <c r="V1248">
        <v>0</v>
      </c>
      <c r="W1248">
        <v>1</v>
      </c>
      <c r="X1248" t="s">
        <v>44</v>
      </c>
      <c r="Y1248" t="s">
        <v>44</v>
      </c>
      <c r="Z1248" t="s">
        <v>44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22</v>
      </c>
      <c r="AQ1248">
        <f t="shared" si="45"/>
        <v>22</v>
      </c>
      <c r="AR1248" s="5">
        <f>VLOOKUP(F1248,'[2]SCP_24-25'!$A:$D,4,0)</f>
        <v>98.3</v>
      </c>
      <c r="AS1248" s="5">
        <f t="shared" si="44"/>
        <v>2162.6</v>
      </c>
    </row>
    <row r="1249" spans="1:45" x14ac:dyDescent="0.3">
      <c r="A1249" s="1">
        <v>45900.963194444441</v>
      </c>
      <c r="B1249" t="s">
        <v>1463</v>
      </c>
      <c r="C1249" t="s">
        <v>1464</v>
      </c>
      <c r="D1249" t="s">
        <v>609</v>
      </c>
      <c r="F1249" t="s">
        <v>1758</v>
      </c>
      <c r="G1249" t="s">
        <v>610</v>
      </c>
      <c r="H1249" t="s">
        <v>130</v>
      </c>
      <c r="I1249" t="s">
        <v>43</v>
      </c>
      <c r="J1249">
        <v>40.020000000000003</v>
      </c>
      <c r="K1249">
        <v>19</v>
      </c>
      <c r="L1249">
        <v>10</v>
      </c>
      <c r="M1249">
        <v>11</v>
      </c>
      <c r="N1249">
        <v>7219</v>
      </c>
      <c r="O1249">
        <v>11</v>
      </c>
      <c r="P1249">
        <v>0</v>
      </c>
      <c r="Q1249">
        <v>1</v>
      </c>
      <c r="R1249" t="s">
        <v>44</v>
      </c>
      <c r="S1249" t="s">
        <v>44</v>
      </c>
      <c r="T1249">
        <v>1344</v>
      </c>
      <c r="U1249" t="s">
        <v>44</v>
      </c>
      <c r="V1249">
        <v>0</v>
      </c>
      <c r="W1249">
        <v>1</v>
      </c>
      <c r="X1249" t="s">
        <v>44</v>
      </c>
      <c r="Y1249" t="s">
        <v>44</v>
      </c>
      <c r="Z1249" t="s">
        <v>44</v>
      </c>
      <c r="AA1249">
        <v>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12</v>
      </c>
      <c r="AQ1249">
        <f t="shared" si="45"/>
        <v>12</v>
      </c>
      <c r="AR1249" s="5">
        <f>VLOOKUP(F1249,'[2]SCP_24-25'!$A:$D,4,0)</f>
        <v>98.3</v>
      </c>
      <c r="AS1249" s="5">
        <f t="shared" si="44"/>
        <v>1179.5999999999999</v>
      </c>
    </row>
    <row r="1250" spans="1:45" x14ac:dyDescent="0.3">
      <c r="A1250" s="1">
        <v>45900.963194444441</v>
      </c>
      <c r="B1250" t="s">
        <v>1463</v>
      </c>
      <c r="C1250" t="s">
        <v>1464</v>
      </c>
      <c r="D1250" t="s">
        <v>1115</v>
      </c>
      <c r="E1250" t="s">
        <v>1115</v>
      </c>
      <c r="F1250" t="s">
        <v>2007</v>
      </c>
      <c r="G1250" t="s">
        <v>1116</v>
      </c>
      <c r="H1250" t="s">
        <v>635</v>
      </c>
      <c r="I1250" t="s">
        <v>43</v>
      </c>
      <c r="J1250">
        <v>100</v>
      </c>
      <c r="K1250">
        <v>19</v>
      </c>
      <c r="L1250">
        <v>10</v>
      </c>
      <c r="M1250">
        <v>11</v>
      </c>
      <c r="N1250">
        <v>176</v>
      </c>
      <c r="O1250">
        <v>0</v>
      </c>
      <c r="P1250">
        <v>0</v>
      </c>
      <c r="Q1250" t="s">
        <v>44</v>
      </c>
      <c r="R1250">
        <v>39</v>
      </c>
      <c r="S1250" t="s">
        <v>44</v>
      </c>
      <c r="T1250" t="s">
        <v>44</v>
      </c>
      <c r="U1250" t="s">
        <v>44</v>
      </c>
      <c r="V1250">
        <v>24</v>
      </c>
      <c r="W1250" t="s">
        <v>44</v>
      </c>
      <c r="X1250" t="s">
        <v>44</v>
      </c>
      <c r="Y1250">
        <v>24</v>
      </c>
      <c r="Z1250" t="s">
        <v>44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24</v>
      </c>
      <c r="AQ1250">
        <f t="shared" si="45"/>
        <v>24</v>
      </c>
      <c r="AR1250" s="5">
        <f>VLOOKUP(F1250,'[1]Cost Sheet'!$C:$D,2,0)</f>
        <v>86.699999999999989</v>
      </c>
      <c r="AS1250" s="5">
        <f t="shared" si="44"/>
        <v>2080.7999999999997</v>
      </c>
    </row>
    <row r="1251" spans="1:45" x14ac:dyDescent="0.3">
      <c r="A1251" s="1">
        <v>45900.963194444441</v>
      </c>
      <c r="B1251" t="s">
        <v>1463</v>
      </c>
      <c r="C1251" t="s">
        <v>1464</v>
      </c>
      <c r="D1251" t="s">
        <v>1117</v>
      </c>
      <c r="E1251" t="s">
        <v>1117</v>
      </c>
      <c r="F1251" t="s">
        <v>2008</v>
      </c>
      <c r="G1251" t="s">
        <v>1118</v>
      </c>
      <c r="H1251" t="s">
        <v>635</v>
      </c>
      <c r="I1251" t="s">
        <v>43</v>
      </c>
      <c r="J1251">
        <v>100</v>
      </c>
      <c r="K1251">
        <v>19</v>
      </c>
      <c r="L1251">
        <v>10</v>
      </c>
      <c r="M1251">
        <v>11</v>
      </c>
      <c r="N1251">
        <v>190</v>
      </c>
      <c r="O1251">
        <v>0</v>
      </c>
      <c r="P1251">
        <v>0</v>
      </c>
      <c r="Q1251" t="s">
        <v>44</v>
      </c>
      <c r="R1251">
        <v>29</v>
      </c>
      <c r="S1251" t="s">
        <v>44</v>
      </c>
      <c r="T1251" t="s">
        <v>44</v>
      </c>
      <c r="U1251" t="s">
        <v>44</v>
      </c>
      <c r="V1251">
        <v>24</v>
      </c>
      <c r="W1251" t="s">
        <v>44</v>
      </c>
      <c r="X1251" t="s">
        <v>44</v>
      </c>
      <c r="Y1251">
        <v>24</v>
      </c>
      <c r="Z1251" t="s">
        <v>44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24</v>
      </c>
      <c r="AQ1251">
        <f t="shared" si="45"/>
        <v>24</v>
      </c>
      <c r="AR1251" s="5">
        <f>VLOOKUP(F1251,'[1]Cost Sheet'!$C:$D,2,0)</f>
        <v>86.7</v>
      </c>
      <c r="AS1251" s="5">
        <f t="shared" si="44"/>
        <v>2080.8000000000002</v>
      </c>
    </row>
    <row r="1252" spans="1:45" x14ac:dyDescent="0.3">
      <c r="A1252" s="1">
        <v>45900.963194444441</v>
      </c>
      <c r="B1252" t="s">
        <v>1463</v>
      </c>
      <c r="C1252" t="s">
        <v>1464</v>
      </c>
      <c r="D1252" t="s">
        <v>1119</v>
      </c>
      <c r="E1252" t="s">
        <v>1119</v>
      </c>
      <c r="F1252" t="s">
        <v>2009</v>
      </c>
      <c r="G1252" t="s">
        <v>1120</v>
      </c>
      <c r="H1252" t="s">
        <v>635</v>
      </c>
      <c r="I1252" t="s">
        <v>43</v>
      </c>
      <c r="J1252">
        <v>100</v>
      </c>
      <c r="K1252">
        <v>19</v>
      </c>
      <c r="L1252">
        <v>10</v>
      </c>
      <c r="M1252">
        <v>11</v>
      </c>
      <c r="N1252">
        <v>173</v>
      </c>
      <c r="O1252">
        <v>2</v>
      </c>
      <c r="P1252">
        <v>0</v>
      </c>
      <c r="Q1252" t="s">
        <v>44</v>
      </c>
      <c r="R1252">
        <v>29</v>
      </c>
      <c r="S1252" t="s">
        <v>44</v>
      </c>
      <c r="T1252" t="s">
        <v>44</v>
      </c>
      <c r="U1252" t="s">
        <v>44</v>
      </c>
      <c r="V1252">
        <v>0</v>
      </c>
      <c r="W1252" t="s">
        <v>44</v>
      </c>
      <c r="X1252" t="s">
        <v>44</v>
      </c>
      <c r="Y1252" t="s">
        <v>44</v>
      </c>
      <c r="Z1252" t="s">
        <v>44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2</v>
      </c>
      <c r="AQ1252">
        <f t="shared" si="45"/>
        <v>2</v>
      </c>
      <c r="AR1252" s="5">
        <f>VLOOKUP(F1252,'[1]Cost Sheet'!$C:$D,2,0)</f>
        <v>86.7</v>
      </c>
      <c r="AS1252" s="5">
        <f t="shared" si="44"/>
        <v>173.4</v>
      </c>
    </row>
    <row r="1253" spans="1:45" x14ac:dyDescent="0.3">
      <c r="A1253" s="1">
        <v>45900.963194444441</v>
      </c>
      <c r="B1253" t="s">
        <v>1463</v>
      </c>
      <c r="C1253" t="s">
        <v>1464</v>
      </c>
      <c r="D1253" t="s">
        <v>702</v>
      </c>
      <c r="E1253" t="s">
        <v>702</v>
      </c>
      <c r="F1253" t="s">
        <v>1804</v>
      </c>
      <c r="G1253" t="s">
        <v>703</v>
      </c>
      <c r="H1253" t="s">
        <v>635</v>
      </c>
      <c r="I1253" t="s">
        <v>43</v>
      </c>
      <c r="J1253">
        <v>100</v>
      </c>
      <c r="K1253">
        <v>19</v>
      </c>
      <c r="L1253">
        <v>10</v>
      </c>
      <c r="M1253">
        <v>11</v>
      </c>
      <c r="N1253">
        <v>323</v>
      </c>
      <c r="O1253">
        <v>0</v>
      </c>
      <c r="P1253">
        <v>0</v>
      </c>
      <c r="Q1253">
        <v>1</v>
      </c>
      <c r="R1253">
        <v>139</v>
      </c>
      <c r="S1253" t="s">
        <v>44</v>
      </c>
      <c r="T1253" t="s">
        <v>44</v>
      </c>
      <c r="U1253" t="s">
        <v>44</v>
      </c>
      <c r="V1253">
        <v>8</v>
      </c>
      <c r="W1253" t="s">
        <v>44</v>
      </c>
      <c r="X1253" t="s">
        <v>44</v>
      </c>
      <c r="Y1253">
        <v>8</v>
      </c>
      <c r="Z1253" t="s">
        <v>44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8</v>
      </c>
      <c r="AQ1253">
        <f t="shared" si="45"/>
        <v>8</v>
      </c>
      <c r="AR1253" s="5">
        <f>VLOOKUP(F1253,'[1]Cost Sheet'!$C:$D,2,0)</f>
        <v>120.58</v>
      </c>
      <c r="AS1253" s="5">
        <f t="shared" si="44"/>
        <v>964.64</v>
      </c>
    </row>
    <row r="1254" spans="1:45" x14ac:dyDescent="0.3">
      <c r="A1254" s="1">
        <v>45900.963194444441</v>
      </c>
      <c r="B1254" t="s">
        <v>1463</v>
      </c>
      <c r="C1254" t="s">
        <v>1464</v>
      </c>
      <c r="D1254" t="s">
        <v>704</v>
      </c>
      <c r="E1254" t="s">
        <v>704</v>
      </c>
      <c r="F1254" t="s">
        <v>1805</v>
      </c>
      <c r="G1254" t="s">
        <v>705</v>
      </c>
      <c r="H1254" t="s">
        <v>635</v>
      </c>
      <c r="I1254" t="s">
        <v>43</v>
      </c>
      <c r="J1254">
        <v>100</v>
      </c>
      <c r="K1254">
        <v>19</v>
      </c>
      <c r="L1254">
        <v>10</v>
      </c>
      <c r="M1254">
        <v>11</v>
      </c>
      <c r="N1254">
        <v>314</v>
      </c>
      <c r="O1254">
        <v>0</v>
      </c>
      <c r="P1254">
        <v>0</v>
      </c>
      <c r="Q1254" t="s">
        <v>44</v>
      </c>
      <c r="R1254">
        <v>3</v>
      </c>
      <c r="S1254" t="s">
        <v>44</v>
      </c>
      <c r="T1254" t="s">
        <v>44</v>
      </c>
      <c r="U1254" t="s">
        <v>44</v>
      </c>
      <c r="V1254">
        <v>26</v>
      </c>
      <c r="W1254" t="s">
        <v>44</v>
      </c>
      <c r="X1254" t="s">
        <v>44</v>
      </c>
      <c r="Y1254">
        <v>26</v>
      </c>
      <c r="Z1254" t="s">
        <v>44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26</v>
      </c>
      <c r="AQ1254">
        <f t="shared" si="45"/>
        <v>26</v>
      </c>
      <c r="AR1254" s="5">
        <f>VLOOKUP(F1254,'[1]Cost Sheet'!$C:$D,2,0)</f>
        <v>79.066666666666677</v>
      </c>
      <c r="AS1254" s="5">
        <f t="shared" si="44"/>
        <v>2055.7333333333336</v>
      </c>
    </row>
    <row r="1255" spans="1:45" x14ac:dyDescent="0.3">
      <c r="A1255" s="1">
        <v>45900.963194444441</v>
      </c>
      <c r="B1255" t="s">
        <v>1463</v>
      </c>
      <c r="C1255" t="s">
        <v>1464</v>
      </c>
      <c r="D1255" t="s">
        <v>706</v>
      </c>
      <c r="E1255" t="s">
        <v>706</v>
      </c>
      <c r="F1255" t="s">
        <v>1806</v>
      </c>
      <c r="G1255" t="s">
        <v>707</v>
      </c>
      <c r="H1255" t="s">
        <v>635</v>
      </c>
      <c r="I1255" t="s">
        <v>43</v>
      </c>
      <c r="J1255">
        <v>100</v>
      </c>
      <c r="K1255">
        <v>19</v>
      </c>
      <c r="L1255">
        <v>10</v>
      </c>
      <c r="M1255">
        <v>11</v>
      </c>
      <c r="N1255">
        <v>464</v>
      </c>
      <c r="O1255">
        <v>6</v>
      </c>
      <c r="P1255">
        <v>0</v>
      </c>
      <c r="Q1255" t="s">
        <v>44</v>
      </c>
      <c r="R1255">
        <v>54</v>
      </c>
      <c r="S1255" t="s">
        <v>44</v>
      </c>
      <c r="T1255" t="s">
        <v>44</v>
      </c>
      <c r="U1255" t="s">
        <v>44</v>
      </c>
      <c r="V1255">
        <v>26</v>
      </c>
      <c r="W1255" t="s">
        <v>44</v>
      </c>
      <c r="X1255" t="s">
        <v>44</v>
      </c>
      <c r="Y1255">
        <v>26</v>
      </c>
      <c r="Z1255" t="s">
        <v>44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32</v>
      </c>
      <c r="AQ1255">
        <f t="shared" si="45"/>
        <v>32</v>
      </c>
      <c r="AR1255" s="5">
        <f>VLOOKUP(F1255,'[1]Cost Sheet'!$C:$D,2,0)</f>
        <v>79.680000000000007</v>
      </c>
      <c r="AS1255" s="5">
        <f t="shared" si="44"/>
        <v>2549.7600000000002</v>
      </c>
    </row>
    <row r="1256" spans="1:45" x14ac:dyDescent="0.3">
      <c r="A1256" s="1">
        <v>45900.963194444441</v>
      </c>
      <c r="B1256" t="s">
        <v>1463</v>
      </c>
      <c r="C1256" t="s">
        <v>1464</v>
      </c>
      <c r="D1256" t="s">
        <v>1121</v>
      </c>
      <c r="E1256" t="s">
        <v>1121</v>
      </c>
      <c r="F1256" t="s">
        <v>2010</v>
      </c>
      <c r="G1256" t="s">
        <v>1122</v>
      </c>
      <c r="H1256" t="s">
        <v>635</v>
      </c>
      <c r="I1256" t="s">
        <v>43</v>
      </c>
      <c r="J1256">
        <v>100</v>
      </c>
      <c r="K1256">
        <v>19</v>
      </c>
      <c r="L1256">
        <v>10</v>
      </c>
      <c r="M1256">
        <v>11</v>
      </c>
      <c r="N1256">
        <v>248</v>
      </c>
      <c r="O1256">
        <v>2</v>
      </c>
      <c r="P1256">
        <v>0</v>
      </c>
      <c r="Q1256" t="s">
        <v>44</v>
      </c>
      <c r="R1256">
        <v>11</v>
      </c>
      <c r="S1256" t="s">
        <v>44</v>
      </c>
      <c r="T1256" t="s">
        <v>44</v>
      </c>
      <c r="U1256" t="s">
        <v>44</v>
      </c>
      <c r="V1256">
        <v>2</v>
      </c>
      <c r="W1256" t="s">
        <v>44</v>
      </c>
      <c r="X1256" t="s">
        <v>44</v>
      </c>
      <c r="Y1256">
        <v>2</v>
      </c>
      <c r="Z1256" t="s">
        <v>44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4</v>
      </c>
      <c r="AQ1256">
        <f t="shared" si="45"/>
        <v>4</v>
      </c>
      <c r="AR1256" s="5">
        <f>VLOOKUP(F1256,'[1]Cost Sheet'!$C:$D,2,0)</f>
        <v>79.680000000000007</v>
      </c>
      <c r="AS1256" s="5">
        <f t="shared" si="44"/>
        <v>318.72000000000003</v>
      </c>
    </row>
    <row r="1257" spans="1:45" x14ac:dyDescent="0.3">
      <c r="A1257" s="1">
        <v>45900.963194444441</v>
      </c>
      <c r="B1257" t="s">
        <v>1463</v>
      </c>
      <c r="C1257" t="s">
        <v>1464</v>
      </c>
      <c r="D1257" t="s">
        <v>708</v>
      </c>
      <c r="E1257" t="s">
        <v>708</v>
      </c>
      <c r="F1257" t="s">
        <v>1807</v>
      </c>
      <c r="G1257" t="s">
        <v>709</v>
      </c>
      <c r="H1257" t="s">
        <v>635</v>
      </c>
      <c r="I1257" t="s">
        <v>43</v>
      </c>
      <c r="J1257">
        <v>100</v>
      </c>
      <c r="K1257">
        <v>19</v>
      </c>
      <c r="L1257">
        <v>10</v>
      </c>
      <c r="M1257">
        <v>11</v>
      </c>
      <c r="N1257">
        <v>274</v>
      </c>
      <c r="O1257">
        <v>0</v>
      </c>
      <c r="P1257">
        <v>0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>
        <v>20</v>
      </c>
      <c r="W1257" t="s">
        <v>44</v>
      </c>
      <c r="X1257" t="s">
        <v>44</v>
      </c>
      <c r="Y1257">
        <v>20</v>
      </c>
      <c r="Z1257" t="s">
        <v>44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20</v>
      </c>
      <c r="AQ1257">
        <f t="shared" si="45"/>
        <v>20</v>
      </c>
      <c r="AR1257" s="5">
        <f>VLOOKUP(F1257,'[1]Cost Sheet'!$C:$D,2,0)</f>
        <v>79.680000000000007</v>
      </c>
      <c r="AS1257" s="5">
        <f t="shared" si="44"/>
        <v>1593.6000000000001</v>
      </c>
    </row>
    <row r="1258" spans="1:45" x14ac:dyDescent="0.3">
      <c r="A1258" s="1">
        <v>45900.963194444441</v>
      </c>
      <c r="B1258" t="s">
        <v>1463</v>
      </c>
      <c r="C1258" t="s">
        <v>1464</v>
      </c>
      <c r="D1258" t="s">
        <v>1123</v>
      </c>
      <c r="E1258" t="s">
        <v>1123</v>
      </c>
      <c r="F1258" t="s">
        <v>2011</v>
      </c>
      <c r="G1258" t="s">
        <v>1124</v>
      </c>
      <c r="H1258" t="s">
        <v>635</v>
      </c>
      <c r="I1258" t="s">
        <v>43</v>
      </c>
      <c r="J1258">
        <v>100</v>
      </c>
      <c r="K1258">
        <v>19</v>
      </c>
      <c r="L1258">
        <v>10</v>
      </c>
      <c r="M1258">
        <v>11</v>
      </c>
      <c r="N1258">
        <v>418</v>
      </c>
      <c r="O1258">
        <v>0</v>
      </c>
      <c r="P1258">
        <v>0</v>
      </c>
      <c r="Q1258" t="s">
        <v>44</v>
      </c>
      <c r="R1258">
        <v>8</v>
      </c>
      <c r="S1258" t="s">
        <v>44</v>
      </c>
      <c r="T1258" t="s">
        <v>44</v>
      </c>
      <c r="U1258" t="s">
        <v>44</v>
      </c>
      <c r="V1258">
        <v>34</v>
      </c>
      <c r="W1258" t="s">
        <v>44</v>
      </c>
      <c r="X1258" t="s">
        <v>44</v>
      </c>
      <c r="Y1258">
        <v>34</v>
      </c>
      <c r="Z1258" t="s">
        <v>44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34</v>
      </c>
      <c r="AQ1258">
        <f t="shared" si="45"/>
        <v>34</v>
      </c>
      <c r="AR1258" s="5">
        <f>VLOOKUP(F1258,'[1]Cost Sheet'!$C:$D,2,0)</f>
        <v>77.84</v>
      </c>
      <c r="AS1258" s="5">
        <f t="shared" si="44"/>
        <v>2646.56</v>
      </c>
    </row>
    <row r="1259" spans="1:45" x14ac:dyDescent="0.3">
      <c r="A1259" s="1">
        <v>45900.963194444441</v>
      </c>
      <c r="B1259" t="s">
        <v>1463</v>
      </c>
      <c r="C1259" t="s">
        <v>1464</v>
      </c>
      <c r="D1259" t="s">
        <v>710</v>
      </c>
      <c r="E1259" t="s">
        <v>710</v>
      </c>
      <c r="F1259" t="s">
        <v>1808</v>
      </c>
      <c r="G1259" t="s">
        <v>711</v>
      </c>
      <c r="H1259" t="s">
        <v>635</v>
      </c>
      <c r="I1259" t="s">
        <v>43</v>
      </c>
      <c r="J1259">
        <v>100</v>
      </c>
      <c r="K1259">
        <v>19</v>
      </c>
      <c r="L1259">
        <v>10</v>
      </c>
      <c r="M1259">
        <v>11</v>
      </c>
      <c r="N1259">
        <v>273</v>
      </c>
      <c r="O1259">
        <v>0</v>
      </c>
      <c r="P1259">
        <v>0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>
        <v>6</v>
      </c>
      <c r="W1259" t="s">
        <v>44</v>
      </c>
      <c r="X1259" t="s">
        <v>44</v>
      </c>
      <c r="Y1259">
        <v>6</v>
      </c>
      <c r="Z1259" t="s">
        <v>44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6</v>
      </c>
      <c r="AQ1259">
        <f t="shared" si="45"/>
        <v>6</v>
      </c>
      <c r="AR1259" s="5">
        <f>VLOOKUP(F1259,'[1]Cost Sheet'!$C:$D,2,0)</f>
        <v>79.680000000000007</v>
      </c>
      <c r="AS1259" s="5">
        <f t="shared" si="44"/>
        <v>478.08000000000004</v>
      </c>
    </row>
    <row r="1260" spans="1:45" x14ac:dyDescent="0.3">
      <c r="A1260" s="1">
        <v>45900.963194444441</v>
      </c>
      <c r="B1260" t="s">
        <v>1463</v>
      </c>
      <c r="C1260" t="s">
        <v>1464</v>
      </c>
      <c r="D1260" t="s">
        <v>1125</v>
      </c>
      <c r="E1260" t="s">
        <v>1125</v>
      </c>
      <c r="F1260" t="s">
        <v>2012</v>
      </c>
      <c r="G1260" t="s">
        <v>1126</v>
      </c>
      <c r="H1260" t="s">
        <v>635</v>
      </c>
      <c r="I1260" t="s">
        <v>43</v>
      </c>
      <c r="J1260">
        <v>100</v>
      </c>
      <c r="K1260">
        <v>19</v>
      </c>
      <c r="L1260">
        <v>10</v>
      </c>
      <c r="M1260">
        <v>11</v>
      </c>
      <c r="N1260">
        <v>322</v>
      </c>
      <c r="O1260">
        <v>0</v>
      </c>
      <c r="P1260">
        <v>0</v>
      </c>
      <c r="Q1260" t="s">
        <v>44</v>
      </c>
      <c r="R1260">
        <v>1</v>
      </c>
      <c r="S1260" t="s">
        <v>44</v>
      </c>
      <c r="T1260" t="s">
        <v>44</v>
      </c>
      <c r="U1260" t="s">
        <v>44</v>
      </c>
      <c r="V1260">
        <v>36</v>
      </c>
      <c r="W1260" t="s">
        <v>44</v>
      </c>
      <c r="X1260" t="s">
        <v>44</v>
      </c>
      <c r="Y1260">
        <v>36</v>
      </c>
      <c r="Z1260" t="s">
        <v>44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36</v>
      </c>
      <c r="AQ1260">
        <f t="shared" si="45"/>
        <v>36</v>
      </c>
      <c r="AR1260" s="5">
        <f>VLOOKUP(F1260,'[1]Cost Sheet'!$C:$D,2,0)</f>
        <v>79.680000000000007</v>
      </c>
      <c r="AS1260" s="5">
        <f t="shared" si="44"/>
        <v>2868.4800000000005</v>
      </c>
    </row>
    <row r="1261" spans="1:45" x14ac:dyDescent="0.3">
      <c r="A1261" s="1">
        <v>45900.963194444441</v>
      </c>
      <c r="B1261" t="s">
        <v>1463</v>
      </c>
      <c r="C1261" t="s">
        <v>1464</v>
      </c>
      <c r="D1261" t="s">
        <v>712</v>
      </c>
      <c r="E1261" t="s">
        <v>712</v>
      </c>
      <c r="F1261" t="s">
        <v>1809</v>
      </c>
      <c r="G1261" t="s">
        <v>713</v>
      </c>
      <c r="H1261" t="s">
        <v>635</v>
      </c>
      <c r="I1261" t="s">
        <v>43</v>
      </c>
      <c r="J1261">
        <v>100</v>
      </c>
      <c r="K1261">
        <v>19</v>
      </c>
      <c r="L1261">
        <v>10</v>
      </c>
      <c r="M1261">
        <v>11</v>
      </c>
      <c r="N1261">
        <v>322</v>
      </c>
      <c r="O1261">
        <v>0</v>
      </c>
      <c r="P1261">
        <v>0</v>
      </c>
      <c r="Q1261" t="s">
        <v>44</v>
      </c>
      <c r="R1261">
        <v>3</v>
      </c>
      <c r="S1261" t="s">
        <v>44</v>
      </c>
      <c r="T1261" t="s">
        <v>44</v>
      </c>
      <c r="U1261" t="s">
        <v>44</v>
      </c>
      <c r="V1261">
        <v>24</v>
      </c>
      <c r="W1261" t="s">
        <v>44</v>
      </c>
      <c r="X1261" t="s">
        <v>44</v>
      </c>
      <c r="Y1261">
        <v>24</v>
      </c>
      <c r="Z1261" t="s">
        <v>44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24</v>
      </c>
      <c r="AQ1261">
        <f t="shared" si="45"/>
        <v>24</v>
      </c>
      <c r="AR1261" s="5">
        <f>VLOOKUP(F1261,'[1]Cost Sheet'!$C:$D,2,0)</f>
        <v>79.680000000000007</v>
      </c>
      <c r="AS1261" s="5">
        <f t="shared" si="44"/>
        <v>1912.3200000000002</v>
      </c>
    </row>
    <row r="1262" spans="1:45" x14ac:dyDescent="0.3">
      <c r="A1262" s="1">
        <v>45900.963194444441</v>
      </c>
      <c r="B1262" t="s">
        <v>1463</v>
      </c>
      <c r="C1262" t="s">
        <v>1464</v>
      </c>
      <c r="D1262" t="s">
        <v>1127</v>
      </c>
      <c r="E1262" t="s">
        <v>1127</v>
      </c>
      <c r="F1262" t="s">
        <v>2013</v>
      </c>
      <c r="G1262" t="s">
        <v>1128</v>
      </c>
      <c r="H1262" t="s">
        <v>635</v>
      </c>
      <c r="I1262" t="s">
        <v>43</v>
      </c>
      <c r="J1262">
        <v>100</v>
      </c>
      <c r="K1262">
        <v>19</v>
      </c>
      <c r="L1262">
        <v>10</v>
      </c>
      <c r="M1262">
        <v>11</v>
      </c>
      <c r="N1262">
        <v>354</v>
      </c>
      <c r="O1262">
        <v>0</v>
      </c>
      <c r="P1262">
        <v>0</v>
      </c>
      <c r="Q1262" t="s">
        <v>44</v>
      </c>
      <c r="R1262">
        <v>32</v>
      </c>
      <c r="S1262" t="s">
        <v>44</v>
      </c>
      <c r="T1262" t="s">
        <v>44</v>
      </c>
      <c r="U1262" t="s">
        <v>44</v>
      </c>
      <c r="V1262">
        <v>28</v>
      </c>
      <c r="W1262" t="s">
        <v>44</v>
      </c>
      <c r="X1262" t="s">
        <v>44</v>
      </c>
      <c r="Y1262">
        <v>28</v>
      </c>
      <c r="Z1262" t="s">
        <v>44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28</v>
      </c>
      <c r="AQ1262">
        <f t="shared" si="45"/>
        <v>28</v>
      </c>
      <c r="AR1262" s="5">
        <f>VLOOKUP(F1262,'[1]Cost Sheet'!$C:$D,2,0)</f>
        <v>79.680000000000007</v>
      </c>
      <c r="AS1262" s="5">
        <f t="shared" si="44"/>
        <v>2231.04</v>
      </c>
    </row>
    <row r="1263" spans="1:45" x14ac:dyDescent="0.3">
      <c r="A1263" s="1">
        <v>45900.963194444441</v>
      </c>
      <c r="B1263" t="s">
        <v>1463</v>
      </c>
      <c r="C1263" t="s">
        <v>1464</v>
      </c>
      <c r="D1263" t="s">
        <v>1129</v>
      </c>
      <c r="E1263" t="s">
        <v>1129</v>
      </c>
      <c r="F1263" t="s">
        <v>2014</v>
      </c>
      <c r="G1263" t="s">
        <v>1130</v>
      </c>
      <c r="H1263" t="s">
        <v>635</v>
      </c>
      <c r="I1263" t="s">
        <v>43</v>
      </c>
      <c r="J1263">
        <v>100</v>
      </c>
      <c r="K1263">
        <v>19</v>
      </c>
      <c r="L1263">
        <v>10</v>
      </c>
      <c r="M1263">
        <v>11</v>
      </c>
      <c r="N1263">
        <v>395</v>
      </c>
      <c r="O1263">
        <v>0</v>
      </c>
      <c r="P1263">
        <v>0</v>
      </c>
      <c r="Q1263" t="s">
        <v>44</v>
      </c>
      <c r="R1263">
        <v>99</v>
      </c>
      <c r="S1263" t="s">
        <v>44</v>
      </c>
      <c r="T1263" t="s">
        <v>44</v>
      </c>
      <c r="U1263" t="s">
        <v>44</v>
      </c>
      <c r="V1263">
        <v>14</v>
      </c>
      <c r="W1263" t="s">
        <v>44</v>
      </c>
      <c r="X1263" t="s">
        <v>44</v>
      </c>
      <c r="Y1263">
        <v>14</v>
      </c>
      <c r="Z1263" t="s">
        <v>44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14</v>
      </c>
      <c r="AQ1263">
        <f t="shared" si="45"/>
        <v>14</v>
      </c>
      <c r="AR1263" s="5">
        <f>VLOOKUP(F1263,'[1]Cost Sheet'!$C:$D,2,0)</f>
        <v>79.680000000000007</v>
      </c>
      <c r="AS1263" s="5">
        <f t="shared" si="44"/>
        <v>1115.52</v>
      </c>
    </row>
    <row r="1264" spans="1:45" x14ac:dyDescent="0.3">
      <c r="A1264" s="1">
        <v>45900.963194444441</v>
      </c>
      <c r="B1264" t="s">
        <v>1463</v>
      </c>
      <c r="C1264" t="s">
        <v>1464</v>
      </c>
      <c r="D1264" t="s">
        <v>714</v>
      </c>
      <c r="E1264" t="s">
        <v>714</v>
      </c>
      <c r="F1264" t="s">
        <v>1810</v>
      </c>
      <c r="G1264" t="s">
        <v>715</v>
      </c>
      <c r="H1264" t="s">
        <v>635</v>
      </c>
      <c r="I1264" t="s">
        <v>43</v>
      </c>
      <c r="J1264">
        <v>100</v>
      </c>
      <c r="K1264">
        <v>19</v>
      </c>
      <c r="L1264">
        <v>10</v>
      </c>
      <c r="M1264">
        <v>11</v>
      </c>
      <c r="N1264">
        <v>271</v>
      </c>
      <c r="O1264">
        <v>0</v>
      </c>
      <c r="P1264">
        <v>0</v>
      </c>
      <c r="Q1264" t="s">
        <v>44</v>
      </c>
      <c r="R1264">
        <v>34</v>
      </c>
      <c r="S1264" t="s">
        <v>44</v>
      </c>
      <c r="T1264" t="s">
        <v>44</v>
      </c>
      <c r="U1264" t="s">
        <v>44</v>
      </c>
      <c r="V1264">
        <v>22</v>
      </c>
      <c r="W1264" t="s">
        <v>44</v>
      </c>
      <c r="X1264" t="s">
        <v>44</v>
      </c>
      <c r="Y1264">
        <v>22</v>
      </c>
      <c r="Z1264" t="s">
        <v>44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22</v>
      </c>
      <c r="AQ1264">
        <f t="shared" si="45"/>
        <v>22</v>
      </c>
      <c r="AR1264" s="5">
        <f>VLOOKUP(F1264,'[1]Cost Sheet'!$C:$D,2,0)</f>
        <v>79.680000000000007</v>
      </c>
      <c r="AS1264" s="5">
        <f t="shared" si="44"/>
        <v>1752.96</v>
      </c>
    </row>
    <row r="1265" spans="1:45" x14ac:dyDescent="0.3">
      <c r="A1265" s="1">
        <v>45900.963194444441</v>
      </c>
      <c r="B1265" t="s">
        <v>1463</v>
      </c>
      <c r="C1265" t="s">
        <v>1464</v>
      </c>
      <c r="D1265" t="s">
        <v>1131</v>
      </c>
      <c r="E1265" t="s">
        <v>1131</v>
      </c>
      <c r="F1265" t="s">
        <v>2015</v>
      </c>
      <c r="G1265" t="s">
        <v>1132</v>
      </c>
      <c r="H1265" t="s">
        <v>635</v>
      </c>
      <c r="I1265" t="s">
        <v>43</v>
      </c>
      <c r="J1265">
        <v>100</v>
      </c>
      <c r="K1265">
        <v>19</v>
      </c>
      <c r="L1265">
        <v>10</v>
      </c>
      <c r="M1265">
        <v>11</v>
      </c>
      <c r="N1265">
        <v>352</v>
      </c>
      <c r="O1265">
        <v>0</v>
      </c>
      <c r="P1265">
        <v>0</v>
      </c>
      <c r="Q1265" t="s">
        <v>44</v>
      </c>
      <c r="R1265">
        <v>62</v>
      </c>
      <c r="S1265" t="s">
        <v>44</v>
      </c>
      <c r="T1265" t="s">
        <v>44</v>
      </c>
      <c r="U1265" t="s">
        <v>44</v>
      </c>
      <c r="V1265">
        <v>20</v>
      </c>
      <c r="W1265" t="s">
        <v>44</v>
      </c>
      <c r="X1265" t="s">
        <v>44</v>
      </c>
      <c r="Y1265">
        <v>20</v>
      </c>
      <c r="Z1265" t="s">
        <v>44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20</v>
      </c>
      <c r="AQ1265">
        <f t="shared" si="45"/>
        <v>20</v>
      </c>
      <c r="AR1265" s="5">
        <f>VLOOKUP(F1265,'[1]Cost Sheet'!$C:$D,2,0)</f>
        <v>79.680000000000007</v>
      </c>
      <c r="AS1265" s="5">
        <f t="shared" si="44"/>
        <v>1593.6000000000001</v>
      </c>
    </row>
    <row r="1266" spans="1:45" x14ac:dyDescent="0.3">
      <c r="A1266" s="1">
        <v>45900.963194444441</v>
      </c>
      <c r="B1266" t="s">
        <v>1463</v>
      </c>
      <c r="C1266" t="s">
        <v>1464</v>
      </c>
      <c r="D1266" t="s">
        <v>1133</v>
      </c>
      <c r="E1266" t="s">
        <v>1133</v>
      </c>
      <c r="F1266" t="s">
        <v>2016</v>
      </c>
      <c r="G1266" t="s">
        <v>1134</v>
      </c>
      <c r="H1266" t="s">
        <v>635</v>
      </c>
      <c r="I1266" t="s">
        <v>43</v>
      </c>
      <c r="J1266">
        <v>100</v>
      </c>
      <c r="K1266">
        <v>19</v>
      </c>
      <c r="L1266">
        <v>10</v>
      </c>
      <c r="M1266">
        <v>11</v>
      </c>
      <c r="N1266">
        <v>30</v>
      </c>
      <c r="O1266">
        <v>0</v>
      </c>
      <c r="P1266">
        <v>0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>
        <v>17</v>
      </c>
      <c r="W1266" t="s">
        <v>44</v>
      </c>
      <c r="X1266" t="s">
        <v>44</v>
      </c>
      <c r="Y1266">
        <v>17</v>
      </c>
      <c r="Z1266" t="s">
        <v>44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17</v>
      </c>
      <c r="AQ1266">
        <f t="shared" si="45"/>
        <v>17</v>
      </c>
      <c r="AR1266" s="5">
        <f>VLOOKUP(F1266,'[1]Cost Sheet'!$C:$D,2,0)</f>
        <v>168.55</v>
      </c>
      <c r="AS1266" s="5">
        <f t="shared" si="44"/>
        <v>2865.3500000000004</v>
      </c>
    </row>
    <row r="1267" spans="1:45" x14ac:dyDescent="0.3">
      <c r="A1267" s="1">
        <v>45900.963194444441</v>
      </c>
      <c r="B1267" t="s">
        <v>1463</v>
      </c>
      <c r="C1267" t="s">
        <v>1464</v>
      </c>
      <c r="D1267" t="s">
        <v>1135</v>
      </c>
      <c r="E1267" t="s">
        <v>1135</v>
      </c>
      <c r="F1267" t="s">
        <v>2017</v>
      </c>
      <c r="G1267" t="s">
        <v>1136</v>
      </c>
      <c r="H1267" t="s">
        <v>635</v>
      </c>
      <c r="I1267" t="s">
        <v>43</v>
      </c>
      <c r="J1267">
        <v>100</v>
      </c>
      <c r="K1267">
        <v>19</v>
      </c>
      <c r="L1267">
        <v>10</v>
      </c>
      <c r="M1267">
        <v>11</v>
      </c>
      <c r="N1267">
        <v>30</v>
      </c>
      <c r="O1267">
        <v>0</v>
      </c>
      <c r="P1267">
        <v>0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>
        <v>22</v>
      </c>
      <c r="W1267" t="s">
        <v>44</v>
      </c>
      <c r="X1267" t="s">
        <v>44</v>
      </c>
      <c r="Y1267">
        <v>22</v>
      </c>
      <c r="Z1267" t="s">
        <v>44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22</v>
      </c>
      <c r="AQ1267">
        <f t="shared" si="45"/>
        <v>22</v>
      </c>
      <c r="AR1267" s="5">
        <f>VLOOKUP(F1267,'[1]Cost Sheet'!$C:$D,2,0)</f>
        <v>168.55</v>
      </c>
      <c r="AS1267" s="5">
        <f t="shared" si="44"/>
        <v>3708.1000000000004</v>
      </c>
    </row>
    <row r="1268" spans="1:45" x14ac:dyDescent="0.3">
      <c r="A1268" s="1">
        <v>45900.963194444441</v>
      </c>
      <c r="B1268" t="s">
        <v>1463</v>
      </c>
      <c r="C1268" t="s">
        <v>1464</v>
      </c>
      <c r="D1268" t="s">
        <v>1137</v>
      </c>
      <c r="E1268" t="s">
        <v>1137</v>
      </c>
      <c r="F1268" t="s">
        <v>2018</v>
      </c>
      <c r="G1268" t="s">
        <v>1138</v>
      </c>
      <c r="H1268" t="s">
        <v>635</v>
      </c>
      <c r="I1268" t="s">
        <v>43</v>
      </c>
      <c r="J1268">
        <v>100</v>
      </c>
      <c r="K1268">
        <v>19</v>
      </c>
      <c r="L1268">
        <v>10</v>
      </c>
      <c r="M1268">
        <v>11</v>
      </c>
      <c r="N1268">
        <v>306</v>
      </c>
      <c r="O1268">
        <v>0</v>
      </c>
      <c r="P1268">
        <v>0</v>
      </c>
      <c r="Q1268" t="s">
        <v>44</v>
      </c>
      <c r="R1268">
        <v>119</v>
      </c>
      <c r="S1268" t="s">
        <v>44</v>
      </c>
      <c r="T1268" t="s">
        <v>44</v>
      </c>
      <c r="U1268" t="s">
        <v>44</v>
      </c>
      <c r="V1268">
        <v>13</v>
      </c>
      <c r="W1268" t="s">
        <v>44</v>
      </c>
      <c r="X1268" t="s">
        <v>44</v>
      </c>
      <c r="Y1268">
        <v>13</v>
      </c>
      <c r="Z1268" t="s">
        <v>44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13</v>
      </c>
      <c r="AQ1268">
        <f t="shared" si="45"/>
        <v>13</v>
      </c>
      <c r="AR1268" s="5">
        <f>VLOOKUP(F1268,'[1]Cost Sheet'!$C:$D,2,0)</f>
        <v>73.05</v>
      </c>
      <c r="AS1268" s="5">
        <f t="shared" si="44"/>
        <v>949.65</v>
      </c>
    </row>
    <row r="1269" spans="1:45" x14ac:dyDescent="0.3">
      <c r="A1269" s="1">
        <v>45900.963194444441</v>
      </c>
      <c r="B1269" t="s">
        <v>1463</v>
      </c>
      <c r="C1269" t="s">
        <v>1464</v>
      </c>
      <c r="D1269" t="s">
        <v>1139</v>
      </c>
      <c r="E1269" t="s">
        <v>1139</v>
      </c>
      <c r="F1269" t="s">
        <v>2019</v>
      </c>
      <c r="G1269" t="s">
        <v>1140</v>
      </c>
      <c r="H1269" t="s">
        <v>635</v>
      </c>
      <c r="I1269" t="s">
        <v>43</v>
      </c>
      <c r="J1269">
        <v>100</v>
      </c>
      <c r="K1269">
        <v>19</v>
      </c>
      <c r="L1269">
        <v>10</v>
      </c>
      <c r="M1269">
        <v>11</v>
      </c>
      <c r="N1269">
        <v>275</v>
      </c>
      <c r="O1269">
        <v>0</v>
      </c>
      <c r="P1269">
        <v>0</v>
      </c>
      <c r="Q1269" t="s">
        <v>44</v>
      </c>
      <c r="R1269">
        <v>119</v>
      </c>
      <c r="S1269" t="s">
        <v>44</v>
      </c>
      <c r="T1269" t="s">
        <v>44</v>
      </c>
      <c r="U1269" t="s">
        <v>44</v>
      </c>
      <c r="V1269">
        <v>9</v>
      </c>
      <c r="W1269" t="s">
        <v>44</v>
      </c>
      <c r="X1269" t="s">
        <v>44</v>
      </c>
      <c r="Y1269">
        <v>9</v>
      </c>
      <c r="Z1269" t="s">
        <v>44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9</v>
      </c>
      <c r="AQ1269">
        <f t="shared" si="45"/>
        <v>9</v>
      </c>
      <c r="AR1269" s="5">
        <f>VLOOKUP(F1269,'[1]Cost Sheet'!$C:$D,2,0)</f>
        <v>73.05</v>
      </c>
      <c r="AS1269" s="5">
        <f t="shared" si="44"/>
        <v>657.44999999999993</v>
      </c>
    </row>
    <row r="1270" spans="1:45" x14ac:dyDescent="0.3">
      <c r="A1270" s="1">
        <v>45900.963194444441</v>
      </c>
      <c r="B1270" t="s">
        <v>1463</v>
      </c>
      <c r="C1270" t="s">
        <v>1464</v>
      </c>
      <c r="D1270" t="s">
        <v>1145</v>
      </c>
      <c r="E1270" t="s">
        <v>1145</v>
      </c>
      <c r="F1270" t="s">
        <v>2022</v>
      </c>
      <c r="G1270" t="s">
        <v>1146</v>
      </c>
      <c r="H1270" t="s">
        <v>635</v>
      </c>
      <c r="I1270" t="s">
        <v>43</v>
      </c>
      <c r="J1270">
        <v>100</v>
      </c>
      <c r="K1270">
        <v>19</v>
      </c>
      <c r="L1270">
        <v>10</v>
      </c>
      <c r="M1270">
        <v>11</v>
      </c>
      <c r="N1270">
        <v>111</v>
      </c>
      <c r="O1270">
        <v>0</v>
      </c>
      <c r="P1270">
        <v>0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>
        <v>23</v>
      </c>
      <c r="W1270" t="s">
        <v>44</v>
      </c>
      <c r="X1270" t="s">
        <v>44</v>
      </c>
      <c r="Y1270">
        <v>23</v>
      </c>
      <c r="Z1270" t="s">
        <v>44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23</v>
      </c>
      <c r="AQ1270">
        <f t="shared" si="45"/>
        <v>23</v>
      </c>
      <c r="AR1270" s="5">
        <f>VLOOKUP(F1270,'[1]Cost Sheet'!$C:$D,2,0)</f>
        <v>98.3</v>
      </c>
      <c r="AS1270" s="5">
        <f t="shared" si="44"/>
        <v>2260.9</v>
      </c>
    </row>
    <row r="1271" spans="1:45" x14ac:dyDescent="0.3">
      <c r="A1271" s="1">
        <v>45900.963194444441</v>
      </c>
      <c r="B1271" t="s">
        <v>1463</v>
      </c>
      <c r="C1271" t="s">
        <v>1464</v>
      </c>
      <c r="D1271" t="s">
        <v>1147</v>
      </c>
      <c r="E1271" t="s">
        <v>1147</v>
      </c>
      <c r="F1271" t="s">
        <v>2023</v>
      </c>
      <c r="G1271" t="s">
        <v>1148</v>
      </c>
      <c r="H1271" t="s">
        <v>635</v>
      </c>
      <c r="I1271" t="s">
        <v>43</v>
      </c>
      <c r="J1271">
        <v>100</v>
      </c>
      <c r="K1271">
        <v>19</v>
      </c>
      <c r="L1271">
        <v>10</v>
      </c>
      <c r="M1271">
        <v>11</v>
      </c>
      <c r="N1271">
        <v>189</v>
      </c>
      <c r="O1271">
        <v>0</v>
      </c>
      <c r="P1271">
        <v>0</v>
      </c>
      <c r="Q1271" t="s">
        <v>44</v>
      </c>
      <c r="R1271">
        <v>44</v>
      </c>
      <c r="S1271" t="s">
        <v>44</v>
      </c>
      <c r="T1271" t="s">
        <v>44</v>
      </c>
      <c r="U1271" t="s">
        <v>44</v>
      </c>
      <c r="V1271">
        <v>14</v>
      </c>
      <c r="W1271" t="s">
        <v>44</v>
      </c>
      <c r="X1271" t="s">
        <v>44</v>
      </c>
      <c r="Y1271">
        <v>14</v>
      </c>
      <c r="Z1271" t="s">
        <v>44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14</v>
      </c>
      <c r="AQ1271">
        <f t="shared" si="45"/>
        <v>14</v>
      </c>
      <c r="AR1271" s="5">
        <f>VLOOKUP(F1271,'[1]Cost Sheet'!$C:$D,2,0)</f>
        <v>98.3</v>
      </c>
      <c r="AS1271" s="5">
        <f t="shared" si="44"/>
        <v>1376.2</v>
      </c>
    </row>
    <row r="1272" spans="1:45" x14ac:dyDescent="0.3">
      <c r="A1272" s="1">
        <v>45900.963194444441</v>
      </c>
      <c r="B1272" t="s">
        <v>1463</v>
      </c>
      <c r="C1272" t="s">
        <v>1464</v>
      </c>
      <c r="D1272" t="s">
        <v>1149</v>
      </c>
      <c r="E1272" t="s">
        <v>1149</v>
      </c>
      <c r="F1272" t="s">
        <v>2024</v>
      </c>
      <c r="G1272" t="s">
        <v>1150</v>
      </c>
      <c r="H1272" t="s">
        <v>635</v>
      </c>
      <c r="I1272" t="s">
        <v>43</v>
      </c>
      <c r="J1272">
        <v>100</v>
      </c>
      <c r="K1272">
        <v>19</v>
      </c>
      <c r="L1272">
        <v>10</v>
      </c>
      <c r="M1272">
        <v>11</v>
      </c>
      <c r="N1272">
        <v>140</v>
      </c>
      <c r="O1272">
        <v>0</v>
      </c>
      <c r="P1272">
        <v>0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>
        <v>20</v>
      </c>
      <c r="W1272" t="s">
        <v>44</v>
      </c>
      <c r="X1272" t="s">
        <v>44</v>
      </c>
      <c r="Y1272">
        <v>20</v>
      </c>
      <c r="Z1272" t="s">
        <v>44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20</v>
      </c>
      <c r="AQ1272">
        <f t="shared" si="45"/>
        <v>20</v>
      </c>
      <c r="AR1272" s="5">
        <f>VLOOKUP(F1272,'[1]Cost Sheet'!$C:$D,2,0)</f>
        <v>98.3</v>
      </c>
      <c r="AS1272" s="5">
        <f t="shared" si="44"/>
        <v>1966</v>
      </c>
    </row>
    <row r="1273" spans="1:45" x14ac:dyDescent="0.3">
      <c r="A1273" s="1">
        <v>45900.963194444441</v>
      </c>
      <c r="B1273" t="s">
        <v>1463</v>
      </c>
      <c r="C1273" t="s">
        <v>1464</v>
      </c>
      <c r="D1273" t="s">
        <v>1151</v>
      </c>
      <c r="E1273" t="s">
        <v>1151</v>
      </c>
      <c r="F1273" t="s">
        <v>2025</v>
      </c>
      <c r="G1273" t="s">
        <v>1152</v>
      </c>
      <c r="H1273" t="s">
        <v>635</v>
      </c>
      <c r="I1273" t="s">
        <v>43</v>
      </c>
      <c r="J1273">
        <v>100</v>
      </c>
      <c r="K1273">
        <v>19</v>
      </c>
      <c r="L1273">
        <v>10</v>
      </c>
      <c r="M1273">
        <v>11</v>
      </c>
      <c r="N1273">
        <v>364</v>
      </c>
      <c r="O1273">
        <v>0</v>
      </c>
      <c r="P1273">
        <v>0</v>
      </c>
      <c r="Q1273" t="s">
        <v>44</v>
      </c>
      <c r="R1273">
        <v>44</v>
      </c>
      <c r="S1273" t="s">
        <v>44</v>
      </c>
      <c r="T1273" t="s">
        <v>44</v>
      </c>
      <c r="U1273" t="s">
        <v>44</v>
      </c>
      <c r="V1273">
        <v>31</v>
      </c>
      <c r="W1273" t="s">
        <v>44</v>
      </c>
      <c r="X1273" t="s">
        <v>44</v>
      </c>
      <c r="Y1273">
        <v>31</v>
      </c>
      <c r="Z1273" t="s">
        <v>44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31</v>
      </c>
      <c r="AQ1273">
        <f t="shared" si="45"/>
        <v>31</v>
      </c>
      <c r="AR1273" s="5">
        <f>VLOOKUP(F1273,'[1]Cost Sheet'!$C:$D,2,0)</f>
        <v>98.3</v>
      </c>
      <c r="AS1273" s="5">
        <f t="shared" si="44"/>
        <v>3047.2999999999997</v>
      </c>
    </row>
    <row r="1274" spans="1:45" x14ac:dyDescent="0.3">
      <c r="A1274" s="1">
        <v>45900.963194444441</v>
      </c>
      <c r="B1274" t="s">
        <v>1463</v>
      </c>
      <c r="C1274" t="s">
        <v>1464</v>
      </c>
      <c r="D1274" t="s">
        <v>1153</v>
      </c>
      <c r="E1274" t="s">
        <v>1153</v>
      </c>
      <c r="F1274" t="s">
        <v>2026</v>
      </c>
      <c r="G1274" t="s">
        <v>1154</v>
      </c>
      <c r="H1274" t="s">
        <v>635</v>
      </c>
      <c r="I1274" t="s">
        <v>43</v>
      </c>
      <c r="J1274">
        <v>100</v>
      </c>
      <c r="K1274">
        <v>19</v>
      </c>
      <c r="L1274">
        <v>10</v>
      </c>
      <c r="M1274">
        <v>11</v>
      </c>
      <c r="N1274">
        <v>106</v>
      </c>
      <c r="O1274">
        <v>1</v>
      </c>
      <c r="P1274">
        <v>0</v>
      </c>
      <c r="Q1274" t="s">
        <v>44</v>
      </c>
      <c r="R1274">
        <v>2</v>
      </c>
      <c r="S1274" t="s">
        <v>44</v>
      </c>
      <c r="T1274" t="s">
        <v>44</v>
      </c>
      <c r="U1274" t="s">
        <v>44</v>
      </c>
      <c r="V1274">
        <v>4</v>
      </c>
      <c r="W1274" t="s">
        <v>44</v>
      </c>
      <c r="X1274" t="s">
        <v>44</v>
      </c>
      <c r="Y1274">
        <v>4</v>
      </c>
      <c r="Z1274" t="s">
        <v>44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5</v>
      </c>
      <c r="AQ1274">
        <f t="shared" si="45"/>
        <v>5</v>
      </c>
      <c r="AR1274" s="5">
        <f>VLOOKUP(F1274,'[1]Cost Sheet'!$C:$D,2,0)</f>
        <v>98.3</v>
      </c>
      <c r="AS1274" s="5">
        <f t="shared" si="44"/>
        <v>491.5</v>
      </c>
    </row>
    <row r="1275" spans="1:45" x14ac:dyDescent="0.3">
      <c r="A1275" s="1">
        <v>45900.963194444441</v>
      </c>
      <c r="B1275" t="s">
        <v>1463</v>
      </c>
      <c r="C1275" t="s">
        <v>1464</v>
      </c>
      <c r="D1275" t="s">
        <v>1157</v>
      </c>
      <c r="E1275" t="s">
        <v>1157</v>
      </c>
      <c r="F1275" t="s">
        <v>2028</v>
      </c>
      <c r="G1275" t="s">
        <v>1158</v>
      </c>
      <c r="H1275" t="s">
        <v>635</v>
      </c>
      <c r="I1275" t="s">
        <v>43</v>
      </c>
      <c r="J1275">
        <v>100</v>
      </c>
      <c r="K1275">
        <v>19</v>
      </c>
      <c r="L1275">
        <v>10</v>
      </c>
      <c r="M1275">
        <v>11</v>
      </c>
      <c r="N1275">
        <v>140</v>
      </c>
      <c r="O1275">
        <v>1</v>
      </c>
      <c r="P1275">
        <v>0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>
        <v>22</v>
      </c>
      <c r="W1275" t="s">
        <v>44</v>
      </c>
      <c r="X1275" t="s">
        <v>44</v>
      </c>
      <c r="Y1275">
        <v>22</v>
      </c>
      <c r="Z1275" t="s">
        <v>44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23</v>
      </c>
      <c r="AQ1275">
        <f t="shared" si="45"/>
        <v>23</v>
      </c>
      <c r="AR1275" s="5">
        <f>VLOOKUP(F1275,'[1]Cost Sheet'!$C:$D,2,0)</f>
        <v>98.299999999999983</v>
      </c>
      <c r="AS1275" s="5">
        <f t="shared" si="44"/>
        <v>2260.8999999999996</v>
      </c>
    </row>
    <row r="1276" spans="1:45" x14ac:dyDescent="0.3">
      <c r="A1276" s="1">
        <v>45900.963194444441</v>
      </c>
      <c r="B1276" t="s">
        <v>1463</v>
      </c>
      <c r="C1276" t="s">
        <v>1464</v>
      </c>
      <c r="D1276" t="s">
        <v>1159</v>
      </c>
      <c r="E1276" t="s">
        <v>1159</v>
      </c>
      <c r="F1276" t="s">
        <v>2029</v>
      </c>
      <c r="G1276" t="s">
        <v>1160</v>
      </c>
      <c r="H1276" t="s">
        <v>635</v>
      </c>
      <c r="I1276" t="s">
        <v>43</v>
      </c>
      <c r="J1276">
        <v>100</v>
      </c>
      <c r="K1276">
        <v>19</v>
      </c>
      <c r="L1276">
        <v>10</v>
      </c>
      <c r="M1276">
        <v>11</v>
      </c>
      <c r="N1276">
        <v>141</v>
      </c>
      <c r="O1276">
        <v>0</v>
      </c>
      <c r="P1276">
        <v>0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>
        <v>22</v>
      </c>
      <c r="W1276" t="s">
        <v>44</v>
      </c>
      <c r="X1276" t="s">
        <v>44</v>
      </c>
      <c r="Y1276">
        <v>22</v>
      </c>
      <c r="Z1276" t="s">
        <v>44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22</v>
      </c>
      <c r="AQ1276">
        <f t="shared" si="45"/>
        <v>22</v>
      </c>
      <c r="AR1276" s="5">
        <f>VLOOKUP(F1276,'[1]Cost Sheet'!$C:$D,2,0)</f>
        <v>98.3</v>
      </c>
      <c r="AS1276" s="5">
        <f t="shared" si="44"/>
        <v>2162.6</v>
      </c>
    </row>
    <row r="1277" spans="1:45" x14ac:dyDescent="0.3">
      <c r="A1277" s="1">
        <v>45900.963194444441</v>
      </c>
      <c r="B1277" t="s">
        <v>1463</v>
      </c>
      <c r="C1277" t="s">
        <v>1464</v>
      </c>
      <c r="D1277" t="s">
        <v>1161</v>
      </c>
      <c r="E1277" t="s">
        <v>1161</v>
      </c>
      <c r="F1277" t="s">
        <v>2030</v>
      </c>
      <c r="G1277" t="s">
        <v>1162</v>
      </c>
      <c r="H1277" t="s">
        <v>635</v>
      </c>
      <c r="I1277" t="s">
        <v>43</v>
      </c>
      <c r="J1277">
        <v>100</v>
      </c>
      <c r="K1277">
        <v>19</v>
      </c>
      <c r="L1277">
        <v>10</v>
      </c>
      <c r="M1277">
        <v>11</v>
      </c>
      <c r="N1277">
        <v>146</v>
      </c>
      <c r="O1277">
        <v>0</v>
      </c>
      <c r="P1277">
        <v>0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>
        <v>22</v>
      </c>
      <c r="W1277" t="s">
        <v>44</v>
      </c>
      <c r="X1277" t="s">
        <v>44</v>
      </c>
      <c r="Y1277">
        <v>22</v>
      </c>
      <c r="Z1277" t="s">
        <v>44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22</v>
      </c>
      <c r="AQ1277">
        <f t="shared" si="45"/>
        <v>22</v>
      </c>
      <c r="AR1277" s="5">
        <f>VLOOKUP(F1277,'[1]Cost Sheet'!$C:$D,2,0)</f>
        <v>98.3</v>
      </c>
      <c r="AS1277" s="5">
        <f t="shared" si="44"/>
        <v>2162.6</v>
      </c>
    </row>
    <row r="1278" spans="1:45" x14ac:dyDescent="0.3">
      <c r="A1278" s="1">
        <v>45900.963194444441</v>
      </c>
      <c r="B1278" t="s">
        <v>1463</v>
      </c>
      <c r="C1278" t="s">
        <v>1464</v>
      </c>
      <c r="D1278" t="s">
        <v>1163</v>
      </c>
      <c r="E1278" t="s">
        <v>1163</v>
      </c>
      <c r="F1278" t="s">
        <v>2031</v>
      </c>
      <c r="G1278" t="s">
        <v>1164</v>
      </c>
      <c r="H1278" t="s">
        <v>635</v>
      </c>
      <c r="I1278" t="s">
        <v>43</v>
      </c>
      <c r="J1278">
        <v>100</v>
      </c>
      <c r="K1278">
        <v>19</v>
      </c>
      <c r="L1278">
        <v>10</v>
      </c>
      <c r="M1278">
        <v>11</v>
      </c>
      <c r="N1278">
        <v>144</v>
      </c>
      <c r="O1278">
        <v>0</v>
      </c>
      <c r="P1278">
        <v>0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>
        <v>25</v>
      </c>
      <c r="W1278" t="s">
        <v>44</v>
      </c>
      <c r="X1278" t="s">
        <v>44</v>
      </c>
      <c r="Y1278">
        <v>25</v>
      </c>
      <c r="Z1278" t="s">
        <v>44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25</v>
      </c>
      <c r="AQ1278">
        <f t="shared" si="45"/>
        <v>25</v>
      </c>
      <c r="AR1278" s="5">
        <f>VLOOKUP(F1278,'[1]Cost Sheet'!$C:$D,2,0)</f>
        <v>98.3</v>
      </c>
      <c r="AS1278" s="5">
        <f t="shared" si="44"/>
        <v>2457.5</v>
      </c>
    </row>
    <row r="1279" spans="1:45" x14ac:dyDescent="0.3">
      <c r="A1279" s="1">
        <v>45900.963194444441</v>
      </c>
      <c r="B1279" t="s">
        <v>1463</v>
      </c>
      <c r="C1279" t="s">
        <v>1464</v>
      </c>
      <c r="D1279" t="s">
        <v>1165</v>
      </c>
      <c r="E1279" t="s">
        <v>1165</v>
      </c>
      <c r="F1279" t="s">
        <v>2032</v>
      </c>
      <c r="G1279" t="s">
        <v>1166</v>
      </c>
      <c r="H1279" t="s">
        <v>635</v>
      </c>
      <c r="I1279" t="s">
        <v>43</v>
      </c>
      <c r="J1279">
        <v>100</v>
      </c>
      <c r="K1279">
        <v>19</v>
      </c>
      <c r="L1279">
        <v>10</v>
      </c>
      <c r="M1279">
        <v>11</v>
      </c>
      <c r="N1279">
        <v>164</v>
      </c>
      <c r="O1279">
        <v>0</v>
      </c>
      <c r="P1279">
        <v>0</v>
      </c>
      <c r="Q1279" t="s">
        <v>44</v>
      </c>
      <c r="R1279">
        <v>4</v>
      </c>
      <c r="S1279" t="s">
        <v>44</v>
      </c>
      <c r="T1279" t="s">
        <v>44</v>
      </c>
      <c r="U1279" t="s">
        <v>44</v>
      </c>
      <c r="V1279">
        <v>22</v>
      </c>
      <c r="W1279" t="s">
        <v>44</v>
      </c>
      <c r="X1279" t="s">
        <v>44</v>
      </c>
      <c r="Y1279">
        <v>22</v>
      </c>
      <c r="Z1279" t="s">
        <v>44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22</v>
      </c>
      <c r="AQ1279">
        <f t="shared" si="45"/>
        <v>22</v>
      </c>
      <c r="AR1279" s="5">
        <f>VLOOKUP(F1279,'[1]Cost Sheet'!$C:$D,2,0)</f>
        <v>98.299999999999983</v>
      </c>
      <c r="AS1279" s="5">
        <f t="shared" si="44"/>
        <v>2162.5999999999995</v>
      </c>
    </row>
    <row r="1280" spans="1:45" x14ac:dyDescent="0.3">
      <c r="A1280" s="1">
        <v>45900.963194444441</v>
      </c>
      <c r="B1280" t="s">
        <v>1463</v>
      </c>
      <c r="C1280" t="s">
        <v>1464</v>
      </c>
      <c r="D1280" t="s">
        <v>1167</v>
      </c>
      <c r="E1280" t="s">
        <v>1167</v>
      </c>
      <c r="F1280" t="s">
        <v>2033</v>
      </c>
      <c r="G1280" t="s">
        <v>1168</v>
      </c>
      <c r="H1280" t="s">
        <v>635</v>
      </c>
      <c r="I1280" t="s">
        <v>43</v>
      </c>
      <c r="J1280">
        <v>100</v>
      </c>
      <c r="K1280">
        <v>19</v>
      </c>
      <c r="L1280">
        <v>10</v>
      </c>
      <c r="M1280">
        <v>11</v>
      </c>
      <c r="N1280">
        <v>247</v>
      </c>
      <c r="O1280">
        <v>0</v>
      </c>
      <c r="P1280">
        <v>0</v>
      </c>
      <c r="Q1280" t="s">
        <v>44</v>
      </c>
      <c r="R1280">
        <v>4</v>
      </c>
      <c r="S1280" t="s">
        <v>44</v>
      </c>
      <c r="T1280" t="s">
        <v>44</v>
      </c>
      <c r="U1280" t="s">
        <v>44</v>
      </c>
      <c r="V1280">
        <v>6</v>
      </c>
      <c r="W1280" t="s">
        <v>44</v>
      </c>
      <c r="X1280" t="s">
        <v>44</v>
      </c>
      <c r="Y1280">
        <v>6</v>
      </c>
      <c r="Z1280" t="s">
        <v>44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6</v>
      </c>
      <c r="AQ1280">
        <f t="shared" si="45"/>
        <v>6</v>
      </c>
      <c r="AR1280" s="5">
        <f>VLOOKUP(F1280,'[1]Cost Sheet'!$C:$D,2,0)</f>
        <v>98.3</v>
      </c>
      <c r="AS1280" s="5">
        <f t="shared" si="44"/>
        <v>589.79999999999995</v>
      </c>
    </row>
    <row r="1281" spans="1:45" x14ac:dyDescent="0.3">
      <c r="A1281" s="1">
        <v>45900.963194444441</v>
      </c>
      <c r="B1281" t="s">
        <v>1463</v>
      </c>
      <c r="C1281" t="s">
        <v>1464</v>
      </c>
      <c r="D1281" t="s">
        <v>1173</v>
      </c>
      <c r="E1281" t="s">
        <v>1173</v>
      </c>
      <c r="F1281" t="s">
        <v>2036</v>
      </c>
      <c r="G1281" t="s">
        <v>1174</v>
      </c>
      <c r="H1281" t="s">
        <v>635</v>
      </c>
      <c r="I1281" t="s">
        <v>43</v>
      </c>
      <c r="J1281">
        <v>100</v>
      </c>
      <c r="K1281">
        <v>19</v>
      </c>
      <c r="L1281">
        <v>10</v>
      </c>
      <c r="M1281">
        <v>11</v>
      </c>
      <c r="N1281">
        <v>123</v>
      </c>
      <c r="O1281">
        <v>2</v>
      </c>
      <c r="P1281">
        <v>0</v>
      </c>
      <c r="Q1281" t="s">
        <v>44</v>
      </c>
      <c r="R1281">
        <v>3</v>
      </c>
      <c r="S1281" t="s">
        <v>44</v>
      </c>
      <c r="T1281" t="s">
        <v>44</v>
      </c>
      <c r="U1281" t="s">
        <v>44</v>
      </c>
      <c r="V1281">
        <v>33</v>
      </c>
      <c r="W1281" t="s">
        <v>44</v>
      </c>
      <c r="X1281" t="s">
        <v>44</v>
      </c>
      <c r="Y1281">
        <v>33</v>
      </c>
      <c r="Z1281" t="s">
        <v>44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35</v>
      </c>
      <c r="AQ1281">
        <f t="shared" si="45"/>
        <v>35</v>
      </c>
      <c r="AR1281" s="5">
        <f>VLOOKUP(F1281,'[1]Cost Sheet'!$C:$D,2,0)</f>
        <v>98.3</v>
      </c>
      <c r="AS1281" s="5">
        <f t="shared" si="44"/>
        <v>3440.5</v>
      </c>
    </row>
    <row r="1282" spans="1:45" x14ac:dyDescent="0.3">
      <c r="A1282" s="1">
        <v>45900.963194444441</v>
      </c>
      <c r="B1282" t="s">
        <v>1463</v>
      </c>
      <c r="C1282" t="s">
        <v>1464</v>
      </c>
      <c r="D1282" t="s">
        <v>1177</v>
      </c>
      <c r="E1282" t="s">
        <v>1177</v>
      </c>
      <c r="F1282" t="s">
        <v>2038</v>
      </c>
      <c r="G1282" t="s">
        <v>1178</v>
      </c>
      <c r="H1282" t="s">
        <v>635</v>
      </c>
      <c r="I1282" t="s">
        <v>43</v>
      </c>
      <c r="J1282">
        <v>100</v>
      </c>
      <c r="K1282">
        <v>19</v>
      </c>
      <c r="L1282">
        <v>10</v>
      </c>
      <c r="M1282">
        <v>11</v>
      </c>
      <c r="N1282">
        <v>280</v>
      </c>
      <c r="O1282">
        <v>0</v>
      </c>
      <c r="P1282">
        <v>0</v>
      </c>
      <c r="Q1282" t="s">
        <v>44</v>
      </c>
      <c r="R1282">
        <v>44</v>
      </c>
      <c r="S1282" t="s">
        <v>44</v>
      </c>
      <c r="T1282" t="s">
        <v>44</v>
      </c>
      <c r="U1282" t="s">
        <v>44</v>
      </c>
      <c r="V1282">
        <v>13</v>
      </c>
      <c r="W1282" t="s">
        <v>44</v>
      </c>
      <c r="X1282" t="s">
        <v>44</v>
      </c>
      <c r="Y1282">
        <v>13</v>
      </c>
      <c r="Z1282" t="s">
        <v>44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13</v>
      </c>
      <c r="AQ1282">
        <f t="shared" si="45"/>
        <v>13</v>
      </c>
      <c r="AR1282" s="5">
        <f>VLOOKUP(F1282,'[1]Cost Sheet'!$C:$D,2,0)</f>
        <v>98.299999999999983</v>
      </c>
      <c r="AS1282" s="5">
        <f t="shared" si="44"/>
        <v>1277.8999999999999</v>
      </c>
    </row>
    <row r="1283" spans="1:45" x14ac:dyDescent="0.3">
      <c r="A1283" s="1">
        <v>45900.963194444441</v>
      </c>
      <c r="B1283" t="s">
        <v>1463</v>
      </c>
      <c r="C1283" t="s">
        <v>1464</v>
      </c>
      <c r="D1283" t="s">
        <v>1179</v>
      </c>
      <c r="E1283" t="s">
        <v>1179</v>
      </c>
      <c r="F1283" t="s">
        <v>2039</v>
      </c>
      <c r="G1283" t="s">
        <v>1180</v>
      </c>
      <c r="H1283" t="s">
        <v>635</v>
      </c>
      <c r="I1283" t="s">
        <v>43</v>
      </c>
      <c r="J1283">
        <v>100</v>
      </c>
      <c r="K1283">
        <v>19</v>
      </c>
      <c r="L1283">
        <v>10</v>
      </c>
      <c r="M1283">
        <v>11</v>
      </c>
      <c r="N1283">
        <v>251</v>
      </c>
      <c r="O1283">
        <v>0</v>
      </c>
      <c r="P1283">
        <v>0</v>
      </c>
      <c r="Q1283" t="s">
        <v>44</v>
      </c>
      <c r="R1283">
        <v>44</v>
      </c>
      <c r="S1283" t="s">
        <v>44</v>
      </c>
      <c r="T1283" t="s">
        <v>44</v>
      </c>
      <c r="U1283" t="s">
        <v>44</v>
      </c>
      <c r="V1283">
        <v>7</v>
      </c>
      <c r="W1283" t="s">
        <v>44</v>
      </c>
      <c r="X1283" t="s">
        <v>44</v>
      </c>
      <c r="Y1283">
        <v>7</v>
      </c>
      <c r="Z1283" t="s">
        <v>44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7</v>
      </c>
      <c r="AQ1283">
        <f t="shared" si="45"/>
        <v>7</v>
      </c>
      <c r="AR1283" s="5">
        <f>VLOOKUP(F1283,'[1]Cost Sheet'!$C:$D,2,0)</f>
        <v>98.3</v>
      </c>
      <c r="AS1283" s="5">
        <f t="shared" ref="AS1283:AS1346" si="46">AQ1283*AR1283</f>
        <v>688.1</v>
      </c>
    </row>
    <row r="1284" spans="1:45" x14ac:dyDescent="0.3">
      <c r="A1284" s="1">
        <v>45900.963194444441</v>
      </c>
      <c r="B1284" t="s">
        <v>1463</v>
      </c>
      <c r="C1284" t="s">
        <v>1464</v>
      </c>
      <c r="D1284" t="s">
        <v>1191</v>
      </c>
      <c r="E1284" t="s">
        <v>1191</v>
      </c>
      <c r="F1284" t="s">
        <v>2045</v>
      </c>
      <c r="G1284" t="s">
        <v>1192</v>
      </c>
      <c r="H1284" t="s">
        <v>635</v>
      </c>
      <c r="I1284" t="s">
        <v>43</v>
      </c>
      <c r="J1284">
        <v>100</v>
      </c>
      <c r="K1284">
        <v>19</v>
      </c>
      <c r="L1284">
        <v>10</v>
      </c>
      <c r="M1284">
        <v>11</v>
      </c>
      <c r="N1284">
        <v>947</v>
      </c>
      <c r="O1284">
        <v>1</v>
      </c>
      <c r="P1284">
        <v>0</v>
      </c>
      <c r="Q1284" t="s">
        <v>44</v>
      </c>
      <c r="R1284">
        <v>350</v>
      </c>
      <c r="S1284" t="s">
        <v>44</v>
      </c>
      <c r="T1284" t="s">
        <v>44</v>
      </c>
      <c r="U1284" t="s">
        <v>44</v>
      </c>
      <c r="V1284">
        <v>17</v>
      </c>
      <c r="W1284" t="s">
        <v>44</v>
      </c>
      <c r="X1284" t="s">
        <v>44</v>
      </c>
      <c r="Y1284">
        <v>17</v>
      </c>
      <c r="Z1284" t="s">
        <v>44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18</v>
      </c>
      <c r="AQ1284">
        <f t="shared" si="45"/>
        <v>18</v>
      </c>
      <c r="AR1284" s="5">
        <f>VLOOKUP(F1284,'[1]Cost Sheet'!$C:$D,2,0)</f>
        <v>113</v>
      </c>
      <c r="AS1284" s="5">
        <f t="shared" si="46"/>
        <v>2034</v>
      </c>
    </row>
    <row r="1285" spans="1:45" x14ac:dyDescent="0.3">
      <c r="A1285" s="1">
        <v>45900.963194444441</v>
      </c>
      <c r="B1285" t="s">
        <v>1463</v>
      </c>
      <c r="C1285" t="s">
        <v>1464</v>
      </c>
      <c r="D1285" t="s">
        <v>582</v>
      </c>
      <c r="F1285" t="s">
        <v>1745</v>
      </c>
      <c r="G1285" t="s">
        <v>583</v>
      </c>
      <c r="H1285" t="s">
        <v>130</v>
      </c>
      <c r="I1285" t="s">
        <v>43</v>
      </c>
      <c r="J1285">
        <v>32</v>
      </c>
      <c r="K1285">
        <v>19</v>
      </c>
      <c r="L1285">
        <v>10</v>
      </c>
      <c r="M1285">
        <v>11</v>
      </c>
      <c r="N1285">
        <v>6718</v>
      </c>
      <c r="O1285">
        <v>86</v>
      </c>
      <c r="P1285">
        <v>0</v>
      </c>
      <c r="Q1285">
        <v>7</v>
      </c>
      <c r="R1285" t="s">
        <v>44</v>
      </c>
      <c r="S1285" t="s">
        <v>44</v>
      </c>
      <c r="T1285" t="s">
        <v>44</v>
      </c>
      <c r="U1285" t="s">
        <v>44</v>
      </c>
      <c r="V1285">
        <v>37</v>
      </c>
      <c r="W1285">
        <v>2</v>
      </c>
      <c r="X1285" t="s">
        <v>44</v>
      </c>
      <c r="Y1285">
        <v>37</v>
      </c>
      <c r="Z1285" t="s">
        <v>44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2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123</v>
      </c>
      <c r="AQ1285">
        <f t="shared" ref="AQ1285:AQ1337" si="47">O1285+P1285+V1285+AA1285</f>
        <v>123</v>
      </c>
      <c r="AR1285" s="5">
        <f>VLOOKUP(F1285,'[2]SCP_24-25'!$A:$D,4,0)</f>
        <v>96.2</v>
      </c>
      <c r="AS1285" s="5">
        <f t="shared" si="46"/>
        <v>11832.6</v>
      </c>
    </row>
    <row r="1286" spans="1:45" x14ac:dyDescent="0.3">
      <c r="A1286" s="1">
        <v>45900.963194444441</v>
      </c>
      <c r="B1286" t="s">
        <v>1463</v>
      </c>
      <c r="C1286" t="s">
        <v>1464</v>
      </c>
      <c r="D1286" t="s">
        <v>548</v>
      </c>
      <c r="F1286" t="s">
        <v>1728</v>
      </c>
      <c r="G1286" t="s">
        <v>549</v>
      </c>
      <c r="H1286" t="s">
        <v>130</v>
      </c>
      <c r="I1286" t="s">
        <v>43</v>
      </c>
      <c r="J1286">
        <v>63.02</v>
      </c>
      <c r="K1286">
        <v>19</v>
      </c>
      <c r="L1286">
        <v>10</v>
      </c>
      <c r="M1286">
        <v>11</v>
      </c>
      <c r="N1286">
        <v>4734</v>
      </c>
      <c r="O1286">
        <v>3</v>
      </c>
      <c r="P1286">
        <v>0</v>
      </c>
      <c r="Q1286">
        <v>2</v>
      </c>
      <c r="R1286" t="s">
        <v>44</v>
      </c>
      <c r="S1286" t="s">
        <v>44</v>
      </c>
      <c r="T1286" t="s">
        <v>44</v>
      </c>
      <c r="U1286" t="s">
        <v>44</v>
      </c>
      <c r="V1286">
        <v>0</v>
      </c>
      <c r="W1286" t="s">
        <v>44</v>
      </c>
      <c r="X1286" t="s">
        <v>44</v>
      </c>
      <c r="Y1286" t="s">
        <v>44</v>
      </c>
      <c r="Z1286" t="s">
        <v>44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3</v>
      </c>
      <c r="AQ1286">
        <f t="shared" si="47"/>
        <v>3</v>
      </c>
      <c r="AR1286" s="5">
        <f>VLOOKUP(F1286,'[2]SCP_24-25'!$A:$D,4,0)</f>
        <v>91.39</v>
      </c>
      <c r="AS1286" s="5">
        <f t="shared" si="46"/>
        <v>274.17</v>
      </c>
    </row>
    <row r="1287" spans="1:45" x14ac:dyDescent="0.3">
      <c r="A1287" s="1">
        <v>45900.963194444441</v>
      </c>
      <c r="B1287" t="s">
        <v>1463</v>
      </c>
      <c r="C1287" t="s">
        <v>1464</v>
      </c>
      <c r="D1287" t="s">
        <v>1197</v>
      </c>
      <c r="F1287" t="s">
        <v>2048</v>
      </c>
      <c r="G1287" t="s">
        <v>1198</v>
      </c>
      <c r="H1287" t="s">
        <v>130</v>
      </c>
      <c r="I1287" t="s">
        <v>43</v>
      </c>
      <c r="J1287">
        <v>4.2</v>
      </c>
      <c r="K1287">
        <v>19</v>
      </c>
      <c r="L1287">
        <v>10</v>
      </c>
      <c r="M1287">
        <v>11</v>
      </c>
      <c r="N1287">
        <v>171</v>
      </c>
      <c r="O1287">
        <v>0</v>
      </c>
      <c r="P1287">
        <v>0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>
        <v>58</v>
      </c>
      <c r="W1287" t="s">
        <v>44</v>
      </c>
      <c r="X1287" t="s">
        <v>44</v>
      </c>
      <c r="Y1287">
        <v>58</v>
      </c>
      <c r="Z1287" t="s">
        <v>44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58</v>
      </c>
      <c r="AQ1287">
        <f t="shared" si="47"/>
        <v>58</v>
      </c>
      <c r="AR1287" s="5">
        <f>VLOOKUP(F1287,'[1]Cost Sheet'!$C:$D,2,0)</f>
        <v>96.2</v>
      </c>
      <c r="AS1287" s="5">
        <f t="shared" si="46"/>
        <v>5579.6</v>
      </c>
    </row>
    <row r="1288" spans="1:45" x14ac:dyDescent="0.3">
      <c r="A1288" s="1">
        <v>45900.963194444441</v>
      </c>
      <c r="B1288" t="s">
        <v>1463</v>
      </c>
      <c r="C1288" t="s">
        <v>1464</v>
      </c>
      <c r="D1288" t="s">
        <v>1199</v>
      </c>
      <c r="F1288" t="s">
        <v>2049</v>
      </c>
      <c r="G1288" t="s">
        <v>1200</v>
      </c>
      <c r="H1288" t="s">
        <v>130</v>
      </c>
      <c r="I1288" t="s">
        <v>43</v>
      </c>
      <c r="J1288">
        <v>4.2</v>
      </c>
      <c r="K1288">
        <v>19</v>
      </c>
      <c r="L1288">
        <v>10</v>
      </c>
      <c r="M1288">
        <v>11</v>
      </c>
      <c r="N1288">
        <v>156</v>
      </c>
      <c r="O1288">
        <v>2</v>
      </c>
      <c r="P1288">
        <v>0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>
        <v>18</v>
      </c>
      <c r="W1288" t="s">
        <v>44</v>
      </c>
      <c r="X1288" t="s">
        <v>44</v>
      </c>
      <c r="Y1288">
        <v>18</v>
      </c>
      <c r="Z1288" t="s">
        <v>44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20</v>
      </c>
      <c r="AQ1288">
        <f t="shared" si="47"/>
        <v>20</v>
      </c>
      <c r="AR1288" s="5">
        <f>VLOOKUP(F1288,'[1]Cost Sheet'!$C:$D,2,0)</f>
        <v>96.2</v>
      </c>
      <c r="AS1288" s="5">
        <f t="shared" si="46"/>
        <v>1924</v>
      </c>
    </row>
    <row r="1289" spans="1:45" x14ac:dyDescent="0.3">
      <c r="A1289" s="1">
        <v>45900.963194444441</v>
      </c>
      <c r="B1289" t="s">
        <v>1463</v>
      </c>
      <c r="C1289" t="s">
        <v>1464</v>
      </c>
      <c r="D1289" t="s">
        <v>1201</v>
      </c>
      <c r="F1289" t="s">
        <v>2050</v>
      </c>
      <c r="G1289" t="s">
        <v>1202</v>
      </c>
      <c r="H1289" t="s">
        <v>130</v>
      </c>
      <c r="I1289" t="s">
        <v>43</v>
      </c>
      <c r="J1289">
        <v>4.2</v>
      </c>
      <c r="K1289">
        <v>19</v>
      </c>
      <c r="L1289">
        <v>10</v>
      </c>
      <c r="M1289">
        <v>11</v>
      </c>
      <c r="N1289">
        <v>268</v>
      </c>
      <c r="O1289">
        <v>0</v>
      </c>
      <c r="P1289">
        <v>0</v>
      </c>
      <c r="Q1289" t="s">
        <v>44</v>
      </c>
      <c r="R1289" t="s">
        <v>44</v>
      </c>
      <c r="S1289" t="s">
        <v>44</v>
      </c>
      <c r="T1289" t="s">
        <v>44</v>
      </c>
      <c r="U1289" t="s">
        <v>44</v>
      </c>
      <c r="V1289">
        <v>5</v>
      </c>
      <c r="W1289" t="s">
        <v>44</v>
      </c>
      <c r="X1289" t="s">
        <v>44</v>
      </c>
      <c r="Y1289">
        <v>5</v>
      </c>
      <c r="Z1289" t="s">
        <v>44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5</v>
      </c>
      <c r="AQ1289">
        <f t="shared" si="47"/>
        <v>5</v>
      </c>
      <c r="AR1289" s="5">
        <f>VLOOKUP(F1289,'[1]Cost Sheet'!$C:$D,2,0)</f>
        <v>96.2</v>
      </c>
      <c r="AS1289" s="5">
        <f t="shared" si="46"/>
        <v>481</v>
      </c>
    </row>
    <row r="1290" spans="1:45" x14ac:dyDescent="0.3">
      <c r="A1290" s="1">
        <v>45900.963194444441</v>
      </c>
      <c r="B1290" t="s">
        <v>1463</v>
      </c>
      <c r="C1290" t="s">
        <v>1464</v>
      </c>
      <c r="D1290" t="s">
        <v>1432</v>
      </c>
      <c r="F1290" t="s">
        <v>2162</v>
      </c>
      <c r="G1290" t="s">
        <v>1433</v>
      </c>
      <c r="H1290" t="s">
        <v>130</v>
      </c>
      <c r="I1290" t="s">
        <v>43</v>
      </c>
      <c r="J1290">
        <v>4.2</v>
      </c>
      <c r="K1290">
        <v>19</v>
      </c>
      <c r="L1290">
        <v>10</v>
      </c>
      <c r="M1290">
        <v>11</v>
      </c>
      <c r="N1290">
        <v>152</v>
      </c>
      <c r="O1290">
        <v>3</v>
      </c>
      <c r="P1290">
        <v>0</v>
      </c>
      <c r="Q1290" t="s">
        <v>44</v>
      </c>
      <c r="R1290" t="s">
        <v>44</v>
      </c>
      <c r="S1290" t="s">
        <v>44</v>
      </c>
      <c r="T1290" t="s">
        <v>44</v>
      </c>
      <c r="U1290" t="s">
        <v>44</v>
      </c>
      <c r="V1290">
        <v>12</v>
      </c>
      <c r="W1290" t="s">
        <v>44</v>
      </c>
      <c r="X1290" t="s">
        <v>44</v>
      </c>
      <c r="Y1290">
        <v>12</v>
      </c>
      <c r="Z1290" t="s">
        <v>44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15</v>
      </c>
      <c r="AQ1290">
        <f t="shared" si="47"/>
        <v>15</v>
      </c>
      <c r="AR1290" s="5">
        <f>VLOOKUP(F1290,'[1]Cost Sheet'!$C:$D,2,0)</f>
        <v>96.2</v>
      </c>
      <c r="AS1290" s="5">
        <f t="shared" si="46"/>
        <v>1443</v>
      </c>
    </row>
    <row r="1291" spans="1:45" x14ac:dyDescent="0.3">
      <c r="A1291" s="1">
        <v>45900.963194444441</v>
      </c>
      <c r="B1291" t="s">
        <v>1463</v>
      </c>
      <c r="C1291" t="s">
        <v>1464</v>
      </c>
      <c r="D1291" t="s">
        <v>1203</v>
      </c>
      <c r="F1291" t="s">
        <v>2051</v>
      </c>
      <c r="G1291" t="s">
        <v>1204</v>
      </c>
      <c r="H1291" t="s">
        <v>66</v>
      </c>
      <c r="I1291" t="s">
        <v>43</v>
      </c>
      <c r="J1291">
        <v>100</v>
      </c>
      <c r="K1291">
        <v>19</v>
      </c>
      <c r="L1291">
        <v>10</v>
      </c>
      <c r="M1291">
        <v>11</v>
      </c>
      <c r="N1291">
        <v>621</v>
      </c>
      <c r="O1291">
        <v>5</v>
      </c>
      <c r="P1291">
        <v>0</v>
      </c>
      <c r="Q1291" t="s">
        <v>44</v>
      </c>
      <c r="R1291">
        <v>151</v>
      </c>
      <c r="S1291" t="s">
        <v>44</v>
      </c>
      <c r="T1291" t="s">
        <v>44</v>
      </c>
      <c r="U1291" t="s">
        <v>44</v>
      </c>
      <c r="V1291">
        <v>0</v>
      </c>
      <c r="W1291" t="s">
        <v>44</v>
      </c>
      <c r="X1291" t="s">
        <v>44</v>
      </c>
      <c r="Y1291" t="s">
        <v>44</v>
      </c>
      <c r="Z1291" t="s">
        <v>44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5</v>
      </c>
      <c r="AQ1291">
        <f t="shared" si="47"/>
        <v>5</v>
      </c>
      <c r="AR1291" s="5">
        <f>VLOOKUP(F1291,'[1]Cost Sheet'!$C:$D,2,0)</f>
        <v>34.880000000000003</v>
      </c>
      <c r="AS1291" s="5">
        <f t="shared" si="46"/>
        <v>174.4</v>
      </c>
    </row>
    <row r="1292" spans="1:45" x14ac:dyDescent="0.3">
      <c r="A1292" s="1">
        <v>45900.963194444441</v>
      </c>
      <c r="B1292" t="s">
        <v>1463</v>
      </c>
      <c r="C1292" t="s">
        <v>1464</v>
      </c>
      <c r="D1292" t="s">
        <v>1205</v>
      </c>
      <c r="F1292" t="s">
        <v>2052</v>
      </c>
      <c r="G1292" t="s">
        <v>1206</v>
      </c>
      <c r="H1292" t="s">
        <v>66</v>
      </c>
      <c r="I1292" t="s">
        <v>43</v>
      </c>
      <c r="J1292">
        <v>30</v>
      </c>
      <c r="K1292">
        <v>19</v>
      </c>
      <c r="L1292">
        <v>10</v>
      </c>
      <c r="M1292">
        <v>11</v>
      </c>
      <c r="N1292">
        <v>610</v>
      </c>
      <c r="O1292">
        <v>0</v>
      </c>
      <c r="P1292">
        <v>0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>
        <v>63</v>
      </c>
      <c r="W1292" t="s">
        <v>44</v>
      </c>
      <c r="X1292" t="s">
        <v>44</v>
      </c>
      <c r="Y1292">
        <v>63</v>
      </c>
      <c r="Z1292" t="s">
        <v>44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63</v>
      </c>
      <c r="AQ1292">
        <f t="shared" si="47"/>
        <v>63</v>
      </c>
      <c r="AR1292" s="5">
        <f>VLOOKUP(F1292,'[1]Cost Sheet'!$C:$D,2,0)</f>
        <v>71.81</v>
      </c>
      <c r="AS1292" s="5">
        <f t="shared" si="46"/>
        <v>4524.03</v>
      </c>
    </row>
    <row r="1293" spans="1:45" x14ac:dyDescent="0.3">
      <c r="A1293" s="1">
        <v>45900.963194444441</v>
      </c>
      <c r="B1293" t="s">
        <v>1463</v>
      </c>
      <c r="C1293" t="s">
        <v>1464</v>
      </c>
      <c r="D1293" t="s">
        <v>411</v>
      </c>
      <c r="F1293" t="s">
        <v>1663</v>
      </c>
      <c r="G1293" t="s">
        <v>412</v>
      </c>
      <c r="H1293" t="s">
        <v>66</v>
      </c>
      <c r="I1293" t="s">
        <v>43</v>
      </c>
      <c r="J1293">
        <v>115</v>
      </c>
      <c r="K1293">
        <v>19</v>
      </c>
      <c r="L1293">
        <v>11</v>
      </c>
      <c r="M1293">
        <v>10</v>
      </c>
      <c r="N1293">
        <v>53384</v>
      </c>
      <c r="O1293">
        <v>477</v>
      </c>
      <c r="P1293">
        <v>0</v>
      </c>
      <c r="Q1293">
        <v>6</v>
      </c>
      <c r="R1293" t="s">
        <v>44</v>
      </c>
      <c r="S1293" t="s">
        <v>44</v>
      </c>
      <c r="T1293" t="s">
        <v>44</v>
      </c>
      <c r="U1293" t="s">
        <v>44</v>
      </c>
      <c r="V1293">
        <v>0</v>
      </c>
      <c r="W1293">
        <v>15</v>
      </c>
      <c r="X1293" t="s">
        <v>44</v>
      </c>
      <c r="Y1293" t="s">
        <v>44</v>
      </c>
      <c r="Z1293" t="s">
        <v>44</v>
      </c>
      <c r="AA1293">
        <v>12</v>
      </c>
      <c r="AB1293">
        <v>0</v>
      </c>
      <c r="AC1293">
        <v>0</v>
      </c>
      <c r="AD1293">
        <v>0</v>
      </c>
      <c r="AE1293">
        <v>0</v>
      </c>
      <c r="AF1293">
        <v>6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489</v>
      </c>
      <c r="AQ1293">
        <f t="shared" si="47"/>
        <v>489</v>
      </c>
      <c r="AR1293" s="5">
        <f>VLOOKUP(F1293,'[2]SCP_24-25'!$A:$D,4,0)</f>
        <v>54.699999999999996</v>
      </c>
      <c r="AS1293" s="5">
        <f t="shared" si="46"/>
        <v>26748.3</v>
      </c>
    </row>
    <row r="1294" spans="1:45" x14ac:dyDescent="0.3">
      <c r="A1294" s="1">
        <v>45900.963194444441</v>
      </c>
      <c r="B1294" t="s">
        <v>1463</v>
      </c>
      <c r="C1294" t="s">
        <v>1464</v>
      </c>
      <c r="D1294" t="s">
        <v>1209</v>
      </c>
      <c r="F1294" t="s">
        <v>2054</v>
      </c>
      <c r="G1294" t="s">
        <v>1210</v>
      </c>
      <c r="H1294" t="s">
        <v>103</v>
      </c>
      <c r="I1294" t="s">
        <v>43</v>
      </c>
      <c r="J1294">
        <v>250</v>
      </c>
      <c r="K1294">
        <v>19</v>
      </c>
      <c r="L1294">
        <v>10</v>
      </c>
      <c r="M1294">
        <v>11</v>
      </c>
      <c r="N1294">
        <v>9</v>
      </c>
      <c r="O1294">
        <v>0</v>
      </c>
      <c r="P1294">
        <v>0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>
        <v>3</v>
      </c>
      <c r="W1294" t="s">
        <v>44</v>
      </c>
      <c r="X1294" t="s">
        <v>44</v>
      </c>
      <c r="Y1294" t="s">
        <v>44</v>
      </c>
      <c r="Z1294" t="s">
        <v>44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3</v>
      </c>
      <c r="AQ1294">
        <f t="shared" si="47"/>
        <v>3</v>
      </c>
      <c r="AR1294" s="5">
        <f>VLOOKUP(F1294,'[1]Cost Sheet'!$C:$D,2,0)</f>
        <v>78.88</v>
      </c>
      <c r="AS1294" s="5">
        <f t="shared" si="46"/>
        <v>236.64</v>
      </c>
    </row>
    <row r="1295" spans="1:45" x14ac:dyDescent="0.3">
      <c r="A1295" s="1">
        <v>45900.963194444441</v>
      </c>
      <c r="B1295" t="s">
        <v>1463</v>
      </c>
      <c r="C1295" t="s">
        <v>1464</v>
      </c>
      <c r="D1295" t="s">
        <v>728</v>
      </c>
      <c r="F1295" t="s">
        <v>1817</v>
      </c>
      <c r="G1295" t="s">
        <v>729</v>
      </c>
      <c r="H1295" t="s">
        <v>66</v>
      </c>
      <c r="I1295" t="s">
        <v>43</v>
      </c>
      <c r="J1295">
        <v>130</v>
      </c>
      <c r="K1295">
        <v>19</v>
      </c>
      <c r="L1295">
        <v>10</v>
      </c>
      <c r="M1295">
        <v>11</v>
      </c>
      <c r="N1295">
        <v>226</v>
      </c>
      <c r="O1295">
        <v>0</v>
      </c>
      <c r="P1295">
        <v>0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>
        <v>112</v>
      </c>
      <c r="W1295" t="s">
        <v>44</v>
      </c>
      <c r="X1295" t="s">
        <v>44</v>
      </c>
      <c r="Y1295">
        <v>1</v>
      </c>
      <c r="Z1295" t="s">
        <v>44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112</v>
      </c>
      <c r="AQ1295">
        <f t="shared" si="47"/>
        <v>112</v>
      </c>
      <c r="AR1295" s="5">
        <f>VLOOKUP(F1295,'[1]Cost Sheet'!$C:$D,2,0)</f>
        <v>35.085999999999999</v>
      </c>
      <c r="AS1295" s="5">
        <f t="shared" si="46"/>
        <v>3929.6319999999996</v>
      </c>
    </row>
    <row r="1296" spans="1:45" x14ac:dyDescent="0.3">
      <c r="A1296" s="1">
        <v>45900.963194444441</v>
      </c>
      <c r="B1296" t="s">
        <v>1463</v>
      </c>
      <c r="C1296" t="s">
        <v>1464</v>
      </c>
      <c r="D1296" t="s">
        <v>1211</v>
      </c>
      <c r="F1296" t="s">
        <v>2055</v>
      </c>
      <c r="G1296" t="s">
        <v>1212</v>
      </c>
      <c r="H1296" t="s">
        <v>103</v>
      </c>
      <c r="I1296" t="s">
        <v>43</v>
      </c>
      <c r="J1296">
        <v>237</v>
      </c>
      <c r="K1296">
        <v>19</v>
      </c>
      <c r="L1296">
        <v>10</v>
      </c>
      <c r="M1296">
        <v>11</v>
      </c>
      <c r="N1296">
        <v>10</v>
      </c>
      <c r="O1296">
        <v>0</v>
      </c>
      <c r="P1296">
        <v>0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>
        <v>2</v>
      </c>
      <c r="W1296" t="s">
        <v>44</v>
      </c>
      <c r="X1296" t="s">
        <v>44</v>
      </c>
      <c r="Y1296">
        <v>2</v>
      </c>
      <c r="Z1296" t="s">
        <v>44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2</v>
      </c>
      <c r="AQ1296">
        <f t="shared" si="47"/>
        <v>2</v>
      </c>
      <c r="AR1296" s="5">
        <f>VLOOKUP(F1296,'[1]Cost Sheet'!$C:$D,2,0)</f>
        <v>75.010000000000005</v>
      </c>
      <c r="AS1296" s="5">
        <f t="shared" si="46"/>
        <v>150.02000000000001</v>
      </c>
    </row>
    <row r="1297" spans="1:45" x14ac:dyDescent="0.3">
      <c r="A1297" s="1">
        <v>45900.963194444441</v>
      </c>
      <c r="B1297" t="s">
        <v>1463</v>
      </c>
      <c r="C1297" t="s">
        <v>1464</v>
      </c>
      <c r="D1297" t="s">
        <v>730</v>
      </c>
      <c r="F1297" t="s">
        <v>1818</v>
      </c>
      <c r="G1297" t="s">
        <v>731</v>
      </c>
      <c r="H1297" t="s">
        <v>66</v>
      </c>
      <c r="I1297" t="s">
        <v>43</v>
      </c>
      <c r="J1297">
        <v>205</v>
      </c>
      <c r="K1297">
        <v>19</v>
      </c>
      <c r="L1297">
        <v>10</v>
      </c>
      <c r="M1297">
        <v>11</v>
      </c>
      <c r="N1297">
        <v>59</v>
      </c>
      <c r="O1297">
        <v>0</v>
      </c>
      <c r="P1297">
        <v>0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>
        <v>3</v>
      </c>
      <c r="W1297" t="s">
        <v>44</v>
      </c>
      <c r="X1297" t="s">
        <v>44</v>
      </c>
      <c r="Y1297">
        <v>1</v>
      </c>
      <c r="Z1297" t="s">
        <v>44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3</v>
      </c>
      <c r="AQ1297">
        <f t="shared" si="47"/>
        <v>3</v>
      </c>
      <c r="AR1297" s="5">
        <f>VLOOKUP(F1297,'[1]Cost Sheet'!$C:$D,2,0)</f>
        <v>61.48</v>
      </c>
      <c r="AS1297" s="5">
        <f t="shared" si="46"/>
        <v>184.44</v>
      </c>
    </row>
    <row r="1298" spans="1:45" x14ac:dyDescent="0.3">
      <c r="A1298" s="1">
        <v>45900.963194444441</v>
      </c>
      <c r="B1298" t="s">
        <v>1463</v>
      </c>
      <c r="C1298" t="s">
        <v>1464</v>
      </c>
      <c r="D1298" t="s">
        <v>1436</v>
      </c>
      <c r="F1298" t="s">
        <v>2164</v>
      </c>
      <c r="G1298" t="s">
        <v>1437</v>
      </c>
      <c r="H1298" t="s">
        <v>103</v>
      </c>
      <c r="I1298" t="s">
        <v>43</v>
      </c>
      <c r="J1298">
        <v>199</v>
      </c>
      <c r="K1298">
        <v>19</v>
      </c>
      <c r="L1298">
        <v>10</v>
      </c>
      <c r="M1298">
        <v>11</v>
      </c>
      <c r="N1298">
        <v>9</v>
      </c>
      <c r="O1298">
        <v>0</v>
      </c>
      <c r="P1298">
        <v>0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>
        <v>2</v>
      </c>
      <c r="W1298" t="s">
        <v>44</v>
      </c>
      <c r="X1298" t="s">
        <v>44</v>
      </c>
      <c r="Y1298">
        <v>1</v>
      </c>
      <c r="Z1298" t="s">
        <v>44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2</v>
      </c>
      <c r="AQ1298">
        <f t="shared" si="47"/>
        <v>2</v>
      </c>
      <c r="AR1298" s="5">
        <f>VLOOKUP(F1298,'[1]Cost Sheet'!$C:$D,2,0)</f>
        <v>85.41</v>
      </c>
      <c r="AS1298" s="5">
        <f t="shared" si="46"/>
        <v>170.82</v>
      </c>
    </row>
    <row r="1299" spans="1:45" x14ac:dyDescent="0.3">
      <c r="A1299" s="1">
        <v>45900.963194444441</v>
      </c>
      <c r="B1299" t="s">
        <v>1463</v>
      </c>
      <c r="C1299" t="s">
        <v>1464</v>
      </c>
      <c r="D1299" t="s">
        <v>1471</v>
      </c>
      <c r="F1299" t="s">
        <v>2184</v>
      </c>
      <c r="G1299" t="s">
        <v>1472</v>
      </c>
      <c r="H1299" t="s">
        <v>103</v>
      </c>
      <c r="I1299" t="s">
        <v>43</v>
      </c>
      <c r="J1299">
        <v>250</v>
      </c>
      <c r="K1299">
        <v>19</v>
      </c>
      <c r="L1299">
        <v>10</v>
      </c>
      <c r="M1299">
        <v>11</v>
      </c>
      <c r="N1299">
        <v>13</v>
      </c>
      <c r="O1299">
        <v>0</v>
      </c>
      <c r="P1299">
        <v>0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>
        <v>13</v>
      </c>
      <c r="W1299" t="s">
        <v>44</v>
      </c>
      <c r="X1299" t="s">
        <v>44</v>
      </c>
      <c r="Y1299">
        <v>13</v>
      </c>
      <c r="Z1299" t="s">
        <v>44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13</v>
      </c>
      <c r="AQ1299">
        <f t="shared" si="47"/>
        <v>13</v>
      </c>
      <c r="AR1299" s="5">
        <f>VLOOKUP(F1299,'[1]Cost Sheet'!$C:$D,2,0)</f>
        <v>50.854210526315775</v>
      </c>
      <c r="AS1299" s="5">
        <f t="shared" si="46"/>
        <v>661.10473684210513</v>
      </c>
    </row>
    <row r="1300" spans="1:45" x14ac:dyDescent="0.3">
      <c r="A1300" s="1">
        <v>45900.963194444441</v>
      </c>
      <c r="B1300" t="s">
        <v>1463</v>
      </c>
      <c r="C1300" t="s">
        <v>1464</v>
      </c>
      <c r="D1300" t="s">
        <v>1442</v>
      </c>
      <c r="F1300" t="s">
        <v>2167</v>
      </c>
      <c r="G1300" t="s">
        <v>1443</v>
      </c>
      <c r="H1300" t="s">
        <v>103</v>
      </c>
      <c r="I1300" t="s">
        <v>43</v>
      </c>
      <c r="J1300">
        <v>250</v>
      </c>
      <c r="K1300">
        <v>19</v>
      </c>
      <c r="L1300">
        <v>10</v>
      </c>
      <c r="M1300">
        <v>11</v>
      </c>
      <c r="N1300">
        <v>1</v>
      </c>
      <c r="O1300">
        <v>0</v>
      </c>
      <c r="P1300">
        <v>0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>
        <v>1</v>
      </c>
      <c r="W1300" t="s">
        <v>44</v>
      </c>
      <c r="X1300" t="s">
        <v>44</v>
      </c>
      <c r="Y1300">
        <v>1</v>
      </c>
      <c r="Z1300" t="s">
        <v>44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  <c r="AQ1300">
        <f t="shared" si="47"/>
        <v>1</v>
      </c>
      <c r="AR1300" s="5">
        <f>VLOOKUP(F1300,'[1]Cost Sheet'!$C:$D,2,0)</f>
        <v>49.06</v>
      </c>
      <c r="AS1300" s="5">
        <f t="shared" si="46"/>
        <v>49.06</v>
      </c>
    </row>
    <row r="1301" spans="1:45" x14ac:dyDescent="0.3">
      <c r="A1301" s="1">
        <v>45900.963194444441</v>
      </c>
      <c r="B1301" t="s">
        <v>1463</v>
      </c>
      <c r="C1301" t="s">
        <v>1464</v>
      </c>
      <c r="D1301" t="s">
        <v>1223</v>
      </c>
      <c r="F1301" t="s">
        <v>2061</v>
      </c>
      <c r="G1301" t="s">
        <v>1224</v>
      </c>
      <c r="H1301" t="s">
        <v>66</v>
      </c>
      <c r="I1301" t="s">
        <v>43</v>
      </c>
      <c r="J1301">
        <v>50</v>
      </c>
      <c r="K1301">
        <v>19</v>
      </c>
      <c r="L1301">
        <v>10</v>
      </c>
      <c r="M1301">
        <v>11</v>
      </c>
      <c r="N1301">
        <v>1</v>
      </c>
      <c r="O1301">
        <v>0</v>
      </c>
      <c r="P1301">
        <v>0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>
        <v>1</v>
      </c>
      <c r="W1301" t="s">
        <v>44</v>
      </c>
      <c r="X1301" t="s">
        <v>44</v>
      </c>
      <c r="Y1301">
        <v>1</v>
      </c>
      <c r="Z1301" t="s">
        <v>44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f t="shared" si="47"/>
        <v>1</v>
      </c>
      <c r="AR1301" s="5">
        <f>VLOOKUP(F1301,'[1]Cost Sheet'!$C:$D,2,0)</f>
        <v>23.39</v>
      </c>
      <c r="AS1301" s="5">
        <f t="shared" si="46"/>
        <v>23.39</v>
      </c>
    </row>
    <row r="1302" spans="1:45" x14ac:dyDescent="0.3">
      <c r="A1302" s="1">
        <v>45900.963194444441</v>
      </c>
      <c r="B1302" t="s">
        <v>1463</v>
      </c>
      <c r="C1302" t="s">
        <v>1464</v>
      </c>
      <c r="D1302" t="s">
        <v>1233</v>
      </c>
      <c r="F1302" t="s">
        <v>2066</v>
      </c>
      <c r="G1302" t="s">
        <v>1234</v>
      </c>
      <c r="H1302" t="s">
        <v>130</v>
      </c>
      <c r="I1302" t="s">
        <v>43</v>
      </c>
      <c r="J1302">
        <v>4.2</v>
      </c>
      <c r="K1302">
        <v>19</v>
      </c>
      <c r="L1302">
        <v>10</v>
      </c>
      <c r="M1302">
        <v>11</v>
      </c>
      <c r="N1302">
        <v>213</v>
      </c>
      <c r="O1302">
        <v>1</v>
      </c>
      <c r="P1302">
        <v>0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>
        <v>0</v>
      </c>
      <c r="W1302" t="s">
        <v>44</v>
      </c>
      <c r="X1302" t="s">
        <v>44</v>
      </c>
      <c r="Y1302" t="s">
        <v>44</v>
      </c>
      <c r="Z1302" t="s">
        <v>44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f t="shared" si="47"/>
        <v>1</v>
      </c>
      <c r="AR1302" s="5">
        <f>VLOOKUP(F1302,'[1]Cost Sheet'!$C:$D,2,0)</f>
        <v>96.2</v>
      </c>
      <c r="AS1302" s="5">
        <f t="shared" si="46"/>
        <v>96.2</v>
      </c>
    </row>
    <row r="1303" spans="1:45" x14ac:dyDescent="0.3">
      <c r="A1303" s="1">
        <v>45900.963194444441</v>
      </c>
      <c r="B1303" t="s">
        <v>1463</v>
      </c>
      <c r="C1303" t="s">
        <v>1464</v>
      </c>
      <c r="D1303" t="s">
        <v>1235</v>
      </c>
      <c r="F1303" t="s">
        <v>2067</v>
      </c>
      <c r="G1303" t="s">
        <v>1236</v>
      </c>
      <c r="H1303" t="s">
        <v>130</v>
      </c>
      <c r="I1303" t="s">
        <v>43</v>
      </c>
      <c r="J1303">
        <v>4.2</v>
      </c>
      <c r="K1303">
        <v>19</v>
      </c>
      <c r="L1303">
        <v>10</v>
      </c>
      <c r="M1303">
        <v>11</v>
      </c>
      <c r="N1303">
        <v>192</v>
      </c>
      <c r="O1303">
        <v>2</v>
      </c>
      <c r="P1303">
        <v>0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>
        <v>0</v>
      </c>
      <c r="W1303" t="s">
        <v>44</v>
      </c>
      <c r="X1303" t="s">
        <v>44</v>
      </c>
      <c r="Y1303" t="s">
        <v>44</v>
      </c>
      <c r="Z1303" t="s">
        <v>44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2</v>
      </c>
      <c r="AQ1303">
        <f t="shared" si="47"/>
        <v>2</v>
      </c>
      <c r="AR1303" s="5">
        <f>VLOOKUP(F1303,'[1]Cost Sheet'!$C:$D,2,0)</f>
        <v>96.2</v>
      </c>
      <c r="AS1303" s="5">
        <f t="shared" si="46"/>
        <v>192.4</v>
      </c>
    </row>
    <row r="1304" spans="1:45" x14ac:dyDescent="0.3">
      <c r="A1304" s="1">
        <v>45900.963194444441</v>
      </c>
      <c r="B1304" t="s">
        <v>1463</v>
      </c>
      <c r="C1304" t="s">
        <v>1464</v>
      </c>
      <c r="D1304" t="s">
        <v>1239</v>
      </c>
      <c r="F1304" t="s">
        <v>2069</v>
      </c>
      <c r="G1304" t="s">
        <v>1240</v>
      </c>
      <c r="H1304" t="s">
        <v>130</v>
      </c>
      <c r="I1304" t="s">
        <v>43</v>
      </c>
      <c r="J1304">
        <v>4.2</v>
      </c>
      <c r="K1304">
        <v>19</v>
      </c>
      <c r="L1304">
        <v>10</v>
      </c>
      <c r="M1304">
        <v>11</v>
      </c>
      <c r="N1304">
        <v>34</v>
      </c>
      <c r="O1304">
        <v>0</v>
      </c>
      <c r="P1304">
        <v>0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>
        <v>6</v>
      </c>
      <c r="W1304" t="s">
        <v>44</v>
      </c>
      <c r="X1304" t="s">
        <v>44</v>
      </c>
      <c r="Y1304">
        <v>6</v>
      </c>
      <c r="Z1304" t="s">
        <v>44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6</v>
      </c>
      <c r="AQ1304">
        <f t="shared" si="47"/>
        <v>6</v>
      </c>
      <c r="AR1304" s="5">
        <f>VLOOKUP(F1304,'[1]Cost Sheet'!$C:$D,2,0)</f>
        <v>96.2</v>
      </c>
      <c r="AS1304" s="5">
        <f t="shared" si="46"/>
        <v>577.20000000000005</v>
      </c>
    </row>
    <row r="1305" spans="1:45" x14ac:dyDescent="0.3">
      <c r="A1305" s="1">
        <v>45900.963194444441</v>
      </c>
      <c r="B1305" t="s">
        <v>1463</v>
      </c>
      <c r="C1305" t="s">
        <v>1464</v>
      </c>
      <c r="D1305" t="s">
        <v>1241</v>
      </c>
      <c r="F1305" t="s">
        <v>2070</v>
      </c>
      <c r="G1305" t="s">
        <v>1242</v>
      </c>
      <c r="H1305" t="s">
        <v>130</v>
      </c>
      <c r="I1305" t="s">
        <v>43</v>
      </c>
      <c r="J1305">
        <v>5</v>
      </c>
      <c r="K1305">
        <v>19</v>
      </c>
      <c r="L1305">
        <v>10</v>
      </c>
      <c r="M1305">
        <v>11</v>
      </c>
      <c r="N1305">
        <v>404</v>
      </c>
      <c r="O1305">
        <v>1</v>
      </c>
      <c r="P1305">
        <v>0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>
        <v>0</v>
      </c>
      <c r="W1305" t="s">
        <v>44</v>
      </c>
      <c r="X1305" t="s">
        <v>44</v>
      </c>
      <c r="Y1305" t="s">
        <v>44</v>
      </c>
      <c r="Z1305" t="s">
        <v>44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f t="shared" si="47"/>
        <v>1</v>
      </c>
      <c r="AR1305" s="5">
        <f>VLOOKUP(F1305,'[1]Cost Sheet'!$C:$D,2,0)</f>
        <v>90.089999999999989</v>
      </c>
      <c r="AS1305" s="5">
        <f t="shared" si="46"/>
        <v>90.089999999999989</v>
      </c>
    </row>
    <row r="1306" spans="1:45" x14ac:dyDescent="0.3">
      <c r="A1306" s="1">
        <v>45900.963194444441</v>
      </c>
      <c r="B1306" t="s">
        <v>1463</v>
      </c>
      <c r="C1306" t="s">
        <v>1464</v>
      </c>
      <c r="D1306" t="s">
        <v>732</v>
      </c>
      <c r="F1306" t="s">
        <v>1819</v>
      </c>
      <c r="G1306" t="s">
        <v>733</v>
      </c>
      <c r="H1306" t="s">
        <v>130</v>
      </c>
      <c r="I1306" t="s">
        <v>43</v>
      </c>
      <c r="J1306">
        <v>4</v>
      </c>
      <c r="K1306">
        <v>19</v>
      </c>
      <c r="L1306">
        <v>10</v>
      </c>
      <c r="M1306">
        <v>11</v>
      </c>
      <c r="N1306">
        <v>150</v>
      </c>
      <c r="O1306">
        <v>0</v>
      </c>
      <c r="P1306">
        <v>0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>
        <v>30</v>
      </c>
      <c r="W1306" t="s">
        <v>44</v>
      </c>
      <c r="X1306" t="s">
        <v>44</v>
      </c>
      <c r="Y1306">
        <v>30</v>
      </c>
      <c r="Z1306" t="s">
        <v>44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30</v>
      </c>
      <c r="AQ1306">
        <f t="shared" si="47"/>
        <v>30</v>
      </c>
      <c r="AR1306" s="5">
        <f>VLOOKUP(F1306,'[1]Cost Sheet'!$C:$D,2,0)</f>
        <v>129.18</v>
      </c>
      <c r="AS1306" s="5">
        <f t="shared" si="46"/>
        <v>3875.4</v>
      </c>
    </row>
    <row r="1307" spans="1:45" x14ac:dyDescent="0.3">
      <c r="A1307" s="1">
        <v>45900.963194444441</v>
      </c>
      <c r="B1307" t="s">
        <v>1463</v>
      </c>
      <c r="C1307" t="s">
        <v>1464</v>
      </c>
      <c r="D1307" t="s">
        <v>734</v>
      </c>
      <c r="F1307" t="s">
        <v>1820</v>
      </c>
      <c r="G1307" t="s">
        <v>735</v>
      </c>
      <c r="H1307" t="s">
        <v>130</v>
      </c>
      <c r="I1307" t="s">
        <v>43</v>
      </c>
      <c r="J1307">
        <v>4</v>
      </c>
      <c r="K1307">
        <v>19</v>
      </c>
      <c r="L1307">
        <v>10</v>
      </c>
      <c r="M1307">
        <v>11</v>
      </c>
      <c r="N1307">
        <v>152</v>
      </c>
      <c r="O1307">
        <v>0</v>
      </c>
      <c r="P1307">
        <v>0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>
        <v>30</v>
      </c>
      <c r="W1307" t="s">
        <v>44</v>
      </c>
      <c r="X1307" t="s">
        <v>44</v>
      </c>
      <c r="Y1307">
        <v>30</v>
      </c>
      <c r="Z1307" t="s">
        <v>44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30</v>
      </c>
      <c r="AQ1307">
        <f t="shared" si="47"/>
        <v>30</v>
      </c>
      <c r="AR1307" s="5">
        <f>VLOOKUP(F1307,'[1]Cost Sheet'!$C:$D,2,0)</f>
        <v>129.18</v>
      </c>
      <c r="AS1307" s="5">
        <f t="shared" si="46"/>
        <v>3875.4</v>
      </c>
    </row>
    <row r="1308" spans="1:45" x14ac:dyDescent="0.3">
      <c r="A1308" s="1">
        <v>45900.963194444441</v>
      </c>
      <c r="B1308" t="s">
        <v>1463</v>
      </c>
      <c r="C1308" t="s">
        <v>1464</v>
      </c>
      <c r="D1308" t="s">
        <v>736</v>
      </c>
      <c r="F1308" t="s">
        <v>1821</v>
      </c>
      <c r="G1308" t="s">
        <v>737</v>
      </c>
      <c r="H1308" t="s">
        <v>130</v>
      </c>
      <c r="I1308" t="s">
        <v>43</v>
      </c>
      <c r="J1308">
        <v>4</v>
      </c>
      <c r="K1308">
        <v>19</v>
      </c>
      <c r="L1308">
        <v>10</v>
      </c>
      <c r="M1308">
        <v>11</v>
      </c>
      <c r="N1308">
        <v>219</v>
      </c>
      <c r="O1308">
        <v>0</v>
      </c>
      <c r="P1308">
        <v>0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>
        <v>39</v>
      </c>
      <c r="W1308" t="s">
        <v>44</v>
      </c>
      <c r="X1308" t="s">
        <v>44</v>
      </c>
      <c r="Y1308">
        <v>39</v>
      </c>
      <c r="Z1308" t="s">
        <v>44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39</v>
      </c>
      <c r="AQ1308">
        <f t="shared" si="47"/>
        <v>39</v>
      </c>
      <c r="AR1308" s="5">
        <f>VLOOKUP(F1308,'[1]Cost Sheet'!$C:$D,2,0)</f>
        <v>129.18</v>
      </c>
      <c r="AS1308" s="5">
        <f t="shared" si="46"/>
        <v>5038.0200000000004</v>
      </c>
    </row>
    <row r="1309" spans="1:45" x14ac:dyDescent="0.3">
      <c r="A1309" s="1">
        <v>45900.963194444441</v>
      </c>
      <c r="B1309" t="s">
        <v>1463</v>
      </c>
      <c r="C1309" t="s">
        <v>1464</v>
      </c>
      <c r="D1309" t="s">
        <v>738</v>
      </c>
      <c r="F1309" t="s">
        <v>1822</v>
      </c>
      <c r="G1309" t="s">
        <v>739</v>
      </c>
      <c r="H1309" t="s">
        <v>130</v>
      </c>
      <c r="I1309" t="s">
        <v>43</v>
      </c>
      <c r="J1309">
        <v>4</v>
      </c>
      <c r="K1309">
        <v>19</v>
      </c>
      <c r="L1309">
        <v>10</v>
      </c>
      <c r="M1309">
        <v>11</v>
      </c>
      <c r="N1309">
        <v>156</v>
      </c>
      <c r="O1309">
        <v>0</v>
      </c>
      <c r="P1309">
        <v>0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>
        <v>31</v>
      </c>
      <c r="W1309" t="s">
        <v>44</v>
      </c>
      <c r="X1309" t="s">
        <v>44</v>
      </c>
      <c r="Y1309">
        <v>31</v>
      </c>
      <c r="Z1309" t="s">
        <v>44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31</v>
      </c>
      <c r="AQ1309">
        <f t="shared" si="47"/>
        <v>31</v>
      </c>
      <c r="AR1309" s="5">
        <f>VLOOKUP(F1309,'[1]Cost Sheet'!$C:$D,2,0)</f>
        <v>129.18</v>
      </c>
      <c r="AS1309" s="5">
        <f t="shared" si="46"/>
        <v>4004.5800000000004</v>
      </c>
    </row>
    <row r="1310" spans="1:45" x14ac:dyDescent="0.3">
      <c r="A1310" s="1">
        <v>45900.963194444441</v>
      </c>
      <c r="B1310" t="s">
        <v>1463</v>
      </c>
      <c r="C1310" t="s">
        <v>1464</v>
      </c>
      <c r="D1310" t="s">
        <v>1448</v>
      </c>
      <c r="F1310" t="s">
        <v>2170</v>
      </c>
      <c r="G1310" t="s">
        <v>1449</v>
      </c>
      <c r="H1310" t="s">
        <v>66</v>
      </c>
      <c r="I1310" t="s">
        <v>43</v>
      </c>
      <c r="J1310">
        <v>100</v>
      </c>
      <c r="K1310">
        <v>19</v>
      </c>
      <c r="L1310">
        <v>10</v>
      </c>
      <c r="M1310">
        <v>11</v>
      </c>
      <c r="N1310">
        <v>449</v>
      </c>
      <c r="O1310">
        <v>5</v>
      </c>
      <c r="P1310">
        <v>0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>
        <v>36</v>
      </c>
      <c r="W1310" t="s">
        <v>44</v>
      </c>
      <c r="X1310" t="s">
        <v>44</v>
      </c>
      <c r="Y1310">
        <v>36</v>
      </c>
      <c r="Z1310" t="s">
        <v>44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41</v>
      </c>
      <c r="AQ1310">
        <f t="shared" si="47"/>
        <v>41</v>
      </c>
      <c r="AR1310" s="5">
        <f>VLOOKUP(F1310,'[1]Cost Sheet'!$C:$D,2,0)</f>
        <v>54.699999999999996</v>
      </c>
      <c r="AS1310" s="5">
        <f t="shared" si="46"/>
        <v>2242.6999999999998</v>
      </c>
    </row>
    <row r="1311" spans="1:45" x14ac:dyDescent="0.3">
      <c r="A1311" s="1">
        <v>45900.963194444441</v>
      </c>
      <c r="B1311" t="s">
        <v>1463</v>
      </c>
      <c r="C1311" t="s">
        <v>1464</v>
      </c>
      <c r="D1311" t="s">
        <v>748</v>
      </c>
      <c r="F1311" t="s">
        <v>1827</v>
      </c>
      <c r="G1311" t="s">
        <v>749</v>
      </c>
      <c r="H1311" t="s">
        <v>66</v>
      </c>
      <c r="I1311" t="s">
        <v>43</v>
      </c>
      <c r="J1311">
        <v>30</v>
      </c>
      <c r="K1311">
        <v>19</v>
      </c>
      <c r="L1311">
        <v>10</v>
      </c>
      <c r="M1311">
        <v>11</v>
      </c>
      <c r="N1311">
        <v>410</v>
      </c>
      <c r="O1311">
        <v>0</v>
      </c>
      <c r="P1311">
        <v>0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>
        <v>28</v>
      </c>
      <c r="W1311" t="s">
        <v>44</v>
      </c>
      <c r="X1311" t="s">
        <v>44</v>
      </c>
      <c r="Y1311">
        <v>28</v>
      </c>
      <c r="Z1311" t="s">
        <v>44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28</v>
      </c>
      <c r="AQ1311">
        <f t="shared" si="47"/>
        <v>28</v>
      </c>
      <c r="AR1311" s="5">
        <f>VLOOKUP(F1311,'[1]Cost Sheet'!$C:$D,2,0)</f>
        <v>114.81</v>
      </c>
      <c r="AS1311" s="5">
        <f t="shared" si="46"/>
        <v>3214.6800000000003</v>
      </c>
    </row>
    <row r="1312" spans="1:45" x14ac:dyDescent="0.3">
      <c r="A1312" s="1">
        <v>45900.963194444441</v>
      </c>
      <c r="B1312" t="s">
        <v>1463</v>
      </c>
      <c r="C1312" t="s">
        <v>1464</v>
      </c>
      <c r="D1312" t="s">
        <v>1246</v>
      </c>
      <c r="F1312" t="s">
        <v>2073</v>
      </c>
      <c r="G1312" t="s">
        <v>123</v>
      </c>
      <c r="H1312" t="s">
        <v>120</v>
      </c>
      <c r="I1312" t="s">
        <v>43</v>
      </c>
      <c r="J1312">
        <v>100</v>
      </c>
      <c r="K1312">
        <v>19</v>
      </c>
      <c r="L1312">
        <v>11</v>
      </c>
      <c r="M1312">
        <v>10</v>
      </c>
      <c r="N1312">
        <v>2002</v>
      </c>
      <c r="O1312">
        <v>0</v>
      </c>
      <c r="P1312">
        <v>0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>
        <v>2</v>
      </c>
      <c r="W1312" t="s">
        <v>44</v>
      </c>
      <c r="X1312" t="s">
        <v>44</v>
      </c>
      <c r="Y1312">
        <v>2</v>
      </c>
      <c r="Z1312" t="s">
        <v>44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2</v>
      </c>
      <c r="AQ1312">
        <f t="shared" si="47"/>
        <v>2</v>
      </c>
      <c r="AR1312" s="5">
        <f>VLOOKUP(F1312,'[1]Cost Sheet'!$C:$D,2,0)</f>
        <v>27.5</v>
      </c>
      <c r="AS1312" s="5">
        <f t="shared" si="46"/>
        <v>55</v>
      </c>
    </row>
    <row r="1313" spans="1:45" x14ac:dyDescent="0.3">
      <c r="A1313" s="1">
        <v>45900.963194444441</v>
      </c>
      <c r="B1313" t="s">
        <v>1463</v>
      </c>
      <c r="C1313" t="s">
        <v>1464</v>
      </c>
      <c r="D1313" t="s">
        <v>1247</v>
      </c>
      <c r="F1313" t="s">
        <v>2074</v>
      </c>
      <c r="G1313" t="s">
        <v>1248</v>
      </c>
      <c r="H1313" t="s">
        <v>120</v>
      </c>
      <c r="I1313" t="s">
        <v>43</v>
      </c>
      <c r="J1313">
        <v>5</v>
      </c>
      <c r="K1313">
        <v>19</v>
      </c>
      <c r="L1313">
        <v>11</v>
      </c>
      <c r="M1313">
        <v>10</v>
      </c>
      <c r="N1313">
        <v>2769</v>
      </c>
      <c r="O1313">
        <v>0</v>
      </c>
      <c r="P1313">
        <v>0</v>
      </c>
      <c r="Q1313">
        <v>1</v>
      </c>
      <c r="R1313" t="s">
        <v>44</v>
      </c>
      <c r="S1313" t="s">
        <v>44</v>
      </c>
      <c r="T1313" t="s">
        <v>44</v>
      </c>
      <c r="U1313" t="s">
        <v>44</v>
      </c>
      <c r="V1313">
        <v>2</v>
      </c>
      <c r="W1313" t="s">
        <v>44</v>
      </c>
      <c r="X1313" t="s">
        <v>44</v>
      </c>
      <c r="Y1313">
        <v>2</v>
      </c>
      <c r="Z1313" t="s">
        <v>44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2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2</v>
      </c>
      <c r="AQ1313">
        <f t="shared" si="47"/>
        <v>2</v>
      </c>
      <c r="AR1313" s="5">
        <f>VLOOKUP(F1313,'[2]SCP_24-25'!$A:$D,4,0)</f>
        <v>1.2</v>
      </c>
      <c r="AS1313" s="5">
        <f t="shared" si="46"/>
        <v>2.4</v>
      </c>
    </row>
    <row r="1314" spans="1:45" x14ac:dyDescent="0.3">
      <c r="A1314" s="1">
        <v>45900.963194444441</v>
      </c>
      <c r="B1314" t="s">
        <v>1463</v>
      </c>
      <c r="C1314" t="s">
        <v>1464</v>
      </c>
      <c r="D1314" t="s">
        <v>1452</v>
      </c>
      <c r="E1314" t="s">
        <v>1250</v>
      </c>
      <c r="F1314" t="s">
        <v>2173</v>
      </c>
      <c r="G1314" t="s">
        <v>1453</v>
      </c>
      <c r="H1314" t="s">
        <v>120</v>
      </c>
      <c r="I1314" t="s">
        <v>415</v>
      </c>
      <c r="J1314">
        <v>100</v>
      </c>
      <c r="K1314">
        <v>19</v>
      </c>
      <c r="L1314">
        <v>10</v>
      </c>
      <c r="M1314">
        <v>11</v>
      </c>
      <c r="N1314">
        <v>1793</v>
      </c>
      <c r="O1314">
        <v>56</v>
      </c>
      <c r="P1314">
        <v>0</v>
      </c>
      <c r="Q1314" t="s">
        <v>44</v>
      </c>
      <c r="R1314">
        <v>429</v>
      </c>
      <c r="S1314" t="s">
        <v>44</v>
      </c>
      <c r="T1314">
        <v>680</v>
      </c>
      <c r="U1314" t="s">
        <v>44</v>
      </c>
      <c r="V1314">
        <v>5</v>
      </c>
      <c r="W1314">
        <v>2</v>
      </c>
      <c r="X1314" t="s">
        <v>44</v>
      </c>
      <c r="Y1314">
        <v>5</v>
      </c>
      <c r="Z1314" t="s">
        <v>44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61</v>
      </c>
      <c r="AQ1314">
        <f t="shared" si="47"/>
        <v>61</v>
      </c>
      <c r="AR1314" s="5">
        <f>VLOOKUP(F1314,'[2]SCP_24-25'!$A:$D,4,0)</f>
        <v>110</v>
      </c>
      <c r="AS1314" s="5">
        <f t="shared" si="46"/>
        <v>6710</v>
      </c>
    </row>
    <row r="1315" spans="1:45" x14ac:dyDescent="0.3">
      <c r="A1315" s="1">
        <v>45900.963194444441</v>
      </c>
      <c r="B1315" t="s">
        <v>1463</v>
      </c>
      <c r="C1315" t="s">
        <v>1464</v>
      </c>
      <c r="D1315" t="s">
        <v>615</v>
      </c>
      <c r="F1315" t="s">
        <v>1761</v>
      </c>
      <c r="G1315" t="s">
        <v>616</v>
      </c>
      <c r="H1315" t="s">
        <v>66</v>
      </c>
      <c r="I1315" t="s">
        <v>415</v>
      </c>
      <c r="J1315">
        <v>50</v>
      </c>
      <c r="K1315">
        <v>19</v>
      </c>
      <c r="L1315">
        <v>10</v>
      </c>
      <c r="M1315">
        <v>11</v>
      </c>
      <c r="N1315">
        <v>9352</v>
      </c>
      <c r="O1315">
        <v>394</v>
      </c>
      <c r="P1315">
        <v>0</v>
      </c>
      <c r="Q1315">
        <v>1</v>
      </c>
      <c r="R1315" t="s">
        <v>44</v>
      </c>
      <c r="S1315" t="s">
        <v>44</v>
      </c>
      <c r="T1315">
        <v>8</v>
      </c>
      <c r="U1315" t="s">
        <v>44</v>
      </c>
      <c r="V1315">
        <v>0</v>
      </c>
      <c r="W1315" t="s">
        <v>44</v>
      </c>
      <c r="X1315" t="s">
        <v>44</v>
      </c>
      <c r="Y1315" t="s">
        <v>44</v>
      </c>
      <c r="Z1315" t="s">
        <v>44</v>
      </c>
      <c r="AA1315">
        <v>7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401</v>
      </c>
      <c r="AQ1315">
        <f t="shared" si="47"/>
        <v>401</v>
      </c>
      <c r="AR1315" s="5">
        <f>VLOOKUP(F1315,'[2]SCP_24-25'!$A:$D,4,0)</f>
        <v>40.33</v>
      </c>
      <c r="AS1315" s="5">
        <f t="shared" si="46"/>
        <v>16172.33</v>
      </c>
    </row>
    <row r="1316" spans="1:45" x14ac:dyDescent="0.3">
      <c r="A1316" s="1">
        <v>45900.963194444441</v>
      </c>
      <c r="B1316" t="s">
        <v>1463</v>
      </c>
      <c r="C1316" t="s">
        <v>1464</v>
      </c>
      <c r="D1316" t="s">
        <v>1458</v>
      </c>
      <c r="F1316" t="s">
        <v>2177</v>
      </c>
      <c r="G1316" t="s">
        <v>123</v>
      </c>
      <c r="H1316" t="s">
        <v>66</v>
      </c>
      <c r="I1316" t="s">
        <v>415</v>
      </c>
      <c r="J1316">
        <v>77</v>
      </c>
      <c r="K1316">
        <v>19</v>
      </c>
      <c r="L1316">
        <v>10</v>
      </c>
      <c r="M1316">
        <v>11</v>
      </c>
      <c r="N1316">
        <v>30</v>
      </c>
      <c r="O1316">
        <v>0</v>
      </c>
      <c r="P1316">
        <v>0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>
        <v>30</v>
      </c>
      <c r="W1316" t="s">
        <v>44</v>
      </c>
      <c r="X1316" t="s">
        <v>44</v>
      </c>
      <c r="Y1316">
        <v>30</v>
      </c>
      <c r="Z1316" t="s">
        <v>44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30</v>
      </c>
      <c r="AQ1316">
        <f t="shared" si="47"/>
        <v>30</v>
      </c>
      <c r="AR1316" s="5">
        <f>VLOOKUP(F1316,'[1]Cost Sheet'!$C:$D,2,0)</f>
        <v>70.5</v>
      </c>
      <c r="AS1316" s="5">
        <f t="shared" si="46"/>
        <v>2115</v>
      </c>
    </row>
    <row r="1317" spans="1:45" x14ac:dyDescent="0.3">
      <c r="A1317" s="1">
        <v>45900.963194444441</v>
      </c>
      <c r="B1317" t="s">
        <v>1463</v>
      </c>
      <c r="C1317" t="s">
        <v>1464</v>
      </c>
      <c r="D1317" t="s">
        <v>1264</v>
      </c>
      <c r="F1317" t="s">
        <v>2083</v>
      </c>
      <c r="G1317" t="s">
        <v>123</v>
      </c>
      <c r="H1317" t="s">
        <v>66</v>
      </c>
      <c r="I1317" t="s">
        <v>415</v>
      </c>
      <c r="J1317">
        <v>40</v>
      </c>
      <c r="K1317">
        <v>19</v>
      </c>
      <c r="L1317">
        <v>10</v>
      </c>
      <c r="M1317">
        <v>11</v>
      </c>
      <c r="N1317">
        <v>30</v>
      </c>
      <c r="O1317">
        <v>0</v>
      </c>
      <c r="P1317">
        <v>0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>
        <v>30</v>
      </c>
      <c r="W1317" t="s">
        <v>44</v>
      </c>
      <c r="X1317" t="s">
        <v>44</v>
      </c>
      <c r="Y1317">
        <v>30</v>
      </c>
      <c r="Z1317" t="s">
        <v>44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30</v>
      </c>
      <c r="AQ1317">
        <f t="shared" si="47"/>
        <v>30</v>
      </c>
      <c r="AR1317" s="5">
        <f>VLOOKUP(F1317,'[1]Cost Sheet'!$C:$D,2,0)</f>
        <v>87.59</v>
      </c>
      <c r="AS1317" s="5">
        <f t="shared" si="46"/>
        <v>2627.7000000000003</v>
      </c>
    </row>
    <row r="1318" spans="1:45" x14ac:dyDescent="0.3">
      <c r="A1318" s="1">
        <v>45900.963194444441</v>
      </c>
      <c r="B1318" t="s">
        <v>1463</v>
      </c>
      <c r="C1318" t="s">
        <v>1464</v>
      </c>
      <c r="D1318" t="s">
        <v>1265</v>
      </c>
      <c r="F1318" t="s">
        <v>2084</v>
      </c>
      <c r="G1318" t="s">
        <v>123</v>
      </c>
      <c r="H1318" t="s">
        <v>66</v>
      </c>
      <c r="I1318" t="s">
        <v>415</v>
      </c>
      <c r="J1318">
        <v>50</v>
      </c>
      <c r="K1318">
        <v>19</v>
      </c>
      <c r="L1318">
        <v>10</v>
      </c>
      <c r="M1318">
        <v>11</v>
      </c>
      <c r="N1318">
        <v>30</v>
      </c>
      <c r="O1318">
        <v>0</v>
      </c>
      <c r="P1318">
        <v>0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>
        <v>30</v>
      </c>
      <c r="W1318" t="s">
        <v>44</v>
      </c>
      <c r="X1318" t="s">
        <v>44</v>
      </c>
      <c r="Y1318">
        <v>30</v>
      </c>
      <c r="Z1318" t="s">
        <v>44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30</v>
      </c>
      <c r="AQ1318">
        <f t="shared" si="47"/>
        <v>30</v>
      </c>
      <c r="AR1318" s="5">
        <f>VLOOKUP(F1318,'[1]Cost Sheet'!$C:$D,2,0)</f>
        <v>84.2</v>
      </c>
      <c r="AS1318" s="5">
        <f t="shared" si="46"/>
        <v>2526</v>
      </c>
    </row>
    <row r="1319" spans="1:45" x14ac:dyDescent="0.3">
      <c r="A1319" s="1">
        <v>45900.963194444441</v>
      </c>
      <c r="B1319" t="s">
        <v>1463</v>
      </c>
      <c r="C1319" t="s">
        <v>1464</v>
      </c>
      <c r="D1319" t="s">
        <v>1459</v>
      </c>
      <c r="F1319" t="s">
        <v>2178</v>
      </c>
      <c r="G1319" t="s">
        <v>123</v>
      </c>
      <c r="H1319" t="s">
        <v>66</v>
      </c>
      <c r="I1319" t="s">
        <v>415</v>
      </c>
      <c r="J1319">
        <v>50</v>
      </c>
      <c r="K1319">
        <v>19</v>
      </c>
      <c r="L1319">
        <v>10</v>
      </c>
      <c r="M1319">
        <v>11</v>
      </c>
      <c r="N1319">
        <v>30</v>
      </c>
      <c r="O1319">
        <v>0</v>
      </c>
      <c r="P1319">
        <v>0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>
        <v>30</v>
      </c>
      <c r="W1319" t="s">
        <v>44</v>
      </c>
      <c r="X1319" t="s">
        <v>44</v>
      </c>
      <c r="Y1319">
        <v>30</v>
      </c>
      <c r="Z1319" t="s">
        <v>44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30</v>
      </c>
      <c r="AQ1319">
        <f t="shared" si="47"/>
        <v>30</v>
      </c>
      <c r="AR1319" s="5">
        <f>VLOOKUP(F1319,'[1]Cost Sheet'!$C:$D,2,0)</f>
        <v>91.25</v>
      </c>
      <c r="AS1319" s="5">
        <f t="shared" si="46"/>
        <v>2737.5</v>
      </c>
    </row>
    <row r="1320" spans="1:45" x14ac:dyDescent="0.3">
      <c r="A1320" s="1">
        <v>45900.963194444441</v>
      </c>
      <c r="B1320" t="s">
        <v>1463</v>
      </c>
      <c r="C1320" t="s">
        <v>1464</v>
      </c>
      <c r="D1320" t="s">
        <v>131</v>
      </c>
      <c r="F1320" t="s">
        <v>1543</v>
      </c>
      <c r="G1320" t="s">
        <v>132</v>
      </c>
      <c r="H1320" t="s">
        <v>103</v>
      </c>
      <c r="I1320" t="s">
        <v>43</v>
      </c>
      <c r="J1320">
        <v>250</v>
      </c>
      <c r="K1320">
        <v>19</v>
      </c>
      <c r="L1320">
        <v>10</v>
      </c>
      <c r="M1320">
        <v>11</v>
      </c>
      <c r="N1320">
        <v>60711</v>
      </c>
      <c r="O1320">
        <v>132</v>
      </c>
      <c r="P1320">
        <v>0</v>
      </c>
      <c r="Q1320">
        <v>203</v>
      </c>
      <c r="R1320">
        <v>3322</v>
      </c>
      <c r="S1320" t="s">
        <v>44</v>
      </c>
      <c r="T1320">
        <v>172</v>
      </c>
      <c r="U1320" t="s">
        <v>44</v>
      </c>
      <c r="V1320">
        <v>1812</v>
      </c>
      <c r="W1320">
        <v>28</v>
      </c>
      <c r="X1320" t="s">
        <v>44</v>
      </c>
      <c r="Y1320">
        <v>1809</v>
      </c>
      <c r="Z1320" t="s">
        <v>44</v>
      </c>
      <c r="AA1320">
        <v>1</v>
      </c>
      <c r="AB1320">
        <v>0</v>
      </c>
      <c r="AC1320">
        <v>0</v>
      </c>
      <c r="AD1320">
        <v>0</v>
      </c>
      <c r="AE1320">
        <v>12</v>
      </c>
      <c r="AF1320">
        <v>3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 s="2">
        <v>1945</v>
      </c>
      <c r="AQ1320">
        <f t="shared" si="47"/>
        <v>1945</v>
      </c>
      <c r="AR1320" s="5">
        <f>VLOOKUP(F1320,'[2]SCP_24-25'!$A:$D,4,0)</f>
        <v>78.88</v>
      </c>
      <c r="AS1320" s="5">
        <f t="shared" si="46"/>
        <v>153421.59999999998</v>
      </c>
    </row>
    <row r="1321" spans="1:45" x14ac:dyDescent="0.3">
      <c r="A1321" s="1">
        <v>45900.963194444441</v>
      </c>
      <c r="B1321" t="s">
        <v>1463</v>
      </c>
      <c r="C1321" t="s">
        <v>1464</v>
      </c>
      <c r="D1321" t="s">
        <v>139</v>
      </c>
      <c r="F1321" t="s">
        <v>1547</v>
      </c>
      <c r="G1321" t="s">
        <v>140</v>
      </c>
      <c r="H1321" t="s">
        <v>66</v>
      </c>
      <c r="I1321" t="s">
        <v>43</v>
      </c>
      <c r="J1321">
        <v>176</v>
      </c>
      <c r="K1321">
        <v>11</v>
      </c>
      <c r="L1321">
        <v>19</v>
      </c>
      <c r="M1321">
        <v>10</v>
      </c>
      <c r="N1321">
        <v>22020</v>
      </c>
      <c r="O1321">
        <v>48</v>
      </c>
      <c r="P1321">
        <v>0</v>
      </c>
      <c r="Q1321">
        <v>22</v>
      </c>
      <c r="R1321">
        <v>1676</v>
      </c>
      <c r="S1321" t="s">
        <v>44</v>
      </c>
      <c r="T1321" t="s">
        <v>44</v>
      </c>
      <c r="U1321" t="s">
        <v>44</v>
      </c>
      <c r="V1321">
        <v>1444</v>
      </c>
      <c r="W1321">
        <v>2</v>
      </c>
      <c r="X1321" t="s">
        <v>44</v>
      </c>
      <c r="Y1321">
        <v>1304</v>
      </c>
      <c r="Z1321" t="s">
        <v>44</v>
      </c>
      <c r="AA1321">
        <v>1</v>
      </c>
      <c r="AB1321">
        <v>0</v>
      </c>
      <c r="AC1321">
        <v>0</v>
      </c>
      <c r="AD1321">
        <v>0</v>
      </c>
      <c r="AE1321">
        <v>44</v>
      </c>
      <c r="AF1321">
        <v>3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 s="2">
        <v>1493</v>
      </c>
      <c r="AQ1321">
        <f t="shared" si="47"/>
        <v>1493</v>
      </c>
      <c r="AR1321" s="5">
        <f>VLOOKUP(F1321,'[2]SCP_24-25'!$A:$D,4,0)</f>
        <v>60.54</v>
      </c>
      <c r="AS1321" s="5">
        <f t="shared" si="46"/>
        <v>90386.22</v>
      </c>
    </row>
    <row r="1322" spans="1:45" x14ac:dyDescent="0.3">
      <c r="A1322" s="1">
        <v>45900.963194444441</v>
      </c>
      <c r="B1322" t="s">
        <v>1463</v>
      </c>
      <c r="C1322" t="s">
        <v>1464</v>
      </c>
      <c r="D1322" t="s">
        <v>141</v>
      </c>
      <c r="F1322" t="s">
        <v>1548</v>
      </c>
      <c r="G1322" t="s">
        <v>142</v>
      </c>
      <c r="H1322" t="s">
        <v>66</v>
      </c>
      <c r="I1322" t="s">
        <v>43</v>
      </c>
      <c r="J1322">
        <v>121</v>
      </c>
      <c r="K1322">
        <v>19</v>
      </c>
      <c r="L1322">
        <v>9.5</v>
      </c>
      <c r="M1322">
        <v>11</v>
      </c>
      <c r="N1322">
        <v>27455</v>
      </c>
      <c r="O1322">
        <v>65</v>
      </c>
      <c r="P1322">
        <v>0</v>
      </c>
      <c r="Q1322">
        <v>92</v>
      </c>
      <c r="R1322">
        <v>2235</v>
      </c>
      <c r="S1322" t="s">
        <v>44</v>
      </c>
      <c r="T1322" t="s">
        <v>44</v>
      </c>
      <c r="U1322" t="s">
        <v>44</v>
      </c>
      <c r="V1322">
        <v>2435</v>
      </c>
      <c r="W1322">
        <v>8</v>
      </c>
      <c r="X1322" t="s">
        <v>44</v>
      </c>
      <c r="Y1322">
        <v>2144</v>
      </c>
      <c r="Z1322" t="s">
        <v>44</v>
      </c>
      <c r="AA1322">
        <v>1</v>
      </c>
      <c r="AB1322">
        <v>0</v>
      </c>
      <c r="AC1322">
        <v>0</v>
      </c>
      <c r="AD1322">
        <v>0</v>
      </c>
      <c r="AE1322">
        <v>110</v>
      </c>
      <c r="AF1322">
        <v>3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 s="2">
        <v>2501</v>
      </c>
      <c r="AQ1322">
        <f t="shared" si="47"/>
        <v>2501</v>
      </c>
      <c r="AR1322" s="5">
        <f>VLOOKUP(F1322,'[2]SCP_24-25'!$A:$D,4,0)</f>
        <v>38.68</v>
      </c>
      <c r="AS1322" s="5">
        <f t="shared" si="46"/>
        <v>96738.68</v>
      </c>
    </row>
    <row r="1323" spans="1:45" x14ac:dyDescent="0.3">
      <c r="A1323" s="1">
        <v>45900.963194444441</v>
      </c>
      <c r="B1323" t="s">
        <v>1463</v>
      </c>
      <c r="C1323" t="s">
        <v>1464</v>
      </c>
      <c r="D1323" t="s">
        <v>145</v>
      </c>
      <c r="F1323" t="s">
        <v>1550</v>
      </c>
      <c r="G1323" t="s">
        <v>146</v>
      </c>
      <c r="H1323" t="s">
        <v>103</v>
      </c>
      <c r="I1323" t="s">
        <v>43</v>
      </c>
      <c r="J1323">
        <v>300</v>
      </c>
      <c r="K1323">
        <v>19</v>
      </c>
      <c r="L1323">
        <v>9.5</v>
      </c>
      <c r="M1323">
        <v>11</v>
      </c>
      <c r="N1323">
        <v>77570</v>
      </c>
      <c r="O1323">
        <v>118</v>
      </c>
      <c r="P1323">
        <v>0</v>
      </c>
      <c r="Q1323">
        <v>23</v>
      </c>
      <c r="R1323">
        <v>9085</v>
      </c>
      <c r="S1323" t="s">
        <v>44</v>
      </c>
      <c r="T1323" t="s">
        <v>44</v>
      </c>
      <c r="U1323" t="s">
        <v>44</v>
      </c>
      <c r="V1323">
        <v>1376</v>
      </c>
      <c r="W1323">
        <v>12</v>
      </c>
      <c r="X1323" t="s">
        <v>44</v>
      </c>
      <c r="Y1323">
        <v>1376</v>
      </c>
      <c r="Z1323" t="s">
        <v>44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3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 s="2">
        <v>1495</v>
      </c>
      <c r="AQ1323">
        <f t="shared" si="47"/>
        <v>1495</v>
      </c>
      <c r="AR1323" s="5">
        <f>VLOOKUP(F1323,'[2]SCP_24-25'!$A:$D,4,0)</f>
        <v>102.91</v>
      </c>
      <c r="AS1323" s="5">
        <f t="shared" si="46"/>
        <v>153850.44999999998</v>
      </c>
    </row>
    <row r="1324" spans="1:45" x14ac:dyDescent="0.3">
      <c r="A1324" s="1">
        <v>45900.963194444441</v>
      </c>
      <c r="B1324" t="s">
        <v>1463</v>
      </c>
      <c r="C1324" t="s">
        <v>1464</v>
      </c>
      <c r="D1324" t="s">
        <v>151</v>
      </c>
      <c r="F1324" t="s">
        <v>1553</v>
      </c>
      <c r="G1324" t="s">
        <v>152</v>
      </c>
      <c r="H1324" t="s">
        <v>66</v>
      </c>
      <c r="I1324" t="s">
        <v>43</v>
      </c>
      <c r="J1324">
        <v>119.96</v>
      </c>
      <c r="K1324">
        <v>19</v>
      </c>
      <c r="L1324">
        <v>9.5</v>
      </c>
      <c r="M1324">
        <v>11</v>
      </c>
      <c r="N1324">
        <v>48275</v>
      </c>
      <c r="O1324">
        <v>225</v>
      </c>
      <c r="P1324">
        <v>0</v>
      </c>
      <c r="Q1324">
        <v>942</v>
      </c>
      <c r="R1324">
        <v>4890</v>
      </c>
      <c r="S1324" t="s">
        <v>44</v>
      </c>
      <c r="T1324" t="s">
        <v>44</v>
      </c>
      <c r="U1324" t="s">
        <v>44</v>
      </c>
      <c r="V1324">
        <v>1915</v>
      </c>
      <c r="W1324">
        <v>21</v>
      </c>
      <c r="X1324" t="s">
        <v>44</v>
      </c>
      <c r="Y1324">
        <v>1801</v>
      </c>
      <c r="Z1324" t="s">
        <v>44</v>
      </c>
      <c r="AA1324">
        <v>1</v>
      </c>
      <c r="AB1324">
        <v>0</v>
      </c>
      <c r="AC1324">
        <v>0</v>
      </c>
      <c r="AD1324">
        <v>0</v>
      </c>
      <c r="AE1324">
        <v>112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 s="2">
        <v>2141</v>
      </c>
      <c r="AQ1324">
        <f t="shared" si="47"/>
        <v>2141</v>
      </c>
      <c r="AR1324" s="5">
        <f>VLOOKUP(F1324,'[2]SCP_24-25'!$A:$D,4,0)</f>
        <v>25.264285714285712</v>
      </c>
      <c r="AS1324" s="5">
        <f t="shared" si="46"/>
        <v>54090.835714285713</v>
      </c>
    </row>
    <row r="1325" spans="1:45" x14ac:dyDescent="0.3">
      <c r="A1325" s="1">
        <v>45900.963194444441</v>
      </c>
      <c r="B1325" t="s">
        <v>1463</v>
      </c>
      <c r="C1325" t="s">
        <v>1464</v>
      </c>
      <c r="D1325" t="s">
        <v>161</v>
      </c>
      <c r="F1325" t="s">
        <v>1558</v>
      </c>
      <c r="G1325" t="s">
        <v>162</v>
      </c>
      <c r="H1325" t="s">
        <v>66</v>
      </c>
      <c r="I1325" t="s">
        <v>43</v>
      </c>
      <c r="J1325">
        <v>92.53</v>
      </c>
      <c r="K1325">
        <v>19</v>
      </c>
      <c r="L1325">
        <v>9.5</v>
      </c>
      <c r="M1325">
        <v>11</v>
      </c>
      <c r="N1325">
        <v>75570</v>
      </c>
      <c r="O1325">
        <v>89</v>
      </c>
      <c r="P1325">
        <v>0</v>
      </c>
      <c r="Q1325">
        <v>59</v>
      </c>
      <c r="R1325">
        <v>5719</v>
      </c>
      <c r="S1325" t="s">
        <v>44</v>
      </c>
      <c r="T1325">
        <v>1</v>
      </c>
      <c r="U1325" t="s">
        <v>44</v>
      </c>
      <c r="V1325">
        <v>2188</v>
      </c>
      <c r="W1325">
        <v>8</v>
      </c>
      <c r="X1325" t="s">
        <v>44</v>
      </c>
      <c r="Y1325">
        <v>2179</v>
      </c>
      <c r="Z1325" t="s">
        <v>44</v>
      </c>
      <c r="AA1325">
        <v>4</v>
      </c>
      <c r="AB1325">
        <v>0</v>
      </c>
      <c r="AC1325">
        <v>0</v>
      </c>
      <c r="AD1325">
        <v>0</v>
      </c>
      <c r="AE1325">
        <v>250</v>
      </c>
      <c r="AF1325">
        <v>7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 s="2">
        <v>2281</v>
      </c>
      <c r="AQ1325">
        <f t="shared" si="47"/>
        <v>2281</v>
      </c>
      <c r="AR1325" s="5">
        <f>VLOOKUP(F1325,'[2]SCP_24-25'!$A:$D,4,0)</f>
        <v>41.87</v>
      </c>
      <c r="AS1325" s="5">
        <f t="shared" si="46"/>
        <v>95505.47</v>
      </c>
    </row>
    <row r="1326" spans="1:45" x14ac:dyDescent="0.3">
      <c r="A1326" s="1">
        <v>45900.963194444441</v>
      </c>
      <c r="B1326" t="s">
        <v>1463</v>
      </c>
      <c r="C1326" t="s">
        <v>1464</v>
      </c>
      <c r="D1326" t="s">
        <v>171</v>
      </c>
      <c r="F1326" t="s">
        <v>1563</v>
      </c>
      <c r="G1326" t="s">
        <v>172</v>
      </c>
      <c r="H1326" t="s">
        <v>66</v>
      </c>
      <c r="I1326" t="s">
        <v>43</v>
      </c>
      <c r="J1326">
        <v>99.85</v>
      </c>
      <c r="K1326">
        <v>19</v>
      </c>
      <c r="L1326">
        <v>9.5</v>
      </c>
      <c r="M1326">
        <v>11</v>
      </c>
      <c r="N1326">
        <v>107120</v>
      </c>
      <c r="O1326">
        <v>79</v>
      </c>
      <c r="P1326">
        <v>0</v>
      </c>
      <c r="Q1326">
        <v>133</v>
      </c>
      <c r="R1326">
        <v>27970</v>
      </c>
      <c r="S1326" t="s">
        <v>44</v>
      </c>
      <c r="T1326">
        <v>72</v>
      </c>
      <c r="U1326" t="s">
        <v>44</v>
      </c>
      <c r="V1326">
        <v>1951</v>
      </c>
      <c r="W1326">
        <v>2</v>
      </c>
      <c r="X1326" t="s">
        <v>44</v>
      </c>
      <c r="Y1326">
        <v>1566</v>
      </c>
      <c r="Z1326" t="s">
        <v>44</v>
      </c>
      <c r="AA1326">
        <v>1</v>
      </c>
      <c r="AB1326">
        <v>0</v>
      </c>
      <c r="AC1326">
        <v>0</v>
      </c>
      <c r="AD1326">
        <v>0</v>
      </c>
      <c r="AE1326">
        <v>58</v>
      </c>
      <c r="AF1326">
        <v>6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 s="2">
        <v>2031</v>
      </c>
      <c r="AQ1326">
        <f t="shared" si="47"/>
        <v>2031</v>
      </c>
      <c r="AR1326" s="5">
        <f>VLOOKUP(F1326,'[2]SCP_24-25'!$A:$D,4,0)</f>
        <v>75.69</v>
      </c>
      <c r="AS1326" s="5">
        <f t="shared" si="46"/>
        <v>153726.38999999998</v>
      </c>
    </row>
    <row r="1327" spans="1:45" x14ac:dyDescent="0.3">
      <c r="A1327" s="1">
        <v>45900.963194444441</v>
      </c>
      <c r="B1327" t="s">
        <v>1463</v>
      </c>
      <c r="C1327" t="s">
        <v>1464</v>
      </c>
      <c r="D1327" t="s">
        <v>173</v>
      </c>
      <c r="F1327" t="s">
        <v>1564</v>
      </c>
      <c r="G1327" t="s">
        <v>174</v>
      </c>
      <c r="H1327" t="s">
        <v>66</v>
      </c>
      <c r="I1327" t="s">
        <v>43</v>
      </c>
      <c r="J1327">
        <v>101</v>
      </c>
      <c r="K1327">
        <v>19</v>
      </c>
      <c r="L1327">
        <v>9.5</v>
      </c>
      <c r="M1327">
        <v>11</v>
      </c>
      <c r="N1327">
        <v>45908</v>
      </c>
      <c r="O1327">
        <v>237</v>
      </c>
      <c r="P1327">
        <v>0</v>
      </c>
      <c r="Q1327">
        <v>135</v>
      </c>
      <c r="R1327">
        <v>3080</v>
      </c>
      <c r="S1327" t="s">
        <v>44</v>
      </c>
      <c r="T1327" t="s">
        <v>44</v>
      </c>
      <c r="U1327" t="s">
        <v>44</v>
      </c>
      <c r="V1327">
        <v>1160</v>
      </c>
      <c r="W1327">
        <v>14</v>
      </c>
      <c r="X1327" t="s">
        <v>44</v>
      </c>
      <c r="Y1327">
        <v>1007</v>
      </c>
      <c r="Z1327" t="s">
        <v>44</v>
      </c>
      <c r="AA1327">
        <v>0</v>
      </c>
      <c r="AB1327">
        <v>0</v>
      </c>
      <c r="AC1327">
        <v>0</v>
      </c>
      <c r="AD1327">
        <v>0</v>
      </c>
      <c r="AE1327">
        <v>226</v>
      </c>
      <c r="AF1327">
        <v>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 s="2">
        <v>1397</v>
      </c>
      <c r="AQ1327">
        <f t="shared" si="47"/>
        <v>1397</v>
      </c>
      <c r="AR1327" s="5">
        <f>VLOOKUP(F1327,'[2]SCP_24-25'!$A:$D,4,0)</f>
        <v>51.353999999999999</v>
      </c>
      <c r="AS1327" s="5">
        <f t="shared" si="46"/>
        <v>71741.538</v>
      </c>
    </row>
    <row r="1328" spans="1:45" x14ac:dyDescent="0.3">
      <c r="A1328" s="1">
        <v>45900.963194444441</v>
      </c>
      <c r="B1328" t="s">
        <v>1463</v>
      </c>
      <c r="C1328" t="s">
        <v>1464</v>
      </c>
      <c r="D1328" t="s">
        <v>175</v>
      </c>
      <c r="F1328" t="s">
        <v>1565</v>
      </c>
      <c r="G1328" t="s">
        <v>176</v>
      </c>
      <c r="H1328" t="s">
        <v>66</v>
      </c>
      <c r="I1328" t="s">
        <v>43</v>
      </c>
      <c r="J1328">
        <v>101</v>
      </c>
      <c r="K1328">
        <v>18</v>
      </c>
      <c r="L1328">
        <v>9.5</v>
      </c>
      <c r="M1328">
        <v>11</v>
      </c>
      <c r="N1328">
        <v>50571</v>
      </c>
      <c r="O1328">
        <v>59</v>
      </c>
      <c r="P1328">
        <v>0</v>
      </c>
      <c r="Q1328">
        <v>92</v>
      </c>
      <c r="R1328">
        <v>4071</v>
      </c>
      <c r="S1328" t="s">
        <v>44</v>
      </c>
      <c r="T1328">
        <v>8</v>
      </c>
      <c r="U1328" t="s">
        <v>44</v>
      </c>
      <c r="V1328">
        <v>2800</v>
      </c>
      <c r="W1328">
        <v>15</v>
      </c>
      <c r="X1328" t="s">
        <v>44</v>
      </c>
      <c r="Y1328">
        <v>2250</v>
      </c>
      <c r="Z1328" t="s">
        <v>44</v>
      </c>
      <c r="AA1328">
        <v>2</v>
      </c>
      <c r="AB1328">
        <v>0</v>
      </c>
      <c r="AC1328">
        <v>0</v>
      </c>
      <c r="AD1328">
        <v>0</v>
      </c>
      <c r="AE1328">
        <v>63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 s="2">
        <v>2861</v>
      </c>
      <c r="AQ1328">
        <f t="shared" si="47"/>
        <v>2861</v>
      </c>
      <c r="AR1328" s="5">
        <f>VLOOKUP(F1328,'[2]SCP_24-25'!$A:$D,4,0)</f>
        <v>75.27</v>
      </c>
      <c r="AS1328" s="5">
        <f t="shared" si="46"/>
        <v>215347.47</v>
      </c>
    </row>
    <row r="1329" spans="1:45" x14ac:dyDescent="0.3">
      <c r="A1329" s="1">
        <v>45900.963194444441</v>
      </c>
      <c r="B1329" t="s">
        <v>1463</v>
      </c>
      <c r="C1329" t="s">
        <v>1464</v>
      </c>
      <c r="D1329" t="s">
        <v>191</v>
      </c>
      <c r="F1329" t="s">
        <v>1573</v>
      </c>
      <c r="G1329" t="s">
        <v>192</v>
      </c>
      <c r="H1329" t="s">
        <v>66</v>
      </c>
      <c r="I1329" t="s">
        <v>43</v>
      </c>
      <c r="J1329">
        <v>195</v>
      </c>
      <c r="K1329">
        <v>19</v>
      </c>
      <c r="L1329">
        <v>9.5</v>
      </c>
      <c r="M1329">
        <v>11</v>
      </c>
      <c r="N1329">
        <v>86636</v>
      </c>
      <c r="O1329">
        <v>277</v>
      </c>
      <c r="P1329">
        <v>0</v>
      </c>
      <c r="Q1329">
        <v>156</v>
      </c>
      <c r="R1329">
        <v>7670</v>
      </c>
      <c r="S1329" t="s">
        <v>44</v>
      </c>
      <c r="T1329">
        <v>5</v>
      </c>
      <c r="U1329" t="s">
        <v>44</v>
      </c>
      <c r="V1329">
        <v>1499</v>
      </c>
      <c r="W1329">
        <v>19</v>
      </c>
      <c r="X1329" t="s">
        <v>44</v>
      </c>
      <c r="Y1329">
        <v>1127</v>
      </c>
      <c r="Z1329" t="s">
        <v>44</v>
      </c>
      <c r="AA1329">
        <v>4</v>
      </c>
      <c r="AB1329">
        <v>0</v>
      </c>
      <c r="AC1329">
        <v>0</v>
      </c>
      <c r="AD1329">
        <v>0</v>
      </c>
      <c r="AE1329">
        <v>232</v>
      </c>
      <c r="AF1329">
        <v>4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 s="2">
        <v>1780</v>
      </c>
      <c r="AQ1329">
        <f t="shared" si="47"/>
        <v>1780</v>
      </c>
      <c r="AR1329" s="5">
        <f>VLOOKUP(F1329,'[2]SCP_24-25'!$A:$D,4,0)</f>
        <v>66.899999999999991</v>
      </c>
      <c r="AS1329" s="5">
        <f t="shared" si="46"/>
        <v>119081.99999999999</v>
      </c>
    </row>
    <row r="1330" spans="1:45" x14ac:dyDescent="0.3">
      <c r="A1330" s="1">
        <v>45900.963194444441</v>
      </c>
      <c r="B1330" t="s">
        <v>1463</v>
      </c>
      <c r="C1330" t="s">
        <v>1464</v>
      </c>
      <c r="D1330" t="s">
        <v>195</v>
      </c>
      <c r="F1330" t="s">
        <v>1575</v>
      </c>
      <c r="G1330" t="s">
        <v>196</v>
      </c>
      <c r="H1330" t="s">
        <v>66</v>
      </c>
      <c r="I1330" t="s">
        <v>43</v>
      </c>
      <c r="J1330">
        <v>82</v>
      </c>
      <c r="K1330">
        <v>19</v>
      </c>
      <c r="L1330">
        <v>9.5</v>
      </c>
      <c r="M1330">
        <v>11</v>
      </c>
      <c r="N1330">
        <v>21707</v>
      </c>
      <c r="O1330">
        <v>27</v>
      </c>
      <c r="P1330">
        <v>0</v>
      </c>
      <c r="Q1330">
        <v>140</v>
      </c>
      <c r="R1330">
        <v>1699</v>
      </c>
      <c r="S1330" t="s">
        <v>44</v>
      </c>
      <c r="T1330">
        <v>17</v>
      </c>
      <c r="U1330" t="s">
        <v>44</v>
      </c>
      <c r="V1330">
        <v>1570</v>
      </c>
      <c r="W1330">
        <v>7</v>
      </c>
      <c r="X1330" t="s">
        <v>44</v>
      </c>
      <c r="Y1330">
        <v>1319</v>
      </c>
      <c r="Z1330" t="s">
        <v>44</v>
      </c>
      <c r="AA1330">
        <v>0</v>
      </c>
      <c r="AB1330">
        <v>0</v>
      </c>
      <c r="AC1330">
        <v>0</v>
      </c>
      <c r="AD1330">
        <v>0</v>
      </c>
      <c r="AE1330">
        <v>13</v>
      </c>
      <c r="AF1330">
        <v>6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 s="2">
        <v>1597</v>
      </c>
      <c r="AQ1330">
        <f t="shared" si="47"/>
        <v>1597</v>
      </c>
      <c r="AR1330" s="5">
        <f>VLOOKUP(F1330,'[2]SCP_24-25'!$A:$D,4,0)</f>
        <v>99.42</v>
      </c>
      <c r="AS1330" s="5">
        <f t="shared" si="46"/>
        <v>158773.74</v>
      </c>
    </row>
    <row r="1331" spans="1:45" x14ac:dyDescent="0.3">
      <c r="A1331" s="1">
        <v>45900.963194444441</v>
      </c>
      <c r="B1331" t="s">
        <v>1463</v>
      </c>
      <c r="C1331" t="s">
        <v>1464</v>
      </c>
      <c r="D1331" t="s">
        <v>213</v>
      </c>
      <c r="E1331" t="s">
        <v>214</v>
      </c>
      <c r="F1331" t="s">
        <v>1582</v>
      </c>
      <c r="G1331" t="s">
        <v>215</v>
      </c>
      <c r="H1331" t="s">
        <v>66</v>
      </c>
      <c r="I1331" t="s">
        <v>43</v>
      </c>
      <c r="J1331">
        <v>101</v>
      </c>
      <c r="K1331">
        <v>19</v>
      </c>
      <c r="L1331">
        <v>9.5</v>
      </c>
      <c r="M1331">
        <v>11</v>
      </c>
      <c r="N1331">
        <v>52118</v>
      </c>
      <c r="O1331">
        <v>173</v>
      </c>
      <c r="P1331">
        <v>0</v>
      </c>
      <c r="Q1331">
        <v>139</v>
      </c>
      <c r="R1331">
        <v>3049</v>
      </c>
      <c r="S1331" t="s">
        <v>44</v>
      </c>
      <c r="T1331">
        <v>6</v>
      </c>
      <c r="U1331" t="s">
        <v>44</v>
      </c>
      <c r="V1331">
        <v>1324</v>
      </c>
      <c r="W1331">
        <v>2</v>
      </c>
      <c r="X1331" t="s">
        <v>44</v>
      </c>
      <c r="Y1331">
        <v>1277</v>
      </c>
      <c r="Z1331" t="s">
        <v>44</v>
      </c>
      <c r="AA1331">
        <v>2</v>
      </c>
      <c r="AB1331">
        <v>0</v>
      </c>
      <c r="AC1331">
        <v>0</v>
      </c>
      <c r="AD1331">
        <v>0</v>
      </c>
      <c r="AE1331">
        <v>33</v>
      </c>
      <c r="AF1331">
        <v>4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 s="2">
        <v>1499</v>
      </c>
      <c r="AQ1331">
        <f t="shared" si="47"/>
        <v>1499</v>
      </c>
      <c r="AR1331" s="5">
        <f>VLOOKUP(F1331,'[2]SCP_24-25'!$A:$D,4,0)</f>
        <v>60.46</v>
      </c>
      <c r="AS1331" s="5">
        <f t="shared" si="46"/>
        <v>90629.540000000008</v>
      </c>
    </row>
    <row r="1332" spans="1:45" x14ac:dyDescent="0.3">
      <c r="A1332" s="1">
        <v>45900.963194444441</v>
      </c>
      <c r="B1332" t="s">
        <v>1463</v>
      </c>
      <c r="C1332" t="s">
        <v>1464</v>
      </c>
      <c r="D1332" t="s">
        <v>216</v>
      </c>
      <c r="F1332" t="s">
        <v>1583</v>
      </c>
      <c r="G1332" t="s">
        <v>217</v>
      </c>
      <c r="H1332" t="s">
        <v>66</v>
      </c>
      <c r="I1332" t="s">
        <v>43</v>
      </c>
      <c r="J1332">
        <v>205</v>
      </c>
      <c r="K1332">
        <v>19</v>
      </c>
      <c r="L1332">
        <v>10</v>
      </c>
      <c r="M1332">
        <v>11</v>
      </c>
      <c r="N1332">
        <v>26785</v>
      </c>
      <c r="O1332">
        <v>39</v>
      </c>
      <c r="P1332">
        <v>0</v>
      </c>
      <c r="Q1332">
        <v>83</v>
      </c>
      <c r="R1332">
        <v>3285</v>
      </c>
      <c r="S1332" t="s">
        <v>44</v>
      </c>
      <c r="T1332">
        <v>336</v>
      </c>
      <c r="U1332" t="s">
        <v>44</v>
      </c>
      <c r="V1332">
        <v>1534</v>
      </c>
      <c r="W1332">
        <v>12</v>
      </c>
      <c r="X1332" t="s">
        <v>44</v>
      </c>
      <c r="Y1332">
        <v>1458</v>
      </c>
      <c r="Z1332" t="s">
        <v>44</v>
      </c>
      <c r="AA1332">
        <v>2</v>
      </c>
      <c r="AB1332">
        <v>0</v>
      </c>
      <c r="AC1332">
        <v>0</v>
      </c>
      <c r="AD1332">
        <v>0</v>
      </c>
      <c r="AE1332">
        <v>9</v>
      </c>
      <c r="AF1332">
        <v>3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 s="2">
        <v>1575</v>
      </c>
      <c r="AQ1332">
        <f t="shared" si="47"/>
        <v>1575</v>
      </c>
      <c r="AR1332" s="5">
        <f>VLOOKUP(F1332,'[2]SCP_24-25'!$A:$D,4,0)</f>
        <v>61.48</v>
      </c>
      <c r="AS1332" s="5">
        <f t="shared" si="46"/>
        <v>96831</v>
      </c>
    </row>
    <row r="1333" spans="1:45" x14ac:dyDescent="0.3">
      <c r="A1333" s="1">
        <v>45900.963194444441</v>
      </c>
      <c r="B1333" t="s">
        <v>1463</v>
      </c>
      <c r="C1333" t="s">
        <v>1464</v>
      </c>
      <c r="D1333" t="s">
        <v>230</v>
      </c>
      <c r="F1333" t="s">
        <v>1590</v>
      </c>
      <c r="G1333" t="s">
        <v>231</v>
      </c>
      <c r="H1333" t="s">
        <v>66</v>
      </c>
      <c r="I1333" t="s">
        <v>43</v>
      </c>
      <c r="J1333">
        <v>47</v>
      </c>
      <c r="K1333">
        <v>19</v>
      </c>
      <c r="L1333">
        <v>10</v>
      </c>
      <c r="M1333">
        <v>11</v>
      </c>
      <c r="N1333">
        <v>47055</v>
      </c>
      <c r="O1333">
        <v>118</v>
      </c>
      <c r="P1333">
        <v>0</v>
      </c>
      <c r="Q1333">
        <v>109</v>
      </c>
      <c r="R1333">
        <v>5148</v>
      </c>
      <c r="S1333" t="s">
        <v>44</v>
      </c>
      <c r="T1333" t="s">
        <v>44</v>
      </c>
      <c r="U1333" t="s">
        <v>44</v>
      </c>
      <c r="V1333">
        <v>2058</v>
      </c>
      <c r="W1333">
        <v>11</v>
      </c>
      <c r="X1333" t="s">
        <v>44</v>
      </c>
      <c r="Y1333">
        <v>2033</v>
      </c>
      <c r="Z1333" t="s">
        <v>44</v>
      </c>
      <c r="AA1333">
        <v>2</v>
      </c>
      <c r="AB1333">
        <v>0</v>
      </c>
      <c r="AC1333">
        <v>0</v>
      </c>
      <c r="AD1333">
        <v>0</v>
      </c>
      <c r="AE1333">
        <v>563</v>
      </c>
      <c r="AF1333">
        <v>4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 s="2">
        <v>2178</v>
      </c>
      <c r="AQ1333">
        <f t="shared" si="47"/>
        <v>2178</v>
      </c>
      <c r="AR1333" s="5">
        <f>VLOOKUP(F1333,'[2]SCP_24-25'!$A:$D,4,0)</f>
        <v>75.81</v>
      </c>
      <c r="AS1333" s="5">
        <f t="shared" si="46"/>
        <v>165114.18</v>
      </c>
    </row>
    <row r="1334" spans="1:45" x14ac:dyDescent="0.3">
      <c r="A1334" s="1">
        <v>45900.963194444441</v>
      </c>
      <c r="B1334" t="s">
        <v>1463</v>
      </c>
      <c r="C1334" t="s">
        <v>1464</v>
      </c>
      <c r="D1334" t="s">
        <v>254</v>
      </c>
      <c r="E1334" t="s">
        <v>255</v>
      </c>
      <c r="F1334" t="s">
        <v>1599</v>
      </c>
      <c r="G1334" t="s">
        <v>256</v>
      </c>
      <c r="H1334" t="s">
        <v>66</v>
      </c>
      <c r="I1334" t="s">
        <v>43</v>
      </c>
      <c r="J1334">
        <v>59.02</v>
      </c>
      <c r="K1334">
        <v>19</v>
      </c>
      <c r="L1334">
        <v>11</v>
      </c>
      <c r="M1334">
        <v>9.5</v>
      </c>
      <c r="N1334">
        <v>37053</v>
      </c>
      <c r="O1334">
        <v>81</v>
      </c>
      <c r="P1334">
        <v>0</v>
      </c>
      <c r="Q1334">
        <v>7</v>
      </c>
      <c r="R1334">
        <v>2269</v>
      </c>
      <c r="S1334" t="s">
        <v>44</v>
      </c>
      <c r="T1334" t="s">
        <v>44</v>
      </c>
      <c r="U1334" t="s">
        <v>44</v>
      </c>
      <c r="V1334">
        <v>1163</v>
      </c>
      <c r="W1334" t="s">
        <v>44</v>
      </c>
      <c r="X1334" t="s">
        <v>44</v>
      </c>
      <c r="Y1334">
        <v>1031</v>
      </c>
      <c r="Z1334" t="s">
        <v>44</v>
      </c>
      <c r="AA1334">
        <v>2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 s="2">
        <v>1246</v>
      </c>
      <c r="AQ1334">
        <f t="shared" si="47"/>
        <v>1246</v>
      </c>
      <c r="AR1334" s="5">
        <f>VLOOKUP(F1334,'[2]SCP_24-25'!$A:$D,4,0)</f>
        <v>112.63</v>
      </c>
      <c r="AS1334" s="5">
        <f t="shared" si="46"/>
        <v>140336.97999999998</v>
      </c>
    </row>
    <row r="1335" spans="1:45" x14ac:dyDescent="0.3">
      <c r="A1335" s="1">
        <v>45900.963194444441</v>
      </c>
      <c r="B1335" t="s">
        <v>1463</v>
      </c>
      <c r="C1335" t="s">
        <v>1464</v>
      </c>
      <c r="D1335" t="s">
        <v>263</v>
      </c>
      <c r="E1335" t="s">
        <v>264</v>
      </c>
      <c r="F1335" t="s">
        <v>1602</v>
      </c>
      <c r="G1335" t="s">
        <v>265</v>
      </c>
      <c r="H1335" t="s">
        <v>66</v>
      </c>
      <c r="I1335" t="s">
        <v>43</v>
      </c>
      <c r="J1335">
        <v>150</v>
      </c>
      <c r="K1335">
        <v>19</v>
      </c>
      <c r="L1335">
        <v>11</v>
      </c>
      <c r="M1335">
        <v>9.5</v>
      </c>
      <c r="N1335">
        <v>22854</v>
      </c>
      <c r="O1335">
        <v>94</v>
      </c>
      <c r="P1335">
        <v>0</v>
      </c>
      <c r="Q1335">
        <v>521</v>
      </c>
      <c r="R1335">
        <v>1457</v>
      </c>
      <c r="S1335" t="s">
        <v>44</v>
      </c>
      <c r="T1335">
        <v>144</v>
      </c>
      <c r="U1335" t="s">
        <v>44</v>
      </c>
      <c r="V1335">
        <v>1817</v>
      </c>
      <c r="W1335">
        <v>48</v>
      </c>
      <c r="X1335" t="s">
        <v>44</v>
      </c>
      <c r="Y1335">
        <v>1795</v>
      </c>
      <c r="Z1335" t="s">
        <v>44</v>
      </c>
      <c r="AA1335">
        <v>0</v>
      </c>
      <c r="AB1335">
        <v>0</v>
      </c>
      <c r="AC1335">
        <v>0</v>
      </c>
      <c r="AD1335">
        <v>0</v>
      </c>
      <c r="AE1335">
        <v>80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 s="2">
        <v>1911</v>
      </c>
      <c r="AQ1335">
        <f t="shared" si="47"/>
        <v>1911</v>
      </c>
      <c r="AR1335" s="5">
        <f>VLOOKUP(F1335,'[2]SCP_24-25'!$A:$D,4,0)</f>
        <v>31.706666666666667</v>
      </c>
      <c r="AS1335" s="5">
        <f t="shared" si="46"/>
        <v>60591.44</v>
      </c>
    </row>
    <row r="1336" spans="1:45" x14ac:dyDescent="0.3">
      <c r="A1336" s="1">
        <v>45900.963194444441</v>
      </c>
      <c r="B1336" t="s">
        <v>1463</v>
      </c>
      <c r="C1336" t="s">
        <v>1464</v>
      </c>
      <c r="D1336" t="s">
        <v>269</v>
      </c>
      <c r="E1336" t="s">
        <v>270</v>
      </c>
      <c r="F1336" t="s">
        <v>1604</v>
      </c>
      <c r="G1336" t="s">
        <v>271</v>
      </c>
      <c r="H1336" t="s">
        <v>66</v>
      </c>
      <c r="I1336" t="s">
        <v>43</v>
      </c>
      <c r="J1336">
        <v>90</v>
      </c>
      <c r="K1336">
        <v>19</v>
      </c>
      <c r="L1336">
        <v>11</v>
      </c>
      <c r="M1336">
        <v>9.5</v>
      </c>
      <c r="N1336">
        <v>13497</v>
      </c>
      <c r="O1336">
        <v>0</v>
      </c>
      <c r="P1336">
        <v>0</v>
      </c>
      <c r="Q1336">
        <v>51</v>
      </c>
      <c r="R1336">
        <v>1481</v>
      </c>
      <c r="S1336" t="s">
        <v>44</v>
      </c>
      <c r="T1336" t="s">
        <v>44</v>
      </c>
      <c r="U1336" t="s">
        <v>44</v>
      </c>
      <c r="V1336">
        <v>1311</v>
      </c>
      <c r="W1336">
        <v>2</v>
      </c>
      <c r="X1336" t="s">
        <v>44</v>
      </c>
      <c r="Y1336">
        <v>1101</v>
      </c>
      <c r="Z1336" t="s">
        <v>44</v>
      </c>
      <c r="AA1336">
        <v>0</v>
      </c>
      <c r="AB1336">
        <v>0</v>
      </c>
      <c r="AC1336">
        <v>0</v>
      </c>
      <c r="AD1336">
        <v>0</v>
      </c>
      <c r="AE1336">
        <v>265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 s="2">
        <v>1311</v>
      </c>
      <c r="AQ1336">
        <f t="shared" si="47"/>
        <v>1311</v>
      </c>
      <c r="AR1336" s="5">
        <f>VLOOKUP(F1336,'[2]SCP_24-25'!$A:$D,4,0)</f>
        <v>52.11</v>
      </c>
      <c r="AS1336" s="5">
        <f t="shared" si="46"/>
        <v>68316.210000000006</v>
      </c>
    </row>
    <row r="1337" spans="1:45" x14ac:dyDescent="0.3">
      <c r="A1337" s="1">
        <v>45900.963194444441</v>
      </c>
      <c r="B1337" t="s">
        <v>1463</v>
      </c>
      <c r="C1337" t="s">
        <v>1464</v>
      </c>
      <c r="D1337" t="s">
        <v>283</v>
      </c>
      <c r="E1337" t="s">
        <v>284</v>
      </c>
      <c r="F1337" t="s">
        <v>1609</v>
      </c>
      <c r="G1337" t="s">
        <v>285</v>
      </c>
      <c r="H1337" t="s">
        <v>103</v>
      </c>
      <c r="I1337" t="s">
        <v>43</v>
      </c>
      <c r="J1337">
        <v>120</v>
      </c>
      <c r="K1337">
        <v>19</v>
      </c>
      <c r="L1337">
        <v>9.5</v>
      </c>
      <c r="M1337">
        <v>11</v>
      </c>
      <c r="N1337">
        <v>29070</v>
      </c>
      <c r="O1337">
        <v>95</v>
      </c>
      <c r="P1337">
        <v>0</v>
      </c>
      <c r="Q1337">
        <v>85</v>
      </c>
      <c r="R1337">
        <v>1791</v>
      </c>
      <c r="S1337" t="s">
        <v>44</v>
      </c>
      <c r="T1337" t="s">
        <v>44</v>
      </c>
      <c r="U1337" t="s">
        <v>44</v>
      </c>
      <c r="V1337">
        <v>1612</v>
      </c>
      <c r="W1337" t="s">
        <v>44</v>
      </c>
      <c r="X1337" t="s">
        <v>44</v>
      </c>
      <c r="Y1337">
        <v>1435</v>
      </c>
      <c r="Z1337" t="s">
        <v>44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3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 s="2">
        <v>1707</v>
      </c>
      <c r="AQ1337">
        <f t="shared" si="47"/>
        <v>1707</v>
      </c>
      <c r="AR1337" s="5">
        <f>VLOOKUP(F1337,'[2]SCP_24-25'!$A:$D,4,0)</f>
        <v>113.26</v>
      </c>
      <c r="AS1337" s="5">
        <f t="shared" si="46"/>
        <v>193334.82</v>
      </c>
    </row>
    <row r="1338" spans="1:45" x14ac:dyDescent="0.3">
      <c r="A1338" s="1">
        <v>45900.963194444441</v>
      </c>
      <c r="B1338" t="s">
        <v>1463</v>
      </c>
      <c r="C1338" t="s">
        <v>1464</v>
      </c>
      <c r="D1338" t="s">
        <v>308</v>
      </c>
      <c r="E1338" t="s">
        <v>309</v>
      </c>
      <c r="F1338" t="s">
        <v>1619</v>
      </c>
      <c r="G1338" t="s">
        <v>310</v>
      </c>
      <c r="H1338" t="s">
        <v>66</v>
      </c>
      <c r="I1338" t="s">
        <v>43</v>
      </c>
      <c r="J1338">
        <v>120</v>
      </c>
      <c r="K1338">
        <v>19</v>
      </c>
      <c r="L1338">
        <v>11</v>
      </c>
      <c r="M1338">
        <v>9.5</v>
      </c>
      <c r="N1338">
        <v>21838</v>
      </c>
      <c r="O1338">
        <v>63</v>
      </c>
      <c r="P1338">
        <v>0</v>
      </c>
      <c r="Q1338">
        <v>208</v>
      </c>
      <c r="R1338">
        <v>1694</v>
      </c>
      <c r="S1338" t="s">
        <v>44</v>
      </c>
      <c r="T1338">
        <v>48</v>
      </c>
      <c r="U1338" t="s">
        <v>44</v>
      </c>
      <c r="V1338">
        <v>1434</v>
      </c>
      <c r="W1338">
        <v>10</v>
      </c>
      <c r="X1338" t="s">
        <v>44</v>
      </c>
      <c r="Y1338">
        <v>1228</v>
      </c>
      <c r="Z1338" t="s">
        <v>44</v>
      </c>
      <c r="AA1338">
        <v>2</v>
      </c>
      <c r="AB1338">
        <v>0</v>
      </c>
      <c r="AC1338">
        <v>0</v>
      </c>
      <c r="AD1338">
        <v>0</v>
      </c>
      <c r="AE1338">
        <v>8</v>
      </c>
      <c r="AF1338">
        <v>7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 s="2">
        <v>1499</v>
      </c>
      <c r="AQ1338">
        <f t="shared" ref="AQ1338:AQ1401" si="48">O1338+P1338+V1338+AA1338</f>
        <v>1499</v>
      </c>
      <c r="AR1338" s="5">
        <f>VLOOKUP(F1338,'[2]SCP_24-25'!$A:$D,4,0)</f>
        <v>43.38</v>
      </c>
      <c r="AS1338" s="5">
        <f t="shared" si="46"/>
        <v>65026.62</v>
      </c>
    </row>
    <row r="1339" spans="1:45" x14ac:dyDescent="0.3">
      <c r="A1339" s="1">
        <v>45900.963194444441</v>
      </c>
      <c r="B1339" t="s">
        <v>1463</v>
      </c>
      <c r="C1339" t="s">
        <v>1464</v>
      </c>
      <c r="D1339" t="s">
        <v>1302</v>
      </c>
      <c r="E1339" t="s">
        <v>1303</v>
      </c>
      <c r="F1339" t="s">
        <v>2103</v>
      </c>
      <c r="G1339" t="s">
        <v>1304</v>
      </c>
      <c r="H1339" t="s">
        <v>66</v>
      </c>
      <c r="I1339" t="s">
        <v>43</v>
      </c>
      <c r="J1339">
        <v>10</v>
      </c>
      <c r="K1339">
        <v>19</v>
      </c>
      <c r="L1339">
        <v>11</v>
      </c>
      <c r="M1339">
        <v>9.5</v>
      </c>
      <c r="N1339">
        <v>47040</v>
      </c>
      <c r="O1339">
        <v>1</v>
      </c>
      <c r="P1339">
        <v>0</v>
      </c>
      <c r="Q1339">
        <v>9</v>
      </c>
      <c r="R1339">
        <v>264</v>
      </c>
      <c r="S1339" t="s">
        <v>44</v>
      </c>
      <c r="T1339" t="s">
        <v>44</v>
      </c>
      <c r="U1339" t="s">
        <v>44</v>
      </c>
      <c r="V1339">
        <v>2344</v>
      </c>
      <c r="W1339" t="s">
        <v>44</v>
      </c>
      <c r="X1339" t="s">
        <v>44</v>
      </c>
      <c r="Y1339">
        <v>2341</v>
      </c>
      <c r="Z1339" t="s">
        <v>44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 s="2">
        <v>2345</v>
      </c>
      <c r="AQ1339">
        <f t="shared" si="48"/>
        <v>2345</v>
      </c>
      <c r="AR1339" s="5">
        <f>VLOOKUP(F1339,'[2]SCP_24-25'!$A:$D,4,0)</f>
        <v>18.22</v>
      </c>
      <c r="AS1339" s="5">
        <f t="shared" si="46"/>
        <v>42725.899999999994</v>
      </c>
    </row>
    <row r="1340" spans="1:45" x14ac:dyDescent="0.3">
      <c r="A1340" s="1">
        <v>45900.963194444441</v>
      </c>
      <c r="B1340" t="s">
        <v>1463</v>
      </c>
      <c r="C1340" t="s">
        <v>1464</v>
      </c>
      <c r="D1340" t="s">
        <v>1330</v>
      </c>
      <c r="E1340" t="s">
        <v>1331</v>
      </c>
      <c r="F1340" t="s">
        <v>2115</v>
      </c>
      <c r="G1340" t="s">
        <v>1332</v>
      </c>
      <c r="H1340" t="s">
        <v>66</v>
      </c>
      <c r="I1340" t="s">
        <v>43</v>
      </c>
      <c r="J1340">
        <v>50</v>
      </c>
      <c r="K1340">
        <v>19</v>
      </c>
      <c r="L1340">
        <v>11</v>
      </c>
      <c r="M1340">
        <v>9.5</v>
      </c>
      <c r="N1340">
        <v>27788</v>
      </c>
      <c r="O1340">
        <v>0</v>
      </c>
      <c r="P1340">
        <v>0</v>
      </c>
      <c r="Q1340">
        <v>3</v>
      </c>
      <c r="R1340" t="s">
        <v>44</v>
      </c>
      <c r="S1340" t="s">
        <v>44</v>
      </c>
      <c r="T1340" t="s">
        <v>44</v>
      </c>
      <c r="U1340" t="s">
        <v>44</v>
      </c>
      <c r="V1340">
        <v>1120</v>
      </c>
      <c r="W1340" t="s">
        <v>44</v>
      </c>
      <c r="X1340" t="s">
        <v>44</v>
      </c>
      <c r="Y1340">
        <v>1120</v>
      </c>
      <c r="Z1340" t="s">
        <v>44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 s="2">
        <v>1120</v>
      </c>
      <c r="AQ1340">
        <f t="shared" si="48"/>
        <v>1120</v>
      </c>
      <c r="AR1340" s="5">
        <f>VLOOKUP(F1340,'[2]SCP_24-25'!$A:$D,4,0)</f>
        <v>15.5</v>
      </c>
      <c r="AS1340" s="5">
        <f t="shared" si="46"/>
        <v>17360</v>
      </c>
    </row>
    <row r="1341" spans="1:45" x14ac:dyDescent="0.3">
      <c r="A1341" s="1">
        <v>45900.963194444441</v>
      </c>
      <c r="B1341" t="s">
        <v>1463</v>
      </c>
      <c r="C1341" t="s">
        <v>1464</v>
      </c>
      <c r="D1341" t="s">
        <v>110</v>
      </c>
      <c r="E1341" t="s">
        <v>111</v>
      </c>
      <c r="F1341" t="s">
        <v>1535</v>
      </c>
      <c r="G1341" t="s">
        <v>112</v>
      </c>
      <c r="H1341" t="s">
        <v>66</v>
      </c>
      <c r="I1341" t="s">
        <v>43</v>
      </c>
      <c r="J1341">
        <v>50</v>
      </c>
      <c r="K1341">
        <v>19</v>
      </c>
      <c r="L1341">
        <v>10</v>
      </c>
      <c r="M1341">
        <v>11</v>
      </c>
      <c r="N1341">
        <v>24748</v>
      </c>
      <c r="O1341">
        <v>108</v>
      </c>
      <c r="P1341">
        <v>0</v>
      </c>
      <c r="Q1341">
        <v>28</v>
      </c>
      <c r="R1341">
        <v>3832</v>
      </c>
      <c r="S1341" t="s">
        <v>44</v>
      </c>
      <c r="T1341" t="s">
        <v>44</v>
      </c>
      <c r="U1341" t="s">
        <v>44</v>
      </c>
      <c r="V1341">
        <v>1744</v>
      </c>
      <c r="W1341">
        <v>1</v>
      </c>
      <c r="X1341" t="s">
        <v>44</v>
      </c>
      <c r="Y1341">
        <v>1724</v>
      </c>
      <c r="Z1341" t="s">
        <v>44</v>
      </c>
      <c r="AA1341">
        <v>2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 s="2">
        <v>1854</v>
      </c>
      <c r="AQ1341">
        <f t="shared" si="48"/>
        <v>1854</v>
      </c>
      <c r="AR1341" s="5">
        <f>VLOOKUP(F1341,'[2]SCP_24-25'!$A:$D,4,0)</f>
        <v>45.474000000000004</v>
      </c>
      <c r="AS1341" s="5">
        <f t="shared" si="46"/>
        <v>84308.796000000002</v>
      </c>
    </row>
    <row r="1342" spans="1:45" x14ac:dyDescent="0.3">
      <c r="A1342" s="1">
        <v>45900.963194444441</v>
      </c>
      <c r="B1342" t="s">
        <v>1463</v>
      </c>
      <c r="C1342" t="s">
        <v>1464</v>
      </c>
      <c r="D1342" t="s">
        <v>439</v>
      </c>
      <c r="E1342" t="s">
        <v>440</v>
      </c>
      <c r="F1342" t="s">
        <v>1675</v>
      </c>
      <c r="G1342" t="s">
        <v>441</v>
      </c>
      <c r="H1342" t="s">
        <v>130</v>
      </c>
      <c r="I1342" t="s">
        <v>43</v>
      </c>
      <c r="J1342">
        <v>11.32</v>
      </c>
      <c r="K1342">
        <v>19</v>
      </c>
      <c r="L1342">
        <v>10</v>
      </c>
      <c r="M1342">
        <v>11</v>
      </c>
      <c r="N1342">
        <v>50816</v>
      </c>
      <c r="O1342">
        <v>157</v>
      </c>
      <c r="P1342">
        <v>0</v>
      </c>
      <c r="Q1342">
        <v>14</v>
      </c>
      <c r="R1342" t="s">
        <v>44</v>
      </c>
      <c r="S1342" t="s">
        <v>44</v>
      </c>
      <c r="T1342" t="s">
        <v>44</v>
      </c>
      <c r="U1342" t="s">
        <v>44</v>
      </c>
      <c r="V1342">
        <v>2237</v>
      </c>
      <c r="W1342">
        <v>4</v>
      </c>
      <c r="X1342" t="s">
        <v>44</v>
      </c>
      <c r="Y1342">
        <v>2237</v>
      </c>
      <c r="Z1342" t="s">
        <v>44</v>
      </c>
      <c r="AA1342">
        <v>3</v>
      </c>
      <c r="AB1342">
        <v>0</v>
      </c>
      <c r="AC1342">
        <v>0</v>
      </c>
      <c r="AD1342">
        <v>0</v>
      </c>
      <c r="AE1342">
        <v>0</v>
      </c>
      <c r="AF1342">
        <v>8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 s="2">
        <v>2397</v>
      </c>
      <c r="AQ1342">
        <f t="shared" si="48"/>
        <v>2397</v>
      </c>
      <c r="AR1342" s="5">
        <f>VLOOKUP(F1342,'[2]SCP_24-25'!$A:$D,4,0)</f>
        <v>49.01</v>
      </c>
      <c r="AS1342" s="5">
        <f t="shared" si="46"/>
        <v>117476.97</v>
      </c>
    </row>
    <row r="1343" spans="1:45" x14ac:dyDescent="0.3">
      <c r="A1343" s="1">
        <v>45900.963194444441</v>
      </c>
      <c r="B1343" t="s">
        <v>1463</v>
      </c>
      <c r="C1343" t="s">
        <v>1464</v>
      </c>
      <c r="D1343" t="s">
        <v>328</v>
      </c>
      <c r="E1343" t="s">
        <v>329</v>
      </c>
      <c r="F1343" t="s">
        <v>1626</v>
      </c>
      <c r="G1343" t="s">
        <v>330</v>
      </c>
      <c r="H1343" t="s">
        <v>130</v>
      </c>
      <c r="I1343" t="s">
        <v>43</v>
      </c>
      <c r="J1343">
        <v>15.82</v>
      </c>
      <c r="K1343">
        <v>19</v>
      </c>
      <c r="L1343">
        <v>10</v>
      </c>
      <c r="M1343">
        <v>11</v>
      </c>
      <c r="N1343">
        <v>27297</v>
      </c>
      <c r="O1343">
        <v>85</v>
      </c>
      <c r="P1343">
        <v>0</v>
      </c>
      <c r="Q1343">
        <v>20</v>
      </c>
      <c r="R1343">
        <v>1446</v>
      </c>
      <c r="S1343" t="s">
        <v>44</v>
      </c>
      <c r="T1343" t="s">
        <v>44</v>
      </c>
      <c r="U1343" t="s">
        <v>44</v>
      </c>
      <c r="V1343">
        <v>1218</v>
      </c>
      <c r="W1343">
        <v>8</v>
      </c>
      <c r="X1343" t="s">
        <v>44</v>
      </c>
      <c r="Y1343">
        <v>1218</v>
      </c>
      <c r="Z1343" t="s">
        <v>44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 s="2">
        <v>1303</v>
      </c>
      <c r="AQ1343">
        <f t="shared" si="48"/>
        <v>1303</v>
      </c>
      <c r="AR1343" s="5">
        <f>VLOOKUP(F1343,'[2]SCP_24-25'!$A:$D,4,0)</f>
        <v>51.93</v>
      </c>
      <c r="AS1343" s="5">
        <f t="shared" si="46"/>
        <v>67664.789999999994</v>
      </c>
    </row>
    <row r="1344" spans="1:45" x14ac:dyDescent="0.3">
      <c r="A1344" s="1">
        <v>45900.963194444441</v>
      </c>
      <c r="B1344" t="s">
        <v>1463</v>
      </c>
      <c r="C1344" t="s">
        <v>1464</v>
      </c>
      <c r="D1344" t="s">
        <v>895</v>
      </c>
      <c r="E1344" t="s">
        <v>332</v>
      </c>
      <c r="F1344" t="s">
        <v>1898</v>
      </c>
      <c r="G1344" t="s">
        <v>896</v>
      </c>
      <c r="H1344" t="s">
        <v>130</v>
      </c>
      <c r="I1344" t="s">
        <v>43</v>
      </c>
      <c r="J1344">
        <v>12.92</v>
      </c>
      <c r="K1344">
        <v>19</v>
      </c>
      <c r="L1344">
        <v>10</v>
      </c>
      <c r="M1344">
        <v>11</v>
      </c>
      <c r="N1344">
        <v>6898</v>
      </c>
      <c r="O1344">
        <v>5</v>
      </c>
      <c r="P1344">
        <v>0</v>
      </c>
      <c r="Q1344">
        <v>20</v>
      </c>
      <c r="R1344">
        <v>755</v>
      </c>
      <c r="S1344" t="s">
        <v>44</v>
      </c>
      <c r="T1344" t="s">
        <v>44</v>
      </c>
      <c r="U1344" t="s">
        <v>44</v>
      </c>
      <c r="V1344">
        <v>1674</v>
      </c>
      <c r="W1344" t="s">
        <v>44</v>
      </c>
      <c r="X1344" t="s">
        <v>44</v>
      </c>
      <c r="Y1344">
        <v>1079</v>
      </c>
      <c r="Z1344" t="s">
        <v>44</v>
      </c>
      <c r="AA1344">
        <v>0</v>
      </c>
      <c r="AB1344">
        <v>0</v>
      </c>
      <c r="AC1344">
        <v>0</v>
      </c>
      <c r="AD1344">
        <v>0</v>
      </c>
      <c r="AE1344">
        <v>13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 s="2">
        <v>1679</v>
      </c>
      <c r="AQ1344">
        <f t="shared" si="48"/>
        <v>1679</v>
      </c>
      <c r="AR1344" s="5">
        <f>VLOOKUP(F1344,'[2]SCP_24-25'!$A:$D,4,0)</f>
        <v>50.4</v>
      </c>
      <c r="AS1344" s="5">
        <f t="shared" si="46"/>
        <v>84621.599999999991</v>
      </c>
    </row>
    <row r="1345" spans="1:45" x14ac:dyDescent="0.3">
      <c r="A1345" s="1">
        <v>45900.963194444441</v>
      </c>
      <c r="B1345" t="s">
        <v>1463</v>
      </c>
      <c r="C1345" t="s">
        <v>1464</v>
      </c>
      <c r="D1345" t="s">
        <v>337</v>
      </c>
      <c r="E1345" t="s">
        <v>338</v>
      </c>
      <c r="F1345" t="s">
        <v>1629</v>
      </c>
      <c r="G1345" t="s">
        <v>339</v>
      </c>
      <c r="H1345" t="s">
        <v>130</v>
      </c>
      <c r="I1345" t="s">
        <v>43</v>
      </c>
      <c r="J1345">
        <v>48.99</v>
      </c>
      <c r="K1345">
        <v>19</v>
      </c>
      <c r="L1345">
        <v>10</v>
      </c>
      <c r="M1345">
        <v>11</v>
      </c>
      <c r="N1345">
        <v>31432</v>
      </c>
      <c r="O1345">
        <v>106</v>
      </c>
      <c r="P1345">
        <v>0</v>
      </c>
      <c r="Q1345">
        <v>30</v>
      </c>
      <c r="R1345" t="s">
        <v>44</v>
      </c>
      <c r="S1345" t="s">
        <v>44</v>
      </c>
      <c r="T1345" t="s">
        <v>44</v>
      </c>
      <c r="U1345" t="s">
        <v>44</v>
      </c>
      <c r="V1345">
        <v>2256</v>
      </c>
      <c r="W1345">
        <v>8</v>
      </c>
      <c r="X1345" t="s">
        <v>44</v>
      </c>
      <c r="Y1345">
        <v>2217</v>
      </c>
      <c r="Z1345" t="s">
        <v>44</v>
      </c>
      <c r="AA1345">
        <v>4</v>
      </c>
      <c r="AB1345">
        <v>0</v>
      </c>
      <c r="AC1345">
        <v>0</v>
      </c>
      <c r="AD1345">
        <v>0</v>
      </c>
      <c r="AE1345">
        <v>0</v>
      </c>
      <c r="AF1345">
        <v>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 s="2">
        <v>2366</v>
      </c>
      <c r="AQ1345">
        <f t="shared" si="48"/>
        <v>2366</v>
      </c>
      <c r="AR1345" s="5">
        <f>VLOOKUP(F1345,'[2]SCP_24-25'!$A:$D,4,0)</f>
        <v>64.540000000000006</v>
      </c>
      <c r="AS1345" s="5">
        <f t="shared" si="46"/>
        <v>152701.64000000001</v>
      </c>
    </row>
    <row r="1346" spans="1:45" x14ac:dyDescent="0.3">
      <c r="A1346" s="1">
        <v>45900.963194444441</v>
      </c>
      <c r="B1346" t="s">
        <v>1463</v>
      </c>
      <c r="C1346" t="s">
        <v>1464</v>
      </c>
      <c r="D1346" t="s">
        <v>340</v>
      </c>
      <c r="E1346" t="s">
        <v>338</v>
      </c>
      <c r="F1346" t="s">
        <v>1630</v>
      </c>
      <c r="G1346" t="s">
        <v>341</v>
      </c>
      <c r="H1346" t="s">
        <v>130</v>
      </c>
      <c r="I1346" t="s">
        <v>43</v>
      </c>
      <c r="J1346">
        <v>48.99</v>
      </c>
      <c r="K1346">
        <v>19</v>
      </c>
      <c r="L1346">
        <v>10</v>
      </c>
      <c r="M1346">
        <v>11</v>
      </c>
      <c r="N1346">
        <v>27414</v>
      </c>
      <c r="O1346">
        <v>201</v>
      </c>
      <c r="P1346">
        <v>0</v>
      </c>
      <c r="Q1346">
        <v>17</v>
      </c>
      <c r="R1346">
        <v>503</v>
      </c>
      <c r="S1346" t="s">
        <v>44</v>
      </c>
      <c r="T1346" t="s">
        <v>44</v>
      </c>
      <c r="U1346" t="s">
        <v>44</v>
      </c>
      <c r="V1346">
        <v>1272</v>
      </c>
      <c r="W1346">
        <v>16</v>
      </c>
      <c r="X1346" t="s">
        <v>44</v>
      </c>
      <c r="Y1346">
        <v>1272</v>
      </c>
      <c r="Z1346" t="s">
        <v>44</v>
      </c>
      <c r="AA1346">
        <v>2</v>
      </c>
      <c r="AB1346">
        <v>0</v>
      </c>
      <c r="AC1346">
        <v>0</v>
      </c>
      <c r="AD1346">
        <v>0</v>
      </c>
      <c r="AE1346">
        <v>1</v>
      </c>
      <c r="AF1346">
        <v>5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 s="2">
        <v>1475</v>
      </c>
      <c r="AQ1346">
        <f t="shared" si="48"/>
        <v>1475</v>
      </c>
      <c r="AR1346" s="5">
        <f>VLOOKUP(F1346,'[2]SCP_24-25'!$A:$D,4,0)</f>
        <v>63.836666666666673</v>
      </c>
      <c r="AS1346" s="5">
        <f t="shared" si="46"/>
        <v>94159.083333333343</v>
      </c>
    </row>
    <row r="1347" spans="1:45" x14ac:dyDescent="0.3">
      <c r="A1347" s="1">
        <v>45900.963194444441</v>
      </c>
      <c r="B1347" t="s">
        <v>1463</v>
      </c>
      <c r="C1347" t="s">
        <v>1464</v>
      </c>
      <c r="D1347" t="s">
        <v>370</v>
      </c>
      <c r="E1347" t="s">
        <v>368</v>
      </c>
      <c r="F1347" t="s">
        <v>1643</v>
      </c>
      <c r="G1347" t="s">
        <v>371</v>
      </c>
      <c r="H1347" t="s">
        <v>130</v>
      </c>
      <c r="I1347" t="s">
        <v>43</v>
      </c>
      <c r="J1347">
        <v>24.02</v>
      </c>
      <c r="K1347">
        <v>19</v>
      </c>
      <c r="L1347">
        <v>10</v>
      </c>
      <c r="M1347">
        <v>11</v>
      </c>
      <c r="N1347">
        <v>14745</v>
      </c>
      <c r="O1347">
        <v>23</v>
      </c>
      <c r="P1347">
        <v>0</v>
      </c>
      <c r="Q1347">
        <v>7</v>
      </c>
      <c r="R1347">
        <v>265</v>
      </c>
      <c r="S1347" t="s">
        <v>44</v>
      </c>
      <c r="T1347" t="s">
        <v>44</v>
      </c>
      <c r="U1347" t="s">
        <v>44</v>
      </c>
      <c r="V1347">
        <v>1473</v>
      </c>
      <c r="W1347">
        <v>1</v>
      </c>
      <c r="X1347" t="s">
        <v>44</v>
      </c>
      <c r="Y1347">
        <v>1473</v>
      </c>
      <c r="Z1347" t="s">
        <v>44</v>
      </c>
      <c r="AA1347">
        <v>2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 s="2">
        <v>1498</v>
      </c>
      <c r="AQ1347">
        <f t="shared" si="48"/>
        <v>1498</v>
      </c>
      <c r="AR1347" s="5">
        <f>VLOOKUP(F1347,'[2]SCP_24-25'!$A:$D,4,0)</f>
        <v>77.84</v>
      </c>
      <c r="AS1347" s="5">
        <f t="shared" ref="AS1347:AS1410" si="49">AQ1347*AR1347</f>
        <v>116604.32</v>
      </c>
    </row>
    <row r="1348" spans="1:45" x14ac:dyDescent="0.3">
      <c r="A1348" s="1">
        <v>45900.963194444441</v>
      </c>
      <c r="B1348" t="s">
        <v>1463</v>
      </c>
      <c r="C1348" t="s">
        <v>1464</v>
      </c>
      <c r="D1348" t="s">
        <v>374</v>
      </c>
      <c r="E1348" t="s">
        <v>368</v>
      </c>
      <c r="F1348" t="s">
        <v>1645</v>
      </c>
      <c r="G1348" t="s">
        <v>375</v>
      </c>
      <c r="H1348" t="s">
        <v>130</v>
      </c>
      <c r="I1348" t="s">
        <v>43</v>
      </c>
      <c r="J1348">
        <v>24.02</v>
      </c>
      <c r="K1348">
        <v>19</v>
      </c>
      <c r="L1348">
        <v>10</v>
      </c>
      <c r="M1348">
        <v>11</v>
      </c>
      <c r="N1348">
        <v>9515</v>
      </c>
      <c r="O1348">
        <v>31</v>
      </c>
      <c r="P1348">
        <v>0</v>
      </c>
      <c r="Q1348">
        <v>5</v>
      </c>
      <c r="R1348">
        <v>387</v>
      </c>
      <c r="S1348" t="s">
        <v>44</v>
      </c>
      <c r="T1348" t="s">
        <v>44</v>
      </c>
      <c r="U1348" t="s">
        <v>44</v>
      </c>
      <c r="V1348">
        <v>1037</v>
      </c>
      <c r="W1348" t="s">
        <v>44</v>
      </c>
      <c r="X1348" t="s">
        <v>44</v>
      </c>
      <c r="Y1348">
        <v>1035</v>
      </c>
      <c r="Z1348" t="s">
        <v>44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 s="2">
        <v>1069</v>
      </c>
      <c r="AQ1348">
        <f t="shared" si="48"/>
        <v>1069</v>
      </c>
      <c r="AR1348" s="5">
        <f>VLOOKUP(F1348,'[2]SCP_24-25'!$A:$D,4,0)</f>
        <v>78.453333333333333</v>
      </c>
      <c r="AS1348" s="5">
        <f t="shared" si="49"/>
        <v>83866.613333333327</v>
      </c>
    </row>
    <row r="1349" spans="1:45" x14ac:dyDescent="0.3">
      <c r="A1349" s="1">
        <v>45900.963194444441</v>
      </c>
      <c r="B1349" t="s">
        <v>1463</v>
      </c>
      <c r="C1349" t="s">
        <v>1464</v>
      </c>
      <c r="D1349" t="s">
        <v>378</v>
      </c>
      <c r="E1349" t="s">
        <v>368</v>
      </c>
      <c r="F1349" t="s">
        <v>1647</v>
      </c>
      <c r="G1349" t="s">
        <v>379</v>
      </c>
      <c r="H1349" t="s">
        <v>130</v>
      </c>
      <c r="I1349" t="s">
        <v>43</v>
      </c>
      <c r="J1349">
        <v>24</v>
      </c>
      <c r="K1349">
        <v>19</v>
      </c>
      <c r="L1349">
        <v>10</v>
      </c>
      <c r="M1349">
        <v>11</v>
      </c>
      <c r="N1349">
        <v>8176</v>
      </c>
      <c r="O1349">
        <v>11</v>
      </c>
      <c r="P1349">
        <v>0</v>
      </c>
      <c r="Q1349">
        <v>14</v>
      </c>
      <c r="R1349">
        <v>439</v>
      </c>
      <c r="S1349" t="s">
        <v>44</v>
      </c>
      <c r="T1349">
        <v>12</v>
      </c>
      <c r="U1349" t="s">
        <v>44</v>
      </c>
      <c r="V1349">
        <v>1678</v>
      </c>
      <c r="W1349">
        <v>1</v>
      </c>
      <c r="X1349" t="s">
        <v>44</v>
      </c>
      <c r="Y1349">
        <v>1481</v>
      </c>
      <c r="Z1349" t="s">
        <v>44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 s="2">
        <v>1689</v>
      </c>
      <c r="AQ1349">
        <f t="shared" si="48"/>
        <v>1689</v>
      </c>
      <c r="AR1349" s="5">
        <f>VLOOKUP(F1349,'[2]SCP_24-25'!$A:$D,4,0)</f>
        <v>79.066666666666677</v>
      </c>
      <c r="AS1349" s="5">
        <f t="shared" si="49"/>
        <v>133543.6</v>
      </c>
    </row>
    <row r="1350" spans="1:45" x14ac:dyDescent="0.3">
      <c r="A1350" s="1">
        <v>45900.963194444441</v>
      </c>
      <c r="B1350" t="s">
        <v>1463</v>
      </c>
      <c r="C1350" t="s">
        <v>1464</v>
      </c>
      <c r="D1350" t="s">
        <v>388</v>
      </c>
      <c r="E1350" t="s">
        <v>368</v>
      </c>
      <c r="F1350" t="s">
        <v>1652</v>
      </c>
      <c r="G1350" t="s">
        <v>389</v>
      </c>
      <c r="H1350" t="s">
        <v>130</v>
      </c>
      <c r="I1350" t="s">
        <v>43</v>
      </c>
      <c r="J1350">
        <v>24</v>
      </c>
      <c r="K1350">
        <v>19</v>
      </c>
      <c r="L1350">
        <v>10</v>
      </c>
      <c r="M1350">
        <v>11</v>
      </c>
      <c r="N1350">
        <v>7841</v>
      </c>
      <c r="O1350">
        <v>3</v>
      </c>
      <c r="P1350">
        <v>0</v>
      </c>
      <c r="Q1350">
        <v>8</v>
      </c>
      <c r="R1350">
        <v>478</v>
      </c>
      <c r="S1350" t="s">
        <v>44</v>
      </c>
      <c r="T1350" t="s">
        <v>44</v>
      </c>
      <c r="U1350" t="s">
        <v>44</v>
      </c>
      <c r="V1350">
        <v>2320</v>
      </c>
      <c r="W1350">
        <v>5</v>
      </c>
      <c r="X1350" t="s">
        <v>44</v>
      </c>
      <c r="Y1350">
        <v>2041</v>
      </c>
      <c r="Z1350" t="s">
        <v>44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 s="2">
        <v>2323</v>
      </c>
      <c r="AQ1350">
        <f t="shared" si="48"/>
        <v>2323</v>
      </c>
      <c r="AR1350" s="5">
        <f>VLOOKUP(F1350,'[2]SCP_24-25'!$A:$D,4,0)</f>
        <v>78.760000000000005</v>
      </c>
      <c r="AS1350" s="5">
        <f t="shared" si="49"/>
        <v>182959.48</v>
      </c>
    </row>
    <row r="1351" spans="1:45" x14ac:dyDescent="0.3">
      <c r="A1351" s="1">
        <v>45900.963194444441</v>
      </c>
      <c r="B1351" t="s">
        <v>1463</v>
      </c>
      <c r="C1351" t="s">
        <v>1464</v>
      </c>
      <c r="D1351" t="s">
        <v>390</v>
      </c>
      <c r="E1351" t="s">
        <v>368</v>
      </c>
      <c r="F1351" t="s">
        <v>1653</v>
      </c>
      <c r="G1351" t="s">
        <v>391</v>
      </c>
      <c r="H1351" t="s">
        <v>130</v>
      </c>
      <c r="I1351" t="s">
        <v>43</v>
      </c>
      <c r="J1351">
        <v>24.02</v>
      </c>
      <c r="K1351">
        <v>19</v>
      </c>
      <c r="L1351">
        <v>10</v>
      </c>
      <c r="M1351">
        <v>11</v>
      </c>
      <c r="N1351">
        <v>8591</v>
      </c>
      <c r="O1351">
        <v>4</v>
      </c>
      <c r="P1351">
        <v>0</v>
      </c>
      <c r="Q1351">
        <v>2</v>
      </c>
      <c r="R1351">
        <v>264</v>
      </c>
      <c r="S1351" t="s">
        <v>44</v>
      </c>
      <c r="T1351" t="s">
        <v>44</v>
      </c>
      <c r="U1351" t="s">
        <v>44</v>
      </c>
      <c r="V1351">
        <v>1377</v>
      </c>
      <c r="W1351">
        <v>4</v>
      </c>
      <c r="X1351" t="s">
        <v>44</v>
      </c>
      <c r="Y1351">
        <v>1332</v>
      </c>
      <c r="Z1351" t="s">
        <v>44</v>
      </c>
      <c r="AA1351">
        <v>0</v>
      </c>
      <c r="AB1351">
        <v>0</v>
      </c>
      <c r="AC1351">
        <v>0</v>
      </c>
      <c r="AD1351">
        <v>0</v>
      </c>
      <c r="AE1351">
        <v>12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 s="2">
        <v>1381</v>
      </c>
      <c r="AQ1351">
        <f t="shared" si="48"/>
        <v>1381</v>
      </c>
      <c r="AR1351" s="5">
        <f>VLOOKUP(F1351,'[2]SCP_24-25'!$A:$D,4,0)</f>
        <v>77.84</v>
      </c>
      <c r="AS1351" s="5">
        <f t="shared" si="49"/>
        <v>107497.04000000001</v>
      </c>
    </row>
    <row r="1352" spans="1:45" x14ac:dyDescent="0.3">
      <c r="A1352" s="1">
        <v>45900.963194444441</v>
      </c>
      <c r="B1352" t="s">
        <v>1463</v>
      </c>
      <c r="C1352" t="s">
        <v>1464</v>
      </c>
      <c r="D1352" t="s">
        <v>613</v>
      </c>
      <c r="E1352" t="s">
        <v>395</v>
      </c>
      <c r="F1352" t="s">
        <v>1760</v>
      </c>
      <c r="G1352" t="s">
        <v>614</v>
      </c>
      <c r="H1352" t="s">
        <v>130</v>
      </c>
      <c r="I1352" t="s">
        <v>43</v>
      </c>
      <c r="J1352">
        <v>24.22</v>
      </c>
      <c r="K1352">
        <v>19</v>
      </c>
      <c r="L1352">
        <v>10</v>
      </c>
      <c r="M1352">
        <v>11</v>
      </c>
      <c r="N1352">
        <v>6389</v>
      </c>
      <c r="O1352">
        <v>39</v>
      </c>
      <c r="P1352">
        <v>0</v>
      </c>
      <c r="Q1352">
        <v>39</v>
      </c>
      <c r="R1352">
        <v>315</v>
      </c>
      <c r="S1352" t="s">
        <v>44</v>
      </c>
      <c r="T1352" t="s">
        <v>44</v>
      </c>
      <c r="U1352" t="s">
        <v>44</v>
      </c>
      <c r="V1352">
        <v>2419</v>
      </c>
      <c r="W1352" t="s">
        <v>44</v>
      </c>
      <c r="X1352" t="s">
        <v>44</v>
      </c>
      <c r="Y1352">
        <v>2039</v>
      </c>
      <c r="Z1352" t="s">
        <v>44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 s="2">
        <v>2458</v>
      </c>
      <c r="AQ1352">
        <f t="shared" si="48"/>
        <v>2458</v>
      </c>
      <c r="AR1352" s="5">
        <f>VLOOKUP(F1352,'[2]SCP_24-25'!$A:$D,4,0)</f>
        <v>87.899999999999991</v>
      </c>
      <c r="AS1352" s="5">
        <f t="shared" si="49"/>
        <v>216058.19999999998</v>
      </c>
    </row>
    <row r="1353" spans="1:45" x14ac:dyDescent="0.3">
      <c r="A1353" s="1">
        <v>45900.963194444441</v>
      </c>
      <c r="B1353" t="s">
        <v>1463</v>
      </c>
      <c r="C1353" t="s">
        <v>1464</v>
      </c>
      <c r="D1353" t="s">
        <v>785</v>
      </c>
      <c r="F1353" t="s">
        <v>1844</v>
      </c>
      <c r="G1353" t="s">
        <v>786</v>
      </c>
      <c r="H1353" t="s">
        <v>66</v>
      </c>
      <c r="I1353" t="s">
        <v>43</v>
      </c>
      <c r="J1353">
        <v>61.92</v>
      </c>
      <c r="K1353">
        <v>19</v>
      </c>
      <c r="L1353">
        <v>10</v>
      </c>
      <c r="M1353">
        <v>11</v>
      </c>
      <c r="N1353">
        <v>14604</v>
      </c>
      <c r="O1353">
        <v>0</v>
      </c>
      <c r="P1353">
        <v>0</v>
      </c>
      <c r="Q1353">
        <v>31</v>
      </c>
      <c r="R1353">
        <v>645</v>
      </c>
      <c r="S1353" t="s">
        <v>44</v>
      </c>
      <c r="T1353" t="s">
        <v>44</v>
      </c>
      <c r="U1353" t="s">
        <v>44</v>
      </c>
      <c r="V1353">
        <v>2212</v>
      </c>
      <c r="W1353" t="s">
        <v>44</v>
      </c>
      <c r="X1353" t="s">
        <v>44</v>
      </c>
      <c r="Y1353">
        <v>2098</v>
      </c>
      <c r="Z1353" t="s">
        <v>44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3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 s="2">
        <v>2212</v>
      </c>
      <c r="AQ1353">
        <f t="shared" si="48"/>
        <v>2212</v>
      </c>
      <c r="AR1353" s="5">
        <f>VLOOKUP(F1353,'[2]SCP_24-25'!$A:$D,4,0)</f>
        <v>23.39</v>
      </c>
      <c r="AS1353" s="5">
        <f t="shared" si="49"/>
        <v>51738.68</v>
      </c>
    </row>
    <row r="1354" spans="1:45" x14ac:dyDescent="0.3">
      <c r="A1354" s="1">
        <v>45900.963194444441</v>
      </c>
      <c r="B1354" t="s">
        <v>1463</v>
      </c>
      <c r="C1354" t="s">
        <v>1464</v>
      </c>
      <c r="D1354" t="s">
        <v>787</v>
      </c>
      <c r="F1354" t="s">
        <v>1845</v>
      </c>
      <c r="G1354" t="s">
        <v>788</v>
      </c>
      <c r="H1354" t="s">
        <v>66</v>
      </c>
      <c r="I1354" t="s">
        <v>43</v>
      </c>
      <c r="J1354">
        <v>61.92</v>
      </c>
      <c r="K1354">
        <v>19</v>
      </c>
      <c r="L1354">
        <v>10</v>
      </c>
      <c r="M1354">
        <v>11</v>
      </c>
      <c r="N1354">
        <v>15445</v>
      </c>
      <c r="O1354">
        <v>0</v>
      </c>
      <c r="P1354">
        <v>0</v>
      </c>
      <c r="Q1354">
        <v>12</v>
      </c>
      <c r="R1354">
        <v>717</v>
      </c>
      <c r="S1354" t="s">
        <v>44</v>
      </c>
      <c r="T1354">
        <v>864</v>
      </c>
      <c r="U1354" t="s">
        <v>44</v>
      </c>
      <c r="V1354">
        <v>2546</v>
      </c>
      <c r="W1354" t="s">
        <v>44</v>
      </c>
      <c r="X1354" t="s">
        <v>44</v>
      </c>
      <c r="Y1354">
        <v>1935</v>
      </c>
      <c r="Z1354" t="s">
        <v>44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 s="2">
        <v>2546</v>
      </c>
      <c r="AQ1354">
        <f t="shared" si="48"/>
        <v>2546</v>
      </c>
      <c r="AR1354" s="5">
        <f>VLOOKUP(F1354,'[2]SCP_24-25'!$A:$D,4,0)</f>
        <v>23.39</v>
      </c>
      <c r="AS1354" s="5">
        <f t="shared" si="49"/>
        <v>59550.94</v>
      </c>
    </row>
    <row r="1355" spans="1:45" x14ac:dyDescent="0.3">
      <c r="A1355" s="1">
        <v>45900.963194444441</v>
      </c>
      <c r="B1355" t="s">
        <v>1463</v>
      </c>
      <c r="C1355" t="s">
        <v>1464</v>
      </c>
      <c r="D1355" t="s">
        <v>124</v>
      </c>
      <c r="F1355" t="s">
        <v>1540</v>
      </c>
      <c r="G1355" t="s">
        <v>125</v>
      </c>
      <c r="H1355" t="s">
        <v>66</v>
      </c>
      <c r="I1355" t="s">
        <v>43</v>
      </c>
      <c r="J1355">
        <v>90.08</v>
      </c>
      <c r="K1355">
        <v>19</v>
      </c>
      <c r="L1355">
        <v>11</v>
      </c>
      <c r="M1355">
        <v>10</v>
      </c>
      <c r="N1355">
        <v>22391</v>
      </c>
      <c r="O1355">
        <v>109</v>
      </c>
      <c r="P1355">
        <v>0</v>
      </c>
      <c r="Q1355">
        <v>24</v>
      </c>
      <c r="R1355">
        <v>252</v>
      </c>
      <c r="S1355" t="s">
        <v>44</v>
      </c>
      <c r="T1355" t="s">
        <v>44</v>
      </c>
      <c r="U1355" t="s">
        <v>44</v>
      </c>
      <c r="V1355">
        <v>1265</v>
      </c>
      <c r="W1355">
        <v>11</v>
      </c>
      <c r="X1355" t="s">
        <v>44</v>
      </c>
      <c r="Y1355">
        <v>1265</v>
      </c>
      <c r="Z1355" t="s">
        <v>44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 s="2">
        <v>1374</v>
      </c>
      <c r="AQ1355">
        <f t="shared" si="48"/>
        <v>1374</v>
      </c>
      <c r="AR1355" s="5">
        <f>VLOOKUP(F1355,'[2]SCP_24-25'!$A:$D,4,0)</f>
        <v>45.74</v>
      </c>
      <c r="AS1355" s="5">
        <f t="shared" si="49"/>
        <v>62846.76</v>
      </c>
    </row>
    <row r="1356" spans="1:45" x14ac:dyDescent="0.3">
      <c r="A1356" s="1">
        <v>45900.963194444441</v>
      </c>
      <c r="B1356" t="s">
        <v>1463</v>
      </c>
      <c r="C1356" t="s">
        <v>1464</v>
      </c>
      <c r="D1356" t="s">
        <v>481</v>
      </c>
      <c r="F1356" t="s">
        <v>1695</v>
      </c>
      <c r="G1356" t="s">
        <v>482</v>
      </c>
      <c r="H1356" t="s">
        <v>103</v>
      </c>
      <c r="I1356" t="s">
        <v>43</v>
      </c>
      <c r="J1356">
        <v>236</v>
      </c>
      <c r="K1356">
        <v>19</v>
      </c>
      <c r="L1356">
        <v>10</v>
      </c>
      <c r="M1356">
        <v>11</v>
      </c>
      <c r="N1356">
        <v>20135</v>
      </c>
      <c r="O1356">
        <v>53</v>
      </c>
      <c r="P1356">
        <v>0</v>
      </c>
      <c r="Q1356">
        <v>1</v>
      </c>
      <c r="R1356" t="s">
        <v>44</v>
      </c>
      <c r="S1356" t="s">
        <v>44</v>
      </c>
      <c r="T1356" t="s">
        <v>44</v>
      </c>
      <c r="U1356" t="s">
        <v>44</v>
      </c>
      <c r="V1356">
        <v>1868</v>
      </c>
      <c r="W1356">
        <v>4</v>
      </c>
      <c r="X1356" t="s">
        <v>44</v>
      </c>
      <c r="Y1356">
        <v>1868</v>
      </c>
      <c r="Z1356" t="s">
        <v>44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 s="2">
        <v>1922</v>
      </c>
      <c r="AQ1356">
        <f t="shared" si="48"/>
        <v>1922</v>
      </c>
      <c r="AR1356" s="5">
        <f>VLOOKUP(F1356,'[2]SCP_24-25'!$A:$D,4,0)</f>
        <v>60.9</v>
      </c>
      <c r="AS1356" s="5">
        <f t="shared" si="49"/>
        <v>117049.8</v>
      </c>
    </row>
    <row r="1357" spans="1:45" x14ac:dyDescent="0.3">
      <c r="A1357" s="1">
        <v>45900.963194444441</v>
      </c>
      <c r="B1357" t="s">
        <v>1463</v>
      </c>
      <c r="C1357" t="s">
        <v>1464</v>
      </c>
      <c r="D1357" t="s">
        <v>793</v>
      </c>
      <c r="F1357" t="s">
        <v>1848</v>
      </c>
      <c r="G1357" t="s">
        <v>794</v>
      </c>
      <c r="H1357" t="s">
        <v>120</v>
      </c>
      <c r="I1357" t="s">
        <v>43</v>
      </c>
      <c r="J1357">
        <v>10</v>
      </c>
      <c r="K1357">
        <v>19</v>
      </c>
      <c r="L1357">
        <v>11</v>
      </c>
      <c r="M1357">
        <v>10</v>
      </c>
      <c r="N1357">
        <v>12870</v>
      </c>
      <c r="O1357">
        <v>0</v>
      </c>
      <c r="P1357">
        <v>0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>
        <v>1697</v>
      </c>
      <c r="W1357" t="s">
        <v>44</v>
      </c>
      <c r="X1357" t="s">
        <v>44</v>
      </c>
      <c r="Y1357">
        <v>1697</v>
      </c>
      <c r="Z1357" t="s">
        <v>44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 s="2">
        <v>1697</v>
      </c>
      <c r="AQ1357">
        <f t="shared" si="48"/>
        <v>1697</v>
      </c>
      <c r="AR1357" s="5">
        <f>VLOOKUP(F1357,'[2]SCP_24-25'!$A:$D,4,0)</f>
        <v>7.1</v>
      </c>
      <c r="AS1357" s="5">
        <f t="shared" si="49"/>
        <v>12048.699999999999</v>
      </c>
    </row>
    <row r="1358" spans="1:45" x14ac:dyDescent="0.3">
      <c r="A1358" s="1">
        <v>45900.963194444441</v>
      </c>
      <c r="B1358" t="s">
        <v>1463</v>
      </c>
      <c r="C1358" t="s">
        <v>1464</v>
      </c>
      <c r="D1358" t="s">
        <v>520</v>
      </c>
      <c r="F1358" t="s">
        <v>1714</v>
      </c>
      <c r="G1358" t="s">
        <v>521</v>
      </c>
      <c r="H1358" t="s">
        <v>103</v>
      </c>
      <c r="I1358" t="s">
        <v>43</v>
      </c>
      <c r="J1358">
        <v>122</v>
      </c>
      <c r="K1358">
        <v>19</v>
      </c>
      <c r="L1358">
        <v>10</v>
      </c>
      <c r="M1358">
        <v>11</v>
      </c>
      <c r="N1358">
        <v>18149</v>
      </c>
      <c r="O1358">
        <v>116</v>
      </c>
      <c r="P1358">
        <v>0</v>
      </c>
      <c r="Q1358">
        <v>5</v>
      </c>
      <c r="R1358" t="s">
        <v>44</v>
      </c>
      <c r="S1358" t="s">
        <v>44</v>
      </c>
      <c r="T1358" t="s">
        <v>44</v>
      </c>
      <c r="U1358" t="s">
        <v>44</v>
      </c>
      <c r="V1358">
        <v>1266</v>
      </c>
      <c r="W1358">
        <v>3</v>
      </c>
      <c r="X1358" t="s">
        <v>44</v>
      </c>
      <c r="Y1358">
        <v>1266</v>
      </c>
      <c r="Z1358" t="s">
        <v>44</v>
      </c>
      <c r="AA1358">
        <v>8</v>
      </c>
      <c r="AB1358">
        <v>0</v>
      </c>
      <c r="AC1358">
        <v>0</v>
      </c>
      <c r="AD1358">
        <v>0</v>
      </c>
      <c r="AE1358">
        <v>0</v>
      </c>
      <c r="AF1358">
        <v>2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 s="2">
        <v>1390</v>
      </c>
      <c r="AQ1358">
        <f t="shared" si="48"/>
        <v>1390</v>
      </c>
      <c r="AR1358" s="5">
        <f>VLOOKUP(F1358,'[2]SCP_24-25'!$A:$D,4,0)</f>
        <v>90.48</v>
      </c>
      <c r="AS1358" s="5">
        <f t="shared" si="49"/>
        <v>125767.20000000001</v>
      </c>
    </row>
    <row r="1359" spans="1:45" x14ac:dyDescent="0.3">
      <c r="A1359" s="1">
        <v>45900.963194444441</v>
      </c>
      <c r="B1359" t="s">
        <v>1463</v>
      </c>
      <c r="C1359" t="s">
        <v>1464</v>
      </c>
      <c r="D1359" t="s">
        <v>1308</v>
      </c>
      <c r="F1359" t="s">
        <v>2105</v>
      </c>
      <c r="G1359" t="s">
        <v>1309</v>
      </c>
      <c r="H1359" t="s">
        <v>66</v>
      </c>
      <c r="I1359" t="s">
        <v>43</v>
      </c>
      <c r="J1359">
        <v>8</v>
      </c>
      <c r="K1359">
        <v>19</v>
      </c>
      <c r="L1359">
        <v>10</v>
      </c>
      <c r="M1359">
        <v>11</v>
      </c>
      <c r="N1359">
        <v>23323</v>
      </c>
      <c r="O1359">
        <v>583</v>
      </c>
      <c r="P1359">
        <v>0</v>
      </c>
      <c r="Q1359">
        <v>1</v>
      </c>
      <c r="R1359" t="s">
        <v>44</v>
      </c>
      <c r="S1359" t="s">
        <v>44</v>
      </c>
      <c r="T1359" t="s">
        <v>44</v>
      </c>
      <c r="U1359" t="s">
        <v>44</v>
      </c>
      <c r="V1359">
        <v>1341</v>
      </c>
      <c r="W1359" t="s">
        <v>44</v>
      </c>
      <c r="X1359" t="s">
        <v>44</v>
      </c>
      <c r="Y1359">
        <v>1341</v>
      </c>
      <c r="Z1359" t="s">
        <v>44</v>
      </c>
      <c r="AA1359">
        <v>31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 s="2">
        <v>1955</v>
      </c>
      <c r="AQ1359">
        <f t="shared" si="48"/>
        <v>1955</v>
      </c>
      <c r="AR1359" s="5">
        <f>VLOOKUP(F1359,'[2]SCP_24-25'!$A:$D,4,0)</f>
        <v>14.949999999999998</v>
      </c>
      <c r="AS1359" s="5">
        <f t="shared" si="49"/>
        <v>29227.249999999996</v>
      </c>
    </row>
    <row r="1360" spans="1:45" x14ac:dyDescent="0.3">
      <c r="A1360" s="1">
        <v>45900.963194444441</v>
      </c>
      <c r="B1360" t="s">
        <v>1463</v>
      </c>
      <c r="C1360" t="s">
        <v>1464</v>
      </c>
      <c r="D1360" t="s">
        <v>522</v>
      </c>
      <c r="E1360" t="s">
        <v>445</v>
      </c>
      <c r="F1360" t="s">
        <v>1715</v>
      </c>
      <c r="G1360" t="s">
        <v>523</v>
      </c>
      <c r="H1360" t="s">
        <v>130</v>
      </c>
      <c r="I1360" t="s">
        <v>43</v>
      </c>
      <c r="J1360">
        <v>60.02</v>
      </c>
      <c r="K1360">
        <v>19</v>
      </c>
      <c r="L1360">
        <v>10</v>
      </c>
      <c r="M1360">
        <v>11</v>
      </c>
      <c r="N1360">
        <v>8414</v>
      </c>
      <c r="O1360">
        <v>2</v>
      </c>
      <c r="P1360">
        <v>0</v>
      </c>
      <c r="Q1360">
        <v>3</v>
      </c>
      <c r="R1360" t="s">
        <v>44</v>
      </c>
      <c r="S1360" t="s">
        <v>44</v>
      </c>
      <c r="T1360" t="s">
        <v>44</v>
      </c>
      <c r="U1360" t="s">
        <v>44</v>
      </c>
      <c r="V1360">
        <v>1879</v>
      </c>
      <c r="W1360" t="s">
        <v>44</v>
      </c>
      <c r="X1360" t="s">
        <v>44</v>
      </c>
      <c r="Y1360">
        <v>1879</v>
      </c>
      <c r="Z1360" t="s">
        <v>44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 s="2">
        <v>1881</v>
      </c>
      <c r="AQ1360">
        <f t="shared" si="48"/>
        <v>1881</v>
      </c>
      <c r="AR1360" s="5">
        <f>VLOOKUP(F1360,'[2]SCP_24-25'!$A:$D,4,0)</f>
        <v>86.699999999999989</v>
      </c>
      <c r="AS1360" s="5">
        <f t="shared" si="49"/>
        <v>163082.69999999998</v>
      </c>
    </row>
    <row r="1361" spans="1:45" x14ac:dyDescent="0.3">
      <c r="A1361" s="1">
        <v>45900.963194444441</v>
      </c>
      <c r="B1361" t="s">
        <v>1463</v>
      </c>
      <c r="C1361" t="s">
        <v>1464</v>
      </c>
      <c r="D1361" t="s">
        <v>444</v>
      </c>
      <c r="E1361" t="s">
        <v>445</v>
      </c>
      <c r="F1361" t="s">
        <v>1677</v>
      </c>
      <c r="G1361" t="s">
        <v>446</v>
      </c>
      <c r="H1361" t="s">
        <v>130</v>
      </c>
      <c r="I1361" t="s">
        <v>43</v>
      </c>
      <c r="J1361">
        <v>60.02</v>
      </c>
      <c r="K1361">
        <v>19</v>
      </c>
      <c r="L1361">
        <v>10</v>
      </c>
      <c r="M1361">
        <v>11</v>
      </c>
      <c r="N1361">
        <v>6857</v>
      </c>
      <c r="O1361">
        <v>5</v>
      </c>
      <c r="P1361">
        <v>0</v>
      </c>
      <c r="Q1361">
        <v>3</v>
      </c>
      <c r="R1361" t="s">
        <v>44</v>
      </c>
      <c r="S1361" t="s">
        <v>44</v>
      </c>
      <c r="T1361" t="s">
        <v>44</v>
      </c>
      <c r="U1361" t="s">
        <v>44</v>
      </c>
      <c r="V1361">
        <v>1266</v>
      </c>
      <c r="W1361" t="s">
        <v>44</v>
      </c>
      <c r="X1361" t="s">
        <v>44</v>
      </c>
      <c r="Y1361">
        <v>1266</v>
      </c>
      <c r="Z1361" t="s">
        <v>44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 s="2">
        <v>1271</v>
      </c>
      <c r="AQ1361">
        <f t="shared" si="48"/>
        <v>1271</v>
      </c>
      <c r="AR1361" s="5">
        <f>VLOOKUP(F1361,'[2]SCP_24-25'!$A:$D,4,0)</f>
        <v>86.7</v>
      </c>
      <c r="AS1361" s="5">
        <f t="shared" si="49"/>
        <v>110195.7</v>
      </c>
    </row>
    <row r="1362" spans="1:45" x14ac:dyDescent="0.3">
      <c r="A1362" s="1">
        <v>45900.963194444441</v>
      </c>
      <c r="B1362" t="s">
        <v>1463</v>
      </c>
      <c r="C1362" t="s">
        <v>1464</v>
      </c>
      <c r="D1362" t="s">
        <v>566</v>
      </c>
      <c r="F1362" t="s">
        <v>1737</v>
      </c>
      <c r="G1362" t="s">
        <v>567</v>
      </c>
      <c r="H1362" t="s">
        <v>130</v>
      </c>
      <c r="I1362" t="s">
        <v>43</v>
      </c>
      <c r="J1362">
        <v>24.02</v>
      </c>
      <c r="K1362">
        <v>19</v>
      </c>
      <c r="L1362">
        <v>10</v>
      </c>
      <c r="M1362">
        <v>11</v>
      </c>
      <c r="N1362">
        <v>7274</v>
      </c>
      <c r="O1362">
        <v>12</v>
      </c>
      <c r="P1362">
        <v>0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>
        <v>1670</v>
      </c>
      <c r="W1362" t="s">
        <v>44</v>
      </c>
      <c r="X1362" t="s">
        <v>44</v>
      </c>
      <c r="Y1362">
        <v>1670</v>
      </c>
      <c r="Z1362" t="s">
        <v>44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 s="2">
        <v>1682</v>
      </c>
      <c r="AQ1362">
        <f t="shared" si="48"/>
        <v>1682</v>
      </c>
      <c r="AR1362" s="5">
        <f>VLOOKUP(F1362,'[2]SCP_24-25'!$A:$D,4,0)</f>
        <v>79.680000000000007</v>
      </c>
      <c r="AS1362" s="5">
        <f t="shared" si="49"/>
        <v>134021.76000000001</v>
      </c>
    </row>
    <row r="1363" spans="1:45" x14ac:dyDescent="0.3">
      <c r="A1363" s="1">
        <v>45900.963194444441</v>
      </c>
      <c r="B1363" t="s">
        <v>1463</v>
      </c>
      <c r="C1363" t="s">
        <v>1464</v>
      </c>
      <c r="D1363" t="s">
        <v>568</v>
      </c>
      <c r="F1363" t="s">
        <v>1738</v>
      </c>
      <c r="G1363" t="s">
        <v>569</v>
      </c>
      <c r="H1363" t="s">
        <v>130</v>
      </c>
      <c r="I1363" t="s">
        <v>43</v>
      </c>
      <c r="J1363">
        <v>24.02</v>
      </c>
      <c r="K1363">
        <v>19</v>
      </c>
      <c r="L1363">
        <v>10</v>
      </c>
      <c r="M1363">
        <v>11</v>
      </c>
      <c r="N1363">
        <v>7337</v>
      </c>
      <c r="O1363">
        <v>1</v>
      </c>
      <c r="P1363">
        <v>0</v>
      </c>
      <c r="Q1363">
        <v>1</v>
      </c>
      <c r="R1363" t="s">
        <v>44</v>
      </c>
      <c r="S1363" t="s">
        <v>44</v>
      </c>
      <c r="T1363" t="s">
        <v>44</v>
      </c>
      <c r="U1363" t="s">
        <v>44</v>
      </c>
      <c r="V1363">
        <v>1978</v>
      </c>
      <c r="W1363">
        <v>1</v>
      </c>
      <c r="X1363" t="s">
        <v>44</v>
      </c>
      <c r="Y1363">
        <v>1978</v>
      </c>
      <c r="Z1363" t="s">
        <v>44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s="2">
        <v>1980</v>
      </c>
      <c r="AQ1363">
        <f t="shared" si="48"/>
        <v>1980</v>
      </c>
      <c r="AR1363" s="5">
        <f>VLOOKUP(F1363,'[2]SCP_24-25'!$A:$D,4,0)</f>
        <v>79.680000000000007</v>
      </c>
      <c r="AS1363" s="5">
        <f t="shared" si="49"/>
        <v>157766.40000000002</v>
      </c>
    </row>
    <row r="1364" spans="1:45" x14ac:dyDescent="0.3">
      <c r="A1364" s="1">
        <v>45900.963194444441</v>
      </c>
      <c r="B1364" t="s">
        <v>1463</v>
      </c>
      <c r="C1364" t="s">
        <v>1464</v>
      </c>
      <c r="D1364" t="s">
        <v>588</v>
      </c>
      <c r="F1364" t="s">
        <v>1748</v>
      </c>
      <c r="G1364" t="s">
        <v>589</v>
      </c>
      <c r="H1364" t="s">
        <v>130</v>
      </c>
      <c r="I1364" t="s">
        <v>43</v>
      </c>
      <c r="J1364">
        <v>24.02</v>
      </c>
      <c r="K1364">
        <v>19</v>
      </c>
      <c r="L1364">
        <v>10</v>
      </c>
      <c r="M1364">
        <v>11</v>
      </c>
      <c r="N1364">
        <v>9365</v>
      </c>
      <c r="O1364">
        <v>17</v>
      </c>
      <c r="P1364">
        <v>0</v>
      </c>
      <c r="Q1364" t="s">
        <v>44</v>
      </c>
      <c r="R1364" t="s">
        <v>44</v>
      </c>
      <c r="S1364" t="s">
        <v>44</v>
      </c>
      <c r="T1364" t="s">
        <v>44</v>
      </c>
      <c r="U1364" t="s">
        <v>44</v>
      </c>
      <c r="V1364">
        <v>2526</v>
      </c>
      <c r="W1364" t="s">
        <v>44</v>
      </c>
      <c r="X1364" t="s">
        <v>44</v>
      </c>
      <c r="Y1364">
        <v>2445</v>
      </c>
      <c r="Z1364" t="s">
        <v>44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 s="2">
        <v>2544</v>
      </c>
      <c r="AQ1364">
        <f t="shared" si="48"/>
        <v>2544</v>
      </c>
      <c r="AR1364" s="5">
        <f>VLOOKUP(F1364,'[2]SCP_24-25'!$A:$D,4,0)</f>
        <v>77.84</v>
      </c>
      <c r="AS1364" s="5">
        <f t="shared" si="49"/>
        <v>198024.96000000002</v>
      </c>
    </row>
    <row r="1365" spans="1:45" x14ac:dyDescent="0.3">
      <c r="A1365" s="1">
        <v>45900.963194444441</v>
      </c>
      <c r="B1365" t="s">
        <v>1463</v>
      </c>
      <c r="C1365" t="s">
        <v>1464</v>
      </c>
      <c r="D1365" t="s">
        <v>427</v>
      </c>
      <c r="F1365" t="s">
        <v>1670</v>
      </c>
      <c r="G1365" t="s">
        <v>428</v>
      </c>
      <c r="H1365" t="s">
        <v>130</v>
      </c>
      <c r="I1365" t="s">
        <v>43</v>
      </c>
      <c r="J1365">
        <v>24.02</v>
      </c>
      <c r="K1365">
        <v>19</v>
      </c>
      <c r="L1365">
        <v>10</v>
      </c>
      <c r="M1365">
        <v>11</v>
      </c>
      <c r="N1365">
        <v>8232</v>
      </c>
      <c r="O1365">
        <v>4</v>
      </c>
      <c r="P1365">
        <v>0</v>
      </c>
      <c r="Q1365">
        <v>1</v>
      </c>
      <c r="R1365" t="s">
        <v>44</v>
      </c>
      <c r="S1365" t="s">
        <v>44</v>
      </c>
      <c r="T1365" t="s">
        <v>44</v>
      </c>
      <c r="U1365" t="s">
        <v>44</v>
      </c>
      <c r="V1365">
        <v>2417</v>
      </c>
      <c r="W1365" t="s">
        <v>44</v>
      </c>
      <c r="X1365" t="s">
        <v>44</v>
      </c>
      <c r="Y1365">
        <v>2417</v>
      </c>
      <c r="Z1365" t="s">
        <v>44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 s="2">
        <v>2422</v>
      </c>
      <c r="AQ1365">
        <f t="shared" si="48"/>
        <v>2422</v>
      </c>
      <c r="AR1365" s="5">
        <f>VLOOKUP(F1365,'[2]SCP_24-25'!$A:$D,4,0)</f>
        <v>79.680000000000007</v>
      </c>
      <c r="AS1365" s="5">
        <f t="shared" si="49"/>
        <v>192984.96000000002</v>
      </c>
    </row>
    <row r="1366" spans="1:45" x14ac:dyDescent="0.3">
      <c r="A1366" s="1">
        <v>45900.963194444441</v>
      </c>
      <c r="B1366" t="s">
        <v>1463</v>
      </c>
      <c r="C1366" t="s">
        <v>1464</v>
      </c>
      <c r="D1366" t="s">
        <v>485</v>
      </c>
      <c r="F1366" t="s">
        <v>1697</v>
      </c>
      <c r="G1366" t="s">
        <v>486</v>
      </c>
      <c r="H1366" t="s">
        <v>130</v>
      </c>
      <c r="I1366" t="s">
        <v>43</v>
      </c>
      <c r="J1366">
        <v>24.02</v>
      </c>
      <c r="K1366">
        <v>19</v>
      </c>
      <c r="L1366">
        <v>10</v>
      </c>
      <c r="M1366">
        <v>11</v>
      </c>
      <c r="N1366">
        <v>7941</v>
      </c>
      <c r="O1366">
        <v>4</v>
      </c>
      <c r="P1366">
        <v>0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>
        <v>2590</v>
      </c>
      <c r="W1366" t="s">
        <v>44</v>
      </c>
      <c r="X1366" t="s">
        <v>44</v>
      </c>
      <c r="Y1366">
        <v>2590</v>
      </c>
      <c r="Z1366" t="s">
        <v>44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 s="2">
        <v>2594</v>
      </c>
      <c r="AQ1366">
        <f t="shared" si="48"/>
        <v>2594</v>
      </c>
      <c r="AR1366" s="5">
        <f>VLOOKUP(F1366,'[2]SCP_24-25'!$A:$D,4,0)</f>
        <v>79.680000000000007</v>
      </c>
      <c r="AS1366" s="5">
        <f t="shared" si="49"/>
        <v>206689.92000000001</v>
      </c>
    </row>
    <row r="1367" spans="1:45" x14ac:dyDescent="0.3">
      <c r="A1367" s="1">
        <v>45900.963194444441</v>
      </c>
      <c r="B1367" t="s">
        <v>1463</v>
      </c>
      <c r="C1367" t="s">
        <v>1464</v>
      </c>
      <c r="D1367" t="s">
        <v>570</v>
      </c>
      <c r="F1367" t="s">
        <v>1739</v>
      </c>
      <c r="G1367" t="s">
        <v>571</v>
      </c>
      <c r="H1367" t="s">
        <v>130</v>
      </c>
      <c r="I1367" t="s">
        <v>43</v>
      </c>
      <c r="J1367">
        <v>24</v>
      </c>
      <c r="K1367">
        <v>19</v>
      </c>
      <c r="L1367">
        <v>10</v>
      </c>
      <c r="M1367">
        <v>11</v>
      </c>
      <c r="N1367">
        <v>8277</v>
      </c>
      <c r="O1367">
        <v>9</v>
      </c>
      <c r="P1367">
        <v>0</v>
      </c>
      <c r="Q1367">
        <v>1</v>
      </c>
      <c r="R1367" t="s">
        <v>44</v>
      </c>
      <c r="S1367" t="s">
        <v>44</v>
      </c>
      <c r="T1367" t="s">
        <v>44</v>
      </c>
      <c r="U1367" t="s">
        <v>44</v>
      </c>
      <c r="V1367">
        <v>2446</v>
      </c>
      <c r="W1367" t="s">
        <v>44</v>
      </c>
      <c r="X1367" t="s">
        <v>44</v>
      </c>
      <c r="Y1367">
        <v>2446</v>
      </c>
      <c r="Z1367" t="s">
        <v>44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 s="2">
        <v>2455</v>
      </c>
      <c r="AQ1367">
        <f t="shared" si="48"/>
        <v>2455</v>
      </c>
      <c r="AR1367" s="5">
        <f>VLOOKUP(F1367,'[2]SCP_24-25'!$A:$D,4,0)</f>
        <v>79.680000000000007</v>
      </c>
      <c r="AS1367" s="5">
        <f t="shared" si="49"/>
        <v>195614.40000000002</v>
      </c>
    </row>
    <row r="1368" spans="1:45" x14ac:dyDescent="0.3">
      <c r="A1368" s="1">
        <v>45900.963194444441</v>
      </c>
      <c r="B1368" t="s">
        <v>1463</v>
      </c>
      <c r="C1368" t="s">
        <v>1464</v>
      </c>
      <c r="D1368" t="s">
        <v>487</v>
      </c>
      <c r="F1368" t="s">
        <v>1698</v>
      </c>
      <c r="G1368" t="s">
        <v>488</v>
      </c>
      <c r="H1368" t="s">
        <v>130</v>
      </c>
      <c r="I1368" t="s">
        <v>43</v>
      </c>
      <c r="J1368">
        <v>24.02</v>
      </c>
      <c r="K1368">
        <v>19</v>
      </c>
      <c r="L1368">
        <v>10</v>
      </c>
      <c r="M1368">
        <v>11</v>
      </c>
      <c r="N1368">
        <v>7271</v>
      </c>
      <c r="O1368">
        <v>6</v>
      </c>
      <c r="P1368">
        <v>0</v>
      </c>
      <c r="Q1368">
        <v>2</v>
      </c>
      <c r="R1368" t="s">
        <v>44</v>
      </c>
      <c r="S1368" t="s">
        <v>44</v>
      </c>
      <c r="T1368" t="s">
        <v>44</v>
      </c>
      <c r="U1368" t="s">
        <v>44</v>
      </c>
      <c r="V1368">
        <v>2524</v>
      </c>
      <c r="W1368" t="s">
        <v>44</v>
      </c>
      <c r="X1368" t="s">
        <v>44</v>
      </c>
      <c r="Y1368">
        <v>2524</v>
      </c>
      <c r="Z1368" t="s">
        <v>44</v>
      </c>
      <c r="AA1368">
        <v>1</v>
      </c>
      <c r="AB1368">
        <v>0</v>
      </c>
      <c r="AC1368">
        <v>0</v>
      </c>
      <c r="AD1368">
        <v>0</v>
      </c>
      <c r="AE1368">
        <v>9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 s="2">
        <v>2531</v>
      </c>
      <c r="AQ1368">
        <f t="shared" si="48"/>
        <v>2531</v>
      </c>
      <c r="AR1368" s="5">
        <f>VLOOKUP(F1368,'[2]SCP_24-25'!$A:$D,4,0)</f>
        <v>79.680000000000007</v>
      </c>
      <c r="AS1368" s="5">
        <f t="shared" si="49"/>
        <v>201670.08000000002</v>
      </c>
    </row>
    <row r="1369" spans="1:45" x14ac:dyDescent="0.3">
      <c r="A1369" s="1">
        <v>45900.963194444441</v>
      </c>
      <c r="B1369" t="s">
        <v>1463</v>
      </c>
      <c r="C1369" t="s">
        <v>1464</v>
      </c>
      <c r="D1369" t="s">
        <v>599</v>
      </c>
      <c r="F1369" t="s">
        <v>1753</v>
      </c>
      <c r="G1369" t="s">
        <v>600</v>
      </c>
      <c r="H1369" t="s">
        <v>130</v>
      </c>
      <c r="I1369" t="s">
        <v>43</v>
      </c>
      <c r="J1369">
        <v>24.02</v>
      </c>
      <c r="K1369">
        <v>19</v>
      </c>
      <c r="L1369">
        <v>10</v>
      </c>
      <c r="M1369">
        <v>11</v>
      </c>
      <c r="N1369">
        <v>6832</v>
      </c>
      <c r="O1369">
        <v>10</v>
      </c>
      <c r="P1369">
        <v>0</v>
      </c>
      <c r="Q1369">
        <v>1</v>
      </c>
      <c r="R1369" t="s">
        <v>44</v>
      </c>
      <c r="S1369" t="s">
        <v>44</v>
      </c>
      <c r="T1369" t="s">
        <v>44</v>
      </c>
      <c r="U1369" t="s">
        <v>44</v>
      </c>
      <c r="V1369">
        <v>1556</v>
      </c>
      <c r="W1369">
        <v>1</v>
      </c>
      <c r="X1369" t="s">
        <v>44</v>
      </c>
      <c r="Y1369">
        <v>1556</v>
      </c>
      <c r="Z1369" t="s">
        <v>44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 s="2">
        <v>1566</v>
      </c>
      <c r="AQ1369">
        <f t="shared" si="48"/>
        <v>1566</v>
      </c>
      <c r="AR1369" s="5">
        <f>VLOOKUP(F1369,'[2]SCP_24-25'!$A:$D,4,0)</f>
        <v>79.680000000000007</v>
      </c>
      <c r="AS1369" s="5">
        <f t="shared" si="49"/>
        <v>124778.88</v>
      </c>
    </row>
    <row r="1370" spans="1:45" x14ac:dyDescent="0.3">
      <c r="A1370" s="1">
        <v>45900.963194444441</v>
      </c>
      <c r="B1370" t="s">
        <v>1463</v>
      </c>
      <c r="C1370" t="s">
        <v>1464</v>
      </c>
      <c r="D1370" t="s">
        <v>530</v>
      </c>
      <c r="F1370" t="s">
        <v>1719</v>
      </c>
      <c r="G1370" t="s">
        <v>531</v>
      </c>
      <c r="H1370" t="s">
        <v>130</v>
      </c>
      <c r="I1370" t="s">
        <v>43</v>
      </c>
      <c r="J1370">
        <v>38.020000000000003</v>
      </c>
      <c r="K1370">
        <v>19</v>
      </c>
      <c r="L1370">
        <v>10</v>
      </c>
      <c r="M1370">
        <v>11</v>
      </c>
      <c r="N1370">
        <v>5023</v>
      </c>
      <c r="O1370">
        <v>7</v>
      </c>
      <c r="P1370">
        <v>0</v>
      </c>
      <c r="Q1370">
        <v>2</v>
      </c>
      <c r="R1370" t="s">
        <v>44</v>
      </c>
      <c r="S1370" t="s">
        <v>44</v>
      </c>
      <c r="T1370" t="s">
        <v>44</v>
      </c>
      <c r="U1370" t="s">
        <v>44</v>
      </c>
      <c r="V1370">
        <v>1415</v>
      </c>
      <c r="W1370">
        <v>5</v>
      </c>
      <c r="X1370" t="s">
        <v>44</v>
      </c>
      <c r="Y1370">
        <v>1415</v>
      </c>
      <c r="Z1370" t="s">
        <v>44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 s="2">
        <v>1423</v>
      </c>
      <c r="AQ1370">
        <f t="shared" si="48"/>
        <v>1423</v>
      </c>
      <c r="AR1370" s="5">
        <f>VLOOKUP(F1370,'[2]SCP_24-25'!$A:$D,4,0)</f>
        <v>73.05</v>
      </c>
      <c r="AS1370" s="5">
        <f t="shared" si="49"/>
        <v>103950.15</v>
      </c>
    </row>
    <row r="1371" spans="1:45" x14ac:dyDescent="0.3">
      <c r="A1371" s="1">
        <v>45900.963194444441</v>
      </c>
      <c r="B1371" t="s">
        <v>1463</v>
      </c>
      <c r="C1371" t="s">
        <v>1464</v>
      </c>
      <c r="D1371" t="s">
        <v>532</v>
      </c>
      <c r="F1371" t="s">
        <v>1720</v>
      </c>
      <c r="G1371" t="s">
        <v>533</v>
      </c>
      <c r="H1371" t="s">
        <v>130</v>
      </c>
      <c r="I1371" t="s">
        <v>43</v>
      </c>
      <c r="J1371">
        <v>38.020000000000003</v>
      </c>
      <c r="K1371">
        <v>19</v>
      </c>
      <c r="L1371">
        <v>10</v>
      </c>
      <c r="M1371">
        <v>11</v>
      </c>
      <c r="N1371">
        <v>5994</v>
      </c>
      <c r="O1371">
        <v>12</v>
      </c>
      <c r="P1371">
        <v>0</v>
      </c>
      <c r="Q1371">
        <v>5</v>
      </c>
      <c r="R1371" t="s">
        <v>44</v>
      </c>
      <c r="S1371" t="s">
        <v>44</v>
      </c>
      <c r="T1371" t="s">
        <v>44</v>
      </c>
      <c r="U1371" t="s">
        <v>44</v>
      </c>
      <c r="V1371">
        <v>1857</v>
      </c>
      <c r="W1371">
        <v>5</v>
      </c>
      <c r="X1371" t="s">
        <v>44</v>
      </c>
      <c r="Y1371">
        <v>1857</v>
      </c>
      <c r="Z1371" t="s">
        <v>44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 s="2">
        <v>1869</v>
      </c>
      <c r="AQ1371">
        <f t="shared" si="48"/>
        <v>1869</v>
      </c>
      <c r="AR1371" s="5">
        <f>VLOOKUP(F1371,'[2]SCP_24-25'!$A:$D,4,0)</f>
        <v>73.05</v>
      </c>
      <c r="AS1371" s="5">
        <f t="shared" si="49"/>
        <v>136530.44999999998</v>
      </c>
    </row>
    <row r="1372" spans="1:45" x14ac:dyDescent="0.3">
      <c r="A1372" s="1">
        <v>45900.963194444441</v>
      </c>
      <c r="B1372" t="s">
        <v>1463</v>
      </c>
      <c r="C1372" t="s">
        <v>1464</v>
      </c>
      <c r="D1372" t="s">
        <v>489</v>
      </c>
      <c r="F1372" t="s">
        <v>1699</v>
      </c>
      <c r="G1372" t="s">
        <v>490</v>
      </c>
      <c r="H1372" t="s">
        <v>130</v>
      </c>
      <c r="I1372" t="s">
        <v>43</v>
      </c>
      <c r="J1372">
        <v>38.020000000000003</v>
      </c>
      <c r="K1372">
        <v>19</v>
      </c>
      <c r="L1372">
        <v>10</v>
      </c>
      <c r="M1372">
        <v>11</v>
      </c>
      <c r="N1372">
        <v>4785</v>
      </c>
      <c r="O1372">
        <v>4</v>
      </c>
      <c r="P1372">
        <v>0</v>
      </c>
      <c r="Q1372">
        <v>7</v>
      </c>
      <c r="R1372" t="s">
        <v>44</v>
      </c>
      <c r="S1372" t="s">
        <v>44</v>
      </c>
      <c r="T1372" t="s">
        <v>44</v>
      </c>
      <c r="U1372" t="s">
        <v>44</v>
      </c>
      <c r="V1372">
        <v>1100</v>
      </c>
      <c r="W1372">
        <v>5</v>
      </c>
      <c r="X1372" t="s">
        <v>44</v>
      </c>
      <c r="Y1372">
        <v>1100</v>
      </c>
      <c r="Z1372" t="s">
        <v>44</v>
      </c>
      <c r="AA1372">
        <v>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 s="2">
        <v>1106</v>
      </c>
      <c r="AQ1372">
        <f t="shared" si="48"/>
        <v>1106</v>
      </c>
      <c r="AR1372" s="5">
        <f>VLOOKUP(F1372,'[2]SCP_24-25'!$A:$D,4,0)</f>
        <v>73.05</v>
      </c>
      <c r="AS1372" s="5">
        <f t="shared" si="49"/>
        <v>80793.3</v>
      </c>
    </row>
    <row r="1373" spans="1:45" x14ac:dyDescent="0.3">
      <c r="A1373" s="1">
        <v>45900.963194444441</v>
      </c>
      <c r="B1373" t="s">
        <v>1463</v>
      </c>
      <c r="C1373" t="s">
        <v>1464</v>
      </c>
      <c r="D1373" t="s">
        <v>453</v>
      </c>
      <c r="F1373" t="s">
        <v>1681</v>
      </c>
      <c r="G1373" t="s">
        <v>454</v>
      </c>
      <c r="H1373" t="s">
        <v>130</v>
      </c>
      <c r="I1373" t="s">
        <v>43</v>
      </c>
      <c r="J1373">
        <v>38.020000000000003</v>
      </c>
      <c r="K1373">
        <v>19</v>
      </c>
      <c r="L1373">
        <v>10</v>
      </c>
      <c r="M1373">
        <v>11</v>
      </c>
      <c r="N1373">
        <v>4774</v>
      </c>
      <c r="O1373">
        <v>1</v>
      </c>
      <c r="P1373">
        <v>0</v>
      </c>
      <c r="Q1373">
        <v>4</v>
      </c>
      <c r="R1373" t="s">
        <v>44</v>
      </c>
      <c r="S1373" t="s">
        <v>44</v>
      </c>
      <c r="T1373" t="s">
        <v>44</v>
      </c>
      <c r="U1373" t="s">
        <v>44</v>
      </c>
      <c r="V1373">
        <v>1135</v>
      </c>
      <c r="W1373">
        <v>8</v>
      </c>
      <c r="X1373" t="s">
        <v>44</v>
      </c>
      <c r="Y1373">
        <v>1135</v>
      </c>
      <c r="Z1373" t="s">
        <v>44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4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 s="2">
        <v>1136</v>
      </c>
      <c r="AQ1373">
        <f t="shared" si="48"/>
        <v>1136</v>
      </c>
      <c r="AR1373" s="5">
        <f>VLOOKUP(F1373,'[2]SCP_24-25'!$A:$D,4,0)</f>
        <v>73.05</v>
      </c>
      <c r="AS1373" s="5">
        <f t="shared" si="49"/>
        <v>82984.800000000003</v>
      </c>
    </row>
    <row r="1374" spans="1:45" x14ac:dyDescent="0.3">
      <c r="A1374" s="1">
        <v>45900.963194444441</v>
      </c>
      <c r="B1374" t="s">
        <v>1463</v>
      </c>
      <c r="C1374" t="s">
        <v>1464</v>
      </c>
      <c r="D1374" t="s">
        <v>1113</v>
      </c>
      <c r="F1374" t="s">
        <v>2006</v>
      </c>
      <c r="G1374" t="s">
        <v>1114</v>
      </c>
      <c r="H1374" t="s">
        <v>130</v>
      </c>
      <c r="I1374" t="s">
        <v>43</v>
      </c>
      <c r="J1374">
        <v>40.020000000000003</v>
      </c>
      <c r="K1374">
        <v>19</v>
      </c>
      <c r="L1374">
        <v>10</v>
      </c>
      <c r="M1374">
        <v>11</v>
      </c>
      <c r="N1374">
        <v>9030</v>
      </c>
      <c r="O1374">
        <v>78</v>
      </c>
      <c r="P1374">
        <v>0</v>
      </c>
      <c r="Q1374">
        <v>3</v>
      </c>
      <c r="R1374" t="s">
        <v>44</v>
      </c>
      <c r="S1374" t="s">
        <v>44</v>
      </c>
      <c r="T1374" t="s">
        <v>44</v>
      </c>
      <c r="U1374" t="s">
        <v>44</v>
      </c>
      <c r="V1374">
        <v>2036</v>
      </c>
      <c r="W1374">
        <v>1</v>
      </c>
      <c r="X1374" t="s">
        <v>44</v>
      </c>
      <c r="Y1374">
        <v>2036</v>
      </c>
      <c r="Z1374" t="s">
        <v>44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 s="2">
        <v>2114</v>
      </c>
      <c r="AQ1374">
        <f t="shared" si="48"/>
        <v>2114</v>
      </c>
      <c r="AR1374" s="5">
        <f>VLOOKUP(F1374,'[2]SCP_24-25'!$A:$D,4,0)</f>
        <v>98.3</v>
      </c>
      <c r="AS1374" s="5">
        <f t="shared" si="49"/>
        <v>207806.19999999998</v>
      </c>
    </row>
    <row r="1375" spans="1:45" x14ac:dyDescent="0.3">
      <c r="A1375" s="1">
        <v>45900.963194444441</v>
      </c>
      <c r="B1375" t="s">
        <v>1463</v>
      </c>
      <c r="C1375" t="s">
        <v>1464</v>
      </c>
      <c r="D1375" t="s">
        <v>572</v>
      </c>
      <c r="F1375" t="s">
        <v>1740</v>
      </c>
      <c r="G1375" t="s">
        <v>573</v>
      </c>
      <c r="H1375" t="s">
        <v>130</v>
      </c>
      <c r="I1375" t="s">
        <v>43</v>
      </c>
      <c r="J1375">
        <v>40.020000000000003</v>
      </c>
      <c r="K1375">
        <v>19</v>
      </c>
      <c r="L1375">
        <v>10</v>
      </c>
      <c r="M1375">
        <v>11</v>
      </c>
      <c r="N1375">
        <v>6094</v>
      </c>
      <c r="O1375">
        <v>58</v>
      </c>
      <c r="P1375">
        <v>0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>
        <v>1088</v>
      </c>
      <c r="W1375">
        <v>1</v>
      </c>
      <c r="X1375" t="s">
        <v>44</v>
      </c>
      <c r="Y1375">
        <v>1088</v>
      </c>
      <c r="Z1375" t="s">
        <v>44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 s="2">
        <v>1146</v>
      </c>
      <c r="AQ1375">
        <f t="shared" si="48"/>
        <v>1146</v>
      </c>
      <c r="AR1375" s="5">
        <f>VLOOKUP(F1375,'[2]SCP_24-25'!$A:$D,4,0)</f>
        <v>98.3</v>
      </c>
      <c r="AS1375" s="5">
        <f t="shared" si="49"/>
        <v>112651.8</v>
      </c>
    </row>
    <row r="1376" spans="1:45" x14ac:dyDescent="0.3">
      <c r="A1376" s="1">
        <v>45900.963194444441</v>
      </c>
      <c r="B1376" t="s">
        <v>1463</v>
      </c>
      <c r="C1376" t="s">
        <v>1464</v>
      </c>
      <c r="D1376" t="s">
        <v>574</v>
      </c>
      <c r="F1376" t="s">
        <v>1741</v>
      </c>
      <c r="G1376" t="s">
        <v>575</v>
      </c>
      <c r="H1376" t="s">
        <v>130</v>
      </c>
      <c r="I1376" t="s">
        <v>43</v>
      </c>
      <c r="J1376">
        <v>40.020000000000003</v>
      </c>
      <c r="K1376">
        <v>19</v>
      </c>
      <c r="L1376">
        <v>10</v>
      </c>
      <c r="M1376">
        <v>11</v>
      </c>
      <c r="N1376">
        <v>11802</v>
      </c>
      <c r="O1376">
        <v>32</v>
      </c>
      <c r="P1376">
        <v>0</v>
      </c>
      <c r="Q1376">
        <v>2</v>
      </c>
      <c r="R1376" t="s">
        <v>44</v>
      </c>
      <c r="S1376" t="s">
        <v>44</v>
      </c>
      <c r="T1376" t="s">
        <v>44</v>
      </c>
      <c r="U1376" t="s">
        <v>44</v>
      </c>
      <c r="V1376">
        <v>2584</v>
      </c>
      <c r="W1376">
        <v>1</v>
      </c>
      <c r="X1376" t="s">
        <v>44</v>
      </c>
      <c r="Y1376">
        <v>2584</v>
      </c>
      <c r="Z1376" t="s">
        <v>44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 s="2">
        <v>2616</v>
      </c>
      <c r="AQ1376">
        <f t="shared" si="48"/>
        <v>2616</v>
      </c>
      <c r="AR1376" s="5">
        <f>VLOOKUP(F1376,'[2]SCP_24-25'!$A:$D,4,0)</f>
        <v>98.3</v>
      </c>
      <c r="AS1376" s="5">
        <f t="shared" si="49"/>
        <v>257152.8</v>
      </c>
    </row>
    <row r="1377" spans="1:45" x14ac:dyDescent="0.3">
      <c r="A1377" s="1">
        <v>45900.963194444441</v>
      </c>
      <c r="B1377" t="s">
        <v>1463</v>
      </c>
      <c r="C1377" t="s">
        <v>1464</v>
      </c>
      <c r="D1377" t="s">
        <v>607</v>
      </c>
      <c r="F1377" t="s">
        <v>1757</v>
      </c>
      <c r="G1377" t="s">
        <v>608</v>
      </c>
      <c r="H1377" t="s">
        <v>130</v>
      </c>
      <c r="I1377" t="s">
        <v>43</v>
      </c>
      <c r="J1377">
        <v>40.020000000000003</v>
      </c>
      <c r="K1377">
        <v>19</v>
      </c>
      <c r="L1377">
        <v>10</v>
      </c>
      <c r="M1377">
        <v>11</v>
      </c>
      <c r="N1377">
        <v>6555</v>
      </c>
      <c r="O1377">
        <v>11</v>
      </c>
      <c r="P1377">
        <v>0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>
        <v>1549</v>
      </c>
      <c r="W1377">
        <v>1</v>
      </c>
      <c r="X1377" t="s">
        <v>44</v>
      </c>
      <c r="Y1377">
        <v>1549</v>
      </c>
      <c r="Z1377" t="s">
        <v>44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 s="2">
        <v>1560</v>
      </c>
      <c r="AQ1377">
        <f t="shared" si="48"/>
        <v>1560</v>
      </c>
      <c r="AR1377" s="5">
        <f>VLOOKUP(F1377,'[2]SCP_24-25'!$A:$D,4,0)</f>
        <v>98.3</v>
      </c>
      <c r="AS1377" s="5">
        <f t="shared" si="49"/>
        <v>153348</v>
      </c>
    </row>
    <row r="1378" spans="1:45" x14ac:dyDescent="0.3">
      <c r="A1378" s="1">
        <v>45900.963194444441</v>
      </c>
      <c r="B1378" t="s">
        <v>1463</v>
      </c>
      <c r="C1378" t="s">
        <v>1464</v>
      </c>
      <c r="D1378" t="s">
        <v>455</v>
      </c>
      <c r="F1378" t="s">
        <v>1682</v>
      </c>
      <c r="G1378" t="s">
        <v>456</v>
      </c>
      <c r="H1378" t="s">
        <v>130</v>
      </c>
      <c r="I1378" t="s">
        <v>43</v>
      </c>
      <c r="J1378">
        <v>40.020000000000003</v>
      </c>
      <c r="K1378">
        <v>19</v>
      </c>
      <c r="L1378">
        <v>10</v>
      </c>
      <c r="M1378">
        <v>11</v>
      </c>
      <c r="N1378">
        <v>5513</v>
      </c>
      <c r="O1378">
        <v>17</v>
      </c>
      <c r="P1378">
        <v>0</v>
      </c>
      <c r="Q1378">
        <v>3</v>
      </c>
      <c r="R1378" t="s">
        <v>44</v>
      </c>
      <c r="S1378" t="s">
        <v>44</v>
      </c>
      <c r="T1378" t="s">
        <v>44</v>
      </c>
      <c r="U1378" t="s">
        <v>44</v>
      </c>
      <c r="V1378">
        <v>1153</v>
      </c>
      <c r="W1378">
        <v>1</v>
      </c>
      <c r="X1378" t="s">
        <v>44</v>
      </c>
      <c r="Y1378">
        <v>1153</v>
      </c>
      <c r="Z1378" t="s">
        <v>44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 s="2">
        <v>1171</v>
      </c>
      <c r="AQ1378">
        <f t="shared" si="48"/>
        <v>1171</v>
      </c>
      <c r="AR1378" s="5">
        <f>VLOOKUP(F1378,'[2]SCP_24-25'!$A:$D,4,0)</f>
        <v>98.299999999999983</v>
      </c>
      <c r="AS1378" s="5">
        <f t="shared" si="49"/>
        <v>115109.29999999997</v>
      </c>
    </row>
    <row r="1379" spans="1:45" x14ac:dyDescent="0.3">
      <c r="A1379" s="1">
        <v>45900.963194444441</v>
      </c>
      <c r="B1379" t="s">
        <v>1463</v>
      </c>
      <c r="C1379" t="s">
        <v>1464</v>
      </c>
      <c r="D1379" t="s">
        <v>493</v>
      </c>
      <c r="F1379" t="s">
        <v>1701</v>
      </c>
      <c r="G1379" t="s">
        <v>494</v>
      </c>
      <c r="H1379" t="s">
        <v>130</v>
      </c>
      <c r="I1379" t="s">
        <v>43</v>
      </c>
      <c r="J1379">
        <v>40.020000000000003</v>
      </c>
      <c r="K1379">
        <v>19</v>
      </c>
      <c r="L1379">
        <v>10</v>
      </c>
      <c r="M1379">
        <v>11</v>
      </c>
      <c r="N1379">
        <v>5667</v>
      </c>
      <c r="O1379">
        <v>25</v>
      </c>
      <c r="P1379">
        <v>0</v>
      </c>
      <c r="Q1379">
        <v>2</v>
      </c>
      <c r="R1379" t="s">
        <v>44</v>
      </c>
      <c r="S1379" t="s">
        <v>44</v>
      </c>
      <c r="T1379" t="s">
        <v>44</v>
      </c>
      <c r="U1379" t="s">
        <v>44</v>
      </c>
      <c r="V1379">
        <v>1326</v>
      </c>
      <c r="W1379">
        <v>1</v>
      </c>
      <c r="X1379" t="s">
        <v>44</v>
      </c>
      <c r="Y1379">
        <v>1326</v>
      </c>
      <c r="Z1379" t="s">
        <v>44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 s="2">
        <v>1352</v>
      </c>
      <c r="AQ1379">
        <f t="shared" si="48"/>
        <v>1352</v>
      </c>
      <c r="AR1379" s="5">
        <f>VLOOKUP(F1379,'[2]SCP_24-25'!$A:$D,4,0)</f>
        <v>98.3</v>
      </c>
      <c r="AS1379" s="5">
        <f t="shared" si="49"/>
        <v>132901.6</v>
      </c>
    </row>
    <row r="1380" spans="1:45" x14ac:dyDescent="0.3">
      <c r="A1380" s="1">
        <v>45900.963194444441</v>
      </c>
      <c r="B1380" t="s">
        <v>1463</v>
      </c>
      <c r="C1380" t="s">
        <v>1464</v>
      </c>
      <c r="D1380" t="s">
        <v>576</v>
      </c>
      <c r="F1380" t="s">
        <v>1742</v>
      </c>
      <c r="G1380" t="s">
        <v>577</v>
      </c>
      <c r="H1380" t="s">
        <v>130</v>
      </c>
      <c r="I1380" t="s">
        <v>43</v>
      </c>
      <c r="J1380">
        <v>40.020000000000003</v>
      </c>
      <c r="K1380">
        <v>19</v>
      </c>
      <c r="L1380">
        <v>10</v>
      </c>
      <c r="M1380">
        <v>11</v>
      </c>
      <c r="N1380">
        <v>6944</v>
      </c>
      <c r="O1380">
        <v>9</v>
      </c>
      <c r="P1380">
        <v>0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>
        <v>2030</v>
      </c>
      <c r="W1380">
        <v>1</v>
      </c>
      <c r="X1380" t="s">
        <v>44</v>
      </c>
      <c r="Y1380">
        <v>2030</v>
      </c>
      <c r="Z1380" t="s">
        <v>44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 s="2">
        <v>2039</v>
      </c>
      <c r="AQ1380">
        <f t="shared" si="48"/>
        <v>2039</v>
      </c>
      <c r="AR1380" s="5">
        <f>VLOOKUP(F1380,'[2]SCP_24-25'!$A:$D,4,0)</f>
        <v>98.3</v>
      </c>
      <c r="AS1380" s="5">
        <f t="shared" si="49"/>
        <v>200433.69999999998</v>
      </c>
    </row>
    <row r="1381" spans="1:45" x14ac:dyDescent="0.3">
      <c r="A1381" s="1">
        <v>45900.963194444441</v>
      </c>
      <c r="B1381" t="s">
        <v>1463</v>
      </c>
      <c r="C1381" t="s">
        <v>1464</v>
      </c>
      <c r="D1381" t="s">
        <v>801</v>
      </c>
      <c r="F1381" t="s">
        <v>1852</v>
      </c>
      <c r="G1381" t="s">
        <v>802</v>
      </c>
      <c r="H1381" t="s">
        <v>130</v>
      </c>
      <c r="I1381" t="s">
        <v>43</v>
      </c>
      <c r="J1381">
        <v>32.020000000000003</v>
      </c>
      <c r="K1381">
        <v>19</v>
      </c>
      <c r="L1381">
        <v>10</v>
      </c>
      <c r="M1381">
        <v>11</v>
      </c>
      <c r="N1381">
        <v>7119</v>
      </c>
      <c r="O1381">
        <v>7</v>
      </c>
      <c r="P1381">
        <v>0</v>
      </c>
      <c r="Q1381">
        <v>3</v>
      </c>
      <c r="R1381" t="s">
        <v>44</v>
      </c>
      <c r="S1381" t="s">
        <v>44</v>
      </c>
      <c r="T1381" t="s">
        <v>44</v>
      </c>
      <c r="U1381" t="s">
        <v>44</v>
      </c>
      <c r="V1381">
        <v>1615</v>
      </c>
      <c r="W1381">
        <v>4</v>
      </c>
      <c r="X1381" t="s">
        <v>44</v>
      </c>
      <c r="Y1381">
        <v>1615</v>
      </c>
      <c r="Z1381" t="s">
        <v>44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 s="2">
        <v>1622</v>
      </c>
      <c r="AQ1381">
        <f t="shared" si="48"/>
        <v>1622</v>
      </c>
      <c r="AR1381" s="5">
        <f>VLOOKUP(F1381,'[2]SCP_24-25'!$A:$D,4,0)</f>
        <v>96.2</v>
      </c>
      <c r="AS1381" s="5">
        <f t="shared" si="49"/>
        <v>156036.4</v>
      </c>
    </row>
    <row r="1382" spans="1:45" x14ac:dyDescent="0.3">
      <c r="A1382" s="1">
        <v>45900.963194444441</v>
      </c>
      <c r="B1382" t="s">
        <v>1463</v>
      </c>
      <c r="C1382" t="s">
        <v>1464</v>
      </c>
      <c r="D1382" t="s">
        <v>544</v>
      </c>
      <c r="F1382" t="s">
        <v>1726</v>
      </c>
      <c r="G1382" t="s">
        <v>545</v>
      </c>
      <c r="H1382" t="s">
        <v>130</v>
      </c>
      <c r="I1382" t="s">
        <v>43</v>
      </c>
      <c r="J1382">
        <v>34.020000000000003</v>
      </c>
      <c r="K1382">
        <v>19</v>
      </c>
      <c r="L1382">
        <v>10</v>
      </c>
      <c r="M1382">
        <v>11</v>
      </c>
      <c r="N1382">
        <v>12718</v>
      </c>
      <c r="O1382">
        <v>16</v>
      </c>
      <c r="P1382">
        <v>0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>
        <v>1508</v>
      </c>
      <c r="W1382">
        <v>3</v>
      </c>
      <c r="X1382" t="s">
        <v>44</v>
      </c>
      <c r="Y1382">
        <v>1508</v>
      </c>
      <c r="Z1382" t="s">
        <v>44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 s="2">
        <v>1524</v>
      </c>
      <c r="AQ1382">
        <f t="shared" si="48"/>
        <v>1524</v>
      </c>
      <c r="AR1382" s="5">
        <f>VLOOKUP(F1382,'[2]SCP_24-25'!$A:$D,4,0)</f>
        <v>90.089999999999989</v>
      </c>
      <c r="AS1382" s="5">
        <f t="shared" si="49"/>
        <v>137297.15999999997</v>
      </c>
    </row>
    <row r="1383" spans="1:45" x14ac:dyDescent="0.3">
      <c r="A1383" s="1">
        <v>45900.963194444441</v>
      </c>
      <c r="B1383" t="s">
        <v>1463</v>
      </c>
      <c r="C1383" t="s">
        <v>1464</v>
      </c>
      <c r="D1383" t="s">
        <v>501</v>
      </c>
      <c r="F1383" t="s">
        <v>1705</v>
      </c>
      <c r="G1383" t="s">
        <v>502</v>
      </c>
      <c r="H1383" t="s">
        <v>130</v>
      </c>
      <c r="I1383" t="s">
        <v>43</v>
      </c>
      <c r="J1383">
        <v>71</v>
      </c>
      <c r="K1383">
        <v>19</v>
      </c>
      <c r="L1383">
        <v>10</v>
      </c>
      <c r="M1383">
        <v>11</v>
      </c>
      <c r="N1383">
        <v>6314</v>
      </c>
      <c r="O1383">
        <v>11</v>
      </c>
      <c r="P1383">
        <v>0</v>
      </c>
      <c r="Q1383">
        <v>1</v>
      </c>
      <c r="R1383" t="s">
        <v>44</v>
      </c>
      <c r="S1383" t="s">
        <v>44</v>
      </c>
      <c r="T1383" t="s">
        <v>44</v>
      </c>
      <c r="U1383" t="s">
        <v>44</v>
      </c>
      <c r="V1383">
        <v>1605</v>
      </c>
      <c r="W1383">
        <v>6</v>
      </c>
      <c r="X1383" t="s">
        <v>44</v>
      </c>
      <c r="Y1383">
        <v>1605</v>
      </c>
      <c r="Z1383" t="s">
        <v>44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 s="2">
        <v>1617</v>
      </c>
      <c r="AQ1383">
        <f t="shared" si="48"/>
        <v>1617</v>
      </c>
      <c r="AR1383" s="5">
        <f>VLOOKUP(F1383,'[2]SCP_24-25'!$A:$D,4,0)</f>
        <v>129.18</v>
      </c>
      <c r="AS1383" s="5">
        <f t="shared" si="49"/>
        <v>208884.06</v>
      </c>
    </row>
    <row r="1384" spans="1:45" x14ac:dyDescent="0.3">
      <c r="A1384" s="1">
        <v>45900.963194444441</v>
      </c>
      <c r="B1384" t="s">
        <v>1463</v>
      </c>
      <c r="C1384" t="s">
        <v>1464</v>
      </c>
      <c r="D1384" t="s">
        <v>603</v>
      </c>
      <c r="F1384" t="s">
        <v>1755</v>
      </c>
      <c r="G1384" t="s">
        <v>604</v>
      </c>
      <c r="H1384" t="s">
        <v>130</v>
      </c>
      <c r="I1384" t="s">
        <v>43</v>
      </c>
      <c r="J1384">
        <v>71.02</v>
      </c>
      <c r="K1384">
        <v>19</v>
      </c>
      <c r="L1384">
        <v>10</v>
      </c>
      <c r="M1384">
        <v>11</v>
      </c>
      <c r="N1384">
        <v>8180</v>
      </c>
      <c r="O1384">
        <v>7</v>
      </c>
      <c r="P1384">
        <v>0</v>
      </c>
      <c r="Q1384">
        <v>2</v>
      </c>
      <c r="R1384" t="s">
        <v>44</v>
      </c>
      <c r="S1384" t="s">
        <v>44</v>
      </c>
      <c r="T1384" t="s">
        <v>44</v>
      </c>
      <c r="U1384" t="s">
        <v>44</v>
      </c>
      <c r="V1384">
        <v>2616</v>
      </c>
      <c r="W1384">
        <v>2</v>
      </c>
      <c r="X1384" t="s">
        <v>44</v>
      </c>
      <c r="Y1384">
        <v>2616</v>
      </c>
      <c r="Z1384" t="s">
        <v>44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2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 s="2">
        <v>2623</v>
      </c>
      <c r="AQ1384">
        <f t="shared" si="48"/>
        <v>2623</v>
      </c>
      <c r="AR1384" s="5">
        <f>VLOOKUP(F1384,'[2]SCP_24-25'!$A:$D,4,0)</f>
        <v>129.18</v>
      </c>
      <c r="AS1384" s="5">
        <f t="shared" si="49"/>
        <v>338839.14</v>
      </c>
    </row>
    <row r="1385" spans="1:45" x14ac:dyDescent="0.3">
      <c r="A1385" s="1">
        <v>45900.963194444441</v>
      </c>
      <c r="B1385" t="s">
        <v>1463</v>
      </c>
      <c r="C1385" t="s">
        <v>1464</v>
      </c>
      <c r="D1385" t="s">
        <v>550</v>
      </c>
      <c r="F1385" t="s">
        <v>1729</v>
      </c>
      <c r="G1385" t="s">
        <v>551</v>
      </c>
      <c r="H1385" t="s">
        <v>103</v>
      </c>
      <c r="I1385" t="s">
        <v>43</v>
      </c>
      <c r="J1385">
        <v>100.52</v>
      </c>
      <c r="K1385">
        <v>19</v>
      </c>
      <c r="L1385">
        <v>11</v>
      </c>
      <c r="M1385">
        <v>10</v>
      </c>
      <c r="N1385">
        <v>32625</v>
      </c>
      <c r="O1385">
        <v>106</v>
      </c>
      <c r="P1385">
        <v>0</v>
      </c>
      <c r="Q1385">
        <v>61</v>
      </c>
      <c r="R1385">
        <v>1</v>
      </c>
      <c r="S1385" t="s">
        <v>44</v>
      </c>
      <c r="T1385" t="s">
        <v>44</v>
      </c>
      <c r="U1385" t="s">
        <v>44</v>
      </c>
      <c r="V1385">
        <v>1864</v>
      </c>
      <c r="W1385">
        <v>46</v>
      </c>
      <c r="X1385" t="s">
        <v>44</v>
      </c>
      <c r="Y1385">
        <v>1864</v>
      </c>
      <c r="Z1385" t="s">
        <v>44</v>
      </c>
      <c r="AA1385">
        <v>9</v>
      </c>
      <c r="AB1385">
        <v>0</v>
      </c>
      <c r="AC1385">
        <v>0</v>
      </c>
      <c r="AD1385">
        <v>0</v>
      </c>
      <c r="AE1385">
        <v>0</v>
      </c>
      <c r="AF1385">
        <v>7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 s="2">
        <v>1979</v>
      </c>
      <c r="AQ1385">
        <f t="shared" si="48"/>
        <v>1979</v>
      </c>
      <c r="AR1385" s="5">
        <f>VLOOKUP(F1385,'[2]SCP_24-25'!$A:$D,4,0)</f>
        <v>90.823333333333338</v>
      </c>
      <c r="AS1385" s="5">
        <f t="shared" si="49"/>
        <v>179739.37666666668</v>
      </c>
    </row>
    <row r="1386" spans="1:45" x14ac:dyDescent="0.3">
      <c r="A1386" s="1">
        <v>45900.963194444441</v>
      </c>
      <c r="B1386" t="s">
        <v>1463</v>
      </c>
      <c r="C1386" t="s">
        <v>1464</v>
      </c>
      <c r="D1386" t="s">
        <v>469</v>
      </c>
      <c r="F1386" t="s">
        <v>1689</v>
      </c>
      <c r="G1386" t="s">
        <v>470</v>
      </c>
      <c r="H1386" t="s">
        <v>66</v>
      </c>
      <c r="I1386" t="s">
        <v>43</v>
      </c>
      <c r="J1386">
        <v>459.02</v>
      </c>
      <c r="K1386">
        <v>19</v>
      </c>
      <c r="L1386">
        <v>11</v>
      </c>
      <c r="M1386">
        <v>10</v>
      </c>
      <c r="N1386">
        <v>19238</v>
      </c>
      <c r="O1386">
        <v>89</v>
      </c>
      <c r="P1386">
        <v>0</v>
      </c>
      <c r="Q1386">
        <v>48</v>
      </c>
      <c r="R1386" t="s">
        <v>44</v>
      </c>
      <c r="S1386" t="s">
        <v>44</v>
      </c>
      <c r="T1386">
        <v>96</v>
      </c>
      <c r="U1386" t="s">
        <v>44</v>
      </c>
      <c r="V1386">
        <v>1819</v>
      </c>
      <c r="W1386">
        <v>27</v>
      </c>
      <c r="X1386" t="s">
        <v>44</v>
      </c>
      <c r="Y1386">
        <v>1819</v>
      </c>
      <c r="Z1386" t="s">
        <v>44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 s="2">
        <v>1909</v>
      </c>
      <c r="AQ1386">
        <f t="shared" si="48"/>
        <v>1909</v>
      </c>
      <c r="AR1386" s="5">
        <f>VLOOKUP(F1386,'[2]SCP_24-25'!$A:$D,4,0)</f>
        <v>91.35</v>
      </c>
      <c r="AS1386" s="5">
        <f t="shared" si="49"/>
        <v>174387.15</v>
      </c>
    </row>
    <row r="1387" spans="1:45" x14ac:dyDescent="0.3">
      <c r="A1387" s="1">
        <v>45900.963194444441</v>
      </c>
      <c r="B1387" t="s">
        <v>1463</v>
      </c>
      <c r="C1387" t="s">
        <v>1464</v>
      </c>
      <c r="D1387" t="s">
        <v>1243</v>
      </c>
      <c r="F1387" t="s">
        <v>2071</v>
      </c>
      <c r="G1387" t="s">
        <v>123</v>
      </c>
      <c r="H1387" t="s">
        <v>120</v>
      </c>
      <c r="I1387" t="s">
        <v>43</v>
      </c>
      <c r="J1387">
        <v>100</v>
      </c>
      <c r="K1387">
        <v>19</v>
      </c>
      <c r="L1387">
        <v>11</v>
      </c>
      <c r="M1387">
        <v>10</v>
      </c>
      <c r="N1387">
        <v>11892</v>
      </c>
      <c r="O1387">
        <v>0</v>
      </c>
      <c r="P1387">
        <v>0</v>
      </c>
      <c r="Q1387" t="s">
        <v>44</v>
      </c>
      <c r="R1387">
        <v>2110</v>
      </c>
      <c r="S1387" t="s">
        <v>44</v>
      </c>
      <c r="T1387" t="s">
        <v>44</v>
      </c>
      <c r="U1387" t="s">
        <v>44</v>
      </c>
      <c r="V1387">
        <v>1305</v>
      </c>
      <c r="W1387" t="s">
        <v>44</v>
      </c>
      <c r="X1387" t="s">
        <v>44</v>
      </c>
      <c r="Y1387">
        <v>1305</v>
      </c>
      <c r="Z1387" t="s">
        <v>44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 s="2">
        <v>1305</v>
      </c>
      <c r="AQ1387">
        <f t="shared" si="48"/>
        <v>1305</v>
      </c>
      <c r="AR1387" s="5">
        <f>VLOOKUP(F1387,'[2]SCP_24-25'!$A:$D,4,0)</f>
        <v>43.5</v>
      </c>
      <c r="AS1387" s="5">
        <f t="shared" si="49"/>
        <v>56767.5</v>
      </c>
    </row>
    <row r="1388" spans="1:45" x14ac:dyDescent="0.3">
      <c r="A1388" s="1">
        <v>45900.963194444441</v>
      </c>
      <c r="B1388" t="s">
        <v>1463</v>
      </c>
      <c r="C1388" t="s">
        <v>1464</v>
      </c>
      <c r="D1388" t="s">
        <v>807</v>
      </c>
      <c r="F1388" t="s">
        <v>1855</v>
      </c>
      <c r="G1388" t="s">
        <v>808</v>
      </c>
      <c r="H1388" t="s">
        <v>120</v>
      </c>
      <c r="I1388" t="s">
        <v>43</v>
      </c>
      <c r="J1388">
        <v>100</v>
      </c>
      <c r="K1388">
        <v>19</v>
      </c>
      <c r="L1388">
        <v>11</v>
      </c>
      <c r="M1388">
        <v>10</v>
      </c>
      <c r="N1388">
        <v>6145</v>
      </c>
      <c r="O1388">
        <v>0</v>
      </c>
      <c r="P1388">
        <v>0</v>
      </c>
      <c r="Q1388">
        <v>1</v>
      </c>
      <c r="R1388">
        <v>100</v>
      </c>
      <c r="S1388" t="s">
        <v>44</v>
      </c>
      <c r="T1388" t="s">
        <v>44</v>
      </c>
      <c r="U1388" t="s">
        <v>44</v>
      </c>
      <c r="V1388">
        <v>1162</v>
      </c>
      <c r="W1388" t="s">
        <v>44</v>
      </c>
      <c r="X1388" t="s">
        <v>44</v>
      </c>
      <c r="Y1388">
        <v>1162</v>
      </c>
      <c r="Z1388" t="s">
        <v>44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 s="2">
        <v>1162</v>
      </c>
      <c r="AQ1388">
        <f t="shared" si="48"/>
        <v>1162</v>
      </c>
      <c r="AR1388" s="5">
        <f>VLOOKUP(F1388,'[2]SCP_24-25'!$A:$D,4,0)</f>
        <v>48</v>
      </c>
      <c r="AS1388" s="5">
        <f t="shared" si="49"/>
        <v>55776</v>
      </c>
    </row>
    <row r="1389" spans="1:45" x14ac:dyDescent="0.3">
      <c r="A1389" s="1">
        <v>45900.963194444441</v>
      </c>
      <c r="B1389" t="s">
        <v>1463</v>
      </c>
      <c r="C1389" t="s">
        <v>1464</v>
      </c>
      <c r="D1389" t="s">
        <v>505</v>
      </c>
      <c r="F1389" t="s">
        <v>1707</v>
      </c>
      <c r="G1389" t="s">
        <v>506</v>
      </c>
      <c r="H1389" t="s">
        <v>66</v>
      </c>
      <c r="I1389" t="s">
        <v>415</v>
      </c>
      <c r="J1389">
        <v>81.52</v>
      </c>
      <c r="K1389">
        <v>19</v>
      </c>
      <c r="L1389">
        <v>10</v>
      </c>
      <c r="M1389">
        <v>11</v>
      </c>
      <c r="N1389">
        <v>23800</v>
      </c>
      <c r="O1389">
        <v>66</v>
      </c>
      <c r="P1389">
        <v>0</v>
      </c>
      <c r="Q1389">
        <v>2</v>
      </c>
      <c r="R1389">
        <v>1</v>
      </c>
      <c r="S1389" t="s">
        <v>44</v>
      </c>
      <c r="T1389">
        <v>2</v>
      </c>
      <c r="U1389" t="s">
        <v>44</v>
      </c>
      <c r="V1389">
        <v>1619</v>
      </c>
      <c r="W1389">
        <v>5</v>
      </c>
      <c r="X1389" t="s">
        <v>44</v>
      </c>
      <c r="Y1389">
        <v>1619</v>
      </c>
      <c r="Z1389" t="s">
        <v>44</v>
      </c>
      <c r="AA1389">
        <v>3</v>
      </c>
      <c r="AB1389">
        <v>0</v>
      </c>
      <c r="AC1389">
        <v>0</v>
      </c>
      <c r="AD1389">
        <v>0</v>
      </c>
      <c r="AE1389">
        <v>0</v>
      </c>
      <c r="AF1389">
        <v>6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 s="2">
        <v>1688</v>
      </c>
      <c r="AQ1389">
        <f t="shared" si="48"/>
        <v>1688</v>
      </c>
      <c r="AR1389" s="5">
        <f>VLOOKUP(F1389,'[2]SCP_24-25'!$A:$D,4,0)</f>
        <v>84.2</v>
      </c>
      <c r="AS1389" s="5">
        <f t="shared" si="49"/>
        <v>142129.60000000001</v>
      </c>
    </row>
    <row r="1390" spans="1:45" x14ac:dyDescent="0.3">
      <c r="A1390" s="1">
        <v>45900.963194444441</v>
      </c>
      <c r="B1390" t="s">
        <v>1463</v>
      </c>
      <c r="C1390" t="s">
        <v>1464</v>
      </c>
      <c r="D1390" t="s">
        <v>1454</v>
      </c>
      <c r="E1390" t="s">
        <v>1250</v>
      </c>
      <c r="F1390" t="s">
        <v>2174</v>
      </c>
      <c r="G1390" t="s">
        <v>1455</v>
      </c>
      <c r="H1390" t="s">
        <v>120</v>
      </c>
      <c r="I1390" t="s">
        <v>415</v>
      </c>
      <c r="J1390">
        <v>100</v>
      </c>
      <c r="K1390">
        <v>19</v>
      </c>
      <c r="L1390">
        <v>10</v>
      </c>
      <c r="M1390">
        <v>11</v>
      </c>
      <c r="N1390">
        <v>3734</v>
      </c>
      <c r="O1390">
        <v>0</v>
      </c>
      <c r="P1390">
        <v>0</v>
      </c>
      <c r="Q1390" t="s">
        <v>44</v>
      </c>
      <c r="R1390" t="s">
        <v>44</v>
      </c>
      <c r="S1390" t="s">
        <v>44</v>
      </c>
      <c r="T1390" t="s">
        <v>44</v>
      </c>
      <c r="U1390" t="s">
        <v>44</v>
      </c>
      <c r="V1390">
        <v>1637</v>
      </c>
      <c r="W1390" t="s">
        <v>44</v>
      </c>
      <c r="X1390" t="s">
        <v>44</v>
      </c>
      <c r="Y1390">
        <v>1637</v>
      </c>
      <c r="Z1390" t="s">
        <v>44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 s="2">
        <v>1637</v>
      </c>
      <c r="AQ1390">
        <f t="shared" si="48"/>
        <v>1637</v>
      </c>
      <c r="AR1390" s="5">
        <f>VLOOKUP(F1390,'[2]SCP_24-25'!$A:$D,4,0)</f>
        <v>70</v>
      </c>
      <c r="AS1390" s="5">
        <f t="shared" si="49"/>
        <v>114590</v>
      </c>
    </row>
    <row r="1391" spans="1:45" x14ac:dyDescent="0.3">
      <c r="A1391" s="1">
        <v>45900.963194444441</v>
      </c>
      <c r="B1391" t="s">
        <v>1463</v>
      </c>
      <c r="C1391" t="s">
        <v>1464</v>
      </c>
      <c r="D1391" t="s">
        <v>558</v>
      </c>
      <c r="F1391" t="s">
        <v>1733</v>
      </c>
      <c r="G1391" t="s">
        <v>559</v>
      </c>
      <c r="H1391" t="s">
        <v>66</v>
      </c>
      <c r="I1391" t="s">
        <v>415</v>
      </c>
      <c r="J1391">
        <v>100</v>
      </c>
      <c r="K1391">
        <v>19</v>
      </c>
      <c r="L1391">
        <v>10</v>
      </c>
      <c r="M1391">
        <v>11</v>
      </c>
      <c r="N1391">
        <v>21257</v>
      </c>
      <c r="O1391">
        <v>338</v>
      </c>
      <c r="P1391">
        <v>0</v>
      </c>
      <c r="Q1391">
        <v>16</v>
      </c>
      <c r="R1391" t="s">
        <v>44</v>
      </c>
      <c r="S1391" t="s">
        <v>44</v>
      </c>
      <c r="T1391" t="s">
        <v>44</v>
      </c>
      <c r="U1391" t="s">
        <v>44</v>
      </c>
      <c r="V1391">
        <v>1572</v>
      </c>
      <c r="W1391">
        <v>6</v>
      </c>
      <c r="X1391" t="s">
        <v>44</v>
      </c>
      <c r="Y1391">
        <v>1572</v>
      </c>
      <c r="Z1391" t="s">
        <v>44</v>
      </c>
      <c r="AA1391">
        <v>19</v>
      </c>
      <c r="AB1391">
        <v>0</v>
      </c>
      <c r="AC1391">
        <v>0</v>
      </c>
      <c r="AD1391">
        <v>0</v>
      </c>
      <c r="AE1391">
        <v>0</v>
      </c>
      <c r="AF1391">
        <v>8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 s="2">
        <v>1929</v>
      </c>
      <c r="AQ1391">
        <f t="shared" si="48"/>
        <v>1929</v>
      </c>
      <c r="AR1391" s="5">
        <f>VLOOKUP(F1391,'[2]SCP_24-25'!$A:$D,4,0)</f>
        <v>64.38</v>
      </c>
      <c r="AS1391" s="5">
        <f t="shared" si="49"/>
        <v>124189.01999999999</v>
      </c>
    </row>
    <row r="1392" spans="1:45" x14ac:dyDescent="0.3">
      <c r="A1392" s="1">
        <v>45900.963194444441</v>
      </c>
      <c r="B1392" t="s">
        <v>1463</v>
      </c>
      <c r="C1392" t="s">
        <v>1464</v>
      </c>
      <c r="D1392" t="s">
        <v>813</v>
      </c>
      <c r="F1392" t="s">
        <v>1858</v>
      </c>
      <c r="G1392" t="s">
        <v>814</v>
      </c>
      <c r="H1392" t="s">
        <v>130</v>
      </c>
      <c r="I1392" t="s">
        <v>415</v>
      </c>
      <c r="J1392">
        <v>3.5</v>
      </c>
      <c r="K1392">
        <v>19</v>
      </c>
      <c r="L1392">
        <v>10</v>
      </c>
      <c r="M1392">
        <v>11</v>
      </c>
      <c r="N1392">
        <v>1920</v>
      </c>
      <c r="O1392">
        <v>0</v>
      </c>
      <c r="P1392">
        <v>0</v>
      </c>
      <c r="Q1392" t="s">
        <v>44</v>
      </c>
      <c r="R1392" t="s">
        <v>44</v>
      </c>
      <c r="S1392" t="s">
        <v>44</v>
      </c>
      <c r="T1392" t="s">
        <v>44</v>
      </c>
      <c r="U1392" t="s">
        <v>44</v>
      </c>
      <c r="V1392">
        <v>1222</v>
      </c>
      <c r="W1392" t="s">
        <v>44</v>
      </c>
      <c r="X1392" t="s">
        <v>44</v>
      </c>
      <c r="Y1392">
        <v>1222</v>
      </c>
      <c r="Z1392" t="s">
        <v>44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 s="2">
        <v>1222</v>
      </c>
      <c r="AQ1392">
        <f t="shared" si="48"/>
        <v>1222</v>
      </c>
      <c r="AR1392" s="5">
        <f>VLOOKUP(F1392,'[2]SCP_24-25'!$A:$D,4,0)</f>
        <v>149.81999999999996</v>
      </c>
      <c r="AS1392" s="5">
        <f t="shared" si="49"/>
        <v>183080.03999999995</v>
      </c>
    </row>
    <row r="1393" spans="1:45" x14ac:dyDescent="0.3">
      <c r="A1393" s="1">
        <v>45900.963194444441</v>
      </c>
      <c r="B1393" t="s">
        <v>1463</v>
      </c>
      <c r="C1393" t="s">
        <v>1464</v>
      </c>
      <c r="D1393" t="s">
        <v>815</v>
      </c>
      <c r="F1393" t="s">
        <v>1859</v>
      </c>
      <c r="G1393" t="s">
        <v>816</v>
      </c>
      <c r="H1393" t="s">
        <v>130</v>
      </c>
      <c r="I1393" t="s">
        <v>415</v>
      </c>
      <c r="J1393">
        <v>3.5</v>
      </c>
      <c r="K1393">
        <v>19</v>
      </c>
      <c r="L1393">
        <v>10</v>
      </c>
      <c r="M1393">
        <v>11</v>
      </c>
      <c r="N1393">
        <v>1920</v>
      </c>
      <c r="O1393">
        <v>0</v>
      </c>
      <c r="P1393">
        <v>0</v>
      </c>
      <c r="Q1393" t="s">
        <v>44</v>
      </c>
      <c r="R1393" t="s">
        <v>44</v>
      </c>
      <c r="S1393" t="s">
        <v>44</v>
      </c>
      <c r="T1393" t="s">
        <v>44</v>
      </c>
      <c r="U1393" t="s">
        <v>44</v>
      </c>
      <c r="V1393">
        <v>1231</v>
      </c>
      <c r="W1393" t="s">
        <v>44</v>
      </c>
      <c r="X1393" t="s">
        <v>44</v>
      </c>
      <c r="Y1393">
        <v>1231</v>
      </c>
      <c r="Z1393" t="s">
        <v>44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 s="2">
        <v>1231</v>
      </c>
      <c r="AQ1393">
        <f t="shared" si="48"/>
        <v>1231</v>
      </c>
      <c r="AR1393" s="5">
        <f>VLOOKUP(F1393,'[2]SCP_24-25'!$A:$D,4,0)</f>
        <v>149.82</v>
      </c>
      <c r="AS1393" s="5">
        <f t="shared" si="49"/>
        <v>184428.41999999998</v>
      </c>
    </row>
    <row r="1394" spans="1:45" x14ac:dyDescent="0.3">
      <c r="A1394" s="1">
        <v>45900.963194444441</v>
      </c>
      <c r="B1394" t="s">
        <v>1463</v>
      </c>
      <c r="C1394" t="s">
        <v>1464</v>
      </c>
      <c r="D1394" t="s">
        <v>817</v>
      </c>
      <c r="F1394" t="s">
        <v>1860</v>
      </c>
      <c r="G1394" t="s">
        <v>818</v>
      </c>
      <c r="H1394" t="s">
        <v>130</v>
      </c>
      <c r="I1394" t="s">
        <v>415</v>
      </c>
      <c r="J1394">
        <v>3.5</v>
      </c>
      <c r="K1394">
        <v>19</v>
      </c>
      <c r="L1394">
        <v>10</v>
      </c>
      <c r="M1394">
        <v>11</v>
      </c>
      <c r="N1394">
        <v>1920</v>
      </c>
      <c r="O1394">
        <v>1</v>
      </c>
      <c r="P1394">
        <v>0</v>
      </c>
      <c r="Q1394" t="s">
        <v>44</v>
      </c>
      <c r="R1394" t="s">
        <v>44</v>
      </c>
      <c r="S1394" t="s">
        <v>44</v>
      </c>
      <c r="T1394" t="s">
        <v>44</v>
      </c>
      <c r="U1394" t="s">
        <v>44</v>
      </c>
      <c r="V1394">
        <v>1221</v>
      </c>
      <c r="W1394" t="s">
        <v>44</v>
      </c>
      <c r="X1394" t="s">
        <v>44</v>
      </c>
      <c r="Y1394">
        <v>1221</v>
      </c>
      <c r="Z1394" t="s">
        <v>44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 s="2">
        <v>1222</v>
      </c>
      <c r="AQ1394">
        <f t="shared" si="48"/>
        <v>1222</v>
      </c>
      <c r="AR1394" s="5">
        <f>VLOOKUP(F1394,'[2]SCP_24-25'!$A:$D,4,0)</f>
        <v>149.82</v>
      </c>
      <c r="AS1394" s="5">
        <f t="shared" si="49"/>
        <v>183080.03999999998</v>
      </c>
    </row>
    <row r="1395" spans="1:45" x14ac:dyDescent="0.3">
      <c r="A1395" s="1">
        <v>45900.963194444441</v>
      </c>
      <c r="B1395" t="s">
        <v>1463</v>
      </c>
      <c r="C1395" t="s">
        <v>1464</v>
      </c>
      <c r="D1395" t="s">
        <v>819</v>
      </c>
      <c r="F1395" t="s">
        <v>1861</v>
      </c>
      <c r="G1395" t="s">
        <v>820</v>
      </c>
      <c r="H1395" t="s">
        <v>130</v>
      </c>
      <c r="I1395" t="s">
        <v>415</v>
      </c>
      <c r="J1395">
        <v>3.5</v>
      </c>
      <c r="K1395">
        <v>19</v>
      </c>
      <c r="L1395">
        <v>10</v>
      </c>
      <c r="M1395">
        <v>11</v>
      </c>
      <c r="N1395">
        <v>1824</v>
      </c>
      <c r="O1395">
        <v>0</v>
      </c>
      <c r="P1395">
        <v>0</v>
      </c>
      <c r="Q1395" t="s">
        <v>44</v>
      </c>
      <c r="R1395" t="s">
        <v>44</v>
      </c>
      <c r="S1395" t="s">
        <v>44</v>
      </c>
      <c r="T1395" t="s">
        <v>44</v>
      </c>
      <c r="U1395" t="s">
        <v>44</v>
      </c>
      <c r="V1395">
        <v>1124</v>
      </c>
      <c r="W1395" t="s">
        <v>44</v>
      </c>
      <c r="X1395" t="s">
        <v>44</v>
      </c>
      <c r="Y1395">
        <v>1124</v>
      </c>
      <c r="Z1395" t="s">
        <v>44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 s="2">
        <v>1124</v>
      </c>
      <c r="AQ1395">
        <f t="shared" si="48"/>
        <v>1124</v>
      </c>
      <c r="AR1395" s="5">
        <f>VLOOKUP(F1395,'[2]SCP_24-25'!$A:$D,4,0)</f>
        <v>149.82</v>
      </c>
      <c r="AS1395" s="5">
        <f t="shared" si="49"/>
        <v>168397.68</v>
      </c>
    </row>
    <row r="1396" spans="1:45" x14ac:dyDescent="0.3">
      <c r="A1396" s="1">
        <v>45900.963194444441</v>
      </c>
      <c r="B1396" t="s">
        <v>1463</v>
      </c>
      <c r="C1396" t="s">
        <v>1464</v>
      </c>
      <c r="D1396" t="s">
        <v>823</v>
      </c>
      <c r="F1396" t="s">
        <v>1863</v>
      </c>
      <c r="G1396" t="s">
        <v>824</v>
      </c>
      <c r="H1396" t="s">
        <v>130</v>
      </c>
      <c r="I1396" t="s">
        <v>415</v>
      </c>
      <c r="J1396">
        <v>3.5</v>
      </c>
      <c r="K1396">
        <v>19</v>
      </c>
      <c r="L1396">
        <v>10</v>
      </c>
      <c r="M1396">
        <v>11</v>
      </c>
      <c r="N1396">
        <v>1728</v>
      </c>
      <c r="O1396">
        <v>2</v>
      </c>
      <c r="P1396">
        <v>0</v>
      </c>
      <c r="Q1396" t="s">
        <v>44</v>
      </c>
      <c r="R1396" t="s">
        <v>44</v>
      </c>
      <c r="S1396" t="s">
        <v>44</v>
      </c>
      <c r="T1396" t="s">
        <v>44</v>
      </c>
      <c r="U1396" t="s">
        <v>44</v>
      </c>
      <c r="V1396">
        <v>1025</v>
      </c>
      <c r="W1396" t="s">
        <v>44</v>
      </c>
      <c r="X1396" t="s">
        <v>44</v>
      </c>
      <c r="Y1396">
        <v>1025</v>
      </c>
      <c r="Z1396" t="s">
        <v>44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 s="2">
        <v>1027</v>
      </c>
      <c r="AQ1396">
        <f t="shared" si="48"/>
        <v>1027</v>
      </c>
      <c r="AR1396" s="5">
        <f>VLOOKUP(F1396,'[2]SCP_24-25'!$A:$D,4,0)</f>
        <v>149.82</v>
      </c>
      <c r="AS1396" s="5">
        <f t="shared" si="49"/>
        <v>153865.13999999998</v>
      </c>
    </row>
    <row r="1397" spans="1:45" x14ac:dyDescent="0.3">
      <c r="A1397" s="1">
        <v>45900.963194444441</v>
      </c>
      <c r="B1397" t="s">
        <v>1463</v>
      </c>
      <c r="C1397" t="s">
        <v>1464</v>
      </c>
      <c r="D1397" t="s">
        <v>825</v>
      </c>
      <c r="F1397" t="s">
        <v>1864</v>
      </c>
      <c r="G1397" t="s">
        <v>826</v>
      </c>
      <c r="H1397" t="s">
        <v>130</v>
      </c>
      <c r="I1397" t="s">
        <v>415</v>
      </c>
      <c r="J1397">
        <v>3.5</v>
      </c>
      <c r="K1397">
        <v>19</v>
      </c>
      <c r="L1397">
        <v>10</v>
      </c>
      <c r="M1397">
        <v>11</v>
      </c>
      <c r="N1397">
        <v>1920</v>
      </c>
      <c r="O1397">
        <v>0</v>
      </c>
      <c r="P1397">
        <v>0</v>
      </c>
      <c r="Q1397" t="s">
        <v>44</v>
      </c>
      <c r="R1397" t="s">
        <v>44</v>
      </c>
      <c r="S1397" t="s">
        <v>44</v>
      </c>
      <c r="T1397" t="s">
        <v>44</v>
      </c>
      <c r="U1397" t="s">
        <v>44</v>
      </c>
      <c r="V1397">
        <v>1221</v>
      </c>
      <c r="W1397" t="s">
        <v>44</v>
      </c>
      <c r="X1397" t="s">
        <v>44</v>
      </c>
      <c r="Y1397">
        <v>1221</v>
      </c>
      <c r="Z1397" t="s">
        <v>44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 s="2">
        <v>1221</v>
      </c>
      <c r="AQ1397">
        <f t="shared" si="48"/>
        <v>1221</v>
      </c>
      <c r="AR1397" s="5">
        <f>VLOOKUP(F1397,'[2]SCP_24-25'!$A:$D,4,0)</f>
        <v>149.82</v>
      </c>
      <c r="AS1397" s="5">
        <f t="shared" si="49"/>
        <v>182930.22</v>
      </c>
    </row>
    <row r="1398" spans="1:45" x14ac:dyDescent="0.3">
      <c r="A1398" s="1">
        <v>45900.963194444441</v>
      </c>
      <c r="B1398" t="s">
        <v>1463</v>
      </c>
      <c r="C1398" t="s">
        <v>1464</v>
      </c>
      <c r="D1398" t="s">
        <v>827</v>
      </c>
      <c r="F1398" t="s">
        <v>1865</v>
      </c>
      <c r="G1398" t="s">
        <v>828</v>
      </c>
      <c r="H1398" t="s">
        <v>130</v>
      </c>
      <c r="I1398" t="s">
        <v>415</v>
      </c>
      <c r="J1398">
        <v>3.5</v>
      </c>
      <c r="K1398">
        <v>19</v>
      </c>
      <c r="L1398">
        <v>10</v>
      </c>
      <c r="M1398">
        <v>11</v>
      </c>
      <c r="N1398">
        <v>1920</v>
      </c>
      <c r="O1398">
        <v>4</v>
      </c>
      <c r="P1398">
        <v>0</v>
      </c>
      <c r="Q1398" t="s">
        <v>44</v>
      </c>
      <c r="R1398" t="s">
        <v>44</v>
      </c>
      <c r="S1398" t="s">
        <v>44</v>
      </c>
      <c r="T1398" t="s">
        <v>44</v>
      </c>
      <c r="U1398" t="s">
        <v>44</v>
      </c>
      <c r="V1398">
        <v>1729</v>
      </c>
      <c r="W1398" t="s">
        <v>44</v>
      </c>
      <c r="X1398" t="s">
        <v>44</v>
      </c>
      <c r="Y1398">
        <v>1729</v>
      </c>
      <c r="Z1398" t="s">
        <v>44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 s="2">
        <v>1733</v>
      </c>
      <c r="AQ1398">
        <f t="shared" si="48"/>
        <v>1733</v>
      </c>
      <c r="AR1398" s="5">
        <f>VLOOKUP(F1398,'[2]SCP_24-25'!$A:$D,4,0)</f>
        <v>149.82</v>
      </c>
      <c r="AS1398" s="5">
        <f t="shared" si="49"/>
        <v>259638.06</v>
      </c>
    </row>
    <row r="1399" spans="1:45" x14ac:dyDescent="0.3">
      <c r="A1399" s="1">
        <v>45900.963194444441</v>
      </c>
      <c r="B1399" t="s">
        <v>1463</v>
      </c>
      <c r="C1399" t="s">
        <v>1464</v>
      </c>
      <c r="D1399" t="s">
        <v>829</v>
      </c>
      <c r="F1399" t="s">
        <v>1866</v>
      </c>
      <c r="G1399" t="s">
        <v>830</v>
      </c>
      <c r="H1399" t="s">
        <v>130</v>
      </c>
      <c r="I1399" t="s">
        <v>415</v>
      </c>
      <c r="J1399">
        <v>3.5</v>
      </c>
      <c r="K1399">
        <v>19</v>
      </c>
      <c r="L1399">
        <v>10</v>
      </c>
      <c r="M1399">
        <v>11</v>
      </c>
      <c r="N1399">
        <v>1824</v>
      </c>
      <c r="O1399">
        <v>0</v>
      </c>
      <c r="P1399">
        <v>0</v>
      </c>
      <c r="Q1399" t="s">
        <v>44</v>
      </c>
      <c r="R1399" t="s">
        <v>44</v>
      </c>
      <c r="S1399" t="s">
        <v>44</v>
      </c>
      <c r="T1399" t="s">
        <v>44</v>
      </c>
      <c r="U1399" t="s">
        <v>44</v>
      </c>
      <c r="V1399">
        <v>1126</v>
      </c>
      <c r="W1399" t="s">
        <v>44</v>
      </c>
      <c r="X1399" t="s">
        <v>44</v>
      </c>
      <c r="Y1399">
        <v>1126</v>
      </c>
      <c r="Z1399" t="s">
        <v>44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 s="2">
        <v>1126</v>
      </c>
      <c r="AQ1399">
        <f t="shared" si="48"/>
        <v>1126</v>
      </c>
      <c r="AR1399" s="5">
        <f>VLOOKUP(F1399,'[2]SCP_24-25'!$A:$D,4,0)</f>
        <v>149.82</v>
      </c>
      <c r="AS1399" s="5">
        <f t="shared" si="49"/>
        <v>168697.31999999998</v>
      </c>
    </row>
    <row r="1400" spans="1:45" x14ac:dyDescent="0.3">
      <c r="A1400" s="1">
        <v>45900.963194444441</v>
      </c>
      <c r="B1400" t="s">
        <v>1463</v>
      </c>
      <c r="C1400" t="s">
        <v>1464</v>
      </c>
      <c r="D1400" t="s">
        <v>831</v>
      </c>
      <c r="F1400" t="s">
        <v>1867</v>
      </c>
      <c r="G1400" t="s">
        <v>832</v>
      </c>
      <c r="H1400" t="s">
        <v>130</v>
      </c>
      <c r="I1400" t="s">
        <v>415</v>
      </c>
      <c r="J1400">
        <v>3.5</v>
      </c>
      <c r="K1400">
        <v>19</v>
      </c>
      <c r="L1400">
        <v>10</v>
      </c>
      <c r="M1400">
        <v>11</v>
      </c>
      <c r="N1400">
        <v>1128</v>
      </c>
      <c r="O1400">
        <v>12</v>
      </c>
      <c r="P1400">
        <v>0</v>
      </c>
      <c r="Q1400" t="s">
        <v>44</v>
      </c>
      <c r="R1400" t="s">
        <v>44</v>
      </c>
      <c r="S1400" t="s">
        <v>44</v>
      </c>
      <c r="T1400" t="s">
        <v>44</v>
      </c>
      <c r="U1400" t="s">
        <v>44</v>
      </c>
      <c r="V1400">
        <v>1030</v>
      </c>
      <c r="W1400" t="s">
        <v>44</v>
      </c>
      <c r="X1400" t="s">
        <v>44</v>
      </c>
      <c r="Y1400">
        <v>1030</v>
      </c>
      <c r="Z1400" t="s">
        <v>44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 s="2">
        <v>1042</v>
      </c>
      <c r="AQ1400">
        <f t="shared" si="48"/>
        <v>1042</v>
      </c>
      <c r="AR1400" s="5">
        <f>VLOOKUP(F1400,'[2]SCP_24-25'!$A:$D,4,0)</f>
        <v>149.82</v>
      </c>
      <c r="AS1400" s="5">
        <f t="shared" si="49"/>
        <v>156112.44</v>
      </c>
    </row>
    <row r="1401" spans="1:45" x14ac:dyDescent="0.3">
      <c r="A1401" s="1">
        <v>45900.963194444441</v>
      </c>
      <c r="B1401" t="s">
        <v>1463</v>
      </c>
      <c r="C1401" t="s">
        <v>1464</v>
      </c>
      <c r="D1401" t="s">
        <v>833</v>
      </c>
      <c r="F1401" t="s">
        <v>1868</v>
      </c>
      <c r="G1401" t="s">
        <v>834</v>
      </c>
      <c r="H1401" t="s">
        <v>130</v>
      </c>
      <c r="I1401" t="s">
        <v>415</v>
      </c>
      <c r="J1401">
        <v>3.5</v>
      </c>
      <c r="K1401">
        <v>19</v>
      </c>
      <c r="L1401">
        <v>10</v>
      </c>
      <c r="M1401">
        <v>11</v>
      </c>
      <c r="N1401">
        <v>1920</v>
      </c>
      <c r="O1401">
        <v>4</v>
      </c>
      <c r="P1401">
        <v>0</v>
      </c>
      <c r="Q1401" t="s">
        <v>44</v>
      </c>
      <c r="R1401" t="s">
        <v>44</v>
      </c>
      <c r="S1401" t="s">
        <v>44</v>
      </c>
      <c r="T1401" t="s">
        <v>44</v>
      </c>
      <c r="U1401" t="s">
        <v>44</v>
      </c>
      <c r="V1401">
        <v>1828</v>
      </c>
      <c r="W1401" t="s">
        <v>44</v>
      </c>
      <c r="X1401" t="s">
        <v>44</v>
      </c>
      <c r="Y1401">
        <v>1828</v>
      </c>
      <c r="Z1401" t="s">
        <v>44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 s="2">
        <v>1832</v>
      </c>
      <c r="AQ1401">
        <f t="shared" si="48"/>
        <v>1832</v>
      </c>
      <c r="AR1401" s="5">
        <f>VLOOKUP(F1401,'[2]SCP_24-25'!$A:$D,4,0)</f>
        <v>149.82</v>
      </c>
      <c r="AS1401" s="5">
        <f t="shared" si="49"/>
        <v>274470.24</v>
      </c>
    </row>
    <row r="1402" spans="1:45" x14ac:dyDescent="0.3">
      <c r="A1402" s="1">
        <v>45900.963194444441</v>
      </c>
      <c r="B1402" t="s">
        <v>1463</v>
      </c>
      <c r="C1402" t="s">
        <v>1464</v>
      </c>
      <c r="D1402" t="s">
        <v>835</v>
      </c>
      <c r="F1402" t="s">
        <v>1869</v>
      </c>
      <c r="G1402" t="s">
        <v>836</v>
      </c>
      <c r="H1402" t="s">
        <v>130</v>
      </c>
      <c r="I1402" t="s">
        <v>415</v>
      </c>
      <c r="J1402">
        <v>3.5</v>
      </c>
      <c r="K1402">
        <v>19</v>
      </c>
      <c r="L1402">
        <v>10</v>
      </c>
      <c r="M1402">
        <v>11</v>
      </c>
      <c r="N1402">
        <v>1128</v>
      </c>
      <c r="O1402">
        <v>11</v>
      </c>
      <c r="P1402">
        <v>0</v>
      </c>
      <c r="Q1402" t="s">
        <v>44</v>
      </c>
      <c r="R1402" t="s">
        <v>44</v>
      </c>
      <c r="S1402" t="s">
        <v>44</v>
      </c>
      <c r="T1402" t="s">
        <v>44</v>
      </c>
      <c r="U1402" t="s">
        <v>44</v>
      </c>
      <c r="V1402">
        <v>1030</v>
      </c>
      <c r="W1402" t="s">
        <v>44</v>
      </c>
      <c r="X1402" t="s">
        <v>44</v>
      </c>
      <c r="Y1402">
        <v>1030</v>
      </c>
      <c r="Z1402" t="s">
        <v>44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 s="2">
        <v>1041</v>
      </c>
      <c r="AQ1402">
        <f t="shared" ref="AQ1402:AQ1465" si="50">O1402+P1402+V1402+AA1402</f>
        <v>1041</v>
      </c>
      <c r="AR1402" s="5">
        <f>VLOOKUP(F1402,'[2]SCP_24-25'!$A:$D,4,0)</f>
        <v>149.82</v>
      </c>
      <c r="AS1402" s="5">
        <f t="shared" si="49"/>
        <v>155962.62</v>
      </c>
    </row>
    <row r="1403" spans="1:45" x14ac:dyDescent="0.3">
      <c r="A1403" s="1">
        <v>45900.963194444441</v>
      </c>
      <c r="B1403" t="s">
        <v>1463</v>
      </c>
      <c r="C1403" t="s">
        <v>1464</v>
      </c>
      <c r="D1403" t="s">
        <v>837</v>
      </c>
      <c r="F1403" t="s">
        <v>1870</v>
      </c>
      <c r="G1403" t="s">
        <v>838</v>
      </c>
      <c r="H1403" t="s">
        <v>130</v>
      </c>
      <c r="I1403" t="s">
        <v>415</v>
      </c>
      <c r="J1403">
        <v>3.5</v>
      </c>
      <c r="K1403">
        <v>19</v>
      </c>
      <c r="L1403">
        <v>10</v>
      </c>
      <c r="M1403">
        <v>11</v>
      </c>
      <c r="N1403">
        <v>1824</v>
      </c>
      <c r="O1403">
        <v>0</v>
      </c>
      <c r="P1403">
        <v>0</v>
      </c>
      <c r="Q1403" t="s">
        <v>44</v>
      </c>
      <c r="R1403" t="s">
        <v>44</v>
      </c>
      <c r="S1403" t="s">
        <v>44</v>
      </c>
      <c r="T1403" t="s">
        <v>44</v>
      </c>
      <c r="U1403" t="s">
        <v>44</v>
      </c>
      <c r="V1403">
        <v>1101</v>
      </c>
      <c r="W1403" t="s">
        <v>44</v>
      </c>
      <c r="X1403" t="s">
        <v>44</v>
      </c>
      <c r="Y1403">
        <v>1101</v>
      </c>
      <c r="Z1403" t="s">
        <v>44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 s="2">
        <v>1101</v>
      </c>
      <c r="AQ1403">
        <f t="shared" si="50"/>
        <v>1101</v>
      </c>
      <c r="AR1403" s="5">
        <f>VLOOKUP(F1403,'[2]SCP_24-25'!$A:$D,4,0)</f>
        <v>149.82</v>
      </c>
      <c r="AS1403" s="5">
        <f t="shared" si="49"/>
        <v>164951.82</v>
      </c>
    </row>
    <row r="1404" spans="1:45" x14ac:dyDescent="0.3">
      <c r="A1404" s="1">
        <v>45900.963194444441</v>
      </c>
      <c r="B1404" t="s">
        <v>1463</v>
      </c>
      <c r="C1404" t="s">
        <v>1464</v>
      </c>
      <c r="D1404" t="s">
        <v>843</v>
      </c>
      <c r="F1404" t="s">
        <v>1873</v>
      </c>
      <c r="G1404" t="s">
        <v>844</v>
      </c>
      <c r="H1404" t="s">
        <v>130</v>
      </c>
      <c r="I1404" t="s">
        <v>415</v>
      </c>
      <c r="J1404">
        <v>10</v>
      </c>
      <c r="K1404">
        <v>19</v>
      </c>
      <c r="L1404">
        <v>10</v>
      </c>
      <c r="M1404">
        <v>11</v>
      </c>
      <c r="N1404">
        <v>1944</v>
      </c>
      <c r="O1404">
        <v>8</v>
      </c>
      <c r="P1404">
        <v>0</v>
      </c>
      <c r="Q1404" t="s">
        <v>44</v>
      </c>
      <c r="R1404" t="s">
        <v>44</v>
      </c>
      <c r="S1404" t="s">
        <v>44</v>
      </c>
      <c r="T1404" t="s">
        <v>44</v>
      </c>
      <c r="U1404" t="s">
        <v>44</v>
      </c>
      <c r="V1404">
        <v>1298</v>
      </c>
      <c r="W1404" t="s">
        <v>44</v>
      </c>
      <c r="X1404" t="s">
        <v>44</v>
      </c>
      <c r="Y1404">
        <v>1298</v>
      </c>
      <c r="Z1404" t="s">
        <v>44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 s="2">
        <v>1306</v>
      </c>
      <c r="AQ1404">
        <f t="shared" si="50"/>
        <v>1306</v>
      </c>
      <c r="AR1404" s="5">
        <f>VLOOKUP(F1404,'[2]SCP_24-25'!$A:$D,4,0)</f>
        <v>147.47</v>
      </c>
      <c r="AS1404" s="5">
        <f t="shared" si="49"/>
        <v>192595.82</v>
      </c>
    </row>
    <row r="1405" spans="1:45" x14ac:dyDescent="0.3">
      <c r="A1405" s="1">
        <v>45900.963194444441</v>
      </c>
      <c r="B1405" t="s">
        <v>1463</v>
      </c>
      <c r="C1405" t="s">
        <v>1464</v>
      </c>
      <c r="D1405" t="s">
        <v>845</v>
      </c>
      <c r="F1405" t="s">
        <v>1874</v>
      </c>
      <c r="G1405" t="s">
        <v>846</v>
      </c>
      <c r="H1405" t="s">
        <v>130</v>
      </c>
      <c r="I1405" t="s">
        <v>415</v>
      </c>
      <c r="J1405">
        <v>10</v>
      </c>
      <c r="K1405">
        <v>19</v>
      </c>
      <c r="L1405">
        <v>10</v>
      </c>
      <c r="M1405">
        <v>11</v>
      </c>
      <c r="N1405">
        <v>1944</v>
      </c>
      <c r="O1405">
        <v>8</v>
      </c>
      <c r="P1405">
        <v>0</v>
      </c>
      <c r="Q1405" t="s">
        <v>44</v>
      </c>
      <c r="R1405" t="s">
        <v>44</v>
      </c>
      <c r="S1405" t="s">
        <v>44</v>
      </c>
      <c r="T1405" t="s">
        <v>44</v>
      </c>
      <c r="U1405" t="s">
        <v>44</v>
      </c>
      <c r="V1405">
        <v>1238</v>
      </c>
      <c r="W1405" t="s">
        <v>44</v>
      </c>
      <c r="X1405" t="s">
        <v>44</v>
      </c>
      <c r="Y1405">
        <v>1238</v>
      </c>
      <c r="Z1405" t="s">
        <v>44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 s="2">
        <v>1246</v>
      </c>
      <c r="AQ1405">
        <f t="shared" si="50"/>
        <v>1246</v>
      </c>
      <c r="AR1405" s="5">
        <f>VLOOKUP(F1405,'[2]SCP_24-25'!$A:$D,4,0)</f>
        <v>147.47</v>
      </c>
      <c r="AS1405" s="5">
        <f t="shared" si="49"/>
        <v>183747.62</v>
      </c>
    </row>
    <row r="1406" spans="1:45" x14ac:dyDescent="0.3">
      <c r="A1406" s="1">
        <v>45900.963194444441</v>
      </c>
      <c r="B1406" t="s">
        <v>1463</v>
      </c>
      <c r="C1406" t="s">
        <v>1464</v>
      </c>
      <c r="D1406" t="s">
        <v>847</v>
      </c>
      <c r="F1406" t="s">
        <v>1875</v>
      </c>
      <c r="G1406" t="s">
        <v>848</v>
      </c>
      <c r="H1406" t="s">
        <v>130</v>
      </c>
      <c r="I1406" t="s">
        <v>415</v>
      </c>
      <c r="J1406">
        <v>10</v>
      </c>
      <c r="K1406">
        <v>19</v>
      </c>
      <c r="L1406">
        <v>10</v>
      </c>
      <c r="M1406">
        <v>11</v>
      </c>
      <c r="N1406">
        <v>1944</v>
      </c>
      <c r="O1406">
        <v>7</v>
      </c>
      <c r="P1406">
        <v>0</v>
      </c>
      <c r="Q1406" t="s">
        <v>44</v>
      </c>
      <c r="R1406" t="s">
        <v>44</v>
      </c>
      <c r="S1406" t="s">
        <v>44</v>
      </c>
      <c r="T1406" t="s">
        <v>44</v>
      </c>
      <c r="U1406" t="s">
        <v>44</v>
      </c>
      <c r="V1406">
        <v>1308</v>
      </c>
      <c r="W1406" t="s">
        <v>44</v>
      </c>
      <c r="X1406" t="s">
        <v>44</v>
      </c>
      <c r="Y1406">
        <v>1308</v>
      </c>
      <c r="Z1406" t="s">
        <v>44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 s="2">
        <v>1315</v>
      </c>
      <c r="AQ1406">
        <f t="shared" si="50"/>
        <v>1315</v>
      </c>
      <c r="AR1406" s="5">
        <f>VLOOKUP(F1406,'[2]SCP_24-25'!$A:$D,4,0)</f>
        <v>147.47</v>
      </c>
      <c r="AS1406" s="5">
        <f t="shared" si="49"/>
        <v>193923.05</v>
      </c>
    </row>
    <row r="1407" spans="1:45" x14ac:dyDescent="0.3">
      <c r="A1407" s="1">
        <v>45900.963194444441</v>
      </c>
      <c r="B1407" t="s">
        <v>1463</v>
      </c>
      <c r="C1407" t="s">
        <v>1464</v>
      </c>
      <c r="D1407" t="s">
        <v>849</v>
      </c>
      <c r="F1407" t="s">
        <v>1876</v>
      </c>
      <c r="G1407" t="s">
        <v>850</v>
      </c>
      <c r="H1407" t="s">
        <v>130</v>
      </c>
      <c r="I1407" t="s">
        <v>415</v>
      </c>
      <c r="J1407">
        <v>10</v>
      </c>
      <c r="K1407">
        <v>19</v>
      </c>
      <c r="L1407">
        <v>10</v>
      </c>
      <c r="M1407">
        <v>11</v>
      </c>
      <c r="N1407">
        <v>1944</v>
      </c>
      <c r="O1407">
        <v>3</v>
      </c>
      <c r="P1407">
        <v>0</v>
      </c>
      <c r="Q1407" t="s">
        <v>44</v>
      </c>
      <c r="R1407" t="s">
        <v>44</v>
      </c>
      <c r="S1407" t="s">
        <v>44</v>
      </c>
      <c r="T1407" t="s">
        <v>44</v>
      </c>
      <c r="U1407" t="s">
        <v>44</v>
      </c>
      <c r="V1407">
        <v>1359</v>
      </c>
      <c r="W1407" t="s">
        <v>44</v>
      </c>
      <c r="X1407" t="s">
        <v>44</v>
      </c>
      <c r="Y1407">
        <v>1359</v>
      </c>
      <c r="Z1407" t="s">
        <v>44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 s="2">
        <v>1362</v>
      </c>
      <c r="AQ1407">
        <f t="shared" si="50"/>
        <v>1362</v>
      </c>
      <c r="AR1407" s="5">
        <f>VLOOKUP(F1407,'[2]SCP_24-25'!$A:$D,4,0)</f>
        <v>147.47</v>
      </c>
      <c r="AS1407" s="5">
        <f t="shared" si="49"/>
        <v>200854.13999999998</v>
      </c>
    </row>
    <row r="1408" spans="1:45" x14ac:dyDescent="0.3">
      <c r="A1408" s="1">
        <v>45900.963194444441</v>
      </c>
      <c r="B1408" t="s">
        <v>1463</v>
      </c>
      <c r="C1408" t="s">
        <v>1464</v>
      </c>
      <c r="D1408" t="s">
        <v>851</v>
      </c>
      <c r="F1408" t="s">
        <v>1877</v>
      </c>
      <c r="G1408" t="s">
        <v>852</v>
      </c>
      <c r="H1408" t="s">
        <v>130</v>
      </c>
      <c r="I1408" t="s">
        <v>415</v>
      </c>
      <c r="J1408">
        <v>10</v>
      </c>
      <c r="K1408">
        <v>19</v>
      </c>
      <c r="L1408">
        <v>10</v>
      </c>
      <c r="M1408">
        <v>11</v>
      </c>
      <c r="N1408">
        <v>1944</v>
      </c>
      <c r="O1408">
        <v>3</v>
      </c>
      <c r="P1408">
        <v>0</v>
      </c>
      <c r="Q1408" t="s">
        <v>44</v>
      </c>
      <c r="R1408" t="s">
        <v>44</v>
      </c>
      <c r="S1408" t="s">
        <v>44</v>
      </c>
      <c r="T1408" t="s">
        <v>44</v>
      </c>
      <c r="U1408" t="s">
        <v>44</v>
      </c>
      <c r="V1408">
        <v>1333</v>
      </c>
      <c r="W1408" t="s">
        <v>44</v>
      </c>
      <c r="X1408" t="s">
        <v>44</v>
      </c>
      <c r="Y1408">
        <v>1333</v>
      </c>
      <c r="Z1408" t="s">
        <v>44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 s="2">
        <v>1336</v>
      </c>
      <c r="AQ1408">
        <f t="shared" si="50"/>
        <v>1336</v>
      </c>
      <c r="AR1408" s="5">
        <f>VLOOKUP(F1408,'[2]SCP_24-25'!$A:$D,4,0)</f>
        <v>147.47</v>
      </c>
      <c r="AS1408" s="5">
        <f t="shared" si="49"/>
        <v>197019.92</v>
      </c>
    </row>
    <row r="1409" spans="1:45" x14ac:dyDescent="0.3">
      <c r="A1409" s="1">
        <v>45900.963194444441</v>
      </c>
      <c r="B1409" t="s">
        <v>1463</v>
      </c>
      <c r="C1409" t="s">
        <v>1464</v>
      </c>
      <c r="D1409" t="s">
        <v>853</v>
      </c>
      <c r="F1409" t="s">
        <v>1878</v>
      </c>
      <c r="G1409" t="s">
        <v>854</v>
      </c>
      <c r="H1409" t="s">
        <v>130</v>
      </c>
      <c r="I1409" t="s">
        <v>415</v>
      </c>
      <c r="J1409">
        <v>10</v>
      </c>
      <c r="K1409">
        <v>19</v>
      </c>
      <c r="L1409">
        <v>10</v>
      </c>
      <c r="M1409">
        <v>11</v>
      </c>
      <c r="N1409">
        <v>1944</v>
      </c>
      <c r="O1409">
        <v>0</v>
      </c>
      <c r="P1409">
        <v>0</v>
      </c>
      <c r="Q1409" t="s">
        <v>44</v>
      </c>
      <c r="R1409" t="s">
        <v>44</v>
      </c>
      <c r="S1409" t="s">
        <v>44</v>
      </c>
      <c r="T1409" t="s">
        <v>44</v>
      </c>
      <c r="U1409" t="s">
        <v>44</v>
      </c>
      <c r="V1409">
        <v>1352</v>
      </c>
      <c r="W1409" t="s">
        <v>44</v>
      </c>
      <c r="X1409" t="s">
        <v>44</v>
      </c>
      <c r="Y1409">
        <v>1352</v>
      </c>
      <c r="Z1409" t="s">
        <v>44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 s="2">
        <v>1352</v>
      </c>
      <c r="AQ1409">
        <f t="shared" si="50"/>
        <v>1352</v>
      </c>
      <c r="AR1409" s="5">
        <f>VLOOKUP(F1409,'[2]SCP_24-25'!$A:$D,4,0)</f>
        <v>147.47</v>
      </c>
      <c r="AS1409" s="5">
        <f t="shared" si="49"/>
        <v>199379.44</v>
      </c>
    </row>
    <row r="1410" spans="1:45" x14ac:dyDescent="0.3">
      <c r="A1410" s="1">
        <v>45900.963194444441</v>
      </c>
      <c r="B1410" t="s">
        <v>1463</v>
      </c>
      <c r="C1410" t="s">
        <v>1464</v>
      </c>
      <c r="D1410" t="s">
        <v>855</v>
      </c>
      <c r="F1410" t="s">
        <v>1879</v>
      </c>
      <c r="G1410" t="s">
        <v>856</v>
      </c>
      <c r="H1410" t="s">
        <v>130</v>
      </c>
      <c r="I1410" t="s">
        <v>415</v>
      </c>
      <c r="J1410">
        <v>10</v>
      </c>
      <c r="K1410">
        <v>19</v>
      </c>
      <c r="L1410">
        <v>10</v>
      </c>
      <c r="M1410">
        <v>11</v>
      </c>
      <c r="N1410">
        <v>1944</v>
      </c>
      <c r="O1410">
        <v>1</v>
      </c>
      <c r="P1410">
        <v>0</v>
      </c>
      <c r="Q1410" t="s">
        <v>44</v>
      </c>
      <c r="R1410" t="s">
        <v>44</v>
      </c>
      <c r="S1410" t="s">
        <v>44</v>
      </c>
      <c r="T1410" t="s">
        <v>44</v>
      </c>
      <c r="U1410" t="s">
        <v>44</v>
      </c>
      <c r="V1410">
        <v>1366</v>
      </c>
      <c r="W1410" t="s">
        <v>44</v>
      </c>
      <c r="X1410" t="s">
        <v>44</v>
      </c>
      <c r="Y1410">
        <v>1366</v>
      </c>
      <c r="Z1410" t="s">
        <v>44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 s="2">
        <v>1367</v>
      </c>
      <c r="AQ1410">
        <f t="shared" si="50"/>
        <v>1367</v>
      </c>
      <c r="AR1410" s="5">
        <f>VLOOKUP(F1410,'[2]SCP_24-25'!$A:$D,4,0)</f>
        <v>147.47</v>
      </c>
      <c r="AS1410" s="5">
        <f t="shared" si="49"/>
        <v>201591.49</v>
      </c>
    </row>
    <row r="1411" spans="1:45" x14ac:dyDescent="0.3">
      <c r="A1411" s="1">
        <v>45900.963194444441</v>
      </c>
      <c r="B1411" t="s">
        <v>1463</v>
      </c>
      <c r="C1411" t="s">
        <v>1464</v>
      </c>
      <c r="D1411" t="s">
        <v>775</v>
      </c>
      <c r="F1411" t="s">
        <v>1840</v>
      </c>
      <c r="G1411" t="s">
        <v>776</v>
      </c>
      <c r="H1411" t="s">
        <v>120</v>
      </c>
      <c r="I1411" t="s">
        <v>43</v>
      </c>
      <c r="J1411">
        <v>100</v>
      </c>
      <c r="K1411">
        <v>19</v>
      </c>
      <c r="L1411">
        <v>11</v>
      </c>
      <c r="M1411">
        <v>10</v>
      </c>
      <c r="N1411">
        <v>2000</v>
      </c>
      <c r="O1411">
        <v>0</v>
      </c>
      <c r="P1411">
        <v>0</v>
      </c>
      <c r="Q1411" t="s">
        <v>44</v>
      </c>
      <c r="R1411" t="s">
        <v>44</v>
      </c>
      <c r="S1411" t="s">
        <v>44</v>
      </c>
      <c r="T1411" t="s">
        <v>44</v>
      </c>
      <c r="U1411" t="s">
        <v>44</v>
      </c>
      <c r="V1411">
        <v>1553</v>
      </c>
      <c r="W1411" t="s">
        <v>44</v>
      </c>
      <c r="X1411" t="s">
        <v>44</v>
      </c>
      <c r="Y1411">
        <v>1553</v>
      </c>
      <c r="Z1411" t="s">
        <v>44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 s="2">
        <v>1553</v>
      </c>
      <c r="AQ1411">
        <f t="shared" si="50"/>
        <v>1553</v>
      </c>
      <c r="AR1411" s="5">
        <f>VLOOKUP(F1411,'[2]SCP_24-25'!$A:$D,4,0)</f>
        <v>53</v>
      </c>
      <c r="AS1411" s="5">
        <f t="shared" ref="AS1411:AS1474" si="51">AQ1411*AR1411</f>
        <v>82309</v>
      </c>
    </row>
    <row r="1412" spans="1:45" x14ac:dyDescent="0.3">
      <c r="A1412" s="1">
        <v>45900.963194444441</v>
      </c>
      <c r="B1412" t="s">
        <v>1463</v>
      </c>
      <c r="C1412" t="s">
        <v>1464</v>
      </c>
      <c r="D1412" t="s">
        <v>863</v>
      </c>
      <c r="F1412" t="s">
        <v>1883</v>
      </c>
      <c r="G1412" t="s">
        <v>864</v>
      </c>
      <c r="H1412" t="s">
        <v>130</v>
      </c>
      <c r="I1412" t="s">
        <v>415</v>
      </c>
      <c r="J1412">
        <v>5.5</v>
      </c>
      <c r="K1412">
        <v>19</v>
      </c>
      <c r="L1412">
        <v>10</v>
      </c>
      <c r="M1412">
        <v>11</v>
      </c>
      <c r="N1412">
        <v>1200</v>
      </c>
      <c r="O1412">
        <v>8</v>
      </c>
      <c r="P1412">
        <v>0</v>
      </c>
      <c r="Q1412" t="s">
        <v>44</v>
      </c>
      <c r="R1412" t="s">
        <v>44</v>
      </c>
      <c r="S1412" t="s">
        <v>44</v>
      </c>
      <c r="T1412" t="s">
        <v>44</v>
      </c>
      <c r="U1412" t="s">
        <v>44</v>
      </c>
      <c r="V1412">
        <v>1141</v>
      </c>
      <c r="W1412" t="s">
        <v>44</v>
      </c>
      <c r="X1412" t="s">
        <v>44</v>
      </c>
      <c r="Y1412">
        <v>1141</v>
      </c>
      <c r="Z1412" t="s">
        <v>44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 s="2">
        <v>1149</v>
      </c>
      <c r="AQ1412">
        <f t="shared" si="50"/>
        <v>1149</v>
      </c>
      <c r="AR1412" s="5">
        <f>VLOOKUP(F1412,'[2]SCP_24-25'!$A:$D,4,0)</f>
        <v>107.63</v>
      </c>
      <c r="AS1412" s="5">
        <f t="shared" si="51"/>
        <v>123666.87</v>
      </c>
    </row>
    <row r="1413" spans="1:45" x14ac:dyDescent="0.3">
      <c r="A1413" s="1">
        <v>45900.963194444441</v>
      </c>
      <c r="B1413" t="s">
        <v>1463</v>
      </c>
      <c r="C1413" t="s">
        <v>1464</v>
      </c>
      <c r="D1413" t="s">
        <v>865</v>
      </c>
      <c r="F1413" t="s">
        <v>1884</v>
      </c>
      <c r="G1413" t="s">
        <v>866</v>
      </c>
      <c r="H1413" t="s">
        <v>130</v>
      </c>
      <c r="I1413" t="s">
        <v>415</v>
      </c>
      <c r="J1413">
        <v>5.5</v>
      </c>
      <c r="K1413">
        <v>19</v>
      </c>
      <c r="L1413">
        <v>10</v>
      </c>
      <c r="M1413">
        <v>11</v>
      </c>
      <c r="N1413">
        <v>1248</v>
      </c>
      <c r="O1413">
        <v>5</v>
      </c>
      <c r="P1413">
        <v>0</v>
      </c>
      <c r="Q1413" t="s">
        <v>44</v>
      </c>
      <c r="R1413" t="s">
        <v>44</v>
      </c>
      <c r="S1413" t="s">
        <v>44</v>
      </c>
      <c r="T1413" t="s">
        <v>44</v>
      </c>
      <c r="U1413" t="s">
        <v>44</v>
      </c>
      <c r="V1413">
        <v>1197</v>
      </c>
      <c r="W1413" t="s">
        <v>44</v>
      </c>
      <c r="X1413" t="s">
        <v>44</v>
      </c>
      <c r="Y1413">
        <v>1197</v>
      </c>
      <c r="Z1413" t="s">
        <v>44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 s="2">
        <v>1202</v>
      </c>
      <c r="AQ1413">
        <f t="shared" si="50"/>
        <v>1202</v>
      </c>
      <c r="AR1413" s="5">
        <f>VLOOKUP(F1413,'[2]SCP_24-25'!$A:$D,4,0)</f>
        <v>107.63</v>
      </c>
      <c r="AS1413" s="5">
        <f t="shared" si="51"/>
        <v>129371.26</v>
      </c>
    </row>
    <row r="1414" spans="1:45" x14ac:dyDescent="0.3">
      <c r="A1414" s="1">
        <v>45900.963194444441</v>
      </c>
      <c r="B1414" t="s">
        <v>1463</v>
      </c>
      <c r="C1414" t="s">
        <v>1464</v>
      </c>
      <c r="D1414" t="s">
        <v>867</v>
      </c>
      <c r="F1414" t="s">
        <v>1885</v>
      </c>
      <c r="G1414" t="s">
        <v>868</v>
      </c>
      <c r="H1414" t="s">
        <v>130</v>
      </c>
      <c r="I1414" t="s">
        <v>415</v>
      </c>
      <c r="J1414">
        <v>5.5</v>
      </c>
      <c r="K1414">
        <v>19</v>
      </c>
      <c r="L1414">
        <v>10</v>
      </c>
      <c r="M1414">
        <v>11</v>
      </c>
      <c r="N1414">
        <v>1200</v>
      </c>
      <c r="O1414">
        <v>1</v>
      </c>
      <c r="P1414">
        <v>0</v>
      </c>
      <c r="Q1414" t="s">
        <v>44</v>
      </c>
      <c r="R1414" t="s">
        <v>44</v>
      </c>
      <c r="S1414" t="s">
        <v>44</v>
      </c>
      <c r="T1414" t="s">
        <v>44</v>
      </c>
      <c r="U1414" t="s">
        <v>44</v>
      </c>
      <c r="V1414">
        <v>1165</v>
      </c>
      <c r="W1414" t="s">
        <v>44</v>
      </c>
      <c r="X1414" t="s">
        <v>44</v>
      </c>
      <c r="Y1414">
        <v>1165</v>
      </c>
      <c r="Z1414" t="s">
        <v>44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 s="2">
        <v>1166</v>
      </c>
      <c r="AQ1414">
        <f t="shared" si="50"/>
        <v>1166</v>
      </c>
      <c r="AR1414" s="5">
        <f>VLOOKUP(F1414,'[2]SCP_24-25'!$A:$D,4,0)</f>
        <v>107.63</v>
      </c>
      <c r="AS1414" s="5">
        <f t="shared" si="51"/>
        <v>125496.58</v>
      </c>
    </row>
    <row r="1415" spans="1:45" x14ac:dyDescent="0.3">
      <c r="A1415" s="1">
        <v>45900.963194444441</v>
      </c>
      <c r="B1415" t="s">
        <v>1463</v>
      </c>
      <c r="C1415" t="s">
        <v>1464</v>
      </c>
      <c r="D1415" t="s">
        <v>869</v>
      </c>
      <c r="F1415" t="s">
        <v>1886</v>
      </c>
      <c r="G1415" t="s">
        <v>870</v>
      </c>
      <c r="H1415" t="s">
        <v>130</v>
      </c>
      <c r="I1415" t="s">
        <v>415</v>
      </c>
      <c r="J1415">
        <v>5.5</v>
      </c>
      <c r="K1415">
        <v>19</v>
      </c>
      <c r="L1415">
        <v>10</v>
      </c>
      <c r="M1415">
        <v>11</v>
      </c>
      <c r="N1415">
        <v>1248</v>
      </c>
      <c r="O1415">
        <v>2</v>
      </c>
      <c r="P1415">
        <v>0</v>
      </c>
      <c r="Q1415" t="s">
        <v>44</v>
      </c>
      <c r="R1415" t="s">
        <v>44</v>
      </c>
      <c r="S1415" t="s">
        <v>44</v>
      </c>
      <c r="T1415" t="s">
        <v>44</v>
      </c>
      <c r="U1415" t="s">
        <v>44</v>
      </c>
      <c r="V1415">
        <v>1219</v>
      </c>
      <c r="W1415" t="s">
        <v>44</v>
      </c>
      <c r="X1415" t="s">
        <v>44</v>
      </c>
      <c r="Y1415">
        <v>1219</v>
      </c>
      <c r="Z1415" t="s">
        <v>44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 s="2">
        <v>1221</v>
      </c>
      <c r="AQ1415">
        <f t="shared" si="50"/>
        <v>1221</v>
      </c>
      <c r="AR1415" s="5">
        <f>VLOOKUP(F1415,'[2]SCP_24-25'!$A:$D,4,0)</f>
        <v>107.63</v>
      </c>
      <c r="AS1415" s="5">
        <f t="shared" si="51"/>
        <v>131416.22999999998</v>
      </c>
    </row>
    <row r="1416" spans="1:45" x14ac:dyDescent="0.3">
      <c r="A1416" s="1">
        <v>45900.963194444441</v>
      </c>
      <c r="B1416" t="s">
        <v>1463</v>
      </c>
      <c r="C1416" t="s">
        <v>1464</v>
      </c>
      <c r="D1416" t="s">
        <v>871</v>
      </c>
      <c r="F1416" t="s">
        <v>1887</v>
      </c>
      <c r="G1416" t="s">
        <v>872</v>
      </c>
      <c r="H1416" t="s">
        <v>130</v>
      </c>
      <c r="I1416" t="s">
        <v>415</v>
      </c>
      <c r="J1416">
        <v>5.5</v>
      </c>
      <c r="K1416">
        <v>19</v>
      </c>
      <c r="L1416">
        <v>10</v>
      </c>
      <c r="M1416">
        <v>11</v>
      </c>
      <c r="N1416">
        <v>1200</v>
      </c>
      <c r="O1416">
        <v>5</v>
      </c>
      <c r="P1416">
        <v>0</v>
      </c>
      <c r="Q1416" t="s">
        <v>44</v>
      </c>
      <c r="R1416" t="s">
        <v>44</v>
      </c>
      <c r="S1416" t="s">
        <v>44</v>
      </c>
      <c r="T1416" t="s">
        <v>44</v>
      </c>
      <c r="U1416" t="s">
        <v>44</v>
      </c>
      <c r="V1416">
        <v>1157</v>
      </c>
      <c r="W1416" t="s">
        <v>44</v>
      </c>
      <c r="X1416" t="s">
        <v>44</v>
      </c>
      <c r="Y1416">
        <v>1157</v>
      </c>
      <c r="Z1416" t="s">
        <v>44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 s="2">
        <v>1162</v>
      </c>
      <c r="AQ1416">
        <f t="shared" si="50"/>
        <v>1162</v>
      </c>
      <c r="AR1416" s="5">
        <f>VLOOKUP(F1416,'[2]SCP_24-25'!$A:$D,4,0)</f>
        <v>107.63</v>
      </c>
      <c r="AS1416" s="5">
        <f t="shared" si="51"/>
        <v>125066.06</v>
      </c>
    </row>
    <row r="1417" spans="1:45" x14ac:dyDescent="0.3">
      <c r="A1417" s="1">
        <v>45900.963194444441</v>
      </c>
      <c r="B1417" t="s">
        <v>1463</v>
      </c>
      <c r="C1417" t="s">
        <v>1464</v>
      </c>
      <c r="D1417" t="s">
        <v>873</v>
      </c>
      <c r="F1417" t="s">
        <v>1888</v>
      </c>
      <c r="G1417" t="s">
        <v>874</v>
      </c>
      <c r="H1417" t="s">
        <v>130</v>
      </c>
      <c r="I1417" t="s">
        <v>415</v>
      </c>
      <c r="J1417">
        <v>5.3</v>
      </c>
      <c r="K1417">
        <v>19</v>
      </c>
      <c r="L1417">
        <v>10</v>
      </c>
      <c r="M1417">
        <v>11</v>
      </c>
      <c r="N1417">
        <v>1296</v>
      </c>
      <c r="O1417">
        <v>15</v>
      </c>
      <c r="P1417">
        <v>0</v>
      </c>
      <c r="Q1417" t="s">
        <v>44</v>
      </c>
      <c r="R1417" t="s">
        <v>44</v>
      </c>
      <c r="S1417" t="s">
        <v>44</v>
      </c>
      <c r="T1417" t="s">
        <v>44</v>
      </c>
      <c r="U1417" t="s">
        <v>44</v>
      </c>
      <c r="V1417">
        <v>1260</v>
      </c>
      <c r="W1417" t="s">
        <v>44</v>
      </c>
      <c r="X1417" t="s">
        <v>44</v>
      </c>
      <c r="Y1417">
        <v>1260</v>
      </c>
      <c r="Z1417" t="s">
        <v>44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 s="2">
        <v>1275</v>
      </c>
      <c r="AQ1417">
        <f t="shared" si="50"/>
        <v>1275</v>
      </c>
      <c r="AR1417" s="5">
        <f>VLOOKUP(F1417,'[2]SCP_24-25'!$A:$D,4,0)</f>
        <v>109.68</v>
      </c>
      <c r="AS1417" s="5">
        <f t="shared" si="51"/>
        <v>139842</v>
      </c>
    </row>
    <row r="1418" spans="1:45" x14ac:dyDescent="0.3">
      <c r="A1418" s="1">
        <v>45900.963194444441</v>
      </c>
      <c r="B1418" t="s">
        <v>1463</v>
      </c>
      <c r="C1418" t="s">
        <v>1464</v>
      </c>
      <c r="D1418" t="s">
        <v>877</v>
      </c>
      <c r="F1418" t="s">
        <v>1890</v>
      </c>
      <c r="G1418" t="s">
        <v>878</v>
      </c>
      <c r="H1418" t="s">
        <v>103</v>
      </c>
      <c r="I1418" t="s">
        <v>415</v>
      </c>
      <c r="J1418">
        <v>100</v>
      </c>
      <c r="K1418">
        <v>19</v>
      </c>
      <c r="L1418">
        <v>10</v>
      </c>
      <c r="M1418">
        <v>11</v>
      </c>
      <c r="N1418">
        <v>2976</v>
      </c>
      <c r="O1418">
        <v>66</v>
      </c>
      <c r="P1418">
        <v>0</v>
      </c>
      <c r="Q1418" t="s">
        <v>44</v>
      </c>
      <c r="R1418" t="s">
        <v>44</v>
      </c>
      <c r="S1418" t="s">
        <v>44</v>
      </c>
      <c r="T1418" t="s">
        <v>44</v>
      </c>
      <c r="U1418" t="s">
        <v>44</v>
      </c>
      <c r="V1418">
        <v>1642</v>
      </c>
      <c r="W1418" t="s">
        <v>44</v>
      </c>
      <c r="X1418" t="s">
        <v>44</v>
      </c>
      <c r="Y1418">
        <v>1642</v>
      </c>
      <c r="Z1418" t="s">
        <v>44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 s="2">
        <v>1708</v>
      </c>
      <c r="AQ1418">
        <f t="shared" si="50"/>
        <v>1708</v>
      </c>
      <c r="AR1418" s="5">
        <f>VLOOKUP(F1418,'[2]SCP_24-25'!$A:$D,4,0)</f>
        <v>71.19</v>
      </c>
      <c r="AS1418" s="5">
        <f t="shared" si="51"/>
        <v>121592.51999999999</v>
      </c>
    </row>
    <row r="1419" spans="1:45" x14ac:dyDescent="0.3">
      <c r="A1419" s="1">
        <v>45900.963194444441</v>
      </c>
      <c r="B1419" t="s">
        <v>1463</v>
      </c>
      <c r="C1419" t="s">
        <v>1464</v>
      </c>
      <c r="D1419" t="s">
        <v>1326</v>
      </c>
      <c r="F1419" t="s">
        <v>2113</v>
      </c>
      <c r="G1419" t="s">
        <v>1327</v>
      </c>
      <c r="H1419" t="s">
        <v>103</v>
      </c>
      <c r="I1419" t="s">
        <v>415</v>
      </c>
      <c r="J1419">
        <v>650</v>
      </c>
      <c r="K1419">
        <v>19</v>
      </c>
      <c r="L1419">
        <v>10</v>
      </c>
      <c r="M1419">
        <v>11</v>
      </c>
      <c r="N1419">
        <v>2579</v>
      </c>
      <c r="O1419">
        <v>0</v>
      </c>
      <c r="P1419">
        <v>0</v>
      </c>
      <c r="Q1419" t="s">
        <v>44</v>
      </c>
      <c r="R1419" t="s">
        <v>44</v>
      </c>
      <c r="S1419" t="s">
        <v>44</v>
      </c>
      <c r="T1419" t="s">
        <v>44</v>
      </c>
      <c r="U1419" t="s">
        <v>44</v>
      </c>
      <c r="V1419">
        <v>2579</v>
      </c>
      <c r="W1419" t="s">
        <v>44</v>
      </c>
      <c r="X1419" t="s">
        <v>44</v>
      </c>
      <c r="Y1419">
        <v>2579</v>
      </c>
      <c r="Z1419" t="s">
        <v>44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 s="2">
        <v>2579</v>
      </c>
      <c r="AQ1419">
        <f t="shared" si="50"/>
        <v>2579</v>
      </c>
      <c r="AR1419" s="5">
        <f>VLOOKUP(F1419,'[2]SCP_24-25'!$A:$D,4,0)</f>
        <v>174.39</v>
      </c>
      <c r="AS1419" s="5">
        <f t="shared" si="51"/>
        <v>449751.80999999994</v>
      </c>
    </row>
    <row r="1420" spans="1:45" x14ac:dyDescent="0.3">
      <c r="A1420" s="1">
        <v>45900.963194444441</v>
      </c>
      <c r="B1420" t="s">
        <v>1463</v>
      </c>
      <c r="C1420" t="s">
        <v>1464</v>
      </c>
      <c r="D1420" t="s">
        <v>1358</v>
      </c>
      <c r="E1420" t="s">
        <v>1359</v>
      </c>
      <c r="F1420" t="s">
        <v>2127</v>
      </c>
      <c r="G1420" t="s">
        <v>1360</v>
      </c>
      <c r="H1420" t="s">
        <v>621</v>
      </c>
      <c r="I1420" t="s">
        <v>43</v>
      </c>
      <c r="J1420">
        <v>50.8</v>
      </c>
      <c r="K1420">
        <v>19</v>
      </c>
      <c r="L1420">
        <v>11</v>
      </c>
      <c r="M1420">
        <v>8.5</v>
      </c>
      <c r="N1420">
        <v>418918</v>
      </c>
      <c r="O1420">
        <v>0</v>
      </c>
      <c r="P1420">
        <v>0</v>
      </c>
      <c r="Q1420" t="s">
        <v>44</v>
      </c>
      <c r="R1420">
        <v>25000</v>
      </c>
      <c r="S1420" t="s">
        <v>44</v>
      </c>
      <c r="T1420" t="s">
        <v>44</v>
      </c>
      <c r="U1420" t="s">
        <v>44</v>
      </c>
      <c r="V1420">
        <v>102913</v>
      </c>
      <c r="W1420" t="s">
        <v>44</v>
      </c>
      <c r="X1420" t="s">
        <v>44</v>
      </c>
      <c r="Y1420">
        <v>102913</v>
      </c>
      <c r="Z1420" t="s">
        <v>44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 s="2">
        <v>102913</v>
      </c>
      <c r="AQ1420">
        <f t="shared" si="50"/>
        <v>102913</v>
      </c>
      <c r="AR1420" s="5">
        <f>VLOOKUP(F1420,'[2]SCP_24-25'!$A:$D,4,0)</f>
        <v>2.8999999999999995</v>
      </c>
      <c r="AS1420" s="5">
        <f t="shared" si="51"/>
        <v>298447.69999999995</v>
      </c>
    </row>
    <row r="1421" spans="1:45" x14ac:dyDescent="0.3">
      <c r="A1421" s="1">
        <v>45900.963194444441</v>
      </c>
      <c r="B1421" t="s">
        <v>1463</v>
      </c>
      <c r="C1421" t="s">
        <v>1464</v>
      </c>
      <c r="D1421" t="s">
        <v>133</v>
      </c>
      <c r="F1421" t="s">
        <v>1544</v>
      </c>
      <c r="G1421" t="s">
        <v>134</v>
      </c>
      <c r="H1421" t="s">
        <v>66</v>
      </c>
      <c r="I1421" t="s">
        <v>43</v>
      </c>
      <c r="J1421">
        <v>137</v>
      </c>
      <c r="K1421">
        <v>19</v>
      </c>
      <c r="L1421">
        <v>10</v>
      </c>
      <c r="M1421">
        <v>11</v>
      </c>
      <c r="N1421">
        <v>59954</v>
      </c>
      <c r="O1421">
        <v>65</v>
      </c>
      <c r="P1421">
        <v>0</v>
      </c>
      <c r="Q1421">
        <v>303</v>
      </c>
      <c r="R1421">
        <v>3470</v>
      </c>
      <c r="S1421" t="s">
        <v>44</v>
      </c>
      <c r="T1421" t="s">
        <v>44</v>
      </c>
      <c r="U1421" t="s">
        <v>44</v>
      </c>
      <c r="V1421">
        <v>5690</v>
      </c>
      <c r="W1421">
        <v>51</v>
      </c>
      <c r="X1421" t="s">
        <v>44</v>
      </c>
      <c r="Y1421">
        <v>5690</v>
      </c>
      <c r="Z1421" t="s">
        <v>44</v>
      </c>
      <c r="AA1421">
        <v>2</v>
      </c>
      <c r="AB1421">
        <v>0</v>
      </c>
      <c r="AC1421">
        <v>0</v>
      </c>
      <c r="AD1421">
        <v>0</v>
      </c>
      <c r="AE1421">
        <v>15</v>
      </c>
      <c r="AF1421">
        <v>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 s="2">
        <v>5757</v>
      </c>
      <c r="AQ1421">
        <f t="shared" si="50"/>
        <v>5757</v>
      </c>
      <c r="AR1421" s="5">
        <f>VLOOKUP(F1421,'[2]SCP_24-25'!$A:$D,4,0)</f>
        <v>27.66</v>
      </c>
      <c r="AS1421" s="5">
        <f t="shared" si="51"/>
        <v>159238.62</v>
      </c>
    </row>
    <row r="1422" spans="1:45" x14ac:dyDescent="0.3">
      <c r="A1422" s="1">
        <v>45900.963194444441</v>
      </c>
      <c r="B1422" t="s">
        <v>1463</v>
      </c>
      <c r="C1422" t="s">
        <v>1464</v>
      </c>
      <c r="D1422" t="s">
        <v>137</v>
      </c>
      <c r="F1422" t="s">
        <v>1546</v>
      </c>
      <c r="G1422" t="s">
        <v>138</v>
      </c>
      <c r="H1422" t="s">
        <v>66</v>
      </c>
      <c r="I1422" t="s">
        <v>43</v>
      </c>
      <c r="J1422">
        <v>176</v>
      </c>
      <c r="K1422">
        <v>19</v>
      </c>
      <c r="L1422">
        <v>9.5</v>
      </c>
      <c r="M1422">
        <v>11</v>
      </c>
      <c r="N1422">
        <v>71854</v>
      </c>
      <c r="O1422">
        <v>122</v>
      </c>
      <c r="P1422">
        <v>0</v>
      </c>
      <c r="Q1422">
        <v>61</v>
      </c>
      <c r="R1422">
        <v>6899</v>
      </c>
      <c r="S1422" t="s">
        <v>44</v>
      </c>
      <c r="T1422" t="s">
        <v>44</v>
      </c>
      <c r="U1422" t="s">
        <v>44</v>
      </c>
      <c r="V1422">
        <v>3084</v>
      </c>
      <c r="W1422">
        <v>20</v>
      </c>
      <c r="X1422" t="s">
        <v>44</v>
      </c>
      <c r="Y1422">
        <v>3078</v>
      </c>
      <c r="Z1422" t="s">
        <v>44</v>
      </c>
      <c r="AA1422">
        <v>6</v>
      </c>
      <c r="AB1422">
        <v>0</v>
      </c>
      <c r="AC1422">
        <v>0</v>
      </c>
      <c r="AD1422">
        <v>0</v>
      </c>
      <c r="AE1422">
        <v>25</v>
      </c>
      <c r="AF1422">
        <v>6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 s="2">
        <v>3212</v>
      </c>
      <c r="AQ1422">
        <f t="shared" si="50"/>
        <v>3212</v>
      </c>
      <c r="AR1422" s="5">
        <f>VLOOKUP(F1422,'[2]SCP_24-25'!$A:$D,4,0)</f>
        <v>94.530000000000015</v>
      </c>
      <c r="AS1422" s="5">
        <f t="shared" si="51"/>
        <v>303630.36000000004</v>
      </c>
    </row>
    <row r="1423" spans="1:45" x14ac:dyDescent="0.3">
      <c r="A1423" s="1">
        <v>45900.963194444441</v>
      </c>
      <c r="B1423" t="s">
        <v>1463</v>
      </c>
      <c r="C1423" t="s">
        <v>1464</v>
      </c>
      <c r="D1423" t="s">
        <v>149</v>
      </c>
      <c r="F1423" t="s">
        <v>1552</v>
      </c>
      <c r="G1423" t="s">
        <v>150</v>
      </c>
      <c r="H1423" t="s">
        <v>66</v>
      </c>
      <c r="I1423" t="s">
        <v>43</v>
      </c>
      <c r="J1423">
        <v>116.62</v>
      </c>
      <c r="K1423">
        <v>19</v>
      </c>
      <c r="L1423">
        <v>9.5</v>
      </c>
      <c r="M1423">
        <v>11</v>
      </c>
      <c r="N1423">
        <v>74627</v>
      </c>
      <c r="O1423">
        <v>225</v>
      </c>
      <c r="P1423">
        <v>0</v>
      </c>
      <c r="Q1423">
        <v>40</v>
      </c>
      <c r="R1423">
        <v>8501</v>
      </c>
      <c r="S1423" t="s">
        <v>44</v>
      </c>
      <c r="T1423" t="s">
        <v>44</v>
      </c>
      <c r="U1423" t="s">
        <v>44</v>
      </c>
      <c r="V1423">
        <v>5124</v>
      </c>
      <c r="W1423">
        <v>27</v>
      </c>
      <c r="X1423" t="s">
        <v>44</v>
      </c>
      <c r="Y1423">
        <v>4916</v>
      </c>
      <c r="Z1423" t="s">
        <v>44</v>
      </c>
      <c r="AA1423">
        <v>0</v>
      </c>
      <c r="AB1423">
        <v>0</v>
      </c>
      <c r="AC1423">
        <v>0</v>
      </c>
      <c r="AD1423">
        <v>0</v>
      </c>
      <c r="AE1423">
        <v>18</v>
      </c>
      <c r="AF1423">
        <v>6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 s="2">
        <v>5349</v>
      </c>
      <c r="AQ1423">
        <f t="shared" si="50"/>
        <v>5349</v>
      </c>
      <c r="AR1423" s="5">
        <f>VLOOKUP(F1423,'[2]SCP_24-25'!$A:$D,4,0)</f>
        <v>35.085999999999999</v>
      </c>
      <c r="AS1423" s="5">
        <f t="shared" si="51"/>
        <v>187675.014</v>
      </c>
    </row>
    <row r="1424" spans="1:45" x14ac:dyDescent="0.3">
      <c r="A1424" s="1">
        <v>45900.963194444441</v>
      </c>
      <c r="B1424" t="s">
        <v>1463</v>
      </c>
      <c r="C1424" t="s">
        <v>1464</v>
      </c>
      <c r="D1424" t="s">
        <v>155</v>
      </c>
      <c r="F1424" t="s">
        <v>1555</v>
      </c>
      <c r="G1424" t="s">
        <v>156</v>
      </c>
      <c r="H1424" t="s">
        <v>66</v>
      </c>
      <c r="I1424" t="s">
        <v>43</v>
      </c>
      <c r="J1424">
        <v>93.19</v>
      </c>
      <c r="K1424">
        <v>18</v>
      </c>
      <c r="L1424">
        <v>9.5</v>
      </c>
      <c r="M1424">
        <v>11</v>
      </c>
      <c r="N1424">
        <v>157952</v>
      </c>
      <c r="O1424">
        <v>287</v>
      </c>
      <c r="P1424">
        <v>0</v>
      </c>
      <c r="Q1424">
        <v>56</v>
      </c>
      <c r="R1424">
        <v>14884</v>
      </c>
      <c r="S1424" t="s">
        <v>44</v>
      </c>
      <c r="T1424">
        <v>1</v>
      </c>
      <c r="U1424" t="s">
        <v>44</v>
      </c>
      <c r="V1424">
        <v>5025</v>
      </c>
      <c r="W1424">
        <v>29</v>
      </c>
      <c r="X1424" t="s">
        <v>44</v>
      </c>
      <c r="Y1424">
        <v>4982</v>
      </c>
      <c r="Z1424" t="s">
        <v>44</v>
      </c>
      <c r="AA1424">
        <v>1</v>
      </c>
      <c r="AB1424">
        <v>0</v>
      </c>
      <c r="AC1424">
        <v>0</v>
      </c>
      <c r="AD1424">
        <v>0</v>
      </c>
      <c r="AE1424">
        <v>147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 s="2">
        <v>5313</v>
      </c>
      <c r="AQ1424">
        <f t="shared" si="50"/>
        <v>5313</v>
      </c>
      <c r="AR1424" s="5">
        <f>VLOOKUP(F1424,'[2]SCP_24-25'!$A:$D,4,0)</f>
        <v>53.202222222222218</v>
      </c>
      <c r="AS1424" s="5">
        <f t="shared" si="51"/>
        <v>282663.40666666662</v>
      </c>
    </row>
    <row r="1425" spans="1:45" x14ac:dyDescent="0.3">
      <c r="A1425" s="1">
        <v>45900.963194444441</v>
      </c>
      <c r="B1425" t="s">
        <v>1463</v>
      </c>
      <c r="C1425" t="s">
        <v>1464</v>
      </c>
      <c r="D1425" t="s">
        <v>165</v>
      </c>
      <c r="E1425" s="3">
        <v>8910000000000</v>
      </c>
      <c r="F1425" t="s">
        <v>1560</v>
      </c>
      <c r="G1425" t="s">
        <v>166</v>
      </c>
      <c r="H1425" t="s">
        <v>66</v>
      </c>
      <c r="I1425" t="s">
        <v>43</v>
      </c>
      <c r="J1425">
        <v>93.27</v>
      </c>
      <c r="K1425">
        <v>19</v>
      </c>
      <c r="L1425">
        <v>11</v>
      </c>
      <c r="M1425">
        <v>9.5</v>
      </c>
      <c r="N1425">
        <v>95163</v>
      </c>
      <c r="O1425">
        <v>178</v>
      </c>
      <c r="P1425">
        <v>0</v>
      </c>
      <c r="Q1425">
        <v>65</v>
      </c>
      <c r="R1425">
        <v>6542</v>
      </c>
      <c r="S1425" t="s">
        <v>44</v>
      </c>
      <c r="T1425">
        <v>1</v>
      </c>
      <c r="U1425" t="s">
        <v>44</v>
      </c>
      <c r="V1425">
        <v>6020</v>
      </c>
      <c r="W1425">
        <v>49</v>
      </c>
      <c r="X1425" t="s">
        <v>44</v>
      </c>
      <c r="Y1425">
        <v>5992</v>
      </c>
      <c r="Z1425" t="s">
        <v>44</v>
      </c>
      <c r="AA1425">
        <v>8</v>
      </c>
      <c r="AB1425">
        <v>0</v>
      </c>
      <c r="AC1425">
        <v>0</v>
      </c>
      <c r="AD1425">
        <v>0</v>
      </c>
      <c r="AE1425">
        <v>66</v>
      </c>
      <c r="AF1425">
        <v>3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 s="2">
        <v>6206</v>
      </c>
      <c r="AQ1425">
        <f t="shared" si="50"/>
        <v>6206</v>
      </c>
      <c r="AR1425" s="5">
        <f>VLOOKUP(F1425,'[2]SCP_24-25'!$A:$D,4,0)</f>
        <v>69.16</v>
      </c>
      <c r="AS1425" s="5">
        <f t="shared" si="51"/>
        <v>429206.95999999996</v>
      </c>
    </row>
    <row r="1426" spans="1:45" x14ac:dyDescent="0.3">
      <c r="A1426" s="1">
        <v>45900.963194444441</v>
      </c>
      <c r="B1426" t="s">
        <v>1463</v>
      </c>
      <c r="C1426" t="s">
        <v>1464</v>
      </c>
      <c r="D1426" t="s">
        <v>177</v>
      </c>
      <c r="F1426" t="s">
        <v>1566</v>
      </c>
      <c r="G1426" t="s">
        <v>178</v>
      </c>
      <c r="H1426" t="s">
        <v>66</v>
      </c>
      <c r="I1426" t="s">
        <v>43</v>
      </c>
      <c r="J1426">
        <v>102</v>
      </c>
      <c r="K1426">
        <v>19</v>
      </c>
      <c r="L1426">
        <v>9.5</v>
      </c>
      <c r="M1426">
        <v>11</v>
      </c>
      <c r="N1426">
        <v>155477</v>
      </c>
      <c r="O1426">
        <v>884</v>
      </c>
      <c r="P1426">
        <v>0</v>
      </c>
      <c r="Q1426">
        <v>337</v>
      </c>
      <c r="R1426">
        <v>12111</v>
      </c>
      <c r="S1426" t="s">
        <v>44</v>
      </c>
      <c r="T1426" t="s">
        <v>44</v>
      </c>
      <c r="U1426" t="s">
        <v>44</v>
      </c>
      <c r="V1426">
        <v>3486</v>
      </c>
      <c r="W1426">
        <v>36</v>
      </c>
      <c r="X1426" t="s">
        <v>44</v>
      </c>
      <c r="Y1426">
        <v>3355</v>
      </c>
      <c r="Z1426" t="s">
        <v>44</v>
      </c>
      <c r="AA1426">
        <v>11</v>
      </c>
      <c r="AB1426">
        <v>0</v>
      </c>
      <c r="AC1426">
        <v>0</v>
      </c>
      <c r="AD1426">
        <v>0</v>
      </c>
      <c r="AE1426">
        <v>12</v>
      </c>
      <c r="AF1426">
        <v>7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 s="2">
        <v>4381</v>
      </c>
      <c r="AQ1426">
        <f t="shared" si="50"/>
        <v>4381</v>
      </c>
      <c r="AR1426" s="5">
        <f>VLOOKUP(F1426,'[2]SCP_24-25'!$A:$D,4,0)</f>
        <v>76.619230769230754</v>
      </c>
      <c r="AS1426" s="5">
        <f t="shared" si="51"/>
        <v>335668.84999999992</v>
      </c>
    </row>
    <row r="1427" spans="1:45" x14ac:dyDescent="0.3">
      <c r="A1427" s="1">
        <v>45900.963194444441</v>
      </c>
      <c r="B1427" t="s">
        <v>1463</v>
      </c>
      <c r="C1427" t="s">
        <v>1464</v>
      </c>
      <c r="D1427" t="s">
        <v>179</v>
      </c>
      <c r="F1427" t="s">
        <v>1567</v>
      </c>
      <c r="G1427" t="s">
        <v>180</v>
      </c>
      <c r="H1427" t="s">
        <v>103</v>
      </c>
      <c r="I1427" t="s">
        <v>43</v>
      </c>
      <c r="J1427">
        <v>128</v>
      </c>
      <c r="K1427">
        <v>19</v>
      </c>
      <c r="L1427">
        <v>9.5</v>
      </c>
      <c r="M1427">
        <v>11</v>
      </c>
      <c r="N1427">
        <v>475867</v>
      </c>
      <c r="O1427">
        <v>1791</v>
      </c>
      <c r="P1427">
        <v>0</v>
      </c>
      <c r="Q1427">
        <v>565</v>
      </c>
      <c r="R1427">
        <v>52301</v>
      </c>
      <c r="S1427">
        <v>732</v>
      </c>
      <c r="T1427" t="s">
        <v>44</v>
      </c>
      <c r="U1427" t="s">
        <v>44</v>
      </c>
      <c r="V1427">
        <v>6314</v>
      </c>
      <c r="W1427">
        <v>182</v>
      </c>
      <c r="X1427" t="s">
        <v>44</v>
      </c>
      <c r="Y1427">
        <v>6195</v>
      </c>
      <c r="Z1427" t="s">
        <v>44</v>
      </c>
      <c r="AA1427">
        <v>47</v>
      </c>
      <c r="AB1427">
        <v>0</v>
      </c>
      <c r="AC1427">
        <v>0</v>
      </c>
      <c r="AD1427">
        <v>0</v>
      </c>
      <c r="AE1427">
        <v>768</v>
      </c>
      <c r="AF1427">
        <v>38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 s="2">
        <v>8152</v>
      </c>
      <c r="AQ1427">
        <f t="shared" si="50"/>
        <v>8152</v>
      </c>
      <c r="AR1427" s="5">
        <f>VLOOKUP(F1427,'[2]SCP_24-25'!$A:$D,4,0)</f>
        <v>130.39230769230767</v>
      </c>
      <c r="AS1427" s="5">
        <f t="shared" si="51"/>
        <v>1062958.0923076922</v>
      </c>
    </row>
    <row r="1428" spans="1:45" x14ac:dyDescent="0.3">
      <c r="A1428" s="1">
        <v>45900.963194444441</v>
      </c>
      <c r="B1428" t="s">
        <v>1463</v>
      </c>
      <c r="C1428" t="s">
        <v>1464</v>
      </c>
      <c r="D1428" t="s">
        <v>197</v>
      </c>
      <c r="E1428" t="s">
        <v>198</v>
      </c>
      <c r="F1428" t="s">
        <v>1576</v>
      </c>
      <c r="G1428" t="s">
        <v>199</v>
      </c>
      <c r="H1428" t="s">
        <v>66</v>
      </c>
      <c r="I1428" t="s">
        <v>43</v>
      </c>
      <c r="J1428">
        <v>100</v>
      </c>
      <c r="K1428">
        <v>19</v>
      </c>
      <c r="L1428">
        <v>9.5</v>
      </c>
      <c r="M1428">
        <v>11</v>
      </c>
      <c r="N1428">
        <v>108811</v>
      </c>
      <c r="O1428">
        <v>732</v>
      </c>
      <c r="P1428">
        <v>0</v>
      </c>
      <c r="Q1428">
        <v>106</v>
      </c>
      <c r="R1428">
        <v>9638</v>
      </c>
      <c r="S1428" t="s">
        <v>44</v>
      </c>
      <c r="T1428" t="s">
        <v>44</v>
      </c>
      <c r="U1428" t="s">
        <v>44</v>
      </c>
      <c r="V1428">
        <v>3900</v>
      </c>
      <c r="W1428">
        <v>4</v>
      </c>
      <c r="X1428" t="s">
        <v>44</v>
      </c>
      <c r="Y1428">
        <v>3602</v>
      </c>
      <c r="Z1428" t="s">
        <v>44</v>
      </c>
      <c r="AA1428">
        <v>4</v>
      </c>
      <c r="AB1428">
        <v>0</v>
      </c>
      <c r="AC1428">
        <v>0</v>
      </c>
      <c r="AD1428">
        <v>0</v>
      </c>
      <c r="AE1428">
        <v>213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 s="2">
        <v>4636</v>
      </c>
      <c r="AQ1428">
        <f t="shared" si="50"/>
        <v>4636</v>
      </c>
      <c r="AR1428" s="5">
        <f>VLOOKUP(F1428,'[2]SCP_24-25'!$A:$D,4,0)</f>
        <v>63.26</v>
      </c>
      <c r="AS1428" s="5">
        <f t="shared" si="51"/>
        <v>293273.36</v>
      </c>
    </row>
    <row r="1429" spans="1:45" x14ac:dyDescent="0.3">
      <c r="A1429" s="1">
        <v>45900.963194444441</v>
      </c>
      <c r="B1429" t="s">
        <v>1463</v>
      </c>
      <c r="C1429" t="s">
        <v>1464</v>
      </c>
      <c r="D1429" t="s">
        <v>200</v>
      </c>
      <c r="E1429" t="s">
        <v>201</v>
      </c>
      <c r="F1429" t="s">
        <v>1577</v>
      </c>
      <c r="G1429" t="s">
        <v>202</v>
      </c>
      <c r="H1429" t="s">
        <v>66</v>
      </c>
      <c r="I1429" t="s">
        <v>43</v>
      </c>
      <c r="J1429">
        <v>37</v>
      </c>
      <c r="K1429">
        <v>19</v>
      </c>
      <c r="L1429">
        <v>9.5</v>
      </c>
      <c r="M1429">
        <v>11</v>
      </c>
      <c r="N1429">
        <v>65015</v>
      </c>
      <c r="O1429">
        <v>4</v>
      </c>
      <c r="P1429">
        <v>0</v>
      </c>
      <c r="Q1429">
        <v>51</v>
      </c>
      <c r="R1429">
        <v>3085</v>
      </c>
      <c r="S1429" t="s">
        <v>44</v>
      </c>
      <c r="T1429" t="s">
        <v>44</v>
      </c>
      <c r="U1429" t="s">
        <v>44</v>
      </c>
      <c r="V1429">
        <v>4970</v>
      </c>
      <c r="W1429" t="s">
        <v>44</v>
      </c>
      <c r="X1429" t="s">
        <v>44</v>
      </c>
      <c r="Y1429">
        <v>4969</v>
      </c>
      <c r="Z1429" t="s">
        <v>44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 s="2">
        <v>4974</v>
      </c>
      <c r="AQ1429">
        <f t="shared" si="50"/>
        <v>4974</v>
      </c>
      <c r="AR1429" s="5">
        <f>VLOOKUP(F1429,'[2]SCP_24-25'!$A:$D,4,0)</f>
        <v>18.564999999999998</v>
      </c>
      <c r="AS1429" s="5">
        <f t="shared" si="51"/>
        <v>92342.309999999983</v>
      </c>
    </row>
    <row r="1430" spans="1:45" x14ac:dyDescent="0.3">
      <c r="A1430" s="1">
        <v>45900.963194444441</v>
      </c>
      <c r="B1430" t="s">
        <v>1463</v>
      </c>
      <c r="C1430" t="s">
        <v>1464</v>
      </c>
      <c r="D1430" t="s">
        <v>203</v>
      </c>
      <c r="F1430" t="s">
        <v>1578</v>
      </c>
      <c r="G1430" t="s">
        <v>204</v>
      </c>
      <c r="H1430" t="s">
        <v>66</v>
      </c>
      <c r="I1430" t="s">
        <v>43</v>
      </c>
      <c r="J1430">
        <v>37</v>
      </c>
      <c r="K1430">
        <v>19</v>
      </c>
      <c r="L1430">
        <v>9.5</v>
      </c>
      <c r="M1430">
        <v>11</v>
      </c>
      <c r="N1430">
        <v>89466</v>
      </c>
      <c r="O1430">
        <v>191</v>
      </c>
      <c r="P1430">
        <v>0</v>
      </c>
      <c r="Q1430">
        <v>21</v>
      </c>
      <c r="R1430">
        <v>4704</v>
      </c>
      <c r="S1430" t="s">
        <v>44</v>
      </c>
      <c r="T1430" t="s">
        <v>44</v>
      </c>
      <c r="U1430" t="s">
        <v>44</v>
      </c>
      <c r="V1430">
        <v>3692</v>
      </c>
      <c r="W1430" t="s">
        <v>44</v>
      </c>
      <c r="X1430" t="s">
        <v>44</v>
      </c>
      <c r="Y1430">
        <v>3692</v>
      </c>
      <c r="Z1430" t="s">
        <v>44</v>
      </c>
      <c r="AA1430">
        <v>26</v>
      </c>
      <c r="AB1430">
        <v>0</v>
      </c>
      <c r="AC1430">
        <v>0</v>
      </c>
      <c r="AD1430">
        <v>0</v>
      </c>
      <c r="AE1430">
        <v>79</v>
      </c>
      <c r="AF1430">
        <v>3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 s="2">
        <v>3909</v>
      </c>
      <c r="AQ1430">
        <f t="shared" si="50"/>
        <v>3909</v>
      </c>
      <c r="AR1430" s="5">
        <f>VLOOKUP(F1430,'[2]SCP_24-25'!$A:$D,4,0)</f>
        <v>19.899999999999999</v>
      </c>
      <c r="AS1430" s="5">
        <f t="shared" si="51"/>
        <v>77789.099999999991</v>
      </c>
    </row>
    <row r="1431" spans="1:45" x14ac:dyDescent="0.3">
      <c r="A1431" s="1">
        <v>45900.963194444441</v>
      </c>
      <c r="B1431" t="s">
        <v>1463</v>
      </c>
      <c r="C1431" t="s">
        <v>1464</v>
      </c>
      <c r="D1431" t="s">
        <v>274</v>
      </c>
      <c r="E1431" t="s">
        <v>275</v>
      </c>
      <c r="F1431" t="s">
        <v>1606</v>
      </c>
      <c r="G1431" t="s">
        <v>276</v>
      </c>
      <c r="H1431" t="s">
        <v>103</v>
      </c>
      <c r="I1431" t="s">
        <v>43</v>
      </c>
      <c r="J1431">
        <v>238.02</v>
      </c>
      <c r="K1431">
        <v>19</v>
      </c>
      <c r="L1431">
        <v>9.5</v>
      </c>
      <c r="M1431">
        <v>11</v>
      </c>
      <c r="N1431">
        <v>230501</v>
      </c>
      <c r="O1431">
        <v>425</v>
      </c>
      <c r="P1431">
        <v>0</v>
      </c>
      <c r="Q1431">
        <v>6935</v>
      </c>
      <c r="R1431">
        <v>5988</v>
      </c>
      <c r="S1431" t="s">
        <v>44</v>
      </c>
      <c r="T1431">
        <v>645</v>
      </c>
      <c r="U1431" t="s">
        <v>44</v>
      </c>
      <c r="V1431">
        <v>3904</v>
      </c>
      <c r="W1431">
        <v>57</v>
      </c>
      <c r="X1431" t="s">
        <v>44</v>
      </c>
      <c r="Y1431">
        <v>3892</v>
      </c>
      <c r="Z1431" t="s">
        <v>44</v>
      </c>
      <c r="AA1431">
        <v>128</v>
      </c>
      <c r="AB1431">
        <v>0</v>
      </c>
      <c r="AC1431">
        <v>0</v>
      </c>
      <c r="AD1431">
        <v>0</v>
      </c>
      <c r="AE1431">
        <v>0</v>
      </c>
      <c r="AF1431">
        <v>37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 s="2">
        <v>4457</v>
      </c>
      <c r="AQ1431">
        <f t="shared" si="50"/>
        <v>4457</v>
      </c>
      <c r="AR1431" s="5">
        <f>VLOOKUP(F1431,'[2]SCP_24-25'!$A:$D,4,0)</f>
        <v>82.6</v>
      </c>
      <c r="AS1431" s="5">
        <f t="shared" si="51"/>
        <v>368148.19999999995</v>
      </c>
    </row>
    <row r="1432" spans="1:45" x14ac:dyDescent="0.3">
      <c r="A1432" s="1">
        <v>45900.963194444441</v>
      </c>
      <c r="B1432" t="s">
        <v>1463</v>
      </c>
      <c r="C1432" t="s">
        <v>1464</v>
      </c>
      <c r="D1432" t="s">
        <v>277</v>
      </c>
      <c r="E1432" t="s">
        <v>278</v>
      </c>
      <c r="F1432" t="s">
        <v>1607</v>
      </c>
      <c r="G1432" t="s">
        <v>279</v>
      </c>
      <c r="H1432" t="s">
        <v>103</v>
      </c>
      <c r="I1432" t="s">
        <v>43</v>
      </c>
      <c r="J1432">
        <v>224.02</v>
      </c>
      <c r="K1432">
        <v>19</v>
      </c>
      <c r="L1432">
        <v>9.5</v>
      </c>
      <c r="M1432">
        <v>11</v>
      </c>
      <c r="N1432">
        <v>116591</v>
      </c>
      <c r="O1432">
        <v>501</v>
      </c>
      <c r="P1432">
        <v>0</v>
      </c>
      <c r="Q1432">
        <v>36</v>
      </c>
      <c r="R1432">
        <v>3178</v>
      </c>
      <c r="S1432" t="s">
        <v>44</v>
      </c>
      <c r="T1432" t="s">
        <v>44</v>
      </c>
      <c r="U1432" t="s">
        <v>44</v>
      </c>
      <c r="V1432">
        <v>5363</v>
      </c>
      <c r="W1432">
        <v>19</v>
      </c>
      <c r="X1432" t="s">
        <v>44</v>
      </c>
      <c r="Y1432">
        <v>5348</v>
      </c>
      <c r="Z1432" t="s">
        <v>44</v>
      </c>
      <c r="AA1432">
        <v>41</v>
      </c>
      <c r="AB1432">
        <v>0</v>
      </c>
      <c r="AC1432">
        <v>0</v>
      </c>
      <c r="AD1432">
        <v>0</v>
      </c>
      <c r="AE1432">
        <v>0</v>
      </c>
      <c r="AF1432">
        <v>4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 s="2">
        <v>5905</v>
      </c>
      <c r="AQ1432">
        <f t="shared" si="50"/>
        <v>5905</v>
      </c>
      <c r="AR1432" s="5">
        <f>VLOOKUP(F1432,'[2]SCP_24-25'!$A:$D,4,0)</f>
        <v>77.739999999999995</v>
      </c>
      <c r="AS1432" s="5">
        <f t="shared" si="51"/>
        <v>459054.69999999995</v>
      </c>
    </row>
    <row r="1433" spans="1:45" x14ac:dyDescent="0.3">
      <c r="A1433" s="1">
        <v>45900.963194444441</v>
      </c>
      <c r="B1433" t="s">
        <v>1463</v>
      </c>
      <c r="C1433" t="s">
        <v>1464</v>
      </c>
      <c r="D1433" t="s">
        <v>280</v>
      </c>
      <c r="E1433" t="s">
        <v>281</v>
      </c>
      <c r="F1433" t="s">
        <v>1608</v>
      </c>
      <c r="G1433" t="s">
        <v>282</v>
      </c>
      <c r="H1433" t="s">
        <v>103</v>
      </c>
      <c r="I1433" t="s">
        <v>43</v>
      </c>
      <c r="J1433">
        <v>199</v>
      </c>
      <c r="K1433">
        <v>19</v>
      </c>
      <c r="L1433">
        <v>9.5</v>
      </c>
      <c r="M1433">
        <v>11</v>
      </c>
      <c r="N1433">
        <v>102959</v>
      </c>
      <c r="O1433">
        <v>238</v>
      </c>
      <c r="P1433">
        <v>0</v>
      </c>
      <c r="Q1433">
        <v>26</v>
      </c>
      <c r="R1433">
        <v>5359</v>
      </c>
      <c r="S1433" t="s">
        <v>44</v>
      </c>
      <c r="T1433" t="s">
        <v>44</v>
      </c>
      <c r="U1433" t="s">
        <v>44</v>
      </c>
      <c r="V1433">
        <v>3826</v>
      </c>
      <c r="W1433">
        <v>7</v>
      </c>
      <c r="X1433" t="s">
        <v>44</v>
      </c>
      <c r="Y1433">
        <v>3702</v>
      </c>
      <c r="Z1433" t="s">
        <v>44</v>
      </c>
      <c r="AA1433">
        <v>20</v>
      </c>
      <c r="AB1433">
        <v>0</v>
      </c>
      <c r="AC1433">
        <v>0</v>
      </c>
      <c r="AD1433">
        <v>0</v>
      </c>
      <c r="AE1433">
        <v>0</v>
      </c>
      <c r="AF1433">
        <v>13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 s="2">
        <v>4084</v>
      </c>
      <c r="AQ1433">
        <f t="shared" si="50"/>
        <v>4084</v>
      </c>
      <c r="AR1433" s="5">
        <f>VLOOKUP(F1433,'[2]SCP_24-25'!$A:$D,4,0)</f>
        <v>85.41</v>
      </c>
      <c r="AS1433" s="5">
        <f t="shared" si="51"/>
        <v>348814.44</v>
      </c>
    </row>
    <row r="1434" spans="1:45" x14ac:dyDescent="0.3">
      <c r="A1434" s="1">
        <v>45900.963194444441</v>
      </c>
      <c r="B1434" t="s">
        <v>1463</v>
      </c>
      <c r="C1434" t="s">
        <v>1464</v>
      </c>
      <c r="D1434" t="s">
        <v>303</v>
      </c>
      <c r="F1434" t="s">
        <v>1617</v>
      </c>
      <c r="G1434" t="s">
        <v>304</v>
      </c>
      <c r="H1434" t="s">
        <v>66</v>
      </c>
      <c r="I1434" t="s">
        <v>43</v>
      </c>
      <c r="J1434">
        <v>30</v>
      </c>
      <c r="K1434">
        <v>19</v>
      </c>
      <c r="L1434">
        <v>9.5</v>
      </c>
      <c r="M1434">
        <v>11</v>
      </c>
      <c r="N1434">
        <v>81081</v>
      </c>
      <c r="O1434">
        <v>4</v>
      </c>
      <c r="P1434">
        <v>0</v>
      </c>
      <c r="Q1434">
        <v>14</v>
      </c>
      <c r="R1434" t="s">
        <v>44</v>
      </c>
      <c r="S1434" t="s">
        <v>44</v>
      </c>
      <c r="T1434" t="s">
        <v>44</v>
      </c>
      <c r="U1434" t="s">
        <v>44</v>
      </c>
      <c r="V1434">
        <v>3709</v>
      </c>
      <c r="W1434">
        <v>2</v>
      </c>
      <c r="X1434" t="s">
        <v>44</v>
      </c>
      <c r="Y1434">
        <v>3703</v>
      </c>
      <c r="Z1434" t="s">
        <v>44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 s="2">
        <v>3713</v>
      </c>
      <c r="AQ1434">
        <f t="shared" si="50"/>
        <v>3713</v>
      </c>
      <c r="AR1434" s="5">
        <f>VLOOKUP(F1434,'[2]SCP_24-25'!$A:$D,4,0)</f>
        <v>15.13</v>
      </c>
      <c r="AS1434" s="5">
        <f t="shared" si="51"/>
        <v>56177.69</v>
      </c>
    </row>
    <row r="1435" spans="1:45" x14ac:dyDescent="0.3">
      <c r="A1435" s="1">
        <v>45900.963194444441</v>
      </c>
      <c r="B1435" t="s">
        <v>1463</v>
      </c>
      <c r="C1435" t="s">
        <v>1464</v>
      </c>
      <c r="D1435" t="s">
        <v>305</v>
      </c>
      <c r="E1435" t="s">
        <v>306</v>
      </c>
      <c r="F1435" t="s">
        <v>1618</v>
      </c>
      <c r="G1435" t="s">
        <v>307</v>
      </c>
      <c r="H1435" t="s">
        <v>66</v>
      </c>
      <c r="I1435" t="s">
        <v>43</v>
      </c>
      <c r="J1435">
        <v>120</v>
      </c>
      <c r="K1435">
        <v>19</v>
      </c>
      <c r="L1435">
        <v>11</v>
      </c>
      <c r="M1435">
        <v>9.5</v>
      </c>
      <c r="N1435">
        <v>111750</v>
      </c>
      <c r="O1435">
        <v>1818</v>
      </c>
      <c r="P1435">
        <v>0</v>
      </c>
      <c r="Q1435">
        <v>25</v>
      </c>
      <c r="R1435">
        <v>798</v>
      </c>
      <c r="S1435" t="s">
        <v>44</v>
      </c>
      <c r="T1435">
        <v>48</v>
      </c>
      <c r="U1435" t="s">
        <v>44</v>
      </c>
      <c r="V1435">
        <v>9527</v>
      </c>
      <c r="W1435">
        <v>24</v>
      </c>
      <c r="X1435" t="s">
        <v>44</v>
      </c>
      <c r="Y1435">
        <v>9517</v>
      </c>
      <c r="Z1435" t="s">
        <v>44</v>
      </c>
      <c r="AA1435">
        <v>30</v>
      </c>
      <c r="AB1435">
        <v>0</v>
      </c>
      <c r="AC1435">
        <v>0</v>
      </c>
      <c r="AD1435">
        <v>0</v>
      </c>
      <c r="AE1435">
        <v>15</v>
      </c>
      <c r="AF1435">
        <v>17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 s="2">
        <v>11375</v>
      </c>
      <c r="AQ1435">
        <f t="shared" si="50"/>
        <v>11375</v>
      </c>
      <c r="AR1435" s="5">
        <f>VLOOKUP(F1435,'[2]SCP_24-25'!$A:$D,4,0)</f>
        <v>44.312857142857141</v>
      </c>
      <c r="AS1435" s="5">
        <f t="shared" si="51"/>
        <v>504058.75</v>
      </c>
    </row>
    <row r="1436" spans="1:45" x14ac:dyDescent="0.3">
      <c r="A1436" s="1">
        <v>45900.963194444441</v>
      </c>
      <c r="B1436" t="s">
        <v>1463</v>
      </c>
      <c r="C1436" t="s">
        <v>1464</v>
      </c>
      <c r="D1436" t="s">
        <v>314</v>
      </c>
      <c r="E1436" t="s">
        <v>315</v>
      </c>
      <c r="F1436" t="s">
        <v>1621</v>
      </c>
      <c r="G1436" t="s">
        <v>316</v>
      </c>
      <c r="H1436" t="s">
        <v>66</v>
      </c>
      <c r="I1436" t="s">
        <v>43</v>
      </c>
      <c r="J1436">
        <v>75</v>
      </c>
      <c r="K1436">
        <v>19</v>
      </c>
      <c r="L1436">
        <v>11</v>
      </c>
      <c r="M1436">
        <v>9.5</v>
      </c>
      <c r="N1436">
        <v>28786</v>
      </c>
      <c r="O1436">
        <v>108</v>
      </c>
      <c r="P1436">
        <v>0</v>
      </c>
      <c r="Q1436">
        <v>24</v>
      </c>
      <c r="R1436">
        <v>1018</v>
      </c>
      <c r="S1436" t="s">
        <v>44</v>
      </c>
      <c r="T1436" t="s">
        <v>44</v>
      </c>
      <c r="U1436" t="s">
        <v>44</v>
      </c>
      <c r="V1436">
        <v>3327</v>
      </c>
      <c r="W1436">
        <v>4</v>
      </c>
      <c r="X1436" t="s">
        <v>44</v>
      </c>
      <c r="Y1436">
        <v>3227</v>
      </c>
      <c r="Z1436" t="s">
        <v>44</v>
      </c>
      <c r="AA1436">
        <v>0</v>
      </c>
      <c r="AB1436">
        <v>0</v>
      </c>
      <c r="AC1436">
        <v>0</v>
      </c>
      <c r="AD1436">
        <v>0</v>
      </c>
      <c r="AE1436">
        <v>19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 s="2">
        <v>3435</v>
      </c>
      <c r="AQ1436">
        <f t="shared" si="50"/>
        <v>3435</v>
      </c>
      <c r="AR1436" s="5">
        <f>VLOOKUP(F1436,'[2]SCP_24-25'!$A:$D,4,0)</f>
        <v>53.93</v>
      </c>
      <c r="AS1436" s="5">
        <f t="shared" si="51"/>
        <v>185249.55</v>
      </c>
    </row>
    <row r="1437" spans="1:45" x14ac:dyDescent="0.3">
      <c r="A1437" s="1">
        <v>45900.963194444441</v>
      </c>
      <c r="B1437" t="s">
        <v>1463</v>
      </c>
      <c r="C1437" t="s">
        <v>1464</v>
      </c>
      <c r="D1437" t="s">
        <v>777</v>
      </c>
      <c r="E1437" t="s">
        <v>778</v>
      </c>
      <c r="F1437" t="s">
        <v>1841</v>
      </c>
      <c r="G1437" t="s">
        <v>779</v>
      </c>
      <c r="H1437" t="s">
        <v>66</v>
      </c>
      <c r="I1437" t="s">
        <v>43</v>
      </c>
      <c r="J1437">
        <v>50</v>
      </c>
      <c r="K1437">
        <v>19</v>
      </c>
      <c r="L1437">
        <v>11</v>
      </c>
      <c r="M1437">
        <v>9.5</v>
      </c>
      <c r="N1437">
        <v>38541</v>
      </c>
      <c r="O1437">
        <v>0</v>
      </c>
      <c r="P1437">
        <v>0</v>
      </c>
      <c r="Q1437">
        <v>6</v>
      </c>
      <c r="R1437">
        <v>2100</v>
      </c>
      <c r="S1437" t="s">
        <v>44</v>
      </c>
      <c r="T1437" t="s">
        <v>44</v>
      </c>
      <c r="U1437" t="s">
        <v>44</v>
      </c>
      <c r="V1437">
        <v>3435</v>
      </c>
      <c r="W1437">
        <v>1</v>
      </c>
      <c r="X1437" t="s">
        <v>44</v>
      </c>
      <c r="Y1437">
        <v>3435</v>
      </c>
      <c r="Z1437" t="s">
        <v>44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 s="2">
        <v>3435</v>
      </c>
      <c r="AQ1437">
        <f t="shared" si="50"/>
        <v>3435</v>
      </c>
      <c r="AR1437" s="5">
        <f>VLOOKUP(F1437,'[2]SCP_24-25'!$A:$D,4,0)</f>
        <v>13.06</v>
      </c>
      <c r="AS1437" s="5">
        <f t="shared" si="51"/>
        <v>44861.1</v>
      </c>
    </row>
    <row r="1438" spans="1:45" x14ac:dyDescent="0.3">
      <c r="A1438" s="1">
        <v>45900.963194444441</v>
      </c>
      <c r="B1438" t="s">
        <v>1463</v>
      </c>
      <c r="C1438" t="s">
        <v>1464</v>
      </c>
      <c r="D1438" t="s">
        <v>1305</v>
      </c>
      <c r="E1438" t="s">
        <v>1306</v>
      </c>
      <c r="F1438" t="s">
        <v>2104</v>
      </c>
      <c r="G1438" t="s">
        <v>1307</v>
      </c>
      <c r="H1438" t="s">
        <v>66</v>
      </c>
      <c r="I1438" t="s">
        <v>43</v>
      </c>
      <c r="J1438">
        <v>10</v>
      </c>
      <c r="K1438">
        <v>19</v>
      </c>
      <c r="L1438">
        <v>11</v>
      </c>
      <c r="M1438">
        <v>9.5</v>
      </c>
      <c r="N1438">
        <v>53704</v>
      </c>
      <c r="O1438">
        <v>1</v>
      </c>
      <c r="P1438">
        <v>0</v>
      </c>
      <c r="Q1438">
        <v>2</v>
      </c>
      <c r="R1438" t="s">
        <v>44</v>
      </c>
      <c r="S1438" t="s">
        <v>44</v>
      </c>
      <c r="T1438" t="s">
        <v>44</v>
      </c>
      <c r="U1438" t="s">
        <v>44</v>
      </c>
      <c r="V1438">
        <v>3835</v>
      </c>
      <c r="W1438" t="s">
        <v>44</v>
      </c>
      <c r="X1438" t="s">
        <v>44</v>
      </c>
      <c r="Y1438">
        <v>3835</v>
      </c>
      <c r="Z1438" t="s">
        <v>44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 s="2">
        <v>3836</v>
      </c>
      <c r="AQ1438">
        <f t="shared" si="50"/>
        <v>3836</v>
      </c>
      <c r="AR1438" s="5">
        <f>VLOOKUP(F1438,'[2]SCP_24-25'!$A:$D,4,0)</f>
        <v>16.059999999999999</v>
      </c>
      <c r="AS1438" s="5">
        <f t="shared" si="51"/>
        <v>61606.159999999996</v>
      </c>
    </row>
    <row r="1439" spans="1:45" x14ac:dyDescent="0.3">
      <c r="A1439" s="1">
        <v>45900.963194444441</v>
      </c>
      <c r="B1439" t="s">
        <v>1463</v>
      </c>
      <c r="C1439" t="s">
        <v>1464</v>
      </c>
      <c r="D1439" t="s">
        <v>1312</v>
      </c>
      <c r="E1439" t="s">
        <v>1313</v>
      </c>
      <c r="F1439" t="s">
        <v>2107</v>
      </c>
      <c r="G1439" t="s">
        <v>1314</v>
      </c>
      <c r="H1439" t="s">
        <v>66</v>
      </c>
      <c r="I1439" t="s">
        <v>43</v>
      </c>
      <c r="J1439">
        <v>50</v>
      </c>
      <c r="K1439">
        <v>19</v>
      </c>
      <c r="L1439">
        <v>11</v>
      </c>
      <c r="M1439">
        <v>9.5</v>
      </c>
      <c r="N1439">
        <v>35738</v>
      </c>
      <c r="O1439">
        <v>0</v>
      </c>
      <c r="P1439">
        <v>0</v>
      </c>
      <c r="Q1439">
        <v>4</v>
      </c>
      <c r="R1439" t="s">
        <v>44</v>
      </c>
      <c r="S1439" t="s">
        <v>44</v>
      </c>
      <c r="T1439" t="s">
        <v>44</v>
      </c>
      <c r="U1439" t="s">
        <v>44</v>
      </c>
      <c r="V1439">
        <v>4447</v>
      </c>
      <c r="W1439" t="s">
        <v>44</v>
      </c>
      <c r="X1439" t="s">
        <v>44</v>
      </c>
      <c r="Y1439">
        <v>4447</v>
      </c>
      <c r="Z1439" t="s">
        <v>44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 s="2">
        <v>4447</v>
      </c>
      <c r="AQ1439">
        <f t="shared" si="50"/>
        <v>4447</v>
      </c>
      <c r="AR1439" s="5">
        <f>VLOOKUP(F1439,'[2]SCP_24-25'!$A:$D,4,0)</f>
        <v>20.65</v>
      </c>
      <c r="AS1439" s="5">
        <f t="shared" si="51"/>
        <v>91830.549999999988</v>
      </c>
    </row>
    <row r="1440" spans="1:45" x14ac:dyDescent="0.3">
      <c r="A1440" s="1">
        <v>45900.963194444441</v>
      </c>
      <c r="B1440" t="s">
        <v>1463</v>
      </c>
      <c r="C1440" t="s">
        <v>1464</v>
      </c>
      <c r="D1440" t="s">
        <v>320</v>
      </c>
      <c r="E1440" t="s">
        <v>321</v>
      </c>
      <c r="F1440" t="s">
        <v>1623</v>
      </c>
      <c r="G1440" t="s">
        <v>322</v>
      </c>
      <c r="H1440" t="s">
        <v>66</v>
      </c>
      <c r="I1440" t="s">
        <v>43</v>
      </c>
      <c r="J1440">
        <v>50</v>
      </c>
      <c r="K1440">
        <v>19</v>
      </c>
      <c r="L1440">
        <v>11</v>
      </c>
      <c r="M1440">
        <v>9.5</v>
      </c>
      <c r="N1440">
        <v>46104</v>
      </c>
      <c r="O1440">
        <v>0</v>
      </c>
      <c r="P1440">
        <v>0</v>
      </c>
      <c r="Q1440">
        <v>8</v>
      </c>
      <c r="R1440" t="s">
        <v>44</v>
      </c>
      <c r="S1440" t="s">
        <v>44</v>
      </c>
      <c r="T1440" t="s">
        <v>44</v>
      </c>
      <c r="U1440" t="s">
        <v>44</v>
      </c>
      <c r="V1440">
        <v>6811</v>
      </c>
      <c r="W1440" t="s">
        <v>44</v>
      </c>
      <c r="X1440" t="s">
        <v>44</v>
      </c>
      <c r="Y1440">
        <v>6811</v>
      </c>
      <c r="Z1440" t="s">
        <v>44</v>
      </c>
      <c r="AA1440">
        <v>1</v>
      </c>
      <c r="AB1440">
        <v>0</v>
      </c>
      <c r="AC1440">
        <v>0</v>
      </c>
      <c r="AD1440">
        <v>0</v>
      </c>
      <c r="AE1440">
        <v>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 s="2">
        <v>6812</v>
      </c>
      <c r="AQ1440">
        <f t="shared" si="50"/>
        <v>6812</v>
      </c>
      <c r="AR1440" s="5">
        <f>VLOOKUP(F1440,'[2]SCP_24-25'!$A:$D,4,0)</f>
        <v>17.11</v>
      </c>
      <c r="AS1440" s="5">
        <f t="shared" si="51"/>
        <v>116553.31999999999</v>
      </c>
    </row>
    <row r="1441" spans="1:45" x14ac:dyDescent="0.3">
      <c r="A1441" s="1">
        <v>45900.963194444441</v>
      </c>
      <c r="B1441" t="s">
        <v>1463</v>
      </c>
      <c r="C1441" t="s">
        <v>1464</v>
      </c>
      <c r="D1441" t="s">
        <v>323</v>
      </c>
      <c r="E1441" t="s">
        <v>324</v>
      </c>
      <c r="F1441" t="s">
        <v>1624</v>
      </c>
      <c r="G1441" t="s">
        <v>325</v>
      </c>
      <c r="H1441" t="s">
        <v>66</v>
      </c>
      <c r="I1441" t="s">
        <v>43</v>
      </c>
      <c r="J1441">
        <v>50</v>
      </c>
      <c r="K1441">
        <v>19</v>
      </c>
      <c r="L1441">
        <v>11</v>
      </c>
      <c r="M1441">
        <v>9.5</v>
      </c>
      <c r="N1441">
        <v>41227</v>
      </c>
      <c r="O1441">
        <v>0</v>
      </c>
      <c r="P1441">
        <v>0</v>
      </c>
      <c r="Q1441">
        <v>263</v>
      </c>
      <c r="R1441">
        <v>1100</v>
      </c>
      <c r="S1441" t="s">
        <v>44</v>
      </c>
      <c r="T1441" t="s">
        <v>44</v>
      </c>
      <c r="U1441" t="s">
        <v>44</v>
      </c>
      <c r="V1441">
        <v>3815</v>
      </c>
      <c r="W1441" t="s">
        <v>44</v>
      </c>
      <c r="X1441" t="s">
        <v>44</v>
      </c>
      <c r="Y1441">
        <v>3812</v>
      </c>
      <c r="Z1441" t="s">
        <v>44</v>
      </c>
      <c r="AA1441">
        <v>0</v>
      </c>
      <c r="AB1441">
        <v>0</v>
      </c>
      <c r="AC1441">
        <v>0</v>
      </c>
      <c r="AD1441">
        <v>0</v>
      </c>
      <c r="AE1441">
        <v>1948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 s="2">
        <v>3815</v>
      </c>
      <c r="AQ1441">
        <f t="shared" si="50"/>
        <v>3815</v>
      </c>
      <c r="AR1441" s="5">
        <f>VLOOKUP(F1441,'[2]SCP_24-25'!$A:$D,4,0)</f>
        <v>14.330000000000002</v>
      </c>
      <c r="AS1441" s="5">
        <f t="shared" si="51"/>
        <v>54668.950000000004</v>
      </c>
    </row>
    <row r="1442" spans="1:45" x14ac:dyDescent="0.3">
      <c r="A1442" s="1">
        <v>45900.963194444441</v>
      </c>
      <c r="B1442" t="s">
        <v>1463</v>
      </c>
      <c r="C1442" t="s">
        <v>1464</v>
      </c>
      <c r="D1442" t="s">
        <v>1343</v>
      </c>
      <c r="E1442" t="s">
        <v>1344</v>
      </c>
      <c r="F1442" t="s">
        <v>2121</v>
      </c>
      <c r="G1442" t="s">
        <v>1345</v>
      </c>
      <c r="H1442" t="s">
        <v>66</v>
      </c>
      <c r="I1442" t="s">
        <v>43</v>
      </c>
      <c r="J1442">
        <v>50</v>
      </c>
      <c r="K1442">
        <v>19</v>
      </c>
      <c r="L1442">
        <v>11</v>
      </c>
      <c r="M1442">
        <v>9.5</v>
      </c>
      <c r="N1442">
        <v>59683</v>
      </c>
      <c r="O1442">
        <v>0</v>
      </c>
      <c r="P1442">
        <v>0</v>
      </c>
      <c r="Q1442">
        <v>1992</v>
      </c>
      <c r="R1442" t="s">
        <v>44</v>
      </c>
      <c r="S1442" t="s">
        <v>44</v>
      </c>
      <c r="T1442" t="s">
        <v>44</v>
      </c>
      <c r="U1442" t="s">
        <v>44</v>
      </c>
      <c r="V1442">
        <v>8992</v>
      </c>
      <c r="W1442" t="s">
        <v>44</v>
      </c>
      <c r="X1442" t="s">
        <v>44</v>
      </c>
      <c r="Y1442">
        <v>8992</v>
      </c>
      <c r="Z1442" t="s">
        <v>44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 s="2">
        <v>8992</v>
      </c>
      <c r="AQ1442">
        <f t="shared" si="50"/>
        <v>8992</v>
      </c>
      <c r="AR1442" s="5">
        <f>VLOOKUP(F1442,'[2]SCP_24-25'!$A:$D,4,0)</f>
        <v>12.53</v>
      </c>
      <c r="AS1442" s="5">
        <f t="shared" si="51"/>
        <v>112669.75999999999</v>
      </c>
    </row>
    <row r="1443" spans="1:45" x14ac:dyDescent="0.3">
      <c r="A1443" s="1">
        <v>45900.963194444441</v>
      </c>
      <c r="B1443" t="s">
        <v>1463</v>
      </c>
      <c r="C1443" t="s">
        <v>1464</v>
      </c>
      <c r="D1443" t="s">
        <v>1355</v>
      </c>
      <c r="E1443" t="s">
        <v>1356</v>
      </c>
      <c r="F1443" t="s">
        <v>2126</v>
      </c>
      <c r="G1443" t="s">
        <v>1357</v>
      </c>
      <c r="H1443" t="s">
        <v>66</v>
      </c>
      <c r="I1443" t="s">
        <v>43</v>
      </c>
      <c r="J1443">
        <v>50</v>
      </c>
      <c r="K1443">
        <v>19</v>
      </c>
      <c r="L1443">
        <v>11</v>
      </c>
      <c r="M1443">
        <v>9.5</v>
      </c>
      <c r="N1443">
        <v>13860</v>
      </c>
      <c r="O1443">
        <v>0</v>
      </c>
      <c r="P1443">
        <v>0</v>
      </c>
      <c r="Q1443">
        <v>187</v>
      </c>
      <c r="R1443" t="s">
        <v>44</v>
      </c>
      <c r="S1443" t="s">
        <v>44</v>
      </c>
      <c r="T1443" t="s">
        <v>44</v>
      </c>
      <c r="U1443" t="s">
        <v>44</v>
      </c>
      <c r="V1443">
        <v>4946</v>
      </c>
      <c r="W1443">
        <v>4</v>
      </c>
      <c r="X1443" t="s">
        <v>44</v>
      </c>
      <c r="Y1443">
        <v>4946</v>
      </c>
      <c r="Z1443" t="s">
        <v>44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 s="2">
        <v>4946</v>
      </c>
      <c r="AQ1443">
        <f t="shared" si="50"/>
        <v>4946</v>
      </c>
      <c r="AR1443" s="5">
        <f>VLOOKUP(F1443,'[2]SCP_24-25'!$A:$D,4,0)</f>
        <v>14.59</v>
      </c>
      <c r="AS1443" s="5">
        <f t="shared" si="51"/>
        <v>72162.14</v>
      </c>
    </row>
    <row r="1444" spans="1:45" x14ac:dyDescent="0.3">
      <c r="A1444" s="1">
        <v>45900.963194444441</v>
      </c>
      <c r="B1444" t="s">
        <v>1463</v>
      </c>
      <c r="C1444" t="s">
        <v>1464</v>
      </c>
      <c r="D1444" t="s">
        <v>104</v>
      </c>
      <c r="E1444" t="s">
        <v>105</v>
      </c>
      <c r="F1444" t="s">
        <v>1533</v>
      </c>
      <c r="G1444" t="s">
        <v>106</v>
      </c>
      <c r="H1444" t="s">
        <v>103</v>
      </c>
      <c r="I1444" t="s">
        <v>43</v>
      </c>
      <c r="J1444">
        <v>250</v>
      </c>
      <c r="K1444">
        <v>19</v>
      </c>
      <c r="L1444">
        <v>10</v>
      </c>
      <c r="M1444">
        <v>11</v>
      </c>
      <c r="N1444">
        <v>49847</v>
      </c>
      <c r="O1444">
        <v>930</v>
      </c>
      <c r="P1444">
        <v>0</v>
      </c>
      <c r="Q1444">
        <v>126</v>
      </c>
      <c r="R1444">
        <v>3149</v>
      </c>
      <c r="S1444" t="s">
        <v>44</v>
      </c>
      <c r="T1444" t="s">
        <v>44</v>
      </c>
      <c r="U1444" t="s">
        <v>44</v>
      </c>
      <c r="V1444">
        <v>2829</v>
      </c>
      <c r="W1444">
        <v>107</v>
      </c>
      <c r="X1444" t="s">
        <v>44</v>
      </c>
      <c r="Y1444">
        <v>2733</v>
      </c>
      <c r="Z1444" t="s">
        <v>44</v>
      </c>
      <c r="AA1444">
        <v>4</v>
      </c>
      <c r="AB1444">
        <v>0</v>
      </c>
      <c r="AC1444">
        <v>0</v>
      </c>
      <c r="AD1444">
        <v>0</v>
      </c>
      <c r="AE1444">
        <v>0</v>
      </c>
      <c r="AF1444">
        <v>9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 s="2">
        <v>3763</v>
      </c>
      <c r="AQ1444">
        <f t="shared" si="50"/>
        <v>3763</v>
      </c>
      <c r="AR1444" s="5">
        <f>VLOOKUP(F1444,'[2]SCP_24-25'!$A:$D,4,0)</f>
        <v>49.06</v>
      </c>
      <c r="AS1444" s="5">
        <f t="shared" si="51"/>
        <v>184612.78</v>
      </c>
    </row>
    <row r="1445" spans="1:45" x14ac:dyDescent="0.3">
      <c r="A1445" s="1">
        <v>45900.963194444441</v>
      </c>
      <c r="B1445" t="s">
        <v>1463</v>
      </c>
      <c r="C1445" t="s">
        <v>1464</v>
      </c>
      <c r="D1445" t="s">
        <v>326</v>
      </c>
      <c r="F1445" t="s">
        <v>1625</v>
      </c>
      <c r="G1445" t="s">
        <v>327</v>
      </c>
      <c r="H1445" t="s">
        <v>66</v>
      </c>
      <c r="I1445" t="s">
        <v>43</v>
      </c>
      <c r="J1445">
        <v>40</v>
      </c>
      <c r="K1445">
        <v>19</v>
      </c>
      <c r="L1445">
        <v>11</v>
      </c>
      <c r="M1445">
        <v>9.5</v>
      </c>
      <c r="N1445">
        <v>100837</v>
      </c>
      <c r="O1445">
        <v>187</v>
      </c>
      <c r="P1445">
        <v>0</v>
      </c>
      <c r="Q1445">
        <v>20</v>
      </c>
      <c r="R1445">
        <v>1612</v>
      </c>
      <c r="S1445" t="s">
        <v>44</v>
      </c>
      <c r="T1445" t="s">
        <v>44</v>
      </c>
      <c r="U1445" t="s">
        <v>44</v>
      </c>
      <c r="V1445">
        <v>8542</v>
      </c>
      <c r="W1445">
        <v>2</v>
      </c>
      <c r="X1445" t="s">
        <v>44</v>
      </c>
      <c r="Y1445">
        <v>8530</v>
      </c>
      <c r="Z1445" t="s">
        <v>44</v>
      </c>
      <c r="AA1445">
        <v>18</v>
      </c>
      <c r="AB1445">
        <v>0</v>
      </c>
      <c r="AC1445">
        <v>0</v>
      </c>
      <c r="AD1445">
        <v>0</v>
      </c>
      <c r="AE1445">
        <v>0</v>
      </c>
      <c r="AF1445">
        <v>3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 s="2">
        <v>8747</v>
      </c>
      <c r="AQ1445">
        <f t="shared" si="50"/>
        <v>8747</v>
      </c>
      <c r="AR1445" s="5">
        <f>VLOOKUP(F1445,'[2]SCP_24-25'!$A:$D,4,0)</f>
        <v>15.920000000000002</v>
      </c>
      <c r="AS1445" s="5">
        <f t="shared" si="51"/>
        <v>139252.24000000002</v>
      </c>
    </row>
    <row r="1446" spans="1:45" x14ac:dyDescent="0.3">
      <c r="A1446" s="1">
        <v>45900.963194444441</v>
      </c>
      <c r="B1446" t="s">
        <v>1463</v>
      </c>
      <c r="C1446" t="s">
        <v>1464</v>
      </c>
      <c r="D1446" t="s">
        <v>349</v>
      </c>
      <c r="E1446" t="s">
        <v>345</v>
      </c>
      <c r="F1446" t="s">
        <v>1634</v>
      </c>
      <c r="G1446" t="s">
        <v>350</v>
      </c>
      <c r="H1446" t="s">
        <v>130</v>
      </c>
      <c r="I1446" t="s">
        <v>43</v>
      </c>
      <c r="J1446">
        <v>112.62</v>
      </c>
      <c r="K1446">
        <v>19</v>
      </c>
      <c r="L1446">
        <v>10</v>
      </c>
      <c r="M1446">
        <v>11</v>
      </c>
      <c r="N1446">
        <v>18139</v>
      </c>
      <c r="O1446">
        <v>60</v>
      </c>
      <c r="P1446">
        <v>0</v>
      </c>
      <c r="Q1446">
        <v>4</v>
      </c>
      <c r="R1446">
        <v>1</v>
      </c>
      <c r="S1446" t="s">
        <v>44</v>
      </c>
      <c r="T1446" t="s">
        <v>44</v>
      </c>
      <c r="U1446" t="s">
        <v>44</v>
      </c>
      <c r="V1446">
        <v>3601</v>
      </c>
      <c r="W1446">
        <v>3</v>
      </c>
      <c r="X1446" t="s">
        <v>44</v>
      </c>
      <c r="Y1446">
        <v>3595</v>
      </c>
      <c r="Z1446" t="s">
        <v>44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 s="2">
        <v>3661</v>
      </c>
      <c r="AQ1446">
        <f t="shared" si="50"/>
        <v>3661</v>
      </c>
      <c r="AR1446" s="5">
        <f>VLOOKUP(F1446,'[2]SCP_24-25'!$A:$D,4,0)</f>
        <v>114.80999999999999</v>
      </c>
      <c r="AS1446" s="5">
        <f t="shared" si="51"/>
        <v>420319.41</v>
      </c>
    </row>
    <row r="1447" spans="1:45" x14ac:dyDescent="0.3">
      <c r="A1447" s="1">
        <v>45900.963194444441</v>
      </c>
      <c r="B1447" t="s">
        <v>1463</v>
      </c>
      <c r="C1447" t="s">
        <v>1464</v>
      </c>
      <c r="D1447" t="s">
        <v>364</v>
      </c>
      <c r="E1447" t="s">
        <v>365</v>
      </c>
      <c r="F1447" t="s">
        <v>1641</v>
      </c>
      <c r="G1447" t="s">
        <v>366</v>
      </c>
      <c r="H1447" t="s">
        <v>130</v>
      </c>
      <c r="I1447" t="s">
        <v>43</v>
      </c>
      <c r="J1447">
        <v>40.68</v>
      </c>
      <c r="K1447">
        <v>19</v>
      </c>
      <c r="L1447">
        <v>10</v>
      </c>
      <c r="M1447">
        <v>11</v>
      </c>
      <c r="N1447">
        <v>29433</v>
      </c>
      <c r="O1447">
        <v>84</v>
      </c>
      <c r="P1447">
        <v>0</v>
      </c>
      <c r="Q1447">
        <v>16</v>
      </c>
      <c r="R1447">
        <v>96</v>
      </c>
      <c r="S1447" t="s">
        <v>44</v>
      </c>
      <c r="T1447" t="s">
        <v>44</v>
      </c>
      <c r="U1447" t="s">
        <v>44</v>
      </c>
      <c r="V1447">
        <v>2779</v>
      </c>
      <c r="W1447">
        <v>4</v>
      </c>
      <c r="X1447" t="s">
        <v>44</v>
      </c>
      <c r="Y1447">
        <v>2779</v>
      </c>
      <c r="Z1447" t="s">
        <v>44</v>
      </c>
      <c r="AA1447">
        <v>2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 s="2">
        <v>2865</v>
      </c>
      <c r="AQ1447">
        <f t="shared" si="50"/>
        <v>2865</v>
      </c>
      <c r="AR1447" s="5">
        <f>VLOOKUP(F1447,'[2]SCP_24-25'!$A:$D,4,0)</f>
        <v>61.98</v>
      </c>
      <c r="AS1447" s="5">
        <f t="shared" si="51"/>
        <v>177572.69999999998</v>
      </c>
    </row>
    <row r="1448" spans="1:45" x14ac:dyDescent="0.3">
      <c r="A1448" s="1">
        <v>45900.963194444441</v>
      </c>
      <c r="B1448" t="s">
        <v>1463</v>
      </c>
      <c r="C1448" t="s">
        <v>1464</v>
      </c>
      <c r="D1448" t="s">
        <v>897</v>
      </c>
      <c r="F1448" t="s">
        <v>1899</v>
      </c>
      <c r="G1448" t="s">
        <v>898</v>
      </c>
      <c r="H1448" t="s">
        <v>130</v>
      </c>
      <c r="I1448" t="s">
        <v>43</v>
      </c>
      <c r="J1448">
        <v>35.020000000000003</v>
      </c>
      <c r="K1448">
        <v>19</v>
      </c>
      <c r="L1448">
        <v>11</v>
      </c>
      <c r="M1448">
        <v>10</v>
      </c>
      <c r="N1448">
        <v>12719</v>
      </c>
      <c r="O1448">
        <v>27</v>
      </c>
      <c r="P1448">
        <v>0</v>
      </c>
      <c r="Q1448">
        <v>11</v>
      </c>
      <c r="R1448">
        <v>7</v>
      </c>
      <c r="S1448" t="s">
        <v>44</v>
      </c>
      <c r="T1448" t="s">
        <v>44</v>
      </c>
      <c r="U1448" t="s">
        <v>44</v>
      </c>
      <c r="V1448">
        <v>3189</v>
      </c>
      <c r="W1448" t="s">
        <v>44</v>
      </c>
      <c r="X1448" t="s">
        <v>44</v>
      </c>
      <c r="Y1448">
        <v>3189</v>
      </c>
      <c r="Z1448" t="s">
        <v>44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 s="2">
        <v>3216</v>
      </c>
      <c r="AQ1448">
        <f t="shared" si="50"/>
        <v>3216</v>
      </c>
      <c r="AR1448" s="5">
        <f>VLOOKUP(F1448,'[2]SCP_24-25'!$A:$D,4,0)</f>
        <v>26</v>
      </c>
      <c r="AS1448" s="5">
        <f t="shared" si="51"/>
        <v>83616</v>
      </c>
    </row>
    <row r="1449" spans="1:45" x14ac:dyDescent="0.3">
      <c r="A1449" s="1">
        <v>45900.963194444441</v>
      </c>
      <c r="B1449" t="s">
        <v>1463</v>
      </c>
      <c r="C1449" t="s">
        <v>1464</v>
      </c>
      <c r="D1449" t="s">
        <v>624</v>
      </c>
      <c r="F1449" t="s">
        <v>1765</v>
      </c>
      <c r="G1449" t="s">
        <v>625</v>
      </c>
      <c r="H1449" t="s">
        <v>66</v>
      </c>
      <c r="I1449" t="s">
        <v>43</v>
      </c>
      <c r="J1449">
        <v>61.92</v>
      </c>
      <c r="K1449">
        <v>19</v>
      </c>
      <c r="L1449">
        <v>10</v>
      </c>
      <c r="M1449">
        <v>11</v>
      </c>
      <c r="N1449">
        <v>17055</v>
      </c>
      <c r="O1449">
        <v>2</v>
      </c>
      <c r="P1449">
        <v>0</v>
      </c>
      <c r="Q1449">
        <v>6</v>
      </c>
      <c r="R1449">
        <v>754</v>
      </c>
      <c r="S1449" t="s">
        <v>44</v>
      </c>
      <c r="T1449" t="s">
        <v>44</v>
      </c>
      <c r="U1449" t="s">
        <v>44</v>
      </c>
      <c r="V1449">
        <v>3065</v>
      </c>
      <c r="W1449" t="s">
        <v>44</v>
      </c>
      <c r="X1449" t="s">
        <v>44</v>
      </c>
      <c r="Y1449">
        <v>3050</v>
      </c>
      <c r="Z1449" t="s">
        <v>44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 s="2">
        <v>3067</v>
      </c>
      <c r="AQ1449">
        <f t="shared" si="50"/>
        <v>3067</v>
      </c>
      <c r="AR1449" s="5">
        <f>VLOOKUP(F1449,'[2]SCP_24-25'!$A:$D,4,0)</f>
        <v>23.39</v>
      </c>
      <c r="AS1449" s="5">
        <f t="shared" si="51"/>
        <v>71737.13</v>
      </c>
    </row>
    <row r="1450" spans="1:45" x14ac:dyDescent="0.3">
      <c r="A1450" s="1">
        <v>45900.963194444441</v>
      </c>
      <c r="B1450" t="s">
        <v>1463</v>
      </c>
      <c r="C1450" t="s">
        <v>1464</v>
      </c>
      <c r="D1450" t="s">
        <v>626</v>
      </c>
      <c r="F1450" t="s">
        <v>1766</v>
      </c>
      <c r="G1450" t="s">
        <v>627</v>
      </c>
      <c r="H1450" t="s">
        <v>66</v>
      </c>
      <c r="I1450" t="s">
        <v>43</v>
      </c>
      <c r="J1450">
        <v>61.92</v>
      </c>
      <c r="K1450">
        <v>19</v>
      </c>
      <c r="L1450">
        <v>10</v>
      </c>
      <c r="M1450">
        <v>11</v>
      </c>
      <c r="N1450">
        <v>16804</v>
      </c>
      <c r="O1450">
        <v>1</v>
      </c>
      <c r="P1450">
        <v>0</v>
      </c>
      <c r="Q1450">
        <v>6</v>
      </c>
      <c r="R1450">
        <v>737</v>
      </c>
      <c r="S1450" t="s">
        <v>44</v>
      </c>
      <c r="T1450" t="s">
        <v>44</v>
      </c>
      <c r="U1450" t="s">
        <v>44</v>
      </c>
      <c r="V1450">
        <v>3333</v>
      </c>
      <c r="W1450" t="s">
        <v>44</v>
      </c>
      <c r="X1450" t="s">
        <v>44</v>
      </c>
      <c r="Y1450">
        <v>3166</v>
      </c>
      <c r="Z1450" t="s">
        <v>44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 s="2">
        <v>3334</v>
      </c>
      <c r="AQ1450">
        <f t="shared" si="50"/>
        <v>3334</v>
      </c>
      <c r="AR1450" s="5">
        <f>VLOOKUP(F1450,'[2]SCP_24-25'!$A:$D,4,0)</f>
        <v>26.96</v>
      </c>
      <c r="AS1450" s="5">
        <f t="shared" si="51"/>
        <v>89884.64</v>
      </c>
    </row>
    <row r="1451" spans="1:45" x14ac:dyDescent="0.3">
      <c r="A1451" s="1">
        <v>45900.963194444441</v>
      </c>
      <c r="B1451" t="s">
        <v>1463</v>
      </c>
      <c r="C1451" t="s">
        <v>1464</v>
      </c>
      <c r="D1451" t="s">
        <v>126</v>
      </c>
      <c r="F1451" t="s">
        <v>1541</v>
      </c>
      <c r="G1451" t="s">
        <v>127</v>
      </c>
      <c r="H1451" t="s">
        <v>42</v>
      </c>
      <c r="I1451" t="s">
        <v>43</v>
      </c>
      <c r="J1451">
        <v>51</v>
      </c>
      <c r="K1451">
        <v>19</v>
      </c>
      <c r="L1451">
        <v>11</v>
      </c>
      <c r="M1451">
        <v>9.5</v>
      </c>
      <c r="N1451">
        <v>20191</v>
      </c>
      <c r="O1451">
        <v>93</v>
      </c>
      <c r="P1451">
        <v>0</v>
      </c>
      <c r="Q1451">
        <v>28</v>
      </c>
      <c r="R1451">
        <v>622</v>
      </c>
      <c r="S1451" t="s">
        <v>44</v>
      </c>
      <c r="T1451" t="s">
        <v>44</v>
      </c>
      <c r="U1451" t="s">
        <v>44</v>
      </c>
      <c r="V1451">
        <v>2639</v>
      </c>
      <c r="W1451">
        <v>3</v>
      </c>
      <c r="X1451" t="s">
        <v>44</v>
      </c>
      <c r="Y1451">
        <v>2639</v>
      </c>
      <c r="Z1451" t="s">
        <v>44</v>
      </c>
      <c r="AA1451">
        <v>2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 s="2">
        <v>2734</v>
      </c>
      <c r="AQ1451">
        <f t="shared" si="50"/>
        <v>2734</v>
      </c>
      <c r="AR1451" s="5">
        <f>VLOOKUP(F1451,'[2]SCP_24-25'!$A:$D,4,0)</f>
        <v>150.74</v>
      </c>
      <c r="AS1451" s="5">
        <f t="shared" si="51"/>
        <v>412123.16000000003</v>
      </c>
    </row>
    <row r="1452" spans="1:45" x14ac:dyDescent="0.3">
      <c r="A1452" s="1">
        <v>45900.963194444441</v>
      </c>
      <c r="B1452" t="s">
        <v>1463</v>
      </c>
      <c r="C1452" t="s">
        <v>1464</v>
      </c>
      <c r="D1452" t="s">
        <v>399</v>
      </c>
      <c r="F1452" t="s">
        <v>1657</v>
      </c>
      <c r="G1452" t="s">
        <v>400</v>
      </c>
      <c r="H1452" t="s">
        <v>66</v>
      </c>
      <c r="I1452" t="s">
        <v>43</v>
      </c>
      <c r="J1452">
        <v>59.02</v>
      </c>
      <c r="K1452">
        <v>19</v>
      </c>
      <c r="L1452">
        <v>11</v>
      </c>
      <c r="M1452">
        <v>10</v>
      </c>
      <c r="N1452">
        <v>92838</v>
      </c>
      <c r="O1452">
        <v>535</v>
      </c>
      <c r="P1452">
        <v>0</v>
      </c>
      <c r="Q1452">
        <v>18</v>
      </c>
      <c r="R1452">
        <v>232</v>
      </c>
      <c r="S1452" t="s">
        <v>44</v>
      </c>
      <c r="T1452" t="s">
        <v>44</v>
      </c>
      <c r="U1452" t="s">
        <v>44</v>
      </c>
      <c r="V1452">
        <v>7596</v>
      </c>
      <c r="W1452">
        <v>20</v>
      </c>
      <c r="X1452" t="s">
        <v>44</v>
      </c>
      <c r="Y1452">
        <v>7596</v>
      </c>
      <c r="Z1452" t="s">
        <v>44</v>
      </c>
      <c r="AA1452">
        <v>5</v>
      </c>
      <c r="AB1452">
        <v>0</v>
      </c>
      <c r="AC1452">
        <v>0</v>
      </c>
      <c r="AD1452">
        <v>0</v>
      </c>
      <c r="AE1452">
        <v>0</v>
      </c>
      <c r="AF1452">
        <v>32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 s="2">
        <v>8136</v>
      </c>
      <c r="AQ1452">
        <f t="shared" si="50"/>
        <v>8136</v>
      </c>
      <c r="AR1452" s="5">
        <f>VLOOKUP(F1452,'[2]SCP_24-25'!$A:$D,4,0)</f>
        <v>50.06</v>
      </c>
      <c r="AS1452" s="5">
        <f t="shared" si="51"/>
        <v>407288.16000000003</v>
      </c>
    </row>
    <row r="1453" spans="1:45" x14ac:dyDescent="0.3">
      <c r="A1453" s="1">
        <v>45900.963194444441</v>
      </c>
      <c r="B1453" t="s">
        <v>1463</v>
      </c>
      <c r="C1453" t="s">
        <v>1464</v>
      </c>
      <c r="D1453" t="s">
        <v>437</v>
      </c>
      <c r="F1453" t="s">
        <v>1674</v>
      </c>
      <c r="G1453" t="s">
        <v>438</v>
      </c>
      <c r="H1453" t="s">
        <v>66</v>
      </c>
      <c r="I1453" t="s">
        <v>43</v>
      </c>
      <c r="J1453">
        <v>46.59</v>
      </c>
      <c r="K1453">
        <v>19</v>
      </c>
      <c r="L1453">
        <v>10</v>
      </c>
      <c r="M1453">
        <v>11</v>
      </c>
      <c r="N1453">
        <v>45157</v>
      </c>
      <c r="O1453">
        <v>503</v>
      </c>
      <c r="P1453">
        <v>0</v>
      </c>
      <c r="Q1453">
        <v>16</v>
      </c>
      <c r="R1453" t="s">
        <v>44</v>
      </c>
      <c r="S1453" t="s">
        <v>44</v>
      </c>
      <c r="T1453" t="s">
        <v>44</v>
      </c>
      <c r="U1453" t="s">
        <v>44</v>
      </c>
      <c r="V1453">
        <v>3012</v>
      </c>
      <c r="W1453">
        <v>37</v>
      </c>
      <c r="X1453" t="s">
        <v>44</v>
      </c>
      <c r="Y1453">
        <v>3012</v>
      </c>
      <c r="Z1453" t="s">
        <v>44</v>
      </c>
      <c r="AA1453">
        <v>19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 s="2">
        <v>3534</v>
      </c>
      <c r="AQ1453">
        <f t="shared" si="50"/>
        <v>3534</v>
      </c>
      <c r="AR1453" s="5">
        <f>VLOOKUP(F1453,'[2]SCP_24-25'!$A:$D,4,0)</f>
        <v>28.199999999999996</v>
      </c>
      <c r="AS1453" s="5">
        <f t="shared" si="51"/>
        <v>99658.799999999988</v>
      </c>
    </row>
    <row r="1454" spans="1:45" x14ac:dyDescent="0.3">
      <c r="A1454" s="1">
        <v>45900.963194444441</v>
      </c>
      <c r="B1454" t="s">
        <v>1463</v>
      </c>
      <c r="C1454" t="s">
        <v>1464</v>
      </c>
      <c r="D1454" t="s">
        <v>418</v>
      </c>
      <c r="F1454" t="s">
        <v>1666</v>
      </c>
      <c r="G1454" t="s">
        <v>419</v>
      </c>
      <c r="H1454" t="s">
        <v>66</v>
      </c>
      <c r="I1454" t="s">
        <v>43</v>
      </c>
      <c r="J1454">
        <v>90.08</v>
      </c>
      <c r="K1454">
        <v>19</v>
      </c>
      <c r="L1454">
        <v>10</v>
      </c>
      <c r="M1454">
        <v>11</v>
      </c>
      <c r="N1454">
        <v>87441</v>
      </c>
      <c r="O1454">
        <v>1018</v>
      </c>
      <c r="P1454">
        <v>0</v>
      </c>
      <c r="Q1454">
        <v>81</v>
      </c>
      <c r="R1454">
        <v>1</v>
      </c>
      <c r="S1454" t="s">
        <v>44</v>
      </c>
      <c r="T1454">
        <v>72</v>
      </c>
      <c r="U1454" t="s">
        <v>44</v>
      </c>
      <c r="V1454">
        <v>7902</v>
      </c>
      <c r="W1454">
        <v>34</v>
      </c>
      <c r="X1454" t="s">
        <v>44</v>
      </c>
      <c r="Y1454">
        <v>7902</v>
      </c>
      <c r="Z1454" t="s">
        <v>44</v>
      </c>
      <c r="AA1454">
        <v>32</v>
      </c>
      <c r="AB1454">
        <v>0</v>
      </c>
      <c r="AC1454">
        <v>0</v>
      </c>
      <c r="AD1454">
        <v>0</v>
      </c>
      <c r="AE1454">
        <v>0</v>
      </c>
      <c r="AF1454">
        <v>17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 s="2">
        <v>8952</v>
      </c>
      <c r="AQ1454">
        <f t="shared" si="50"/>
        <v>8952</v>
      </c>
      <c r="AR1454" s="5">
        <f>VLOOKUP(F1454,'[2]SCP_24-25'!$A:$D,4,0)</f>
        <v>45.279999999999994</v>
      </c>
      <c r="AS1454" s="5">
        <f t="shared" si="51"/>
        <v>405346.55999999994</v>
      </c>
    </row>
    <row r="1455" spans="1:45" x14ac:dyDescent="0.3">
      <c r="A1455" s="1">
        <v>45900.963194444441</v>
      </c>
      <c r="B1455" t="s">
        <v>1463</v>
      </c>
      <c r="C1455" t="s">
        <v>1464</v>
      </c>
      <c r="D1455" t="s">
        <v>483</v>
      </c>
      <c r="F1455" t="s">
        <v>1696</v>
      </c>
      <c r="G1455" t="s">
        <v>484</v>
      </c>
      <c r="H1455" t="s">
        <v>130</v>
      </c>
      <c r="I1455" t="s">
        <v>43</v>
      </c>
      <c r="J1455">
        <v>24.02</v>
      </c>
      <c r="K1455">
        <v>19</v>
      </c>
      <c r="L1455">
        <v>10</v>
      </c>
      <c r="M1455">
        <v>11</v>
      </c>
      <c r="N1455">
        <v>8723</v>
      </c>
      <c r="O1455">
        <v>3</v>
      </c>
      <c r="P1455">
        <v>0</v>
      </c>
      <c r="Q1455" t="s">
        <v>44</v>
      </c>
      <c r="R1455" t="s">
        <v>44</v>
      </c>
      <c r="S1455" t="s">
        <v>44</v>
      </c>
      <c r="T1455" t="s">
        <v>44</v>
      </c>
      <c r="U1455" t="s">
        <v>44</v>
      </c>
      <c r="V1455">
        <v>3121</v>
      </c>
      <c r="W1455">
        <v>1</v>
      </c>
      <c r="X1455" t="s">
        <v>44</v>
      </c>
      <c r="Y1455">
        <v>3121</v>
      </c>
      <c r="Z1455" t="s">
        <v>44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 s="2">
        <v>3124</v>
      </c>
      <c r="AQ1455">
        <f t="shared" si="50"/>
        <v>3124</v>
      </c>
      <c r="AR1455" s="5">
        <f>VLOOKUP(F1455,'[2]SCP_24-25'!$A:$D,4,0)</f>
        <v>79.066666666666677</v>
      </c>
      <c r="AS1455" s="5">
        <f t="shared" si="51"/>
        <v>247004.26666666669</v>
      </c>
    </row>
    <row r="1456" spans="1:45" x14ac:dyDescent="0.3">
      <c r="A1456" s="1">
        <v>45900.963194444441</v>
      </c>
      <c r="B1456" t="s">
        <v>1463</v>
      </c>
      <c r="C1456" t="s">
        <v>1464</v>
      </c>
      <c r="D1456" t="s">
        <v>526</v>
      </c>
      <c r="F1456" t="s">
        <v>1717</v>
      </c>
      <c r="G1456" t="s">
        <v>527</v>
      </c>
      <c r="H1456" t="s">
        <v>130</v>
      </c>
      <c r="I1456" t="s">
        <v>43</v>
      </c>
      <c r="J1456">
        <v>23</v>
      </c>
      <c r="K1456">
        <v>19</v>
      </c>
      <c r="L1456">
        <v>10</v>
      </c>
      <c r="M1456">
        <v>11</v>
      </c>
      <c r="N1456">
        <v>9864</v>
      </c>
      <c r="O1456">
        <v>5</v>
      </c>
      <c r="P1456">
        <v>0</v>
      </c>
      <c r="Q1456">
        <v>1</v>
      </c>
      <c r="R1456" t="s">
        <v>44</v>
      </c>
      <c r="S1456" t="s">
        <v>44</v>
      </c>
      <c r="T1456" t="s">
        <v>44</v>
      </c>
      <c r="U1456" t="s">
        <v>44</v>
      </c>
      <c r="V1456">
        <v>3666</v>
      </c>
      <c r="W1456" t="s">
        <v>44</v>
      </c>
      <c r="X1456" t="s">
        <v>44</v>
      </c>
      <c r="Y1456">
        <v>3666</v>
      </c>
      <c r="Z1456" t="s">
        <v>44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 s="2">
        <v>3671</v>
      </c>
      <c r="AQ1456">
        <f t="shared" si="50"/>
        <v>3671</v>
      </c>
      <c r="AR1456" s="5">
        <f>VLOOKUP(F1456,'[2]SCP_24-25'!$A:$D,4,0)</f>
        <v>79.680000000000007</v>
      </c>
      <c r="AS1456" s="5">
        <f t="shared" si="51"/>
        <v>292505.28000000003</v>
      </c>
    </row>
    <row r="1457" spans="1:45" x14ac:dyDescent="0.3">
      <c r="A1457" s="1">
        <v>45900.963194444441</v>
      </c>
      <c r="B1457" t="s">
        <v>1463</v>
      </c>
      <c r="C1457" t="s">
        <v>1464</v>
      </c>
      <c r="D1457" t="s">
        <v>528</v>
      </c>
      <c r="F1457" t="s">
        <v>1718</v>
      </c>
      <c r="G1457" t="s">
        <v>529</v>
      </c>
      <c r="H1457" t="s">
        <v>130</v>
      </c>
      <c r="I1457" t="s">
        <v>43</v>
      </c>
      <c r="J1457">
        <v>24.02</v>
      </c>
      <c r="K1457">
        <v>19</v>
      </c>
      <c r="L1457">
        <v>10</v>
      </c>
      <c r="M1457">
        <v>11</v>
      </c>
      <c r="N1457">
        <v>8814</v>
      </c>
      <c r="O1457">
        <v>4</v>
      </c>
      <c r="P1457">
        <v>0</v>
      </c>
      <c r="Q1457">
        <v>1</v>
      </c>
      <c r="R1457" t="s">
        <v>44</v>
      </c>
      <c r="S1457" t="s">
        <v>44</v>
      </c>
      <c r="T1457" t="s">
        <v>44</v>
      </c>
      <c r="U1457" t="s">
        <v>44</v>
      </c>
      <c r="V1457">
        <v>3172</v>
      </c>
      <c r="W1457" t="s">
        <v>44</v>
      </c>
      <c r="X1457" t="s">
        <v>44</v>
      </c>
      <c r="Y1457">
        <v>3172</v>
      </c>
      <c r="Z1457" t="s">
        <v>44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 s="2">
        <v>3176</v>
      </c>
      <c r="AQ1457">
        <f t="shared" si="50"/>
        <v>3176</v>
      </c>
      <c r="AR1457" s="5">
        <f>VLOOKUP(F1457,'[2]SCP_24-25'!$A:$D,4,0)</f>
        <v>79.680000000000007</v>
      </c>
      <c r="AS1457" s="5">
        <f t="shared" si="51"/>
        <v>253063.68000000002</v>
      </c>
    </row>
    <row r="1458" spans="1:45" x14ac:dyDescent="0.3">
      <c r="A1458" s="1">
        <v>45900.963194444441</v>
      </c>
      <c r="B1458" t="s">
        <v>1463</v>
      </c>
      <c r="C1458" t="s">
        <v>1464</v>
      </c>
      <c r="D1458" t="s">
        <v>447</v>
      </c>
      <c r="F1458" t="s">
        <v>1678</v>
      </c>
      <c r="G1458" t="s">
        <v>448</v>
      </c>
      <c r="H1458" t="s">
        <v>130</v>
      </c>
      <c r="I1458" t="s">
        <v>43</v>
      </c>
      <c r="J1458">
        <v>24</v>
      </c>
      <c r="K1458">
        <v>19</v>
      </c>
      <c r="L1458">
        <v>10</v>
      </c>
      <c r="M1458">
        <v>11</v>
      </c>
      <c r="N1458">
        <v>7746</v>
      </c>
      <c r="O1458">
        <v>1</v>
      </c>
      <c r="P1458">
        <v>0</v>
      </c>
      <c r="Q1458">
        <v>1</v>
      </c>
      <c r="R1458" t="s">
        <v>44</v>
      </c>
      <c r="S1458" t="s">
        <v>44</v>
      </c>
      <c r="T1458" t="s">
        <v>44</v>
      </c>
      <c r="U1458" t="s">
        <v>44</v>
      </c>
      <c r="V1458">
        <v>2852</v>
      </c>
      <c r="W1458">
        <v>1</v>
      </c>
      <c r="X1458" t="s">
        <v>44</v>
      </c>
      <c r="Y1458">
        <v>2852</v>
      </c>
      <c r="Z1458" t="s">
        <v>44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 s="2">
        <v>2853</v>
      </c>
      <c r="AQ1458">
        <f t="shared" si="50"/>
        <v>2853</v>
      </c>
      <c r="AR1458" s="5">
        <f>VLOOKUP(F1458,'[2]SCP_24-25'!$A:$D,4,0)</f>
        <v>79.680000000000007</v>
      </c>
      <c r="AS1458" s="5">
        <f t="shared" si="51"/>
        <v>227327.04</v>
      </c>
    </row>
    <row r="1459" spans="1:45" x14ac:dyDescent="0.3">
      <c r="A1459" s="1">
        <v>45900.963194444441</v>
      </c>
      <c r="B1459" t="s">
        <v>1463</v>
      </c>
      <c r="C1459" t="s">
        <v>1464</v>
      </c>
      <c r="D1459" t="s">
        <v>451</v>
      </c>
      <c r="F1459" t="s">
        <v>1680</v>
      </c>
      <c r="G1459" t="s">
        <v>452</v>
      </c>
      <c r="H1459" t="s">
        <v>130</v>
      </c>
      <c r="I1459" t="s">
        <v>43</v>
      </c>
      <c r="J1459">
        <v>125.02</v>
      </c>
      <c r="K1459">
        <v>19</v>
      </c>
      <c r="L1459">
        <v>10</v>
      </c>
      <c r="M1459">
        <v>11</v>
      </c>
      <c r="N1459">
        <v>10824</v>
      </c>
      <c r="O1459">
        <v>0</v>
      </c>
      <c r="P1459">
        <v>0</v>
      </c>
      <c r="Q1459">
        <v>2</v>
      </c>
      <c r="R1459" t="s">
        <v>44</v>
      </c>
      <c r="S1459" t="s">
        <v>44</v>
      </c>
      <c r="T1459" t="s">
        <v>44</v>
      </c>
      <c r="U1459" t="s">
        <v>44</v>
      </c>
      <c r="V1459">
        <v>4198</v>
      </c>
      <c r="W1459">
        <v>5</v>
      </c>
      <c r="X1459" t="s">
        <v>44</v>
      </c>
      <c r="Y1459">
        <v>4198</v>
      </c>
      <c r="Z1459" t="s">
        <v>44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 s="2">
        <v>4198</v>
      </c>
      <c r="AQ1459">
        <f t="shared" si="50"/>
        <v>4198</v>
      </c>
      <c r="AR1459" s="5">
        <f>VLOOKUP(F1459,'[2]SCP_24-25'!$A:$D,4,0)</f>
        <v>168.55</v>
      </c>
      <c r="AS1459" s="5">
        <f t="shared" si="51"/>
        <v>707572.9</v>
      </c>
    </row>
    <row r="1460" spans="1:45" x14ac:dyDescent="0.3">
      <c r="A1460" s="1">
        <v>45900.963194444441</v>
      </c>
      <c r="B1460" t="s">
        <v>1463</v>
      </c>
      <c r="C1460" t="s">
        <v>1464</v>
      </c>
      <c r="D1460" t="s">
        <v>495</v>
      </c>
      <c r="F1460" t="s">
        <v>1702</v>
      </c>
      <c r="G1460" t="s">
        <v>496</v>
      </c>
      <c r="H1460" t="s">
        <v>130</v>
      </c>
      <c r="I1460" t="s">
        <v>43</v>
      </c>
      <c r="J1460">
        <v>40.020000000000003</v>
      </c>
      <c r="K1460">
        <v>19</v>
      </c>
      <c r="L1460">
        <v>10</v>
      </c>
      <c r="M1460">
        <v>11</v>
      </c>
      <c r="N1460">
        <v>15054</v>
      </c>
      <c r="O1460">
        <v>15</v>
      </c>
      <c r="P1460">
        <v>0</v>
      </c>
      <c r="Q1460">
        <v>1</v>
      </c>
      <c r="R1460" t="s">
        <v>44</v>
      </c>
      <c r="S1460" t="s">
        <v>44</v>
      </c>
      <c r="T1460" t="s">
        <v>44</v>
      </c>
      <c r="U1460" t="s">
        <v>44</v>
      </c>
      <c r="V1460">
        <v>5305</v>
      </c>
      <c r="W1460">
        <v>1</v>
      </c>
      <c r="X1460" t="s">
        <v>44</v>
      </c>
      <c r="Y1460">
        <v>5305</v>
      </c>
      <c r="Z1460" t="s">
        <v>44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 s="2">
        <v>5321</v>
      </c>
      <c r="AQ1460">
        <f t="shared" si="50"/>
        <v>5321</v>
      </c>
      <c r="AR1460" s="5">
        <f>VLOOKUP(F1460,'[2]SCP_24-25'!$A:$D,4,0)</f>
        <v>98.3</v>
      </c>
      <c r="AS1460" s="5">
        <f t="shared" si="51"/>
        <v>523054.3</v>
      </c>
    </row>
    <row r="1461" spans="1:45" x14ac:dyDescent="0.3">
      <c r="A1461" s="1">
        <v>45900.963194444441</v>
      </c>
      <c r="B1461" t="s">
        <v>1463</v>
      </c>
      <c r="C1461" t="s">
        <v>1464</v>
      </c>
      <c r="D1461" t="s">
        <v>459</v>
      </c>
      <c r="F1461" t="s">
        <v>1684</v>
      </c>
      <c r="G1461" t="s">
        <v>460</v>
      </c>
      <c r="H1461" t="s">
        <v>130</v>
      </c>
      <c r="I1461" t="s">
        <v>43</v>
      </c>
      <c r="J1461">
        <v>40.020000000000003</v>
      </c>
      <c r="K1461">
        <v>19</v>
      </c>
      <c r="L1461">
        <v>10</v>
      </c>
      <c r="M1461">
        <v>11</v>
      </c>
      <c r="N1461">
        <v>22488</v>
      </c>
      <c r="O1461">
        <v>52</v>
      </c>
      <c r="P1461">
        <v>0</v>
      </c>
      <c r="Q1461">
        <v>3</v>
      </c>
      <c r="R1461" t="s">
        <v>44</v>
      </c>
      <c r="S1461" t="s">
        <v>44</v>
      </c>
      <c r="T1461" t="s">
        <v>44</v>
      </c>
      <c r="U1461" t="s">
        <v>44</v>
      </c>
      <c r="V1461">
        <v>6591</v>
      </c>
      <c r="W1461">
        <v>1</v>
      </c>
      <c r="X1461" t="s">
        <v>44</v>
      </c>
      <c r="Y1461">
        <v>6591</v>
      </c>
      <c r="Z1461" t="s">
        <v>44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 s="2">
        <v>6643</v>
      </c>
      <c r="AQ1461">
        <f t="shared" si="50"/>
        <v>6643</v>
      </c>
      <c r="AR1461" s="5">
        <f>VLOOKUP(F1461,'[2]SCP_24-25'!$A:$D,4,0)</f>
        <v>98.299999999999983</v>
      </c>
      <c r="AS1461" s="5">
        <f t="shared" si="51"/>
        <v>653006.89999999991</v>
      </c>
    </row>
    <row r="1462" spans="1:45" x14ac:dyDescent="0.3">
      <c r="A1462" s="1">
        <v>45900.963194444441</v>
      </c>
      <c r="B1462" t="s">
        <v>1463</v>
      </c>
      <c r="C1462" t="s">
        <v>1464</v>
      </c>
      <c r="D1462" t="s">
        <v>465</v>
      </c>
      <c r="F1462" t="s">
        <v>1687</v>
      </c>
      <c r="G1462" t="s">
        <v>466</v>
      </c>
      <c r="H1462" t="s">
        <v>130</v>
      </c>
      <c r="I1462" t="s">
        <v>43</v>
      </c>
      <c r="J1462">
        <v>29.02</v>
      </c>
      <c r="K1462">
        <v>19</v>
      </c>
      <c r="L1462">
        <v>10</v>
      </c>
      <c r="M1462">
        <v>11</v>
      </c>
      <c r="N1462">
        <v>11717</v>
      </c>
      <c r="O1462">
        <v>23</v>
      </c>
      <c r="P1462">
        <v>0</v>
      </c>
      <c r="Q1462">
        <v>2</v>
      </c>
      <c r="R1462" t="s">
        <v>44</v>
      </c>
      <c r="S1462" t="s">
        <v>44</v>
      </c>
      <c r="T1462" t="s">
        <v>44</v>
      </c>
      <c r="U1462" t="s">
        <v>44</v>
      </c>
      <c r="V1462">
        <v>3012</v>
      </c>
      <c r="W1462">
        <v>10</v>
      </c>
      <c r="X1462" t="s">
        <v>44</v>
      </c>
      <c r="Y1462">
        <v>3012</v>
      </c>
      <c r="Z1462" t="s">
        <v>44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 s="2">
        <v>3036</v>
      </c>
      <c r="AQ1462">
        <f t="shared" si="50"/>
        <v>3036</v>
      </c>
      <c r="AR1462" s="5">
        <f>VLOOKUP(F1462,'[2]SCP_24-25'!$A:$D,4,0)</f>
        <v>113</v>
      </c>
      <c r="AS1462" s="5">
        <f t="shared" si="51"/>
        <v>343068</v>
      </c>
    </row>
    <row r="1463" spans="1:45" x14ac:dyDescent="0.3">
      <c r="A1463" s="1">
        <v>45900.963194444441</v>
      </c>
      <c r="B1463" t="s">
        <v>1463</v>
      </c>
      <c r="C1463" t="s">
        <v>1464</v>
      </c>
      <c r="D1463" t="s">
        <v>619</v>
      </c>
      <c r="F1463" t="s">
        <v>1762</v>
      </c>
      <c r="G1463" t="s">
        <v>620</v>
      </c>
      <c r="H1463" t="s">
        <v>621</v>
      </c>
      <c r="I1463" t="s">
        <v>43</v>
      </c>
      <c r="J1463">
        <v>250</v>
      </c>
      <c r="K1463">
        <v>126</v>
      </c>
      <c r="L1463">
        <v>50</v>
      </c>
      <c r="M1463">
        <v>126</v>
      </c>
      <c r="N1463">
        <v>7890</v>
      </c>
      <c r="O1463">
        <v>0</v>
      </c>
      <c r="P1463">
        <v>0</v>
      </c>
      <c r="Q1463" t="s">
        <v>44</v>
      </c>
      <c r="R1463" t="s">
        <v>44</v>
      </c>
      <c r="S1463" t="s">
        <v>44</v>
      </c>
      <c r="T1463" t="s">
        <v>44</v>
      </c>
      <c r="U1463" t="s">
        <v>44</v>
      </c>
      <c r="V1463">
        <v>3186</v>
      </c>
      <c r="W1463" t="s">
        <v>44</v>
      </c>
      <c r="X1463" t="s">
        <v>44</v>
      </c>
      <c r="Y1463">
        <v>3186</v>
      </c>
      <c r="Z1463" t="s">
        <v>44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 s="2">
        <v>3186</v>
      </c>
      <c r="AQ1463">
        <f t="shared" si="50"/>
        <v>3186</v>
      </c>
      <c r="AR1463" s="5">
        <f>VLOOKUP(F1463,'[2]SCP_24-25'!$A:$D,4,0)</f>
        <v>45</v>
      </c>
      <c r="AS1463" s="5">
        <f t="shared" si="51"/>
        <v>143370</v>
      </c>
    </row>
    <row r="1464" spans="1:45" x14ac:dyDescent="0.3">
      <c r="A1464" s="1">
        <v>45900.963194444441</v>
      </c>
      <c r="B1464" t="s">
        <v>1463</v>
      </c>
      <c r="C1464" t="s">
        <v>1464</v>
      </c>
      <c r="D1464" t="s">
        <v>471</v>
      </c>
      <c r="F1464" t="s">
        <v>1690</v>
      </c>
      <c r="G1464" t="s">
        <v>472</v>
      </c>
      <c r="H1464" t="s">
        <v>66</v>
      </c>
      <c r="I1464" t="s">
        <v>415</v>
      </c>
      <c r="J1464">
        <v>52.02</v>
      </c>
      <c r="K1464">
        <v>19</v>
      </c>
      <c r="L1464">
        <v>10</v>
      </c>
      <c r="M1464">
        <v>11</v>
      </c>
      <c r="N1464">
        <v>56234</v>
      </c>
      <c r="O1464">
        <v>80</v>
      </c>
      <c r="P1464">
        <v>0</v>
      </c>
      <c r="Q1464">
        <v>7</v>
      </c>
      <c r="R1464" t="s">
        <v>44</v>
      </c>
      <c r="S1464" t="s">
        <v>44</v>
      </c>
      <c r="T1464" t="s">
        <v>44</v>
      </c>
      <c r="U1464" t="s">
        <v>44</v>
      </c>
      <c r="V1464">
        <v>7368</v>
      </c>
      <c r="W1464">
        <v>20</v>
      </c>
      <c r="X1464" t="s">
        <v>44</v>
      </c>
      <c r="Y1464">
        <v>7368</v>
      </c>
      <c r="Z1464" t="s">
        <v>44</v>
      </c>
      <c r="AA1464">
        <v>5</v>
      </c>
      <c r="AB1464">
        <v>0</v>
      </c>
      <c r="AC1464">
        <v>0</v>
      </c>
      <c r="AD1464">
        <v>0</v>
      </c>
      <c r="AE1464">
        <v>0</v>
      </c>
      <c r="AF1464">
        <v>3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 s="2">
        <v>7453</v>
      </c>
      <c r="AQ1464">
        <f t="shared" si="50"/>
        <v>7453</v>
      </c>
      <c r="AR1464" s="5">
        <f>VLOOKUP(F1464,'[2]SCP_24-25'!$A:$D,4,0)</f>
        <v>87.59</v>
      </c>
      <c r="AS1464" s="5">
        <f t="shared" si="51"/>
        <v>652808.27</v>
      </c>
    </row>
    <row r="1465" spans="1:45" x14ac:dyDescent="0.3">
      <c r="A1465" s="1">
        <v>45900.963194444441</v>
      </c>
      <c r="B1465" t="s">
        <v>1463</v>
      </c>
      <c r="C1465" t="s">
        <v>1464</v>
      </c>
      <c r="D1465" t="s">
        <v>413</v>
      </c>
      <c r="F1465" t="s">
        <v>1664</v>
      </c>
      <c r="G1465" t="s">
        <v>414</v>
      </c>
      <c r="H1465" t="s">
        <v>66</v>
      </c>
      <c r="I1465" t="s">
        <v>415</v>
      </c>
      <c r="J1465">
        <v>56.72</v>
      </c>
      <c r="K1465">
        <v>19</v>
      </c>
      <c r="L1465">
        <v>10</v>
      </c>
      <c r="M1465">
        <v>11</v>
      </c>
      <c r="N1465">
        <v>50859</v>
      </c>
      <c r="O1465">
        <v>982</v>
      </c>
      <c r="P1465">
        <v>0</v>
      </c>
      <c r="Q1465">
        <v>9</v>
      </c>
      <c r="R1465" t="s">
        <v>44</v>
      </c>
      <c r="S1465" t="s">
        <v>44</v>
      </c>
      <c r="T1465" t="s">
        <v>44</v>
      </c>
      <c r="U1465" t="s">
        <v>44</v>
      </c>
      <c r="V1465">
        <v>9483</v>
      </c>
      <c r="W1465">
        <v>5</v>
      </c>
      <c r="X1465" t="s">
        <v>44</v>
      </c>
      <c r="Y1465">
        <v>9483</v>
      </c>
      <c r="Z1465" t="s">
        <v>44</v>
      </c>
      <c r="AA1465">
        <v>10</v>
      </c>
      <c r="AB1465">
        <v>0</v>
      </c>
      <c r="AC1465">
        <v>0</v>
      </c>
      <c r="AD1465">
        <v>0</v>
      </c>
      <c r="AE1465">
        <v>0</v>
      </c>
      <c r="AF1465">
        <v>11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 s="2">
        <v>10475</v>
      </c>
      <c r="AQ1465">
        <f t="shared" si="50"/>
        <v>10475</v>
      </c>
      <c r="AR1465" s="5">
        <f>VLOOKUP(F1465,'[2]SCP_24-25'!$A:$D,4,0)</f>
        <v>85.96</v>
      </c>
      <c r="AS1465" s="5">
        <f t="shared" si="51"/>
        <v>900430.99999999988</v>
      </c>
    </row>
    <row r="1466" spans="1:45" x14ac:dyDescent="0.3">
      <c r="A1466" s="1">
        <v>45900.963194444441</v>
      </c>
      <c r="B1466" t="s">
        <v>1463</v>
      </c>
      <c r="C1466" t="s">
        <v>1464</v>
      </c>
      <c r="D1466" t="s">
        <v>507</v>
      </c>
      <c r="F1466" t="s">
        <v>1708</v>
      </c>
      <c r="G1466" t="s">
        <v>508</v>
      </c>
      <c r="H1466" t="s">
        <v>66</v>
      </c>
      <c r="I1466" t="s">
        <v>415</v>
      </c>
      <c r="J1466">
        <v>77</v>
      </c>
      <c r="K1466">
        <v>19</v>
      </c>
      <c r="L1466">
        <v>10</v>
      </c>
      <c r="M1466">
        <v>11</v>
      </c>
      <c r="N1466">
        <v>21100</v>
      </c>
      <c r="O1466">
        <v>86</v>
      </c>
      <c r="P1466">
        <v>0</v>
      </c>
      <c r="Q1466">
        <v>2</v>
      </c>
      <c r="R1466">
        <v>1</v>
      </c>
      <c r="S1466" t="s">
        <v>44</v>
      </c>
      <c r="T1466" t="s">
        <v>44</v>
      </c>
      <c r="U1466" t="s">
        <v>44</v>
      </c>
      <c r="V1466">
        <v>4673</v>
      </c>
      <c r="W1466">
        <v>12</v>
      </c>
      <c r="X1466" t="s">
        <v>44</v>
      </c>
      <c r="Y1466">
        <v>4673</v>
      </c>
      <c r="Z1466" t="s">
        <v>44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s="2">
        <v>4759</v>
      </c>
      <c r="AQ1466">
        <f t="shared" ref="AQ1466:AQ1486" si="52">O1466+P1466+V1466+AA1466</f>
        <v>4759</v>
      </c>
      <c r="AR1466" s="5">
        <f>VLOOKUP(F1466,'[2]SCP_24-25'!$A:$D,4,0)</f>
        <v>91.25</v>
      </c>
      <c r="AS1466" s="5">
        <f t="shared" si="51"/>
        <v>434258.75</v>
      </c>
    </row>
    <row r="1467" spans="1:45" x14ac:dyDescent="0.3">
      <c r="A1467" s="1">
        <v>45900.963194444441</v>
      </c>
      <c r="B1467" t="s">
        <v>1463</v>
      </c>
      <c r="C1467" t="s">
        <v>1464</v>
      </c>
      <c r="D1467" t="s">
        <v>1249</v>
      </c>
      <c r="E1467" t="s">
        <v>1250</v>
      </c>
      <c r="F1467" t="s">
        <v>2075</v>
      </c>
      <c r="G1467" t="s">
        <v>1251</v>
      </c>
      <c r="H1467" t="s">
        <v>120</v>
      </c>
      <c r="I1467" t="s">
        <v>415</v>
      </c>
      <c r="J1467">
        <v>100</v>
      </c>
      <c r="K1467">
        <v>19</v>
      </c>
      <c r="L1467">
        <v>10</v>
      </c>
      <c r="M1467">
        <v>11</v>
      </c>
      <c r="N1467">
        <v>7240</v>
      </c>
      <c r="O1467">
        <v>0</v>
      </c>
      <c r="P1467">
        <v>0</v>
      </c>
      <c r="Q1467" t="s">
        <v>44</v>
      </c>
      <c r="R1467" t="s">
        <v>44</v>
      </c>
      <c r="S1467" t="s">
        <v>44</v>
      </c>
      <c r="T1467" t="s">
        <v>44</v>
      </c>
      <c r="U1467" t="s">
        <v>44</v>
      </c>
      <c r="V1467">
        <v>4130</v>
      </c>
      <c r="W1467" t="s">
        <v>44</v>
      </c>
      <c r="X1467" t="s">
        <v>44</v>
      </c>
      <c r="Y1467">
        <v>4130</v>
      </c>
      <c r="Z1467" t="s">
        <v>44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s="2">
        <v>4130</v>
      </c>
      <c r="AQ1467">
        <f t="shared" si="52"/>
        <v>4130</v>
      </c>
      <c r="AR1467" s="5">
        <f>VLOOKUP(F1467,'[2]SCP_24-25'!$A:$D,4,0)</f>
        <v>55</v>
      </c>
      <c r="AS1467" s="5">
        <f t="shared" si="51"/>
        <v>227150</v>
      </c>
    </row>
    <row r="1468" spans="1:45" x14ac:dyDescent="0.3">
      <c r="A1468" s="1">
        <v>45900.963194444441</v>
      </c>
      <c r="B1468" t="s">
        <v>1463</v>
      </c>
      <c r="C1468" t="s">
        <v>1464</v>
      </c>
      <c r="D1468" t="s">
        <v>473</v>
      </c>
      <c r="F1468" t="s">
        <v>1691</v>
      </c>
      <c r="G1468" t="s">
        <v>474</v>
      </c>
      <c r="H1468" t="s">
        <v>103</v>
      </c>
      <c r="I1468" t="s">
        <v>415</v>
      </c>
      <c r="J1468">
        <v>200</v>
      </c>
      <c r="K1468">
        <v>19</v>
      </c>
      <c r="L1468">
        <v>10</v>
      </c>
      <c r="M1468">
        <v>11</v>
      </c>
      <c r="N1468">
        <v>20920</v>
      </c>
      <c r="O1468">
        <v>237</v>
      </c>
      <c r="P1468">
        <v>0</v>
      </c>
      <c r="Q1468">
        <v>1</v>
      </c>
      <c r="R1468" t="s">
        <v>44</v>
      </c>
      <c r="S1468" t="s">
        <v>44</v>
      </c>
      <c r="T1468">
        <v>1050</v>
      </c>
      <c r="U1468" t="s">
        <v>44</v>
      </c>
      <c r="V1468">
        <v>8814</v>
      </c>
      <c r="W1468" t="s">
        <v>44</v>
      </c>
      <c r="X1468" t="s">
        <v>44</v>
      </c>
      <c r="Y1468">
        <v>8814</v>
      </c>
      <c r="Z1468" t="s">
        <v>44</v>
      </c>
      <c r="AA1468">
        <v>24</v>
      </c>
      <c r="AB1468">
        <v>0</v>
      </c>
      <c r="AC1468">
        <v>0</v>
      </c>
      <c r="AD1468">
        <v>0</v>
      </c>
      <c r="AE1468">
        <v>0</v>
      </c>
      <c r="AF1468">
        <v>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 s="2">
        <v>9075</v>
      </c>
      <c r="AQ1468">
        <f t="shared" si="52"/>
        <v>9075</v>
      </c>
      <c r="AR1468" s="5">
        <f>VLOOKUP(F1468,'[2]SCP_24-25'!$A:$D,4,0)</f>
        <v>40.409999999999997</v>
      </c>
      <c r="AS1468" s="5">
        <f t="shared" si="51"/>
        <v>366720.74999999994</v>
      </c>
    </row>
    <row r="1469" spans="1:45" x14ac:dyDescent="0.3">
      <c r="A1469" s="1">
        <v>45900.963194444441</v>
      </c>
      <c r="B1469" t="s">
        <v>1463</v>
      </c>
      <c r="C1469" t="s">
        <v>1464</v>
      </c>
      <c r="D1469" t="s">
        <v>509</v>
      </c>
      <c r="F1469" t="s">
        <v>1709</v>
      </c>
      <c r="G1469" t="s">
        <v>510</v>
      </c>
      <c r="H1469" t="s">
        <v>103</v>
      </c>
      <c r="I1469" t="s">
        <v>415</v>
      </c>
      <c r="J1469">
        <v>459.02</v>
      </c>
      <c r="K1469">
        <v>19</v>
      </c>
      <c r="L1469">
        <v>10</v>
      </c>
      <c r="M1469">
        <v>11</v>
      </c>
      <c r="N1469">
        <v>11790</v>
      </c>
      <c r="O1469">
        <v>30</v>
      </c>
      <c r="P1469">
        <v>0</v>
      </c>
      <c r="Q1469">
        <v>19</v>
      </c>
      <c r="R1469" t="s">
        <v>44</v>
      </c>
      <c r="S1469" t="s">
        <v>44</v>
      </c>
      <c r="T1469">
        <v>1534</v>
      </c>
      <c r="U1469" t="s">
        <v>44</v>
      </c>
      <c r="V1469">
        <v>2995</v>
      </c>
      <c r="W1469">
        <v>5</v>
      </c>
      <c r="X1469" t="s">
        <v>44</v>
      </c>
      <c r="Y1469">
        <v>2995</v>
      </c>
      <c r="Z1469" t="s">
        <v>44</v>
      </c>
      <c r="AA1469">
        <v>5</v>
      </c>
      <c r="AB1469">
        <v>0</v>
      </c>
      <c r="AC1469">
        <v>0</v>
      </c>
      <c r="AD1469">
        <v>0</v>
      </c>
      <c r="AE1469">
        <v>0</v>
      </c>
      <c r="AF1469">
        <v>3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 s="2">
        <v>3030</v>
      </c>
      <c r="AQ1469">
        <f t="shared" si="52"/>
        <v>3030</v>
      </c>
      <c r="AR1469" s="5">
        <f>VLOOKUP(F1469,'[2]SCP_24-25'!$A:$D,4,0)</f>
        <v>67.865000000000009</v>
      </c>
      <c r="AS1469" s="5">
        <f t="shared" si="51"/>
        <v>205630.95000000004</v>
      </c>
    </row>
    <row r="1470" spans="1:45" x14ac:dyDescent="0.3">
      <c r="A1470" s="1">
        <v>45900.963194444441</v>
      </c>
      <c r="B1470" t="s">
        <v>1463</v>
      </c>
      <c r="C1470" t="s">
        <v>1464</v>
      </c>
      <c r="D1470" t="s">
        <v>475</v>
      </c>
      <c r="F1470" t="s">
        <v>1692</v>
      </c>
      <c r="G1470" t="s">
        <v>476</v>
      </c>
      <c r="H1470" t="s">
        <v>103</v>
      </c>
      <c r="I1470" t="s">
        <v>415</v>
      </c>
      <c r="J1470">
        <v>200</v>
      </c>
      <c r="K1470">
        <v>19</v>
      </c>
      <c r="L1470">
        <v>10</v>
      </c>
      <c r="M1470">
        <v>11</v>
      </c>
      <c r="N1470">
        <v>9603</v>
      </c>
      <c r="O1470">
        <v>113</v>
      </c>
      <c r="P1470">
        <v>0</v>
      </c>
      <c r="Q1470">
        <v>4</v>
      </c>
      <c r="R1470" t="s">
        <v>44</v>
      </c>
      <c r="S1470" t="s">
        <v>44</v>
      </c>
      <c r="T1470" t="s">
        <v>44</v>
      </c>
      <c r="U1470" t="s">
        <v>44</v>
      </c>
      <c r="V1470">
        <v>2992</v>
      </c>
      <c r="W1470">
        <v>3</v>
      </c>
      <c r="X1470" t="s">
        <v>44</v>
      </c>
      <c r="Y1470">
        <v>2992</v>
      </c>
      <c r="Z1470" t="s">
        <v>44</v>
      </c>
      <c r="AA1470">
        <v>4</v>
      </c>
      <c r="AB1470">
        <v>0</v>
      </c>
      <c r="AC1470">
        <v>0</v>
      </c>
      <c r="AD1470">
        <v>0</v>
      </c>
      <c r="AE1470">
        <v>0</v>
      </c>
      <c r="AF1470">
        <v>4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 s="2">
        <v>3109</v>
      </c>
      <c r="AQ1470">
        <f t="shared" si="52"/>
        <v>3109</v>
      </c>
      <c r="AR1470" s="5">
        <f>VLOOKUP(F1470,'[2]SCP_24-25'!$A:$D,4,0)</f>
        <v>62.03</v>
      </c>
      <c r="AS1470" s="5">
        <f t="shared" si="51"/>
        <v>192851.27</v>
      </c>
    </row>
    <row r="1471" spans="1:45" x14ac:dyDescent="0.3">
      <c r="A1471" s="1">
        <v>45900.963194444441</v>
      </c>
      <c r="B1471" t="s">
        <v>1463</v>
      </c>
      <c r="C1471" t="s">
        <v>1464</v>
      </c>
      <c r="D1471" t="s">
        <v>1298</v>
      </c>
      <c r="F1471" t="s">
        <v>2101</v>
      </c>
      <c r="G1471" t="s">
        <v>1299</v>
      </c>
      <c r="H1471" t="s">
        <v>66</v>
      </c>
      <c r="I1471" t="s">
        <v>415</v>
      </c>
      <c r="J1471">
        <v>10</v>
      </c>
      <c r="K1471">
        <v>19</v>
      </c>
      <c r="L1471">
        <v>10</v>
      </c>
      <c r="M1471">
        <v>11</v>
      </c>
      <c r="N1471">
        <v>7000</v>
      </c>
      <c r="O1471">
        <v>47</v>
      </c>
      <c r="P1471">
        <v>0</v>
      </c>
      <c r="Q1471" t="s">
        <v>44</v>
      </c>
      <c r="R1471" t="s">
        <v>44</v>
      </c>
      <c r="S1471" t="s">
        <v>44</v>
      </c>
      <c r="T1471" t="s">
        <v>44</v>
      </c>
      <c r="U1471" t="s">
        <v>44</v>
      </c>
      <c r="V1471">
        <v>5937</v>
      </c>
      <c r="W1471" t="s">
        <v>44</v>
      </c>
      <c r="X1471" t="s">
        <v>44</v>
      </c>
      <c r="Y1471">
        <v>5937</v>
      </c>
      <c r="Z1471" t="s">
        <v>44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 s="2">
        <v>5984</v>
      </c>
      <c r="AQ1471">
        <f t="shared" si="52"/>
        <v>5984</v>
      </c>
      <c r="AR1471" s="5">
        <f>VLOOKUP(F1471,'[2]SCP_24-25'!$A:$D,4,0)</f>
        <v>27.16</v>
      </c>
      <c r="AS1471" s="5">
        <f t="shared" si="51"/>
        <v>162525.44</v>
      </c>
    </row>
    <row r="1472" spans="1:45" x14ac:dyDescent="0.3">
      <c r="A1472" s="1">
        <v>45900.963194444441</v>
      </c>
      <c r="B1472" t="s">
        <v>1463</v>
      </c>
      <c r="C1472" t="s">
        <v>1464</v>
      </c>
      <c r="D1472" t="s">
        <v>1361</v>
      </c>
      <c r="F1472" t="s">
        <v>2128</v>
      </c>
      <c r="G1472" t="s">
        <v>1362</v>
      </c>
      <c r="H1472" t="s">
        <v>66</v>
      </c>
      <c r="I1472" t="s">
        <v>415</v>
      </c>
      <c r="J1472">
        <v>60</v>
      </c>
      <c r="K1472">
        <v>19</v>
      </c>
      <c r="L1472">
        <v>10</v>
      </c>
      <c r="M1472">
        <v>11</v>
      </c>
      <c r="N1472">
        <v>6336</v>
      </c>
      <c r="O1472">
        <v>72</v>
      </c>
      <c r="P1472">
        <v>0</v>
      </c>
      <c r="Q1472">
        <v>4</v>
      </c>
      <c r="R1472" t="s">
        <v>44</v>
      </c>
      <c r="S1472" t="s">
        <v>44</v>
      </c>
      <c r="T1472" t="s">
        <v>44</v>
      </c>
      <c r="U1472" t="s">
        <v>44</v>
      </c>
      <c r="V1472">
        <v>4424</v>
      </c>
      <c r="W1472" t="s">
        <v>44</v>
      </c>
      <c r="X1472" t="s">
        <v>44</v>
      </c>
      <c r="Y1472">
        <v>4424</v>
      </c>
      <c r="Z1472" t="s">
        <v>44</v>
      </c>
      <c r="AA1472">
        <v>4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s="2">
        <v>4500</v>
      </c>
      <c r="AQ1472">
        <f t="shared" si="52"/>
        <v>4500</v>
      </c>
      <c r="AR1472" s="5">
        <f>VLOOKUP(F1472,'[2]SCP_24-25'!$A:$D,4,0)</f>
        <v>86.75</v>
      </c>
      <c r="AS1472" s="5">
        <f t="shared" si="51"/>
        <v>390375</v>
      </c>
    </row>
    <row r="1473" spans="1:45" x14ac:dyDescent="0.3">
      <c r="A1473" s="1">
        <v>45900.963194444441</v>
      </c>
      <c r="B1473" t="s">
        <v>1463</v>
      </c>
      <c r="C1473" t="s">
        <v>1464</v>
      </c>
      <c r="D1473" t="s">
        <v>1333</v>
      </c>
      <c r="F1473" t="s">
        <v>2116</v>
      </c>
      <c r="G1473" t="s">
        <v>1334</v>
      </c>
      <c r="H1473" t="s">
        <v>66</v>
      </c>
      <c r="I1473" t="s">
        <v>43</v>
      </c>
      <c r="J1473">
        <v>8</v>
      </c>
      <c r="K1473">
        <v>19</v>
      </c>
      <c r="L1473">
        <v>11</v>
      </c>
      <c r="M1473">
        <v>10</v>
      </c>
      <c r="N1473">
        <v>13000</v>
      </c>
      <c r="O1473">
        <v>0</v>
      </c>
      <c r="P1473">
        <v>0</v>
      </c>
      <c r="Q1473" t="s">
        <v>44</v>
      </c>
      <c r="R1473" t="s">
        <v>44</v>
      </c>
      <c r="S1473" t="s">
        <v>44</v>
      </c>
      <c r="T1473" t="s">
        <v>44</v>
      </c>
      <c r="U1473" t="s">
        <v>44</v>
      </c>
      <c r="V1473">
        <v>8600</v>
      </c>
      <c r="W1473" t="s">
        <v>44</v>
      </c>
      <c r="X1473" t="s">
        <v>44</v>
      </c>
      <c r="Y1473">
        <v>8600</v>
      </c>
      <c r="Z1473" t="s">
        <v>44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 s="2">
        <v>8600</v>
      </c>
      <c r="AQ1473">
        <f t="shared" si="52"/>
        <v>8600</v>
      </c>
      <c r="AR1473" s="5">
        <f>VLOOKUP(F1473,'[2]SCP_24-25'!$A:$D,4,0)</f>
        <v>11.289999999999996</v>
      </c>
      <c r="AS1473" s="5">
        <f t="shared" si="51"/>
        <v>97093.999999999956</v>
      </c>
    </row>
    <row r="1474" spans="1:45" x14ac:dyDescent="0.3">
      <c r="A1474" s="1">
        <v>45900.963194444441</v>
      </c>
      <c r="B1474" t="s">
        <v>1463</v>
      </c>
      <c r="C1474" t="s">
        <v>1464</v>
      </c>
      <c r="D1474" t="s">
        <v>1322</v>
      </c>
      <c r="F1474" t="s">
        <v>2111</v>
      </c>
      <c r="G1474" t="s">
        <v>1323</v>
      </c>
      <c r="H1474" t="s">
        <v>120</v>
      </c>
      <c r="I1474" t="s">
        <v>43</v>
      </c>
      <c r="J1474">
        <v>100</v>
      </c>
      <c r="K1474">
        <v>19</v>
      </c>
      <c r="L1474">
        <v>11</v>
      </c>
      <c r="M1474">
        <v>10</v>
      </c>
      <c r="N1474">
        <v>10438</v>
      </c>
      <c r="O1474">
        <v>0</v>
      </c>
      <c r="P1474">
        <v>0</v>
      </c>
      <c r="Q1474" t="s">
        <v>44</v>
      </c>
      <c r="R1474" t="s">
        <v>44</v>
      </c>
      <c r="S1474" t="s">
        <v>44</v>
      </c>
      <c r="T1474" t="s">
        <v>44</v>
      </c>
      <c r="U1474" t="s">
        <v>44</v>
      </c>
      <c r="V1474">
        <v>9210</v>
      </c>
      <c r="W1474" t="s">
        <v>44</v>
      </c>
      <c r="X1474" t="s">
        <v>44</v>
      </c>
      <c r="Y1474">
        <v>9210</v>
      </c>
      <c r="Z1474" t="s">
        <v>44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 s="2">
        <v>9210</v>
      </c>
      <c r="AQ1474">
        <f t="shared" si="52"/>
        <v>9210</v>
      </c>
      <c r="AR1474" s="5">
        <f>VLOOKUP(F1474,'[2]SCP_24-25'!$A:$D,4,0)</f>
        <v>51.411764705882355</v>
      </c>
      <c r="AS1474" s="5">
        <f t="shared" si="51"/>
        <v>473502.3529411765</v>
      </c>
    </row>
    <row r="1475" spans="1:45" x14ac:dyDescent="0.3">
      <c r="A1475" s="1">
        <v>45900.963194444441</v>
      </c>
      <c r="B1475" t="s">
        <v>1463</v>
      </c>
      <c r="C1475" t="s">
        <v>1464</v>
      </c>
      <c r="D1475" t="s">
        <v>857</v>
      </c>
      <c r="F1475" t="s">
        <v>1880</v>
      </c>
      <c r="G1475" t="s">
        <v>858</v>
      </c>
      <c r="H1475" t="s">
        <v>120</v>
      </c>
      <c r="I1475" t="s">
        <v>43</v>
      </c>
      <c r="J1475">
        <v>100</v>
      </c>
      <c r="K1475">
        <v>19</v>
      </c>
      <c r="L1475">
        <v>11</v>
      </c>
      <c r="M1475">
        <v>10</v>
      </c>
      <c r="N1475">
        <v>2950</v>
      </c>
      <c r="O1475">
        <v>0</v>
      </c>
      <c r="P1475">
        <v>0</v>
      </c>
      <c r="Q1475" t="s">
        <v>44</v>
      </c>
      <c r="R1475" t="s">
        <v>44</v>
      </c>
      <c r="S1475" t="s">
        <v>44</v>
      </c>
      <c r="T1475" t="s">
        <v>44</v>
      </c>
      <c r="U1475" t="s">
        <v>44</v>
      </c>
      <c r="V1475">
        <v>2721</v>
      </c>
      <c r="W1475" t="s">
        <v>44</v>
      </c>
      <c r="X1475" t="s">
        <v>44</v>
      </c>
      <c r="Y1475">
        <v>2721</v>
      </c>
      <c r="Z1475" t="s">
        <v>44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 s="2">
        <v>2721</v>
      </c>
      <c r="AQ1475">
        <f t="shared" si="52"/>
        <v>2721</v>
      </c>
      <c r="AR1475" s="5">
        <f>VLOOKUP(F1475,'[2]SCP_24-25'!$A:$D,4,0)</f>
        <v>125.60526315789474</v>
      </c>
      <c r="AS1475" s="5">
        <f t="shared" ref="AS1475:AS1538" si="53">AQ1475*AR1475</f>
        <v>341771.92105263157</v>
      </c>
    </row>
    <row r="1476" spans="1:45" x14ac:dyDescent="0.3">
      <c r="A1476" s="1">
        <v>45900.963194444441</v>
      </c>
      <c r="B1476" t="s">
        <v>1463</v>
      </c>
      <c r="C1476" t="s">
        <v>1464</v>
      </c>
      <c r="D1476" t="s">
        <v>875</v>
      </c>
      <c r="F1476" t="s">
        <v>1889</v>
      </c>
      <c r="G1476" t="s">
        <v>876</v>
      </c>
      <c r="H1476" t="s">
        <v>130</v>
      </c>
      <c r="I1476" t="s">
        <v>415</v>
      </c>
      <c r="J1476">
        <v>400</v>
      </c>
      <c r="K1476">
        <v>19</v>
      </c>
      <c r="L1476">
        <v>10</v>
      </c>
      <c r="M1476">
        <v>11</v>
      </c>
      <c r="N1476">
        <v>3034</v>
      </c>
      <c r="O1476">
        <v>0</v>
      </c>
      <c r="P1476">
        <v>0</v>
      </c>
      <c r="Q1476" t="s">
        <v>44</v>
      </c>
      <c r="R1476" t="s">
        <v>44</v>
      </c>
      <c r="S1476" t="s">
        <v>44</v>
      </c>
      <c r="T1476" t="s">
        <v>44</v>
      </c>
      <c r="U1476" t="s">
        <v>44</v>
      </c>
      <c r="V1476">
        <v>3013</v>
      </c>
      <c r="W1476" t="s">
        <v>44</v>
      </c>
      <c r="X1476" t="s">
        <v>44</v>
      </c>
      <c r="Y1476">
        <v>3013</v>
      </c>
      <c r="Z1476" t="s">
        <v>44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 s="2">
        <v>3013</v>
      </c>
      <c r="AQ1476">
        <f t="shared" si="52"/>
        <v>3013</v>
      </c>
      <c r="AR1476" s="5">
        <f>VLOOKUP(F1476,'[2]SCP_24-25'!$A:$D,4,0)</f>
        <v>82.91</v>
      </c>
      <c r="AS1476" s="5">
        <f t="shared" si="53"/>
        <v>249807.83</v>
      </c>
    </row>
    <row r="1477" spans="1:45" x14ac:dyDescent="0.3">
      <c r="A1477" s="1">
        <v>45900.963194444441</v>
      </c>
      <c r="B1477" t="s">
        <v>1463</v>
      </c>
      <c r="C1477" t="s">
        <v>1464</v>
      </c>
      <c r="D1477" t="s">
        <v>1310</v>
      </c>
      <c r="F1477" t="s">
        <v>2106</v>
      </c>
      <c r="G1477" t="s">
        <v>1311</v>
      </c>
      <c r="H1477" t="s">
        <v>66</v>
      </c>
      <c r="I1477" t="s">
        <v>415</v>
      </c>
      <c r="J1477">
        <v>15</v>
      </c>
      <c r="K1477">
        <v>19</v>
      </c>
      <c r="L1477">
        <v>10</v>
      </c>
      <c r="M1477">
        <v>11</v>
      </c>
      <c r="N1477">
        <v>5400</v>
      </c>
      <c r="O1477">
        <v>0</v>
      </c>
      <c r="P1477">
        <v>0</v>
      </c>
      <c r="Q1477" t="s">
        <v>44</v>
      </c>
      <c r="R1477" t="s">
        <v>44</v>
      </c>
      <c r="S1477" t="s">
        <v>44</v>
      </c>
      <c r="T1477" t="s">
        <v>44</v>
      </c>
      <c r="U1477" t="s">
        <v>44</v>
      </c>
      <c r="V1477">
        <v>5400</v>
      </c>
      <c r="W1477" t="s">
        <v>44</v>
      </c>
      <c r="X1477" t="s">
        <v>44</v>
      </c>
      <c r="Y1477">
        <v>5400</v>
      </c>
      <c r="Z1477" t="s">
        <v>44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 s="2">
        <v>5400</v>
      </c>
      <c r="AQ1477">
        <f t="shared" si="52"/>
        <v>5400</v>
      </c>
      <c r="AR1477" s="5">
        <f>VLOOKUP(F1477,'[2]SCP_24-25'!$A:$D,4,0)</f>
        <v>7.92</v>
      </c>
      <c r="AS1477" s="5">
        <f t="shared" si="53"/>
        <v>42768</v>
      </c>
    </row>
    <row r="1478" spans="1:45" x14ac:dyDescent="0.3">
      <c r="A1478" s="1">
        <v>45900.963194444441</v>
      </c>
      <c r="B1478" t="s">
        <v>1463</v>
      </c>
      <c r="C1478" t="s">
        <v>1464</v>
      </c>
      <c r="D1478" t="s">
        <v>147</v>
      </c>
      <c r="F1478" t="s">
        <v>1551</v>
      </c>
      <c r="G1478" t="s">
        <v>148</v>
      </c>
      <c r="H1478" t="s">
        <v>120</v>
      </c>
      <c r="I1478" t="s">
        <v>43</v>
      </c>
      <c r="J1478">
        <v>45</v>
      </c>
      <c r="K1478">
        <v>19</v>
      </c>
      <c r="L1478">
        <v>11</v>
      </c>
      <c r="M1478">
        <v>9.5</v>
      </c>
      <c r="N1478">
        <v>289042</v>
      </c>
      <c r="O1478">
        <v>784</v>
      </c>
      <c r="P1478">
        <v>0</v>
      </c>
      <c r="Q1478">
        <v>11</v>
      </c>
      <c r="R1478">
        <v>8311</v>
      </c>
      <c r="S1478" t="s">
        <v>44</v>
      </c>
      <c r="T1478">
        <v>7</v>
      </c>
      <c r="U1478" t="s">
        <v>44</v>
      </c>
      <c r="V1478">
        <v>14362</v>
      </c>
      <c r="W1478" t="s">
        <v>44</v>
      </c>
      <c r="X1478" t="s">
        <v>44</v>
      </c>
      <c r="Y1478">
        <v>14362</v>
      </c>
      <c r="Z1478" t="s">
        <v>44</v>
      </c>
      <c r="AA1478">
        <v>57</v>
      </c>
      <c r="AB1478">
        <v>0</v>
      </c>
      <c r="AC1478">
        <v>0</v>
      </c>
      <c r="AD1478">
        <v>0</v>
      </c>
      <c r="AE1478">
        <v>0</v>
      </c>
      <c r="AF1478">
        <v>44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 s="2">
        <v>15203</v>
      </c>
      <c r="AQ1478">
        <f t="shared" si="52"/>
        <v>15203</v>
      </c>
      <c r="AR1478" s="5">
        <f>VLOOKUP(F1478,'[2]SCP_24-25'!$A:$D,4,0)</f>
        <v>27.733333333333331</v>
      </c>
      <c r="AS1478" s="5">
        <f t="shared" si="53"/>
        <v>421629.86666666664</v>
      </c>
    </row>
    <row r="1479" spans="1:45" x14ac:dyDescent="0.3">
      <c r="A1479" s="1">
        <v>45900.963194444441</v>
      </c>
      <c r="B1479" t="s">
        <v>1463</v>
      </c>
      <c r="C1479" t="s">
        <v>1464</v>
      </c>
      <c r="D1479" t="s">
        <v>183</v>
      </c>
      <c r="F1479" t="s">
        <v>1569</v>
      </c>
      <c r="G1479" t="s">
        <v>184</v>
      </c>
      <c r="H1479" t="s">
        <v>66</v>
      </c>
      <c r="I1479" t="s">
        <v>43</v>
      </c>
      <c r="J1479">
        <v>105.88</v>
      </c>
      <c r="K1479">
        <v>19</v>
      </c>
      <c r="L1479">
        <v>9.5</v>
      </c>
      <c r="M1479">
        <v>11</v>
      </c>
      <c r="N1479">
        <v>334260</v>
      </c>
      <c r="O1479">
        <v>1094</v>
      </c>
      <c r="P1479">
        <v>0</v>
      </c>
      <c r="Q1479">
        <v>248</v>
      </c>
      <c r="R1479">
        <v>14854</v>
      </c>
      <c r="S1479" t="s">
        <v>44</v>
      </c>
      <c r="T1479">
        <v>3</v>
      </c>
      <c r="U1479" t="s">
        <v>44</v>
      </c>
      <c r="V1479">
        <v>24700</v>
      </c>
      <c r="W1479">
        <v>63</v>
      </c>
      <c r="X1479" t="s">
        <v>44</v>
      </c>
      <c r="Y1479">
        <v>24615</v>
      </c>
      <c r="Z1479" t="s">
        <v>44</v>
      </c>
      <c r="AA1479">
        <v>19</v>
      </c>
      <c r="AB1479">
        <v>0</v>
      </c>
      <c r="AC1479">
        <v>0</v>
      </c>
      <c r="AD1479">
        <v>0</v>
      </c>
      <c r="AE1479">
        <v>16</v>
      </c>
      <c r="AF1479">
        <v>21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 s="2">
        <v>25813</v>
      </c>
      <c r="AQ1479">
        <f t="shared" si="52"/>
        <v>25813</v>
      </c>
      <c r="AR1479" s="5">
        <f>VLOOKUP(F1479,'[2]SCP_24-25'!$A:$D,4,0)</f>
        <v>51.841111111111118</v>
      </c>
      <c r="AS1479" s="5">
        <f t="shared" si="53"/>
        <v>1338174.6011111112</v>
      </c>
    </row>
    <row r="1480" spans="1:45" x14ac:dyDescent="0.3">
      <c r="A1480" s="1">
        <v>45900.963194444441</v>
      </c>
      <c r="B1480" t="s">
        <v>1463</v>
      </c>
      <c r="C1480" t="s">
        <v>1464</v>
      </c>
      <c r="D1480" t="s">
        <v>193</v>
      </c>
      <c r="F1480" t="s">
        <v>1574</v>
      </c>
      <c r="G1480" t="s">
        <v>194</v>
      </c>
      <c r="H1480" t="s">
        <v>66</v>
      </c>
      <c r="I1480" t="s">
        <v>43</v>
      </c>
      <c r="J1480">
        <v>224</v>
      </c>
      <c r="K1480">
        <v>19</v>
      </c>
      <c r="L1480">
        <v>9.5</v>
      </c>
      <c r="M1480">
        <v>11</v>
      </c>
      <c r="N1480">
        <v>155088</v>
      </c>
      <c r="O1480">
        <v>153</v>
      </c>
      <c r="P1480">
        <v>0</v>
      </c>
      <c r="Q1480">
        <v>41</v>
      </c>
      <c r="R1480">
        <v>2748</v>
      </c>
      <c r="S1480" t="s">
        <v>44</v>
      </c>
      <c r="T1480" t="s">
        <v>44</v>
      </c>
      <c r="U1480" t="s">
        <v>44</v>
      </c>
      <c r="V1480">
        <v>24384</v>
      </c>
      <c r="W1480">
        <v>8</v>
      </c>
      <c r="X1480" t="s">
        <v>44</v>
      </c>
      <c r="Y1480">
        <v>24381</v>
      </c>
      <c r="Z1480" t="s">
        <v>44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26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 s="2">
        <v>24538</v>
      </c>
      <c r="AQ1480">
        <f t="shared" si="52"/>
        <v>24538</v>
      </c>
      <c r="AR1480" s="5">
        <f>VLOOKUP(F1480,'[2]SCP_24-25'!$A:$D,4,0)</f>
        <v>47.03</v>
      </c>
      <c r="AS1480" s="5">
        <f t="shared" si="53"/>
        <v>1154022.1400000001</v>
      </c>
    </row>
    <row r="1481" spans="1:45" x14ac:dyDescent="0.3">
      <c r="A1481" s="1">
        <v>45900.963194444441</v>
      </c>
      <c r="B1481" t="s">
        <v>1463</v>
      </c>
      <c r="C1481" t="s">
        <v>1464</v>
      </c>
      <c r="D1481" t="s">
        <v>210</v>
      </c>
      <c r="E1481" t="s">
        <v>211</v>
      </c>
      <c r="F1481" t="s">
        <v>1581</v>
      </c>
      <c r="G1481" t="s">
        <v>212</v>
      </c>
      <c r="H1481" t="s">
        <v>66</v>
      </c>
      <c r="I1481" t="s">
        <v>43</v>
      </c>
      <c r="J1481">
        <v>23</v>
      </c>
      <c r="K1481">
        <v>19</v>
      </c>
      <c r="L1481">
        <v>9.5</v>
      </c>
      <c r="M1481">
        <v>11</v>
      </c>
      <c r="N1481">
        <v>92752</v>
      </c>
      <c r="O1481">
        <v>1</v>
      </c>
      <c r="P1481">
        <v>0</v>
      </c>
      <c r="Q1481">
        <v>9</v>
      </c>
      <c r="R1481">
        <v>1827</v>
      </c>
      <c r="S1481" t="s">
        <v>44</v>
      </c>
      <c r="T1481" t="s">
        <v>44</v>
      </c>
      <c r="U1481" t="s">
        <v>44</v>
      </c>
      <c r="V1481">
        <v>16256</v>
      </c>
      <c r="W1481" t="s">
        <v>44</v>
      </c>
      <c r="X1481" t="s">
        <v>44</v>
      </c>
      <c r="Y1481">
        <v>16254</v>
      </c>
      <c r="Z1481" t="s">
        <v>44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3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 s="2">
        <v>16257</v>
      </c>
      <c r="AQ1481">
        <f t="shared" si="52"/>
        <v>16257</v>
      </c>
      <c r="AR1481" s="5">
        <f>VLOOKUP(F1481,'[2]SCP_24-25'!$A:$D,4,0)</f>
        <v>11.69</v>
      </c>
      <c r="AS1481" s="5">
        <f t="shared" si="53"/>
        <v>190044.33</v>
      </c>
    </row>
    <row r="1482" spans="1:45" x14ac:dyDescent="0.3">
      <c r="A1482" s="1">
        <v>45900.963194444441</v>
      </c>
      <c r="B1482" t="s">
        <v>1463</v>
      </c>
      <c r="C1482" t="s">
        <v>1464</v>
      </c>
      <c r="D1482" t="s">
        <v>899</v>
      </c>
      <c r="E1482" t="s">
        <v>900</v>
      </c>
      <c r="F1482" t="s">
        <v>1900</v>
      </c>
      <c r="G1482" t="s">
        <v>901</v>
      </c>
      <c r="H1482" t="s">
        <v>621</v>
      </c>
      <c r="I1482" t="s">
        <v>43</v>
      </c>
      <c r="J1482">
        <v>70.8</v>
      </c>
      <c r="K1482">
        <v>19</v>
      </c>
      <c r="L1482">
        <v>8.5</v>
      </c>
      <c r="M1482">
        <v>11</v>
      </c>
      <c r="N1482">
        <v>705375</v>
      </c>
      <c r="O1482">
        <v>0</v>
      </c>
      <c r="P1482">
        <v>0</v>
      </c>
      <c r="Q1482" t="s">
        <v>44</v>
      </c>
      <c r="R1482">
        <v>11600</v>
      </c>
      <c r="S1482" t="s">
        <v>44</v>
      </c>
      <c r="T1482" t="s">
        <v>44</v>
      </c>
      <c r="U1482" t="s">
        <v>44</v>
      </c>
      <c r="V1482">
        <v>29275</v>
      </c>
      <c r="W1482" t="s">
        <v>44</v>
      </c>
      <c r="X1482" t="s">
        <v>44</v>
      </c>
      <c r="Y1482">
        <v>29283</v>
      </c>
      <c r="Z1482" t="s">
        <v>44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 s="2">
        <v>29275</v>
      </c>
      <c r="AQ1482">
        <f t="shared" si="52"/>
        <v>29275</v>
      </c>
      <c r="AR1482" s="5">
        <f>VLOOKUP(F1482,'[2]SCP_24-25'!$A:$D,4,0)</f>
        <v>3.9500000000000011</v>
      </c>
      <c r="AS1482" s="5">
        <f t="shared" si="53"/>
        <v>115636.25000000003</v>
      </c>
    </row>
    <row r="1483" spans="1:45" x14ac:dyDescent="0.3">
      <c r="A1483" s="1">
        <v>45900.963194444441</v>
      </c>
      <c r="B1483" t="s">
        <v>1463</v>
      </c>
      <c r="C1483" t="s">
        <v>1464</v>
      </c>
      <c r="D1483" t="s">
        <v>902</v>
      </c>
      <c r="E1483" t="s">
        <v>903</v>
      </c>
      <c r="F1483" t="s">
        <v>1901</v>
      </c>
      <c r="G1483" t="s">
        <v>904</v>
      </c>
      <c r="H1483" t="s">
        <v>621</v>
      </c>
      <c r="I1483" t="s">
        <v>43</v>
      </c>
      <c r="J1483">
        <v>228.4</v>
      </c>
      <c r="K1483">
        <v>31.1</v>
      </c>
      <c r="L1483">
        <v>10</v>
      </c>
      <c r="M1483">
        <v>18.5</v>
      </c>
      <c r="N1483">
        <v>178566</v>
      </c>
      <c r="O1483">
        <v>0</v>
      </c>
      <c r="P1483">
        <v>0</v>
      </c>
      <c r="Q1483" t="s">
        <v>44</v>
      </c>
      <c r="R1483" t="s">
        <v>44</v>
      </c>
      <c r="S1483" t="s">
        <v>44</v>
      </c>
      <c r="T1483" t="s">
        <v>44</v>
      </c>
      <c r="U1483" t="s">
        <v>44</v>
      </c>
      <c r="V1483">
        <v>35086</v>
      </c>
      <c r="W1483" t="s">
        <v>44</v>
      </c>
      <c r="X1483" t="s">
        <v>44</v>
      </c>
      <c r="Y1483">
        <v>35085</v>
      </c>
      <c r="Z1483" t="s">
        <v>44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 s="2">
        <v>35086</v>
      </c>
      <c r="AQ1483">
        <f t="shared" si="52"/>
        <v>35086</v>
      </c>
      <c r="AR1483" s="5">
        <f>VLOOKUP(F1483,'[2]SCP_24-25'!$A:$D,4,0)</f>
        <v>6.25</v>
      </c>
      <c r="AS1483" s="5">
        <f t="shared" si="53"/>
        <v>219287.5</v>
      </c>
    </row>
    <row r="1484" spans="1:45" x14ac:dyDescent="0.3">
      <c r="A1484" s="1">
        <v>45900.963194444441</v>
      </c>
      <c r="B1484" t="s">
        <v>1463</v>
      </c>
      <c r="C1484" t="s">
        <v>1464</v>
      </c>
      <c r="D1484" t="s">
        <v>416</v>
      </c>
      <c r="F1484" t="s">
        <v>1665</v>
      </c>
      <c r="G1484" t="s">
        <v>417</v>
      </c>
      <c r="H1484" t="s">
        <v>66</v>
      </c>
      <c r="I1484" t="s">
        <v>43</v>
      </c>
      <c r="J1484">
        <v>46.59</v>
      </c>
      <c r="K1484">
        <v>19</v>
      </c>
      <c r="L1484">
        <v>10</v>
      </c>
      <c r="M1484">
        <v>11</v>
      </c>
      <c r="N1484">
        <v>166748</v>
      </c>
      <c r="O1484">
        <v>816</v>
      </c>
      <c r="P1484">
        <v>0</v>
      </c>
      <c r="Q1484">
        <v>84</v>
      </c>
      <c r="R1484">
        <v>2</v>
      </c>
      <c r="S1484" t="s">
        <v>44</v>
      </c>
      <c r="T1484" t="s">
        <v>44</v>
      </c>
      <c r="U1484" t="s">
        <v>44</v>
      </c>
      <c r="V1484">
        <v>14047</v>
      </c>
      <c r="W1484">
        <v>77</v>
      </c>
      <c r="X1484" t="s">
        <v>44</v>
      </c>
      <c r="Y1484">
        <v>14047</v>
      </c>
      <c r="Z1484" t="s">
        <v>44</v>
      </c>
      <c r="AA1484">
        <v>120</v>
      </c>
      <c r="AB1484">
        <v>0</v>
      </c>
      <c r="AC1484">
        <v>0</v>
      </c>
      <c r="AD1484">
        <v>0</v>
      </c>
      <c r="AE1484">
        <v>0</v>
      </c>
      <c r="AF1484">
        <v>84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4000</v>
      </c>
      <c r="AP1484" s="2">
        <v>14983</v>
      </c>
      <c r="AQ1484">
        <f t="shared" si="52"/>
        <v>14983</v>
      </c>
      <c r="AR1484" s="5">
        <f>VLOOKUP(F1484,'[2]SCP_24-25'!$A:$D,4,0)</f>
        <v>34.455294117647057</v>
      </c>
      <c r="AS1484" s="5">
        <f t="shared" si="53"/>
        <v>516243.67176470585</v>
      </c>
    </row>
    <row r="1485" spans="1:45" x14ac:dyDescent="0.3">
      <c r="A1485" s="1">
        <v>45900.963194444441</v>
      </c>
      <c r="B1485" t="s">
        <v>1463</v>
      </c>
      <c r="C1485" t="s">
        <v>1464</v>
      </c>
      <c r="D1485" t="s">
        <v>1353</v>
      </c>
      <c r="F1485" t="s">
        <v>2125</v>
      </c>
      <c r="G1485" t="s">
        <v>1354</v>
      </c>
      <c r="H1485" t="s">
        <v>66</v>
      </c>
      <c r="I1485" t="s">
        <v>415</v>
      </c>
      <c r="J1485">
        <v>5</v>
      </c>
      <c r="K1485">
        <v>19</v>
      </c>
      <c r="L1485">
        <v>10</v>
      </c>
      <c r="M1485">
        <v>11</v>
      </c>
      <c r="N1485">
        <v>20072</v>
      </c>
      <c r="O1485">
        <v>575</v>
      </c>
      <c r="P1485">
        <v>0</v>
      </c>
      <c r="Q1485" t="s">
        <v>44</v>
      </c>
      <c r="R1485" t="s">
        <v>44</v>
      </c>
      <c r="S1485" t="s">
        <v>44</v>
      </c>
      <c r="T1485" t="s">
        <v>44</v>
      </c>
      <c r="U1485" t="s">
        <v>44</v>
      </c>
      <c r="V1485">
        <v>17994</v>
      </c>
      <c r="W1485" t="s">
        <v>44</v>
      </c>
      <c r="X1485" t="s">
        <v>44</v>
      </c>
      <c r="Y1485">
        <v>17994</v>
      </c>
      <c r="Z1485" t="s">
        <v>44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 s="2">
        <v>18569</v>
      </c>
      <c r="AQ1485">
        <f t="shared" si="52"/>
        <v>18569</v>
      </c>
      <c r="AR1485" s="5">
        <f>VLOOKUP(F1485,'[2]SCP_24-25'!$A:$D,4,0)</f>
        <v>20.990000000000002</v>
      </c>
      <c r="AS1485" s="5">
        <f t="shared" si="53"/>
        <v>389763.31000000006</v>
      </c>
    </row>
    <row r="1486" spans="1:45" x14ac:dyDescent="0.3">
      <c r="A1486" s="1">
        <v>45900.963194444441</v>
      </c>
      <c r="B1486" t="s">
        <v>1463</v>
      </c>
      <c r="C1486" t="s">
        <v>1464</v>
      </c>
      <c r="D1486" t="s">
        <v>1341</v>
      </c>
      <c r="F1486" t="s">
        <v>2120</v>
      </c>
      <c r="G1486" t="s">
        <v>1342</v>
      </c>
      <c r="H1486" t="s">
        <v>66</v>
      </c>
      <c r="I1486" t="s">
        <v>415</v>
      </c>
      <c r="J1486">
        <v>5</v>
      </c>
      <c r="K1486">
        <v>19</v>
      </c>
      <c r="L1486">
        <v>10</v>
      </c>
      <c r="M1486">
        <v>11</v>
      </c>
      <c r="N1486">
        <v>26880</v>
      </c>
      <c r="O1486">
        <v>184</v>
      </c>
      <c r="P1486">
        <v>0</v>
      </c>
      <c r="Q1486" t="s">
        <v>44</v>
      </c>
      <c r="R1486" t="s">
        <v>44</v>
      </c>
      <c r="S1486" t="s">
        <v>44</v>
      </c>
      <c r="T1486" t="s">
        <v>44</v>
      </c>
      <c r="U1486" t="s">
        <v>44</v>
      </c>
      <c r="V1486">
        <v>25493</v>
      </c>
      <c r="W1486" t="s">
        <v>44</v>
      </c>
      <c r="X1486" t="s">
        <v>44</v>
      </c>
      <c r="Y1486">
        <v>25493</v>
      </c>
      <c r="Z1486" t="s">
        <v>44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 s="2">
        <v>25678</v>
      </c>
      <c r="AQ1486">
        <f t="shared" si="52"/>
        <v>25678</v>
      </c>
      <c r="AR1486" s="5">
        <f>VLOOKUP(F1486,'[2]SCP_24-25'!$A:$D,4,0)</f>
        <v>14.550000000000008</v>
      </c>
      <c r="AS1486" s="5">
        <f t="shared" si="53"/>
        <v>373614.9000000002</v>
      </c>
    </row>
    <row r="1487" spans="1:45" x14ac:dyDescent="0.3">
      <c r="A1487" s="1">
        <v>45900.963888888888</v>
      </c>
      <c r="B1487" t="s">
        <v>1473</v>
      </c>
      <c r="C1487" t="s">
        <v>1474</v>
      </c>
      <c r="D1487" t="s">
        <v>135</v>
      </c>
      <c r="F1487" t="s">
        <v>1545</v>
      </c>
      <c r="G1487" t="s">
        <v>136</v>
      </c>
      <c r="H1487" t="s">
        <v>66</v>
      </c>
      <c r="I1487" t="s">
        <v>43</v>
      </c>
      <c r="J1487">
        <v>85</v>
      </c>
      <c r="K1487">
        <v>19</v>
      </c>
      <c r="L1487">
        <v>10</v>
      </c>
      <c r="M1487">
        <v>11</v>
      </c>
      <c r="N1487">
        <v>15855</v>
      </c>
      <c r="O1487">
        <v>0</v>
      </c>
      <c r="P1487">
        <v>0</v>
      </c>
      <c r="Q1487">
        <v>120</v>
      </c>
      <c r="R1487">
        <v>354</v>
      </c>
      <c r="S1487" t="s">
        <v>44</v>
      </c>
      <c r="T1487" t="s">
        <v>44</v>
      </c>
      <c r="U1487" t="s">
        <v>44</v>
      </c>
      <c r="V1487">
        <v>90</v>
      </c>
      <c r="W1487">
        <v>56</v>
      </c>
      <c r="X1487" t="s">
        <v>44</v>
      </c>
      <c r="Y1487" t="s">
        <v>44</v>
      </c>
      <c r="Z1487" t="s">
        <v>44</v>
      </c>
      <c r="AA1487">
        <v>0</v>
      </c>
      <c r="AB1487">
        <v>0</v>
      </c>
      <c r="AC1487">
        <v>0</v>
      </c>
      <c r="AD1487">
        <v>0</v>
      </c>
      <c r="AE1487">
        <v>271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90</v>
      </c>
      <c r="AQ1487">
        <f t="shared" ref="AQ1487:AQ1499" si="54">O1487+P1487+V1487+AA1487</f>
        <v>90</v>
      </c>
      <c r="AR1487" s="5">
        <f>VLOOKUP(F1487,'[2]SCP_24-25'!$A:$D,4,0)</f>
        <v>42.19</v>
      </c>
      <c r="AS1487" s="5">
        <f t="shared" si="53"/>
        <v>3797.1</v>
      </c>
    </row>
    <row r="1488" spans="1:45" x14ac:dyDescent="0.3">
      <c r="A1488" s="1">
        <v>45900.963888888888</v>
      </c>
      <c r="B1488" t="s">
        <v>1473</v>
      </c>
      <c r="C1488" t="s">
        <v>1474</v>
      </c>
      <c r="D1488" t="s">
        <v>169</v>
      </c>
      <c r="F1488" t="s">
        <v>1562</v>
      </c>
      <c r="G1488" t="s">
        <v>170</v>
      </c>
      <c r="H1488" t="s">
        <v>66</v>
      </c>
      <c r="I1488" t="s">
        <v>43</v>
      </c>
      <c r="J1488">
        <v>89.29</v>
      </c>
      <c r="K1488">
        <v>19</v>
      </c>
      <c r="L1488">
        <v>11</v>
      </c>
      <c r="M1488">
        <v>9.5</v>
      </c>
      <c r="N1488">
        <v>14536</v>
      </c>
      <c r="O1488">
        <v>0</v>
      </c>
      <c r="P1488">
        <v>0</v>
      </c>
      <c r="Q1488">
        <v>38</v>
      </c>
      <c r="R1488">
        <v>410</v>
      </c>
      <c r="S1488" t="s">
        <v>44</v>
      </c>
      <c r="T1488">
        <v>11</v>
      </c>
      <c r="U1488" t="s">
        <v>44</v>
      </c>
      <c r="V1488">
        <v>142</v>
      </c>
      <c r="W1488">
        <v>36</v>
      </c>
      <c r="X1488" t="s">
        <v>44</v>
      </c>
      <c r="Y1488" t="s">
        <v>44</v>
      </c>
      <c r="Z1488">
        <v>2</v>
      </c>
      <c r="AA1488">
        <v>1</v>
      </c>
      <c r="AB1488">
        <v>0</v>
      </c>
      <c r="AC1488">
        <v>0</v>
      </c>
      <c r="AD1488">
        <v>0</v>
      </c>
      <c r="AE1488">
        <v>366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143</v>
      </c>
      <c r="AQ1488">
        <f t="shared" si="54"/>
        <v>143</v>
      </c>
      <c r="AR1488" s="5">
        <f>VLOOKUP(F1488,'[2]SCP_24-25'!$A:$D,4,0)</f>
        <v>121.49</v>
      </c>
      <c r="AS1488" s="5">
        <f t="shared" si="53"/>
        <v>17373.07</v>
      </c>
    </row>
    <row r="1489" spans="1:45" x14ac:dyDescent="0.3">
      <c r="A1489" s="1">
        <v>45900.963888888888</v>
      </c>
      <c r="B1489" t="s">
        <v>1473</v>
      </c>
      <c r="C1489" t="s">
        <v>1474</v>
      </c>
      <c r="D1489" t="s">
        <v>173</v>
      </c>
      <c r="F1489" t="s">
        <v>1564</v>
      </c>
      <c r="G1489" t="s">
        <v>174</v>
      </c>
      <c r="H1489" t="s">
        <v>66</v>
      </c>
      <c r="I1489" t="s">
        <v>43</v>
      </c>
      <c r="J1489">
        <v>101</v>
      </c>
      <c r="K1489">
        <v>19</v>
      </c>
      <c r="L1489">
        <v>9.5</v>
      </c>
      <c r="M1489">
        <v>11</v>
      </c>
      <c r="N1489">
        <v>21782</v>
      </c>
      <c r="O1489">
        <v>7</v>
      </c>
      <c r="P1489">
        <v>0</v>
      </c>
      <c r="Q1489">
        <v>54</v>
      </c>
      <c r="R1489">
        <v>26</v>
      </c>
      <c r="S1489" t="s">
        <v>44</v>
      </c>
      <c r="T1489" t="s">
        <v>44</v>
      </c>
      <c r="U1489" t="s">
        <v>44</v>
      </c>
      <c r="V1489">
        <v>142</v>
      </c>
      <c r="W1489">
        <v>50</v>
      </c>
      <c r="X1489" t="s">
        <v>44</v>
      </c>
      <c r="Y1489">
        <v>13</v>
      </c>
      <c r="Z1489" t="s">
        <v>44</v>
      </c>
      <c r="AA1489">
        <v>6</v>
      </c>
      <c r="AB1489">
        <v>0</v>
      </c>
      <c r="AC1489">
        <v>0</v>
      </c>
      <c r="AD1489">
        <v>0</v>
      </c>
      <c r="AE1489">
        <v>22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155</v>
      </c>
      <c r="AQ1489">
        <f t="shared" si="54"/>
        <v>155</v>
      </c>
      <c r="AR1489" s="5">
        <f>VLOOKUP(F1489,'[2]SCP_24-25'!$A:$D,4,0)</f>
        <v>51.353999999999999</v>
      </c>
      <c r="AS1489" s="5">
        <f t="shared" si="53"/>
        <v>7959.87</v>
      </c>
    </row>
    <row r="1490" spans="1:45" x14ac:dyDescent="0.3">
      <c r="A1490" s="1">
        <v>45900.963888888888</v>
      </c>
      <c r="B1490" t="s">
        <v>1473</v>
      </c>
      <c r="C1490" t="s">
        <v>1474</v>
      </c>
      <c r="D1490" t="s">
        <v>222</v>
      </c>
      <c r="F1490" t="s">
        <v>1586</v>
      </c>
      <c r="G1490" t="s">
        <v>223</v>
      </c>
      <c r="H1490" t="s">
        <v>66</v>
      </c>
      <c r="I1490" t="s">
        <v>43</v>
      </c>
      <c r="J1490">
        <v>91</v>
      </c>
      <c r="K1490">
        <v>19</v>
      </c>
      <c r="L1490">
        <v>10</v>
      </c>
      <c r="M1490">
        <v>11</v>
      </c>
      <c r="N1490">
        <v>13291</v>
      </c>
      <c r="O1490">
        <v>0</v>
      </c>
      <c r="P1490">
        <v>0</v>
      </c>
      <c r="Q1490">
        <v>40</v>
      </c>
      <c r="R1490">
        <v>20</v>
      </c>
      <c r="S1490" t="s">
        <v>44</v>
      </c>
      <c r="T1490">
        <v>1</v>
      </c>
      <c r="U1490" t="s">
        <v>44</v>
      </c>
      <c r="V1490">
        <v>177</v>
      </c>
      <c r="W1490">
        <v>24</v>
      </c>
      <c r="X1490" t="s">
        <v>44</v>
      </c>
      <c r="Y1490">
        <v>1</v>
      </c>
      <c r="Z1490" t="s">
        <v>44</v>
      </c>
      <c r="AA1490">
        <v>1</v>
      </c>
      <c r="AB1490">
        <v>0</v>
      </c>
      <c r="AC1490">
        <v>0</v>
      </c>
      <c r="AD1490">
        <v>0</v>
      </c>
      <c r="AE1490">
        <v>268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178</v>
      </c>
      <c r="AQ1490">
        <f t="shared" si="54"/>
        <v>178</v>
      </c>
      <c r="AR1490" s="5">
        <f>VLOOKUP(F1490,'[2]SCP_24-25'!$A:$D,4,0)</f>
        <v>60.73</v>
      </c>
      <c r="AS1490" s="5">
        <f t="shared" si="53"/>
        <v>10809.939999999999</v>
      </c>
    </row>
    <row r="1491" spans="1:45" x14ac:dyDescent="0.3">
      <c r="A1491" s="1">
        <v>45900.963888888888</v>
      </c>
      <c r="B1491" t="s">
        <v>1473</v>
      </c>
      <c r="C1491" t="s">
        <v>1474</v>
      </c>
      <c r="D1491" t="s">
        <v>235</v>
      </c>
      <c r="F1491" t="s">
        <v>1592</v>
      </c>
      <c r="G1491" t="s">
        <v>236</v>
      </c>
      <c r="H1491" t="s">
        <v>66</v>
      </c>
      <c r="I1491" t="s">
        <v>43</v>
      </c>
      <c r="J1491">
        <v>90</v>
      </c>
      <c r="K1491">
        <v>19</v>
      </c>
      <c r="L1491">
        <v>9.5</v>
      </c>
      <c r="M1491">
        <v>11</v>
      </c>
      <c r="N1491">
        <v>4055</v>
      </c>
      <c r="O1491">
        <v>0</v>
      </c>
      <c r="P1491">
        <v>0</v>
      </c>
      <c r="Q1491">
        <v>72</v>
      </c>
      <c r="R1491">
        <v>124</v>
      </c>
      <c r="S1491" t="s">
        <v>44</v>
      </c>
      <c r="T1491">
        <v>6</v>
      </c>
      <c r="U1491" t="s">
        <v>44</v>
      </c>
      <c r="V1491">
        <v>477</v>
      </c>
      <c r="W1491">
        <v>78</v>
      </c>
      <c r="X1491" t="s">
        <v>44</v>
      </c>
      <c r="Y1491" t="s">
        <v>44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60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477</v>
      </c>
      <c r="AQ1491">
        <f t="shared" si="54"/>
        <v>477</v>
      </c>
      <c r="AR1491" s="5">
        <f>VLOOKUP(F1491,'[2]SCP_24-25'!$A:$D,4,0)</f>
        <v>52.010000000000005</v>
      </c>
      <c r="AS1491" s="5">
        <f t="shared" si="53"/>
        <v>24808.770000000004</v>
      </c>
    </row>
    <row r="1492" spans="1:45" x14ac:dyDescent="0.3">
      <c r="A1492" s="1">
        <v>45900.963888888888</v>
      </c>
      <c r="B1492" t="s">
        <v>1473</v>
      </c>
      <c r="C1492" t="s">
        <v>1474</v>
      </c>
      <c r="D1492" t="s">
        <v>237</v>
      </c>
      <c r="F1492" t="s">
        <v>1593</v>
      </c>
      <c r="G1492" t="s">
        <v>238</v>
      </c>
      <c r="H1492" t="s">
        <v>66</v>
      </c>
      <c r="I1492" t="s">
        <v>43</v>
      </c>
      <c r="J1492">
        <v>90</v>
      </c>
      <c r="K1492">
        <v>19</v>
      </c>
      <c r="L1492">
        <v>9.5</v>
      </c>
      <c r="M1492">
        <v>11</v>
      </c>
      <c r="N1492">
        <v>8940</v>
      </c>
      <c r="O1492">
        <v>0</v>
      </c>
      <c r="P1492">
        <v>0</v>
      </c>
      <c r="Q1492">
        <v>61</v>
      </c>
      <c r="R1492">
        <v>22</v>
      </c>
      <c r="S1492" t="s">
        <v>44</v>
      </c>
      <c r="T1492" t="s">
        <v>44</v>
      </c>
      <c r="U1492" t="s">
        <v>44</v>
      </c>
      <c r="V1492">
        <v>279</v>
      </c>
      <c r="W1492">
        <v>47</v>
      </c>
      <c r="X1492" t="s">
        <v>44</v>
      </c>
      <c r="Y1492" t="s">
        <v>44</v>
      </c>
      <c r="Z1492" t="s">
        <v>44</v>
      </c>
      <c r="AA1492">
        <v>1</v>
      </c>
      <c r="AB1492">
        <v>0</v>
      </c>
      <c r="AC1492">
        <v>0</v>
      </c>
      <c r="AD1492">
        <v>0</v>
      </c>
      <c r="AE1492">
        <v>43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280</v>
      </c>
      <c r="AQ1492">
        <f t="shared" si="54"/>
        <v>280</v>
      </c>
      <c r="AR1492" s="5">
        <f>VLOOKUP(F1492,'[2]SCP_24-25'!$A:$D,4,0)</f>
        <v>60</v>
      </c>
      <c r="AS1492" s="5">
        <f t="shared" si="53"/>
        <v>16800</v>
      </c>
    </row>
    <row r="1493" spans="1:45" x14ac:dyDescent="0.3">
      <c r="A1493" s="1">
        <v>45900.963888888888</v>
      </c>
      <c r="B1493" t="s">
        <v>1473</v>
      </c>
      <c r="C1493" t="s">
        <v>1474</v>
      </c>
      <c r="D1493" t="s">
        <v>242</v>
      </c>
      <c r="E1493" t="s">
        <v>243</v>
      </c>
      <c r="F1493" t="s">
        <v>1595</v>
      </c>
      <c r="G1493" t="s">
        <v>244</v>
      </c>
      <c r="H1493" t="s">
        <v>66</v>
      </c>
      <c r="I1493" t="s">
        <v>43</v>
      </c>
      <c r="J1493">
        <v>35</v>
      </c>
      <c r="K1493">
        <v>19</v>
      </c>
      <c r="L1493">
        <v>11</v>
      </c>
      <c r="M1493">
        <v>9.5</v>
      </c>
      <c r="N1493">
        <v>2992</v>
      </c>
      <c r="O1493">
        <v>0</v>
      </c>
      <c r="P1493">
        <v>0</v>
      </c>
      <c r="Q1493">
        <v>29</v>
      </c>
      <c r="R1493">
        <v>4</v>
      </c>
      <c r="S1493" t="s">
        <v>44</v>
      </c>
      <c r="T1493" t="s">
        <v>44</v>
      </c>
      <c r="U1493" t="s">
        <v>44</v>
      </c>
      <c r="V1493">
        <v>157</v>
      </c>
      <c r="W1493">
        <v>12</v>
      </c>
      <c r="X1493" t="s">
        <v>44</v>
      </c>
      <c r="Y1493">
        <v>5</v>
      </c>
      <c r="Z1493" t="s">
        <v>44</v>
      </c>
      <c r="AA1493">
        <v>0</v>
      </c>
      <c r="AB1493">
        <v>0</v>
      </c>
      <c r="AC1493">
        <v>0</v>
      </c>
      <c r="AD1493">
        <v>0</v>
      </c>
      <c r="AE1493">
        <v>27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157</v>
      </c>
      <c r="AQ1493">
        <f t="shared" si="54"/>
        <v>157</v>
      </c>
      <c r="AR1493" s="5">
        <f>VLOOKUP(F1493,'[2]SCP_24-25'!$A:$D,4,0)</f>
        <v>31.06</v>
      </c>
      <c r="AS1493" s="5">
        <f t="shared" si="53"/>
        <v>4876.42</v>
      </c>
    </row>
    <row r="1494" spans="1:45" x14ac:dyDescent="0.3">
      <c r="A1494" s="1">
        <v>45900.963888888888</v>
      </c>
      <c r="B1494" t="s">
        <v>1473</v>
      </c>
      <c r="C1494" t="s">
        <v>1474</v>
      </c>
      <c r="D1494" t="s">
        <v>245</v>
      </c>
      <c r="E1494" t="s">
        <v>246</v>
      </c>
      <c r="F1494" t="s">
        <v>1596</v>
      </c>
      <c r="G1494" t="s">
        <v>247</v>
      </c>
      <c r="H1494" t="s">
        <v>66</v>
      </c>
      <c r="I1494" t="s">
        <v>43</v>
      </c>
      <c r="J1494">
        <v>35</v>
      </c>
      <c r="K1494">
        <v>19</v>
      </c>
      <c r="L1494">
        <v>11</v>
      </c>
      <c r="M1494">
        <v>9.5</v>
      </c>
      <c r="N1494">
        <v>5290</v>
      </c>
      <c r="O1494">
        <v>0</v>
      </c>
      <c r="P1494">
        <v>0</v>
      </c>
      <c r="Q1494">
        <v>11</v>
      </c>
      <c r="R1494">
        <v>2</v>
      </c>
      <c r="S1494" t="s">
        <v>44</v>
      </c>
      <c r="T1494" t="s">
        <v>44</v>
      </c>
      <c r="U1494" t="s">
        <v>44</v>
      </c>
      <c r="V1494">
        <v>38</v>
      </c>
      <c r="W1494">
        <v>2</v>
      </c>
      <c r="X1494" t="s">
        <v>44</v>
      </c>
      <c r="Y1494" t="s">
        <v>44</v>
      </c>
      <c r="Z1494" t="s">
        <v>44</v>
      </c>
      <c r="AA1494">
        <v>0</v>
      </c>
      <c r="AB1494">
        <v>0</v>
      </c>
      <c r="AC1494">
        <v>0</v>
      </c>
      <c r="AD1494">
        <v>0</v>
      </c>
      <c r="AE1494">
        <v>8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38</v>
      </c>
      <c r="AQ1494">
        <f t="shared" si="54"/>
        <v>38</v>
      </c>
      <c r="AR1494" s="5">
        <f>VLOOKUP(F1494,'[2]SCP_24-25'!$A:$D,4,0)</f>
        <v>26.27</v>
      </c>
      <c r="AS1494" s="5">
        <f t="shared" si="53"/>
        <v>998.26</v>
      </c>
    </row>
    <row r="1495" spans="1:45" x14ac:dyDescent="0.3">
      <c r="A1495" s="1">
        <v>45900.963888888888</v>
      </c>
      <c r="B1495" t="s">
        <v>1473</v>
      </c>
      <c r="C1495" t="s">
        <v>1474</v>
      </c>
      <c r="D1495" t="s">
        <v>888</v>
      </c>
      <c r="E1495" t="s">
        <v>889</v>
      </c>
      <c r="F1495" t="s">
        <v>1895</v>
      </c>
      <c r="G1495" t="s">
        <v>890</v>
      </c>
      <c r="H1495" t="s">
        <v>66</v>
      </c>
      <c r="I1495" t="s">
        <v>43</v>
      </c>
      <c r="J1495">
        <v>35</v>
      </c>
      <c r="K1495">
        <v>19</v>
      </c>
      <c r="L1495">
        <v>11</v>
      </c>
      <c r="M1495">
        <v>9.5</v>
      </c>
      <c r="N1495">
        <v>900</v>
      </c>
      <c r="O1495">
        <v>0</v>
      </c>
      <c r="P1495">
        <v>0</v>
      </c>
      <c r="Q1495">
        <v>12</v>
      </c>
      <c r="R1495" t="s">
        <v>44</v>
      </c>
      <c r="S1495" t="s">
        <v>44</v>
      </c>
      <c r="T1495" t="s">
        <v>44</v>
      </c>
      <c r="U1495" t="s">
        <v>44</v>
      </c>
      <c r="V1495">
        <v>130</v>
      </c>
      <c r="W1495">
        <v>7</v>
      </c>
      <c r="X1495" t="s">
        <v>44</v>
      </c>
      <c r="Y1495" t="s">
        <v>44</v>
      </c>
      <c r="Z1495" t="s">
        <v>44</v>
      </c>
      <c r="AA1495">
        <v>0</v>
      </c>
      <c r="AB1495">
        <v>0</v>
      </c>
      <c r="AC1495">
        <v>0</v>
      </c>
      <c r="AD1495">
        <v>0</v>
      </c>
      <c r="AE1495">
        <v>28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130</v>
      </c>
      <c r="AQ1495">
        <f t="shared" si="54"/>
        <v>130</v>
      </c>
      <c r="AR1495" s="5">
        <f>VLOOKUP(F1495,'[2]SCP_24-25'!$A:$D,4,0)</f>
        <v>37.06</v>
      </c>
      <c r="AS1495" s="5">
        <f t="shared" si="53"/>
        <v>4817.8</v>
      </c>
    </row>
    <row r="1496" spans="1:45" x14ac:dyDescent="0.3">
      <c r="A1496" s="1">
        <v>45900.963888888888</v>
      </c>
      <c r="B1496" t="s">
        <v>1473</v>
      </c>
      <c r="C1496" t="s">
        <v>1474</v>
      </c>
      <c r="D1496" t="s">
        <v>266</v>
      </c>
      <c r="E1496" t="s">
        <v>267</v>
      </c>
      <c r="F1496" t="s">
        <v>1603</v>
      </c>
      <c r="G1496" t="s">
        <v>268</v>
      </c>
      <c r="H1496" t="s">
        <v>66</v>
      </c>
      <c r="I1496" t="s">
        <v>43</v>
      </c>
      <c r="J1496">
        <v>120</v>
      </c>
      <c r="K1496">
        <v>19</v>
      </c>
      <c r="L1496">
        <v>11</v>
      </c>
      <c r="M1496">
        <v>9.5</v>
      </c>
      <c r="N1496">
        <v>20953</v>
      </c>
      <c r="O1496">
        <v>0</v>
      </c>
      <c r="P1496">
        <v>0</v>
      </c>
      <c r="Q1496">
        <v>40</v>
      </c>
      <c r="R1496">
        <v>17</v>
      </c>
      <c r="S1496" t="s">
        <v>44</v>
      </c>
      <c r="T1496">
        <v>41</v>
      </c>
      <c r="U1496" t="s">
        <v>44</v>
      </c>
      <c r="V1496">
        <v>109</v>
      </c>
      <c r="W1496">
        <v>8</v>
      </c>
      <c r="X1496" t="s">
        <v>44</v>
      </c>
      <c r="Y1496" t="s">
        <v>44</v>
      </c>
      <c r="Z1496" t="s">
        <v>44</v>
      </c>
      <c r="AA1496">
        <v>4</v>
      </c>
      <c r="AB1496">
        <v>0</v>
      </c>
      <c r="AC1496">
        <v>0</v>
      </c>
      <c r="AD1496">
        <v>0</v>
      </c>
      <c r="AE1496">
        <v>14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113</v>
      </c>
      <c r="AQ1496">
        <f t="shared" si="54"/>
        <v>113</v>
      </c>
      <c r="AR1496" s="5">
        <f>VLOOKUP(F1496,'[2]SCP_24-25'!$A:$D,4,0)</f>
        <v>43.71</v>
      </c>
      <c r="AS1496" s="5">
        <f t="shared" si="53"/>
        <v>4939.2300000000005</v>
      </c>
    </row>
    <row r="1497" spans="1:45" x14ac:dyDescent="0.3">
      <c r="A1497" s="1">
        <v>45900.963888888888</v>
      </c>
      <c r="B1497" t="s">
        <v>1473</v>
      </c>
      <c r="C1497" t="s">
        <v>1474</v>
      </c>
      <c r="D1497" t="s">
        <v>269</v>
      </c>
      <c r="E1497" t="s">
        <v>270</v>
      </c>
      <c r="F1497" t="s">
        <v>1604</v>
      </c>
      <c r="G1497" t="s">
        <v>271</v>
      </c>
      <c r="H1497" t="s">
        <v>66</v>
      </c>
      <c r="I1497" t="s">
        <v>43</v>
      </c>
      <c r="J1497">
        <v>90</v>
      </c>
      <c r="K1497">
        <v>19</v>
      </c>
      <c r="L1497">
        <v>11</v>
      </c>
      <c r="M1497">
        <v>9.5</v>
      </c>
      <c r="N1497">
        <v>6197</v>
      </c>
      <c r="O1497">
        <v>0</v>
      </c>
      <c r="P1497">
        <v>0</v>
      </c>
      <c r="Q1497">
        <v>32</v>
      </c>
      <c r="R1497">
        <v>40</v>
      </c>
      <c r="S1497" t="s">
        <v>44</v>
      </c>
      <c r="T1497" t="s">
        <v>44</v>
      </c>
      <c r="U1497" t="s">
        <v>44</v>
      </c>
      <c r="V1497">
        <v>154</v>
      </c>
      <c r="W1497">
        <v>23</v>
      </c>
      <c r="X1497" t="s">
        <v>44</v>
      </c>
      <c r="Y1497">
        <v>29</v>
      </c>
      <c r="Z1497" t="s">
        <v>44</v>
      </c>
      <c r="AA1497">
        <v>0</v>
      </c>
      <c r="AB1497">
        <v>0</v>
      </c>
      <c r="AC1497">
        <v>0</v>
      </c>
      <c r="AD1497">
        <v>0</v>
      </c>
      <c r="AE1497">
        <v>34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154</v>
      </c>
      <c r="AQ1497">
        <f t="shared" si="54"/>
        <v>154</v>
      </c>
      <c r="AR1497" s="5">
        <f>VLOOKUP(F1497,'[2]SCP_24-25'!$A:$D,4,0)</f>
        <v>52.11</v>
      </c>
      <c r="AS1497" s="5">
        <f t="shared" si="53"/>
        <v>8024.94</v>
      </c>
    </row>
    <row r="1498" spans="1:45" x14ac:dyDescent="0.3">
      <c r="A1498" s="1">
        <v>45900.963888888888</v>
      </c>
      <c r="B1498" t="s">
        <v>1473</v>
      </c>
      <c r="C1498" t="s">
        <v>1474</v>
      </c>
      <c r="D1498" t="s">
        <v>891</v>
      </c>
      <c r="E1498" t="s">
        <v>892</v>
      </c>
      <c r="F1498" t="s">
        <v>1896</v>
      </c>
      <c r="G1498" t="s">
        <v>893</v>
      </c>
      <c r="H1498" t="s">
        <v>66</v>
      </c>
      <c r="I1498" t="s">
        <v>43</v>
      </c>
      <c r="J1498">
        <v>50</v>
      </c>
      <c r="K1498">
        <v>19</v>
      </c>
      <c r="L1498">
        <v>11</v>
      </c>
      <c r="M1498">
        <v>9.5</v>
      </c>
      <c r="N1498">
        <v>215</v>
      </c>
      <c r="O1498">
        <v>0</v>
      </c>
      <c r="P1498">
        <v>0</v>
      </c>
      <c r="Q1498">
        <v>3</v>
      </c>
      <c r="R1498" t="s">
        <v>44</v>
      </c>
      <c r="S1498" t="s">
        <v>44</v>
      </c>
      <c r="T1498" t="s">
        <v>44</v>
      </c>
      <c r="U1498" t="s">
        <v>44</v>
      </c>
      <c r="V1498">
        <v>1</v>
      </c>
      <c r="W1498">
        <v>190</v>
      </c>
      <c r="X1498" t="s">
        <v>44</v>
      </c>
      <c r="Y1498">
        <v>1</v>
      </c>
      <c r="Z1498" t="s">
        <v>44</v>
      </c>
      <c r="AA1498">
        <v>0</v>
      </c>
      <c r="AB1498">
        <v>0</v>
      </c>
      <c r="AC1498">
        <v>0</v>
      </c>
      <c r="AD1498">
        <v>0</v>
      </c>
      <c r="AE1498">
        <v>21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</v>
      </c>
      <c r="AQ1498">
        <f t="shared" si="54"/>
        <v>1</v>
      </c>
      <c r="AR1498" s="5">
        <f>VLOOKUP(F1498,'[1]Cost Sheet'!$C:$D,2,0)</f>
        <v>55.05</v>
      </c>
      <c r="AS1498" s="5">
        <f t="shared" si="53"/>
        <v>55.05</v>
      </c>
    </row>
    <row r="1499" spans="1:45" x14ac:dyDescent="0.3">
      <c r="A1499" s="1">
        <v>45900.963888888888</v>
      </c>
      <c r="B1499" t="s">
        <v>1473</v>
      </c>
      <c r="C1499" t="s">
        <v>1474</v>
      </c>
      <c r="D1499" t="s">
        <v>272</v>
      </c>
      <c r="F1499" t="s">
        <v>1605</v>
      </c>
      <c r="G1499" t="s">
        <v>273</v>
      </c>
      <c r="H1499" t="s">
        <v>66</v>
      </c>
      <c r="I1499" t="s">
        <v>43</v>
      </c>
      <c r="J1499">
        <v>200</v>
      </c>
      <c r="K1499">
        <v>19</v>
      </c>
      <c r="L1499">
        <v>9.5</v>
      </c>
      <c r="M1499">
        <v>11</v>
      </c>
      <c r="N1499">
        <v>68</v>
      </c>
      <c r="O1499">
        <v>0</v>
      </c>
      <c r="P1499">
        <v>0</v>
      </c>
      <c r="Q1499" t="s">
        <v>44</v>
      </c>
      <c r="R1499" t="s">
        <v>44</v>
      </c>
      <c r="S1499" t="s">
        <v>44</v>
      </c>
      <c r="T1499" t="s">
        <v>44</v>
      </c>
      <c r="U1499" t="s">
        <v>44</v>
      </c>
      <c r="V1499">
        <v>4</v>
      </c>
      <c r="W1499" t="s">
        <v>44</v>
      </c>
      <c r="X1499" t="s">
        <v>44</v>
      </c>
      <c r="Y1499" t="s">
        <v>44</v>
      </c>
      <c r="Z1499" t="s">
        <v>44</v>
      </c>
      <c r="AA1499">
        <v>0</v>
      </c>
      <c r="AB1499">
        <v>0</v>
      </c>
      <c r="AC1499">
        <v>0</v>
      </c>
      <c r="AD1499">
        <v>0</v>
      </c>
      <c r="AE1499">
        <v>2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4</v>
      </c>
      <c r="AQ1499">
        <f t="shared" si="54"/>
        <v>4</v>
      </c>
      <c r="AR1499" s="5">
        <f>VLOOKUP(F1499,'[2]SCP_24-25'!$A:$D,4,0)</f>
        <v>66.42</v>
      </c>
      <c r="AS1499" s="5">
        <f t="shared" si="53"/>
        <v>265.68</v>
      </c>
    </row>
    <row r="1500" spans="1:45" x14ac:dyDescent="0.3">
      <c r="A1500" s="1">
        <v>45900.963888888888</v>
      </c>
      <c r="B1500" t="s">
        <v>1473</v>
      </c>
      <c r="C1500" t="s">
        <v>1474</v>
      </c>
      <c r="D1500" t="s">
        <v>280</v>
      </c>
      <c r="E1500" t="s">
        <v>281</v>
      </c>
      <c r="F1500" t="s">
        <v>1608</v>
      </c>
      <c r="G1500" t="s">
        <v>282</v>
      </c>
      <c r="H1500" t="s">
        <v>103</v>
      </c>
      <c r="I1500" t="s">
        <v>43</v>
      </c>
      <c r="J1500">
        <v>199</v>
      </c>
      <c r="K1500">
        <v>19</v>
      </c>
      <c r="L1500">
        <v>9.5</v>
      </c>
      <c r="M1500">
        <v>11</v>
      </c>
      <c r="N1500">
        <v>63605</v>
      </c>
      <c r="O1500">
        <v>0</v>
      </c>
      <c r="P1500">
        <v>0</v>
      </c>
      <c r="Q1500">
        <v>30</v>
      </c>
      <c r="R1500">
        <v>1572</v>
      </c>
      <c r="S1500" t="s">
        <v>44</v>
      </c>
      <c r="T1500">
        <v>11</v>
      </c>
      <c r="U1500" t="s">
        <v>44</v>
      </c>
      <c r="V1500">
        <v>13</v>
      </c>
      <c r="W1500">
        <v>3</v>
      </c>
      <c r="X1500" t="s">
        <v>44</v>
      </c>
      <c r="Y1500" t="s">
        <v>44</v>
      </c>
      <c r="Z1500" t="s">
        <v>44</v>
      </c>
      <c r="AA1500">
        <v>7</v>
      </c>
      <c r="AB1500">
        <v>0</v>
      </c>
      <c r="AC1500">
        <v>0</v>
      </c>
      <c r="AD1500">
        <v>0</v>
      </c>
      <c r="AE1500">
        <v>0</v>
      </c>
      <c r="AF1500">
        <v>2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20</v>
      </c>
      <c r="AQ1500">
        <f t="shared" ref="AQ1500:AQ1556" si="55">O1500+P1500+V1500+AA1500</f>
        <v>20</v>
      </c>
      <c r="AR1500" s="5">
        <f>VLOOKUP(F1500,'[2]SCP_24-25'!$A:$D,4,0)</f>
        <v>85.41</v>
      </c>
      <c r="AS1500" s="5">
        <f t="shared" si="53"/>
        <v>1708.1999999999998</v>
      </c>
    </row>
    <row r="1501" spans="1:45" x14ac:dyDescent="0.3">
      <c r="A1501" s="1">
        <v>45900.963888888888</v>
      </c>
      <c r="B1501" t="s">
        <v>1473</v>
      </c>
      <c r="C1501" t="s">
        <v>1474</v>
      </c>
      <c r="D1501" t="s">
        <v>292</v>
      </c>
      <c r="E1501" t="s">
        <v>293</v>
      </c>
      <c r="F1501" t="s">
        <v>1612</v>
      </c>
      <c r="G1501" t="s">
        <v>294</v>
      </c>
      <c r="H1501" t="s">
        <v>103</v>
      </c>
      <c r="I1501" t="s">
        <v>43</v>
      </c>
      <c r="J1501">
        <v>125.02</v>
      </c>
      <c r="K1501">
        <v>19</v>
      </c>
      <c r="L1501">
        <v>9.5</v>
      </c>
      <c r="M1501">
        <v>11</v>
      </c>
      <c r="N1501">
        <v>9480</v>
      </c>
      <c r="O1501">
        <v>0</v>
      </c>
      <c r="P1501">
        <v>0</v>
      </c>
      <c r="Q1501">
        <v>50</v>
      </c>
      <c r="R1501">
        <v>21</v>
      </c>
      <c r="S1501" t="s">
        <v>44</v>
      </c>
      <c r="T1501" t="s">
        <v>44</v>
      </c>
      <c r="U1501" t="s">
        <v>44</v>
      </c>
      <c r="V1501">
        <v>172</v>
      </c>
      <c r="W1501">
        <v>25</v>
      </c>
      <c r="X1501" t="s">
        <v>44</v>
      </c>
      <c r="Y1501" t="s">
        <v>44</v>
      </c>
      <c r="Z1501" t="s">
        <v>44</v>
      </c>
      <c r="AA1501">
        <v>0</v>
      </c>
      <c r="AB1501">
        <v>0</v>
      </c>
      <c r="AC1501">
        <v>0</v>
      </c>
      <c r="AD1501">
        <v>0</v>
      </c>
      <c r="AE1501">
        <v>14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172</v>
      </c>
      <c r="AQ1501">
        <f t="shared" si="55"/>
        <v>172</v>
      </c>
      <c r="AR1501" s="5">
        <f>VLOOKUP(F1501,'[2]SCP_24-25'!$A:$D,4,0)</f>
        <v>67.05</v>
      </c>
      <c r="AS1501" s="5">
        <f t="shared" si="53"/>
        <v>11532.6</v>
      </c>
    </row>
    <row r="1502" spans="1:45" x14ac:dyDescent="0.3">
      <c r="A1502" s="1">
        <v>45900.963888888888</v>
      </c>
      <c r="B1502" t="s">
        <v>1473</v>
      </c>
      <c r="C1502" t="s">
        <v>1474</v>
      </c>
      <c r="D1502" t="s">
        <v>297</v>
      </c>
      <c r="F1502" t="s">
        <v>1614</v>
      </c>
      <c r="G1502" t="s">
        <v>298</v>
      </c>
      <c r="H1502" t="s">
        <v>66</v>
      </c>
      <c r="I1502" t="s">
        <v>43</v>
      </c>
      <c r="J1502">
        <v>30</v>
      </c>
      <c r="K1502">
        <v>19</v>
      </c>
      <c r="L1502">
        <v>9.5</v>
      </c>
      <c r="M1502">
        <v>11</v>
      </c>
      <c r="N1502">
        <v>2283</v>
      </c>
      <c r="O1502">
        <v>0</v>
      </c>
      <c r="P1502">
        <v>0</v>
      </c>
      <c r="Q1502">
        <v>7</v>
      </c>
      <c r="R1502">
        <v>7</v>
      </c>
      <c r="S1502" t="s">
        <v>44</v>
      </c>
      <c r="T1502" t="s">
        <v>44</v>
      </c>
      <c r="U1502" t="s">
        <v>44</v>
      </c>
      <c r="V1502">
        <v>2</v>
      </c>
      <c r="W1502">
        <v>1</v>
      </c>
      <c r="X1502" t="s">
        <v>44</v>
      </c>
      <c r="Y1502">
        <v>1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2</v>
      </c>
      <c r="AQ1502">
        <f t="shared" si="55"/>
        <v>2</v>
      </c>
      <c r="AR1502" s="5">
        <f>VLOOKUP(F1502,'[2]SCP_24-25'!$A:$D,4,0)</f>
        <v>31.11</v>
      </c>
      <c r="AS1502" s="5">
        <f t="shared" si="53"/>
        <v>62.22</v>
      </c>
    </row>
    <row r="1503" spans="1:45" x14ac:dyDescent="0.3">
      <c r="A1503" s="1">
        <v>45900.963888888888</v>
      </c>
      <c r="B1503" t="s">
        <v>1473</v>
      </c>
      <c r="C1503" t="s">
        <v>1474</v>
      </c>
      <c r="D1503" t="s">
        <v>305</v>
      </c>
      <c r="E1503" t="s">
        <v>306</v>
      </c>
      <c r="F1503" t="s">
        <v>1618</v>
      </c>
      <c r="G1503" t="s">
        <v>307</v>
      </c>
      <c r="H1503" t="s">
        <v>66</v>
      </c>
      <c r="I1503" t="s">
        <v>43</v>
      </c>
      <c r="J1503">
        <v>120</v>
      </c>
      <c r="K1503">
        <v>19</v>
      </c>
      <c r="L1503">
        <v>11</v>
      </c>
      <c r="M1503">
        <v>9.5</v>
      </c>
      <c r="N1503">
        <v>74675</v>
      </c>
      <c r="O1503">
        <v>1</v>
      </c>
      <c r="P1503">
        <v>0</v>
      </c>
      <c r="Q1503">
        <v>52</v>
      </c>
      <c r="R1503">
        <v>122</v>
      </c>
      <c r="S1503" t="s">
        <v>44</v>
      </c>
      <c r="T1503">
        <v>6499</v>
      </c>
      <c r="U1503" t="s">
        <v>44</v>
      </c>
      <c r="V1503">
        <v>2</v>
      </c>
      <c r="W1503">
        <v>1</v>
      </c>
      <c r="X1503" t="s">
        <v>44</v>
      </c>
      <c r="Y1503" t="s">
        <v>44</v>
      </c>
      <c r="Z1503" t="s">
        <v>44</v>
      </c>
      <c r="AA1503">
        <v>32</v>
      </c>
      <c r="AB1503">
        <v>0</v>
      </c>
      <c r="AC1503">
        <v>0</v>
      </c>
      <c r="AD1503">
        <v>0</v>
      </c>
      <c r="AE1503">
        <v>4</v>
      </c>
      <c r="AF1503">
        <v>4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35</v>
      </c>
      <c r="AQ1503">
        <f t="shared" si="55"/>
        <v>35</v>
      </c>
      <c r="AR1503" s="5">
        <f>VLOOKUP(F1503,'[2]SCP_24-25'!$A:$D,4,0)</f>
        <v>44.312857142857141</v>
      </c>
      <c r="AS1503" s="5">
        <f t="shared" si="53"/>
        <v>1550.9499999999998</v>
      </c>
    </row>
    <row r="1504" spans="1:45" x14ac:dyDescent="0.3">
      <c r="A1504" s="1">
        <v>45900.963888888888</v>
      </c>
      <c r="B1504" t="s">
        <v>1473</v>
      </c>
      <c r="C1504" t="s">
        <v>1474</v>
      </c>
      <c r="D1504" t="s">
        <v>311</v>
      </c>
      <c r="E1504" t="s">
        <v>312</v>
      </c>
      <c r="F1504" t="s">
        <v>1620</v>
      </c>
      <c r="G1504" t="s">
        <v>313</v>
      </c>
      <c r="H1504" t="s">
        <v>66</v>
      </c>
      <c r="I1504" t="s">
        <v>43</v>
      </c>
      <c r="J1504">
        <v>50</v>
      </c>
      <c r="K1504">
        <v>19</v>
      </c>
      <c r="L1504">
        <v>11</v>
      </c>
      <c r="M1504">
        <v>9.5</v>
      </c>
      <c r="N1504">
        <v>2701</v>
      </c>
      <c r="O1504">
        <v>0</v>
      </c>
      <c r="P1504">
        <v>0</v>
      </c>
      <c r="Q1504">
        <v>15</v>
      </c>
      <c r="R1504">
        <v>8</v>
      </c>
      <c r="S1504" t="s">
        <v>44</v>
      </c>
      <c r="T1504" t="s">
        <v>44</v>
      </c>
      <c r="U1504" t="s">
        <v>44</v>
      </c>
      <c r="V1504">
        <v>15</v>
      </c>
      <c r="W1504">
        <v>11</v>
      </c>
      <c r="X1504" t="s">
        <v>44</v>
      </c>
      <c r="Y1504" t="s">
        <v>44</v>
      </c>
      <c r="Z1504">
        <v>3</v>
      </c>
      <c r="AA1504">
        <v>0</v>
      </c>
      <c r="AB1504">
        <v>0</v>
      </c>
      <c r="AC1504">
        <v>0</v>
      </c>
      <c r="AD1504">
        <v>0</v>
      </c>
      <c r="AE1504">
        <v>4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15</v>
      </c>
      <c r="AQ1504">
        <f t="shared" si="55"/>
        <v>15</v>
      </c>
      <c r="AR1504" s="5">
        <f>VLOOKUP(F1504,'[2]SCP_24-25'!$A:$D,4,0)</f>
        <v>131.68</v>
      </c>
      <c r="AS1504" s="5">
        <f t="shared" si="53"/>
        <v>1975.2</v>
      </c>
    </row>
    <row r="1505" spans="1:45" x14ac:dyDescent="0.3">
      <c r="A1505" s="1">
        <v>45900.963888888888</v>
      </c>
      <c r="B1505" t="s">
        <v>1473</v>
      </c>
      <c r="C1505" t="s">
        <v>1474</v>
      </c>
      <c r="D1505" t="s">
        <v>45</v>
      </c>
      <c r="E1505" t="s">
        <v>46</v>
      </c>
      <c r="F1505" t="s">
        <v>1514</v>
      </c>
      <c r="G1505" t="s">
        <v>47</v>
      </c>
      <c r="H1505" t="s">
        <v>42</v>
      </c>
      <c r="I1505" t="s">
        <v>43</v>
      </c>
      <c r="J1505">
        <v>180</v>
      </c>
      <c r="K1505">
        <v>19</v>
      </c>
      <c r="L1505">
        <v>9.5</v>
      </c>
      <c r="M1505">
        <v>11</v>
      </c>
      <c r="N1505">
        <v>8346</v>
      </c>
      <c r="O1505">
        <v>0</v>
      </c>
      <c r="P1505">
        <v>0</v>
      </c>
      <c r="Q1505">
        <v>72</v>
      </c>
      <c r="R1505">
        <v>1189</v>
      </c>
      <c r="S1505" t="s">
        <v>44</v>
      </c>
      <c r="T1505" t="s">
        <v>44</v>
      </c>
      <c r="U1505" t="s">
        <v>44</v>
      </c>
      <c r="V1505">
        <v>1</v>
      </c>
      <c r="W1505">
        <v>1</v>
      </c>
      <c r="X1505" t="s">
        <v>44</v>
      </c>
      <c r="Y1505">
        <v>1</v>
      </c>
      <c r="Z1505" t="s">
        <v>44</v>
      </c>
      <c r="AA1505">
        <v>2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3</v>
      </c>
      <c r="AQ1505">
        <f t="shared" si="55"/>
        <v>3</v>
      </c>
      <c r="AR1505" s="5">
        <f>VLOOKUP(F1505,'[2]SCP_24-25'!$A:$D,4,0)</f>
        <v>61.45</v>
      </c>
      <c r="AS1505" s="5">
        <f t="shared" si="53"/>
        <v>184.35000000000002</v>
      </c>
    </row>
    <row r="1506" spans="1:45" x14ac:dyDescent="0.3">
      <c r="A1506" s="1">
        <v>45900.963888888888</v>
      </c>
      <c r="B1506" t="s">
        <v>1473</v>
      </c>
      <c r="C1506" t="s">
        <v>1474</v>
      </c>
      <c r="D1506" t="s">
        <v>51</v>
      </c>
      <c r="E1506" t="s">
        <v>52</v>
      </c>
      <c r="F1506" t="s">
        <v>1516</v>
      </c>
      <c r="G1506" t="s">
        <v>53</v>
      </c>
      <c r="H1506" t="s">
        <v>42</v>
      </c>
      <c r="I1506" t="s">
        <v>43</v>
      </c>
      <c r="J1506">
        <v>200</v>
      </c>
      <c r="K1506">
        <v>19</v>
      </c>
      <c r="L1506">
        <v>9.5</v>
      </c>
      <c r="M1506">
        <v>11</v>
      </c>
      <c r="N1506">
        <v>11614</v>
      </c>
      <c r="O1506">
        <v>0</v>
      </c>
      <c r="P1506">
        <v>0</v>
      </c>
      <c r="Q1506">
        <v>115</v>
      </c>
      <c r="R1506">
        <v>897</v>
      </c>
      <c r="S1506" t="s">
        <v>44</v>
      </c>
      <c r="T1506">
        <v>25</v>
      </c>
      <c r="U1506" t="s">
        <v>44</v>
      </c>
      <c r="V1506">
        <v>2</v>
      </c>
      <c r="W1506">
        <v>17</v>
      </c>
      <c r="X1506" t="s">
        <v>44</v>
      </c>
      <c r="Y1506" t="s">
        <v>44</v>
      </c>
      <c r="Z1506" t="s">
        <v>44</v>
      </c>
      <c r="AA1506">
        <v>0</v>
      </c>
      <c r="AB1506">
        <v>0</v>
      </c>
      <c r="AC1506">
        <v>0</v>
      </c>
      <c r="AD1506">
        <v>0</v>
      </c>
      <c r="AE1506">
        <v>35</v>
      </c>
      <c r="AF1506">
        <v>6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2</v>
      </c>
      <c r="AQ1506">
        <f t="shared" si="55"/>
        <v>2</v>
      </c>
      <c r="AR1506" s="5">
        <f>VLOOKUP(F1506,'[2]SCP_24-25'!$A:$D,4,0)</f>
        <v>106.31</v>
      </c>
      <c r="AS1506" s="5">
        <f t="shared" si="53"/>
        <v>212.62</v>
      </c>
    </row>
    <row r="1507" spans="1:45" x14ac:dyDescent="0.3">
      <c r="A1507" s="1">
        <v>45900.963888888888</v>
      </c>
      <c r="B1507" t="s">
        <v>1473</v>
      </c>
      <c r="C1507" t="s">
        <v>1474</v>
      </c>
      <c r="D1507" t="s">
        <v>57</v>
      </c>
      <c r="E1507" t="s">
        <v>58</v>
      </c>
      <c r="F1507" t="s">
        <v>1518</v>
      </c>
      <c r="G1507" t="s">
        <v>59</v>
      </c>
      <c r="H1507" t="s">
        <v>42</v>
      </c>
      <c r="I1507" t="s">
        <v>43</v>
      </c>
      <c r="J1507">
        <v>200</v>
      </c>
      <c r="K1507">
        <v>19</v>
      </c>
      <c r="L1507">
        <v>9.5</v>
      </c>
      <c r="M1507">
        <v>11</v>
      </c>
      <c r="N1507">
        <v>11435</v>
      </c>
      <c r="O1507">
        <v>0</v>
      </c>
      <c r="P1507">
        <v>0</v>
      </c>
      <c r="Q1507">
        <v>32</v>
      </c>
      <c r="R1507">
        <v>1339</v>
      </c>
      <c r="S1507" t="s">
        <v>44</v>
      </c>
      <c r="T1507">
        <v>384</v>
      </c>
      <c r="U1507" t="s">
        <v>44</v>
      </c>
      <c r="V1507">
        <v>71</v>
      </c>
      <c r="W1507">
        <v>4</v>
      </c>
      <c r="X1507" t="s">
        <v>44</v>
      </c>
      <c r="Y1507">
        <v>71</v>
      </c>
      <c r="Z1507" t="s">
        <v>44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71</v>
      </c>
      <c r="AQ1507">
        <f t="shared" si="55"/>
        <v>71</v>
      </c>
      <c r="AR1507" s="5">
        <f>VLOOKUP(F1507,'[2]SCP_24-25'!$A:$D,4,0)</f>
        <v>106.44999999999999</v>
      </c>
      <c r="AS1507" s="5">
        <f t="shared" si="53"/>
        <v>7557.9499999999989</v>
      </c>
    </row>
    <row r="1508" spans="1:45" x14ac:dyDescent="0.3">
      <c r="A1508" s="1">
        <v>45900.963888888888</v>
      </c>
      <c r="B1508" t="s">
        <v>1473</v>
      </c>
      <c r="C1508" t="s">
        <v>1474</v>
      </c>
      <c r="D1508" t="s">
        <v>60</v>
      </c>
      <c r="E1508" t="s">
        <v>61</v>
      </c>
      <c r="F1508" t="s">
        <v>1519</v>
      </c>
      <c r="G1508" t="s">
        <v>62</v>
      </c>
      <c r="H1508" t="s">
        <v>42</v>
      </c>
      <c r="I1508" t="s">
        <v>43</v>
      </c>
      <c r="J1508">
        <v>200</v>
      </c>
      <c r="K1508">
        <v>19</v>
      </c>
      <c r="L1508">
        <v>9.5</v>
      </c>
      <c r="M1508">
        <v>11</v>
      </c>
      <c r="N1508">
        <v>23656</v>
      </c>
      <c r="O1508">
        <v>0</v>
      </c>
      <c r="P1508">
        <v>0</v>
      </c>
      <c r="Q1508">
        <v>34</v>
      </c>
      <c r="R1508">
        <v>477</v>
      </c>
      <c r="S1508" t="s">
        <v>44</v>
      </c>
      <c r="T1508">
        <v>3</v>
      </c>
      <c r="U1508" t="s">
        <v>44</v>
      </c>
      <c r="V1508">
        <v>0</v>
      </c>
      <c r="W1508">
        <v>15</v>
      </c>
      <c r="X1508" t="s">
        <v>44</v>
      </c>
      <c r="Y1508" t="s">
        <v>44</v>
      </c>
      <c r="Z1508" t="s">
        <v>44</v>
      </c>
      <c r="AA1508">
        <v>1</v>
      </c>
      <c r="AB1508">
        <v>0</v>
      </c>
      <c r="AC1508">
        <v>0</v>
      </c>
      <c r="AD1508">
        <v>0</v>
      </c>
      <c r="AE1508">
        <v>19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</v>
      </c>
      <c r="AQ1508">
        <f t="shared" si="55"/>
        <v>1</v>
      </c>
      <c r="AR1508" s="5">
        <f>VLOOKUP(F1508,'[2]SCP_24-25'!$A:$D,4,0)</f>
        <v>152.38000000000002</v>
      </c>
      <c r="AS1508" s="5">
        <f t="shared" si="53"/>
        <v>152.38000000000002</v>
      </c>
    </row>
    <row r="1509" spans="1:45" x14ac:dyDescent="0.3">
      <c r="A1509" s="1">
        <v>45900.963888888888</v>
      </c>
      <c r="B1509" t="s">
        <v>1473</v>
      </c>
      <c r="C1509" t="s">
        <v>1474</v>
      </c>
      <c r="D1509" t="s">
        <v>63</v>
      </c>
      <c r="E1509" t="s">
        <v>64</v>
      </c>
      <c r="F1509" t="s">
        <v>1520</v>
      </c>
      <c r="G1509" t="s">
        <v>65</v>
      </c>
      <c r="H1509" t="s">
        <v>66</v>
      </c>
      <c r="I1509" t="s">
        <v>43</v>
      </c>
      <c r="J1509">
        <v>150</v>
      </c>
      <c r="K1509">
        <v>19</v>
      </c>
      <c r="L1509">
        <v>9.5</v>
      </c>
      <c r="M1509">
        <v>11</v>
      </c>
      <c r="N1509">
        <v>2589</v>
      </c>
      <c r="O1509">
        <v>0</v>
      </c>
      <c r="P1509">
        <v>0</v>
      </c>
      <c r="Q1509">
        <v>22</v>
      </c>
      <c r="R1509">
        <v>3</v>
      </c>
      <c r="S1509" t="s">
        <v>44</v>
      </c>
      <c r="T1509" t="s">
        <v>44</v>
      </c>
      <c r="U1509" t="s">
        <v>44</v>
      </c>
      <c r="V1509">
        <v>6</v>
      </c>
      <c r="W1509" t="s">
        <v>44</v>
      </c>
      <c r="X1509" t="s">
        <v>44</v>
      </c>
      <c r="Y1509" t="s">
        <v>44</v>
      </c>
      <c r="Z1509" t="s">
        <v>44</v>
      </c>
      <c r="AA1509">
        <v>0</v>
      </c>
      <c r="AB1509">
        <v>0</v>
      </c>
      <c r="AC1509">
        <v>0</v>
      </c>
      <c r="AD1509">
        <v>0</v>
      </c>
      <c r="AE1509">
        <v>20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6</v>
      </c>
      <c r="AQ1509">
        <f t="shared" si="55"/>
        <v>6</v>
      </c>
      <c r="AR1509" s="5">
        <f>VLOOKUP(F1509,'[2]SCP_24-25'!$A:$D,4,0)</f>
        <v>89.66</v>
      </c>
      <c r="AS1509" s="5">
        <f t="shared" si="53"/>
        <v>537.96</v>
      </c>
    </row>
    <row r="1510" spans="1:45" x14ac:dyDescent="0.3">
      <c r="A1510" s="1">
        <v>45900.963888888888</v>
      </c>
      <c r="B1510" t="s">
        <v>1473</v>
      </c>
      <c r="C1510" t="s">
        <v>1474</v>
      </c>
      <c r="D1510" t="s">
        <v>73</v>
      </c>
      <c r="E1510" t="s">
        <v>74</v>
      </c>
      <c r="F1510" t="s">
        <v>1523</v>
      </c>
      <c r="G1510" t="s">
        <v>75</v>
      </c>
      <c r="H1510" t="s">
        <v>66</v>
      </c>
      <c r="I1510" t="s">
        <v>43</v>
      </c>
      <c r="J1510">
        <v>50</v>
      </c>
      <c r="K1510">
        <v>19</v>
      </c>
      <c r="L1510">
        <v>9.5</v>
      </c>
      <c r="M1510">
        <v>11</v>
      </c>
      <c r="N1510">
        <v>2339</v>
      </c>
      <c r="O1510">
        <v>0</v>
      </c>
      <c r="P1510">
        <v>0</v>
      </c>
      <c r="Q1510">
        <v>16</v>
      </c>
      <c r="R1510">
        <v>2</v>
      </c>
      <c r="S1510" t="s">
        <v>44</v>
      </c>
      <c r="T1510" t="s">
        <v>44</v>
      </c>
      <c r="U1510" t="s">
        <v>44</v>
      </c>
      <c r="V1510">
        <v>42</v>
      </c>
      <c r="W1510">
        <v>1</v>
      </c>
      <c r="X1510" t="s">
        <v>44</v>
      </c>
      <c r="Y1510" t="s">
        <v>44</v>
      </c>
      <c r="Z1510" t="s">
        <v>44</v>
      </c>
      <c r="AA1510">
        <v>0</v>
      </c>
      <c r="AB1510">
        <v>0</v>
      </c>
      <c r="AC1510">
        <v>0</v>
      </c>
      <c r="AD1510">
        <v>0</v>
      </c>
      <c r="AE1510">
        <v>17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42</v>
      </c>
      <c r="AQ1510">
        <f t="shared" si="55"/>
        <v>42</v>
      </c>
      <c r="AR1510" s="5">
        <f>VLOOKUP(F1510,'[2]SCP_24-25'!$A:$D,4,0)</f>
        <v>36.78</v>
      </c>
      <c r="AS1510" s="5">
        <f t="shared" si="53"/>
        <v>1544.76</v>
      </c>
    </row>
    <row r="1511" spans="1:45" x14ac:dyDescent="0.3">
      <c r="A1511" s="1">
        <v>45900.963888888888</v>
      </c>
      <c r="B1511" t="s">
        <v>1473</v>
      </c>
      <c r="C1511" t="s">
        <v>1474</v>
      </c>
      <c r="D1511" t="s">
        <v>82</v>
      </c>
      <c r="E1511" t="s">
        <v>83</v>
      </c>
      <c r="F1511" t="s">
        <v>1526</v>
      </c>
      <c r="G1511" t="s">
        <v>84</v>
      </c>
      <c r="H1511" t="s">
        <v>66</v>
      </c>
      <c r="I1511" t="s">
        <v>43</v>
      </c>
      <c r="J1511">
        <v>150</v>
      </c>
      <c r="K1511">
        <v>19</v>
      </c>
      <c r="L1511">
        <v>9.5</v>
      </c>
      <c r="M1511">
        <v>11</v>
      </c>
      <c r="N1511">
        <v>8424</v>
      </c>
      <c r="O1511">
        <v>0</v>
      </c>
      <c r="P1511">
        <v>0</v>
      </c>
      <c r="Q1511">
        <v>35</v>
      </c>
      <c r="R1511">
        <v>1</v>
      </c>
      <c r="S1511" t="s">
        <v>44</v>
      </c>
      <c r="T1511" t="s">
        <v>44</v>
      </c>
      <c r="U1511" t="s">
        <v>44</v>
      </c>
      <c r="V1511">
        <v>399</v>
      </c>
      <c r="W1511">
        <v>23</v>
      </c>
      <c r="X1511" t="s">
        <v>44</v>
      </c>
      <c r="Y1511" t="s">
        <v>44</v>
      </c>
      <c r="Z1511" t="s">
        <v>44</v>
      </c>
      <c r="AA1511">
        <v>0</v>
      </c>
      <c r="AB1511">
        <v>0</v>
      </c>
      <c r="AC1511">
        <v>0</v>
      </c>
      <c r="AD1511">
        <v>0</v>
      </c>
      <c r="AE1511">
        <v>11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399</v>
      </c>
      <c r="AQ1511">
        <f t="shared" si="55"/>
        <v>399</v>
      </c>
      <c r="AR1511" s="5">
        <f>VLOOKUP(F1511,'[2]SCP_24-25'!$A:$D,4,0)</f>
        <v>50.08</v>
      </c>
      <c r="AS1511" s="5">
        <f t="shared" si="53"/>
        <v>19981.919999999998</v>
      </c>
    </row>
    <row r="1512" spans="1:45" x14ac:dyDescent="0.3">
      <c r="A1512" s="1">
        <v>45900.963888888888</v>
      </c>
      <c r="B1512" t="s">
        <v>1473</v>
      </c>
      <c r="C1512" t="s">
        <v>1474</v>
      </c>
      <c r="D1512" t="s">
        <v>91</v>
      </c>
      <c r="E1512" t="s">
        <v>92</v>
      </c>
      <c r="F1512" t="s">
        <v>1529</v>
      </c>
      <c r="G1512" t="s">
        <v>93</v>
      </c>
      <c r="H1512" t="s">
        <v>66</v>
      </c>
      <c r="I1512" t="s">
        <v>43</v>
      </c>
      <c r="J1512">
        <v>150</v>
      </c>
      <c r="K1512">
        <v>19</v>
      </c>
      <c r="L1512">
        <v>9.5</v>
      </c>
      <c r="M1512">
        <v>11</v>
      </c>
      <c r="N1512">
        <v>9782</v>
      </c>
      <c r="O1512">
        <v>0</v>
      </c>
      <c r="P1512">
        <v>0</v>
      </c>
      <c r="Q1512">
        <v>16</v>
      </c>
      <c r="R1512">
        <v>107</v>
      </c>
      <c r="S1512" t="s">
        <v>44</v>
      </c>
      <c r="T1512" t="s">
        <v>44</v>
      </c>
      <c r="U1512" t="s">
        <v>44</v>
      </c>
      <c r="V1512">
        <v>76</v>
      </c>
      <c r="W1512">
        <v>13</v>
      </c>
      <c r="X1512" t="s">
        <v>44</v>
      </c>
      <c r="Y1512" t="s">
        <v>44</v>
      </c>
      <c r="Z1512" t="s">
        <v>44</v>
      </c>
      <c r="AA1512">
        <v>0</v>
      </c>
      <c r="AB1512">
        <v>0</v>
      </c>
      <c r="AC1512">
        <v>0</v>
      </c>
      <c r="AD1512">
        <v>0</v>
      </c>
      <c r="AE1512">
        <v>8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76</v>
      </c>
      <c r="AQ1512">
        <f t="shared" si="55"/>
        <v>76</v>
      </c>
      <c r="AR1512" s="5">
        <f>VLOOKUP(F1512,'[2]SCP_24-25'!$A:$D,4,0)</f>
        <v>96.77</v>
      </c>
      <c r="AS1512" s="5">
        <f t="shared" si="53"/>
        <v>7354.5199999999995</v>
      </c>
    </row>
    <row r="1513" spans="1:45" x14ac:dyDescent="0.3">
      <c r="A1513" s="1">
        <v>45900.963888888888</v>
      </c>
      <c r="B1513" t="s">
        <v>1473</v>
      </c>
      <c r="C1513" t="s">
        <v>1474</v>
      </c>
      <c r="D1513" t="s">
        <v>94</v>
      </c>
      <c r="E1513" t="s">
        <v>95</v>
      </c>
      <c r="F1513" t="s">
        <v>1530</v>
      </c>
      <c r="G1513" t="s">
        <v>96</v>
      </c>
      <c r="H1513" t="s">
        <v>66</v>
      </c>
      <c r="I1513" t="s">
        <v>43</v>
      </c>
      <c r="J1513">
        <v>100</v>
      </c>
      <c r="K1513">
        <v>19</v>
      </c>
      <c r="L1513">
        <v>9.5</v>
      </c>
      <c r="M1513">
        <v>11</v>
      </c>
      <c r="N1513">
        <v>2743</v>
      </c>
      <c r="O1513">
        <v>0</v>
      </c>
      <c r="P1513">
        <v>0</v>
      </c>
      <c r="Q1513">
        <v>40</v>
      </c>
      <c r="R1513" t="s">
        <v>44</v>
      </c>
      <c r="S1513" t="s">
        <v>44</v>
      </c>
      <c r="T1513" t="s">
        <v>44</v>
      </c>
      <c r="U1513" t="s">
        <v>44</v>
      </c>
      <c r="V1513">
        <v>156</v>
      </c>
      <c r="W1513">
        <v>14</v>
      </c>
      <c r="X1513" t="s">
        <v>44</v>
      </c>
      <c r="Y1513" t="s">
        <v>44</v>
      </c>
      <c r="Z1513" t="s">
        <v>44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156</v>
      </c>
      <c r="AQ1513">
        <f t="shared" si="55"/>
        <v>156</v>
      </c>
      <c r="AR1513" s="5">
        <f>VLOOKUP(F1513,'[2]SCP_24-25'!$A:$D,4,0)</f>
        <v>70.400000000000006</v>
      </c>
      <c r="AS1513" s="5">
        <f t="shared" si="53"/>
        <v>10982.400000000001</v>
      </c>
    </row>
    <row r="1514" spans="1:45" x14ac:dyDescent="0.3">
      <c r="A1514" s="1">
        <v>45900.963888888888</v>
      </c>
      <c r="B1514" t="s">
        <v>1473</v>
      </c>
      <c r="C1514" t="s">
        <v>1474</v>
      </c>
      <c r="D1514" t="s">
        <v>100</v>
      </c>
      <c r="E1514" t="s">
        <v>101</v>
      </c>
      <c r="F1514" t="s">
        <v>1532</v>
      </c>
      <c r="G1514" t="s">
        <v>102</v>
      </c>
      <c r="H1514" t="s">
        <v>103</v>
      </c>
      <c r="I1514" t="s">
        <v>43</v>
      </c>
      <c r="J1514">
        <v>250</v>
      </c>
      <c r="K1514">
        <v>19</v>
      </c>
      <c r="L1514">
        <v>10</v>
      </c>
      <c r="M1514">
        <v>11</v>
      </c>
      <c r="N1514">
        <v>101344</v>
      </c>
      <c r="O1514">
        <v>0</v>
      </c>
      <c r="P1514">
        <v>0</v>
      </c>
      <c r="Q1514">
        <v>176</v>
      </c>
      <c r="R1514">
        <v>157</v>
      </c>
      <c r="S1514" t="s">
        <v>44</v>
      </c>
      <c r="T1514">
        <v>40</v>
      </c>
      <c r="U1514" t="s">
        <v>44</v>
      </c>
      <c r="V1514">
        <v>0</v>
      </c>
      <c r="W1514">
        <v>5</v>
      </c>
      <c r="X1514" t="s">
        <v>44</v>
      </c>
      <c r="Y1514" t="s">
        <v>44</v>
      </c>
      <c r="Z1514" t="s">
        <v>44</v>
      </c>
      <c r="AA1514">
        <v>9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9</v>
      </c>
      <c r="AQ1514">
        <f t="shared" si="55"/>
        <v>9</v>
      </c>
      <c r="AR1514" s="5">
        <f>VLOOKUP(F1514,'[2]SCP_24-25'!$A:$D,4,0)</f>
        <v>50.854210526315775</v>
      </c>
      <c r="AS1514" s="5">
        <f t="shared" si="53"/>
        <v>457.687894736842</v>
      </c>
    </row>
    <row r="1515" spans="1:45" x14ac:dyDescent="0.3">
      <c r="A1515" s="1">
        <v>45900.963888888888</v>
      </c>
      <c r="B1515" t="s">
        <v>1473</v>
      </c>
      <c r="C1515" t="s">
        <v>1474</v>
      </c>
      <c r="D1515" t="s">
        <v>344</v>
      </c>
      <c r="E1515" t="s">
        <v>345</v>
      </c>
      <c r="F1515" t="s">
        <v>1632</v>
      </c>
      <c r="G1515" t="s">
        <v>346</v>
      </c>
      <c r="H1515" t="s">
        <v>130</v>
      </c>
      <c r="I1515" t="s">
        <v>43</v>
      </c>
      <c r="J1515">
        <v>112.62</v>
      </c>
      <c r="K1515">
        <v>19</v>
      </c>
      <c r="L1515">
        <v>10</v>
      </c>
      <c r="M1515">
        <v>11</v>
      </c>
      <c r="N1515">
        <v>13070</v>
      </c>
      <c r="O1515">
        <v>4</v>
      </c>
      <c r="P1515">
        <v>0</v>
      </c>
      <c r="Q1515">
        <v>7</v>
      </c>
      <c r="R1515">
        <v>45</v>
      </c>
      <c r="S1515" t="s">
        <v>44</v>
      </c>
      <c r="T1515" t="s">
        <v>44</v>
      </c>
      <c r="U1515" t="s">
        <v>44</v>
      </c>
      <c r="V1515">
        <v>104</v>
      </c>
      <c r="W1515">
        <v>2</v>
      </c>
      <c r="X1515" t="s">
        <v>44</v>
      </c>
      <c r="Y1515">
        <v>96</v>
      </c>
      <c r="Z1515" t="s">
        <v>44</v>
      </c>
      <c r="AA1515">
        <v>3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111</v>
      </c>
      <c r="AQ1515">
        <f t="shared" si="55"/>
        <v>111</v>
      </c>
      <c r="AR1515" s="5">
        <f>VLOOKUP(F1515,'[2]SCP_24-25'!$A:$D,4,0)</f>
        <v>114.81</v>
      </c>
      <c r="AS1515" s="5">
        <f t="shared" si="53"/>
        <v>12743.91</v>
      </c>
    </row>
    <row r="1516" spans="1:45" x14ac:dyDescent="0.3">
      <c r="A1516" s="1">
        <v>45900.963888888888</v>
      </c>
      <c r="B1516" t="s">
        <v>1473</v>
      </c>
      <c r="C1516" t="s">
        <v>1474</v>
      </c>
      <c r="D1516" t="s">
        <v>347</v>
      </c>
      <c r="E1516" t="s">
        <v>345</v>
      </c>
      <c r="F1516" t="s">
        <v>1633</v>
      </c>
      <c r="G1516" t="s">
        <v>348</v>
      </c>
      <c r="H1516" t="s">
        <v>130</v>
      </c>
      <c r="I1516" t="s">
        <v>43</v>
      </c>
      <c r="J1516">
        <v>112.62</v>
      </c>
      <c r="K1516">
        <v>19</v>
      </c>
      <c r="L1516">
        <v>10</v>
      </c>
      <c r="M1516">
        <v>11</v>
      </c>
      <c r="N1516">
        <v>12837</v>
      </c>
      <c r="O1516">
        <v>9</v>
      </c>
      <c r="P1516">
        <v>0</v>
      </c>
      <c r="Q1516">
        <v>9</v>
      </c>
      <c r="R1516">
        <v>13</v>
      </c>
      <c r="S1516" t="s">
        <v>44</v>
      </c>
      <c r="T1516" t="s">
        <v>44</v>
      </c>
      <c r="U1516" t="s">
        <v>44</v>
      </c>
      <c r="V1516">
        <v>64</v>
      </c>
      <c r="W1516" t="s">
        <v>44</v>
      </c>
      <c r="X1516" t="s">
        <v>44</v>
      </c>
      <c r="Y1516">
        <v>51</v>
      </c>
      <c r="Z1516" t="s">
        <v>44</v>
      </c>
      <c r="AA1516">
        <v>3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76</v>
      </c>
      <c r="AQ1516">
        <f t="shared" si="55"/>
        <v>76</v>
      </c>
      <c r="AR1516" s="5">
        <f>VLOOKUP(F1516,'[2]SCP_24-25'!$A:$D,4,0)</f>
        <v>114.80999999999999</v>
      </c>
      <c r="AS1516" s="5">
        <f t="shared" si="53"/>
        <v>8725.56</v>
      </c>
    </row>
    <row r="1517" spans="1:45" x14ac:dyDescent="0.3">
      <c r="A1517" s="1">
        <v>45900.963888888888</v>
      </c>
      <c r="B1517" t="s">
        <v>1473</v>
      </c>
      <c r="C1517" t="s">
        <v>1474</v>
      </c>
      <c r="D1517" t="s">
        <v>349</v>
      </c>
      <c r="E1517" t="s">
        <v>345</v>
      </c>
      <c r="F1517" t="s">
        <v>1634</v>
      </c>
      <c r="G1517" t="s">
        <v>350</v>
      </c>
      <c r="H1517" t="s">
        <v>130</v>
      </c>
      <c r="I1517" t="s">
        <v>43</v>
      </c>
      <c r="J1517">
        <v>112.62</v>
      </c>
      <c r="K1517">
        <v>19</v>
      </c>
      <c r="L1517">
        <v>10</v>
      </c>
      <c r="M1517">
        <v>11</v>
      </c>
      <c r="N1517">
        <v>14347</v>
      </c>
      <c r="O1517">
        <v>0</v>
      </c>
      <c r="P1517">
        <v>0</v>
      </c>
      <c r="Q1517">
        <v>6</v>
      </c>
      <c r="R1517">
        <v>9</v>
      </c>
      <c r="S1517" t="s">
        <v>44</v>
      </c>
      <c r="T1517">
        <v>2</v>
      </c>
      <c r="U1517" t="s">
        <v>44</v>
      </c>
      <c r="V1517">
        <v>17</v>
      </c>
      <c r="W1517" t="s">
        <v>44</v>
      </c>
      <c r="X1517" t="s">
        <v>44</v>
      </c>
      <c r="Y1517" t="s">
        <v>44</v>
      </c>
      <c r="Z1517" t="s">
        <v>44</v>
      </c>
      <c r="AA1517">
        <v>3</v>
      </c>
      <c r="AB1517">
        <v>0</v>
      </c>
      <c r="AC1517">
        <v>0</v>
      </c>
      <c r="AD1517">
        <v>0</v>
      </c>
      <c r="AE1517">
        <v>0</v>
      </c>
      <c r="AF1517">
        <v>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20</v>
      </c>
      <c r="AQ1517">
        <f t="shared" si="55"/>
        <v>20</v>
      </c>
      <c r="AR1517" s="5">
        <f>VLOOKUP(F1517,'[2]SCP_24-25'!$A:$D,4,0)</f>
        <v>114.80999999999999</v>
      </c>
      <c r="AS1517" s="5">
        <f t="shared" si="53"/>
        <v>2296.1999999999998</v>
      </c>
    </row>
    <row r="1518" spans="1:45" x14ac:dyDescent="0.3">
      <c r="A1518" s="1">
        <v>45900.963888888888</v>
      </c>
      <c r="B1518" t="s">
        <v>1473</v>
      </c>
      <c r="C1518" t="s">
        <v>1474</v>
      </c>
      <c r="D1518" t="s">
        <v>351</v>
      </c>
      <c r="E1518" t="s">
        <v>345</v>
      </c>
      <c r="F1518" t="s">
        <v>1635</v>
      </c>
      <c r="G1518" t="s">
        <v>352</v>
      </c>
      <c r="H1518" t="s">
        <v>130</v>
      </c>
      <c r="I1518" t="s">
        <v>43</v>
      </c>
      <c r="J1518">
        <v>112.62</v>
      </c>
      <c r="K1518">
        <v>19</v>
      </c>
      <c r="L1518">
        <v>10</v>
      </c>
      <c r="M1518">
        <v>11</v>
      </c>
      <c r="N1518">
        <v>6121</v>
      </c>
      <c r="O1518">
        <v>0</v>
      </c>
      <c r="P1518">
        <v>0</v>
      </c>
      <c r="Q1518">
        <v>6</v>
      </c>
      <c r="R1518">
        <v>142</v>
      </c>
      <c r="S1518" t="s">
        <v>44</v>
      </c>
      <c r="T1518" t="s">
        <v>44</v>
      </c>
      <c r="U1518" t="s">
        <v>44</v>
      </c>
      <c r="V1518">
        <v>25</v>
      </c>
      <c r="W1518">
        <v>1</v>
      </c>
      <c r="X1518" t="s">
        <v>44</v>
      </c>
      <c r="Y1518" t="s">
        <v>44</v>
      </c>
      <c r="Z1518" t="s">
        <v>44</v>
      </c>
      <c r="AA1518">
        <v>2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27</v>
      </c>
      <c r="AQ1518">
        <f t="shared" si="55"/>
        <v>27</v>
      </c>
      <c r="AR1518" s="5">
        <f>VLOOKUP(F1518,'[2]SCP_24-25'!$A:$D,4,0)</f>
        <v>114.81</v>
      </c>
      <c r="AS1518" s="5">
        <f t="shared" si="53"/>
        <v>3099.87</v>
      </c>
    </row>
    <row r="1519" spans="1:45" x14ac:dyDescent="0.3">
      <c r="A1519" s="1">
        <v>45900.963888888888</v>
      </c>
      <c r="B1519" t="s">
        <v>1473</v>
      </c>
      <c r="C1519" t="s">
        <v>1474</v>
      </c>
      <c r="D1519" t="s">
        <v>355</v>
      </c>
      <c r="E1519" t="s">
        <v>356</v>
      </c>
      <c r="F1519" t="s">
        <v>1637</v>
      </c>
      <c r="G1519" t="s">
        <v>357</v>
      </c>
      <c r="H1519" t="s">
        <v>130</v>
      </c>
      <c r="I1519" t="s">
        <v>43</v>
      </c>
      <c r="J1519">
        <v>81.42</v>
      </c>
      <c r="K1519">
        <v>19</v>
      </c>
      <c r="L1519">
        <v>10</v>
      </c>
      <c r="M1519">
        <v>11</v>
      </c>
      <c r="N1519">
        <v>6128</v>
      </c>
      <c r="O1519">
        <v>0</v>
      </c>
      <c r="P1519">
        <v>0</v>
      </c>
      <c r="Q1519">
        <v>22</v>
      </c>
      <c r="R1519">
        <v>3</v>
      </c>
      <c r="S1519" t="s">
        <v>44</v>
      </c>
      <c r="T1519" t="s">
        <v>44</v>
      </c>
      <c r="U1519" t="s">
        <v>44</v>
      </c>
      <c r="V1519">
        <v>0</v>
      </c>
      <c r="W1519">
        <v>1</v>
      </c>
      <c r="X1519" t="s">
        <v>44</v>
      </c>
      <c r="Y1519" t="s">
        <v>44</v>
      </c>
      <c r="Z1519" t="s">
        <v>44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</v>
      </c>
      <c r="AQ1519">
        <f t="shared" si="55"/>
        <v>1</v>
      </c>
      <c r="AR1519" s="5">
        <f>VLOOKUP(F1519,'[2]SCP_24-25'!$A:$D,4,0)</f>
        <v>83.14</v>
      </c>
      <c r="AS1519" s="5">
        <f t="shared" si="53"/>
        <v>83.14</v>
      </c>
    </row>
    <row r="1520" spans="1:45" x14ac:dyDescent="0.3">
      <c r="A1520" s="1">
        <v>45900.963888888888</v>
      </c>
      <c r="B1520" t="s">
        <v>1473</v>
      </c>
      <c r="C1520" t="s">
        <v>1474</v>
      </c>
      <c r="D1520" t="s">
        <v>360</v>
      </c>
      <c r="E1520" t="s">
        <v>356</v>
      </c>
      <c r="F1520" t="s">
        <v>1639</v>
      </c>
      <c r="G1520" t="s">
        <v>361</v>
      </c>
      <c r="H1520" t="s">
        <v>130</v>
      </c>
      <c r="I1520" t="s">
        <v>43</v>
      </c>
      <c r="J1520">
        <v>81.42</v>
      </c>
      <c r="K1520">
        <v>19</v>
      </c>
      <c r="L1520">
        <v>10</v>
      </c>
      <c r="M1520">
        <v>11</v>
      </c>
      <c r="N1520">
        <v>6762</v>
      </c>
      <c r="O1520">
        <v>2</v>
      </c>
      <c r="P1520">
        <v>0</v>
      </c>
      <c r="Q1520">
        <v>7</v>
      </c>
      <c r="R1520">
        <v>189</v>
      </c>
      <c r="S1520" t="s">
        <v>44</v>
      </c>
      <c r="T1520" t="s">
        <v>44</v>
      </c>
      <c r="U1520" t="s">
        <v>44</v>
      </c>
      <c r="V1520">
        <v>11</v>
      </c>
      <c r="W1520">
        <v>2</v>
      </c>
      <c r="X1520" t="s">
        <v>44</v>
      </c>
      <c r="Y1520">
        <v>11</v>
      </c>
      <c r="Z1520" t="s">
        <v>44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13</v>
      </c>
      <c r="AQ1520">
        <f t="shared" si="55"/>
        <v>13</v>
      </c>
      <c r="AR1520" s="5">
        <f>VLOOKUP(F1520,'[2]SCP_24-25'!$A:$D,4,0)</f>
        <v>83.14</v>
      </c>
      <c r="AS1520" s="5">
        <f t="shared" si="53"/>
        <v>1080.82</v>
      </c>
    </row>
    <row r="1521" spans="1:45" x14ac:dyDescent="0.3">
      <c r="A1521" s="1">
        <v>45900.963888888888</v>
      </c>
      <c r="B1521" t="s">
        <v>1473</v>
      </c>
      <c r="C1521" t="s">
        <v>1474</v>
      </c>
      <c r="D1521" t="s">
        <v>376</v>
      </c>
      <c r="E1521" t="s">
        <v>368</v>
      </c>
      <c r="F1521" t="s">
        <v>1646</v>
      </c>
      <c r="G1521" t="s">
        <v>377</v>
      </c>
      <c r="H1521" t="s">
        <v>130</v>
      </c>
      <c r="I1521" t="s">
        <v>43</v>
      </c>
      <c r="J1521">
        <v>24.02</v>
      </c>
      <c r="K1521">
        <v>19</v>
      </c>
      <c r="L1521">
        <v>10</v>
      </c>
      <c r="M1521">
        <v>11</v>
      </c>
      <c r="N1521">
        <v>7291</v>
      </c>
      <c r="O1521">
        <v>0</v>
      </c>
      <c r="P1521">
        <v>0</v>
      </c>
      <c r="Q1521">
        <v>2</v>
      </c>
      <c r="R1521">
        <v>1</v>
      </c>
      <c r="S1521" t="s">
        <v>44</v>
      </c>
      <c r="T1521" t="s">
        <v>44</v>
      </c>
      <c r="U1521" t="s">
        <v>44</v>
      </c>
      <c r="V1521">
        <v>21</v>
      </c>
      <c r="W1521" t="s">
        <v>44</v>
      </c>
      <c r="X1521" t="s">
        <v>44</v>
      </c>
      <c r="Y1521" t="s">
        <v>44</v>
      </c>
      <c r="Z1521" t="s">
        <v>44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21</v>
      </c>
      <c r="AQ1521">
        <f t="shared" si="55"/>
        <v>21</v>
      </c>
      <c r="AR1521" s="5">
        <f>VLOOKUP(F1521,'[2]SCP_24-25'!$A:$D,4,0)</f>
        <v>78.760000000000005</v>
      </c>
      <c r="AS1521" s="5">
        <f t="shared" si="53"/>
        <v>1653.96</v>
      </c>
    </row>
    <row r="1522" spans="1:45" x14ac:dyDescent="0.3">
      <c r="A1522" s="1">
        <v>45900.963888888888</v>
      </c>
      <c r="B1522" t="s">
        <v>1473</v>
      </c>
      <c r="C1522" t="s">
        <v>1474</v>
      </c>
      <c r="D1522" t="s">
        <v>380</v>
      </c>
      <c r="E1522" t="s">
        <v>368</v>
      </c>
      <c r="F1522" t="s">
        <v>1648</v>
      </c>
      <c r="G1522" t="s">
        <v>381</v>
      </c>
      <c r="H1522" t="s">
        <v>130</v>
      </c>
      <c r="I1522" t="s">
        <v>43</v>
      </c>
      <c r="J1522">
        <v>24.02</v>
      </c>
      <c r="K1522">
        <v>19</v>
      </c>
      <c r="L1522">
        <v>10</v>
      </c>
      <c r="M1522">
        <v>11</v>
      </c>
      <c r="N1522">
        <v>5421</v>
      </c>
      <c r="O1522">
        <v>0</v>
      </c>
      <c r="P1522">
        <v>0</v>
      </c>
      <c r="Q1522">
        <v>15</v>
      </c>
      <c r="R1522">
        <v>14</v>
      </c>
      <c r="S1522" t="s">
        <v>44</v>
      </c>
      <c r="T1522" t="s">
        <v>44</v>
      </c>
      <c r="U1522" t="s">
        <v>44</v>
      </c>
      <c r="V1522">
        <v>53</v>
      </c>
      <c r="W1522">
        <v>7</v>
      </c>
      <c r="X1522" t="s">
        <v>44</v>
      </c>
      <c r="Y1522" t="s">
        <v>44</v>
      </c>
      <c r="Z1522" t="s">
        <v>44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53</v>
      </c>
      <c r="AQ1522">
        <f t="shared" si="55"/>
        <v>53</v>
      </c>
      <c r="AR1522" s="5">
        <f>VLOOKUP(F1522,'[2]SCP_24-25'!$A:$D,4,0)</f>
        <v>77.84</v>
      </c>
      <c r="AS1522" s="5">
        <f t="shared" si="53"/>
        <v>4125.5200000000004</v>
      </c>
    </row>
    <row r="1523" spans="1:45" x14ac:dyDescent="0.3">
      <c r="A1523" s="1">
        <v>45900.963888888888</v>
      </c>
      <c r="B1523" t="s">
        <v>1473</v>
      </c>
      <c r="C1523" t="s">
        <v>1474</v>
      </c>
      <c r="D1523" t="s">
        <v>386</v>
      </c>
      <c r="E1523" t="s">
        <v>368</v>
      </c>
      <c r="F1523" t="s">
        <v>1651</v>
      </c>
      <c r="G1523" t="s">
        <v>387</v>
      </c>
      <c r="H1523" t="s">
        <v>130</v>
      </c>
      <c r="I1523" t="s">
        <v>43</v>
      </c>
      <c r="J1523">
        <v>24.02</v>
      </c>
      <c r="K1523">
        <v>19</v>
      </c>
      <c r="L1523">
        <v>10</v>
      </c>
      <c r="M1523">
        <v>11</v>
      </c>
      <c r="N1523">
        <v>4551</v>
      </c>
      <c r="O1523">
        <v>0</v>
      </c>
      <c r="P1523">
        <v>0</v>
      </c>
      <c r="Q1523">
        <v>3</v>
      </c>
      <c r="R1523">
        <v>36</v>
      </c>
      <c r="S1523" t="s">
        <v>44</v>
      </c>
      <c r="T1523" t="s">
        <v>44</v>
      </c>
      <c r="U1523" t="s">
        <v>44</v>
      </c>
      <c r="V1523">
        <v>13</v>
      </c>
      <c r="W1523" t="s">
        <v>44</v>
      </c>
      <c r="X1523" t="s">
        <v>44</v>
      </c>
      <c r="Y1523" t="s">
        <v>44</v>
      </c>
      <c r="Z1523" t="s">
        <v>44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13</v>
      </c>
      <c r="AQ1523">
        <f t="shared" si="55"/>
        <v>13</v>
      </c>
      <c r="AR1523" s="5">
        <f>VLOOKUP(F1523,'[2]SCP_24-25'!$A:$D,4,0)</f>
        <v>77.84</v>
      </c>
      <c r="AS1523" s="5">
        <f t="shared" si="53"/>
        <v>1011.9200000000001</v>
      </c>
    </row>
    <row r="1524" spans="1:45" x14ac:dyDescent="0.3">
      <c r="A1524" s="1">
        <v>45900.963888888888</v>
      </c>
      <c r="B1524" t="s">
        <v>1473</v>
      </c>
      <c r="C1524" t="s">
        <v>1474</v>
      </c>
      <c r="D1524" t="s">
        <v>397</v>
      </c>
      <c r="E1524" t="s">
        <v>395</v>
      </c>
      <c r="F1524" t="s">
        <v>1656</v>
      </c>
      <c r="G1524" t="s">
        <v>398</v>
      </c>
      <c r="H1524" t="s">
        <v>130</v>
      </c>
      <c r="I1524" t="s">
        <v>43</v>
      </c>
      <c r="J1524">
        <v>24.22</v>
      </c>
      <c r="K1524">
        <v>19</v>
      </c>
      <c r="L1524">
        <v>10</v>
      </c>
      <c r="M1524">
        <v>11</v>
      </c>
      <c r="N1524">
        <v>3190</v>
      </c>
      <c r="O1524">
        <v>0</v>
      </c>
      <c r="P1524">
        <v>0</v>
      </c>
      <c r="Q1524">
        <v>9</v>
      </c>
      <c r="R1524">
        <v>8</v>
      </c>
      <c r="S1524" t="s">
        <v>44</v>
      </c>
      <c r="T1524" t="s">
        <v>44</v>
      </c>
      <c r="U1524" t="s">
        <v>44</v>
      </c>
      <c r="V1524">
        <v>19</v>
      </c>
      <c r="W1524" t="s">
        <v>44</v>
      </c>
      <c r="X1524" t="s">
        <v>44</v>
      </c>
      <c r="Y1524">
        <v>10</v>
      </c>
      <c r="Z1524" t="s">
        <v>44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19</v>
      </c>
      <c r="AQ1524">
        <f t="shared" si="55"/>
        <v>19</v>
      </c>
      <c r="AR1524" s="5">
        <f>VLOOKUP(F1524,'[2]SCP_24-25'!$A:$D,4,0)</f>
        <v>87.9</v>
      </c>
      <c r="AS1524" s="5">
        <f t="shared" si="53"/>
        <v>1670.1000000000001</v>
      </c>
    </row>
    <row r="1525" spans="1:45" x14ac:dyDescent="0.3">
      <c r="A1525" s="1">
        <v>45900.963888888888</v>
      </c>
      <c r="B1525" t="s">
        <v>1473</v>
      </c>
      <c r="C1525" t="s">
        <v>1474</v>
      </c>
      <c r="D1525" t="s">
        <v>118</v>
      </c>
      <c r="E1525" t="s">
        <v>118</v>
      </c>
      <c r="F1525" t="s">
        <v>1538</v>
      </c>
      <c r="G1525" t="s">
        <v>119</v>
      </c>
      <c r="H1525" t="s">
        <v>120</v>
      </c>
      <c r="I1525" t="s">
        <v>43</v>
      </c>
      <c r="J1525">
        <v>70</v>
      </c>
      <c r="K1525">
        <v>19</v>
      </c>
      <c r="L1525">
        <v>9</v>
      </c>
      <c r="M1525">
        <v>11</v>
      </c>
      <c r="N1525">
        <v>413</v>
      </c>
      <c r="O1525">
        <v>0</v>
      </c>
      <c r="P1525">
        <v>0</v>
      </c>
      <c r="Q1525" t="s">
        <v>44</v>
      </c>
      <c r="R1525" t="s">
        <v>44</v>
      </c>
      <c r="S1525" t="s">
        <v>44</v>
      </c>
      <c r="T1525" t="s">
        <v>44</v>
      </c>
      <c r="U1525" t="s">
        <v>44</v>
      </c>
      <c r="V1525">
        <v>4</v>
      </c>
      <c r="W1525" t="s">
        <v>44</v>
      </c>
      <c r="X1525" t="s">
        <v>44</v>
      </c>
      <c r="Y1525">
        <v>4</v>
      </c>
      <c r="Z1525" t="s">
        <v>44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4</v>
      </c>
      <c r="AQ1525">
        <f t="shared" si="55"/>
        <v>4</v>
      </c>
      <c r="AR1525" s="5">
        <f>VLOOKUP(F1525,'[1]Cost Sheet'!$C:$D,2,0)</f>
        <v>41.5</v>
      </c>
      <c r="AS1525" s="5">
        <f t="shared" si="53"/>
        <v>166</v>
      </c>
    </row>
    <row r="1526" spans="1:45" x14ac:dyDescent="0.3">
      <c r="A1526" s="1">
        <v>45900.963888888888</v>
      </c>
      <c r="B1526" t="s">
        <v>1473</v>
      </c>
      <c r="C1526" t="s">
        <v>1474</v>
      </c>
      <c r="D1526" t="s">
        <v>121</v>
      </c>
      <c r="F1526" t="s">
        <v>1539</v>
      </c>
      <c r="G1526" t="s">
        <v>122</v>
      </c>
      <c r="H1526" t="s">
        <v>103</v>
      </c>
      <c r="I1526" t="s">
        <v>43</v>
      </c>
      <c r="J1526">
        <v>216.02</v>
      </c>
      <c r="K1526">
        <v>19</v>
      </c>
      <c r="L1526">
        <v>10</v>
      </c>
      <c r="M1526">
        <v>11</v>
      </c>
      <c r="N1526">
        <v>60652</v>
      </c>
      <c r="O1526">
        <v>0</v>
      </c>
      <c r="P1526">
        <v>0</v>
      </c>
      <c r="Q1526">
        <v>127</v>
      </c>
      <c r="R1526">
        <v>68</v>
      </c>
      <c r="S1526" t="s">
        <v>44</v>
      </c>
      <c r="T1526">
        <v>3</v>
      </c>
      <c r="U1526" t="s">
        <v>44</v>
      </c>
      <c r="V1526">
        <v>0</v>
      </c>
      <c r="W1526">
        <v>9</v>
      </c>
      <c r="X1526" t="s">
        <v>44</v>
      </c>
      <c r="Y1526" t="s">
        <v>44</v>
      </c>
      <c r="Z1526" t="s">
        <v>44</v>
      </c>
      <c r="AA1526">
        <v>12</v>
      </c>
      <c r="AB1526">
        <v>0</v>
      </c>
      <c r="AC1526">
        <v>0</v>
      </c>
      <c r="AD1526">
        <v>0</v>
      </c>
      <c r="AE1526">
        <v>0</v>
      </c>
      <c r="AF1526">
        <v>2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12</v>
      </c>
      <c r="AQ1526">
        <f t="shared" si="55"/>
        <v>12</v>
      </c>
      <c r="AR1526" s="5">
        <f>VLOOKUP(F1526,'[2]SCP_24-25'!$A:$D,4,0)</f>
        <v>53.14</v>
      </c>
      <c r="AS1526" s="5">
        <f t="shared" si="53"/>
        <v>637.68000000000006</v>
      </c>
    </row>
    <row r="1527" spans="1:45" x14ac:dyDescent="0.3">
      <c r="A1527" s="1">
        <v>45900.963888888888</v>
      </c>
      <c r="B1527" t="s">
        <v>1473</v>
      </c>
      <c r="C1527" t="s">
        <v>1474</v>
      </c>
      <c r="D1527" t="s">
        <v>401</v>
      </c>
      <c r="F1527" t="s">
        <v>1658</v>
      </c>
      <c r="G1527" t="s">
        <v>402</v>
      </c>
      <c r="H1527" t="s">
        <v>66</v>
      </c>
      <c r="I1527" t="s">
        <v>43</v>
      </c>
      <c r="J1527">
        <v>59.02</v>
      </c>
      <c r="K1527">
        <v>19</v>
      </c>
      <c r="L1527">
        <v>11</v>
      </c>
      <c r="M1527">
        <v>10</v>
      </c>
      <c r="N1527">
        <v>35048</v>
      </c>
      <c r="O1527">
        <v>0</v>
      </c>
      <c r="P1527">
        <v>0</v>
      </c>
      <c r="Q1527">
        <v>34</v>
      </c>
      <c r="R1527">
        <v>19</v>
      </c>
      <c r="S1527" t="s">
        <v>44</v>
      </c>
      <c r="T1527">
        <v>4</v>
      </c>
      <c r="U1527" t="s">
        <v>44</v>
      </c>
      <c r="V1527">
        <v>0</v>
      </c>
      <c r="W1527">
        <v>345</v>
      </c>
      <c r="X1527" t="s">
        <v>44</v>
      </c>
      <c r="Y1527" t="s">
        <v>44</v>
      </c>
      <c r="Z1527" t="s">
        <v>44</v>
      </c>
      <c r="AA1527">
        <v>2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2</v>
      </c>
      <c r="AQ1527">
        <f t="shared" si="55"/>
        <v>2</v>
      </c>
      <c r="AR1527" s="5">
        <f>VLOOKUP(F1527,'[2]SCP_24-25'!$A:$D,4,0)</f>
        <v>61.06</v>
      </c>
      <c r="AS1527" s="5">
        <f t="shared" si="53"/>
        <v>122.12</v>
      </c>
    </row>
    <row r="1528" spans="1:45" x14ac:dyDescent="0.3">
      <c r="A1528" s="1">
        <v>45900.963888888888</v>
      </c>
      <c r="B1528" t="s">
        <v>1473</v>
      </c>
      <c r="C1528" t="s">
        <v>1474</v>
      </c>
      <c r="D1528" t="s">
        <v>927</v>
      </c>
      <c r="F1528" t="s">
        <v>1913</v>
      </c>
      <c r="G1528" t="s">
        <v>928</v>
      </c>
      <c r="H1528" t="s">
        <v>103</v>
      </c>
      <c r="I1528" t="s">
        <v>43</v>
      </c>
      <c r="J1528">
        <v>217</v>
      </c>
      <c r="K1528">
        <v>19</v>
      </c>
      <c r="L1528">
        <v>10</v>
      </c>
      <c r="M1528">
        <v>11</v>
      </c>
      <c r="N1528">
        <v>12893</v>
      </c>
      <c r="O1528">
        <v>0</v>
      </c>
      <c r="P1528">
        <v>0</v>
      </c>
      <c r="Q1528">
        <v>11</v>
      </c>
      <c r="R1528">
        <v>12</v>
      </c>
      <c r="S1528" t="s">
        <v>44</v>
      </c>
      <c r="T1528">
        <v>3</v>
      </c>
      <c r="U1528" t="s">
        <v>44</v>
      </c>
      <c r="V1528">
        <v>0</v>
      </c>
      <c r="W1528" t="s">
        <v>44</v>
      </c>
      <c r="X1528" t="s">
        <v>44</v>
      </c>
      <c r="Y1528" t="s">
        <v>44</v>
      </c>
      <c r="Z1528" t="s">
        <v>44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24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</v>
      </c>
      <c r="AQ1528">
        <f t="shared" si="55"/>
        <v>1</v>
      </c>
      <c r="AR1528" s="5">
        <f>VLOOKUP(F1528,'[2]SCP_24-25'!$A:$D,4,0)</f>
        <v>53.669999999999995</v>
      </c>
      <c r="AS1528" s="5">
        <f t="shared" si="53"/>
        <v>53.669999999999995</v>
      </c>
    </row>
    <row r="1529" spans="1:45" x14ac:dyDescent="0.3">
      <c r="A1529" s="1">
        <v>45900.963888888888</v>
      </c>
      <c r="B1529" t="s">
        <v>1473</v>
      </c>
      <c r="C1529" t="s">
        <v>1474</v>
      </c>
      <c r="D1529" t="s">
        <v>564</v>
      </c>
      <c r="F1529" t="s">
        <v>1736</v>
      </c>
      <c r="G1529" t="s">
        <v>565</v>
      </c>
      <c r="H1529" t="s">
        <v>103</v>
      </c>
      <c r="I1529" t="s">
        <v>43</v>
      </c>
      <c r="J1529">
        <v>236.02</v>
      </c>
      <c r="K1529">
        <v>19</v>
      </c>
      <c r="L1529">
        <v>10</v>
      </c>
      <c r="M1529">
        <v>11</v>
      </c>
      <c r="N1529">
        <v>7893</v>
      </c>
      <c r="O1529">
        <v>1</v>
      </c>
      <c r="P1529">
        <v>0</v>
      </c>
      <c r="Q1529" t="s">
        <v>44</v>
      </c>
      <c r="R1529">
        <v>16</v>
      </c>
      <c r="S1529" t="s">
        <v>44</v>
      </c>
      <c r="T1529">
        <v>1</v>
      </c>
      <c r="U1529" t="s">
        <v>44</v>
      </c>
      <c r="V1529">
        <v>0</v>
      </c>
      <c r="W1529" t="s">
        <v>44</v>
      </c>
      <c r="X1529" t="s">
        <v>44</v>
      </c>
      <c r="Y1529" t="s">
        <v>44</v>
      </c>
      <c r="Z1529" t="s">
        <v>44</v>
      </c>
      <c r="AA1529">
        <v>2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3</v>
      </c>
      <c r="AQ1529">
        <f t="shared" si="55"/>
        <v>3</v>
      </c>
      <c r="AR1529" s="5">
        <f>VLOOKUP(F1529,'[2]SCP_24-25'!$A:$D,4,0)</f>
        <v>59.82</v>
      </c>
      <c r="AS1529" s="5">
        <f t="shared" si="53"/>
        <v>179.46</v>
      </c>
    </row>
    <row r="1530" spans="1:45" x14ac:dyDescent="0.3">
      <c r="A1530" s="1">
        <v>45900.963888888888</v>
      </c>
      <c r="B1530" t="s">
        <v>1473</v>
      </c>
      <c r="C1530" t="s">
        <v>1474</v>
      </c>
      <c r="D1530" t="s">
        <v>403</v>
      </c>
      <c r="F1530" t="s">
        <v>1659</v>
      </c>
      <c r="G1530" t="s">
        <v>404</v>
      </c>
      <c r="H1530" t="s">
        <v>103</v>
      </c>
      <c r="I1530" t="s">
        <v>43</v>
      </c>
      <c r="J1530">
        <v>272.02</v>
      </c>
      <c r="K1530">
        <v>19</v>
      </c>
      <c r="L1530">
        <v>11</v>
      </c>
      <c r="M1530">
        <v>10</v>
      </c>
      <c r="N1530">
        <v>22666</v>
      </c>
      <c r="O1530">
        <v>2</v>
      </c>
      <c r="P1530">
        <v>0</v>
      </c>
      <c r="Q1530">
        <v>33</v>
      </c>
      <c r="R1530">
        <v>14</v>
      </c>
      <c r="S1530" t="s">
        <v>44</v>
      </c>
      <c r="T1530">
        <v>7</v>
      </c>
      <c r="U1530" t="s">
        <v>44</v>
      </c>
      <c r="V1530">
        <v>0</v>
      </c>
      <c r="W1530" t="s">
        <v>44</v>
      </c>
      <c r="X1530" t="s">
        <v>44</v>
      </c>
      <c r="Y1530" t="s">
        <v>44</v>
      </c>
      <c r="Z1530">
        <v>2</v>
      </c>
      <c r="AA1530">
        <v>6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8</v>
      </c>
      <c r="AQ1530">
        <f t="shared" si="55"/>
        <v>8</v>
      </c>
      <c r="AR1530" s="5">
        <f>VLOOKUP(F1530,'[2]SCP_24-25'!$A:$D,4,0)</f>
        <v>231.99</v>
      </c>
      <c r="AS1530" s="5">
        <f t="shared" si="53"/>
        <v>1855.92</v>
      </c>
    </row>
    <row r="1531" spans="1:45" x14ac:dyDescent="0.3">
      <c r="A1531" s="1">
        <v>45900.963888888888</v>
      </c>
      <c r="B1531" t="s">
        <v>1473</v>
      </c>
      <c r="C1531" t="s">
        <v>1474</v>
      </c>
      <c r="D1531" t="s">
        <v>605</v>
      </c>
      <c r="F1531" t="s">
        <v>1756</v>
      </c>
      <c r="G1531" t="s">
        <v>606</v>
      </c>
      <c r="H1531" t="s">
        <v>66</v>
      </c>
      <c r="I1531" t="s">
        <v>43</v>
      </c>
      <c r="J1531">
        <v>46.59</v>
      </c>
      <c r="K1531">
        <v>19</v>
      </c>
      <c r="L1531">
        <v>10</v>
      </c>
      <c r="M1531">
        <v>11</v>
      </c>
      <c r="N1531">
        <v>14518</v>
      </c>
      <c r="O1531">
        <v>0</v>
      </c>
      <c r="P1531">
        <v>0</v>
      </c>
      <c r="Q1531">
        <v>24</v>
      </c>
      <c r="R1531">
        <v>22</v>
      </c>
      <c r="S1531" t="s">
        <v>44</v>
      </c>
      <c r="T1531" t="s">
        <v>44</v>
      </c>
      <c r="U1531" t="s">
        <v>44</v>
      </c>
      <c r="V1531">
        <v>2</v>
      </c>
      <c r="W1531" t="s">
        <v>44</v>
      </c>
      <c r="X1531" t="s">
        <v>44</v>
      </c>
      <c r="Y1531">
        <v>2</v>
      </c>
      <c r="Z1531" t="s">
        <v>44</v>
      </c>
      <c r="AA1531">
        <v>6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8</v>
      </c>
      <c r="AQ1531">
        <f t="shared" si="55"/>
        <v>8</v>
      </c>
      <c r="AR1531" s="5">
        <f>VLOOKUP(F1531,'[2]SCP_24-25'!$A:$D,4,0)</f>
        <v>29.02</v>
      </c>
      <c r="AS1531" s="5">
        <f t="shared" si="53"/>
        <v>232.16</v>
      </c>
    </row>
    <row r="1532" spans="1:45" x14ac:dyDescent="0.3">
      <c r="A1532" s="1">
        <v>45900.963888888888</v>
      </c>
      <c r="B1532" t="s">
        <v>1473</v>
      </c>
      <c r="C1532" t="s">
        <v>1474</v>
      </c>
      <c r="D1532" t="s">
        <v>931</v>
      </c>
      <c r="E1532" t="s">
        <v>931</v>
      </c>
      <c r="F1532" t="s">
        <v>1915</v>
      </c>
      <c r="G1532" t="s">
        <v>932</v>
      </c>
      <c r="H1532" t="s">
        <v>635</v>
      </c>
      <c r="I1532" t="s">
        <v>43</v>
      </c>
      <c r="N1532">
        <v>1082</v>
      </c>
      <c r="O1532">
        <v>0</v>
      </c>
      <c r="P1532">
        <v>0</v>
      </c>
      <c r="Q1532" t="s">
        <v>44</v>
      </c>
      <c r="R1532" t="s">
        <v>44</v>
      </c>
      <c r="S1532" t="s">
        <v>44</v>
      </c>
      <c r="T1532" t="s">
        <v>44</v>
      </c>
      <c r="U1532" t="s">
        <v>44</v>
      </c>
      <c r="V1532">
        <v>20</v>
      </c>
      <c r="W1532" t="s">
        <v>44</v>
      </c>
      <c r="X1532" t="s">
        <v>44</v>
      </c>
      <c r="Y1532">
        <v>20</v>
      </c>
      <c r="Z1532" t="s">
        <v>44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20</v>
      </c>
      <c r="AQ1532">
        <f t="shared" si="55"/>
        <v>20</v>
      </c>
      <c r="AR1532" s="5">
        <f>VLOOKUP(F1532,'[1]Cost Sheet'!$C:$D,2,0)</f>
        <v>60.54</v>
      </c>
      <c r="AS1532" s="5">
        <f t="shared" si="53"/>
        <v>1210.8</v>
      </c>
    </row>
    <row r="1533" spans="1:45" x14ac:dyDescent="0.3">
      <c r="A1533" s="1">
        <v>45900.963888888888</v>
      </c>
      <c r="B1533" t="s">
        <v>1473</v>
      </c>
      <c r="C1533" t="s">
        <v>1474</v>
      </c>
      <c r="D1533" t="s">
        <v>636</v>
      </c>
      <c r="E1533" t="s">
        <v>636</v>
      </c>
      <c r="F1533" t="s">
        <v>1771</v>
      </c>
      <c r="G1533" t="s">
        <v>637</v>
      </c>
      <c r="H1533" t="s">
        <v>635</v>
      </c>
      <c r="I1533" t="s">
        <v>43</v>
      </c>
      <c r="N1533">
        <v>680</v>
      </c>
      <c r="O1533">
        <v>0</v>
      </c>
      <c r="P1533">
        <v>0</v>
      </c>
      <c r="Q1533" t="s">
        <v>44</v>
      </c>
      <c r="R1533" t="s">
        <v>44</v>
      </c>
      <c r="S1533" t="s">
        <v>44</v>
      </c>
      <c r="T1533" t="s">
        <v>44</v>
      </c>
      <c r="U1533" t="s">
        <v>44</v>
      </c>
      <c r="V1533">
        <v>17</v>
      </c>
      <c r="W1533" t="s">
        <v>44</v>
      </c>
      <c r="X1533" t="s">
        <v>44</v>
      </c>
      <c r="Y1533">
        <v>17</v>
      </c>
      <c r="Z1533" t="s">
        <v>44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17</v>
      </c>
      <c r="AQ1533">
        <f t="shared" si="55"/>
        <v>17</v>
      </c>
      <c r="AR1533" s="5">
        <f>VLOOKUP(F1533,'[1]Cost Sheet'!$C:$D,2,0)</f>
        <v>42.19</v>
      </c>
      <c r="AS1533" s="5">
        <f t="shared" si="53"/>
        <v>717.23</v>
      </c>
    </row>
    <row r="1534" spans="1:45" x14ac:dyDescent="0.3">
      <c r="A1534" s="1">
        <v>45900.963888888888</v>
      </c>
      <c r="B1534" t="s">
        <v>1473</v>
      </c>
      <c r="C1534" t="s">
        <v>1474</v>
      </c>
      <c r="D1534" t="s">
        <v>939</v>
      </c>
      <c r="E1534" t="s">
        <v>939</v>
      </c>
      <c r="F1534" t="s">
        <v>1919</v>
      </c>
      <c r="G1534" t="s">
        <v>940</v>
      </c>
      <c r="H1534" t="s">
        <v>635</v>
      </c>
      <c r="I1534" t="s">
        <v>43</v>
      </c>
      <c r="N1534">
        <v>640</v>
      </c>
      <c r="O1534">
        <v>0</v>
      </c>
      <c r="P1534">
        <v>0</v>
      </c>
      <c r="Q1534" t="s">
        <v>44</v>
      </c>
      <c r="R1534" t="s">
        <v>44</v>
      </c>
      <c r="S1534" t="s">
        <v>44</v>
      </c>
      <c r="T1534" t="s">
        <v>44</v>
      </c>
      <c r="U1534" t="s">
        <v>44</v>
      </c>
      <c r="V1534">
        <v>58</v>
      </c>
      <c r="W1534" t="s">
        <v>44</v>
      </c>
      <c r="X1534" t="s">
        <v>44</v>
      </c>
      <c r="Y1534">
        <v>58</v>
      </c>
      <c r="Z1534" t="s">
        <v>44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58</v>
      </c>
      <c r="AQ1534">
        <f t="shared" si="55"/>
        <v>58</v>
      </c>
      <c r="AR1534" s="5">
        <f>VLOOKUP(F1534,'[1]Cost Sheet'!$C:$D,2,0)</f>
        <v>37.17</v>
      </c>
      <c r="AS1534" s="5">
        <f t="shared" si="53"/>
        <v>2155.86</v>
      </c>
    </row>
    <row r="1535" spans="1:45" x14ac:dyDescent="0.3">
      <c r="A1535" s="1">
        <v>45900.963888888888</v>
      </c>
      <c r="B1535" t="s">
        <v>1473</v>
      </c>
      <c r="C1535" t="s">
        <v>1474</v>
      </c>
      <c r="D1535" t="s">
        <v>638</v>
      </c>
      <c r="E1535" t="s">
        <v>638</v>
      </c>
      <c r="F1535" t="s">
        <v>1772</v>
      </c>
      <c r="G1535" t="s">
        <v>639</v>
      </c>
      <c r="H1535" t="s">
        <v>635</v>
      </c>
      <c r="I1535" t="s">
        <v>43</v>
      </c>
      <c r="N1535">
        <v>1236</v>
      </c>
      <c r="O1535">
        <v>0</v>
      </c>
      <c r="P1535">
        <v>0</v>
      </c>
      <c r="Q1535" t="s">
        <v>44</v>
      </c>
      <c r="R1535" t="s">
        <v>44</v>
      </c>
      <c r="S1535" t="s">
        <v>44</v>
      </c>
      <c r="T1535" t="s">
        <v>44</v>
      </c>
      <c r="U1535" t="s">
        <v>44</v>
      </c>
      <c r="V1535">
        <v>46</v>
      </c>
      <c r="W1535" t="s">
        <v>44</v>
      </c>
      <c r="X1535" t="s">
        <v>44</v>
      </c>
      <c r="Y1535">
        <v>46</v>
      </c>
      <c r="Z1535" t="s">
        <v>44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46</v>
      </c>
      <c r="AQ1535">
        <f t="shared" si="55"/>
        <v>46</v>
      </c>
      <c r="AR1535" s="5">
        <f>VLOOKUP(F1535,'[1]Cost Sheet'!$C:$D,2,0)</f>
        <v>25.264285714285712</v>
      </c>
      <c r="AS1535" s="5">
        <f t="shared" si="53"/>
        <v>1162.1571428571428</v>
      </c>
    </row>
    <row r="1536" spans="1:45" x14ac:dyDescent="0.3">
      <c r="A1536" s="1">
        <v>45900.963888888888</v>
      </c>
      <c r="B1536" t="s">
        <v>1473</v>
      </c>
      <c r="C1536" t="s">
        <v>1474</v>
      </c>
      <c r="D1536" t="s">
        <v>941</v>
      </c>
      <c r="E1536" t="s">
        <v>941</v>
      </c>
      <c r="F1536" t="s">
        <v>1920</v>
      </c>
      <c r="G1536" t="s">
        <v>942</v>
      </c>
      <c r="H1536" t="s">
        <v>635</v>
      </c>
      <c r="I1536" t="s">
        <v>43</v>
      </c>
      <c r="N1536">
        <v>452</v>
      </c>
      <c r="O1536">
        <v>0</v>
      </c>
      <c r="P1536">
        <v>0</v>
      </c>
      <c r="Q1536" t="s">
        <v>44</v>
      </c>
      <c r="R1536" t="s">
        <v>44</v>
      </c>
      <c r="S1536" t="s">
        <v>44</v>
      </c>
      <c r="T1536" t="s">
        <v>44</v>
      </c>
      <c r="U1536" t="s">
        <v>44</v>
      </c>
      <c r="V1536">
        <v>53</v>
      </c>
      <c r="W1536" t="s">
        <v>44</v>
      </c>
      <c r="X1536" t="s">
        <v>44</v>
      </c>
      <c r="Y1536">
        <v>53</v>
      </c>
      <c r="Z1536" t="s">
        <v>44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53</v>
      </c>
      <c r="AQ1536">
        <f t="shared" si="55"/>
        <v>53</v>
      </c>
      <c r="AR1536" s="5">
        <f>VLOOKUP(F1536,'[1]Cost Sheet'!$C:$D,2,0)</f>
        <v>41.09</v>
      </c>
      <c r="AS1536" s="5">
        <f t="shared" si="53"/>
        <v>2177.77</v>
      </c>
    </row>
    <row r="1537" spans="1:45" x14ac:dyDescent="0.3">
      <c r="A1537" s="1">
        <v>45900.963888888888</v>
      </c>
      <c r="B1537" t="s">
        <v>1473</v>
      </c>
      <c r="C1537" t="s">
        <v>1474</v>
      </c>
      <c r="D1537" t="s">
        <v>642</v>
      </c>
      <c r="E1537" t="s">
        <v>642</v>
      </c>
      <c r="F1537" t="s">
        <v>1774</v>
      </c>
      <c r="G1537" t="s">
        <v>643</v>
      </c>
      <c r="H1537" t="s">
        <v>635</v>
      </c>
      <c r="I1537" t="s">
        <v>43</v>
      </c>
      <c r="N1537">
        <v>458</v>
      </c>
      <c r="O1537">
        <v>0</v>
      </c>
      <c r="P1537">
        <v>0</v>
      </c>
      <c r="Q1537" t="s">
        <v>44</v>
      </c>
      <c r="R1537" t="s">
        <v>44</v>
      </c>
      <c r="S1537" t="s">
        <v>44</v>
      </c>
      <c r="T1537" t="s">
        <v>44</v>
      </c>
      <c r="U1537" t="s">
        <v>44</v>
      </c>
      <c r="V1537">
        <v>58</v>
      </c>
      <c r="W1537" t="s">
        <v>44</v>
      </c>
      <c r="X1537" t="s">
        <v>44</v>
      </c>
      <c r="Y1537">
        <v>58</v>
      </c>
      <c r="Z1537" t="s">
        <v>44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58</v>
      </c>
      <c r="AQ1537">
        <f t="shared" si="55"/>
        <v>58</v>
      </c>
      <c r="AR1537" s="5">
        <f>VLOOKUP(F1537,'[1]Cost Sheet'!$C:$D,2,0)</f>
        <v>40.090000000000003</v>
      </c>
      <c r="AS1537" s="5">
        <f t="shared" si="53"/>
        <v>2325.2200000000003</v>
      </c>
    </row>
    <row r="1538" spans="1:45" x14ac:dyDescent="0.3">
      <c r="A1538" s="1">
        <v>45900.963888888888</v>
      </c>
      <c r="B1538" t="s">
        <v>1473</v>
      </c>
      <c r="C1538" t="s">
        <v>1474</v>
      </c>
      <c r="D1538" t="s">
        <v>945</v>
      </c>
      <c r="E1538" t="s">
        <v>945</v>
      </c>
      <c r="F1538" t="s">
        <v>1922</v>
      </c>
      <c r="G1538" t="s">
        <v>946</v>
      </c>
      <c r="H1538" t="s">
        <v>635</v>
      </c>
      <c r="I1538" t="s">
        <v>43</v>
      </c>
      <c r="N1538">
        <v>722</v>
      </c>
      <c r="O1538">
        <v>0</v>
      </c>
      <c r="P1538">
        <v>0</v>
      </c>
      <c r="Q1538" t="s">
        <v>44</v>
      </c>
      <c r="R1538" t="s">
        <v>44</v>
      </c>
      <c r="S1538" t="s">
        <v>44</v>
      </c>
      <c r="T1538" t="s">
        <v>44</v>
      </c>
      <c r="U1538" t="s">
        <v>44</v>
      </c>
      <c r="V1538">
        <v>42</v>
      </c>
      <c r="W1538" t="s">
        <v>44</v>
      </c>
      <c r="X1538" t="s">
        <v>44</v>
      </c>
      <c r="Y1538">
        <v>42</v>
      </c>
      <c r="Z1538" t="s">
        <v>44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42</v>
      </c>
      <c r="AQ1538">
        <f t="shared" si="55"/>
        <v>42</v>
      </c>
      <c r="AR1538" s="5">
        <f>VLOOKUP(F1538,'[1]Cost Sheet'!$C:$D,2,0)</f>
        <v>63.65</v>
      </c>
      <c r="AS1538" s="5">
        <f t="shared" si="53"/>
        <v>2673.2999999999997</v>
      </c>
    </row>
    <row r="1539" spans="1:45" x14ac:dyDescent="0.3">
      <c r="A1539" s="1">
        <v>45900.963888888888</v>
      </c>
      <c r="B1539" t="s">
        <v>1473</v>
      </c>
      <c r="C1539" t="s">
        <v>1474</v>
      </c>
      <c r="D1539" t="s">
        <v>646</v>
      </c>
      <c r="E1539" t="s">
        <v>646</v>
      </c>
      <c r="F1539" t="s">
        <v>1776</v>
      </c>
      <c r="G1539" t="s">
        <v>647</v>
      </c>
      <c r="H1539" t="s">
        <v>635</v>
      </c>
      <c r="I1539" t="s">
        <v>43</v>
      </c>
      <c r="N1539">
        <v>788</v>
      </c>
      <c r="O1539">
        <v>0</v>
      </c>
      <c r="P1539">
        <v>0</v>
      </c>
      <c r="Q1539" t="s">
        <v>44</v>
      </c>
      <c r="R1539" t="s">
        <v>44</v>
      </c>
      <c r="S1539" t="s">
        <v>44</v>
      </c>
      <c r="T1539" t="s">
        <v>44</v>
      </c>
      <c r="U1539" t="s">
        <v>44</v>
      </c>
      <c r="V1539">
        <v>51</v>
      </c>
      <c r="W1539" t="s">
        <v>44</v>
      </c>
      <c r="X1539" t="s">
        <v>44</v>
      </c>
      <c r="Y1539">
        <v>51</v>
      </c>
      <c r="Z1539" t="s">
        <v>44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51</v>
      </c>
      <c r="AQ1539">
        <f t="shared" si="55"/>
        <v>51</v>
      </c>
      <c r="AR1539" s="5">
        <f>VLOOKUP(F1539,'[1]Cost Sheet'!$C:$D,2,0)</f>
        <v>75.69</v>
      </c>
      <c r="AS1539" s="5">
        <f t="shared" ref="AS1539:AS1602" si="56">AQ1539*AR1539</f>
        <v>3860.19</v>
      </c>
    </row>
    <row r="1540" spans="1:45" x14ac:dyDescent="0.3">
      <c r="A1540" s="1">
        <v>45900.963888888888</v>
      </c>
      <c r="B1540" t="s">
        <v>1473</v>
      </c>
      <c r="C1540" t="s">
        <v>1474</v>
      </c>
      <c r="D1540" t="s">
        <v>947</v>
      </c>
      <c r="E1540" t="s">
        <v>947</v>
      </c>
      <c r="F1540" t="s">
        <v>1923</v>
      </c>
      <c r="G1540" t="s">
        <v>948</v>
      </c>
      <c r="H1540" t="s">
        <v>635</v>
      </c>
      <c r="I1540" t="s">
        <v>43</v>
      </c>
      <c r="N1540">
        <v>631</v>
      </c>
      <c r="O1540">
        <v>0</v>
      </c>
      <c r="P1540">
        <v>0</v>
      </c>
      <c r="Q1540" t="s">
        <v>44</v>
      </c>
      <c r="R1540" t="s">
        <v>44</v>
      </c>
      <c r="S1540" t="s">
        <v>44</v>
      </c>
      <c r="T1540" t="s">
        <v>44</v>
      </c>
      <c r="U1540" t="s">
        <v>44</v>
      </c>
      <c r="V1540">
        <v>52</v>
      </c>
      <c r="W1540" t="s">
        <v>44</v>
      </c>
      <c r="X1540" t="s">
        <v>44</v>
      </c>
      <c r="Y1540">
        <v>52</v>
      </c>
      <c r="Z1540" t="s">
        <v>44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52</v>
      </c>
      <c r="AQ1540">
        <f t="shared" si="55"/>
        <v>52</v>
      </c>
      <c r="AR1540" s="5">
        <f>VLOOKUP(F1540,'[1]Cost Sheet'!$C:$D,2,0)</f>
        <v>50.46</v>
      </c>
      <c r="AS1540" s="5">
        <f t="shared" si="56"/>
        <v>2623.92</v>
      </c>
    </row>
    <row r="1541" spans="1:45" x14ac:dyDescent="0.3">
      <c r="A1541" s="1">
        <v>45900.963888888888</v>
      </c>
      <c r="B1541" t="s">
        <v>1473</v>
      </c>
      <c r="C1541" t="s">
        <v>1474</v>
      </c>
      <c r="D1541" t="s">
        <v>951</v>
      </c>
      <c r="E1541" t="s">
        <v>951</v>
      </c>
      <c r="F1541" t="s">
        <v>1925</v>
      </c>
      <c r="G1541" t="s">
        <v>952</v>
      </c>
      <c r="H1541" t="s">
        <v>635</v>
      </c>
      <c r="I1541" t="s">
        <v>43</v>
      </c>
      <c r="N1541">
        <v>708</v>
      </c>
      <c r="O1541">
        <v>0</v>
      </c>
      <c r="P1541">
        <v>0</v>
      </c>
      <c r="Q1541" t="s">
        <v>44</v>
      </c>
      <c r="R1541" t="s">
        <v>44</v>
      </c>
      <c r="S1541" t="s">
        <v>44</v>
      </c>
      <c r="T1541" t="s">
        <v>44</v>
      </c>
      <c r="U1541" t="s">
        <v>44</v>
      </c>
      <c r="V1541">
        <v>95</v>
      </c>
      <c r="W1541" t="s">
        <v>44</v>
      </c>
      <c r="X1541" t="s">
        <v>44</v>
      </c>
      <c r="Y1541">
        <v>95</v>
      </c>
      <c r="Z1541" t="s">
        <v>44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95</v>
      </c>
      <c r="AQ1541">
        <f t="shared" si="55"/>
        <v>95</v>
      </c>
      <c r="AR1541" s="5">
        <f>VLOOKUP(F1541,'[1]Cost Sheet'!$C:$D,2,0)</f>
        <v>72.599999999999994</v>
      </c>
      <c r="AS1541" s="5">
        <f t="shared" si="56"/>
        <v>6896.9999999999991</v>
      </c>
    </row>
    <row r="1542" spans="1:45" x14ac:dyDescent="0.3">
      <c r="A1542" s="1">
        <v>45900.963888888888</v>
      </c>
      <c r="B1542" t="s">
        <v>1473</v>
      </c>
      <c r="C1542" t="s">
        <v>1474</v>
      </c>
      <c r="D1542" t="s">
        <v>955</v>
      </c>
      <c r="E1542" t="s">
        <v>955</v>
      </c>
      <c r="F1542" t="s">
        <v>1927</v>
      </c>
      <c r="G1542" t="s">
        <v>956</v>
      </c>
      <c r="H1542" t="s">
        <v>635</v>
      </c>
      <c r="I1542" t="s">
        <v>43</v>
      </c>
      <c r="N1542">
        <v>589</v>
      </c>
      <c r="O1542">
        <v>0</v>
      </c>
      <c r="P1542">
        <v>0</v>
      </c>
      <c r="Q1542" t="s">
        <v>44</v>
      </c>
      <c r="R1542" t="s">
        <v>44</v>
      </c>
      <c r="S1542" t="s">
        <v>44</v>
      </c>
      <c r="T1542" t="s">
        <v>44</v>
      </c>
      <c r="U1542" t="s">
        <v>44</v>
      </c>
      <c r="V1542">
        <v>95</v>
      </c>
      <c r="W1542" t="s">
        <v>44</v>
      </c>
      <c r="X1542" t="s">
        <v>44</v>
      </c>
      <c r="Y1542">
        <v>95</v>
      </c>
      <c r="Z1542" t="s">
        <v>44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95</v>
      </c>
      <c r="AQ1542">
        <f t="shared" si="55"/>
        <v>95</v>
      </c>
      <c r="AR1542" s="5">
        <f>VLOOKUP(F1542,'[1]Cost Sheet'!$C:$D,2,0)</f>
        <v>99.42</v>
      </c>
      <c r="AS1542" s="5">
        <f t="shared" si="56"/>
        <v>9444.9</v>
      </c>
    </row>
    <row r="1543" spans="1:45" x14ac:dyDescent="0.3">
      <c r="A1543" s="1">
        <v>45900.963888888888</v>
      </c>
      <c r="B1543" t="s">
        <v>1473</v>
      </c>
      <c r="C1543" t="s">
        <v>1474</v>
      </c>
      <c r="D1543" t="s">
        <v>660</v>
      </c>
      <c r="E1543" t="s">
        <v>660</v>
      </c>
      <c r="F1543" t="s">
        <v>1783</v>
      </c>
      <c r="G1543" t="s">
        <v>661</v>
      </c>
      <c r="H1543" t="s">
        <v>635</v>
      </c>
      <c r="I1543" t="s">
        <v>43</v>
      </c>
      <c r="N1543">
        <v>604</v>
      </c>
      <c r="O1543">
        <v>0</v>
      </c>
      <c r="P1543">
        <v>0</v>
      </c>
      <c r="Q1543" t="s">
        <v>44</v>
      </c>
      <c r="R1543" t="s">
        <v>44</v>
      </c>
      <c r="S1543" t="s">
        <v>44</v>
      </c>
      <c r="T1543" t="s">
        <v>44</v>
      </c>
      <c r="U1543" t="s">
        <v>44</v>
      </c>
      <c r="V1543">
        <v>56</v>
      </c>
      <c r="W1543" t="s">
        <v>44</v>
      </c>
      <c r="X1543" t="s">
        <v>44</v>
      </c>
      <c r="Y1543">
        <v>56</v>
      </c>
      <c r="Z1543" t="s">
        <v>44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56</v>
      </c>
      <c r="AQ1543">
        <f t="shared" si="55"/>
        <v>56</v>
      </c>
      <c r="AR1543" s="5">
        <f>VLOOKUP(F1543,'[1]Cost Sheet'!$C:$D,2,0)</f>
        <v>60.73</v>
      </c>
      <c r="AS1543" s="5">
        <f t="shared" si="56"/>
        <v>3400.8799999999997</v>
      </c>
    </row>
    <row r="1544" spans="1:45" x14ac:dyDescent="0.3">
      <c r="A1544" s="1">
        <v>45900.963888888888</v>
      </c>
      <c r="B1544" t="s">
        <v>1473</v>
      </c>
      <c r="C1544" t="s">
        <v>1474</v>
      </c>
      <c r="D1544" t="s">
        <v>959</v>
      </c>
      <c r="E1544" t="s">
        <v>959</v>
      </c>
      <c r="F1544" t="s">
        <v>1929</v>
      </c>
      <c r="G1544" t="s">
        <v>960</v>
      </c>
      <c r="H1544" t="s">
        <v>635</v>
      </c>
      <c r="I1544" t="s">
        <v>43</v>
      </c>
      <c r="N1544">
        <v>671</v>
      </c>
      <c r="O1544">
        <v>0</v>
      </c>
      <c r="P1544">
        <v>0</v>
      </c>
      <c r="Q1544" t="s">
        <v>44</v>
      </c>
      <c r="R1544" t="s">
        <v>44</v>
      </c>
      <c r="S1544" t="s">
        <v>44</v>
      </c>
      <c r="T1544" t="s">
        <v>44</v>
      </c>
      <c r="U1544" t="s">
        <v>44</v>
      </c>
      <c r="V1544">
        <v>60</v>
      </c>
      <c r="W1544" t="s">
        <v>44</v>
      </c>
      <c r="X1544" t="s">
        <v>44</v>
      </c>
      <c r="Y1544">
        <v>60</v>
      </c>
      <c r="Z1544" t="s">
        <v>44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60</v>
      </c>
      <c r="AQ1544">
        <f t="shared" si="55"/>
        <v>60</v>
      </c>
      <c r="AR1544" s="5">
        <f>VLOOKUP(F1544,'[1]Cost Sheet'!$C:$D,2,0)</f>
        <v>70.2</v>
      </c>
      <c r="AS1544" s="5">
        <f t="shared" si="56"/>
        <v>4212</v>
      </c>
    </row>
    <row r="1545" spans="1:45" x14ac:dyDescent="0.3">
      <c r="A1545" s="1">
        <v>45900.963888888888</v>
      </c>
      <c r="B1545" t="s">
        <v>1473</v>
      </c>
      <c r="C1545" t="s">
        <v>1474</v>
      </c>
      <c r="D1545" t="s">
        <v>961</v>
      </c>
      <c r="E1545" t="s">
        <v>961</v>
      </c>
      <c r="F1545" t="s">
        <v>1930</v>
      </c>
      <c r="G1545" t="s">
        <v>962</v>
      </c>
      <c r="H1545" t="s">
        <v>635</v>
      </c>
      <c r="I1545" t="s">
        <v>43</v>
      </c>
      <c r="N1545">
        <v>747</v>
      </c>
      <c r="O1545">
        <v>0</v>
      </c>
      <c r="P1545">
        <v>0</v>
      </c>
      <c r="Q1545" t="s">
        <v>44</v>
      </c>
      <c r="R1545" t="s">
        <v>44</v>
      </c>
      <c r="S1545" t="s">
        <v>44</v>
      </c>
      <c r="T1545" t="s">
        <v>44</v>
      </c>
      <c r="U1545" t="s">
        <v>44</v>
      </c>
      <c r="V1545">
        <v>47</v>
      </c>
      <c r="W1545" t="s">
        <v>44</v>
      </c>
      <c r="X1545" t="s">
        <v>44</v>
      </c>
      <c r="Y1545">
        <v>47</v>
      </c>
      <c r="Z1545" t="s">
        <v>44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47</v>
      </c>
      <c r="AQ1545">
        <f t="shared" si="55"/>
        <v>47</v>
      </c>
      <c r="AR1545" s="5">
        <f>VLOOKUP(F1545,'[1]Cost Sheet'!$C:$D,2,0)</f>
        <v>32.03</v>
      </c>
      <c r="AS1545" s="5">
        <f t="shared" si="56"/>
        <v>1505.41</v>
      </c>
    </row>
    <row r="1546" spans="1:45" x14ac:dyDescent="0.3">
      <c r="A1546" s="1">
        <v>45900.963888888888</v>
      </c>
      <c r="B1546" t="s">
        <v>1473</v>
      </c>
      <c r="C1546" t="s">
        <v>1474</v>
      </c>
      <c r="D1546" t="s">
        <v>664</v>
      </c>
      <c r="E1546" t="s">
        <v>664</v>
      </c>
      <c r="F1546" t="s">
        <v>1785</v>
      </c>
      <c r="G1546" t="s">
        <v>665</v>
      </c>
      <c r="H1546" t="s">
        <v>635</v>
      </c>
      <c r="I1546" t="s">
        <v>43</v>
      </c>
      <c r="N1546">
        <v>504</v>
      </c>
      <c r="O1546">
        <v>0</v>
      </c>
      <c r="P1546">
        <v>0</v>
      </c>
      <c r="Q1546" t="s">
        <v>44</v>
      </c>
      <c r="R1546" t="s">
        <v>44</v>
      </c>
      <c r="S1546" t="s">
        <v>44</v>
      </c>
      <c r="T1546" t="s">
        <v>44</v>
      </c>
      <c r="U1546" t="s">
        <v>44</v>
      </c>
      <c r="V1546">
        <v>60</v>
      </c>
      <c r="W1546" t="s">
        <v>44</v>
      </c>
      <c r="X1546" t="s">
        <v>44</v>
      </c>
      <c r="Y1546">
        <v>60</v>
      </c>
      <c r="Z1546" t="s">
        <v>44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60</v>
      </c>
      <c r="AQ1546">
        <f t="shared" si="55"/>
        <v>60</v>
      </c>
      <c r="AR1546" s="5">
        <f>VLOOKUP(F1546,'[1]Cost Sheet'!$C:$D,2,0)</f>
        <v>69.61</v>
      </c>
      <c r="AS1546" s="5">
        <f t="shared" si="56"/>
        <v>4176.6000000000004</v>
      </c>
    </row>
    <row r="1547" spans="1:45" x14ac:dyDescent="0.3">
      <c r="A1547" s="1">
        <v>45900.963888888888</v>
      </c>
      <c r="B1547" t="s">
        <v>1473</v>
      </c>
      <c r="C1547" t="s">
        <v>1474</v>
      </c>
      <c r="D1547" t="s">
        <v>668</v>
      </c>
      <c r="E1547" t="s">
        <v>668</v>
      </c>
      <c r="F1547" t="s">
        <v>1787</v>
      </c>
      <c r="G1547" t="s">
        <v>669</v>
      </c>
      <c r="H1547" t="s">
        <v>635</v>
      </c>
      <c r="I1547" t="s">
        <v>43</v>
      </c>
      <c r="N1547">
        <v>715</v>
      </c>
      <c r="O1547">
        <v>0</v>
      </c>
      <c r="P1547">
        <v>0</v>
      </c>
      <c r="Q1547" t="s">
        <v>44</v>
      </c>
      <c r="R1547" t="s">
        <v>44</v>
      </c>
      <c r="S1547" t="s">
        <v>44</v>
      </c>
      <c r="T1547" t="s">
        <v>44</v>
      </c>
      <c r="U1547" t="s">
        <v>44</v>
      </c>
      <c r="V1547">
        <v>12</v>
      </c>
      <c r="W1547" t="s">
        <v>44</v>
      </c>
      <c r="X1547" t="s">
        <v>44</v>
      </c>
      <c r="Y1547">
        <v>12</v>
      </c>
      <c r="Z1547" t="s">
        <v>44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12</v>
      </c>
      <c r="AQ1547">
        <f t="shared" si="55"/>
        <v>12</v>
      </c>
      <c r="AR1547" s="5">
        <f>VLOOKUP(F1547,'[1]Cost Sheet'!$C:$D,2,0)</f>
        <v>60</v>
      </c>
      <c r="AS1547" s="5">
        <f t="shared" si="56"/>
        <v>720</v>
      </c>
    </row>
    <row r="1548" spans="1:45" x14ac:dyDescent="0.3">
      <c r="A1548" s="1">
        <v>45900.963888888888</v>
      </c>
      <c r="B1548" t="s">
        <v>1473</v>
      </c>
      <c r="C1548" t="s">
        <v>1474</v>
      </c>
      <c r="D1548" t="s">
        <v>1379</v>
      </c>
      <c r="E1548" t="s">
        <v>1379</v>
      </c>
      <c r="F1548" t="s">
        <v>2136</v>
      </c>
      <c r="G1548" t="s">
        <v>1380</v>
      </c>
      <c r="H1548" t="s">
        <v>635</v>
      </c>
      <c r="I1548" t="s">
        <v>43</v>
      </c>
      <c r="N1548">
        <v>631</v>
      </c>
      <c r="O1548">
        <v>0</v>
      </c>
      <c r="P1548">
        <v>0</v>
      </c>
      <c r="Q1548" t="s">
        <v>44</v>
      </c>
      <c r="R1548" t="s">
        <v>44</v>
      </c>
      <c r="S1548" t="s">
        <v>44</v>
      </c>
      <c r="T1548" t="s">
        <v>44</v>
      </c>
      <c r="U1548" t="s">
        <v>44</v>
      </c>
      <c r="V1548">
        <v>39</v>
      </c>
      <c r="W1548" t="s">
        <v>44</v>
      </c>
      <c r="X1548" t="s">
        <v>44</v>
      </c>
      <c r="Y1548">
        <v>39</v>
      </c>
      <c r="Z1548" t="s">
        <v>44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39</v>
      </c>
      <c r="AQ1548">
        <f t="shared" si="55"/>
        <v>39</v>
      </c>
      <c r="AR1548" s="5">
        <f>VLOOKUP(F1548,'[1]Cost Sheet'!$C:$D,2,0)</f>
        <v>112.63</v>
      </c>
      <c r="AS1548" s="5">
        <f t="shared" si="56"/>
        <v>4392.57</v>
      </c>
    </row>
    <row r="1549" spans="1:45" x14ac:dyDescent="0.3">
      <c r="A1549" s="1">
        <v>45900.963888888888</v>
      </c>
      <c r="B1549" t="s">
        <v>1473</v>
      </c>
      <c r="C1549" t="s">
        <v>1474</v>
      </c>
      <c r="D1549" t="s">
        <v>670</v>
      </c>
      <c r="E1549" t="s">
        <v>670</v>
      </c>
      <c r="F1549" t="s">
        <v>1788</v>
      </c>
      <c r="G1549" t="s">
        <v>671</v>
      </c>
      <c r="H1549" t="s">
        <v>635</v>
      </c>
      <c r="I1549" t="s">
        <v>43</v>
      </c>
      <c r="N1549">
        <v>541</v>
      </c>
      <c r="O1549">
        <v>0</v>
      </c>
      <c r="P1549">
        <v>0</v>
      </c>
      <c r="Q1549" t="s">
        <v>44</v>
      </c>
      <c r="R1549" t="s">
        <v>44</v>
      </c>
      <c r="S1549" t="s">
        <v>44</v>
      </c>
      <c r="T1549" t="s">
        <v>44</v>
      </c>
      <c r="U1549" t="s">
        <v>44</v>
      </c>
      <c r="V1549">
        <v>57</v>
      </c>
      <c r="W1549" t="s">
        <v>44</v>
      </c>
      <c r="X1549" t="s">
        <v>44</v>
      </c>
      <c r="Y1549">
        <v>57</v>
      </c>
      <c r="Z1549" t="s">
        <v>44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57</v>
      </c>
      <c r="AQ1549">
        <f t="shared" si="55"/>
        <v>57</v>
      </c>
      <c r="AR1549" s="5">
        <f>VLOOKUP(F1549,'[1]Cost Sheet'!$C:$D,2,0)</f>
        <v>31.31</v>
      </c>
      <c r="AS1549" s="5">
        <f t="shared" si="56"/>
        <v>1784.6699999999998</v>
      </c>
    </row>
    <row r="1550" spans="1:45" x14ac:dyDescent="0.3">
      <c r="A1550" s="1">
        <v>45900.963888888888</v>
      </c>
      <c r="B1550" t="s">
        <v>1473</v>
      </c>
      <c r="C1550" t="s">
        <v>1474</v>
      </c>
      <c r="D1550" t="s">
        <v>963</v>
      </c>
      <c r="E1550" t="s">
        <v>963</v>
      </c>
      <c r="F1550" t="s">
        <v>1931</v>
      </c>
      <c r="G1550" t="s">
        <v>964</v>
      </c>
      <c r="H1550" t="s">
        <v>635</v>
      </c>
      <c r="I1550" t="s">
        <v>43</v>
      </c>
      <c r="N1550">
        <v>412</v>
      </c>
      <c r="O1550">
        <v>0</v>
      </c>
      <c r="P1550">
        <v>0</v>
      </c>
      <c r="Q1550" t="s">
        <v>44</v>
      </c>
      <c r="R1550" t="s">
        <v>44</v>
      </c>
      <c r="S1550" t="s">
        <v>44</v>
      </c>
      <c r="T1550" t="s">
        <v>44</v>
      </c>
      <c r="U1550" t="s">
        <v>44</v>
      </c>
      <c r="V1550">
        <v>14</v>
      </c>
      <c r="W1550" t="s">
        <v>44</v>
      </c>
      <c r="X1550" t="s">
        <v>44</v>
      </c>
      <c r="Y1550">
        <v>14</v>
      </c>
      <c r="Z1550" t="s">
        <v>44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14</v>
      </c>
      <c r="AQ1550">
        <f t="shared" si="55"/>
        <v>14</v>
      </c>
      <c r="AR1550" s="5">
        <f>VLOOKUP(F1550,'[1]Cost Sheet'!$C:$D,2,0)</f>
        <v>31.06</v>
      </c>
      <c r="AS1550" s="5">
        <f t="shared" si="56"/>
        <v>434.84</v>
      </c>
    </row>
    <row r="1551" spans="1:45" x14ac:dyDescent="0.3">
      <c r="A1551" s="1">
        <v>45900.963888888888</v>
      </c>
      <c r="B1551" t="s">
        <v>1473</v>
      </c>
      <c r="C1551" t="s">
        <v>1474</v>
      </c>
      <c r="D1551" t="s">
        <v>672</v>
      </c>
      <c r="E1551" t="s">
        <v>672</v>
      </c>
      <c r="F1551" t="s">
        <v>1789</v>
      </c>
      <c r="G1551" t="s">
        <v>673</v>
      </c>
      <c r="H1551" t="s">
        <v>635</v>
      </c>
      <c r="I1551" t="s">
        <v>43</v>
      </c>
      <c r="N1551">
        <v>463</v>
      </c>
      <c r="O1551">
        <v>0</v>
      </c>
      <c r="P1551">
        <v>0</v>
      </c>
      <c r="Q1551" t="s">
        <v>44</v>
      </c>
      <c r="R1551" t="s">
        <v>44</v>
      </c>
      <c r="S1551" t="s">
        <v>44</v>
      </c>
      <c r="T1551" t="s">
        <v>44</v>
      </c>
      <c r="U1551" t="s">
        <v>44</v>
      </c>
      <c r="V1551">
        <v>51</v>
      </c>
      <c r="W1551" t="s">
        <v>44</v>
      </c>
      <c r="X1551" t="s">
        <v>44</v>
      </c>
      <c r="Y1551">
        <v>51</v>
      </c>
      <c r="Z1551" t="s">
        <v>44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51</v>
      </c>
      <c r="AQ1551">
        <f t="shared" si="55"/>
        <v>51</v>
      </c>
      <c r="AR1551" s="5">
        <f>VLOOKUP(F1551,'[1]Cost Sheet'!$C:$D,2,0)</f>
        <v>26.27</v>
      </c>
      <c r="AS1551" s="5">
        <f t="shared" si="56"/>
        <v>1339.77</v>
      </c>
    </row>
    <row r="1552" spans="1:45" x14ac:dyDescent="0.3">
      <c r="A1552" s="1">
        <v>45900.963888888888</v>
      </c>
      <c r="B1552" t="s">
        <v>1473</v>
      </c>
      <c r="C1552" t="s">
        <v>1474</v>
      </c>
      <c r="D1552" t="s">
        <v>965</v>
      </c>
      <c r="E1552" t="s">
        <v>965</v>
      </c>
      <c r="F1552" t="s">
        <v>1932</v>
      </c>
      <c r="G1552" t="s">
        <v>966</v>
      </c>
      <c r="H1552" t="s">
        <v>635</v>
      </c>
      <c r="I1552" t="s">
        <v>43</v>
      </c>
      <c r="N1552">
        <v>634</v>
      </c>
      <c r="O1552">
        <v>0</v>
      </c>
      <c r="P1552">
        <v>0</v>
      </c>
      <c r="Q1552" t="s">
        <v>44</v>
      </c>
      <c r="R1552" t="s">
        <v>44</v>
      </c>
      <c r="S1552" t="s">
        <v>44</v>
      </c>
      <c r="T1552" t="s">
        <v>44</v>
      </c>
      <c r="U1552" t="s">
        <v>44</v>
      </c>
      <c r="V1552">
        <v>29</v>
      </c>
      <c r="W1552" t="s">
        <v>44</v>
      </c>
      <c r="X1552" t="s">
        <v>44</v>
      </c>
      <c r="Y1552">
        <v>29</v>
      </c>
      <c r="Z1552" t="s">
        <v>44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29</v>
      </c>
      <c r="AQ1552">
        <f t="shared" si="55"/>
        <v>29</v>
      </c>
      <c r="AR1552" s="5">
        <f>VLOOKUP(F1552,'[1]Cost Sheet'!$C:$D,2,0)</f>
        <v>26.914999999999996</v>
      </c>
      <c r="AS1552" s="5">
        <f t="shared" si="56"/>
        <v>780.53499999999985</v>
      </c>
    </row>
    <row r="1553" spans="1:45" x14ac:dyDescent="0.3">
      <c r="A1553" s="1">
        <v>45900.963888888888</v>
      </c>
      <c r="B1553" t="s">
        <v>1473</v>
      </c>
      <c r="C1553" t="s">
        <v>1474</v>
      </c>
      <c r="D1553" t="s">
        <v>674</v>
      </c>
      <c r="E1553" t="s">
        <v>674</v>
      </c>
      <c r="F1553" t="s">
        <v>1790</v>
      </c>
      <c r="G1553" t="s">
        <v>675</v>
      </c>
      <c r="H1553" t="s">
        <v>635</v>
      </c>
      <c r="I1553" t="s">
        <v>43</v>
      </c>
      <c r="N1553">
        <v>877</v>
      </c>
      <c r="O1553">
        <v>0</v>
      </c>
      <c r="P1553">
        <v>0</v>
      </c>
      <c r="Q1553" t="s">
        <v>44</v>
      </c>
      <c r="R1553" t="s">
        <v>44</v>
      </c>
      <c r="S1553" t="s">
        <v>44</v>
      </c>
      <c r="T1553" t="s">
        <v>44</v>
      </c>
      <c r="U1553" t="s">
        <v>44</v>
      </c>
      <c r="V1553">
        <v>88</v>
      </c>
      <c r="W1553" t="s">
        <v>44</v>
      </c>
      <c r="X1553" t="s">
        <v>44</v>
      </c>
      <c r="Y1553">
        <v>88</v>
      </c>
      <c r="Z1553" t="s">
        <v>44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88</v>
      </c>
      <c r="AQ1553">
        <f t="shared" si="55"/>
        <v>88</v>
      </c>
      <c r="AR1553" s="5">
        <f>VLOOKUP(F1553,'[1]Cost Sheet'!$C:$D,2,0)</f>
        <v>28.82</v>
      </c>
      <c r="AS1553" s="5">
        <f t="shared" si="56"/>
        <v>2536.16</v>
      </c>
    </row>
    <row r="1554" spans="1:45" x14ac:dyDescent="0.3">
      <c r="A1554" s="1">
        <v>45900.963888888888</v>
      </c>
      <c r="B1554" t="s">
        <v>1473</v>
      </c>
      <c r="C1554" t="s">
        <v>1474</v>
      </c>
      <c r="D1554" t="s">
        <v>969</v>
      </c>
      <c r="E1554" t="s">
        <v>969</v>
      </c>
      <c r="F1554" t="s">
        <v>1934</v>
      </c>
      <c r="G1554" t="s">
        <v>970</v>
      </c>
      <c r="H1554" t="s">
        <v>635</v>
      </c>
      <c r="I1554" t="s">
        <v>43</v>
      </c>
      <c r="N1554">
        <v>453</v>
      </c>
      <c r="O1554">
        <v>0</v>
      </c>
      <c r="P1554">
        <v>0</v>
      </c>
      <c r="Q1554" t="s">
        <v>44</v>
      </c>
      <c r="R1554" t="s">
        <v>44</v>
      </c>
      <c r="S1554" t="s">
        <v>44</v>
      </c>
      <c r="T1554" t="s">
        <v>44</v>
      </c>
      <c r="U1554" t="s">
        <v>44</v>
      </c>
      <c r="V1554">
        <v>20</v>
      </c>
      <c r="W1554" t="s">
        <v>44</v>
      </c>
      <c r="X1554" t="s">
        <v>44</v>
      </c>
      <c r="Y1554">
        <v>20</v>
      </c>
      <c r="Z1554" t="s">
        <v>44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20</v>
      </c>
      <c r="AQ1554">
        <f t="shared" si="55"/>
        <v>20</v>
      </c>
      <c r="AR1554" s="5">
        <f>VLOOKUP(F1554,'[1]Cost Sheet'!$C:$D,2,0)</f>
        <v>31.706666666666667</v>
      </c>
      <c r="AS1554" s="5">
        <f t="shared" si="56"/>
        <v>634.13333333333333</v>
      </c>
    </row>
    <row r="1555" spans="1:45" x14ac:dyDescent="0.3">
      <c r="A1555" s="1">
        <v>45900.963888888888</v>
      </c>
      <c r="B1555" t="s">
        <v>1473</v>
      </c>
      <c r="C1555" t="s">
        <v>1474</v>
      </c>
      <c r="D1555" t="s">
        <v>971</v>
      </c>
      <c r="E1555" t="s">
        <v>971</v>
      </c>
      <c r="F1555" t="s">
        <v>1935</v>
      </c>
      <c r="G1555" t="s">
        <v>972</v>
      </c>
      <c r="H1555" t="s">
        <v>635</v>
      </c>
      <c r="I1555" t="s">
        <v>43</v>
      </c>
      <c r="N1555">
        <v>503</v>
      </c>
      <c r="O1555">
        <v>0</v>
      </c>
      <c r="P1555">
        <v>0</v>
      </c>
      <c r="Q1555" t="s">
        <v>44</v>
      </c>
      <c r="R1555" t="s">
        <v>44</v>
      </c>
      <c r="S1555" t="s">
        <v>44</v>
      </c>
      <c r="T1555" t="s">
        <v>44</v>
      </c>
      <c r="U1555" t="s">
        <v>44</v>
      </c>
      <c r="V1555">
        <v>21</v>
      </c>
      <c r="W1555" t="s">
        <v>44</v>
      </c>
      <c r="X1555" t="s">
        <v>44</v>
      </c>
      <c r="Y1555">
        <v>21</v>
      </c>
      <c r="Z1555" t="s">
        <v>44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21</v>
      </c>
      <c r="AQ1555">
        <f t="shared" si="55"/>
        <v>21</v>
      </c>
      <c r="AR1555" s="5">
        <f>VLOOKUP(F1555,'[1]Cost Sheet'!$C:$D,2,0)</f>
        <v>43.71</v>
      </c>
      <c r="AS1555" s="5">
        <f t="shared" si="56"/>
        <v>917.91</v>
      </c>
    </row>
    <row r="1556" spans="1:45" x14ac:dyDescent="0.3">
      <c r="A1556" s="1">
        <v>45900.963888888888</v>
      </c>
      <c r="B1556" t="s">
        <v>1473</v>
      </c>
      <c r="C1556" t="s">
        <v>1474</v>
      </c>
      <c r="D1556" t="s">
        <v>973</v>
      </c>
      <c r="E1556" t="s">
        <v>973</v>
      </c>
      <c r="F1556" t="s">
        <v>1936</v>
      </c>
      <c r="G1556" t="s">
        <v>974</v>
      </c>
      <c r="H1556" t="s">
        <v>635</v>
      </c>
      <c r="I1556" t="s">
        <v>43</v>
      </c>
      <c r="N1556">
        <v>307</v>
      </c>
      <c r="O1556">
        <v>0</v>
      </c>
      <c r="P1556">
        <v>0</v>
      </c>
      <c r="Q1556" t="s">
        <v>44</v>
      </c>
      <c r="R1556" t="s">
        <v>44</v>
      </c>
      <c r="S1556" t="s">
        <v>44</v>
      </c>
      <c r="T1556" t="s">
        <v>44</v>
      </c>
      <c r="U1556" t="s">
        <v>44</v>
      </c>
      <c r="V1556">
        <v>55</v>
      </c>
      <c r="W1556" t="s">
        <v>44</v>
      </c>
      <c r="X1556" t="s">
        <v>44</v>
      </c>
      <c r="Y1556">
        <v>55</v>
      </c>
      <c r="Z1556" t="s">
        <v>44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55</v>
      </c>
      <c r="AQ1556">
        <f t="shared" si="55"/>
        <v>55</v>
      </c>
      <c r="AR1556" s="5">
        <f>VLOOKUP(F1556,'[1]Cost Sheet'!$C:$D,2,0)</f>
        <v>52.11</v>
      </c>
      <c r="AS1556" s="5">
        <f t="shared" si="56"/>
        <v>2866.05</v>
      </c>
    </row>
    <row r="1557" spans="1:45" x14ac:dyDescent="0.3">
      <c r="A1557" s="1">
        <v>45900.963888888888</v>
      </c>
      <c r="B1557" t="s">
        <v>1473</v>
      </c>
      <c r="C1557" t="s">
        <v>1474</v>
      </c>
      <c r="D1557" t="s">
        <v>977</v>
      </c>
      <c r="E1557" t="s">
        <v>977</v>
      </c>
      <c r="F1557" t="s">
        <v>1938</v>
      </c>
      <c r="G1557" t="s">
        <v>978</v>
      </c>
      <c r="H1557" t="s">
        <v>635</v>
      </c>
      <c r="I1557" t="s">
        <v>43</v>
      </c>
      <c r="N1557">
        <v>454</v>
      </c>
      <c r="O1557">
        <v>0</v>
      </c>
      <c r="P1557">
        <v>0</v>
      </c>
      <c r="Q1557" t="s">
        <v>44</v>
      </c>
      <c r="R1557" t="s">
        <v>44</v>
      </c>
      <c r="S1557" t="s">
        <v>44</v>
      </c>
      <c r="T1557" t="s">
        <v>44</v>
      </c>
      <c r="U1557" t="s">
        <v>44</v>
      </c>
      <c r="V1557">
        <v>30</v>
      </c>
      <c r="W1557" t="s">
        <v>44</v>
      </c>
      <c r="X1557" t="s">
        <v>44</v>
      </c>
      <c r="Y1557">
        <v>30</v>
      </c>
      <c r="Z1557" t="s">
        <v>44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30</v>
      </c>
      <c r="AQ1557">
        <f t="shared" ref="AQ1557:AQ1618" si="57">O1557+P1557+V1557+AA1557</f>
        <v>30</v>
      </c>
      <c r="AR1557" s="5">
        <f>VLOOKUP(F1557,'[1]Cost Sheet'!$C:$D,2,0)</f>
        <v>99.63</v>
      </c>
      <c r="AS1557" s="5">
        <f t="shared" si="56"/>
        <v>2988.8999999999996</v>
      </c>
    </row>
    <row r="1558" spans="1:45" x14ac:dyDescent="0.3">
      <c r="A1558" s="1">
        <v>45900.963888888888</v>
      </c>
      <c r="B1558" t="s">
        <v>1473</v>
      </c>
      <c r="C1558" t="s">
        <v>1474</v>
      </c>
      <c r="D1558" t="s">
        <v>979</v>
      </c>
      <c r="E1558" t="s">
        <v>979</v>
      </c>
      <c r="F1558" t="s">
        <v>1939</v>
      </c>
      <c r="G1558" t="s">
        <v>980</v>
      </c>
      <c r="H1558" t="s">
        <v>635</v>
      </c>
      <c r="I1558" t="s">
        <v>43</v>
      </c>
      <c r="N1558">
        <v>309</v>
      </c>
      <c r="O1558">
        <v>0</v>
      </c>
      <c r="P1558">
        <v>0</v>
      </c>
      <c r="Q1558" t="s">
        <v>44</v>
      </c>
      <c r="R1558" t="s">
        <v>44</v>
      </c>
      <c r="S1558" t="s">
        <v>44</v>
      </c>
      <c r="T1558" t="s">
        <v>44</v>
      </c>
      <c r="U1558" t="s">
        <v>44</v>
      </c>
      <c r="V1558">
        <v>30</v>
      </c>
      <c r="W1558" t="s">
        <v>44</v>
      </c>
      <c r="X1558" t="s">
        <v>44</v>
      </c>
      <c r="Y1558">
        <v>30</v>
      </c>
      <c r="Z1558" t="s">
        <v>44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30</v>
      </c>
      <c r="AQ1558">
        <f t="shared" si="57"/>
        <v>30</v>
      </c>
      <c r="AR1558" s="5">
        <f>VLOOKUP(F1558,'[1]Cost Sheet'!$C:$D,2,0)</f>
        <v>67.05</v>
      </c>
      <c r="AS1558" s="5">
        <f t="shared" si="56"/>
        <v>2011.5</v>
      </c>
    </row>
    <row r="1559" spans="1:45" x14ac:dyDescent="0.3">
      <c r="A1559" s="1">
        <v>45900.963888888888</v>
      </c>
      <c r="B1559" t="s">
        <v>1473</v>
      </c>
      <c r="C1559" t="s">
        <v>1474</v>
      </c>
      <c r="D1559" t="s">
        <v>1467</v>
      </c>
      <c r="E1559" t="s">
        <v>1467</v>
      </c>
      <c r="F1559" t="s">
        <v>2182</v>
      </c>
      <c r="G1559" t="s">
        <v>1468</v>
      </c>
      <c r="H1559" t="s">
        <v>635</v>
      </c>
      <c r="I1559" t="s">
        <v>43</v>
      </c>
      <c r="N1559">
        <v>821</v>
      </c>
      <c r="O1559">
        <v>0</v>
      </c>
      <c r="P1559">
        <v>0</v>
      </c>
      <c r="Q1559" t="s">
        <v>44</v>
      </c>
      <c r="R1559" t="s">
        <v>44</v>
      </c>
      <c r="S1559" t="s">
        <v>44</v>
      </c>
      <c r="T1559" t="s">
        <v>44</v>
      </c>
      <c r="U1559" t="s">
        <v>44</v>
      </c>
      <c r="V1559">
        <v>55</v>
      </c>
      <c r="W1559" t="s">
        <v>44</v>
      </c>
      <c r="X1559" t="s">
        <v>44</v>
      </c>
      <c r="Y1559">
        <v>55</v>
      </c>
      <c r="Z1559" t="s">
        <v>44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55</v>
      </c>
      <c r="AQ1559">
        <f t="shared" si="57"/>
        <v>55</v>
      </c>
      <c r="AR1559" s="5">
        <f>VLOOKUP(F1559,'[1]Cost Sheet'!$C:$D,2,0)</f>
        <v>31.11</v>
      </c>
      <c r="AS1559" s="5">
        <f t="shared" si="56"/>
        <v>1711.05</v>
      </c>
    </row>
    <row r="1560" spans="1:45" x14ac:dyDescent="0.3">
      <c r="A1560" s="1">
        <v>45900.963888888888</v>
      </c>
      <c r="B1560" t="s">
        <v>1473</v>
      </c>
      <c r="C1560" t="s">
        <v>1474</v>
      </c>
      <c r="D1560" t="s">
        <v>981</v>
      </c>
      <c r="E1560" t="s">
        <v>981</v>
      </c>
      <c r="F1560" t="s">
        <v>1940</v>
      </c>
      <c r="G1560" t="s">
        <v>982</v>
      </c>
      <c r="H1560" t="s">
        <v>635</v>
      </c>
      <c r="I1560" t="s">
        <v>43</v>
      </c>
      <c r="N1560">
        <v>245</v>
      </c>
      <c r="O1560">
        <v>0</v>
      </c>
      <c r="P1560">
        <v>0</v>
      </c>
      <c r="Q1560" t="s">
        <v>44</v>
      </c>
      <c r="R1560" t="s">
        <v>44</v>
      </c>
      <c r="S1560" t="s">
        <v>44</v>
      </c>
      <c r="T1560" t="s">
        <v>44</v>
      </c>
      <c r="U1560" t="s">
        <v>44</v>
      </c>
      <c r="V1560">
        <v>60</v>
      </c>
      <c r="W1560" t="s">
        <v>44</v>
      </c>
      <c r="X1560" t="s">
        <v>44</v>
      </c>
      <c r="Y1560">
        <v>60</v>
      </c>
      <c r="Z1560" t="s">
        <v>44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60</v>
      </c>
      <c r="AQ1560">
        <f t="shared" si="57"/>
        <v>60</v>
      </c>
      <c r="AR1560" s="5">
        <f>VLOOKUP(F1560,'[1]Cost Sheet'!$C:$D,2,0)</f>
        <v>25.930000000000003</v>
      </c>
      <c r="AS1560" s="5">
        <f t="shared" si="56"/>
        <v>1555.8000000000002</v>
      </c>
    </row>
    <row r="1561" spans="1:45" x14ac:dyDescent="0.3">
      <c r="A1561" s="1">
        <v>45900.963888888888</v>
      </c>
      <c r="B1561" t="s">
        <v>1473</v>
      </c>
      <c r="C1561" t="s">
        <v>1474</v>
      </c>
      <c r="D1561" t="s">
        <v>983</v>
      </c>
      <c r="E1561" t="s">
        <v>983</v>
      </c>
      <c r="F1561" t="s">
        <v>1941</v>
      </c>
      <c r="G1561" t="s">
        <v>984</v>
      </c>
      <c r="H1561" t="s">
        <v>635</v>
      </c>
      <c r="I1561" t="s">
        <v>43</v>
      </c>
      <c r="N1561">
        <v>501</v>
      </c>
      <c r="O1561">
        <v>0</v>
      </c>
      <c r="P1561">
        <v>0</v>
      </c>
      <c r="Q1561" t="s">
        <v>44</v>
      </c>
      <c r="R1561" t="s">
        <v>44</v>
      </c>
      <c r="S1561" t="s">
        <v>44</v>
      </c>
      <c r="T1561" t="s">
        <v>44</v>
      </c>
      <c r="U1561" t="s">
        <v>44</v>
      </c>
      <c r="V1561">
        <v>17</v>
      </c>
      <c r="W1561" t="s">
        <v>44</v>
      </c>
      <c r="X1561" t="s">
        <v>44</v>
      </c>
      <c r="Y1561">
        <v>17</v>
      </c>
      <c r="Z1561" t="s">
        <v>44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17</v>
      </c>
      <c r="AQ1561">
        <f t="shared" si="57"/>
        <v>17</v>
      </c>
      <c r="AR1561" s="5">
        <f>VLOOKUP(F1561,'[1]Cost Sheet'!$C:$D,2,0)</f>
        <v>43.38</v>
      </c>
      <c r="AS1561" s="5">
        <f t="shared" si="56"/>
        <v>737.46</v>
      </c>
    </row>
    <row r="1562" spans="1:45" x14ac:dyDescent="0.3">
      <c r="A1562" s="1">
        <v>45900.963888888888</v>
      </c>
      <c r="B1562" t="s">
        <v>1473</v>
      </c>
      <c r="C1562" t="s">
        <v>1474</v>
      </c>
      <c r="D1562" t="s">
        <v>1381</v>
      </c>
      <c r="E1562" t="s">
        <v>1381</v>
      </c>
      <c r="F1562" t="s">
        <v>2137</v>
      </c>
      <c r="G1562" t="s">
        <v>1382</v>
      </c>
      <c r="H1562" t="s">
        <v>635</v>
      </c>
      <c r="I1562" t="s">
        <v>43</v>
      </c>
      <c r="N1562">
        <v>496</v>
      </c>
      <c r="O1562">
        <v>0</v>
      </c>
      <c r="P1562">
        <v>0</v>
      </c>
      <c r="Q1562" t="s">
        <v>44</v>
      </c>
      <c r="R1562" t="s">
        <v>44</v>
      </c>
      <c r="S1562" t="s">
        <v>44</v>
      </c>
      <c r="T1562" t="s">
        <v>44</v>
      </c>
      <c r="U1562" t="s">
        <v>44</v>
      </c>
      <c r="V1562">
        <v>17</v>
      </c>
      <c r="W1562" t="s">
        <v>44</v>
      </c>
      <c r="X1562" t="s">
        <v>44</v>
      </c>
      <c r="Y1562">
        <v>17</v>
      </c>
      <c r="Z1562" t="s">
        <v>44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17</v>
      </c>
      <c r="AQ1562">
        <f t="shared" si="57"/>
        <v>17</v>
      </c>
      <c r="AR1562" s="5">
        <f>VLOOKUP(F1562,'[1]Cost Sheet'!$C:$D,2,0)</f>
        <v>53.93</v>
      </c>
      <c r="AS1562" s="5">
        <f t="shared" si="56"/>
        <v>916.81</v>
      </c>
    </row>
    <row r="1563" spans="1:45" x14ac:dyDescent="0.3">
      <c r="A1563" s="1">
        <v>45900.963888888888</v>
      </c>
      <c r="B1563" t="s">
        <v>1473</v>
      </c>
      <c r="C1563" t="s">
        <v>1474</v>
      </c>
      <c r="D1563" t="s">
        <v>987</v>
      </c>
      <c r="E1563" t="s">
        <v>987</v>
      </c>
      <c r="F1563" t="s">
        <v>1943</v>
      </c>
      <c r="G1563" t="s">
        <v>988</v>
      </c>
      <c r="H1563" t="s">
        <v>635</v>
      </c>
      <c r="I1563" t="s">
        <v>43</v>
      </c>
      <c r="N1563">
        <v>395</v>
      </c>
      <c r="O1563">
        <v>0</v>
      </c>
      <c r="P1563">
        <v>0</v>
      </c>
      <c r="Q1563" t="s">
        <v>44</v>
      </c>
      <c r="R1563" t="s">
        <v>44</v>
      </c>
      <c r="S1563" t="s">
        <v>44</v>
      </c>
      <c r="T1563" t="s">
        <v>44</v>
      </c>
      <c r="U1563" t="s">
        <v>44</v>
      </c>
      <c r="V1563">
        <v>57</v>
      </c>
      <c r="W1563" t="s">
        <v>44</v>
      </c>
      <c r="X1563" t="s">
        <v>44</v>
      </c>
      <c r="Y1563">
        <v>57</v>
      </c>
      <c r="Z1563" t="s">
        <v>44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57</v>
      </c>
      <c r="AQ1563">
        <f t="shared" si="57"/>
        <v>57</v>
      </c>
      <c r="AR1563" s="5">
        <f>VLOOKUP(F1563,'[1]Cost Sheet'!$C:$D,2,0)</f>
        <v>67.69</v>
      </c>
      <c r="AS1563" s="5">
        <f t="shared" si="56"/>
        <v>3858.33</v>
      </c>
    </row>
    <row r="1564" spans="1:45" x14ac:dyDescent="0.3">
      <c r="A1564" s="1">
        <v>45900.963888888888</v>
      </c>
      <c r="B1564" t="s">
        <v>1473</v>
      </c>
      <c r="C1564" t="s">
        <v>1474</v>
      </c>
      <c r="D1564" t="s">
        <v>989</v>
      </c>
      <c r="E1564" t="s">
        <v>989</v>
      </c>
      <c r="F1564" t="s">
        <v>1944</v>
      </c>
      <c r="G1564" t="s">
        <v>990</v>
      </c>
      <c r="H1564" t="s">
        <v>635</v>
      </c>
      <c r="I1564" t="s">
        <v>43</v>
      </c>
      <c r="N1564">
        <v>279</v>
      </c>
      <c r="O1564">
        <v>0</v>
      </c>
      <c r="P1564">
        <v>0</v>
      </c>
      <c r="Q1564" t="s">
        <v>44</v>
      </c>
      <c r="R1564" t="s">
        <v>44</v>
      </c>
      <c r="S1564" t="s">
        <v>44</v>
      </c>
      <c r="T1564" t="s">
        <v>44</v>
      </c>
      <c r="U1564" t="s">
        <v>44</v>
      </c>
      <c r="V1564">
        <v>17</v>
      </c>
      <c r="W1564" t="s">
        <v>44</v>
      </c>
      <c r="X1564" t="s">
        <v>44</v>
      </c>
      <c r="Y1564">
        <v>17</v>
      </c>
      <c r="Z1564" t="s">
        <v>44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17</v>
      </c>
      <c r="AQ1564">
        <f t="shared" si="57"/>
        <v>17</v>
      </c>
      <c r="AR1564" s="5">
        <f>VLOOKUP(F1564,'[1]Cost Sheet'!$C:$D,2,0)</f>
        <v>61.93</v>
      </c>
      <c r="AS1564" s="5">
        <f t="shared" si="56"/>
        <v>1052.81</v>
      </c>
    </row>
    <row r="1565" spans="1:45" x14ac:dyDescent="0.3">
      <c r="A1565" s="1">
        <v>45900.963888888888</v>
      </c>
      <c r="B1565" t="s">
        <v>1473</v>
      </c>
      <c r="C1565" t="s">
        <v>1474</v>
      </c>
      <c r="D1565" t="s">
        <v>991</v>
      </c>
      <c r="E1565" t="s">
        <v>991</v>
      </c>
      <c r="F1565" t="s">
        <v>1945</v>
      </c>
      <c r="G1565" t="s">
        <v>992</v>
      </c>
      <c r="H1565" t="s">
        <v>635</v>
      </c>
      <c r="I1565" t="s">
        <v>43</v>
      </c>
      <c r="N1565">
        <v>281</v>
      </c>
      <c r="O1565">
        <v>0</v>
      </c>
      <c r="P1565">
        <v>0</v>
      </c>
      <c r="Q1565" t="s">
        <v>44</v>
      </c>
      <c r="R1565" t="s">
        <v>44</v>
      </c>
      <c r="S1565" t="s">
        <v>44</v>
      </c>
      <c r="T1565" t="s">
        <v>44</v>
      </c>
      <c r="U1565" t="s">
        <v>44</v>
      </c>
      <c r="V1565">
        <v>19</v>
      </c>
      <c r="W1565" t="s">
        <v>44</v>
      </c>
      <c r="X1565" t="s">
        <v>44</v>
      </c>
      <c r="Y1565">
        <v>19</v>
      </c>
      <c r="Z1565" t="s">
        <v>44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19</v>
      </c>
      <c r="AQ1565">
        <f t="shared" si="57"/>
        <v>19</v>
      </c>
      <c r="AR1565" s="5">
        <f>VLOOKUP(F1565,'[1]Cost Sheet'!$C:$D,2,0)</f>
        <v>61.45</v>
      </c>
      <c r="AS1565" s="5">
        <f t="shared" si="56"/>
        <v>1167.55</v>
      </c>
    </row>
    <row r="1566" spans="1:45" x14ac:dyDescent="0.3">
      <c r="A1566" s="1">
        <v>45900.963888888888</v>
      </c>
      <c r="B1566" t="s">
        <v>1473</v>
      </c>
      <c r="C1566" t="s">
        <v>1474</v>
      </c>
      <c r="D1566" t="s">
        <v>993</v>
      </c>
      <c r="E1566" t="s">
        <v>993</v>
      </c>
      <c r="F1566" t="s">
        <v>1946</v>
      </c>
      <c r="G1566" t="s">
        <v>994</v>
      </c>
      <c r="H1566" t="s">
        <v>635</v>
      </c>
      <c r="I1566" t="s">
        <v>43</v>
      </c>
      <c r="N1566">
        <v>176</v>
      </c>
      <c r="O1566">
        <v>0</v>
      </c>
      <c r="P1566">
        <v>0</v>
      </c>
      <c r="Q1566" t="s">
        <v>44</v>
      </c>
      <c r="R1566" t="s">
        <v>44</v>
      </c>
      <c r="S1566" t="s">
        <v>44</v>
      </c>
      <c r="T1566" t="s">
        <v>44</v>
      </c>
      <c r="U1566" t="s">
        <v>44</v>
      </c>
      <c r="V1566">
        <v>60</v>
      </c>
      <c r="W1566" t="s">
        <v>44</v>
      </c>
      <c r="X1566" t="s">
        <v>44</v>
      </c>
      <c r="Y1566">
        <v>60</v>
      </c>
      <c r="Z1566" t="s">
        <v>44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60</v>
      </c>
      <c r="AQ1566">
        <f t="shared" si="57"/>
        <v>60</v>
      </c>
      <c r="AR1566" s="5">
        <f>VLOOKUP(F1566,'[1]Cost Sheet'!$C:$D,2,0)</f>
        <v>57</v>
      </c>
      <c r="AS1566" s="5">
        <f t="shared" si="56"/>
        <v>3420</v>
      </c>
    </row>
    <row r="1567" spans="1:45" x14ac:dyDescent="0.3">
      <c r="A1567" s="1">
        <v>45900.963888888888</v>
      </c>
      <c r="B1567" t="s">
        <v>1473</v>
      </c>
      <c r="C1567" t="s">
        <v>1474</v>
      </c>
      <c r="D1567" t="s">
        <v>995</v>
      </c>
      <c r="E1567" t="s">
        <v>995</v>
      </c>
      <c r="F1567" t="s">
        <v>1947</v>
      </c>
      <c r="G1567" t="s">
        <v>996</v>
      </c>
      <c r="H1567" t="s">
        <v>635</v>
      </c>
      <c r="I1567" t="s">
        <v>43</v>
      </c>
      <c r="N1567">
        <v>433</v>
      </c>
      <c r="O1567">
        <v>0</v>
      </c>
      <c r="P1567">
        <v>0</v>
      </c>
      <c r="Q1567" t="s">
        <v>44</v>
      </c>
      <c r="R1567" t="s">
        <v>44</v>
      </c>
      <c r="S1567" t="s">
        <v>44</v>
      </c>
      <c r="T1567" t="s">
        <v>44</v>
      </c>
      <c r="U1567" t="s">
        <v>44</v>
      </c>
      <c r="V1567">
        <v>60</v>
      </c>
      <c r="W1567" t="s">
        <v>44</v>
      </c>
      <c r="X1567" t="s">
        <v>44</v>
      </c>
      <c r="Y1567">
        <v>60</v>
      </c>
      <c r="Z1567" t="s">
        <v>44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60</v>
      </c>
      <c r="AQ1567">
        <f t="shared" si="57"/>
        <v>60</v>
      </c>
      <c r="AR1567" s="5">
        <f>VLOOKUP(F1567,'[1]Cost Sheet'!$C:$D,2,0)</f>
        <v>106.31</v>
      </c>
      <c r="AS1567" s="5">
        <f t="shared" si="56"/>
        <v>6378.6</v>
      </c>
    </row>
    <row r="1568" spans="1:45" x14ac:dyDescent="0.3">
      <c r="A1568" s="1">
        <v>45900.963888888888</v>
      </c>
      <c r="B1568" t="s">
        <v>1473</v>
      </c>
      <c r="C1568" t="s">
        <v>1474</v>
      </c>
      <c r="D1568" t="s">
        <v>997</v>
      </c>
      <c r="E1568" t="s">
        <v>997</v>
      </c>
      <c r="F1568" t="s">
        <v>1948</v>
      </c>
      <c r="G1568" t="s">
        <v>998</v>
      </c>
      <c r="H1568" t="s">
        <v>635</v>
      </c>
      <c r="I1568" t="s">
        <v>43</v>
      </c>
      <c r="N1568">
        <v>301</v>
      </c>
      <c r="O1568">
        <v>0</v>
      </c>
      <c r="P1568">
        <v>0</v>
      </c>
      <c r="Q1568" t="s">
        <v>44</v>
      </c>
      <c r="R1568" t="s">
        <v>44</v>
      </c>
      <c r="S1568" t="s">
        <v>44</v>
      </c>
      <c r="T1568" t="s">
        <v>44</v>
      </c>
      <c r="U1568" t="s">
        <v>44</v>
      </c>
      <c r="V1568">
        <v>60</v>
      </c>
      <c r="W1568" t="s">
        <v>44</v>
      </c>
      <c r="X1568" t="s">
        <v>44</v>
      </c>
      <c r="Y1568">
        <v>60</v>
      </c>
      <c r="Z1568" t="s">
        <v>44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60</v>
      </c>
      <c r="AQ1568">
        <f t="shared" si="57"/>
        <v>60</v>
      </c>
      <c r="AR1568" s="5">
        <f>VLOOKUP(F1568,'[1]Cost Sheet'!$C:$D,2,0)</f>
        <v>116.69999999999999</v>
      </c>
      <c r="AS1568" s="5">
        <f t="shared" si="56"/>
        <v>7001.9999999999991</v>
      </c>
    </row>
    <row r="1569" spans="1:45" x14ac:dyDescent="0.3">
      <c r="A1569" s="1">
        <v>45900.963888888888</v>
      </c>
      <c r="B1569" t="s">
        <v>1473</v>
      </c>
      <c r="C1569" t="s">
        <v>1474</v>
      </c>
      <c r="D1569" t="s">
        <v>999</v>
      </c>
      <c r="E1569" t="s">
        <v>999</v>
      </c>
      <c r="F1569" t="s">
        <v>1949</v>
      </c>
      <c r="G1569" t="s">
        <v>1000</v>
      </c>
      <c r="H1569" t="s">
        <v>635</v>
      </c>
      <c r="I1569" t="s">
        <v>43</v>
      </c>
      <c r="N1569">
        <v>294</v>
      </c>
      <c r="O1569">
        <v>0</v>
      </c>
      <c r="P1569">
        <v>0</v>
      </c>
      <c r="Q1569" t="s">
        <v>44</v>
      </c>
      <c r="R1569" t="s">
        <v>44</v>
      </c>
      <c r="S1569" t="s">
        <v>44</v>
      </c>
      <c r="T1569" t="s">
        <v>44</v>
      </c>
      <c r="U1569" t="s">
        <v>44</v>
      </c>
      <c r="V1569">
        <v>59</v>
      </c>
      <c r="W1569" t="s">
        <v>44</v>
      </c>
      <c r="X1569" t="s">
        <v>44</v>
      </c>
      <c r="Y1569">
        <v>59</v>
      </c>
      <c r="Z1569" t="s">
        <v>44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59</v>
      </c>
      <c r="AQ1569">
        <f t="shared" si="57"/>
        <v>59</v>
      </c>
      <c r="AR1569" s="5">
        <f>VLOOKUP(F1569,'[1]Cost Sheet'!$C:$D,2,0)</f>
        <v>106.44999999999999</v>
      </c>
      <c r="AS1569" s="5">
        <f t="shared" si="56"/>
        <v>6280.5499999999993</v>
      </c>
    </row>
    <row r="1570" spans="1:45" x14ac:dyDescent="0.3">
      <c r="A1570" s="1">
        <v>45900.963888888888</v>
      </c>
      <c r="B1570" t="s">
        <v>1473</v>
      </c>
      <c r="C1570" t="s">
        <v>1474</v>
      </c>
      <c r="D1570" t="s">
        <v>1001</v>
      </c>
      <c r="E1570" t="s">
        <v>1001</v>
      </c>
      <c r="F1570" t="s">
        <v>1950</v>
      </c>
      <c r="G1570" t="s">
        <v>1002</v>
      </c>
      <c r="H1570" t="s">
        <v>635</v>
      </c>
      <c r="I1570" t="s">
        <v>43</v>
      </c>
      <c r="N1570">
        <v>517</v>
      </c>
      <c r="O1570">
        <v>0</v>
      </c>
      <c r="P1570">
        <v>0</v>
      </c>
      <c r="Q1570" t="s">
        <v>44</v>
      </c>
      <c r="R1570" t="s">
        <v>44</v>
      </c>
      <c r="S1570" t="s">
        <v>44</v>
      </c>
      <c r="T1570" t="s">
        <v>44</v>
      </c>
      <c r="U1570" t="s">
        <v>44</v>
      </c>
      <c r="V1570">
        <v>59</v>
      </c>
      <c r="W1570" t="s">
        <v>44</v>
      </c>
      <c r="X1570" t="s">
        <v>44</v>
      </c>
      <c r="Y1570">
        <v>59</v>
      </c>
      <c r="Z1570" t="s">
        <v>44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59</v>
      </c>
      <c r="AQ1570">
        <f t="shared" si="57"/>
        <v>59</v>
      </c>
      <c r="AR1570" s="5">
        <f>VLOOKUP(F1570,'[1]Cost Sheet'!$C:$D,2,0)</f>
        <v>152.38000000000002</v>
      </c>
      <c r="AS1570" s="5">
        <f t="shared" si="56"/>
        <v>8990.4200000000019</v>
      </c>
    </row>
    <row r="1571" spans="1:45" x14ac:dyDescent="0.3">
      <c r="A1571" s="1">
        <v>45900.963888888888</v>
      </c>
      <c r="B1571" t="s">
        <v>1473</v>
      </c>
      <c r="C1571" t="s">
        <v>1474</v>
      </c>
      <c r="D1571" t="s">
        <v>1005</v>
      </c>
      <c r="E1571" t="s">
        <v>1005</v>
      </c>
      <c r="F1571" t="s">
        <v>1952</v>
      </c>
      <c r="G1571" t="s">
        <v>1006</v>
      </c>
      <c r="H1571" t="s">
        <v>635</v>
      </c>
      <c r="I1571" t="s">
        <v>43</v>
      </c>
      <c r="N1571">
        <v>280</v>
      </c>
      <c r="O1571">
        <v>0</v>
      </c>
      <c r="P1571">
        <v>0</v>
      </c>
      <c r="Q1571" t="s">
        <v>44</v>
      </c>
      <c r="R1571" t="s">
        <v>44</v>
      </c>
      <c r="S1571" t="s">
        <v>44</v>
      </c>
      <c r="T1571" t="s">
        <v>44</v>
      </c>
      <c r="U1571" t="s">
        <v>44</v>
      </c>
      <c r="V1571">
        <v>60</v>
      </c>
      <c r="W1571" t="s">
        <v>44</v>
      </c>
      <c r="X1571" t="s">
        <v>44</v>
      </c>
      <c r="Y1571">
        <v>60</v>
      </c>
      <c r="Z1571" t="s">
        <v>44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60</v>
      </c>
      <c r="AQ1571">
        <f t="shared" si="57"/>
        <v>60</v>
      </c>
      <c r="AR1571" s="5">
        <f>VLOOKUP(F1571,'[1]Cost Sheet'!$C:$D,2,0)</f>
        <v>28.3</v>
      </c>
      <c r="AS1571" s="5">
        <f t="shared" si="56"/>
        <v>1698</v>
      </c>
    </row>
    <row r="1572" spans="1:45" x14ac:dyDescent="0.3">
      <c r="A1572" s="1">
        <v>45900.963888888888</v>
      </c>
      <c r="B1572" t="s">
        <v>1473</v>
      </c>
      <c r="C1572" t="s">
        <v>1474</v>
      </c>
      <c r="D1572" t="s">
        <v>1009</v>
      </c>
      <c r="E1572" t="s">
        <v>1009</v>
      </c>
      <c r="F1572" t="s">
        <v>1954</v>
      </c>
      <c r="G1572" t="s">
        <v>1010</v>
      </c>
      <c r="H1572" t="s">
        <v>635</v>
      </c>
      <c r="I1572" t="s">
        <v>43</v>
      </c>
      <c r="N1572">
        <v>550</v>
      </c>
      <c r="O1572">
        <v>0</v>
      </c>
      <c r="P1572">
        <v>0</v>
      </c>
      <c r="Q1572" t="s">
        <v>44</v>
      </c>
      <c r="R1572" t="s">
        <v>44</v>
      </c>
      <c r="S1572" t="s">
        <v>44</v>
      </c>
      <c r="T1572" t="s">
        <v>44</v>
      </c>
      <c r="U1572" t="s">
        <v>44</v>
      </c>
      <c r="V1572">
        <v>59</v>
      </c>
      <c r="W1572" t="s">
        <v>44</v>
      </c>
      <c r="X1572" t="s">
        <v>44</v>
      </c>
      <c r="Y1572">
        <v>59</v>
      </c>
      <c r="Z1572" t="s">
        <v>44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59</v>
      </c>
      <c r="AQ1572">
        <f t="shared" si="57"/>
        <v>59</v>
      </c>
      <c r="AR1572" s="5">
        <f>VLOOKUP(F1572,'[1]Cost Sheet'!$C:$D,2,0)</f>
        <v>50.08</v>
      </c>
      <c r="AS1572" s="5">
        <f t="shared" si="56"/>
        <v>2954.72</v>
      </c>
    </row>
    <row r="1573" spans="1:45" x14ac:dyDescent="0.3">
      <c r="A1573" s="1">
        <v>45900.963888888888</v>
      </c>
      <c r="B1573" t="s">
        <v>1473</v>
      </c>
      <c r="C1573" t="s">
        <v>1474</v>
      </c>
      <c r="D1573" t="s">
        <v>1011</v>
      </c>
      <c r="E1573" t="s">
        <v>1011</v>
      </c>
      <c r="F1573" t="s">
        <v>1955</v>
      </c>
      <c r="G1573" t="s">
        <v>1012</v>
      </c>
      <c r="H1573" t="s">
        <v>635</v>
      </c>
      <c r="I1573" t="s">
        <v>43</v>
      </c>
      <c r="N1573">
        <v>599</v>
      </c>
      <c r="O1573">
        <v>0</v>
      </c>
      <c r="P1573">
        <v>0</v>
      </c>
      <c r="Q1573" t="s">
        <v>44</v>
      </c>
      <c r="R1573" t="s">
        <v>44</v>
      </c>
      <c r="S1573" t="s">
        <v>44</v>
      </c>
      <c r="T1573" t="s">
        <v>44</v>
      </c>
      <c r="U1573" t="s">
        <v>44</v>
      </c>
      <c r="V1573">
        <v>60</v>
      </c>
      <c r="W1573" t="s">
        <v>44</v>
      </c>
      <c r="X1573" t="s">
        <v>44</v>
      </c>
      <c r="Y1573">
        <v>60</v>
      </c>
      <c r="Z1573" t="s">
        <v>44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60</v>
      </c>
      <c r="AQ1573">
        <f t="shared" si="57"/>
        <v>60</v>
      </c>
      <c r="AR1573" s="5">
        <f>VLOOKUP(F1573,'[1]Cost Sheet'!$C:$D,2,0)</f>
        <v>105.05000000000001</v>
      </c>
      <c r="AS1573" s="5">
        <f t="shared" si="56"/>
        <v>6303.0000000000009</v>
      </c>
    </row>
    <row r="1574" spans="1:45" x14ac:dyDescent="0.3">
      <c r="A1574" s="1">
        <v>45900.963888888888</v>
      </c>
      <c r="B1574" t="s">
        <v>1473</v>
      </c>
      <c r="C1574" t="s">
        <v>1474</v>
      </c>
      <c r="D1574" t="s">
        <v>1015</v>
      </c>
      <c r="E1574" t="s">
        <v>1015</v>
      </c>
      <c r="F1574" t="s">
        <v>1957</v>
      </c>
      <c r="G1574" t="s">
        <v>1016</v>
      </c>
      <c r="H1574" t="s">
        <v>635</v>
      </c>
      <c r="I1574" t="s">
        <v>43</v>
      </c>
      <c r="N1574">
        <v>514</v>
      </c>
      <c r="O1574">
        <v>0</v>
      </c>
      <c r="P1574">
        <v>0</v>
      </c>
      <c r="Q1574" t="s">
        <v>44</v>
      </c>
      <c r="R1574" t="s">
        <v>44</v>
      </c>
      <c r="S1574" t="s">
        <v>44</v>
      </c>
      <c r="T1574" t="s">
        <v>44</v>
      </c>
      <c r="U1574" t="s">
        <v>44</v>
      </c>
      <c r="V1574">
        <v>51</v>
      </c>
      <c r="W1574" t="s">
        <v>44</v>
      </c>
      <c r="X1574" t="s">
        <v>44</v>
      </c>
      <c r="Y1574">
        <v>51</v>
      </c>
      <c r="Z1574" t="s">
        <v>44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51</v>
      </c>
      <c r="AQ1574">
        <f t="shared" si="57"/>
        <v>51</v>
      </c>
      <c r="AR1574" s="5">
        <f>VLOOKUP(F1574,'[1]Cost Sheet'!$C:$D,2,0)</f>
        <v>96.77</v>
      </c>
      <c r="AS1574" s="5">
        <f t="shared" si="56"/>
        <v>4935.2699999999995</v>
      </c>
    </row>
    <row r="1575" spans="1:45" x14ac:dyDescent="0.3">
      <c r="A1575" s="1">
        <v>45900.963888888888</v>
      </c>
      <c r="B1575" t="s">
        <v>1473</v>
      </c>
      <c r="C1575" t="s">
        <v>1474</v>
      </c>
      <c r="D1575" t="s">
        <v>1019</v>
      </c>
      <c r="E1575" t="s">
        <v>1019</v>
      </c>
      <c r="F1575" t="s">
        <v>1959</v>
      </c>
      <c r="G1575" t="s">
        <v>1020</v>
      </c>
      <c r="H1575" t="s">
        <v>635</v>
      </c>
      <c r="I1575" t="s">
        <v>43</v>
      </c>
      <c r="N1575">
        <v>933</v>
      </c>
      <c r="O1575">
        <v>0</v>
      </c>
      <c r="P1575">
        <v>0</v>
      </c>
      <c r="Q1575" t="s">
        <v>44</v>
      </c>
      <c r="R1575" t="s">
        <v>44</v>
      </c>
      <c r="S1575" t="s">
        <v>44</v>
      </c>
      <c r="T1575" t="s">
        <v>44</v>
      </c>
      <c r="U1575" t="s">
        <v>44</v>
      </c>
      <c r="V1575">
        <v>65</v>
      </c>
      <c r="W1575" t="s">
        <v>44</v>
      </c>
      <c r="X1575" t="s">
        <v>44</v>
      </c>
      <c r="Y1575">
        <v>65</v>
      </c>
      <c r="Z1575" t="s">
        <v>44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65</v>
      </c>
      <c r="AQ1575">
        <f t="shared" si="57"/>
        <v>65</v>
      </c>
      <c r="AR1575" s="5">
        <f>VLOOKUP(F1575,'[1]Cost Sheet'!$C:$D,2,0)</f>
        <v>45.474000000000004</v>
      </c>
      <c r="AS1575" s="5">
        <f t="shared" si="56"/>
        <v>2955.8100000000004</v>
      </c>
    </row>
    <row r="1576" spans="1:45" x14ac:dyDescent="0.3">
      <c r="A1576" s="1">
        <v>45900.963888888888</v>
      </c>
      <c r="B1576" t="s">
        <v>1473</v>
      </c>
      <c r="C1576" t="s">
        <v>1474</v>
      </c>
      <c r="D1576" t="s">
        <v>1469</v>
      </c>
      <c r="E1576" t="s">
        <v>1469</v>
      </c>
      <c r="F1576" t="s">
        <v>2183</v>
      </c>
      <c r="G1576" t="s">
        <v>1470</v>
      </c>
      <c r="H1576" t="s">
        <v>635</v>
      </c>
      <c r="I1576" t="s">
        <v>43</v>
      </c>
      <c r="N1576">
        <v>491</v>
      </c>
      <c r="O1576">
        <v>0</v>
      </c>
      <c r="P1576">
        <v>0</v>
      </c>
      <c r="Q1576" t="s">
        <v>44</v>
      </c>
      <c r="R1576" t="s">
        <v>44</v>
      </c>
      <c r="S1576" t="s">
        <v>44</v>
      </c>
      <c r="T1576" t="s">
        <v>44</v>
      </c>
      <c r="U1576" t="s">
        <v>44</v>
      </c>
      <c r="V1576">
        <v>13</v>
      </c>
      <c r="W1576" t="s">
        <v>44</v>
      </c>
      <c r="X1576" t="s">
        <v>44</v>
      </c>
      <c r="Y1576">
        <v>13</v>
      </c>
      <c r="Z1576" t="s">
        <v>44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13</v>
      </c>
      <c r="AQ1576">
        <f t="shared" si="57"/>
        <v>13</v>
      </c>
      <c r="AR1576" s="5">
        <f>VLOOKUP(F1576,'[1]Cost Sheet'!$C:$D,2,0)</f>
        <v>132.01</v>
      </c>
      <c r="AS1576" s="5">
        <f t="shared" si="56"/>
        <v>1716.1299999999999</v>
      </c>
    </row>
    <row r="1577" spans="1:45" x14ac:dyDescent="0.3">
      <c r="A1577" s="1">
        <v>45900.963888888888</v>
      </c>
      <c r="B1577" t="s">
        <v>1473</v>
      </c>
      <c r="C1577" t="s">
        <v>1474</v>
      </c>
      <c r="D1577" t="s">
        <v>1023</v>
      </c>
      <c r="E1577" t="s">
        <v>1023</v>
      </c>
      <c r="F1577" t="s">
        <v>1961</v>
      </c>
      <c r="G1577" t="s">
        <v>1024</v>
      </c>
      <c r="H1577" t="s">
        <v>635</v>
      </c>
      <c r="I1577" t="s">
        <v>43</v>
      </c>
      <c r="N1577">
        <v>642</v>
      </c>
      <c r="O1577">
        <v>0</v>
      </c>
      <c r="P1577">
        <v>0</v>
      </c>
      <c r="Q1577" t="s">
        <v>44</v>
      </c>
      <c r="R1577" t="s">
        <v>44</v>
      </c>
      <c r="S1577" t="s">
        <v>44</v>
      </c>
      <c r="T1577" t="s">
        <v>44</v>
      </c>
      <c r="U1577" t="s">
        <v>44</v>
      </c>
      <c r="V1577">
        <v>17</v>
      </c>
      <c r="W1577" t="s">
        <v>44</v>
      </c>
      <c r="X1577" t="s">
        <v>44</v>
      </c>
      <c r="Y1577">
        <v>17</v>
      </c>
      <c r="Z1577" t="s">
        <v>44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17</v>
      </c>
      <c r="AQ1577">
        <f t="shared" si="57"/>
        <v>17</v>
      </c>
      <c r="AR1577" s="5">
        <f>VLOOKUP(F1577,'[1]Cost Sheet'!$C:$D,2,0)</f>
        <v>51.93</v>
      </c>
      <c r="AS1577" s="5">
        <f t="shared" si="56"/>
        <v>882.81</v>
      </c>
    </row>
    <row r="1578" spans="1:45" x14ac:dyDescent="0.3">
      <c r="A1578" s="1">
        <v>45900.963888888888</v>
      </c>
      <c r="B1578" t="s">
        <v>1473</v>
      </c>
      <c r="C1578" t="s">
        <v>1474</v>
      </c>
      <c r="D1578" t="s">
        <v>1025</v>
      </c>
      <c r="E1578" t="s">
        <v>1025</v>
      </c>
      <c r="F1578" t="s">
        <v>1962</v>
      </c>
      <c r="G1578" t="s">
        <v>1026</v>
      </c>
      <c r="H1578" t="s">
        <v>635</v>
      </c>
      <c r="I1578" t="s">
        <v>43</v>
      </c>
      <c r="N1578">
        <v>290</v>
      </c>
      <c r="O1578">
        <v>0</v>
      </c>
      <c r="P1578">
        <v>0</v>
      </c>
      <c r="Q1578" t="s">
        <v>44</v>
      </c>
      <c r="R1578" t="s">
        <v>44</v>
      </c>
      <c r="S1578" t="s">
        <v>44</v>
      </c>
      <c r="T1578" t="s">
        <v>44</v>
      </c>
      <c r="U1578" t="s">
        <v>44</v>
      </c>
      <c r="V1578">
        <v>24</v>
      </c>
      <c r="W1578" t="s">
        <v>44</v>
      </c>
      <c r="X1578" t="s">
        <v>44</v>
      </c>
      <c r="Y1578">
        <v>24</v>
      </c>
      <c r="Z1578" t="s">
        <v>44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24</v>
      </c>
      <c r="AQ1578">
        <f t="shared" si="57"/>
        <v>24</v>
      </c>
      <c r="AR1578" s="5">
        <f>VLOOKUP(F1578,'[1]Cost Sheet'!$C:$D,2,0)</f>
        <v>50.4</v>
      </c>
      <c r="AS1578" s="5">
        <f t="shared" si="56"/>
        <v>1209.5999999999999</v>
      </c>
    </row>
    <row r="1579" spans="1:45" x14ac:dyDescent="0.3">
      <c r="A1579" s="1">
        <v>45900.963888888888</v>
      </c>
      <c r="B1579" t="s">
        <v>1473</v>
      </c>
      <c r="C1579" t="s">
        <v>1474</v>
      </c>
      <c r="D1579" t="s">
        <v>1027</v>
      </c>
      <c r="E1579" t="s">
        <v>1027</v>
      </c>
      <c r="F1579" t="s">
        <v>1963</v>
      </c>
      <c r="G1579" t="s">
        <v>1028</v>
      </c>
      <c r="H1579" t="s">
        <v>635</v>
      </c>
      <c r="I1579" t="s">
        <v>43</v>
      </c>
      <c r="N1579">
        <v>275</v>
      </c>
      <c r="O1579">
        <v>0</v>
      </c>
      <c r="P1579">
        <v>0</v>
      </c>
      <c r="Q1579" t="s">
        <v>44</v>
      </c>
      <c r="R1579" t="s">
        <v>44</v>
      </c>
      <c r="S1579" t="s">
        <v>44</v>
      </c>
      <c r="T1579" t="s">
        <v>44</v>
      </c>
      <c r="U1579" t="s">
        <v>44</v>
      </c>
      <c r="V1579">
        <v>56</v>
      </c>
      <c r="W1579" t="s">
        <v>44</v>
      </c>
      <c r="X1579" t="s">
        <v>44</v>
      </c>
      <c r="Y1579">
        <v>56</v>
      </c>
      <c r="Z1579" t="s">
        <v>44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56</v>
      </c>
      <c r="AQ1579">
        <f t="shared" si="57"/>
        <v>56</v>
      </c>
      <c r="AR1579" s="5">
        <f>VLOOKUP(F1579,'[1]Cost Sheet'!$C:$D,2,0)</f>
        <v>63.22</v>
      </c>
      <c r="AS1579" s="5">
        <f t="shared" si="56"/>
        <v>3540.3199999999997</v>
      </c>
    </row>
    <row r="1580" spans="1:45" x14ac:dyDescent="0.3">
      <c r="A1580" s="1">
        <v>45900.963888888888</v>
      </c>
      <c r="B1580" t="s">
        <v>1473</v>
      </c>
      <c r="C1580" t="s">
        <v>1474</v>
      </c>
      <c r="D1580" t="s">
        <v>1383</v>
      </c>
      <c r="E1580" t="s">
        <v>1383</v>
      </c>
      <c r="F1580" t="s">
        <v>2138</v>
      </c>
      <c r="G1580" t="s">
        <v>1384</v>
      </c>
      <c r="H1580" t="s">
        <v>635</v>
      </c>
      <c r="I1580" t="s">
        <v>43</v>
      </c>
      <c r="N1580">
        <v>647</v>
      </c>
      <c r="O1580">
        <v>0</v>
      </c>
      <c r="P1580">
        <v>0</v>
      </c>
      <c r="Q1580" t="s">
        <v>44</v>
      </c>
      <c r="R1580" t="s">
        <v>44</v>
      </c>
      <c r="S1580" t="s">
        <v>44</v>
      </c>
      <c r="T1580" t="s">
        <v>44</v>
      </c>
      <c r="U1580" t="s">
        <v>44</v>
      </c>
      <c r="V1580">
        <v>45</v>
      </c>
      <c r="W1580" t="s">
        <v>44</v>
      </c>
      <c r="X1580" t="s">
        <v>44</v>
      </c>
      <c r="Y1580">
        <v>45</v>
      </c>
      <c r="Z1580" t="s">
        <v>44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45</v>
      </c>
      <c r="AQ1580">
        <f t="shared" si="57"/>
        <v>45</v>
      </c>
      <c r="AR1580" s="5">
        <f>VLOOKUP(F1580,'[1]Cost Sheet'!$C:$D,2,0)</f>
        <v>63.836666666666673</v>
      </c>
      <c r="AS1580" s="5">
        <f t="shared" si="56"/>
        <v>2872.65</v>
      </c>
    </row>
    <row r="1581" spans="1:45" x14ac:dyDescent="0.3">
      <c r="A1581" s="1">
        <v>45900.963888888888</v>
      </c>
      <c r="B1581" t="s">
        <v>1473</v>
      </c>
      <c r="C1581" t="s">
        <v>1474</v>
      </c>
      <c r="D1581" t="s">
        <v>1033</v>
      </c>
      <c r="E1581" t="s">
        <v>1033</v>
      </c>
      <c r="F1581" t="s">
        <v>1966</v>
      </c>
      <c r="G1581" t="s">
        <v>1034</v>
      </c>
      <c r="H1581" t="s">
        <v>635</v>
      </c>
      <c r="I1581" t="s">
        <v>43</v>
      </c>
      <c r="N1581">
        <v>634</v>
      </c>
      <c r="O1581">
        <v>0</v>
      </c>
      <c r="P1581">
        <v>0</v>
      </c>
      <c r="Q1581" t="s">
        <v>44</v>
      </c>
      <c r="R1581" t="s">
        <v>44</v>
      </c>
      <c r="S1581" t="s">
        <v>44</v>
      </c>
      <c r="T1581" t="s">
        <v>44</v>
      </c>
      <c r="U1581" t="s">
        <v>44</v>
      </c>
      <c r="V1581">
        <v>25</v>
      </c>
      <c r="W1581" t="s">
        <v>44</v>
      </c>
      <c r="X1581" t="s">
        <v>44</v>
      </c>
      <c r="Y1581">
        <v>25</v>
      </c>
      <c r="Z1581" t="s">
        <v>44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25</v>
      </c>
      <c r="AQ1581">
        <f t="shared" si="57"/>
        <v>25</v>
      </c>
      <c r="AR1581" s="5">
        <f>VLOOKUP(F1581,'[1]Cost Sheet'!$C:$D,2,0)</f>
        <v>64.540000000000006</v>
      </c>
      <c r="AS1581" s="5">
        <f t="shared" si="56"/>
        <v>1613.5000000000002</v>
      </c>
    </row>
    <row r="1582" spans="1:45" x14ac:dyDescent="0.3">
      <c r="A1582" s="1">
        <v>45900.963888888888</v>
      </c>
      <c r="B1582" t="s">
        <v>1473</v>
      </c>
      <c r="C1582" t="s">
        <v>1474</v>
      </c>
      <c r="D1582" t="s">
        <v>1035</v>
      </c>
      <c r="E1582" t="s">
        <v>1035</v>
      </c>
      <c r="F1582" t="s">
        <v>1967</v>
      </c>
      <c r="G1582" t="s">
        <v>1036</v>
      </c>
      <c r="H1582" t="s">
        <v>635</v>
      </c>
      <c r="I1582" t="s">
        <v>43</v>
      </c>
      <c r="N1582">
        <v>549</v>
      </c>
      <c r="O1582">
        <v>0</v>
      </c>
      <c r="P1582">
        <v>0</v>
      </c>
      <c r="Q1582" t="s">
        <v>44</v>
      </c>
      <c r="R1582" t="s">
        <v>44</v>
      </c>
      <c r="S1582" t="s">
        <v>44</v>
      </c>
      <c r="T1582" t="s">
        <v>44</v>
      </c>
      <c r="U1582" t="s">
        <v>44</v>
      </c>
      <c r="V1582">
        <v>31</v>
      </c>
      <c r="W1582" t="s">
        <v>44</v>
      </c>
      <c r="X1582" t="s">
        <v>44</v>
      </c>
      <c r="Y1582">
        <v>31</v>
      </c>
      <c r="Z1582" t="s">
        <v>44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31</v>
      </c>
      <c r="AQ1582">
        <f t="shared" si="57"/>
        <v>31</v>
      </c>
      <c r="AR1582" s="5">
        <f>VLOOKUP(F1582,'[1]Cost Sheet'!$C:$D,2,0)</f>
        <v>114.81</v>
      </c>
      <c r="AS1582" s="5">
        <f t="shared" si="56"/>
        <v>3559.11</v>
      </c>
    </row>
    <row r="1583" spans="1:45" x14ac:dyDescent="0.3">
      <c r="A1583" s="1">
        <v>45900.963888888888</v>
      </c>
      <c r="B1583" t="s">
        <v>1473</v>
      </c>
      <c r="C1583" t="s">
        <v>1474</v>
      </c>
      <c r="D1583" t="s">
        <v>1041</v>
      </c>
      <c r="E1583" t="s">
        <v>1041</v>
      </c>
      <c r="F1583" t="s">
        <v>1970</v>
      </c>
      <c r="G1583" t="s">
        <v>1042</v>
      </c>
      <c r="H1583" t="s">
        <v>635</v>
      </c>
      <c r="I1583" t="s">
        <v>43</v>
      </c>
      <c r="N1583">
        <v>144</v>
      </c>
      <c r="O1583">
        <v>0</v>
      </c>
      <c r="P1583">
        <v>0</v>
      </c>
      <c r="Q1583" t="s">
        <v>44</v>
      </c>
      <c r="R1583" t="s">
        <v>44</v>
      </c>
      <c r="S1583" t="s">
        <v>44</v>
      </c>
      <c r="T1583" t="s">
        <v>44</v>
      </c>
      <c r="U1583" t="s">
        <v>44</v>
      </c>
      <c r="V1583">
        <v>38</v>
      </c>
      <c r="W1583" t="s">
        <v>44</v>
      </c>
      <c r="X1583" t="s">
        <v>44</v>
      </c>
      <c r="Y1583">
        <v>38</v>
      </c>
      <c r="Z1583" t="s">
        <v>44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38</v>
      </c>
      <c r="AQ1583">
        <f t="shared" si="57"/>
        <v>38</v>
      </c>
      <c r="AR1583" s="5">
        <f>VLOOKUP(F1583,'[1]Cost Sheet'!$C:$D,2,0)</f>
        <v>114.81</v>
      </c>
      <c r="AS1583" s="5">
        <f t="shared" si="56"/>
        <v>4362.78</v>
      </c>
    </row>
    <row r="1584" spans="1:45" x14ac:dyDescent="0.3">
      <c r="A1584" s="1">
        <v>45900.963888888888</v>
      </c>
      <c r="B1584" t="s">
        <v>1473</v>
      </c>
      <c r="C1584" t="s">
        <v>1474</v>
      </c>
      <c r="D1584" t="s">
        <v>1043</v>
      </c>
      <c r="E1584" t="s">
        <v>1043</v>
      </c>
      <c r="F1584" t="s">
        <v>1971</v>
      </c>
      <c r="G1584" t="s">
        <v>1044</v>
      </c>
      <c r="H1584" t="s">
        <v>635</v>
      </c>
      <c r="I1584" t="s">
        <v>43</v>
      </c>
      <c r="N1584">
        <v>163</v>
      </c>
      <c r="O1584">
        <v>0</v>
      </c>
      <c r="P1584">
        <v>0</v>
      </c>
      <c r="Q1584" t="s">
        <v>44</v>
      </c>
      <c r="R1584" t="s">
        <v>44</v>
      </c>
      <c r="S1584" t="s">
        <v>44</v>
      </c>
      <c r="T1584" t="s">
        <v>44</v>
      </c>
      <c r="U1584" t="s">
        <v>44</v>
      </c>
      <c r="V1584">
        <v>40</v>
      </c>
      <c r="W1584" t="s">
        <v>44</v>
      </c>
      <c r="X1584" t="s">
        <v>44</v>
      </c>
      <c r="Y1584">
        <v>40</v>
      </c>
      <c r="Z1584" t="s">
        <v>44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40</v>
      </c>
      <c r="AQ1584">
        <f t="shared" si="57"/>
        <v>40</v>
      </c>
      <c r="AR1584" s="5">
        <f>VLOOKUP(F1584,'[1]Cost Sheet'!$C:$D,2,0)</f>
        <v>114.81</v>
      </c>
      <c r="AS1584" s="5">
        <f t="shared" si="56"/>
        <v>4592.3999999999996</v>
      </c>
    </row>
    <row r="1585" spans="1:45" x14ac:dyDescent="0.3">
      <c r="A1585" s="1">
        <v>45900.963888888888</v>
      </c>
      <c r="B1585" t="s">
        <v>1473</v>
      </c>
      <c r="C1585" t="s">
        <v>1474</v>
      </c>
      <c r="D1585" t="s">
        <v>1045</v>
      </c>
      <c r="E1585" t="s">
        <v>1045</v>
      </c>
      <c r="F1585" t="s">
        <v>1972</v>
      </c>
      <c r="G1585" t="s">
        <v>1046</v>
      </c>
      <c r="H1585" t="s">
        <v>635</v>
      </c>
      <c r="I1585" t="s">
        <v>43</v>
      </c>
      <c r="N1585">
        <v>226</v>
      </c>
      <c r="O1585">
        <v>0</v>
      </c>
      <c r="P1585">
        <v>0</v>
      </c>
      <c r="Q1585" t="s">
        <v>44</v>
      </c>
      <c r="R1585" t="s">
        <v>44</v>
      </c>
      <c r="S1585" t="s">
        <v>44</v>
      </c>
      <c r="T1585" t="s">
        <v>44</v>
      </c>
      <c r="U1585" t="s">
        <v>44</v>
      </c>
      <c r="V1585">
        <v>43</v>
      </c>
      <c r="W1585" t="s">
        <v>44</v>
      </c>
      <c r="X1585" t="s">
        <v>44</v>
      </c>
      <c r="Y1585">
        <v>43</v>
      </c>
      <c r="Z1585" t="s">
        <v>44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43</v>
      </c>
      <c r="AQ1585">
        <f t="shared" si="57"/>
        <v>43</v>
      </c>
      <c r="AR1585" s="5">
        <f>VLOOKUP(F1585,'[1]Cost Sheet'!$C:$D,2,0)</f>
        <v>114.81</v>
      </c>
      <c r="AS1585" s="5">
        <f t="shared" si="56"/>
        <v>4936.83</v>
      </c>
    </row>
    <row r="1586" spans="1:45" x14ac:dyDescent="0.3">
      <c r="A1586" s="1">
        <v>45900.963888888888</v>
      </c>
      <c r="B1586" t="s">
        <v>1473</v>
      </c>
      <c r="C1586" t="s">
        <v>1474</v>
      </c>
      <c r="D1586" t="s">
        <v>1047</v>
      </c>
      <c r="E1586" t="s">
        <v>1047</v>
      </c>
      <c r="F1586" t="s">
        <v>1973</v>
      </c>
      <c r="G1586" t="s">
        <v>1048</v>
      </c>
      <c r="H1586" t="s">
        <v>635</v>
      </c>
      <c r="I1586" t="s">
        <v>43</v>
      </c>
      <c r="N1586">
        <v>361</v>
      </c>
      <c r="O1586">
        <v>0</v>
      </c>
      <c r="P1586">
        <v>0</v>
      </c>
      <c r="Q1586" t="s">
        <v>44</v>
      </c>
      <c r="R1586" t="s">
        <v>44</v>
      </c>
      <c r="S1586" t="s">
        <v>44</v>
      </c>
      <c r="T1586" t="s">
        <v>44</v>
      </c>
      <c r="U1586" t="s">
        <v>44</v>
      </c>
      <c r="V1586">
        <v>40</v>
      </c>
      <c r="W1586" t="s">
        <v>44</v>
      </c>
      <c r="X1586" t="s">
        <v>44</v>
      </c>
      <c r="Y1586">
        <v>40</v>
      </c>
      <c r="Z1586" t="s">
        <v>44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40</v>
      </c>
      <c r="AQ1586">
        <f t="shared" si="57"/>
        <v>40</v>
      </c>
      <c r="AR1586" s="5">
        <f>VLOOKUP(F1586,'[1]Cost Sheet'!$C:$D,2,0)</f>
        <v>83.14</v>
      </c>
      <c r="AS1586" s="5">
        <f t="shared" si="56"/>
        <v>3325.6</v>
      </c>
    </row>
    <row r="1587" spans="1:45" x14ac:dyDescent="0.3">
      <c r="A1587" s="1">
        <v>45900.963888888888</v>
      </c>
      <c r="B1587" t="s">
        <v>1473</v>
      </c>
      <c r="C1587" t="s">
        <v>1474</v>
      </c>
      <c r="D1587" t="s">
        <v>1049</v>
      </c>
      <c r="E1587" t="s">
        <v>1049</v>
      </c>
      <c r="F1587" t="s">
        <v>1974</v>
      </c>
      <c r="G1587" t="s">
        <v>1050</v>
      </c>
      <c r="H1587" t="s">
        <v>635</v>
      </c>
      <c r="I1587" t="s">
        <v>43</v>
      </c>
      <c r="N1587">
        <v>362</v>
      </c>
      <c r="O1587">
        <v>0</v>
      </c>
      <c r="P1587">
        <v>0</v>
      </c>
      <c r="Q1587" t="s">
        <v>44</v>
      </c>
      <c r="R1587" t="s">
        <v>44</v>
      </c>
      <c r="S1587" t="s">
        <v>44</v>
      </c>
      <c r="T1587" t="s">
        <v>44</v>
      </c>
      <c r="U1587" t="s">
        <v>44</v>
      </c>
      <c r="V1587">
        <v>42</v>
      </c>
      <c r="W1587" t="s">
        <v>44</v>
      </c>
      <c r="X1587" t="s">
        <v>44</v>
      </c>
      <c r="Y1587">
        <v>42</v>
      </c>
      <c r="Z1587" t="s">
        <v>44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42</v>
      </c>
      <c r="AQ1587">
        <f t="shared" si="57"/>
        <v>42</v>
      </c>
      <c r="AR1587" s="5">
        <f>VLOOKUP(F1587,'[1]Cost Sheet'!$C:$D,2,0)</f>
        <v>83.14</v>
      </c>
      <c r="AS1587" s="5">
        <f t="shared" si="56"/>
        <v>3491.88</v>
      </c>
    </row>
    <row r="1588" spans="1:45" x14ac:dyDescent="0.3">
      <c r="A1588" s="1">
        <v>45900.963888888888</v>
      </c>
      <c r="B1588" t="s">
        <v>1473</v>
      </c>
      <c r="C1588" t="s">
        <v>1474</v>
      </c>
      <c r="D1588" t="s">
        <v>1051</v>
      </c>
      <c r="E1588" t="s">
        <v>1051</v>
      </c>
      <c r="F1588" t="s">
        <v>1975</v>
      </c>
      <c r="G1588" t="s">
        <v>1052</v>
      </c>
      <c r="H1588" t="s">
        <v>635</v>
      </c>
      <c r="I1588" t="s">
        <v>43</v>
      </c>
      <c r="N1588">
        <v>506</v>
      </c>
      <c r="O1588">
        <v>0</v>
      </c>
      <c r="P1588">
        <v>0</v>
      </c>
      <c r="Q1588" t="s">
        <v>44</v>
      </c>
      <c r="R1588" t="s">
        <v>44</v>
      </c>
      <c r="S1588" t="s">
        <v>44</v>
      </c>
      <c r="T1588" t="s">
        <v>44</v>
      </c>
      <c r="U1588" t="s">
        <v>44</v>
      </c>
      <c r="V1588">
        <v>40</v>
      </c>
      <c r="W1588" t="s">
        <v>44</v>
      </c>
      <c r="X1588" t="s">
        <v>44</v>
      </c>
      <c r="Y1588">
        <v>40</v>
      </c>
      <c r="Z1588" t="s">
        <v>44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40</v>
      </c>
      <c r="AQ1588">
        <f t="shared" si="57"/>
        <v>40</v>
      </c>
      <c r="AR1588" s="5">
        <f>VLOOKUP(F1588,'[1]Cost Sheet'!$C:$D,2,0)</f>
        <v>83.14</v>
      </c>
      <c r="AS1588" s="5">
        <f t="shared" si="56"/>
        <v>3325.6</v>
      </c>
    </row>
    <row r="1589" spans="1:45" x14ac:dyDescent="0.3">
      <c r="A1589" s="1">
        <v>45900.963888888888</v>
      </c>
      <c r="B1589" t="s">
        <v>1473</v>
      </c>
      <c r="C1589" t="s">
        <v>1474</v>
      </c>
      <c r="D1589" t="s">
        <v>682</v>
      </c>
      <c r="E1589" t="s">
        <v>682</v>
      </c>
      <c r="F1589" t="s">
        <v>1794</v>
      </c>
      <c r="G1589" t="s">
        <v>683</v>
      </c>
      <c r="H1589" t="s">
        <v>635</v>
      </c>
      <c r="I1589" t="s">
        <v>43</v>
      </c>
      <c r="N1589">
        <v>315</v>
      </c>
      <c r="O1589">
        <v>0</v>
      </c>
      <c r="P1589">
        <v>0</v>
      </c>
      <c r="Q1589" t="s">
        <v>44</v>
      </c>
      <c r="R1589" t="s">
        <v>44</v>
      </c>
      <c r="S1589" t="s">
        <v>44</v>
      </c>
      <c r="T1589" t="s">
        <v>44</v>
      </c>
      <c r="U1589" t="s">
        <v>44</v>
      </c>
      <c r="V1589">
        <v>40</v>
      </c>
      <c r="W1589" t="s">
        <v>44</v>
      </c>
      <c r="X1589" t="s">
        <v>44</v>
      </c>
      <c r="Y1589">
        <v>40</v>
      </c>
      <c r="Z1589" t="s">
        <v>44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40</v>
      </c>
      <c r="AQ1589">
        <f t="shared" si="57"/>
        <v>40</v>
      </c>
      <c r="AR1589" s="5">
        <f>VLOOKUP(F1589,'[1]Cost Sheet'!$C:$D,2,0)</f>
        <v>83.14</v>
      </c>
      <c r="AS1589" s="5">
        <f t="shared" si="56"/>
        <v>3325.6</v>
      </c>
    </row>
    <row r="1590" spans="1:45" x14ac:dyDescent="0.3">
      <c r="A1590" s="1">
        <v>45900.963888888888</v>
      </c>
      <c r="B1590" t="s">
        <v>1473</v>
      </c>
      <c r="C1590" t="s">
        <v>1474</v>
      </c>
      <c r="D1590" t="s">
        <v>684</v>
      </c>
      <c r="E1590" t="s">
        <v>684</v>
      </c>
      <c r="F1590" t="s">
        <v>1795</v>
      </c>
      <c r="G1590" t="s">
        <v>685</v>
      </c>
      <c r="H1590" t="s">
        <v>635</v>
      </c>
      <c r="I1590" t="s">
        <v>43</v>
      </c>
      <c r="N1590">
        <v>340</v>
      </c>
      <c r="O1590">
        <v>0</v>
      </c>
      <c r="P1590">
        <v>0</v>
      </c>
      <c r="Q1590" t="s">
        <v>44</v>
      </c>
      <c r="R1590" t="s">
        <v>44</v>
      </c>
      <c r="S1590" t="s">
        <v>44</v>
      </c>
      <c r="T1590" t="s">
        <v>44</v>
      </c>
      <c r="U1590" t="s">
        <v>44</v>
      </c>
      <c r="V1590">
        <v>42</v>
      </c>
      <c r="W1590" t="s">
        <v>44</v>
      </c>
      <c r="X1590" t="s">
        <v>44</v>
      </c>
      <c r="Y1590">
        <v>42</v>
      </c>
      <c r="Z1590" t="s">
        <v>44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42</v>
      </c>
      <c r="AQ1590">
        <f t="shared" si="57"/>
        <v>42</v>
      </c>
      <c r="AR1590" s="5">
        <f>VLOOKUP(F1590,'[1]Cost Sheet'!$C:$D,2,0)</f>
        <v>83.14</v>
      </c>
      <c r="AS1590" s="5">
        <f t="shared" si="56"/>
        <v>3491.88</v>
      </c>
    </row>
    <row r="1591" spans="1:45" x14ac:dyDescent="0.3">
      <c r="A1591" s="1">
        <v>45900.963888888888</v>
      </c>
      <c r="B1591" t="s">
        <v>1473</v>
      </c>
      <c r="C1591" t="s">
        <v>1474</v>
      </c>
      <c r="D1591" t="s">
        <v>1055</v>
      </c>
      <c r="E1591" t="s">
        <v>1055</v>
      </c>
      <c r="F1591" t="s">
        <v>1977</v>
      </c>
      <c r="G1591" t="s">
        <v>1056</v>
      </c>
      <c r="H1591" t="s">
        <v>635</v>
      </c>
      <c r="I1591" t="s">
        <v>43</v>
      </c>
      <c r="N1591">
        <v>360</v>
      </c>
      <c r="O1591">
        <v>0</v>
      </c>
      <c r="P1591">
        <v>0</v>
      </c>
      <c r="Q1591" t="s">
        <v>44</v>
      </c>
      <c r="R1591" t="s">
        <v>44</v>
      </c>
      <c r="S1591" t="s">
        <v>44</v>
      </c>
      <c r="T1591" t="s">
        <v>44</v>
      </c>
      <c r="U1591" t="s">
        <v>44</v>
      </c>
      <c r="V1591">
        <v>54</v>
      </c>
      <c r="W1591" t="s">
        <v>44</v>
      </c>
      <c r="X1591" t="s">
        <v>44</v>
      </c>
      <c r="Y1591">
        <v>54</v>
      </c>
      <c r="Z1591" t="s">
        <v>44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54</v>
      </c>
      <c r="AQ1591">
        <f t="shared" si="57"/>
        <v>54</v>
      </c>
      <c r="AR1591" s="5">
        <f>VLOOKUP(F1591,'[1]Cost Sheet'!$C:$D,2,0)</f>
        <v>77.84</v>
      </c>
      <c r="AS1591" s="5">
        <f t="shared" si="56"/>
        <v>4203.3600000000006</v>
      </c>
    </row>
    <row r="1592" spans="1:45" x14ac:dyDescent="0.3">
      <c r="A1592" s="1">
        <v>45900.963888888888</v>
      </c>
      <c r="B1592" t="s">
        <v>1473</v>
      </c>
      <c r="C1592" t="s">
        <v>1474</v>
      </c>
      <c r="D1592" t="s">
        <v>686</v>
      </c>
      <c r="E1592" t="s">
        <v>686</v>
      </c>
      <c r="F1592" t="s">
        <v>1796</v>
      </c>
      <c r="G1592" t="s">
        <v>687</v>
      </c>
      <c r="H1592" t="s">
        <v>635</v>
      </c>
      <c r="I1592" t="s">
        <v>43</v>
      </c>
      <c r="N1592">
        <v>282</v>
      </c>
      <c r="O1592">
        <v>0</v>
      </c>
      <c r="P1592">
        <v>0</v>
      </c>
      <c r="Q1592" t="s">
        <v>44</v>
      </c>
      <c r="R1592" t="s">
        <v>44</v>
      </c>
      <c r="S1592" t="s">
        <v>44</v>
      </c>
      <c r="T1592" t="s">
        <v>44</v>
      </c>
      <c r="U1592" t="s">
        <v>44</v>
      </c>
      <c r="V1592">
        <v>49</v>
      </c>
      <c r="W1592" t="s">
        <v>44</v>
      </c>
      <c r="X1592" t="s">
        <v>44</v>
      </c>
      <c r="Y1592">
        <v>49</v>
      </c>
      <c r="Z1592" t="s">
        <v>44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49</v>
      </c>
      <c r="AQ1592">
        <f t="shared" si="57"/>
        <v>49</v>
      </c>
      <c r="AR1592" s="5">
        <f>VLOOKUP(F1592,'[1]Cost Sheet'!$C:$D,2,0)</f>
        <v>77.84</v>
      </c>
      <c r="AS1592" s="5">
        <f t="shared" si="56"/>
        <v>3814.1600000000003</v>
      </c>
    </row>
    <row r="1593" spans="1:45" x14ac:dyDescent="0.3">
      <c r="A1593" s="1">
        <v>45900.963888888888</v>
      </c>
      <c r="B1593" t="s">
        <v>1473</v>
      </c>
      <c r="C1593" t="s">
        <v>1474</v>
      </c>
      <c r="D1593" t="s">
        <v>1057</v>
      </c>
      <c r="E1593" t="s">
        <v>1057</v>
      </c>
      <c r="F1593" t="s">
        <v>1978</v>
      </c>
      <c r="G1593" t="s">
        <v>1058</v>
      </c>
      <c r="H1593" t="s">
        <v>635</v>
      </c>
      <c r="I1593" t="s">
        <v>43</v>
      </c>
      <c r="N1593">
        <v>242</v>
      </c>
      <c r="O1593">
        <v>0</v>
      </c>
      <c r="P1593">
        <v>0</v>
      </c>
      <c r="Q1593" t="s">
        <v>44</v>
      </c>
      <c r="R1593" t="s">
        <v>44</v>
      </c>
      <c r="S1593" t="s">
        <v>44</v>
      </c>
      <c r="T1593" t="s">
        <v>44</v>
      </c>
      <c r="U1593" t="s">
        <v>44</v>
      </c>
      <c r="V1593">
        <v>49</v>
      </c>
      <c r="W1593" t="s">
        <v>44</v>
      </c>
      <c r="X1593" t="s">
        <v>44</v>
      </c>
      <c r="Y1593">
        <v>49</v>
      </c>
      <c r="Z1593" t="s">
        <v>44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49</v>
      </c>
      <c r="AQ1593">
        <f t="shared" si="57"/>
        <v>49</v>
      </c>
      <c r="AR1593" s="5">
        <f>VLOOKUP(F1593,'[1]Cost Sheet'!$C:$D,2,0)</f>
        <v>78.575999999999993</v>
      </c>
      <c r="AS1593" s="5">
        <f t="shared" si="56"/>
        <v>3850.2239999999997</v>
      </c>
    </row>
    <row r="1594" spans="1:45" x14ac:dyDescent="0.3">
      <c r="A1594" s="1">
        <v>45900.963888888888</v>
      </c>
      <c r="B1594" t="s">
        <v>1473</v>
      </c>
      <c r="C1594" t="s">
        <v>1474</v>
      </c>
      <c r="D1594" t="s">
        <v>1059</v>
      </c>
      <c r="E1594" t="s">
        <v>1059</v>
      </c>
      <c r="F1594" t="s">
        <v>1979</v>
      </c>
      <c r="G1594" t="s">
        <v>1060</v>
      </c>
      <c r="H1594" t="s">
        <v>635</v>
      </c>
      <c r="I1594" t="s">
        <v>43</v>
      </c>
      <c r="N1594">
        <v>356</v>
      </c>
      <c r="O1594">
        <v>0</v>
      </c>
      <c r="P1594">
        <v>0</v>
      </c>
      <c r="Q1594" t="s">
        <v>44</v>
      </c>
      <c r="R1594" t="s">
        <v>44</v>
      </c>
      <c r="S1594" t="s">
        <v>44</v>
      </c>
      <c r="T1594" t="s">
        <v>44</v>
      </c>
      <c r="U1594" t="s">
        <v>44</v>
      </c>
      <c r="V1594">
        <v>55</v>
      </c>
      <c r="W1594" t="s">
        <v>44</v>
      </c>
      <c r="X1594" t="s">
        <v>44</v>
      </c>
      <c r="Y1594">
        <v>55</v>
      </c>
      <c r="Z1594" t="s">
        <v>44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55</v>
      </c>
      <c r="AQ1594">
        <f t="shared" si="57"/>
        <v>55</v>
      </c>
      <c r="AR1594" s="5">
        <f>VLOOKUP(F1594,'[1]Cost Sheet'!$C:$D,2,0)</f>
        <v>78.453333333333333</v>
      </c>
      <c r="AS1594" s="5">
        <f t="shared" si="56"/>
        <v>4314.9333333333334</v>
      </c>
    </row>
    <row r="1595" spans="1:45" x14ac:dyDescent="0.3">
      <c r="A1595" s="1">
        <v>45900.963888888888</v>
      </c>
      <c r="B1595" t="s">
        <v>1473</v>
      </c>
      <c r="C1595" t="s">
        <v>1474</v>
      </c>
      <c r="D1595" t="s">
        <v>688</v>
      </c>
      <c r="E1595" t="s">
        <v>688</v>
      </c>
      <c r="F1595" t="s">
        <v>1797</v>
      </c>
      <c r="G1595" t="s">
        <v>689</v>
      </c>
      <c r="H1595" t="s">
        <v>635</v>
      </c>
      <c r="I1595" t="s">
        <v>43</v>
      </c>
      <c r="N1595">
        <v>234</v>
      </c>
      <c r="O1595">
        <v>0</v>
      </c>
      <c r="P1595">
        <v>0</v>
      </c>
      <c r="Q1595" t="s">
        <v>44</v>
      </c>
      <c r="R1595" t="s">
        <v>44</v>
      </c>
      <c r="S1595" t="s">
        <v>44</v>
      </c>
      <c r="T1595" t="s">
        <v>44</v>
      </c>
      <c r="U1595" t="s">
        <v>44</v>
      </c>
      <c r="V1595">
        <v>56</v>
      </c>
      <c r="W1595" t="s">
        <v>44</v>
      </c>
      <c r="X1595" t="s">
        <v>44</v>
      </c>
      <c r="Y1595">
        <v>56</v>
      </c>
      <c r="Z1595" t="s">
        <v>44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56</v>
      </c>
      <c r="AQ1595">
        <f t="shared" si="57"/>
        <v>56</v>
      </c>
      <c r="AR1595" s="5">
        <f>VLOOKUP(F1595,'[1]Cost Sheet'!$C:$D,2,0)</f>
        <v>78.760000000000005</v>
      </c>
      <c r="AS1595" s="5">
        <f t="shared" si="56"/>
        <v>4410.5600000000004</v>
      </c>
    </row>
    <row r="1596" spans="1:45" x14ac:dyDescent="0.3">
      <c r="A1596" s="1">
        <v>45900.963888888888</v>
      </c>
      <c r="B1596" t="s">
        <v>1473</v>
      </c>
      <c r="C1596" t="s">
        <v>1474</v>
      </c>
      <c r="D1596" t="s">
        <v>1061</v>
      </c>
      <c r="E1596" t="s">
        <v>1061</v>
      </c>
      <c r="F1596" t="s">
        <v>1980</v>
      </c>
      <c r="G1596" t="s">
        <v>1062</v>
      </c>
      <c r="H1596" t="s">
        <v>635</v>
      </c>
      <c r="I1596" t="s">
        <v>43</v>
      </c>
      <c r="N1596">
        <v>468</v>
      </c>
      <c r="O1596">
        <v>0</v>
      </c>
      <c r="P1596">
        <v>0</v>
      </c>
      <c r="Q1596" t="s">
        <v>44</v>
      </c>
      <c r="R1596" t="s">
        <v>44</v>
      </c>
      <c r="S1596" t="s">
        <v>44</v>
      </c>
      <c r="T1596" t="s">
        <v>44</v>
      </c>
      <c r="U1596" t="s">
        <v>44</v>
      </c>
      <c r="V1596">
        <v>56</v>
      </c>
      <c r="W1596" t="s">
        <v>44</v>
      </c>
      <c r="X1596" t="s">
        <v>44</v>
      </c>
      <c r="Y1596">
        <v>56</v>
      </c>
      <c r="Z1596" t="s">
        <v>44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56</v>
      </c>
      <c r="AQ1596">
        <f t="shared" si="57"/>
        <v>56</v>
      </c>
      <c r="AR1596" s="5">
        <f>VLOOKUP(F1596,'[1]Cost Sheet'!$C:$D,2,0)</f>
        <v>79.066666666666677</v>
      </c>
      <c r="AS1596" s="5">
        <f t="shared" si="56"/>
        <v>4427.7333333333336</v>
      </c>
    </row>
    <row r="1597" spans="1:45" x14ac:dyDescent="0.3">
      <c r="A1597" s="1">
        <v>45900.963888888888</v>
      </c>
      <c r="B1597" t="s">
        <v>1473</v>
      </c>
      <c r="C1597" t="s">
        <v>1474</v>
      </c>
      <c r="D1597" t="s">
        <v>690</v>
      </c>
      <c r="E1597" t="s">
        <v>690</v>
      </c>
      <c r="F1597" t="s">
        <v>1798</v>
      </c>
      <c r="G1597" t="s">
        <v>691</v>
      </c>
      <c r="H1597" t="s">
        <v>635</v>
      </c>
      <c r="I1597" t="s">
        <v>43</v>
      </c>
      <c r="N1597">
        <v>350</v>
      </c>
      <c r="O1597">
        <v>0</v>
      </c>
      <c r="P1597">
        <v>0</v>
      </c>
      <c r="Q1597" t="s">
        <v>44</v>
      </c>
      <c r="R1597" t="s">
        <v>44</v>
      </c>
      <c r="S1597" t="s">
        <v>44</v>
      </c>
      <c r="T1597" t="s">
        <v>44</v>
      </c>
      <c r="U1597" t="s">
        <v>44</v>
      </c>
      <c r="V1597">
        <v>56</v>
      </c>
      <c r="W1597" t="s">
        <v>44</v>
      </c>
      <c r="X1597" t="s">
        <v>44</v>
      </c>
      <c r="Y1597">
        <v>56</v>
      </c>
      <c r="Z1597" t="s">
        <v>44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56</v>
      </c>
      <c r="AQ1597">
        <f t="shared" si="57"/>
        <v>56</v>
      </c>
      <c r="AR1597" s="5">
        <f>VLOOKUP(F1597,'[1]Cost Sheet'!$C:$D,2,0)</f>
        <v>77.84</v>
      </c>
      <c r="AS1597" s="5">
        <f t="shared" si="56"/>
        <v>4359.04</v>
      </c>
    </row>
    <row r="1598" spans="1:45" x14ac:dyDescent="0.3">
      <c r="A1598" s="1">
        <v>45900.963888888888</v>
      </c>
      <c r="B1598" t="s">
        <v>1473</v>
      </c>
      <c r="C1598" t="s">
        <v>1474</v>
      </c>
      <c r="D1598" t="s">
        <v>1063</v>
      </c>
      <c r="E1598" t="s">
        <v>1063</v>
      </c>
      <c r="F1598" t="s">
        <v>1981</v>
      </c>
      <c r="G1598" t="s">
        <v>1064</v>
      </c>
      <c r="H1598" t="s">
        <v>635</v>
      </c>
      <c r="I1598" t="s">
        <v>43</v>
      </c>
      <c r="N1598">
        <v>372</v>
      </c>
      <c r="O1598">
        <v>0</v>
      </c>
      <c r="P1598">
        <v>0</v>
      </c>
      <c r="Q1598" t="s">
        <v>44</v>
      </c>
      <c r="R1598" t="s">
        <v>44</v>
      </c>
      <c r="S1598" t="s">
        <v>44</v>
      </c>
      <c r="T1598" t="s">
        <v>44</v>
      </c>
      <c r="U1598" t="s">
        <v>44</v>
      </c>
      <c r="V1598">
        <v>50</v>
      </c>
      <c r="W1598" t="s">
        <v>44</v>
      </c>
      <c r="X1598" t="s">
        <v>44</v>
      </c>
      <c r="Y1598">
        <v>50</v>
      </c>
      <c r="Z1598" t="s">
        <v>44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50</v>
      </c>
      <c r="AQ1598">
        <f t="shared" si="57"/>
        <v>50</v>
      </c>
      <c r="AR1598" s="5">
        <f>VLOOKUP(F1598,'[1]Cost Sheet'!$C:$D,2,0)</f>
        <v>77.84</v>
      </c>
      <c r="AS1598" s="5">
        <f t="shared" si="56"/>
        <v>3892</v>
      </c>
    </row>
    <row r="1599" spans="1:45" x14ac:dyDescent="0.3">
      <c r="A1599" s="1">
        <v>45900.963888888888</v>
      </c>
      <c r="B1599" t="s">
        <v>1473</v>
      </c>
      <c r="C1599" t="s">
        <v>1474</v>
      </c>
      <c r="D1599" t="s">
        <v>1065</v>
      </c>
      <c r="E1599" t="s">
        <v>1065</v>
      </c>
      <c r="F1599" t="s">
        <v>1982</v>
      </c>
      <c r="G1599" t="s">
        <v>1066</v>
      </c>
      <c r="H1599" t="s">
        <v>635</v>
      </c>
      <c r="I1599" t="s">
        <v>43</v>
      </c>
      <c r="N1599">
        <v>627</v>
      </c>
      <c r="O1599">
        <v>0</v>
      </c>
      <c r="P1599">
        <v>0</v>
      </c>
      <c r="Q1599" t="s">
        <v>44</v>
      </c>
      <c r="R1599" t="s">
        <v>44</v>
      </c>
      <c r="S1599" t="s">
        <v>44</v>
      </c>
      <c r="T1599" t="s">
        <v>44</v>
      </c>
      <c r="U1599" t="s">
        <v>44</v>
      </c>
      <c r="V1599">
        <v>56</v>
      </c>
      <c r="W1599" t="s">
        <v>44</v>
      </c>
      <c r="X1599" t="s">
        <v>44</v>
      </c>
      <c r="Y1599">
        <v>56</v>
      </c>
      <c r="Z1599" t="s">
        <v>44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56</v>
      </c>
      <c r="AQ1599">
        <f t="shared" si="57"/>
        <v>56</v>
      </c>
      <c r="AR1599" s="5">
        <f>VLOOKUP(F1599,'[1]Cost Sheet'!$C:$D,2,0)</f>
        <v>79.066666666666677</v>
      </c>
      <c r="AS1599" s="5">
        <f t="shared" si="56"/>
        <v>4427.7333333333336</v>
      </c>
    </row>
    <row r="1600" spans="1:45" x14ac:dyDescent="0.3">
      <c r="A1600" s="1">
        <v>45900.963888888888</v>
      </c>
      <c r="B1600" t="s">
        <v>1473</v>
      </c>
      <c r="C1600" t="s">
        <v>1474</v>
      </c>
      <c r="D1600" t="s">
        <v>1067</v>
      </c>
      <c r="E1600" t="s">
        <v>1067</v>
      </c>
      <c r="F1600" t="s">
        <v>1983</v>
      </c>
      <c r="G1600" t="s">
        <v>1068</v>
      </c>
      <c r="H1600" t="s">
        <v>635</v>
      </c>
      <c r="I1600" t="s">
        <v>43</v>
      </c>
      <c r="N1600">
        <v>259</v>
      </c>
      <c r="O1600">
        <v>0</v>
      </c>
      <c r="P1600">
        <v>0</v>
      </c>
      <c r="Q1600" t="s">
        <v>44</v>
      </c>
      <c r="R1600" t="s">
        <v>44</v>
      </c>
      <c r="S1600" t="s">
        <v>44</v>
      </c>
      <c r="T1600" t="s">
        <v>44</v>
      </c>
      <c r="U1600" t="s">
        <v>44</v>
      </c>
      <c r="V1600">
        <v>50</v>
      </c>
      <c r="W1600" t="s">
        <v>44</v>
      </c>
      <c r="X1600" t="s">
        <v>44</v>
      </c>
      <c r="Y1600">
        <v>50</v>
      </c>
      <c r="Z1600" t="s">
        <v>44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50</v>
      </c>
      <c r="AQ1600">
        <f t="shared" si="57"/>
        <v>50</v>
      </c>
      <c r="AR1600" s="5">
        <f>VLOOKUP(F1600,'[1]Cost Sheet'!$C:$D,2,0)</f>
        <v>77.84</v>
      </c>
      <c r="AS1600" s="5">
        <f t="shared" si="56"/>
        <v>3892</v>
      </c>
    </row>
    <row r="1601" spans="1:45" x14ac:dyDescent="0.3">
      <c r="A1601" s="1">
        <v>45900.963888888888</v>
      </c>
      <c r="B1601" t="s">
        <v>1473</v>
      </c>
      <c r="C1601" t="s">
        <v>1474</v>
      </c>
      <c r="D1601" t="s">
        <v>1069</v>
      </c>
      <c r="E1601" t="s">
        <v>1069</v>
      </c>
      <c r="F1601" t="s">
        <v>1984</v>
      </c>
      <c r="G1601" t="s">
        <v>1070</v>
      </c>
      <c r="H1601" t="s">
        <v>635</v>
      </c>
      <c r="I1601" t="s">
        <v>43</v>
      </c>
      <c r="N1601">
        <v>323</v>
      </c>
      <c r="O1601">
        <v>0</v>
      </c>
      <c r="P1601">
        <v>0</v>
      </c>
      <c r="Q1601" t="s">
        <v>44</v>
      </c>
      <c r="R1601" t="s">
        <v>44</v>
      </c>
      <c r="S1601" t="s">
        <v>44</v>
      </c>
      <c r="T1601" t="s">
        <v>44</v>
      </c>
      <c r="U1601" t="s">
        <v>44</v>
      </c>
      <c r="V1601">
        <v>57</v>
      </c>
      <c r="W1601" t="s">
        <v>44</v>
      </c>
      <c r="X1601" t="s">
        <v>44</v>
      </c>
      <c r="Y1601">
        <v>57</v>
      </c>
      <c r="Z1601" t="s">
        <v>44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57</v>
      </c>
      <c r="AQ1601">
        <f t="shared" si="57"/>
        <v>57</v>
      </c>
      <c r="AR1601" s="5">
        <f>VLOOKUP(F1601,'[1]Cost Sheet'!$C:$D,2,0)</f>
        <v>78.760000000000005</v>
      </c>
      <c r="AS1601" s="5">
        <f t="shared" si="56"/>
        <v>4489.3200000000006</v>
      </c>
    </row>
    <row r="1602" spans="1:45" x14ac:dyDescent="0.3">
      <c r="A1602" s="1">
        <v>45900.963888888888</v>
      </c>
      <c r="B1602" t="s">
        <v>1473</v>
      </c>
      <c r="C1602" t="s">
        <v>1474</v>
      </c>
      <c r="D1602" t="s">
        <v>1071</v>
      </c>
      <c r="E1602" t="s">
        <v>1071</v>
      </c>
      <c r="F1602" t="s">
        <v>1985</v>
      </c>
      <c r="G1602" t="s">
        <v>1072</v>
      </c>
      <c r="H1602" t="s">
        <v>635</v>
      </c>
      <c r="I1602" t="s">
        <v>43</v>
      </c>
      <c r="N1602">
        <v>345</v>
      </c>
      <c r="O1602">
        <v>0</v>
      </c>
      <c r="P1602">
        <v>0</v>
      </c>
      <c r="Q1602" t="s">
        <v>44</v>
      </c>
      <c r="R1602" t="s">
        <v>44</v>
      </c>
      <c r="S1602" t="s">
        <v>44</v>
      </c>
      <c r="T1602" t="s">
        <v>44</v>
      </c>
      <c r="U1602" t="s">
        <v>44</v>
      </c>
      <c r="V1602">
        <v>56</v>
      </c>
      <c r="W1602" t="s">
        <v>44</v>
      </c>
      <c r="X1602" t="s">
        <v>44</v>
      </c>
      <c r="Y1602">
        <v>56</v>
      </c>
      <c r="Z1602" t="s">
        <v>44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56</v>
      </c>
      <c r="AQ1602">
        <f t="shared" si="57"/>
        <v>56</v>
      </c>
      <c r="AR1602" s="5">
        <f>VLOOKUP(F1602,'[1]Cost Sheet'!$C:$D,2,0)</f>
        <v>77.84</v>
      </c>
      <c r="AS1602" s="5">
        <f t="shared" si="56"/>
        <v>4359.04</v>
      </c>
    </row>
    <row r="1603" spans="1:45" x14ac:dyDescent="0.3">
      <c r="A1603" s="1">
        <v>45900.963888888888</v>
      </c>
      <c r="B1603" t="s">
        <v>1473</v>
      </c>
      <c r="C1603" t="s">
        <v>1474</v>
      </c>
      <c r="D1603" t="s">
        <v>1073</v>
      </c>
      <c r="E1603" t="s">
        <v>1073</v>
      </c>
      <c r="F1603" t="s">
        <v>1986</v>
      </c>
      <c r="G1603" t="s">
        <v>1074</v>
      </c>
      <c r="H1603" t="s">
        <v>635</v>
      </c>
      <c r="I1603" t="s">
        <v>43</v>
      </c>
      <c r="N1603">
        <v>312</v>
      </c>
      <c r="O1603">
        <v>0</v>
      </c>
      <c r="P1603">
        <v>0</v>
      </c>
      <c r="Q1603" t="s">
        <v>44</v>
      </c>
      <c r="R1603" t="s">
        <v>44</v>
      </c>
      <c r="S1603" t="s">
        <v>44</v>
      </c>
      <c r="T1603" t="s">
        <v>44</v>
      </c>
      <c r="U1603" t="s">
        <v>44</v>
      </c>
      <c r="V1603">
        <v>57</v>
      </c>
      <c r="W1603" t="s">
        <v>44</v>
      </c>
      <c r="X1603" t="s">
        <v>44</v>
      </c>
      <c r="Y1603">
        <v>57</v>
      </c>
      <c r="Z1603" t="s">
        <v>44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57</v>
      </c>
      <c r="AQ1603">
        <f t="shared" si="57"/>
        <v>57</v>
      </c>
      <c r="AR1603" s="5">
        <f>VLOOKUP(F1603,'[1]Cost Sheet'!$C:$D,2,0)</f>
        <v>79.679999999999993</v>
      </c>
      <c r="AS1603" s="5">
        <f t="shared" ref="AS1603:AS1666" si="58">AQ1603*AR1603</f>
        <v>4541.7599999999993</v>
      </c>
    </row>
    <row r="1604" spans="1:45" x14ac:dyDescent="0.3">
      <c r="A1604" s="1">
        <v>45900.963888888888</v>
      </c>
      <c r="B1604" t="s">
        <v>1473</v>
      </c>
      <c r="C1604" t="s">
        <v>1474</v>
      </c>
      <c r="D1604" t="s">
        <v>1075</v>
      </c>
      <c r="E1604" t="s">
        <v>1075</v>
      </c>
      <c r="F1604" t="s">
        <v>1987</v>
      </c>
      <c r="G1604" t="s">
        <v>1076</v>
      </c>
      <c r="H1604" t="s">
        <v>635</v>
      </c>
      <c r="I1604" t="s">
        <v>43</v>
      </c>
      <c r="N1604">
        <v>511</v>
      </c>
      <c r="O1604">
        <v>0</v>
      </c>
      <c r="P1604">
        <v>0</v>
      </c>
      <c r="Q1604" t="s">
        <v>44</v>
      </c>
      <c r="R1604" t="s">
        <v>44</v>
      </c>
      <c r="S1604" t="s">
        <v>44</v>
      </c>
      <c r="T1604" t="s">
        <v>44</v>
      </c>
      <c r="U1604" t="s">
        <v>44</v>
      </c>
      <c r="V1604">
        <v>58</v>
      </c>
      <c r="W1604" t="s">
        <v>44</v>
      </c>
      <c r="X1604" t="s">
        <v>44</v>
      </c>
      <c r="Y1604">
        <v>58</v>
      </c>
      <c r="Z1604" t="s">
        <v>44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58</v>
      </c>
      <c r="AQ1604">
        <f t="shared" si="57"/>
        <v>58</v>
      </c>
      <c r="AR1604" s="5">
        <f>VLOOKUP(F1604,'[1]Cost Sheet'!$C:$D,2,0)</f>
        <v>87.9</v>
      </c>
      <c r="AS1604" s="5">
        <f t="shared" si="58"/>
        <v>5098.2000000000007</v>
      </c>
    </row>
    <row r="1605" spans="1:45" x14ac:dyDescent="0.3">
      <c r="A1605" s="1">
        <v>45900.963888888888</v>
      </c>
      <c r="B1605" t="s">
        <v>1473</v>
      </c>
      <c r="C1605" t="s">
        <v>1474</v>
      </c>
      <c r="D1605" t="s">
        <v>1077</v>
      </c>
      <c r="E1605" t="s">
        <v>1077</v>
      </c>
      <c r="F1605" t="s">
        <v>1988</v>
      </c>
      <c r="G1605" t="s">
        <v>1078</v>
      </c>
      <c r="H1605" t="s">
        <v>635</v>
      </c>
      <c r="I1605" t="s">
        <v>43</v>
      </c>
      <c r="N1605">
        <v>218</v>
      </c>
      <c r="O1605">
        <v>0</v>
      </c>
      <c r="P1605">
        <v>0</v>
      </c>
      <c r="Q1605" t="s">
        <v>44</v>
      </c>
      <c r="R1605" t="s">
        <v>44</v>
      </c>
      <c r="S1605" t="s">
        <v>44</v>
      </c>
      <c r="T1605" t="s">
        <v>44</v>
      </c>
      <c r="U1605" t="s">
        <v>44</v>
      </c>
      <c r="V1605">
        <v>59</v>
      </c>
      <c r="W1605" t="s">
        <v>44</v>
      </c>
      <c r="X1605" t="s">
        <v>44</v>
      </c>
      <c r="Y1605">
        <v>59</v>
      </c>
      <c r="Z1605" t="s">
        <v>44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59</v>
      </c>
      <c r="AQ1605">
        <f t="shared" si="57"/>
        <v>59</v>
      </c>
      <c r="AR1605" s="5">
        <f>VLOOKUP(F1605,'[1]Cost Sheet'!$C:$D,2,0)</f>
        <v>87.9</v>
      </c>
      <c r="AS1605" s="5">
        <f t="shared" si="58"/>
        <v>5186.1000000000004</v>
      </c>
    </row>
    <row r="1606" spans="1:45" x14ac:dyDescent="0.3">
      <c r="A1606" s="1">
        <v>45900.963888888888</v>
      </c>
      <c r="B1606" t="s">
        <v>1473</v>
      </c>
      <c r="C1606" t="s">
        <v>1474</v>
      </c>
      <c r="D1606" t="s">
        <v>1079</v>
      </c>
      <c r="E1606" t="s">
        <v>1079</v>
      </c>
      <c r="F1606" t="s">
        <v>1989</v>
      </c>
      <c r="G1606" t="s">
        <v>1080</v>
      </c>
      <c r="H1606" t="s">
        <v>635</v>
      </c>
      <c r="I1606" t="s">
        <v>43</v>
      </c>
      <c r="N1606">
        <v>203</v>
      </c>
      <c r="O1606">
        <v>0</v>
      </c>
      <c r="P1606">
        <v>0</v>
      </c>
      <c r="Q1606" t="s">
        <v>44</v>
      </c>
      <c r="R1606" t="s">
        <v>44</v>
      </c>
      <c r="S1606" t="s">
        <v>44</v>
      </c>
      <c r="T1606" t="s">
        <v>44</v>
      </c>
      <c r="U1606" t="s">
        <v>44</v>
      </c>
      <c r="V1606">
        <v>58</v>
      </c>
      <c r="W1606" t="s">
        <v>44</v>
      </c>
      <c r="X1606" t="s">
        <v>44</v>
      </c>
      <c r="Y1606">
        <v>58</v>
      </c>
      <c r="Z1606" t="s">
        <v>44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58</v>
      </c>
      <c r="AQ1606">
        <f t="shared" si="57"/>
        <v>58</v>
      </c>
      <c r="AR1606" s="5">
        <f>VLOOKUP(F1606,'[1]Cost Sheet'!$C:$D,2,0)</f>
        <v>87.899999999999991</v>
      </c>
      <c r="AS1606" s="5">
        <f t="shared" si="58"/>
        <v>5098.2</v>
      </c>
    </row>
    <row r="1607" spans="1:45" x14ac:dyDescent="0.3">
      <c r="A1607" s="1">
        <v>45900.963888888888</v>
      </c>
      <c r="B1607" t="s">
        <v>1473</v>
      </c>
      <c r="C1607" t="s">
        <v>1474</v>
      </c>
      <c r="D1607" t="s">
        <v>1089</v>
      </c>
      <c r="E1607" t="s">
        <v>1089</v>
      </c>
      <c r="F1607" t="s">
        <v>1994</v>
      </c>
      <c r="G1607" t="s">
        <v>1090</v>
      </c>
      <c r="H1607" t="s">
        <v>635</v>
      </c>
      <c r="I1607" t="s">
        <v>43</v>
      </c>
      <c r="N1607">
        <v>245</v>
      </c>
      <c r="O1607">
        <v>0</v>
      </c>
      <c r="P1607">
        <v>0</v>
      </c>
      <c r="Q1607" t="s">
        <v>44</v>
      </c>
      <c r="R1607" t="s">
        <v>44</v>
      </c>
      <c r="S1607" t="s">
        <v>44</v>
      </c>
      <c r="T1607" t="s">
        <v>44</v>
      </c>
      <c r="U1607" t="s">
        <v>44</v>
      </c>
      <c r="V1607">
        <v>7</v>
      </c>
      <c r="W1607" t="s">
        <v>44</v>
      </c>
      <c r="X1607" t="s">
        <v>44</v>
      </c>
      <c r="Y1607">
        <v>7</v>
      </c>
      <c r="Z1607" t="s">
        <v>44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7</v>
      </c>
      <c r="AQ1607">
        <f t="shared" si="57"/>
        <v>7</v>
      </c>
      <c r="AR1607" s="5">
        <f>VLOOKUP(F1607,'[1]Cost Sheet'!$C:$D,2,0)</f>
        <v>40.44</v>
      </c>
      <c r="AS1607" s="5">
        <f t="shared" si="58"/>
        <v>283.08</v>
      </c>
    </row>
    <row r="1608" spans="1:45" x14ac:dyDescent="0.3">
      <c r="A1608" s="1">
        <v>45900.963888888888</v>
      </c>
      <c r="B1608" t="s">
        <v>1473</v>
      </c>
      <c r="C1608" t="s">
        <v>1474</v>
      </c>
      <c r="D1608" t="s">
        <v>1385</v>
      </c>
      <c r="E1608" t="s">
        <v>1385</v>
      </c>
      <c r="F1608" t="s">
        <v>2139</v>
      </c>
      <c r="G1608" t="s">
        <v>1386</v>
      </c>
      <c r="H1608" t="s">
        <v>635</v>
      </c>
      <c r="I1608" t="s">
        <v>43</v>
      </c>
      <c r="N1608">
        <v>213</v>
      </c>
      <c r="O1608">
        <v>0</v>
      </c>
      <c r="P1608">
        <v>0</v>
      </c>
      <c r="Q1608" t="s">
        <v>44</v>
      </c>
      <c r="R1608" t="s">
        <v>44</v>
      </c>
      <c r="S1608" t="s">
        <v>44</v>
      </c>
      <c r="T1608" t="s">
        <v>44</v>
      </c>
      <c r="U1608" t="s">
        <v>44</v>
      </c>
      <c r="V1608">
        <v>56</v>
      </c>
      <c r="W1608" t="s">
        <v>44</v>
      </c>
      <c r="X1608" t="s">
        <v>44</v>
      </c>
      <c r="Y1608">
        <v>56</v>
      </c>
      <c r="Z1608" t="s">
        <v>44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56</v>
      </c>
      <c r="AQ1608">
        <f t="shared" si="57"/>
        <v>56</v>
      </c>
      <c r="AR1608" s="5">
        <f>VLOOKUP(F1608,'[1]Cost Sheet'!$C:$D,2,0)</f>
        <v>150.74</v>
      </c>
      <c r="AS1608" s="5">
        <f t="shared" si="58"/>
        <v>8441.44</v>
      </c>
    </row>
    <row r="1609" spans="1:45" x14ac:dyDescent="0.3">
      <c r="A1609" s="1">
        <v>45900.963888888888</v>
      </c>
      <c r="B1609" t="s">
        <v>1473</v>
      </c>
      <c r="C1609" t="s">
        <v>1474</v>
      </c>
      <c r="D1609" t="s">
        <v>1091</v>
      </c>
      <c r="E1609" t="s">
        <v>1091</v>
      </c>
      <c r="F1609" t="s">
        <v>1995</v>
      </c>
      <c r="G1609" t="s">
        <v>1092</v>
      </c>
      <c r="H1609" t="s">
        <v>635</v>
      </c>
      <c r="I1609" t="s">
        <v>43</v>
      </c>
      <c r="N1609">
        <v>292</v>
      </c>
      <c r="O1609">
        <v>0</v>
      </c>
      <c r="P1609">
        <v>0</v>
      </c>
      <c r="Q1609" t="s">
        <v>44</v>
      </c>
      <c r="R1609" t="s">
        <v>44</v>
      </c>
      <c r="S1609" t="s">
        <v>44</v>
      </c>
      <c r="T1609" t="s">
        <v>44</v>
      </c>
      <c r="U1609" t="s">
        <v>44</v>
      </c>
      <c r="V1609">
        <v>54</v>
      </c>
      <c r="W1609" t="s">
        <v>44</v>
      </c>
      <c r="X1609" t="s">
        <v>44</v>
      </c>
      <c r="Y1609">
        <v>54</v>
      </c>
      <c r="Z1609" t="s">
        <v>44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54</v>
      </c>
      <c r="AQ1609">
        <f t="shared" si="57"/>
        <v>54</v>
      </c>
      <c r="AR1609" s="5">
        <f>VLOOKUP(F1609,'[1]Cost Sheet'!$C:$D,2,0)</f>
        <v>61.75</v>
      </c>
      <c r="AS1609" s="5">
        <f t="shared" si="58"/>
        <v>3334.5</v>
      </c>
    </row>
    <row r="1610" spans="1:45" x14ac:dyDescent="0.3">
      <c r="A1610" s="1">
        <v>45900.963888888888</v>
      </c>
      <c r="B1610" t="s">
        <v>1473</v>
      </c>
      <c r="C1610" t="s">
        <v>1474</v>
      </c>
      <c r="D1610" t="s">
        <v>1093</v>
      </c>
      <c r="E1610" t="s">
        <v>1093</v>
      </c>
      <c r="F1610" t="s">
        <v>1996</v>
      </c>
      <c r="G1610" t="s">
        <v>1094</v>
      </c>
      <c r="H1610" t="s">
        <v>635</v>
      </c>
      <c r="I1610" t="s">
        <v>43</v>
      </c>
      <c r="N1610">
        <v>617</v>
      </c>
      <c r="O1610">
        <v>0</v>
      </c>
      <c r="P1610">
        <v>0</v>
      </c>
      <c r="Q1610" t="s">
        <v>44</v>
      </c>
      <c r="R1610" t="s">
        <v>44</v>
      </c>
      <c r="S1610" t="s">
        <v>44</v>
      </c>
      <c r="T1610" t="s">
        <v>44</v>
      </c>
      <c r="U1610" t="s">
        <v>44</v>
      </c>
      <c r="V1610">
        <v>42</v>
      </c>
      <c r="W1610" t="s">
        <v>44</v>
      </c>
      <c r="X1610" t="s">
        <v>44</v>
      </c>
      <c r="Y1610">
        <v>42</v>
      </c>
      <c r="Z1610" t="s">
        <v>44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42</v>
      </c>
      <c r="AQ1610">
        <f t="shared" si="57"/>
        <v>42</v>
      </c>
      <c r="AR1610" s="5">
        <f>VLOOKUP(F1610,'[1]Cost Sheet'!$C:$D,2,0)</f>
        <v>46.19</v>
      </c>
      <c r="AS1610" s="5">
        <f t="shared" si="58"/>
        <v>1939.98</v>
      </c>
    </row>
    <row r="1611" spans="1:45" x14ac:dyDescent="0.3">
      <c r="A1611" s="1">
        <v>45900.963888888888</v>
      </c>
      <c r="B1611" t="s">
        <v>1473</v>
      </c>
      <c r="C1611" t="s">
        <v>1474</v>
      </c>
      <c r="D1611" t="s">
        <v>1387</v>
      </c>
      <c r="E1611" t="s">
        <v>1387</v>
      </c>
      <c r="F1611" t="s">
        <v>2140</v>
      </c>
      <c r="G1611" t="s">
        <v>1388</v>
      </c>
      <c r="H1611" t="s">
        <v>635</v>
      </c>
      <c r="I1611" t="s">
        <v>43</v>
      </c>
      <c r="N1611">
        <v>453</v>
      </c>
      <c r="O1611">
        <v>0</v>
      </c>
      <c r="P1611">
        <v>0</v>
      </c>
      <c r="Q1611" t="s">
        <v>44</v>
      </c>
      <c r="R1611" t="s">
        <v>44</v>
      </c>
      <c r="S1611" t="s">
        <v>44</v>
      </c>
      <c r="T1611" t="s">
        <v>44</v>
      </c>
      <c r="U1611" t="s">
        <v>44</v>
      </c>
      <c r="V1611">
        <v>91</v>
      </c>
      <c r="W1611" t="s">
        <v>44</v>
      </c>
      <c r="X1611" t="s">
        <v>44</v>
      </c>
      <c r="Y1611">
        <v>91</v>
      </c>
      <c r="Z1611" t="s">
        <v>44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91</v>
      </c>
      <c r="AQ1611">
        <f t="shared" si="57"/>
        <v>91</v>
      </c>
      <c r="AR1611" s="5">
        <f>VLOOKUP(F1611,'[1]Cost Sheet'!$C:$D,2,0)</f>
        <v>61.06</v>
      </c>
      <c r="AS1611" s="5">
        <f t="shared" si="58"/>
        <v>5556.46</v>
      </c>
    </row>
    <row r="1612" spans="1:45" x14ac:dyDescent="0.3">
      <c r="A1612" s="1">
        <v>45900.963888888888</v>
      </c>
      <c r="B1612" t="s">
        <v>1473</v>
      </c>
      <c r="C1612" t="s">
        <v>1474</v>
      </c>
      <c r="D1612" t="s">
        <v>1337</v>
      </c>
      <c r="F1612" t="s">
        <v>2118</v>
      </c>
      <c r="G1612" t="s">
        <v>1338</v>
      </c>
      <c r="H1612" t="s">
        <v>103</v>
      </c>
      <c r="I1612" t="s">
        <v>43</v>
      </c>
      <c r="J1612">
        <v>217.02</v>
      </c>
      <c r="K1612">
        <v>19</v>
      </c>
      <c r="L1612">
        <v>10</v>
      </c>
      <c r="M1612">
        <v>11</v>
      </c>
      <c r="N1612">
        <v>182353</v>
      </c>
      <c r="O1612">
        <v>2</v>
      </c>
      <c r="P1612">
        <v>0</v>
      </c>
      <c r="Q1612">
        <v>283</v>
      </c>
      <c r="R1612">
        <v>501</v>
      </c>
      <c r="S1612" t="s">
        <v>44</v>
      </c>
      <c r="T1612">
        <v>134</v>
      </c>
      <c r="U1612" t="s">
        <v>44</v>
      </c>
      <c r="V1612">
        <v>0</v>
      </c>
      <c r="W1612" t="s">
        <v>44</v>
      </c>
      <c r="X1612" t="s">
        <v>44</v>
      </c>
      <c r="Y1612" t="s">
        <v>44</v>
      </c>
      <c r="Z1612">
        <v>7</v>
      </c>
      <c r="AA1612">
        <v>105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107</v>
      </c>
      <c r="AQ1612">
        <f t="shared" si="57"/>
        <v>107</v>
      </c>
      <c r="AR1612" s="5">
        <f>VLOOKUP(F1612,'[2]SCP_24-25'!$A:$D,4,0)</f>
        <v>60.216666666666661</v>
      </c>
      <c r="AS1612" s="5">
        <f t="shared" si="58"/>
        <v>6443.1833333333325</v>
      </c>
    </row>
    <row r="1613" spans="1:45" x14ac:dyDescent="0.3">
      <c r="A1613" s="1">
        <v>45900.963888888888</v>
      </c>
      <c r="B1613" t="s">
        <v>1473</v>
      </c>
      <c r="C1613" t="s">
        <v>1474</v>
      </c>
      <c r="D1613" t="s">
        <v>1308</v>
      </c>
      <c r="F1613" t="s">
        <v>2105</v>
      </c>
      <c r="G1613" t="s">
        <v>1309</v>
      </c>
      <c r="H1613" t="s">
        <v>66</v>
      </c>
      <c r="I1613" t="s">
        <v>43</v>
      </c>
      <c r="J1613">
        <v>8</v>
      </c>
      <c r="K1613">
        <v>19</v>
      </c>
      <c r="L1613">
        <v>10</v>
      </c>
      <c r="M1613">
        <v>11</v>
      </c>
      <c r="N1613">
        <v>17948</v>
      </c>
      <c r="O1613">
        <v>2</v>
      </c>
      <c r="P1613">
        <v>0</v>
      </c>
      <c r="Q1613" t="s">
        <v>44</v>
      </c>
      <c r="R1613">
        <v>1</v>
      </c>
      <c r="S1613" t="s">
        <v>44</v>
      </c>
      <c r="T1613">
        <v>2</v>
      </c>
      <c r="U1613" t="s">
        <v>44</v>
      </c>
      <c r="V1613">
        <v>0</v>
      </c>
      <c r="W1613" t="s">
        <v>44</v>
      </c>
      <c r="X1613" t="s">
        <v>44</v>
      </c>
      <c r="Y1613" t="s">
        <v>44</v>
      </c>
      <c r="Z1613" t="s">
        <v>44</v>
      </c>
      <c r="AA1613">
        <v>9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11</v>
      </c>
      <c r="AQ1613">
        <f t="shared" si="57"/>
        <v>11</v>
      </c>
      <c r="AR1613" s="5">
        <f>VLOOKUP(F1613,'[2]SCP_24-25'!$A:$D,4,0)</f>
        <v>14.949999999999998</v>
      </c>
      <c r="AS1613" s="5">
        <f t="shared" si="58"/>
        <v>164.44999999999996</v>
      </c>
    </row>
    <row r="1614" spans="1:45" x14ac:dyDescent="0.3">
      <c r="A1614" s="1">
        <v>45900.963888888888</v>
      </c>
      <c r="B1614" t="s">
        <v>1473</v>
      </c>
      <c r="C1614" t="s">
        <v>1474</v>
      </c>
      <c r="D1614" t="s">
        <v>692</v>
      </c>
      <c r="E1614" t="s">
        <v>692</v>
      </c>
      <c r="F1614" t="s">
        <v>1799</v>
      </c>
      <c r="G1614" t="s">
        <v>693</v>
      </c>
      <c r="H1614" t="s">
        <v>635</v>
      </c>
      <c r="I1614" t="s">
        <v>43</v>
      </c>
      <c r="J1614">
        <v>120</v>
      </c>
      <c r="K1614">
        <v>19</v>
      </c>
      <c r="L1614">
        <v>10</v>
      </c>
      <c r="M1614">
        <v>11</v>
      </c>
      <c r="N1614">
        <v>576</v>
      </c>
      <c r="O1614">
        <v>0</v>
      </c>
      <c r="P1614">
        <v>0</v>
      </c>
      <c r="Q1614" t="s">
        <v>44</v>
      </c>
      <c r="R1614" t="s">
        <v>44</v>
      </c>
      <c r="S1614" t="s">
        <v>44</v>
      </c>
      <c r="T1614" t="s">
        <v>44</v>
      </c>
      <c r="U1614" t="s">
        <v>44</v>
      </c>
      <c r="V1614">
        <v>37</v>
      </c>
      <c r="W1614" t="s">
        <v>44</v>
      </c>
      <c r="X1614" t="s">
        <v>44</v>
      </c>
      <c r="Y1614">
        <v>37</v>
      </c>
      <c r="Z1614" t="s">
        <v>44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37</v>
      </c>
      <c r="AQ1614">
        <f t="shared" si="57"/>
        <v>37</v>
      </c>
      <c r="AR1614" s="5">
        <f>VLOOKUP(F1614,'[1]Cost Sheet'!$C:$D,2,0)</f>
        <v>231.99</v>
      </c>
      <c r="AS1614" s="5">
        <f t="shared" si="58"/>
        <v>8583.630000000001</v>
      </c>
    </row>
    <row r="1615" spans="1:45" x14ac:dyDescent="0.3">
      <c r="A1615" s="1">
        <v>45900.963888888888</v>
      </c>
      <c r="B1615" t="s">
        <v>1473</v>
      </c>
      <c r="C1615" t="s">
        <v>1474</v>
      </c>
      <c r="D1615" t="s">
        <v>694</v>
      </c>
      <c r="E1615" t="s">
        <v>694</v>
      </c>
      <c r="F1615" t="s">
        <v>1800</v>
      </c>
      <c r="G1615" t="s">
        <v>695</v>
      </c>
      <c r="H1615" t="s">
        <v>635</v>
      </c>
      <c r="I1615" t="s">
        <v>43</v>
      </c>
      <c r="J1615">
        <v>15</v>
      </c>
      <c r="K1615">
        <v>19</v>
      </c>
      <c r="L1615">
        <v>10</v>
      </c>
      <c r="M1615">
        <v>11</v>
      </c>
      <c r="N1615">
        <v>768</v>
      </c>
      <c r="O1615">
        <v>0</v>
      </c>
      <c r="P1615">
        <v>0</v>
      </c>
      <c r="Q1615" t="s">
        <v>44</v>
      </c>
      <c r="R1615" t="s">
        <v>44</v>
      </c>
      <c r="S1615" t="s">
        <v>44</v>
      </c>
      <c r="T1615" t="s">
        <v>44</v>
      </c>
      <c r="U1615" t="s">
        <v>44</v>
      </c>
      <c r="V1615">
        <v>34</v>
      </c>
      <c r="W1615" t="s">
        <v>44</v>
      </c>
      <c r="X1615" t="s">
        <v>44</v>
      </c>
      <c r="Y1615">
        <v>34</v>
      </c>
      <c r="Z1615" t="s">
        <v>44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34</v>
      </c>
      <c r="AQ1615">
        <f t="shared" si="57"/>
        <v>34</v>
      </c>
      <c r="AR1615" s="5">
        <f>VLOOKUP(F1615,'[1]Cost Sheet'!$C:$D,2,0)</f>
        <v>28.199999999999996</v>
      </c>
      <c r="AS1615" s="5">
        <f t="shared" si="58"/>
        <v>958.79999999999984</v>
      </c>
    </row>
    <row r="1616" spans="1:45" x14ac:dyDescent="0.3">
      <c r="A1616" s="1">
        <v>45900.963888888888</v>
      </c>
      <c r="B1616" t="s">
        <v>1473</v>
      </c>
      <c r="C1616" t="s">
        <v>1474</v>
      </c>
      <c r="D1616" t="s">
        <v>698</v>
      </c>
      <c r="E1616" t="s">
        <v>698</v>
      </c>
      <c r="F1616" t="s">
        <v>1802</v>
      </c>
      <c r="G1616" t="s">
        <v>699</v>
      </c>
      <c r="H1616" t="s">
        <v>635</v>
      </c>
      <c r="I1616" t="s">
        <v>43</v>
      </c>
      <c r="J1616">
        <v>15</v>
      </c>
      <c r="K1616">
        <v>19</v>
      </c>
      <c r="L1616">
        <v>10</v>
      </c>
      <c r="M1616">
        <v>11</v>
      </c>
      <c r="N1616">
        <v>452</v>
      </c>
      <c r="O1616">
        <v>0</v>
      </c>
      <c r="P1616">
        <v>0</v>
      </c>
      <c r="Q1616" t="s">
        <v>44</v>
      </c>
      <c r="R1616" t="s">
        <v>44</v>
      </c>
      <c r="S1616" t="s">
        <v>44</v>
      </c>
      <c r="T1616" t="s">
        <v>44</v>
      </c>
      <c r="U1616" t="s">
        <v>44</v>
      </c>
      <c r="V1616">
        <v>90</v>
      </c>
      <c r="W1616" t="s">
        <v>44</v>
      </c>
      <c r="X1616" t="s">
        <v>44</v>
      </c>
      <c r="Y1616">
        <v>90</v>
      </c>
      <c r="Z1616" t="s">
        <v>44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90</v>
      </c>
      <c r="AQ1616">
        <f t="shared" si="57"/>
        <v>90</v>
      </c>
      <c r="AR1616" s="5">
        <f>VLOOKUP(F1616,'[1]Cost Sheet'!$C:$D,2,0)</f>
        <v>34.455294117647057</v>
      </c>
      <c r="AS1616" s="5">
        <f t="shared" si="58"/>
        <v>3100.9764705882353</v>
      </c>
    </row>
    <row r="1617" spans="1:45" x14ac:dyDescent="0.3">
      <c r="A1617" s="1">
        <v>45900.963888888888</v>
      </c>
      <c r="B1617" t="s">
        <v>1473</v>
      </c>
      <c r="C1617" t="s">
        <v>1474</v>
      </c>
      <c r="D1617" t="s">
        <v>1109</v>
      </c>
      <c r="F1617" t="s">
        <v>2004</v>
      </c>
      <c r="G1617" t="s">
        <v>1110</v>
      </c>
      <c r="H1617" t="s">
        <v>66</v>
      </c>
      <c r="I1617" t="s">
        <v>43</v>
      </c>
      <c r="J1617">
        <v>111</v>
      </c>
      <c r="K1617">
        <v>19</v>
      </c>
      <c r="L1617">
        <v>11</v>
      </c>
      <c r="M1617">
        <v>10</v>
      </c>
      <c r="N1617">
        <v>4101</v>
      </c>
      <c r="O1617">
        <v>0</v>
      </c>
      <c r="P1617">
        <v>0</v>
      </c>
      <c r="Q1617" t="s">
        <v>44</v>
      </c>
      <c r="R1617">
        <v>170</v>
      </c>
      <c r="S1617" t="s">
        <v>44</v>
      </c>
      <c r="T1617" t="s">
        <v>44</v>
      </c>
      <c r="U1617" t="s">
        <v>44</v>
      </c>
      <c r="V1617">
        <v>25</v>
      </c>
      <c r="W1617" t="s">
        <v>44</v>
      </c>
      <c r="X1617" t="s">
        <v>44</v>
      </c>
      <c r="Y1617">
        <v>25</v>
      </c>
      <c r="Z1617" t="s">
        <v>44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25</v>
      </c>
      <c r="AQ1617">
        <f t="shared" si="57"/>
        <v>25</v>
      </c>
      <c r="AR1617" s="5">
        <f>VLOOKUP(F1617,'[2]SCP_24-25'!$A:$D,4,0)</f>
        <v>424.71</v>
      </c>
      <c r="AS1617" s="5">
        <f t="shared" si="58"/>
        <v>10617.75</v>
      </c>
    </row>
    <row r="1618" spans="1:45" x14ac:dyDescent="0.3">
      <c r="A1618" s="1">
        <v>45900.963888888888</v>
      </c>
      <c r="B1618" t="s">
        <v>1473</v>
      </c>
      <c r="C1618" t="s">
        <v>1474</v>
      </c>
      <c r="D1618" t="s">
        <v>538</v>
      </c>
      <c r="F1618" t="s">
        <v>1723</v>
      </c>
      <c r="G1618" t="s">
        <v>539</v>
      </c>
      <c r="H1618" t="s">
        <v>130</v>
      </c>
      <c r="I1618" t="s">
        <v>43</v>
      </c>
      <c r="J1618">
        <v>40.020000000000003</v>
      </c>
      <c r="K1618">
        <v>19</v>
      </c>
      <c r="L1618">
        <v>10</v>
      </c>
      <c r="M1618">
        <v>11</v>
      </c>
      <c r="N1618">
        <v>5504</v>
      </c>
      <c r="O1618">
        <v>4</v>
      </c>
      <c r="P1618">
        <v>0</v>
      </c>
      <c r="Q1618">
        <v>2</v>
      </c>
      <c r="R1618">
        <v>4</v>
      </c>
      <c r="S1618" t="s">
        <v>44</v>
      </c>
      <c r="T1618">
        <v>1</v>
      </c>
      <c r="U1618" t="s">
        <v>44</v>
      </c>
      <c r="V1618">
        <v>64</v>
      </c>
      <c r="W1618" t="s">
        <v>44</v>
      </c>
      <c r="X1618" t="s">
        <v>44</v>
      </c>
      <c r="Y1618">
        <v>64</v>
      </c>
      <c r="Z1618" t="s">
        <v>44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68</v>
      </c>
      <c r="AQ1618">
        <f t="shared" si="57"/>
        <v>68</v>
      </c>
      <c r="AR1618" s="5">
        <f>VLOOKUP(F1618,'[2]SCP_24-25'!$A:$D,4,0)</f>
        <v>98.3</v>
      </c>
      <c r="AS1618" s="5">
        <f t="shared" si="58"/>
        <v>6684.4</v>
      </c>
    </row>
    <row r="1619" spans="1:45" x14ac:dyDescent="0.3">
      <c r="A1619" s="1">
        <v>45900.963888888888</v>
      </c>
      <c r="B1619" t="s">
        <v>1473</v>
      </c>
      <c r="C1619" t="s">
        <v>1474</v>
      </c>
      <c r="D1619" t="s">
        <v>609</v>
      </c>
      <c r="F1619" t="s">
        <v>1758</v>
      </c>
      <c r="G1619" t="s">
        <v>610</v>
      </c>
      <c r="H1619" t="s">
        <v>130</v>
      </c>
      <c r="I1619" t="s">
        <v>43</v>
      </c>
      <c r="J1619">
        <v>40.020000000000003</v>
      </c>
      <c r="K1619">
        <v>19</v>
      </c>
      <c r="L1619">
        <v>10</v>
      </c>
      <c r="M1619">
        <v>11</v>
      </c>
      <c r="N1619">
        <v>5668</v>
      </c>
      <c r="O1619">
        <v>2</v>
      </c>
      <c r="P1619">
        <v>0</v>
      </c>
      <c r="Q1619">
        <v>7</v>
      </c>
      <c r="R1619" t="s">
        <v>44</v>
      </c>
      <c r="S1619" t="s">
        <v>44</v>
      </c>
      <c r="T1619">
        <v>1</v>
      </c>
      <c r="U1619" t="s">
        <v>44</v>
      </c>
      <c r="V1619">
        <v>28</v>
      </c>
      <c r="W1619">
        <v>1</v>
      </c>
      <c r="X1619" t="s">
        <v>44</v>
      </c>
      <c r="Y1619">
        <v>28</v>
      </c>
      <c r="Z1619" t="s">
        <v>44</v>
      </c>
      <c r="AA1619">
        <v>2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32</v>
      </c>
      <c r="AQ1619">
        <f t="shared" ref="AQ1619:AQ1682" si="59">O1619+P1619+V1619+AA1619</f>
        <v>32</v>
      </c>
      <c r="AR1619" s="5">
        <f>VLOOKUP(F1619,'[2]SCP_24-25'!$A:$D,4,0)</f>
        <v>98.3</v>
      </c>
      <c r="AS1619" s="5">
        <f t="shared" si="58"/>
        <v>3145.6</v>
      </c>
    </row>
    <row r="1620" spans="1:45" x14ac:dyDescent="0.3">
      <c r="A1620" s="1">
        <v>45900.963888888888</v>
      </c>
      <c r="B1620" t="s">
        <v>1473</v>
      </c>
      <c r="C1620" t="s">
        <v>1474</v>
      </c>
      <c r="D1620" t="s">
        <v>1115</v>
      </c>
      <c r="E1620" t="s">
        <v>1115</v>
      </c>
      <c r="F1620" t="s">
        <v>2007</v>
      </c>
      <c r="G1620" t="s">
        <v>1116</v>
      </c>
      <c r="H1620" t="s">
        <v>635</v>
      </c>
      <c r="I1620" t="s">
        <v>43</v>
      </c>
      <c r="J1620">
        <v>100</v>
      </c>
      <c r="K1620">
        <v>19</v>
      </c>
      <c r="L1620">
        <v>10</v>
      </c>
      <c r="M1620">
        <v>11</v>
      </c>
      <c r="N1620">
        <v>103</v>
      </c>
      <c r="O1620">
        <v>0</v>
      </c>
      <c r="P1620">
        <v>0</v>
      </c>
      <c r="Q1620" t="s">
        <v>44</v>
      </c>
      <c r="R1620" t="s">
        <v>44</v>
      </c>
      <c r="S1620" t="s">
        <v>44</v>
      </c>
      <c r="T1620" t="s">
        <v>44</v>
      </c>
      <c r="U1620" t="s">
        <v>44</v>
      </c>
      <c r="V1620">
        <v>52</v>
      </c>
      <c r="W1620" t="s">
        <v>44</v>
      </c>
      <c r="X1620" t="s">
        <v>44</v>
      </c>
      <c r="Y1620">
        <v>52</v>
      </c>
      <c r="Z1620" t="s">
        <v>44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52</v>
      </c>
      <c r="AQ1620">
        <f t="shared" si="59"/>
        <v>52</v>
      </c>
      <c r="AR1620" s="5">
        <f>VLOOKUP(F1620,'[1]Cost Sheet'!$C:$D,2,0)</f>
        <v>86.699999999999989</v>
      </c>
      <c r="AS1620" s="5">
        <f t="shared" si="58"/>
        <v>4508.3999999999996</v>
      </c>
    </row>
    <row r="1621" spans="1:45" x14ac:dyDescent="0.3">
      <c r="A1621" s="1">
        <v>45900.963888888888</v>
      </c>
      <c r="B1621" t="s">
        <v>1473</v>
      </c>
      <c r="C1621" t="s">
        <v>1474</v>
      </c>
      <c r="D1621" t="s">
        <v>1117</v>
      </c>
      <c r="E1621" t="s">
        <v>1117</v>
      </c>
      <c r="F1621" t="s">
        <v>2008</v>
      </c>
      <c r="G1621" t="s">
        <v>1118</v>
      </c>
      <c r="H1621" t="s">
        <v>635</v>
      </c>
      <c r="I1621" t="s">
        <v>43</v>
      </c>
      <c r="J1621">
        <v>100</v>
      </c>
      <c r="K1621">
        <v>19</v>
      </c>
      <c r="L1621">
        <v>10</v>
      </c>
      <c r="M1621">
        <v>11</v>
      </c>
      <c r="N1621">
        <v>123</v>
      </c>
      <c r="O1621">
        <v>0</v>
      </c>
      <c r="P1621">
        <v>0</v>
      </c>
      <c r="Q1621" t="s">
        <v>44</v>
      </c>
      <c r="R1621" t="s">
        <v>44</v>
      </c>
      <c r="S1621" t="s">
        <v>44</v>
      </c>
      <c r="T1621" t="s">
        <v>44</v>
      </c>
      <c r="U1621" t="s">
        <v>44</v>
      </c>
      <c r="V1621">
        <v>53</v>
      </c>
      <c r="W1621" t="s">
        <v>44</v>
      </c>
      <c r="X1621" t="s">
        <v>44</v>
      </c>
      <c r="Y1621">
        <v>53</v>
      </c>
      <c r="Z1621" t="s">
        <v>44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53</v>
      </c>
      <c r="AQ1621">
        <f t="shared" si="59"/>
        <v>53</v>
      </c>
      <c r="AR1621" s="5">
        <f>VLOOKUP(F1621,'[1]Cost Sheet'!$C:$D,2,0)</f>
        <v>86.7</v>
      </c>
      <c r="AS1621" s="5">
        <f t="shared" si="58"/>
        <v>4595.1000000000004</v>
      </c>
    </row>
    <row r="1622" spans="1:45" x14ac:dyDescent="0.3">
      <c r="A1622" s="1">
        <v>45900.963888888888</v>
      </c>
      <c r="B1622" t="s">
        <v>1473</v>
      </c>
      <c r="C1622" t="s">
        <v>1474</v>
      </c>
      <c r="D1622" t="s">
        <v>1119</v>
      </c>
      <c r="E1622" t="s">
        <v>1119</v>
      </c>
      <c r="F1622" t="s">
        <v>2009</v>
      </c>
      <c r="G1622" t="s">
        <v>1120</v>
      </c>
      <c r="H1622" t="s">
        <v>635</v>
      </c>
      <c r="I1622" t="s">
        <v>43</v>
      </c>
      <c r="J1622">
        <v>100</v>
      </c>
      <c r="K1622">
        <v>19</v>
      </c>
      <c r="L1622">
        <v>10</v>
      </c>
      <c r="M1622">
        <v>11</v>
      </c>
      <c r="N1622">
        <v>128</v>
      </c>
      <c r="O1622">
        <v>0</v>
      </c>
      <c r="P1622">
        <v>0</v>
      </c>
      <c r="Q1622" t="s">
        <v>44</v>
      </c>
      <c r="R1622" t="s">
        <v>44</v>
      </c>
      <c r="S1622" t="s">
        <v>44</v>
      </c>
      <c r="T1622" t="s">
        <v>44</v>
      </c>
      <c r="U1622" t="s">
        <v>44</v>
      </c>
      <c r="V1622">
        <v>53</v>
      </c>
      <c r="W1622" t="s">
        <v>44</v>
      </c>
      <c r="X1622" t="s">
        <v>44</v>
      </c>
      <c r="Y1622">
        <v>53</v>
      </c>
      <c r="Z1622" t="s">
        <v>44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53</v>
      </c>
      <c r="AQ1622">
        <f t="shared" si="59"/>
        <v>53</v>
      </c>
      <c r="AR1622" s="5">
        <f>VLOOKUP(F1622,'[1]Cost Sheet'!$C:$D,2,0)</f>
        <v>86.7</v>
      </c>
      <c r="AS1622" s="5">
        <f t="shared" si="58"/>
        <v>4595.1000000000004</v>
      </c>
    </row>
    <row r="1623" spans="1:45" x14ac:dyDescent="0.3">
      <c r="A1623" s="1">
        <v>45900.963888888888</v>
      </c>
      <c r="B1623" t="s">
        <v>1473</v>
      </c>
      <c r="C1623" t="s">
        <v>1474</v>
      </c>
      <c r="D1623" t="s">
        <v>702</v>
      </c>
      <c r="E1623" t="s">
        <v>702</v>
      </c>
      <c r="F1623" t="s">
        <v>1804</v>
      </c>
      <c r="G1623" t="s">
        <v>703</v>
      </c>
      <c r="H1623" t="s">
        <v>635</v>
      </c>
      <c r="I1623" t="s">
        <v>43</v>
      </c>
      <c r="J1623">
        <v>100</v>
      </c>
      <c r="K1623">
        <v>19</v>
      </c>
      <c r="L1623">
        <v>10</v>
      </c>
      <c r="M1623">
        <v>11</v>
      </c>
      <c r="N1623">
        <v>424</v>
      </c>
      <c r="O1623">
        <v>0</v>
      </c>
      <c r="P1623">
        <v>0</v>
      </c>
      <c r="Q1623" t="s">
        <v>44</v>
      </c>
      <c r="R1623" t="s">
        <v>44</v>
      </c>
      <c r="S1623" t="s">
        <v>44</v>
      </c>
      <c r="T1623" t="s">
        <v>44</v>
      </c>
      <c r="U1623" t="s">
        <v>44</v>
      </c>
      <c r="V1623">
        <v>53</v>
      </c>
      <c r="W1623" t="s">
        <v>44</v>
      </c>
      <c r="X1623" t="s">
        <v>44</v>
      </c>
      <c r="Y1623">
        <v>53</v>
      </c>
      <c r="Z1623" t="s">
        <v>44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53</v>
      </c>
      <c r="AQ1623">
        <f t="shared" si="59"/>
        <v>53</v>
      </c>
      <c r="AR1623" s="5">
        <f>VLOOKUP(F1623,'[1]Cost Sheet'!$C:$D,2,0)</f>
        <v>120.58</v>
      </c>
      <c r="AS1623" s="5">
        <f t="shared" si="58"/>
        <v>6390.74</v>
      </c>
    </row>
    <row r="1624" spans="1:45" x14ac:dyDescent="0.3">
      <c r="A1624" s="1">
        <v>45900.963888888888</v>
      </c>
      <c r="B1624" t="s">
        <v>1473</v>
      </c>
      <c r="C1624" t="s">
        <v>1474</v>
      </c>
      <c r="D1624" t="s">
        <v>704</v>
      </c>
      <c r="E1624" t="s">
        <v>704</v>
      </c>
      <c r="F1624" t="s">
        <v>1805</v>
      </c>
      <c r="G1624" t="s">
        <v>705</v>
      </c>
      <c r="H1624" t="s">
        <v>635</v>
      </c>
      <c r="I1624" t="s">
        <v>43</v>
      </c>
      <c r="J1624">
        <v>100</v>
      </c>
      <c r="K1624">
        <v>19</v>
      </c>
      <c r="L1624">
        <v>10</v>
      </c>
      <c r="M1624">
        <v>11</v>
      </c>
      <c r="N1624">
        <v>305</v>
      </c>
      <c r="O1624">
        <v>0</v>
      </c>
      <c r="P1624">
        <v>0</v>
      </c>
      <c r="Q1624" t="s">
        <v>44</v>
      </c>
      <c r="R1624" t="s">
        <v>44</v>
      </c>
      <c r="S1624" t="s">
        <v>44</v>
      </c>
      <c r="T1624" t="s">
        <v>44</v>
      </c>
      <c r="U1624" t="s">
        <v>44</v>
      </c>
      <c r="V1624">
        <v>55</v>
      </c>
      <c r="W1624" t="s">
        <v>44</v>
      </c>
      <c r="X1624" t="s">
        <v>44</v>
      </c>
      <c r="Y1624">
        <v>55</v>
      </c>
      <c r="Z1624" t="s">
        <v>44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55</v>
      </c>
      <c r="AQ1624">
        <f t="shared" si="59"/>
        <v>55</v>
      </c>
      <c r="AR1624" s="5">
        <f>VLOOKUP(F1624,'[1]Cost Sheet'!$C:$D,2,0)</f>
        <v>79.066666666666677</v>
      </c>
      <c r="AS1624" s="5">
        <f t="shared" si="58"/>
        <v>4348.666666666667</v>
      </c>
    </row>
    <row r="1625" spans="1:45" x14ac:dyDescent="0.3">
      <c r="A1625" s="1">
        <v>45900.963888888888</v>
      </c>
      <c r="B1625" t="s">
        <v>1473</v>
      </c>
      <c r="C1625" t="s">
        <v>1474</v>
      </c>
      <c r="D1625" t="s">
        <v>706</v>
      </c>
      <c r="E1625" t="s">
        <v>706</v>
      </c>
      <c r="F1625" t="s">
        <v>1806</v>
      </c>
      <c r="G1625" t="s">
        <v>707</v>
      </c>
      <c r="H1625" t="s">
        <v>635</v>
      </c>
      <c r="I1625" t="s">
        <v>43</v>
      </c>
      <c r="J1625">
        <v>100</v>
      </c>
      <c r="K1625">
        <v>19</v>
      </c>
      <c r="L1625">
        <v>10</v>
      </c>
      <c r="M1625">
        <v>11</v>
      </c>
      <c r="N1625">
        <v>319</v>
      </c>
      <c r="O1625">
        <v>0</v>
      </c>
      <c r="P1625">
        <v>0</v>
      </c>
      <c r="Q1625" t="s">
        <v>44</v>
      </c>
      <c r="R1625" t="s">
        <v>44</v>
      </c>
      <c r="S1625" t="s">
        <v>44</v>
      </c>
      <c r="T1625" t="s">
        <v>44</v>
      </c>
      <c r="U1625" t="s">
        <v>44</v>
      </c>
      <c r="V1625">
        <v>56</v>
      </c>
      <c r="W1625" t="s">
        <v>44</v>
      </c>
      <c r="X1625" t="s">
        <v>44</v>
      </c>
      <c r="Y1625">
        <v>56</v>
      </c>
      <c r="Z1625" t="s">
        <v>44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56</v>
      </c>
      <c r="AQ1625">
        <f t="shared" si="59"/>
        <v>56</v>
      </c>
      <c r="AR1625" s="5">
        <f>VLOOKUP(F1625,'[1]Cost Sheet'!$C:$D,2,0)</f>
        <v>79.680000000000007</v>
      </c>
      <c r="AS1625" s="5">
        <f t="shared" si="58"/>
        <v>4462.08</v>
      </c>
    </row>
    <row r="1626" spans="1:45" x14ac:dyDescent="0.3">
      <c r="A1626" s="1">
        <v>45900.963888888888</v>
      </c>
      <c r="B1626" t="s">
        <v>1473</v>
      </c>
      <c r="C1626" t="s">
        <v>1474</v>
      </c>
      <c r="D1626" t="s">
        <v>1121</v>
      </c>
      <c r="E1626" t="s">
        <v>1121</v>
      </c>
      <c r="F1626" t="s">
        <v>2010</v>
      </c>
      <c r="G1626" t="s">
        <v>1122</v>
      </c>
      <c r="H1626" t="s">
        <v>635</v>
      </c>
      <c r="I1626" t="s">
        <v>43</v>
      </c>
      <c r="J1626">
        <v>100</v>
      </c>
      <c r="K1626">
        <v>19</v>
      </c>
      <c r="L1626">
        <v>10</v>
      </c>
      <c r="M1626">
        <v>11</v>
      </c>
      <c r="N1626">
        <v>392</v>
      </c>
      <c r="O1626">
        <v>0</v>
      </c>
      <c r="P1626">
        <v>0</v>
      </c>
      <c r="Q1626" t="s">
        <v>44</v>
      </c>
      <c r="R1626" t="s">
        <v>44</v>
      </c>
      <c r="S1626" t="s">
        <v>44</v>
      </c>
      <c r="T1626" t="s">
        <v>44</v>
      </c>
      <c r="U1626" t="s">
        <v>44</v>
      </c>
      <c r="V1626">
        <v>29</v>
      </c>
      <c r="W1626" t="s">
        <v>44</v>
      </c>
      <c r="X1626" t="s">
        <v>44</v>
      </c>
      <c r="Y1626">
        <v>29</v>
      </c>
      <c r="Z1626" t="s">
        <v>44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29</v>
      </c>
      <c r="AQ1626">
        <f t="shared" si="59"/>
        <v>29</v>
      </c>
      <c r="AR1626" s="5">
        <f>VLOOKUP(F1626,'[1]Cost Sheet'!$C:$D,2,0)</f>
        <v>79.680000000000007</v>
      </c>
      <c r="AS1626" s="5">
        <f t="shared" si="58"/>
        <v>2310.7200000000003</v>
      </c>
    </row>
    <row r="1627" spans="1:45" x14ac:dyDescent="0.3">
      <c r="A1627" s="1">
        <v>45900.963888888888</v>
      </c>
      <c r="B1627" t="s">
        <v>1473</v>
      </c>
      <c r="C1627" t="s">
        <v>1474</v>
      </c>
      <c r="D1627" t="s">
        <v>708</v>
      </c>
      <c r="E1627" t="s">
        <v>708</v>
      </c>
      <c r="F1627" t="s">
        <v>1807</v>
      </c>
      <c r="G1627" t="s">
        <v>709</v>
      </c>
      <c r="H1627" t="s">
        <v>635</v>
      </c>
      <c r="I1627" t="s">
        <v>43</v>
      </c>
      <c r="J1627">
        <v>100</v>
      </c>
      <c r="K1627">
        <v>19</v>
      </c>
      <c r="L1627">
        <v>10</v>
      </c>
      <c r="M1627">
        <v>11</v>
      </c>
      <c r="N1627">
        <v>270</v>
      </c>
      <c r="O1627">
        <v>0</v>
      </c>
      <c r="P1627">
        <v>0</v>
      </c>
      <c r="Q1627" t="s">
        <v>44</v>
      </c>
      <c r="R1627" t="s">
        <v>44</v>
      </c>
      <c r="S1627" t="s">
        <v>44</v>
      </c>
      <c r="T1627" t="s">
        <v>44</v>
      </c>
      <c r="U1627" t="s">
        <v>44</v>
      </c>
      <c r="V1627">
        <v>50</v>
      </c>
      <c r="W1627" t="s">
        <v>44</v>
      </c>
      <c r="X1627" t="s">
        <v>44</v>
      </c>
      <c r="Y1627">
        <v>50</v>
      </c>
      <c r="Z1627" t="s">
        <v>44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50</v>
      </c>
      <c r="AQ1627">
        <f t="shared" si="59"/>
        <v>50</v>
      </c>
      <c r="AR1627" s="5">
        <f>VLOOKUP(F1627,'[1]Cost Sheet'!$C:$D,2,0)</f>
        <v>79.680000000000007</v>
      </c>
      <c r="AS1627" s="5">
        <f t="shared" si="58"/>
        <v>3984.0000000000005</v>
      </c>
    </row>
    <row r="1628" spans="1:45" x14ac:dyDescent="0.3">
      <c r="A1628" s="1">
        <v>45900.963888888888</v>
      </c>
      <c r="B1628" t="s">
        <v>1473</v>
      </c>
      <c r="C1628" t="s">
        <v>1474</v>
      </c>
      <c r="D1628" t="s">
        <v>1123</v>
      </c>
      <c r="E1628" t="s">
        <v>1123</v>
      </c>
      <c r="F1628" t="s">
        <v>2011</v>
      </c>
      <c r="G1628" t="s">
        <v>1124</v>
      </c>
      <c r="H1628" t="s">
        <v>635</v>
      </c>
      <c r="I1628" t="s">
        <v>43</v>
      </c>
      <c r="J1628">
        <v>100</v>
      </c>
      <c r="K1628">
        <v>19</v>
      </c>
      <c r="L1628">
        <v>10</v>
      </c>
      <c r="M1628">
        <v>11</v>
      </c>
      <c r="N1628">
        <v>306</v>
      </c>
      <c r="O1628">
        <v>0</v>
      </c>
      <c r="P1628">
        <v>0</v>
      </c>
      <c r="Q1628" t="s">
        <v>44</v>
      </c>
      <c r="R1628" t="s">
        <v>44</v>
      </c>
      <c r="S1628" t="s">
        <v>44</v>
      </c>
      <c r="T1628" t="s">
        <v>44</v>
      </c>
      <c r="U1628" t="s">
        <v>44</v>
      </c>
      <c r="V1628">
        <v>55</v>
      </c>
      <c r="W1628" t="s">
        <v>44</v>
      </c>
      <c r="X1628" t="s">
        <v>44</v>
      </c>
      <c r="Y1628">
        <v>55</v>
      </c>
      <c r="Z1628" t="s">
        <v>44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55</v>
      </c>
      <c r="AQ1628">
        <f t="shared" si="59"/>
        <v>55</v>
      </c>
      <c r="AR1628" s="5">
        <f>VLOOKUP(F1628,'[1]Cost Sheet'!$C:$D,2,0)</f>
        <v>77.84</v>
      </c>
      <c r="AS1628" s="5">
        <f t="shared" si="58"/>
        <v>4281.2</v>
      </c>
    </row>
    <row r="1629" spans="1:45" x14ac:dyDescent="0.3">
      <c r="A1629" s="1">
        <v>45900.963888888888</v>
      </c>
      <c r="B1629" t="s">
        <v>1473</v>
      </c>
      <c r="C1629" t="s">
        <v>1474</v>
      </c>
      <c r="D1629" t="s">
        <v>710</v>
      </c>
      <c r="E1629" t="s">
        <v>710</v>
      </c>
      <c r="F1629" t="s">
        <v>1808</v>
      </c>
      <c r="G1629" t="s">
        <v>711</v>
      </c>
      <c r="H1629" t="s">
        <v>635</v>
      </c>
      <c r="I1629" t="s">
        <v>43</v>
      </c>
      <c r="J1629">
        <v>100</v>
      </c>
      <c r="K1629">
        <v>19</v>
      </c>
      <c r="L1629">
        <v>10</v>
      </c>
      <c r="M1629">
        <v>11</v>
      </c>
      <c r="N1629">
        <v>314</v>
      </c>
      <c r="O1629">
        <v>0</v>
      </c>
      <c r="P1629">
        <v>0</v>
      </c>
      <c r="Q1629" t="s">
        <v>44</v>
      </c>
      <c r="R1629" t="s">
        <v>44</v>
      </c>
      <c r="S1629" t="s">
        <v>44</v>
      </c>
      <c r="T1629" t="s">
        <v>44</v>
      </c>
      <c r="U1629" t="s">
        <v>44</v>
      </c>
      <c r="V1629">
        <v>45</v>
      </c>
      <c r="W1629" t="s">
        <v>44</v>
      </c>
      <c r="X1629" t="s">
        <v>44</v>
      </c>
      <c r="Y1629">
        <v>45</v>
      </c>
      <c r="Z1629" t="s">
        <v>44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45</v>
      </c>
      <c r="AQ1629">
        <f t="shared" si="59"/>
        <v>45</v>
      </c>
      <c r="AR1629" s="5">
        <f>VLOOKUP(F1629,'[1]Cost Sheet'!$C:$D,2,0)</f>
        <v>79.680000000000007</v>
      </c>
      <c r="AS1629" s="5">
        <f t="shared" si="58"/>
        <v>3585.6000000000004</v>
      </c>
    </row>
    <row r="1630" spans="1:45" x14ac:dyDescent="0.3">
      <c r="A1630" s="1">
        <v>45900.963888888888</v>
      </c>
      <c r="B1630" t="s">
        <v>1473</v>
      </c>
      <c r="C1630" t="s">
        <v>1474</v>
      </c>
      <c r="D1630" t="s">
        <v>1125</v>
      </c>
      <c r="E1630" t="s">
        <v>1125</v>
      </c>
      <c r="F1630" t="s">
        <v>2012</v>
      </c>
      <c r="G1630" t="s">
        <v>1126</v>
      </c>
      <c r="H1630" t="s">
        <v>635</v>
      </c>
      <c r="I1630" t="s">
        <v>43</v>
      </c>
      <c r="J1630">
        <v>100</v>
      </c>
      <c r="K1630">
        <v>19</v>
      </c>
      <c r="L1630">
        <v>10</v>
      </c>
      <c r="M1630">
        <v>11</v>
      </c>
      <c r="N1630">
        <v>376</v>
      </c>
      <c r="O1630">
        <v>0</v>
      </c>
      <c r="P1630">
        <v>0</v>
      </c>
      <c r="Q1630" t="s">
        <v>44</v>
      </c>
      <c r="R1630" t="s">
        <v>44</v>
      </c>
      <c r="S1630" t="s">
        <v>44</v>
      </c>
      <c r="T1630" t="s">
        <v>44</v>
      </c>
      <c r="U1630" t="s">
        <v>44</v>
      </c>
      <c r="V1630">
        <v>70</v>
      </c>
      <c r="W1630" t="s">
        <v>44</v>
      </c>
      <c r="X1630" t="s">
        <v>44</v>
      </c>
      <c r="Y1630">
        <v>70</v>
      </c>
      <c r="Z1630" t="s">
        <v>44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70</v>
      </c>
      <c r="AQ1630">
        <f t="shared" si="59"/>
        <v>70</v>
      </c>
      <c r="AR1630" s="5">
        <f>VLOOKUP(F1630,'[1]Cost Sheet'!$C:$D,2,0)</f>
        <v>79.680000000000007</v>
      </c>
      <c r="AS1630" s="5">
        <f t="shared" si="58"/>
        <v>5577.6</v>
      </c>
    </row>
    <row r="1631" spans="1:45" x14ac:dyDescent="0.3">
      <c r="A1631" s="1">
        <v>45900.963888888888</v>
      </c>
      <c r="B1631" t="s">
        <v>1473</v>
      </c>
      <c r="C1631" t="s">
        <v>1474</v>
      </c>
      <c r="D1631" t="s">
        <v>712</v>
      </c>
      <c r="E1631" t="s">
        <v>712</v>
      </c>
      <c r="F1631" t="s">
        <v>1809</v>
      </c>
      <c r="G1631" t="s">
        <v>713</v>
      </c>
      <c r="H1631" t="s">
        <v>635</v>
      </c>
      <c r="I1631" t="s">
        <v>43</v>
      </c>
      <c r="J1631">
        <v>100</v>
      </c>
      <c r="K1631">
        <v>19</v>
      </c>
      <c r="L1631">
        <v>10</v>
      </c>
      <c r="M1631">
        <v>11</v>
      </c>
      <c r="N1631">
        <v>309</v>
      </c>
      <c r="O1631">
        <v>0</v>
      </c>
      <c r="P1631">
        <v>0</v>
      </c>
      <c r="Q1631" t="s">
        <v>44</v>
      </c>
      <c r="R1631" t="s">
        <v>44</v>
      </c>
      <c r="S1631" t="s">
        <v>44</v>
      </c>
      <c r="T1631" t="s">
        <v>44</v>
      </c>
      <c r="U1631" t="s">
        <v>44</v>
      </c>
      <c r="V1631">
        <v>55</v>
      </c>
      <c r="W1631" t="s">
        <v>44</v>
      </c>
      <c r="X1631" t="s">
        <v>44</v>
      </c>
      <c r="Y1631">
        <v>55</v>
      </c>
      <c r="Z1631" t="s">
        <v>44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55</v>
      </c>
      <c r="AQ1631">
        <f t="shared" si="59"/>
        <v>55</v>
      </c>
      <c r="AR1631" s="5">
        <f>VLOOKUP(F1631,'[1]Cost Sheet'!$C:$D,2,0)</f>
        <v>79.680000000000007</v>
      </c>
      <c r="AS1631" s="5">
        <f t="shared" si="58"/>
        <v>4382.4000000000005</v>
      </c>
    </row>
    <row r="1632" spans="1:45" x14ac:dyDescent="0.3">
      <c r="A1632" s="1">
        <v>45900.963888888888</v>
      </c>
      <c r="B1632" t="s">
        <v>1473</v>
      </c>
      <c r="C1632" t="s">
        <v>1474</v>
      </c>
      <c r="D1632" t="s">
        <v>1127</v>
      </c>
      <c r="E1632" t="s">
        <v>1127</v>
      </c>
      <c r="F1632" t="s">
        <v>2013</v>
      </c>
      <c r="G1632" t="s">
        <v>1128</v>
      </c>
      <c r="H1632" t="s">
        <v>635</v>
      </c>
      <c r="I1632" t="s">
        <v>43</v>
      </c>
      <c r="J1632">
        <v>100</v>
      </c>
      <c r="K1632">
        <v>19</v>
      </c>
      <c r="L1632">
        <v>10</v>
      </c>
      <c r="M1632">
        <v>11</v>
      </c>
      <c r="N1632">
        <v>258</v>
      </c>
      <c r="O1632">
        <v>0</v>
      </c>
      <c r="P1632">
        <v>0</v>
      </c>
      <c r="Q1632" t="s">
        <v>44</v>
      </c>
      <c r="R1632" t="s">
        <v>44</v>
      </c>
      <c r="S1632" t="s">
        <v>44</v>
      </c>
      <c r="T1632" t="s">
        <v>44</v>
      </c>
      <c r="U1632" t="s">
        <v>44</v>
      </c>
      <c r="V1632">
        <v>55</v>
      </c>
      <c r="W1632" t="s">
        <v>44</v>
      </c>
      <c r="X1632" t="s">
        <v>44</v>
      </c>
      <c r="Y1632">
        <v>55</v>
      </c>
      <c r="Z1632" t="s">
        <v>44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55</v>
      </c>
      <c r="AQ1632">
        <f t="shared" si="59"/>
        <v>55</v>
      </c>
      <c r="AR1632" s="5">
        <f>VLOOKUP(F1632,'[1]Cost Sheet'!$C:$D,2,0)</f>
        <v>79.680000000000007</v>
      </c>
      <c r="AS1632" s="5">
        <f t="shared" si="58"/>
        <v>4382.4000000000005</v>
      </c>
    </row>
    <row r="1633" spans="1:45" x14ac:dyDescent="0.3">
      <c r="A1633" s="1">
        <v>45900.963888888888</v>
      </c>
      <c r="B1633" t="s">
        <v>1473</v>
      </c>
      <c r="C1633" t="s">
        <v>1474</v>
      </c>
      <c r="D1633" t="s">
        <v>1129</v>
      </c>
      <c r="E1633" t="s">
        <v>1129</v>
      </c>
      <c r="F1633" t="s">
        <v>2014</v>
      </c>
      <c r="G1633" t="s">
        <v>1130</v>
      </c>
      <c r="H1633" t="s">
        <v>635</v>
      </c>
      <c r="I1633" t="s">
        <v>43</v>
      </c>
      <c r="J1633">
        <v>100</v>
      </c>
      <c r="K1633">
        <v>19</v>
      </c>
      <c r="L1633">
        <v>10</v>
      </c>
      <c r="M1633">
        <v>11</v>
      </c>
      <c r="N1633">
        <v>257</v>
      </c>
      <c r="O1633">
        <v>0</v>
      </c>
      <c r="P1633">
        <v>0</v>
      </c>
      <c r="Q1633" t="s">
        <v>44</v>
      </c>
      <c r="R1633" t="s">
        <v>44</v>
      </c>
      <c r="S1633" t="s">
        <v>44</v>
      </c>
      <c r="T1633" t="s">
        <v>44</v>
      </c>
      <c r="U1633" t="s">
        <v>44</v>
      </c>
      <c r="V1633">
        <v>56</v>
      </c>
      <c r="W1633" t="s">
        <v>44</v>
      </c>
      <c r="X1633" t="s">
        <v>44</v>
      </c>
      <c r="Y1633">
        <v>56</v>
      </c>
      <c r="Z1633" t="s">
        <v>44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56</v>
      </c>
      <c r="AQ1633">
        <f t="shared" si="59"/>
        <v>56</v>
      </c>
      <c r="AR1633" s="5">
        <f>VLOOKUP(F1633,'[1]Cost Sheet'!$C:$D,2,0)</f>
        <v>79.680000000000007</v>
      </c>
      <c r="AS1633" s="5">
        <f t="shared" si="58"/>
        <v>4462.08</v>
      </c>
    </row>
    <row r="1634" spans="1:45" x14ac:dyDescent="0.3">
      <c r="A1634" s="1">
        <v>45900.963888888888</v>
      </c>
      <c r="B1634" t="s">
        <v>1473</v>
      </c>
      <c r="C1634" t="s">
        <v>1474</v>
      </c>
      <c r="D1634" t="s">
        <v>714</v>
      </c>
      <c r="E1634" t="s">
        <v>714</v>
      </c>
      <c r="F1634" t="s">
        <v>1810</v>
      </c>
      <c r="G1634" t="s">
        <v>715</v>
      </c>
      <c r="H1634" t="s">
        <v>635</v>
      </c>
      <c r="I1634" t="s">
        <v>43</v>
      </c>
      <c r="J1634">
        <v>100</v>
      </c>
      <c r="K1634">
        <v>19</v>
      </c>
      <c r="L1634">
        <v>10</v>
      </c>
      <c r="M1634">
        <v>11</v>
      </c>
      <c r="N1634">
        <v>197</v>
      </c>
      <c r="O1634">
        <v>0</v>
      </c>
      <c r="P1634">
        <v>0</v>
      </c>
      <c r="Q1634" t="s">
        <v>44</v>
      </c>
      <c r="R1634" t="s">
        <v>44</v>
      </c>
      <c r="S1634" t="s">
        <v>44</v>
      </c>
      <c r="T1634" t="s">
        <v>44</v>
      </c>
      <c r="U1634" t="s">
        <v>44</v>
      </c>
      <c r="V1634">
        <v>56</v>
      </c>
      <c r="W1634" t="s">
        <v>44</v>
      </c>
      <c r="X1634" t="s">
        <v>44</v>
      </c>
      <c r="Y1634">
        <v>56</v>
      </c>
      <c r="Z1634" t="s">
        <v>44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56</v>
      </c>
      <c r="AQ1634">
        <f t="shared" si="59"/>
        <v>56</v>
      </c>
      <c r="AR1634" s="5">
        <f>VLOOKUP(F1634,'[1]Cost Sheet'!$C:$D,2,0)</f>
        <v>79.680000000000007</v>
      </c>
      <c r="AS1634" s="5">
        <f t="shared" si="58"/>
        <v>4462.08</v>
      </c>
    </row>
    <row r="1635" spans="1:45" x14ac:dyDescent="0.3">
      <c r="A1635" s="1">
        <v>45900.963888888888</v>
      </c>
      <c r="B1635" t="s">
        <v>1473</v>
      </c>
      <c r="C1635" t="s">
        <v>1474</v>
      </c>
      <c r="D1635" t="s">
        <v>1131</v>
      </c>
      <c r="E1635" t="s">
        <v>1131</v>
      </c>
      <c r="F1635" t="s">
        <v>2015</v>
      </c>
      <c r="G1635" t="s">
        <v>1132</v>
      </c>
      <c r="H1635" t="s">
        <v>635</v>
      </c>
      <c r="I1635" t="s">
        <v>43</v>
      </c>
      <c r="J1635">
        <v>100</v>
      </c>
      <c r="K1635">
        <v>19</v>
      </c>
      <c r="L1635">
        <v>10</v>
      </c>
      <c r="M1635">
        <v>11</v>
      </c>
      <c r="N1635">
        <v>260</v>
      </c>
      <c r="O1635">
        <v>0</v>
      </c>
      <c r="P1635">
        <v>0</v>
      </c>
      <c r="Q1635" t="s">
        <v>44</v>
      </c>
      <c r="R1635" t="s">
        <v>44</v>
      </c>
      <c r="S1635" t="s">
        <v>44</v>
      </c>
      <c r="T1635" t="s">
        <v>44</v>
      </c>
      <c r="U1635" t="s">
        <v>44</v>
      </c>
      <c r="V1635">
        <v>56</v>
      </c>
      <c r="W1635" t="s">
        <v>44</v>
      </c>
      <c r="X1635" t="s">
        <v>44</v>
      </c>
      <c r="Y1635">
        <v>56</v>
      </c>
      <c r="Z1635" t="s">
        <v>44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56</v>
      </c>
      <c r="AQ1635">
        <f t="shared" si="59"/>
        <v>56</v>
      </c>
      <c r="AR1635" s="5">
        <f>VLOOKUP(F1635,'[1]Cost Sheet'!$C:$D,2,0)</f>
        <v>79.680000000000007</v>
      </c>
      <c r="AS1635" s="5">
        <f t="shared" si="58"/>
        <v>4462.08</v>
      </c>
    </row>
    <row r="1636" spans="1:45" x14ac:dyDescent="0.3">
      <c r="A1636" s="1">
        <v>45900.963888888888</v>
      </c>
      <c r="B1636" t="s">
        <v>1473</v>
      </c>
      <c r="C1636" t="s">
        <v>1474</v>
      </c>
      <c r="D1636" t="s">
        <v>1133</v>
      </c>
      <c r="E1636" t="s">
        <v>1133</v>
      </c>
      <c r="F1636" t="s">
        <v>2016</v>
      </c>
      <c r="G1636" t="s">
        <v>1134</v>
      </c>
      <c r="H1636" t="s">
        <v>635</v>
      </c>
      <c r="I1636" t="s">
        <v>43</v>
      </c>
      <c r="J1636">
        <v>100</v>
      </c>
      <c r="K1636">
        <v>19</v>
      </c>
      <c r="L1636">
        <v>10</v>
      </c>
      <c r="M1636">
        <v>11</v>
      </c>
      <c r="N1636">
        <v>63</v>
      </c>
      <c r="O1636">
        <v>0</v>
      </c>
      <c r="P1636">
        <v>0</v>
      </c>
      <c r="Q1636" t="s">
        <v>44</v>
      </c>
      <c r="R1636" t="s">
        <v>44</v>
      </c>
      <c r="S1636" t="s">
        <v>44</v>
      </c>
      <c r="T1636" t="s">
        <v>44</v>
      </c>
      <c r="U1636" t="s">
        <v>44</v>
      </c>
      <c r="V1636">
        <v>34</v>
      </c>
      <c r="W1636" t="s">
        <v>44</v>
      </c>
      <c r="X1636" t="s">
        <v>44</v>
      </c>
      <c r="Y1636">
        <v>34</v>
      </c>
      <c r="Z1636" t="s">
        <v>44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34</v>
      </c>
      <c r="AQ1636">
        <f t="shared" si="59"/>
        <v>34</v>
      </c>
      <c r="AR1636" s="5">
        <f>VLOOKUP(F1636,'[1]Cost Sheet'!$C:$D,2,0)</f>
        <v>168.55</v>
      </c>
      <c r="AS1636" s="5">
        <f t="shared" si="58"/>
        <v>5730.7000000000007</v>
      </c>
    </row>
    <row r="1637" spans="1:45" x14ac:dyDescent="0.3">
      <c r="A1637" s="1">
        <v>45900.963888888888</v>
      </c>
      <c r="B1637" t="s">
        <v>1473</v>
      </c>
      <c r="C1637" t="s">
        <v>1474</v>
      </c>
      <c r="D1637" t="s">
        <v>1135</v>
      </c>
      <c r="E1637" t="s">
        <v>1135</v>
      </c>
      <c r="F1637" t="s">
        <v>2017</v>
      </c>
      <c r="G1637" t="s">
        <v>1136</v>
      </c>
      <c r="H1637" t="s">
        <v>635</v>
      </c>
      <c r="I1637" t="s">
        <v>43</v>
      </c>
      <c r="J1637">
        <v>100</v>
      </c>
      <c r="K1637">
        <v>19</v>
      </c>
      <c r="L1637">
        <v>10</v>
      </c>
      <c r="M1637">
        <v>11</v>
      </c>
      <c r="N1637">
        <v>93</v>
      </c>
      <c r="O1637">
        <v>0</v>
      </c>
      <c r="P1637">
        <v>0</v>
      </c>
      <c r="Q1637" t="s">
        <v>44</v>
      </c>
      <c r="R1637" t="s">
        <v>44</v>
      </c>
      <c r="S1637" t="s">
        <v>44</v>
      </c>
      <c r="T1637" t="s">
        <v>44</v>
      </c>
      <c r="U1637" t="s">
        <v>44</v>
      </c>
      <c r="V1637">
        <v>64</v>
      </c>
      <c r="W1637" t="s">
        <v>44</v>
      </c>
      <c r="X1637" t="s">
        <v>44</v>
      </c>
      <c r="Y1637">
        <v>64</v>
      </c>
      <c r="Z1637" t="s">
        <v>44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64</v>
      </c>
      <c r="AQ1637">
        <f t="shared" si="59"/>
        <v>64</v>
      </c>
      <c r="AR1637" s="5">
        <f>VLOOKUP(F1637,'[1]Cost Sheet'!$C:$D,2,0)</f>
        <v>168.55</v>
      </c>
      <c r="AS1637" s="5">
        <f t="shared" si="58"/>
        <v>10787.2</v>
      </c>
    </row>
    <row r="1638" spans="1:45" x14ac:dyDescent="0.3">
      <c r="A1638" s="1">
        <v>45900.963888888888</v>
      </c>
      <c r="B1638" t="s">
        <v>1473</v>
      </c>
      <c r="C1638" t="s">
        <v>1474</v>
      </c>
      <c r="D1638" t="s">
        <v>1137</v>
      </c>
      <c r="E1638" t="s">
        <v>1137</v>
      </c>
      <c r="F1638" t="s">
        <v>2018</v>
      </c>
      <c r="G1638" t="s">
        <v>1138</v>
      </c>
      <c r="H1638" t="s">
        <v>635</v>
      </c>
      <c r="I1638" t="s">
        <v>43</v>
      </c>
      <c r="J1638">
        <v>100</v>
      </c>
      <c r="K1638">
        <v>19</v>
      </c>
      <c r="L1638">
        <v>10</v>
      </c>
      <c r="M1638">
        <v>11</v>
      </c>
      <c r="N1638">
        <v>134</v>
      </c>
      <c r="O1638">
        <v>0</v>
      </c>
      <c r="P1638">
        <v>0</v>
      </c>
      <c r="Q1638" t="s">
        <v>44</v>
      </c>
      <c r="R1638" t="s">
        <v>44</v>
      </c>
      <c r="S1638" t="s">
        <v>44</v>
      </c>
      <c r="T1638" t="s">
        <v>44</v>
      </c>
      <c r="U1638" t="s">
        <v>44</v>
      </c>
      <c r="V1638">
        <v>54</v>
      </c>
      <c r="W1638" t="s">
        <v>44</v>
      </c>
      <c r="X1638" t="s">
        <v>44</v>
      </c>
      <c r="Y1638">
        <v>54</v>
      </c>
      <c r="Z1638" t="s">
        <v>44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54</v>
      </c>
      <c r="AQ1638">
        <f t="shared" si="59"/>
        <v>54</v>
      </c>
      <c r="AR1638" s="5">
        <f>VLOOKUP(F1638,'[1]Cost Sheet'!$C:$D,2,0)</f>
        <v>73.05</v>
      </c>
      <c r="AS1638" s="5">
        <f t="shared" si="58"/>
        <v>3944.7</v>
      </c>
    </row>
    <row r="1639" spans="1:45" x14ac:dyDescent="0.3">
      <c r="A1639" s="1">
        <v>45900.963888888888</v>
      </c>
      <c r="B1639" t="s">
        <v>1473</v>
      </c>
      <c r="C1639" t="s">
        <v>1474</v>
      </c>
      <c r="D1639" t="s">
        <v>1139</v>
      </c>
      <c r="E1639" t="s">
        <v>1139</v>
      </c>
      <c r="F1639" t="s">
        <v>2019</v>
      </c>
      <c r="G1639" t="s">
        <v>1140</v>
      </c>
      <c r="H1639" t="s">
        <v>635</v>
      </c>
      <c r="I1639" t="s">
        <v>43</v>
      </c>
      <c r="J1639">
        <v>100</v>
      </c>
      <c r="K1639">
        <v>19</v>
      </c>
      <c r="L1639">
        <v>10</v>
      </c>
      <c r="M1639">
        <v>11</v>
      </c>
      <c r="N1639">
        <v>138</v>
      </c>
      <c r="O1639">
        <v>0</v>
      </c>
      <c r="P1639">
        <v>0</v>
      </c>
      <c r="Q1639" t="s">
        <v>44</v>
      </c>
      <c r="R1639" t="s">
        <v>44</v>
      </c>
      <c r="S1639" t="s">
        <v>44</v>
      </c>
      <c r="T1639" t="s">
        <v>44</v>
      </c>
      <c r="U1639" t="s">
        <v>44</v>
      </c>
      <c r="V1639">
        <v>53</v>
      </c>
      <c r="W1639" t="s">
        <v>44</v>
      </c>
      <c r="X1639" t="s">
        <v>44</v>
      </c>
      <c r="Y1639">
        <v>53</v>
      </c>
      <c r="Z1639" t="s">
        <v>44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53</v>
      </c>
      <c r="AQ1639">
        <f t="shared" si="59"/>
        <v>53</v>
      </c>
      <c r="AR1639" s="5">
        <f>VLOOKUP(F1639,'[1]Cost Sheet'!$C:$D,2,0)</f>
        <v>73.05</v>
      </c>
      <c r="AS1639" s="5">
        <f t="shared" si="58"/>
        <v>3871.6499999999996</v>
      </c>
    </row>
    <row r="1640" spans="1:45" x14ac:dyDescent="0.3">
      <c r="A1640" s="1">
        <v>45900.963888888888</v>
      </c>
      <c r="B1640" t="s">
        <v>1473</v>
      </c>
      <c r="C1640" t="s">
        <v>1474</v>
      </c>
      <c r="D1640" t="s">
        <v>1141</v>
      </c>
      <c r="E1640" t="s">
        <v>1141</v>
      </c>
      <c r="F1640" t="s">
        <v>2020</v>
      </c>
      <c r="G1640" t="s">
        <v>1142</v>
      </c>
      <c r="H1640" t="s">
        <v>635</v>
      </c>
      <c r="I1640" t="s">
        <v>43</v>
      </c>
      <c r="J1640">
        <v>100</v>
      </c>
      <c r="K1640">
        <v>19</v>
      </c>
      <c r="L1640">
        <v>10</v>
      </c>
      <c r="M1640">
        <v>11</v>
      </c>
      <c r="N1640">
        <v>136</v>
      </c>
      <c r="O1640">
        <v>0</v>
      </c>
      <c r="P1640">
        <v>0</v>
      </c>
      <c r="Q1640" t="s">
        <v>44</v>
      </c>
      <c r="R1640" t="s">
        <v>44</v>
      </c>
      <c r="S1640" t="s">
        <v>44</v>
      </c>
      <c r="T1640" t="s">
        <v>44</v>
      </c>
      <c r="U1640" t="s">
        <v>44</v>
      </c>
      <c r="V1640">
        <v>54</v>
      </c>
      <c r="W1640" t="s">
        <v>44</v>
      </c>
      <c r="X1640" t="s">
        <v>44</v>
      </c>
      <c r="Y1640">
        <v>54</v>
      </c>
      <c r="Z1640" t="s">
        <v>44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54</v>
      </c>
      <c r="AQ1640">
        <f t="shared" si="59"/>
        <v>54</v>
      </c>
      <c r="AR1640" s="5">
        <f>VLOOKUP(F1640,'[1]Cost Sheet'!$C:$D,2,0)</f>
        <v>73.05</v>
      </c>
      <c r="AS1640" s="5">
        <f t="shared" si="58"/>
        <v>3944.7</v>
      </c>
    </row>
    <row r="1641" spans="1:45" x14ac:dyDescent="0.3">
      <c r="A1641" s="1">
        <v>45900.963888888888</v>
      </c>
      <c r="B1641" t="s">
        <v>1473</v>
      </c>
      <c r="C1641" t="s">
        <v>1474</v>
      </c>
      <c r="D1641" t="s">
        <v>1143</v>
      </c>
      <c r="E1641" t="s">
        <v>1143</v>
      </c>
      <c r="F1641" t="s">
        <v>2021</v>
      </c>
      <c r="G1641" t="s">
        <v>1144</v>
      </c>
      <c r="H1641" t="s">
        <v>635</v>
      </c>
      <c r="I1641" t="s">
        <v>43</v>
      </c>
      <c r="J1641">
        <v>100</v>
      </c>
      <c r="K1641">
        <v>19</v>
      </c>
      <c r="L1641">
        <v>10</v>
      </c>
      <c r="M1641">
        <v>11</v>
      </c>
      <c r="N1641">
        <v>140</v>
      </c>
      <c r="O1641">
        <v>0</v>
      </c>
      <c r="P1641">
        <v>0</v>
      </c>
      <c r="Q1641" t="s">
        <v>44</v>
      </c>
      <c r="R1641" t="s">
        <v>44</v>
      </c>
      <c r="S1641" t="s">
        <v>44</v>
      </c>
      <c r="T1641" t="s">
        <v>44</v>
      </c>
      <c r="U1641" t="s">
        <v>44</v>
      </c>
      <c r="V1641">
        <v>53</v>
      </c>
      <c r="W1641" t="s">
        <v>44</v>
      </c>
      <c r="X1641" t="s">
        <v>44</v>
      </c>
      <c r="Y1641">
        <v>53</v>
      </c>
      <c r="Z1641" t="s">
        <v>44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53</v>
      </c>
      <c r="AQ1641">
        <f t="shared" si="59"/>
        <v>53</v>
      </c>
      <c r="AR1641" s="5">
        <f>VLOOKUP(F1641,'[1]Cost Sheet'!$C:$D,2,0)</f>
        <v>73.05</v>
      </c>
      <c r="AS1641" s="5">
        <f t="shared" si="58"/>
        <v>3871.6499999999996</v>
      </c>
    </row>
    <row r="1642" spans="1:45" x14ac:dyDescent="0.3">
      <c r="A1642" s="1">
        <v>45900.963888888888</v>
      </c>
      <c r="B1642" t="s">
        <v>1473</v>
      </c>
      <c r="C1642" t="s">
        <v>1474</v>
      </c>
      <c r="D1642" t="s">
        <v>1145</v>
      </c>
      <c r="E1642" t="s">
        <v>1145</v>
      </c>
      <c r="F1642" t="s">
        <v>2022</v>
      </c>
      <c r="G1642" t="s">
        <v>1146</v>
      </c>
      <c r="H1642" t="s">
        <v>635</v>
      </c>
      <c r="I1642" t="s">
        <v>43</v>
      </c>
      <c r="J1642">
        <v>100</v>
      </c>
      <c r="K1642">
        <v>19</v>
      </c>
      <c r="L1642">
        <v>10</v>
      </c>
      <c r="M1642">
        <v>11</v>
      </c>
      <c r="N1642">
        <v>112</v>
      </c>
      <c r="O1642">
        <v>0</v>
      </c>
      <c r="P1642">
        <v>0</v>
      </c>
      <c r="Q1642" t="s">
        <v>44</v>
      </c>
      <c r="R1642" t="s">
        <v>44</v>
      </c>
      <c r="S1642" t="s">
        <v>44</v>
      </c>
      <c r="T1642" t="s">
        <v>44</v>
      </c>
      <c r="U1642" t="s">
        <v>44</v>
      </c>
      <c r="V1642">
        <v>63</v>
      </c>
      <c r="W1642" t="s">
        <v>44</v>
      </c>
      <c r="X1642" t="s">
        <v>44</v>
      </c>
      <c r="Y1642">
        <v>63</v>
      </c>
      <c r="Z1642" t="s">
        <v>44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63</v>
      </c>
      <c r="AQ1642">
        <f t="shared" si="59"/>
        <v>63</v>
      </c>
      <c r="AR1642" s="5">
        <f>VLOOKUP(F1642,'[1]Cost Sheet'!$C:$D,2,0)</f>
        <v>98.3</v>
      </c>
      <c r="AS1642" s="5">
        <f t="shared" si="58"/>
        <v>6192.9</v>
      </c>
    </row>
    <row r="1643" spans="1:45" x14ac:dyDescent="0.3">
      <c r="A1643" s="1">
        <v>45900.963888888888</v>
      </c>
      <c r="B1643" t="s">
        <v>1473</v>
      </c>
      <c r="C1643" t="s">
        <v>1474</v>
      </c>
      <c r="D1643" t="s">
        <v>1147</v>
      </c>
      <c r="E1643" t="s">
        <v>1147</v>
      </c>
      <c r="F1643" t="s">
        <v>2023</v>
      </c>
      <c r="G1643" t="s">
        <v>1148</v>
      </c>
      <c r="H1643" t="s">
        <v>635</v>
      </c>
      <c r="I1643" t="s">
        <v>43</v>
      </c>
      <c r="J1643">
        <v>100</v>
      </c>
      <c r="K1643">
        <v>19</v>
      </c>
      <c r="L1643">
        <v>10</v>
      </c>
      <c r="M1643">
        <v>11</v>
      </c>
      <c r="N1643">
        <v>153</v>
      </c>
      <c r="O1643">
        <v>0</v>
      </c>
      <c r="P1643">
        <v>0</v>
      </c>
      <c r="Q1643" t="s">
        <v>44</v>
      </c>
      <c r="R1643" t="s">
        <v>44</v>
      </c>
      <c r="S1643" t="s">
        <v>44</v>
      </c>
      <c r="T1643" t="s">
        <v>44</v>
      </c>
      <c r="U1643" t="s">
        <v>44</v>
      </c>
      <c r="V1643">
        <v>37</v>
      </c>
      <c r="W1643" t="s">
        <v>44</v>
      </c>
      <c r="X1643" t="s">
        <v>44</v>
      </c>
      <c r="Y1643">
        <v>37</v>
      </c>
      <c r="Z1643" t="s">
        <v>44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37</v>
      </c>
      <c r="AQ1643">
        <f t="shared" si="59"/>
        <v>37</v>
      </c>
      <c r="AR1643" s="5">
        <f>VLOOKUP(F1643,'[1]Cost Sheet'!$C:$D,2,0)</f>
        <v>98.3</v>
      </c>
      <c r="AS1643" s="5">
        <f t="shared" si="58"/>
        <v>3637.1</v>
      </c>
    </row>
    <row r="1644" spans="1:45" x14ac:dyDescent="0.3">
      <c r="A1644" s="1">
        <v>45900.963888888888</v>
      </c>
      <c r="B1644" t="s">
        <v>1473</v>
      </c>
      <c r="C1644" t="s">
        <v>1474</v>
      </c>
      <c r="D1644" t="s">
        <v>1149</v>
      </c>
      <c r="E1644" t="s">
        <v>1149</v>
      </c>
      <c r="F1644" t="s">
        <v>2024</v>
      </c>
      <c r="G1644" t="s">
        <v>1150</v>
      </c>
      <c r="H1644" t="s">
        <v>635</v>
      </c>
      <c r="I1644" t="s">
        <v>43</v>
      </c>
      <c r="J1644">
        <v>100</v>
      </c>
      <c r="K1644">
        <v>19</v>
      </c>
      <c r="L1644">
        <v>10</v>
      </c>
      <c r="M1644">
        <v>11</v>
      </c>
      <c r="N1644">
        <v>122</v>
      </c>
      <c r="O1644">
        <v>0</v>
      </c>
      <c r="P1644">
        <v>0</v>
      </c>
      <c r="Q1644" t="s">
        <v>44</v>
      </c>
      <c r="R1644" t="s">
        <v>44</v>
      </c>
      <c r="S1644" t="s">
        <v>44</v>
      </c>
      <c r="T1644" t="s">
        <v>44</v>
      </c>
      <c r="U1644" t="s">
        <v>44</v>
      </c>
      <c r="V1644">
        <v>35</v>
      </c>
      <c r="W1644" t="s">
        <v>44</v>
      </c>
      <c r="X1644" t="s">
        <v>44</v>
      </c>
      <c r="Y1644">
        <v>35</v>
      </c>
      <c r="Z1644" t="s">
        <v>44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35</v>
      </c>
      <c r="AQ1644">
        <f t="shared" si="59"/>
        <v>35</v>
      </c>
      <c r="AR1644" s="5">
        <f>VLOOKUP(F1644,'[1]Cost Sheet'!$C:$D,2,0)</f>
        <v>98.3</v>
      </c>
      <c r="AS1644" s="5">
        <f t="shared" si="58"/>
        <v>3440.5</v>
      </c>
    </row>
    <row r="1645" spans="1:45" x14ac:dyDescent="0.3">
      <c r="A1645" s="1">
        <v>45900.963888888888</v>
      </c>
      <c r="B1645" t="s">
        <v>1473</v>
      </c>
      <c r="C1645" t="s">
        <v>1474</v>
      </c>
      <c r="D1645" t="s">
        <v>1151</v>
      </c>
      <c r="E1645" t="s">
        <v>1151</v>
      </c>
      <c r="F1645" t="s">
        <v>2025</v>
      </c>
      <c r="G1645" t="s">
        <v>1152</v>
      </c>
      <c r="H1645" t="s">
        <v>635</v>
      </c>
      <c r="I1645" t="s">
        <v>43</v>
      </c>
      <c r="J1645">
        <v>100</v>
      </c>
      <c r="K1645">
        <v>19</v>
      </c>
      <c r="L1645">
        <v>10</v>
      </c>
      <c r="M1645">
        <v>11</v>
      </c>
      <c r="N1645">
        <v>207</v>
      </c>
      <c r="O1645">
        <v>0</v>
      </c>
      <c r="P1645">
        <v>0</v>
      </c>
      <c r="Q1645" t="s">
        <v>44</v>
      </c>
      <c r="R1645" t="s">
        <v>44</v>
      </c>
      <c r="S1645" t="s">
        <v>44</v>
      </c>
      <c r="T1645" t="s">
        <v>44</v>
      </c>
      <c r="U1645" t="s">
        <v>44</v>
      </c>
      <c r="V1645">
        <v>65</v>
      </c>
      <c r="W1645" t="s">
        <v>44</v>
      </c>
      <c r="X1645" t="s">
        <v>44</v>
      </c>
      <c r="Y1645">
        <v>65</v>
      </c>
      <c r="Z1645" t="s">
        <v>44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65</v>
      </c>
      <c r="AQ1645">
        <f t="shared" si="59"/>
        <v>65</v>
      </c>
      <c r="AR1645" s="5">
        <f>VLOOKUP(F1645,'[1]Cost Sheet'!$C:$D,2,0)</f>
        <v>98.3</v>
      </c>
      <c r="AS1645" s="5">
        <f t="shared" si="58"/>
        <v>6389.5</v>
      </c>
    </row>
    <row r="1646" spans="1:45" x14ac:dyDescent="0.3">
      <c r="A1646" s="1">
        <v>45900.963888888888</v>
      </c>
      <c r="B1646" t="s">
        <v>1473</v>
      </c>
      <c r="C1646" t="s">
        <v>1474</v>
      </c>
      <c r="D1646" t="s">
        <v>1153</v>
      </c>
      <c r="E1646" t="s">
        <v>1153</v>
      </c>
      <c r="F1646" t="s">
        <v>2026</v>
      </c>
      <c r="G1646" t="s">
        <v>1154</v>
      </c>
      <c r="H1646" t="s">
        <v>635</v>
      </c>
      <c r="I1646" t="s">
        <v>43</v>
      </c>
      <c r="J1646">
        <v>100</v>
      </c>
      <c r="K1646">
        <v>19</v>
      </c>
      <c r="L1646">
        <v>10</v>
      </c>
      <c r="M1646">
        <v>11</v>
      </c>
      <c r="N1646">
        <v>83</v>
      </c>
      <c r="O1646">
        <v>0</v>
      </c>
      <c r="P1646">
        <v>0</v>
      </c>
      <c r="Q1646" t="s">
        <v>44</v>
      </c>
      <c r="R1646" t="s">
        <v>44</v>
      </c>
      <c r="S1646" t="s">
        <v>44</v>
      </c>
      <c r="T1646" t="s">
        <v>44</v>
      </c>
      <c r="U1646" t="s">
        <v>44</v>
      </c>
      <c r="V1646">
        <v>34</v>
      </c>
      <c r="W1646" t="s">
        <v>44</v>
      </c>
      <c r="X1646" t="s">
        <v>44</v>
      </c>
      <c r="Y1646">
        <v>34</v>
      </c>
      <c r="Z1646" t="s">
        <v>44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34</v>
      </c>
      <c r="AQ1646">
        <f t="shared" si="59"/>
        <v>34</v>
      </c>
      <c r="AR1646" s="5">
        <f>VLOOKUP(F1646,'[1]Cost Sheet'!$C:$D,2,0)</f>
        <v>98.3</v>
      </c>
      <c r="AS1646" s="5">
        <f t="shared" si="58"/>
        <v>3342.2</v>
      </c>
    </row>
    <row r="1647" spans="1:45" x14ac:dyDescent="0.3">
      <c r="A1647" s="1">
        <v>45900.963888888888</v>
      </c>
      <c r="B1647" t="s">
        <v>1473</v>
      </c>
      <c r="C1647" t="s">
        <v>1474</v>
      </c>
      <c r="D1647" t="s">
        <v>1155</v>
      </c>
      <c r="E1647" t="s">
        <v>1155</v>
      </c>
      <c r="F1647" t="s">
        <v>2027</v>
      </c>
      <c r="G1647" t="s">
        <v>1156</v>
      </c>
      <c r="H1647" t="s">
        <v>635</v>
      </c>
      <c r="I1647" t="s">
        <v>43</v>
      </c>
      <c r="J1647">
        <v>100</v>
      </c>
      <c r="K1647">
        <v>19</v>
      </c>
      <c r="L1647">
        <v>10</v>
      </c>
      <c r="M1647">
        <v>11</v>
      </c>
      <c r="N1647">
        <v>83</v>
      </c>
      <c r="O1647">
        <v>0</v>
      </c>
      <c r="P1647">
        <v>0</v>
      </c>
      <c r="Q1647" t="s">
        <v>44</v>
      </c>
      <c r="R1647" t="s">
        <v>44</v>
      </c>
      <c r="S1647" t="s">
        <v>44</v>
      </c>
      <c r="T1647" t="s">
        <v>44</v>
      </c>
      <c r="U1647" t="s">
        <v>44</v>
      </c>
      <c r="V1647">
        <v>35</v>
      </c>
      <c r="W1647" t="s">
        <v>44</v>
      </c>
      <c r="X1647" t="s">
        <v>44</v>
      </c>
      <c r="Y1647">
        <v>35</v>
      </c>
      <c r="Z1647" t="s">
        <v>44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35</v>
      </c>
      <c r="AQ1647">
        <f t="shared" si="59"/>
        <v>35</v>
      </c>
      <c r="AR1647" s="5">
        <f>VLOOKUP(F1647,'[1]Cost Sheet'!$C:$D,2,0)</f>
        <v>98.3</v>
      </c>
      <c r="AS1647" s="5">
        <f t="shared" si="58"/>
        <v>3440.5</v>
      </c>
    </row>
    <row r="1648" spans="1:45" x14ac:dyDescent="0.3">
      <c r="A1648" s="1">
        <v>45900.963888888888</v>
      </c>
      <c r="B1648" t="s">
        <v>1473</v>
      </c>
      <c r="C1648" t="s">
        <v>1474</v>
      </c>
      <c r="D1648" t="s">
        <v>1157</v>
      </c>
      <c r="E1648" t="s">
        <v>1157</v>
      </c>
      <c r="F1648" t="s">
        <v>2028</v>
      </c>
      <c r="G1648" t="s">
        <v>1158</v>
      </c>
      <c r="H1648" t="s">
        <v>635</v>
      </c>
      <c r="I1648" t="s">
        <v>43</v>
      </c>
      <c r="J1648">
        <v>100</v>
      </c>
      <c r="K1648">
        <v>19</v>
      </c>
      <c r="L1648">
        <v>10</v>
      </c>
      <c r="M1648">
        <v>11</v>
      </c>
      <c r="N1648">
        <v>115</v>
      </c>
      <c r="O1648">
        <v>0</v>
      </c>
      <c r="P1648">
        <v>0</v>
      </c>
      <c r="Q1648" t="s">
        <v>44</v>
      </c>
      <c r="R1648" t="s">
        <v>44</v>
      </c>
      <c r="S1648" t="s">
        <v>44</v>
      </c>
      <c r="T1648" t="s">
        <v>44</v>
      </c>
      <c r="U1648" t="s">
        <v>44</v>
      </c>
      <c r="V1648">
        <v>39</v>
      </c>
      <c r="W1648" t="s">
        <v>44</v>
      </c>
      <c r="X1648" t="s">
        <v>44</v>
      </c>
      <c r="Y1648">
        <v>39</v>
      </c>
      <c r="Z1648" t="s">
        <v>44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39</v>
      </c>
      <c r="AQ1648">
        <f t="shared" si="59"/>
        <v>39</v>
      </c>
      <c r="AR1648" s="5">
        <f>VLOOKUP(F1648,'[1]Cost Sheet'!$C:$D,2,0)</f>
        <v>98.299999999999983</v>
      </c>
      <c r="AS1648" s="5">
        <f t="shared" si="58"/>
        <v>3833.6999999999994</v>
      </c>
    </row>
    <row r="1649" spans="1:45" x14ac:dyDescent="0.3">
      <c r="A1649" s="1">
        <v>45900.963888888888</v>
      </c>
      <c r="B1649" t="s">
        <v>1473</v>
      </c>
      <c r="C1649" t="s">
        <v>1474</v>
      </c>
      <c r="D1649" t="s">
        <v>1159</v>
      </c>
      <c r="E1649" t="s">
        <v>1159</v>
      </c>
      <c r="F1649" t="s">
        <v>2029</v>
      </c>
      <c r="G1649" t="s">
        <v>1160</v>
      </c>
      <c r="H1649" t="s">
        <v>635</v>
      </c>
      <c r="I1649" t="s">
        <v>43</v>
      </c>
      <c r="J1649">
        <v>100</v>
      </c>
      <c r="K1649">
        <v>19</v>
      </c>
      <c r="L1649">
        <v>10</v>
      </c>
      <c r="M1649">
        <v>11</v>
      </c>
      <c r="N1649">
        <v>83</v>
      </c>
      <c r="O1649">
        <v>0</v>
      </c>
      <c r="P1649">
        <v>0</v>
      </c>
      <c r="Q1649" t="s">
        <v>44</v>
      </c>
      <c r="R1649" t="s">
        <v>44</v>
      </c>
      <c r="S1649" t="s">
        <v>44</v>
      </c>
      <c r="T1649" t="s">
        <v>44</v>
      </c>
      <c r="U1649" t="s">
        <v>44</v>
      </c>
      <c r="V1649">
        <v>37</v>
      </c>
      <c r="W1649" t="s">
        <v>44</v>
      </c>
      <c r="X1649" t="s">
        <v>44</v>
      </c>
      <c r="Y1649">
        <v>37</v>
      </c>
      <c r="Z1649" t="s">
        <v>44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37</v>
      </c>
      <c r="AQ1649">
        <f t="shared" si="59"/>
        <v>37</v>
      </c>
      <c r="AR1649" s="5">
        <f>VLOOKUP(F1649,'[1]Cost Sheet'!$C:$D,2,0)</f>
        <v>98.3</v>
      </c>
      <c r="AS1649" s="5">
        <f t="shared" si="58"/>
        <v>3637.1</v>
      </c>
    </row>
    <row r="1650" spans="1:45" x14ac:dyDescent="0.3">
      <c r="A1650" s="1">
        <v>45900.963888888888</v>
      </c>
      <c r="B1650" t="s">
        <v>1473</v>
      </c>
      <c r="C1650" t="s">
        <v>1474</v>
      </c>
      <c r="D1650" t="s">
        <v>1161</v>
      </c>
      <c r="E1650" t="s">
        <v>1161</v>
      </c>
      <c r="F1650" t="s">
        <v>2030</v>
      </c>
      <c r="G1650" t="s">
        <v>1162</v>
      </c>
      <c r="H1650" t="s">
        <v>635</v>
      </c>
      <c r="I1650" t="s">
        <v>43</v>
      </c>
      <c r="J1650">
        <v>100</v>
      </c>
      <c r="K1650">
        <v>19</v>
      </c>
      <c r="L1650">
        <v>10</v>
      </c>
      <c r="M1650">
        <v>11</v>
      </c>
      <c r="N1650">
        <v>118</v>
      </c>
      <c r="O1650">
        <v>0</v>
      </c>
      <c r="P1650">
        <v>0</v>
      </c>
      <c r="Q1650" t="s">
        <v>44</v>
      </c>
      <c r="R1650" t="s">
        <v>44</v>
      </c>
      <c r="S1650" t="s">
        <v>44</v>
      </c>
      <c r="T1650" t="s">
        <v>44</v>
      </c>
      <c r="U1650" t="s">
        <v>44</v>
      </c>
      <c r="V1650">
        <v>34</v>
      </c>
      <c r="W1650" t="s">
        <v>44</v>
      </c>
      <c r="X1650" t="s">
        <v>44</v>
      </c>
      <c r="Y1650">
        <v>34</v>
      </c>
      <c r="Z1650" t="s">
        <v>44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34</v>
      </c>
      <c r="AQ1650">
        <f t="shared" si="59"/>
        <v>34</v>
      </c>
      <c r="AR1650" s="5">
        <f>VLOOKUP(F1650,'[1]Cost Sheet'!$C:$D,2,0)</f>
        <v>98.3</v>
      </c>
      <c r="AS1650" s="5">
        <f t="shared" si="58"/>
        <v>3342.2</v>
      </c>
    </row>
    <row r="1651" spans="1:45" x14ac:dyDescent="0.3">
      <c r="A1651" s="1">
        <v>45900.963888888888</v>
      </c>
      <c r="B1651" t="s">
        <v>1473</v>
      </c>
      <c r="C1651" t="s">
        <v>1474</v>
      </c>
      <c r="D1651" t="s">
        <v>1163</v>
      </c>
      <c r="E1651" t="s">
        <v>1163</v>
      </c>
      <c r="F1651" t="s">
        <v>2031</v>
      </c>
      <c r="G1651" t="s">
        <v>1164</v>
      </c>
      <c r="H1651" t="s">
        <v>635</v>
      </c>
      <c r="I1651" t="s">
        <v>43</v>
      </c>
      <c r="J1651">
        <v>100</v>
      </c>
      <c r="K1651">
        <v>19</v>
      </c>
      <c r="L1651">
        <v>10</v>
      </c>
      <c r="M1651">
        <v>11</v>
      </c>
      <c r="N1651">
        <v>115</v>
      </c>
      <c r="O1651">
        <v>0</v>
      </c>
      <c r="P1651">
        <v>0</v>
      </c>
      <c r="Q1651" t="s">
        <v>44</v>
      </c>
      <c r="R1651" t="s">
        <v>44</v>
      </c>
      <c r="S1651" t="s">
        <v>44</v>
      </c>
      <c r="T1651" t="s">
        <v>44</v>
      </c>
      <c r="U1651" t="s">
        <v>44</v>
      </c>
      <c r="V1651">
        <v>39</v>
      </c>
      <c r="W1651" t="s">
        <v>44</v>
      </c>
      <c r="X1651" t="s">
        <v>44</v>
      </c>
      <c r="Y1651">
        <v>39</v>
      </c>
      <c r="Z1651" t="s">
        <v>44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39</v>
      </c>
      <c r="AQ1651">
        <f t="shared" si="59"/>
        <v>39</v>
      </c>
      <c r="AR1651" s="5">
        <f>VLOOKUP(F1651,'[1]Cost Sheet'!$C:$D,2,0)</f>
        <v>98.3</v>
      </c>
      <c r="AS1651" s="5">
        <f t="shared" si="58"/>
        <v>3833.7</v>
      </c>
    </row>
    <row r="1652" spans="1:45" x14ac:dyDescent="0.3">
      <c r="A1652" s="1">
        <v>45900.963888888888</v>
      </c>
      <c r="B1652" t="s">
        <v>1473</v>
      </c>
      <c r="C1652" t="s">
        <v>1474</v>
      </c>
      <c r="D1652" t="s">
        <v>1165</v>
      </c>
      <c r="E1652" t="s">
        <v>1165</v>
      </c>
      <c r="F1652" t="s">
        <v>2032</v>
      </c>
      <c r="G1652" t="s">
        <v>1166</v>
      </c>
      <c r="H1652" t="s">
        <v>635</v>
      </c>
      <c r="I1652" t="s">
        <v>43</v>
      </c>
      <c r="J1652">
        <v>100</v>
      </c>
      <c r="K1652">
        <v>19</v>
      </c>
      <c r="L1652">
        <v>10</v>
      </c>
      <c r="M1652">
        <v>11</v>
      </c>
      <c r="N1652">
        <v>118</v>
      </c>
      <c r="O1652">
        <v>0</v>
      </c>
      <c r="P1652">
        <v>0</v>
      </c>
      <c r="Q1652" t="s">
        <v>44</v>
      </c>
      <c r="R1652" t="s">
        <v>44</v>
      </c>
      <c r="S1652" t="s">
        <v>44</v>
      </c>
      <c r="T1652" t="s">
        <v>44</v>
      </c>
      <c r="U1652" t="s">
        <v>44</v>
      </c>
      <c r="V1652">
        <v>37</v>
      </c>
      <c r="W1652" t="s">
        <v>44</v>
      </c>
      <c r="X1652" t="s">
        <v>44</v>
      </c>
      <c r="Y1652">
        <v>37</v>
      </c>
      <c r="Z1652" t="s">
        <v>44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37</v>
      </c>
      <c r="AQ1652">
        <f t="shared" si="59"/>
        <v>37</v>
      </c>
      <c r="AR1652" s="5">
        <f>VLOOKUP(F1652,'[1]Cost Sheet'!$C:$D,2,0)</f>
        <v>98.299999999999983</v>
      </c>
      <c r="AS1652" s="5">
        <f t="shared" si="58"/>
        <v>3637.0999999999995</v>
      </c>
    </row>
    <row r="1653" spans="1:45" x14ac:dyDescent="0.3">
      <c r="A1653" s="1">
        <v>45900.963888888888</v>
      </c>
      <c r="B1653" t="s">
        <v>1473</v>
      </c>
      <c r="C1653" t="s">
        <v>1474</v>
      </c>
      <c r="D1653" t="s">
        <v>1167</v>
      </c>
      <c r="E1653" t="s">
        <v>1167</v>
      </c>
      <c r="F1653" t="s">
        <v>2033</v>
      </c>
      <c r="G1653" t="s">
        <v>1168</v>
      </c>
      <c r="H1653" t="s">
        <v>635</v>
      </c>
      <c r="I1653" t="s">
        <v>43</v>
      </c>
      <c r="J1653">
        <v>100</v>
      </c>
      <c r="K1653">
        <v>19</v>
      </c>
      <c r="L1653">
        <v>10</v>
      </c>
      <c r="M1653">
        <v>11</v>
      </c>
      <c r="N1653">
        <v>120</v>
      </c>
      <c r="O1653">
        <v>0</v>
      </c>
      <c r="P1653">
        <v>0</v>
      </c>
      <c r="Q1653" t="s">
        <v>44</v>
      </c>
      <c r="R1653" t="s">
        <v>44</v>
      </c>
      <c r="S1653" t="s">
        <v>44</v>
      </c>
      <c r="T1653" t="s">
        <v>44</v>
      </c>
      <c r="U1653" t="s">
        <v>44</v>
      </c>
      <c r="V1653">
        <v>34</v>
      </c>
      <c r="W1653" t="s">
        <v>44</v>
      </c>
      <c r="X1653" t="s">
        <v>44</v>
      </c>
      <c r="Y1653">
        <v>34</v>
      </c>
      <c r="Z1653" t="s">
        <v>44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34</v>
      </c>
      <c r="AQ1653">
        <f t="shared" si="59"/>
        <v>34</v>
      </c>
      <c r="AR1653" s="5">
        <f>VLOOKUP(F1653,'[1]Cost Sheet'!$C:$D,2,0)</f>
        <v>98.3</v>
      </c>
      <c r="AS1653" s="5">
        <f t="shared" si="58"/>
        <v>3342.2</v>
      </c>
    </row>
    <row r="1654" spans="1:45" x14ac:dyDescent="0.3">
      <c r="A1654" s="1">
        <v>45900.963888888888</v>
      </c>
      <c r="B1654" t="s">
        <v>1473</v>
      </c>
      <c r="C1654" t="s">
        <v>1474</v>
      </c>
      <c r="D1654" t="s">
        <v>1169</v>
      </c>
      <c r="E1654" t="s">
        <v>1169</v>
      </c>
      <c r="F1654" t="s">
        <v>2034</v>
      </c>
      <c r="G1654" t="s">
        <v>1170</v>
      </c>
      <c r="H1654" t="s">
        <v>635</v>
      </c>
      <c r="I1654" t="s">
        <v>43</v>
      </c>
      <c r="J1654">
        <v>100</v>
      </c>
      <c r="K1654">
        <v>19</v>
      </c>
      <c r="L1654">
        <v>10</v>
      </c>
      <c r="M1654">
        <v>11</v>
      </c>
      <c r="N1654">
        <v>118</v>
      </c>
      <c r="O1654">
        <v>0</v>
      </c>
      <c r="P1654">
        <v>0</v>
      </c>
      <c r="Q1654" t="s">
        <v>44</v>
      </c>
      <c r="R1654" t="s">
        <v>44</v>
      </c>
      <c r="S1654" t="s">
        <v>44</v>
      </c>
      <c r="T1654" t="s">
        <v>44</v>
      </c>
      <c r="U1654" t="s">
        <v>44</v>
      </c>
      <c r="V1654">
        <v>35</v>
      </c>
      <c r="W1654" t="s">
        <v>44</v>
      </c>
      <c r="X1654" t="s">
        <v>44</v>
      </c>
      <c r="Y1654">
        <v>35</v>
      </c>
      <c r="Z1654" t="s">
        <v>44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35</v>
      </c>
      <c r="AQ1654">
        <f t="shared" si="59"/>
        <v>35</v>
      </c>
      <c r="AR1654" s="5">
        <f>VLOOKUP(F1654,'[1]Cost Sheet'!$C:$D,2,0)</f>
        <v>98.3</v>
      </c>
      <c r="AS1654" s="5">
        <f t="shared" si="58"/>
        <v>3440.5</v>
      </c>
    </row>
    <row r="1655" spans="1:45" x14ac:dyDescent="0.3">
      <c r="A1655" s="1">
        <v>45900.963888888888</v>
      </c>
      <c r="B1655" t="s">
        <v>1473</v>
      </c>
      <c r="C1655" t="s">
        <v>1474</v>
      </c>
      <c r="D1655" t="s">
        <v>1171</v>
      </c>
      <c r="E1655" t="s">
        <v>1171</v>
      </c>
      <c r="F1655" t="s">
        <v>2035</v>
      </c>
      <c r="G1655" t="s">
        <v>1172</v>
      </c>
      <c r="H1655" t="s">
        <v>635</v>
      </c>
      <c r="I1655" t="s">
        <v>43</v>
      </c>
      <c r="J1655">
        <v>100</v>
      </c>
      <c r="K1655">
        <v>19</v>
      </c>
      <c r="L1655">
        <v>10</v>
      </c>
      <c r="M1655">
        <v>11</v>
      </c>
      <c r="N1655">
        <v>116</v>
      </c>
      <c r="O1655">
        <v>0</v>
      </c>
      <c r="P1655">
        <v>0</v>
      </c>
      <c r="Q1655" t="s">
        <v>44</v>
      </c>
      <c r="R1655" t="s">
        <v>44</v>
      </c>
      <c r="S1655" t="s">
        <v>44</v>
      </c>
      <c r="T1655" t="s">
        <v>44</v>
      </c>
      <c r="U1655" t="s">
        <v>44</v>
      </c>
      <c r="V1655">
        <v>37</v>
      </c>
      <c r="W1655" t="s">
        <v>44</v>
      </c>
      <c r="X1655" t="s">
        <v>44</v>
      </c>
      <c r="Y1655">
        <v>37</v>
      </c>
      <c r="Z1655" t="s">
        <v>44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37</v>
      </c>
      <c r="AQ1655">
        <f t="shared" si="59"/>
        <v>37</v>
      </c>
      <c r="AR1655" s="5">
        <f>VLOOKUP(F1655,'[1]Cost Sheet'!$C:$D,2,0)</f>
        <v>98.3</v>
      </c>
      <c r="AS1655" s="5">
        <f t="shared" si="58"/>
        <v>3637.1</v>
      </c>
    </row>
    <row r="1656" spans="1:45" x14ac:dyDescent="0.3">
      <c r="A1656" s="1">
        <v>45900.963888888888</v>
      </c>
      <c r="B1656" t="s">
        <v>1473</v>
      </c>
      <c r="C1656" t="s">
        <v>1474</v>
      </c>
      <c r="D1656" t="s">
        <v>1173</v>
      </c>
      <c r="E1656" t="s">
        <v>1173</v>
      </c>
      <c r="F1656" t="s">
        <v>2036</v>
      </c>
      <c r="G1656" t="s">
        <v>1174</v>
      </c>
      <c r="H1656" t="s">
        <v>635</v>
      </c>
      <c r="I1656" t="s">
        <v>43</v>
      </c>
      <c r="J1656">
        <v>100</v>
      </c>
      <c r="K1656">
        <v>19</v>
      </c>
      <c r="L1656">
        <v>10</v>
      </c>
      <c r="M1656">
        <v>11</v>
      </c>
      <c r="N1656">
        <v>150</v>
      </c>
      <c r="O1656">
        <v>0</v>
      </c>
      <c r="P1656">
        <v>0</v>
      </c>
      <c r="Q1656" t="s">
        <v>44</v>
      </c>
      <c r="R1656" t="s">
        <v>44</v>
      </c>
      <c r="S1656" t="s">
        <v>44</v>
      </c>
      <c r="T1656" t="s">
        <v>44</v>
      </c>
      <c r="U1656" t="s">
        <v>44</v>
      </c>
      <c r="V1656">
        <v>65</v>
      </c>
      <c r="W1656" t="s">
        <v>44</v>
      </c>
      <c r="X1656" t="s">
        <v>44</v>
      </c>
      <c r="Y1656">
        <v>65</v>
      </c>
      <c r="Z1656" t="s">
        <v>44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65</v>
      </c>
      <c r="AQ1656">
        <f t="shared" si="59"/>
        <v>65</v>
      </c>
      <c r="AR1656" s="5">
        <f>VLOOKUP(F1656,'[1]Cost Sheet'!$C:$D,2,0)</f>
        <v>98.3</v>
      </c>
      <c r="AS1656" s="5">
        <f t="shared" si="58"/>
        <v>6389.5</v>
      </c>
    </row>
    <row r="1657" spans="1:45" x14ac:dyDescent="0.3">
      <c r="A1657" s="1">
        <v>45900.963888888888</v>
      </c>
      <c r="B1657" t="s">
        <v>1473</v>
      </c>
      <c r="C1657" t="s">
        <v>1474</v>
      </c>
      <c r="D1657" t="s">
        <v>1175</v>
      </c>
      <c r="E1657" t="s">
        <v>1175</v>
      </c>
      <c r="F1657" t="s">
        <v>2037</v>
      </c>
      <c r="G1657" t="s">
        <v>1176</v>
      </c>
      <c r="H1657" t="s">
        <v>635</v>
      </c>
      <c r="I1657" t="s">
        <v>43</v>
      </c>
      <c r="J1657">
        <v>100</v>
      </c>
      <c r="K1657">
        <v>19</v>
      </c>
      <c r="L1657">
        <v>10</v>
      </c>
      <c r="M1657">
        <v>11</v>
      </c>
      <c r="N1657">
        <v>118</v>
      </c>
      <c r="O1657">
        <v>0</v>
      </c>
      <c r="P1657">
        <v>0</v>
      </c>
      <c r="Q1657" t="s">
        <v>44</v>
      </c>
      <c r="R1657" t="s">
        <v>44</v>
      </c>
      <c r="S1657" t="s">
        <v>44</v>
      </c>
      <c r="T1657" t="s">
        <v>44</v>
      </c>
      <c r="U1657" t="s">
        <v>44</v>
      </c>
      <c r="V1657">
        <v>37</v>
      </c>
      <c r="W1657" t="s">
        <v>44</v>
      </c>
      <c r="X1657" t="s">
        <v>44</v>
      </c>
      <c r="Y1657">
        <v>37</v>
      </c>
      <c r="Z1657" t="s">
        <v>44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37</v>
      </c>
      <c r="AQ1657">
        <f t="shared" si="59"/>
        <v>37</v>
      </c>
      <c r="AR1657" s="5">
        <f>VLOOKUP(F1657,'[1]Cost Sheet'!$C:$D,2,0)</f>
        <v>98.299999999999983</v>
      </c>
      <c r="AS1657" s="5">
        <f t="shared" si="58"/>
        <v>3637.0999999999995</v>
      </c>
    </row>
    <row r="1658" spans="1:45" x14ac:dyDescent="0.3">
      <c r="A1658" s="1">
        <v>45900.963888888888</v>
      </c>
      <c r="B1658" t="s">
        <v>1473</v>
      </c>
      <c r="C1658" t="s">
        <v>1474</v>
      </c>
      <c r="D1658" t="s">
        <v>1177</v>
      </c>
      <c r="E1658" t="s">
        <v>1177</v>
      </c>
      <c r="F1658" t="s">
        <v>2038</v>
      </c>
      <c r="G1658" t="s">
        <v>1178</v>
      </c>
      <c r="H1658" t="s">
        <v>635</v>
      </c>
      <c r="I1658" t="s">
        <v>43</v>
      </c>
      <c r="J1658">
        <v>100</v>
      </c>
      <c r="K1658">
        <v>19</v>
      </c>
      <c r="L1658">
        <v>10</v>
      </c>
      <c r="M1658">
        <v>11</v>
      </c>
      <c r="N1658">
        <v>179</v>
      </c>
      <c r="O1658">
        <v>0</v>
      </c>
      <c r="P1658">
        <v>0</v>
      </c>
      <c r="Q1658" t="s">
        <v>44</v>
      </c>
      <c r="R1658" t="s">
        <v>44</v>
      </c>
      <c r="S1658" t="s">
        <v>44</v>
      </c>
      <c r="T1658" t="s">
        <v>44</v>
      </c>
      <c r="U1658" t="s">
        <v>44</v>
      </c>
      <c r="V1658">
        <v>65</v>
      </c>
      <c r="W1658" t="s">
        <v>44</v>
      </c>
      <c r="X1658" t="s">
        <v>44</v>
      </c>
      <c r="Y1658">
        <v>65</v>
      </c>
      <c r="Z1658" t="s">
        <v>44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65</v>
      </c>
      <c r="AQ1658">
        <f t="shared" si="59"/>
        <v>65</v>
      </c>
      <c r="AR1658" s="5">
        <f>VLOOKUP(F1658,'[1]Cost Sheet'!$C:$D,2,0)</f>
        <v>98.299999999999983</v>
      </c>
      <c r="AS1658" s="5">
        <f t="shared" si="58"/>
        <v>6389.4999999999991</v>
      </c>
    </row>
    <row r="1659" spans="1:45" x14ac:dyDescent="0.3">
      <c r="A1659" s="1">
        <v>45900.963888888888</v>
      </c>
      <c r="B1659" t="s">
        <v>1473</v>
      </c>
      <c r="C1659" t="s">
        <v>1474</v>
      </c>
      <c r="D1659" t="s">
        <v>716</v>
      </c>
      <c r="E1659" t="s">
        <v>716</v>
      </c>
      <c r="F1659" t="s">
        <v>1811</v>
      </c>
      <c r="G1659" t="s">
        <v>717</v>
      </c>
      <c r="H1659" t="s">
        <v>635</v>
      </c>
      <c r="I1659" t="s">
        <v>43</v>
      </c>
      <c r="J1659">
        <v>100</v>
      </c>
      <c r="K1659">
        <v>19</v>
      </c>
      <c r="L1659">
        <v>10</v>
      </c>
      <c r="M1659">
        <v>11</v>
      </c>
      <c r="N1659">
        <v>154</v>
      </c>
      <c r="O1659">
        <v>0</v>
      </c>
      <c r="P1659">
        <v>0</v>
      </c>
      <c r="Q1659" t="s">
        <v>44</v>
      </c>
      <c r="R1659" t="s">
        <v>44</v>
      </c>
      <c r="S1659" t="s">
        <v>44</v>
      </c>
      <c r="T1659" t="s">
        <v>44</v>
      </c>
      <c r="U1659" t="s">
        <v>44</v>
      </c>
      <c r="V1659">
        <v>35</v>
      </c>
      <c r="W1659" t="s">
        <v>44</v>
      </c>
      <c r="X1659" t="s">
        <v>44</v>
      </c>
      <c r="Y1659">
        <v>35</v>
      </c>
      <c r="Z1659" t="s">
        <v>44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35</v>
      </c>
      <c r="AQ1659">
        <f t="shared" si="59"/>
        <v>35</v>
      </c>
      <c r="AR1659" s="5">
        <f>VLOOKUP(F1659,'[1]Cost Sheet'!$C:$D,2,0)</f>
        <v>98.3</v>
      </c>
      <c r="AS1659" s="5">
        <f t="shared" si="58"/>
        <v>3440.5</v>
      </c>
    </row>
    <row r="1660" spans="1:45" x14ac:dyDescent="0.3">
      <c r="A1660" s="1">
        <v>45900.963888888888</v>
      </c>
      <c r="B1660" t="s">
        <v>1473</v>
      </c>
      <c r="C1660" t="s">
        <v>1474</v>
      </c>
      <c r="D1660" t="s">
        <v>718</v>
      </c>
      <c r="E1660" t="s">
        <v>718</v>
      </c>
      <c r="F1660" t="s">
        <v>1812</v>
      </c>
      <c r="G1660" t="s">
        <v>719</v>
      </c>
      <c r="H1660" t="s">
        <v>635</v>
      </c>
      <c r="I1660" t="s">
        <v>43</v>
      </c>
      <c r="J1660">
        <v>100</v>
      </c>
      <c r="K1660">
        <v>19</v>
      </c>
      <c r="L1660">
        <v>10</v>
      </c>
      <c r="M1660">
        <v>11</v>
      </c>
      <c r="N1660">
        <v>145</v>
      </c>
      <c r="O1660">
        <v>0</v>
      </c>
      <c r="P1660">
        <v>0</v>
      </c>
      <c r="Q1660" t="s">
        <v>44</v>
      </c>
      <c r="R1660" t="s">
        <v>44</v>
      </c>
      <c r="S1660" t="s">
        <v>44</v>
      </c>
      <c r="T1660" t="s">
        <v>44</v>
      </c>
      <c r="U1660" t="s">
        <v>44</v>
      </c>
      <c r="V1660">
        <v>35</v>
      </c>
      <c r="W1660" t="s">
        <v>44</v>
      </c>
      <c r="X1660" t="s">
        <v>44</v>
      </c>
      <c r="Y1660">
        <v>35</v>
      </c>
      <c r="Z1660" t="s">
        <v>44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35</v>
      </c>
      <c r="AQ1660">
        <f t="shared" si="59"/>
        <v>35</v>
      </c>
      <c r="AR1660" s="5">
        <f>VLOOKUP(F1660,'[1]Cost Sheet'!$C:$D,2,0)</f>
        <v>98.3</v>
      </c>
      <c r="AS1660" s="5">
        <f t="shared" si="58"/>
        <v>3440.5</v>
      </c>
    </row>
    <row r="1661" spans="1:45" x14ac:dyDescent="0.3">
      <c r="A1661" s="1">
        <v>45900.963888888888</v>
      </c>
      <c r="B1661" t="s">
        <v>1473</v>
      </c>
      <c r="C1661" t="s">
        <v>1474</v>
      </c>
      <c r="D1661" t="s">
        <v>1179</v>
      </c>
      <c r="E1661" t="s">
        <v>1179</v>
      </c>
      <c r="F1661" t="s">
        <v>2039</v>
      </c>
      <c r="G1661" t="s">
        <v>1180</v>
      </c>
      <c r="H1661" t="s">
        <v>635</v>
      </c>
      <c r="I1661" t="s">
        <v>43</v>
      </c>
      <c r="J1661">
        <v>100</v>
      </c>
      <c r="K1661">
        <v>19</v>
      </c>
      <c r="L1661">
        <v>10</v>
      </c>
      <c r="M1661">
        <v>11</v>
      </c>
      <c r="N1661">
        <v>154</v>
      </c>
      <c r="O1661">
        <v>0</v>
      </c>
      <c r="P1661">
        <v>0</v>
      </c>
      <c r="Q1661" t="s">
        <v>44</v>
      </c>
      <c r="R1661" t="s">
        <v>44</v>
      </c>
      <c r="S1661" t="s">
        <v>44</v>
      </c>
      <c r="T1661" t="s">
        <v>44</v>
      </c>
      <c r="U1661" t="s">
        <v>44</v>
      </c>
      <c r="V1661">
        <v>45</v>
      </c>
      <c r="W1661" t="s">
        <v>44</v>
      </c>
      <c r="X1661" t="s">
        <v>44</v>
      </c>
      <c r="Y1661">
        <v>45</v>
      </c>
      <c r="Z1661" t="s">
        <v>44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45</v>
      </c>
      <c r="AQ1661">
        <f t="shared" si="59"/>
        <v>45</v>
      </c>
      <c r="AR1661" s="5">
        <f>VLOOKUP(F1661,'[1]Cost Sheet'!$C:$D,2,0)</f>
        <v>98.3</v>
      </c>
      <c r="AS1661" s="5">
        <f t="shared" si="58"/>
        <v>4423.5</v>
      </c>
    </row>
    <row r="1662" spans="1:45" x14ac:dyDescent="0.3">
      <c r="A1662" s="1">
        <v>45900.963888888888</v>
      </c>
      <c r="B1662" t="s">
        <v>1473</v>
      </c>
      <c r="C1662" t="s">
        <v>1474</v>
      </c>
      <c r="D1662" t="s">
        <v>1181</v>
      </c>
      <c r="E1662" t="s">
        <v>1181</v>
      </c>
      <c r="F1662" t="s">
        <v>2040</v>
      </c>
      <c r="G1662" t="s">
        <v>1182</v>
      </c>
      <c r="H1662" t="s">
        <v>635</v>
      </c>
      <c r="I1662" t="s">
        <v>43</v>
      </c>
      <c r="J1662">
        <v>100</v>
      </c>
      <c r="K1662">
        <v>19</v>
      </c>
      <c r="L1662">
        <v>10</v>
      </c>
      <c r="M1662">
        <v>11</v>
      </c>
      <c r="N1662">
        <v>196</v>
      </c>
      <c r="O1662">
        <v>0</v>
      </c>
      <c r="P1662">
        <v>0</v>
      </c>
      <c r="Q1662" t="s">
        <v>44</v>
      </c>
      <c r="R1662" t="s">
        <v>44</v>
      </c>
      <c r="S1662" t="s">
        <v>44</v>
      </c>
      <c r="T1662" t="s">
        <v>44</v>
      </c>
      <c r="U1662" t="s">
        <v>44</v>
      </c>
      <c r="V1662">
        <v>58</v>
      </c>
      <c r="W1662" t="s">
        <v>44</v>
      </c>
      <c r="X1662" t="s">
        <v>44</v>
      </c>
      <c r="Y1662">
        <v>58</v>
      </c>
      <c r="Z1662" t="s">
        <v>44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58</v>
      </c>
      <c r="AQ1662">
        <f t="shared" si="59"/>
        <v>58</v>
      </c>
      <c r="AR1662" s="5">
        <f>VLOOKUP(F1662,'[1]Cost Sheet'!$C:$D,2,0)</f>
        <v>51.74</v>
      </c>
      <c r="AS1662" s="5">
        <f t="shared" si="58"/>
        <v>3000.92</v>
      </c>
    </row>
    <row r="1663" spans="1:45" x14ac:dyDescent="0.3">
      <c r="A1663" s="1">
        <v>45900.963888888888</v>
      </c>
      <c r="B1663" t="s">
        <v>1473</v>
      </c>
      <c r="C1663" t="s">
        <v>1474</v>
      </c>
      <c r="D1663" t="s">
        <v>1183</v>
      </c>
      <c r="E1663" t="s">
        <v>1183</v>
      </c>
      <c r="F1663" t="s">
        <v>2041</v>
      </c>
      <c r="G1663" t="s">
        <v>1184</v>
      </c>
      <c r="H1663" t="s">
        <v>635</v>
      </c>
      <c r="I1663" t="s">
        <v>43</v>
      </c>
      <c r="J1663">
        <v>100</v>
      </c>
      <c r="K1663">
        <v>19</v>
      </c>
      <c r="L1663">
        <v>10</v>
      </c>
      <c r="M1663">
        <v>11</v>
      </c>
      <c r="N1663">
        <v>201</v>
      </c>
      <c r="O1663">
        <v>0</v>
      </c>
      <c r="P1663">
        <v>0</v>
      </c>
      <c r="Q1663" t="s">
        <v>44</v>
      </c>
      <c r="R1663" t="s">
        <v>44</v>
      </c>
      <c r="S1663" t="s">
        <v>44</v>
      </c>
      <c r="T1663" t="s">
        <v>44</v>
      </c>
      <c r="U1663" t="s">
        <v>44</v>
      </c>
      <c r="V1663">
        <v>58</v>
      </c>
      <c r="W1663" t="s">
        <v>44</v>
      </c>
      <c r="X1663" t="s">
        <v>44</v>
      </c>
      <c r="Y1663">
        <v>58</v>
      </c>
      <c r="Z1663" t="s">
        <v>44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58</v>
      </c>
      <c r="AQ1663">
        <f t="shared" si="59"/>
        <v>58</v>
      </c>
      <c r="AR1663" s="5">
        <f>VLOOKUP(F1663,'[1]Cost Sheet'!$C:$D,2,0)</f>
        <v>51.74</v>
      </c>
      <c r="AS1663" s="5">
        <f t="shared" si="58"/>
        <v>3000.92</v>
      </c>
    </row>
    <row r="1664" spans="1:45" x14ac:dyDescent="0.3">
      <c r="A1664" s="1">
        <v>45900.963888888888</v>
      </c>
      <c r="B1664" t="s">
        <v>1473</v>
      </c>
      <c r="C1664" t="s">
        <v>1474</v>
      </c>
      <c r="D1664" t="s">
        <v>1185</v>
      </c>
      <c r="E1664" t="s">
        <v>1185</v>
      </c>
      <c r="F1664" t="s">
        <v>2042</v>
      </c>
      <c r="G1664" t="s">
        <v>1186</v>
      </c>
      <c r="H1664" t="s">
        <v>635</v>
      </c>
      <c r="I1664" t="s">
        <v>43</v>
      </c>
      <c r="J1664">
        <v>100</v>
      </c>
      <c r="K1664">
        <v>19</v>
      </c>
      <c r="L1664">
        <v>10</v>
      </c>
      <c r="M1664">
        <v>11</v>
      </c>
      <c r="N1664">
        <v>197</v>
      </c>
      <c r="O1664">
        <v>0</v>
      </c>
      <c r="P1664">
        <v>0</v>
      </c>
      <c r="Q1664" t="s">
        <v>44</v>
      </c>
      <c r="R1664" t="s">
        <v>44</v>
      </c>
      <c r="S1664" t="s">
        <v>44</v>
      </c>
      <c r="T1664" t="s">
        <v>44</v>
      </c>
      <c r="U1664" t="s">
        <v>44</v>
      </c>
      <c r="V1664">
        <v>58</v>
      </c>
      <c r="W1664" t="s">
        <v>44</v>
      </c>
      <c r="X1664" t="s">
        <v>44</v>
      </c>
      <c r="Y1664">
        <v>58</v>
      </c>
      <c r="Z1664" t="s">
        <v>44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58</v>
      </c>
      <c r="AQ1664">
        <f t="shared" si="59"/>
        <v>58</v>
      </c>
      <c r="AR1664" s="5">
        <f>VLOOKUP(F1664,'[1]Cost Sheet'!$C:$D,2,0)</f>
        <v>51.74</v>
      </c>
      <c r="AS1664" s="5">
        <f t="shared" si="58"/>
        <v>3000.92</v>
      </c>
    </row>
    <row r="1665" spans="1:45" x14ac:dyDescent="0.3">
      <c r="A1665" s="1">
        <v>45900.963888888888</v>
      </c>
      <c r="B1665" t="s">
        <v>1473</v>
      </c>
      <c r="C1665" t="s">
        <v>1474</v>
      </c>
      <c r="D1665" t="s">
        <v>1187</v>
      </c>
      <c r="E1665" t="s">
        <v>1187</v>
      </c>
      <c r="F1665" t="s">
        <v>2043</v>
      </c>
      <c r="G1665" t="s">
        <v>1188</v>
      </c>
      <c r="H1665" t="s">
        <v>635</v>
      </c>
      <c r="I1665" t="s">
        <v>43</v>
      </c>
      <c r="J1665">
        <v>100</v>
      </c>
      <c r="K1665">
        <v>19</v>
      </c>
      <c r="L1665">
        <v>10</v>
      </c>
      <c r="M1665">
        <v>11</v>
      </c>
      <c r="N1665">
        <v>165</v>
      </c>
      <c r="O1665">
        <v>0</v>
      </c>
      <c r="P1665">
        <v>0</v>
      </c>
      <c r="Q1665" t="s">
        <v>44</v>
      </c>
      <c r="R1665" t="s">
        <v>44</v>
      </c>
      <c r="S1665" t="s">
        <v>44</v>
      </c>
      <c r="T1665" t="s">
        <v>44</v>
      </c>
      <c r="U1665" t="s">
        <v>44</v>
      </c>
      <c r="V1665">
        <v>50</v>
      </c>
      <c r="W1665" t="s">
        <v>44</v>
      </c>
      <c r="X1665" t="s">
        <v>44</v>
      </c>
      <c r="Y1665">
        <v>50</v>
      </c>
      <c r="Z1665" t="s">
        <v>44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50</v>
      </c>
      <c r="AQ1665">
        <f t="shared" si="59"/>
        <v>50</v>
      </c>
      <c r="AR1665" s="5">
        <f>VLOOKUP(F1665,'[1]Cost Sheet'!$C:$D,2,0)</f>
        <v>51.74</v>
      </c>
      <c r="AS1665" s="5">
        <f t="shared" si="58"/>
        <v>2587</v>
      </c>
    </row>
    <row r="1666" spans="1:45" x14ac:dyDescent="0.3">
      <c r="A1666" s="1">
        <v>45900.963888888888</v>
      </c>
      <c r="B1666" t="s">
        <v>1473</v>
      </c>
      <c r="C1666" t="s">
        <v>1474</v>
      </c>
      <c r="D1666" t="s">
        <v>1189</v>
      </c>
      <c r="E1666" t="s">
        <v>1189</v>
      </c>
      <c r="F1666" t="s">
        <v>2044</v>
      </c>
      <c r="G1666" t="s">
        <v>1190</v>
      </c>
      <c r="H1666" t="s">
        <v>635</v>
      </c>
      <c r="I1666" t="s">
        <v>43</v>
      </c>
      <c r="J1666">
        <v>100</v>
      </c>
      <c r="K1666">
        <v>19</v>
      </c>
      <c r="L1666">
        <v>10</v>
      </c>
      <c r="M1666">
        <v>11</v>
      </c>
      <c r="N1666">
        <v>187</v>
      </c>
      <c r="O1666">
        <v>0</v>
      </c>
      <c r="P1666">
        <v>0</v>
      </c>
      <c r="Q1666" t="s">
        <v>44</v>
      </c>
      <c r="R1666" t="s">
        <v>44</v>
      </c>
      <c r="S1666" t="s">
        <v>44</v>
      </c>
      <c r="T1666" t="s">
        <v>44</v>
      </c>
      <c r="U1666" t="s">
        <v>44</v>
      </c>
      <c r="V1666">
        <v>55</v>
      </c>
      <c r="W1666" t="s">
        <v>44</v>
      </c>
      <c r="X1666" t="s">
        <v>44</v>
      </c>
      <c r="Y1666">
        <v>55</v>
      </c>
      <c r="Z1666" t="s">
        <v>44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55</v>
      </c>
      <c r="AQ1666">
        <f t="shared" si="59"/>
        <v>55</v>
      </c>
      <c r="AR1666" s="5">
        <f>VLOOKUP(F1666,'[1]Cost Sheet'!$C:$D,2,0)</f>
        <v>51.74</v>
      </c>
      <c r="AS1666" s="5">
        <f t="shared" si="58"/>
        <v>2845.7000000000003</v>
      </c>
    </row>
    <row r="1667" spans="1:45" x14ac:dyDescent="0.3">
      <c r="A1667" s="1">
        <v>45900.963888888888</v>
      </c>
      <c r="B1667" t="s">
        <v>1473</v>
      </c>
      <c r="C1667" t="s">
        <v>1474</v>
      </c>
      <c r="D1667" t="s">
        <v>601</v>
      </c>
      <c r="F1667" t="s">
        <v>1754</v>
      </c>
      <c r="G1667" t="s">
        <v>602</v>
      </c>
      <c r="H1667" t="s">
        <v>130</v>
      </c>
      <c r="I1667" t="s">
        <v>43</v>
      </c>
      <c r="J1667">
        <v>32.020000000000003</v>
      </c>
      <c r="K1667">
        <v>19</v>
      </c>
      <c r="L1667">
        <v>10</v>
      </c>
      <c r="M1667">
        <v>11</v>
      </c>
      <c r="N1667">
        <v>7613</v>
      </c>
      <c r="O1667">
        <v>1</v>
      </c>
      <c r="P1667">
        <v>0</v>
      </c>
      <c r="Q1667">
        <v>7</v>
      </c>
      <c r="R1667">
        <v>4</v>
      </c>
      <c r="S1667" t="s">
        <v>44</v>
      </c>
      <c r="T1667" t="s">
        <v>44</v>
      </c>
      <c r="U1667" t="s">
        <v>44</v>
      </c>
      <c r="V1667">
        <v>0</v>
      </c>
      <c r="W1667" t="s">
        <v>44</v>
      </c>
      <c r="X1667" t="s">
        <v>44</v>
      </c>
      <c r="Y1667" t="s">
        <v>44</v>
      </c>
      <c r="Z1667" t="s">
        <v>44</v>
      </c>
      <c r="AA1667">
        <v>3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4</v>
      </c>
      <c r="AQ1667">
        <f t="shared" si="59"/>
        <v>4</v>
      </c>
      <c r="AR1667" s="5">
        <f>VLOOKUP(F1667,'[2]SCP_24-25'!$A:$D,4,0)</f>
        <v>96.2</v>
      </c>
      <c r="AS1667" s="5">
        <f t="shared" ref="AS1667:AS1730" si="60">AQ1667*AR1667</f>
        <v>384.8</v>
      </c>
    </row>
    <row r="1668" spans="1:45" x14ac:dyDescent="0.3">
      <c r="A1668" s="1">
        <v>45900.963888888888</v>
      </c>
      <c r="B1668" t="s">
        <v>1473</v>
      </c>
      <c r="C1668" t="s">
        <v>1474</v>
      </c>
      <c r="D1668" t="s">
        <v>582</v>
      </c>
      <c r="F1668" t="s">
        <v>1745</v>
      </c>
      <c r="G1668" t="s">
        <v>583</v>
      </c>
      <c r="H1668" t="s">
        <v>130</v>
      </c>
      <c r="I1668" t="s">
        <v>43</v>
      </c>
      <c r="J1668">
        <v>32</v>
      </c>
      <c r="K1668">
        <v>19</v>
      </c>
      <c r="L1668">
        <v>10</v>
      </c>
      <c r="M1668">
        <v>11</v>
      </c>
      <c r="N1668">
        <v>6457</v>
      </c>
      <c r="O1668">
        <v>0</v>
      </c>
      <c r="P1668">
        <v>0</v>
      </c>
      <c r="Q1668">
        <v>5</v>
      </c>
      <c r="R1668">
        <v>3</v>
      </c>
      <c r="S1668" t="s">
        <v>44</v>
      </c>
      <c r="T1668" t="s">
        <v>44</v>
      </c>
      <c r="U1668" t="s">
        <v>44</v>
      </c>
      <c r="V1668">
        <v>0</v>
      </c>
      <c r="W1668" t="s">
        <v>44</v>
      </c>
      <c r="X1668" t="s">
        <v>44</v>
      </c>
      <c r="Y1668" t="s">
        <v>44</v>
      </c>
      <c r="Z1668" t="s">
        <v>44</v>
      </c>
      <c r="AA1668">
        <v>3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3</v>
      </c>
      <c r="AQ1668">
        <f t="shared" si="59"/>
        <v>3</v>
      </c>
      <c r="AR1668" s="5">
        <f>VLOOKUP(F1668,'[2]SCP_24-25'!$A:$D,4,0)</f>
        <v>96.2</v>
      </c>
      <c r="AS1668" s="5">
        <f t="shared" si="60"/>
        <v>288.60000000000002</v>
      </c>
    </row>
    <row r="1669" spans="1:45" x14ac:dyDescent="0.3">
      <c r="A1669" s="1">
        <v>45900.963888888888</v>
      </c>
      <c r="B1669" t="s">
        <v>1473</v>
      </c>
      <c r="C1669" t="s">
        <v>1474</v>
      </c>
      <c r="D1669" t="s">
        <v>542</v>
      </c>
      <c r="F1669" t="s">
        <v>1725</v>
      </c>
      <c r="G1669" t="s">
        <v>543</v>
      </c>
      <c r="H1669" t="s">
        <v>130</v>
      </c>
      <c r="I1669" t="s">
        <v>43</v>
      </c>
      <c r="J1669">
        <v>32.020000000000003</v>
      </c>
      <c r="K1669">
        <v>19</v>
      </c>
      <c r="L1669">
        <v>10</v>
      </c>
      <c r="M1669">
        <v>11</v>
      </c>
      <c r="N1669">
        <v>6844</v>
      </c>
      <c r="O1669">
        <v>0</v>
      </c>
      <c r="P1669">
        <v>0</v>
      </c>
      <c r="Q1669">
        <v>5</v>
      </c>
      <c r="R1669">
        <v>3</v>
      </c>
      <c r="S1669" t="s">
        <v>44</v>
      </c>
      <c r="T1669">
        <v>12</v>
      </c>
      <c r="U1669" t="s">
        <v>44</v>
      </c>
      <c r="V1669">
        <v>0</v>
      </c>
      <c r="W1669" t="s">
        <v>44</v>
      </c>
      <c r="X1669" t="s">
        <v>44</v>
      </c>
      <c r="Y1669" t="s">
        <v>44</v>
      </c>
      <c r="Z1669" t="s">
        <v>44</v>
      </c>
      <c r="AA1669">
        <v>3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3</v>
      </c>
      <c r="AQ1669">
        <f t="shared" si="59"/>
        <v>3</v>
      </c>
      <c r="AR1669" s="5">
        <f>VLOOKUP(F1669,'[2]SCP_24-25'!$A:$D,4,0)</f>
        <v>96.2</v>
      </c>
      <c r="AS1669" s="5">
        <f t="shared" si="60"/>
        <v>288.60000000000002</v>
      </c>
    </row>
    <row r="1670" spans="1:45" x14ac:dyDescent="0.3">
      <c r="A1670" s="1">
        <v>45900.963888888888</v>
      </c>
      <c r="B1670" t="s">
        <v>1473</v>
      </c>
      <c r="C1670" t="s">
        <v>1474</v>
      </c>
      <c r="D1670" t="s">
        <v>1193</v>
      </c>
      <c r="F1670" t="s">
        <v>2046</v>
      </c>
      <c r="G1670" t="s">
        <v>1194</v>
      </c>
      <c r="H1670" t="s">
        <v>130</v>
      </c>
      <c r="I1670" t="s">
        <v>43</v>
      </c>
      <c r="J1670">
        <v>32</v>
      </c>
      <c r="K1670">
        <v>19</v>
      </c>
      <c r="L1670">
        <v>10</v>
      </c>
      <c r="M1670">
        <v>11</v>
      </c>
      <c r="N1670">
        <v>5964</v>
      </c>
      <c r="O1670">
        <v>6</v>
      </c>
      <c r="P1670">
        <v>0</v>
      </c>
      <c r="Q1670">
        <v>5</v>
      </c>
      <c r="R1670">
        <v>9</v>
      </c>
      <c r="S1670" t="s">
        <v>44</v>
      </c>
      <c r="T1670" t="s">
        <v>44</v>
      </c>
      <c r="U1670" t="s">
        <v>44</v>
      </c>
      <c r="V1670">
        <v>25</v>
      </c>
      <c r="W1670" t="s">
        <v>44</v>
      </c>
      <c r="X1670" t="s">
        <v>44</v>
      </c>
      <c r="Y1670">
        <v>25</v>
      </c>
      <c r="Z1670" t="s">
        <v>44</v>
      </c>
      <c r="AA1670">
        <v>9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40</v>
      </c>
      <c r="AQ1670">
        <f t="shared" si="59"/>
        <v>40</v>
      </c>
      <c r="AR1670" s="5">
        <f>VLOOKUP(F1670,'[2]SCP_24-25'!$A:$D,4,0)</f>
        <v>96.2</v>
      </c>
      <c r="AS1670" s="5">
        <f t="shared" si="60"/>
        <v>3848</v>
      </c>
    </row>
    <row r="1671" spans="1:45" x14ac:dyDescent="0.3">
      <c r="A1671" s="1">
        <v>45900.963888888888</v>
      </c>
      <c r="B1671" t="s">
        <v>1473</v>
      </c>
      <c r="C1671" t="s">
        <v>1474</v>
      </c>
      <c r="D1671" t="s">
        <v>1375</v>
      </c>
      <c r="F1671" t="s">
        <v>2134</v>
      </c>
      <c r="G1671" t="s">
        <v>1376</v>
      </c>
      <c r="H1671" t="s">
        <v>120</v>
      </c>
      <c r="I1671" t="s">
        <v>43</v>
      </c>
      <c r="J1671">
        <v>100</v>
      </c>
      <c r="K1671">
        <v>19</v>
      </c>
      <c r="L1671">
        <v>10</v>
      </c>
      <c r="M1671">
        <v>11</v>
      </c>
      <c r="N1671">
        <v>1187</v>
      </c>
      <c r="O1671">
        <v>0</v>
      </c>
      <c r="P1671">
        <v>0</v>
      </c>
      <c r="Q1671" t="s">
        <v>44</v>
      </c>
      <c r="R1671" t="s">
        <v>44</v>
      </c>
      <c r="S1671" t="s">
        <v>44</v>
      </c>
      <c r="T1671">
        <v>1</v>
      </c>
      <c r="U1671" t="s">
        <v>44</v>
      </c>
      <c r="V1671">
        <v>72</v>
      </c>
      <c r="W1671" t="s">
        <v>44</v>
      </c>
      <c r="X1671" t="s">
        <v>44</v>
      </c>
      <c r="Y1671">
        <v>72</v>
      </c>
      <c r="Z1671" t="s">
        <v>44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72</v>
      </c>
      <c r="AQ1671">
        <f t="shared" si="59"/>
        <v>72</v>
      </c>
      <c r="AR1671" s="5">
        <f>VLOOKUP(F1671,'[2]SCP_24-25'!$A:$D,4,0)</f>
        <v>50</v>
      </c>
      <c r="AS1671" s="5">
        <f t="shared" si="60"/>
        <v>3600</v>
      </c>
    </row>
    <row r="1672" spans="1:45" x14ac:dyDescent="0.3">
      <c r="A1672" s="1">
        <v>45900.963888888888</v>
      </c>
      <c r="B1672" t="s">
        <v>1473</v>
      </c>
      <c r="C1672" t="s">
        <v>1474</v>
      </c>
      <c r="D1672" t="s">
        <v>1430</v>
      </c>
      <c r="F1672" t="s">
        <v>2161</v>
      </c>
      <c r="G1672" t="s">
        <v>1431</v>
      </c>
      <c r="H1672" t="s">
        <v>120</v>
      </c>
      <c r="I1672" t="s">
        <v>43</v>
      </c>
      <c r="J1672">
        <v>100</v>
      </c>
      <c r="K1672">
        <v>19</v>
      </c>
      <c r="L1672">
        <v>10</v>
      </c>
      <c r="M1672">
        <v>11</v>
      </c>
      <c r="N1672">
        <v>115</v>
      </c>
      <c r="O1672">
        <v>0</v>
      </c>
      <c r="P1672">
        <v>0</v>
      </c>
      <c r="Q1672" t="s">
        <v>44</v>
      </c>
      <c r="R1672" t="s">
        <v>44</v>
      </c>
      <c r="S1672" t="s">
        <v>44</v>
      </c>
      <c r="T1672" t="s">
        <v>44</v>
      </c>
      <c r="U1672" t="s">
        <v>44</v>
      </c>
      <c r="V1672">
        <v>4</v>
      </c>
      <c r="W1672" t="s">
        <v>44</v>
      </c>
      <c r="X1672" t="s">
        <v>44</v>
      </c>
      <c r="Y1672">
        <v>4</v>
      </c>
      <c r="Z1672" t="s">
        <v>44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4</v>
      </c>
      <c r="AQ1672">
        <f t="shared" si="59"/>
        <v>4</v>
      </c>
      <c r="AR1672" s="5">
        <f>VLOOKUP(F1672,'[2]SCP_24-25'!$A:$D,4,0)</f>
        <v>475</v>
      </c>
      <c r="AS1672" s="5">
        <f t="shared" si="60"/>
        <v>1900</v>
      </c>
    </row>
    <row r="1673" spans="1:45" x14ac:dyDescent="0.3">
      <c r="A1673" s="1">
        <v>45900.963888888888</v>
      </c>
      <c r="B1673" t="s">
        <v>1473</v>
      </c>
      <c r="C1673" t="s">
        <v>1474</v>
      </c>
      <c r="D1673" t="s">
        <v>1197</v>
      </c>
      <c r="F1673" t="s">
        <v>2048</v>
      </c>
      <c r="G1673" t="s">
        <v>1198</v>
      </c>
      <c r="H1673" t="s">
        <v>130</v>
      </c>
      <c r="I1673" t="s">
        <v>43</v>
      </c>
      <c r="J1673">
        <v>4.2</v>
      </c>
      <c r="K1673">
        <v>19</v>
      </c>
      <c r="L1673">
        <v>10</v>
      </c>
      <c r="M1673">
        <v>11</v>
      </c>
      <c r="N1673">
        <v>60</v>
      </c>
      <c r="O1673">
        <v>0</v>
      </c>
      <c r="P1673">
        <v>0</v>
      </c>
      <c r="Q1673" t="s">
        <v>44</v>
      </c>
      <c r="R1673" t="s">
        <v>44</v>
      </c>
      <c r="S1673" t="s">
        <v>44</v>
      </c>
      <c r="T1673" t="s">
        <v>44</v>
      </c>
      <c r="U1673" t="s">
        <v>44</v>
      </c>
      <c r="V1673">
        <v>43</v>
      </c>
      <c r="W1673" t="s">
        <v>44</v>
      </c>
      <c r="X1673" t="s">
        <v>44</v>
      </c>
      <c r="Y1673">
        <v>43</v>
      </c>
      <c r="Z1673" t="s">
        <v>44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43</v>
      </c>
      <c r="AQ1673">
        <f t="shared" si="59"/>
        <v>43</v>
      </c>
      <c r="AR1673" s="5">
        <f>VLOOKUP(F1673,'[1]Cost Sheet'!$C:$D,2,0)</f>
        <v>96.2</v>
      </c>
      <c r="AS1673" s="5">
        <f t="shared" si="60"/>
        <v>4136.6000000000004</v>
      </c>
    </row>
    <row r="1674" spans="1:45" x14ac:dyDescent="0.3">
      <c r="A1674" s="1">
        <v>45900.963888888888</v>
      </c>
      <c r="B1674" t="s">
        <v>1473</v>
      </c>
      <c r="C1674" t="s">
        <v>1474</v>
      </c>
      <c r="D1674" t="s">
        <v>1199</v>
      </c>
      <c r="F1674" t="s">
        <v>2049</v>
      </c>
      <c r="G1674" t="s">
        <v>1200</v>
      </c>
      <c r="H1674" t="s">
        <v>130</v>
      </c>
      <c r="I1674" t="s">
        <v>43</v>
      </c>
      <c r="J1674">
        <v>4.2</v>
      </c>
      <c r="K1674">
        <v>19</v>
      </c>
      <c r="L1674">
        <v>10</v>
      </c>
      <c r="M1674">
        <v>11</v>
      </c>
      <c r="N1674">
        <v>90</v>
      </c>
      <c r="O1674">
        <v>0</v>
      </c>
      <c r="P1674">
        <v>0</v>
      </c>
      <c r="Q1674" t="s">
        <v>44</v>
      </c>
      <c r="R1674" t="s">
        <v>44</v>
      </c>
      <c r="S1674" t="s">
        <v>44</v>
      </c>
      <c r="T1674" t="s">
        <v>44</v>
      </c>
      <c r="U1674" t="s">
        <v>44</v>
      </c>
      <c r="V1674">
        <v>41</v>
      </c>
      <c r="W1674" t="s">
        <v>44</v>
      </c>
      <c r="X1674" t="s">
        <v>44</v>
      </c>
      <c r="Y1674">
        <v>41</v>
      </c>
      <c r="Z1674" t="s">
        <v>44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41</v>
      </c>
      <c r="AQ1674">
        <f t="shared" si="59"/>
        <v>41</v>
      </c>
      <c r="AR1674" s="5">
        <f>VLOOKUP(F1674,'[1]Cost Sheet'!$C:$D,2,0)</f>
        <v>96.2</v>
      </c>
      <c r="AS1674" s="5">
        <f t="shared" si="60"/>
        <v>3944.2000000000003</v>
      </c>
    </row>
    <row r="1675" spans="1:45" x14ac:dyDescent="0.3">
      <c r="A1675" s="1">
        <v>45900.963888888888</v>
      </c>
      <c r="B1675" t="s">
        <v>1473</v>
      </c>
      <c r="C1675" t="s">
        <v>1474</v>
      </c>
      <c r="D1675" t="s">
        <v>1201</v>
      </c>
      <c r="F1675" t="s">
        <v>2050</v>
      </c>
      <c r="G1675" t="s">
        <v>1202</v>
      </c>
      <c r="H1675" t="s">
        <v>130</v>
      </c>
      <c r="I1675" t="s">
        <v>43</v>
      </c>
      <c r="J1675">
        <v>4.2</v>
      </c>
      <c r="K1675">
        <v>19</v>
      </c>
      <c r="L1675">
        <v>10</v>
      </c>
      <c r="M1675">
        <v>11</v>
      </c>
      <c r="N1675">
        <v>90</v>
      </c>
      <c r="O1675">
        <v>0</v>
      </c>
      <c r="P1675">
        <v>0</v>
      </c>
      <c r="Q1675" t="s">
        <v>44</v>
      </c>
      <c r="R1675" t="s">
        <v>44</v>
      </c>
      <c r="S1675" t="s">
        <v>44</v>
      </c>
      <c r="T1675" t="s">
        <v>44</v>
      </c>
      <c r="U1675" t="s">
        <v>44</v>
      </c>
      <c r="V1675">
        <v>41</v>
      </c>
      <c r="W1675" t="s">
        <v>44</v>
      </c>
      <c r="X1675" t="s">
        <v>44</v>
      </c>
      <c r="Y1675">
        <v>41</v>
      </c>
      <c r="Z1675" t="s">
        <v>44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41</v>
      </c>
      <c r="AQ1675">
        <f t="shared" si="59"/>
        <v>41</v>
      </c>
      <c r="AR1675" s="5">
        <f>VLOOKUP(F1675,'[1]Cost Sheet'!$C:$D,2,0)</f>
        <v>96.2</v>
      </c>
      <c r="AS1675" s="5">
        <f t="shared" si="60"/>
        <v>3944.2000000000003</v>
      </c>
    </row>
    <row r="1676" spans="1:45" x14ac:dyDescent="0.3">
      <c r="A1676" s="1">
        <v>45900.963888888888</v>
      </c>
      <c r="B1676" t="s">
        <v>1473</v>
      </c>
      <c r="C1676" t="s">
        <v>1474</v>
      </c>
      <c r="D1676" t="s">
        <v>1207</v>
      </c>
      <c r="F1676" t="s">
        <v>2053</v>
      </c>
      <c r="G1676" t="s">
        <v>1208</v>
      </c>
      <c r="H1676" t="s">
        <v>66</v>
      </c>
      <c r="I1676" t="s">
        <v>43</v>
      </c>
      <c r="J1676">
        <v>30</v>
      </c>
      <c r="K1676">
        <v>19</v>
      </c>
      <c r="L1676">
        <v>10</v>
      </c>
      <c r="M1676">
        <v>11</v>
      </c>
      <c r="N1676">
        <v>556</v>
      </c>
      <c r="O1676">
        <v>0</v>
      </c>
      <c r="P1676">
        <v>0</v>
      </c>
      <c r="Q1676" t="s">
        <v>44</v>
      </c>
      <c r="R1676" t="s">
        <v>44</v>
      </c>
      <c r="S1676" t="s">
        <v>44</v>
      </c>
      <c r="T1676" t="s">
        <v>44</v>
      </c>
      <c r="U1676" t="s">
        <v>44</v>
      </c>
      <c r="V1676">
        <v>60</v>
      </c>
      <c r="W1676" t="s">
        <v>44</v>
      </c>
      <c r="X1676" t="s">
        <v>44</v>
      </c>
      <c r="Y1676">
        <v>60</v>
      </c>
      <c r="Z1676" t="s">
        <v>44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60</v>
      </c>
      <c r="AQ1676">
        <f t="shared" si="59"/>
        <v>60</v>
      </c>
      <c r="AR1676" s="5">
        <f>VLOOKUP(F1676,'[1]Cost Sheet'!$C:$D,2,0)</f>
        <v>90.823333333333338</v>
      </c>
      <c r="AS1676" s="5">
        <f t="shared" si="60"/>
        <v>5449.4000000000005</v>
      </c>
    </row>
    <row r="1677" spans="1:45" x14ac:dyDescent="0.3">
      <c r="A1677" s="1">
        <v>45900.963888888888</v>
      </c>
      <c r="B1677" t="s">
        <v>1473</v>
      </c>
      <c r="C1677" t="s">
        <v>1474</v>
      </c>
      <c r="D1677" t="s">
        <v>724</v>
      </c>
      <c r="F1677" t="s">
        <v>1815</v>
      </c>
      <c r="G1677" t="s">
        <v>725</v>
      </c>
      <c r="H1677" t="s">
        <v>66</v>
      </c>
      <c r="I1677" t="s">
        <v>43</v>
      </c>
      <c r="J1677">
        <v>121</v>
      </c>
      <c r="K1677">
        <v>19</v>
      </c>
      <c r="L1677">
        <v>10</v>
      </c>
      <c r="M1677">
        <v>11</v>
      </c>
      <c r="N1677">
        <v>32</v>
      </c>
      <c r="O1677">
        <v>0</v>
      </c>
      <c r="P1677">
        <v>0</v>
      </c>
      <c r="Q1677" t="s">
        <v>44</v>
      </c>
      <c r="R1677" t="s">
        <v>44</v>
      </c>
      <c r="S1677" t="s">
        <v>44</v>
      </c>
      <c r="T1677" t="s">
        <v>44</v>
      </c>
      <c r="U1677" t="s">
        <v>44</v>
      </c>
      <c r="V1677">
        <v>16</v>
      </c>
      <c r="W1677" t="s">
        <v>44</v>
      </c>
      <c r="X1677" t="s">
        <v>44</v>
      </c>
      <c r="Y1677">
        <v>16</v>
      </c>
      <c r="Z1677" t="s">
        <v>44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16</v>
      </c>
      <c r="AQ1677">
        <f t="shared" si="59"/>
        <v>16</v>
      </c>
      <c r="AR1677" s="5">
        <f>VLOOKUP(F1677,'[1]Cost Sheet'!$C:$D,2,0)</f>
        <v>38.68</v>
      </c>
      <c r="AS1677" s="5">
        <f t="shared" si="60"/>
        <v>618.88</v>
      </c>
    </row>
    <row r="1678" spans="1:45" x14ac:dyDescent="0.3">
      <c r="A1678" s="1">
        <v>45900.963888888888</v>
      </c>
      <c r="B1678" t="s">
        <v>1473</v>
      </c>
      <c r="C1678" t="s">
        <v>1474</v>
      </c>
      <c r="D1678" t="s">
        <v>726</v>
      </c>
      <c r="F1678" t="s">
        <v>1816</v>
      </c>
      <c r="G1678" t="s">
        <v>727</v>
      </c>
      <c r="H1678" t="s">
        <v>103</v>
      </c>
      <c r="I1678" t="s">
        <v>43</v>
      </c>
      <c r="J1678">
        <v>300</v>
      </c>
      <c r="K1678">
        <v>19</v>
      </c>
      <c r="L1678">
        <v>10</v>
      </c>
      <c r="M1678">
        <v>11</v>
      </c>
      <c r="N1678">
        <v>117</v>
      </c>
      <c r="O1678">
        <v>0</v>
      </c>
      <c r="P1678">
        <v>0</v>
      </c>
      <c r="Q1678" t="s">
        <v>44</v>
      </c>
      <c r="R1678" t="s">
        <v>44</v>
      </c>
      <c r="S1678" t="s">
        <v>44</v>
      </c>
      <c r="T1678" t="s">
        <v>44</v>
      </c>
      <c r="U1678" t="s">
        <v>44</v>
      </c>
      <c r="V1678">
        <v>45</v>
      </c>
      <c r="W1678" t="s">
        <v>44</v>
      </c>
      <c r="X1678" t="s">
        <v>44</v>
      </c>
      <c r="Y1678">
        <v>45</v>
      </c>
      <c r="Z1678" t="s">
        <v>44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45</v>
      </c>
      <c r="AQ1678">
        <f t="shared" si="59"/>
        <v>45</v>
      </c>
      <c r="AR1678" s="5">
        <f>VLOOKUP(F1678,'[1]Cost Sheet'!$C:$D,2,0)</f>
        <v>102.91</v>
      </c>
      <c r="AS1678" s="5">
        <f t="shared" si="60"/>
        <v>4630.95</v>
      </c>
    </row>
    <row r="1679" spans="1:45" x14ac:dyDescent="0.3">
      <c r="A1679" s="1">
        <v>45900.963888888888</v>
      </c>
      <c r="B1679" t="s">
        <v>1473</v>
      </c>
      <c r="C1679" t="s">
        <v>1474</v>
      </c>
      <c r="D1679" t="s">
        <v>728</v>
      </c>
      <c r="F1679" t="s">
        <v>1817</v>
      </c>
      <c r="G1679" t="s">
        <v>729</v>
      </c>
      <c r="H1679" t="s">
        <v>66</v>
      </c>
      <c r="I1679" t="s">
        <v>43</v>
      </c>
      <c r="J1679">
        <v>130</v>
      </c>
      <c r="K1679">
        <v>19</v>
      </c>
      <c r="L1679">
        <v>10</v>
      </c>
      <c r="M1679">
        <v>11</v>
      </c>
      <c r="N1679">
        <v>22</v>
      </c>
      <c r="O1679">
        <v>0</v>
      </c>
      <c r="P1679">
        <v>0</v>
      </c>
      <c r="Q1679" t="s">
        <v>44</v>
      </c>
      <c r="R1679" t="s">
        <v>44</v>
      </c>
      <c r="S1679" t="s">
        <v>44</v>
      </c>
      <c r="T1679" t="s">
        <v>44</v>
      </c>
      <c r="U1679" t="s">
        <v>44</v>
      </c>
      <c r="V1679">
        <v>11</v>
      </c>
      <c r="W1679" t="s">
        <v>44</v>
      </c>
      <c r="X1679" t="s">
        <v>44</v>
      </c>
      <c r="Y1679">
        <v>11</v>
      </c>
      <c r="Z1679" t="s">
        <v>44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11</v>
      </c>
      <c r="AQ1679">
        <f t="shared" si="59"/>
        <v>11</v>
      </c>
      <c r="AR1679" s="5">
        <f>VLOOKUP(F1679,'[1]Cost Sheet'!$C:$D,2,0)</f>
        <v>35.085999999999999</v>
      </c>
      <c r="AS1679" s="5">
        <f t="shared" si="60"/>
        <v>385.94599999999997</v>
      </c>
    </row>
    <row r="1680" spans="1:45" x14ac:dyDescent="0.3">
      <c r="A1680" s="1">
        <v>45900.963888888888</v>
      </c>
      <c r="B1680" t="s">
        <v>1473</v>
      </c>
      <c r="C1680" t="s">
        <v>1474</v>
      </c>
      <c r="D1680" t="s">
        <v>1211</v>
      </c>
      <c r="F1680" t="s">
        <v>2055</v>
      </c>
      <c r="G1680" t="s">
        <v>1212</v>
      </c>
      <c r="H1680" t="s">
        <v>103</v>
      </c>
      <c r="I1680" t="s">
        <v>43</v>
      </c>
      <c r="J1680">
        <v>237</v>
      </c>
      <c r="K1680">
        <v>19</v>
      </c>
      <c r="L1680">
        <v>10</v>
      </c>
      <c r="M1680">
        <v>11</v>
      </c>
      <c r="N1680">
        <v>22</v>
      </c>
      <c r="O1680">
        <v>0</v>
      </c>
      <c r="P1680">
        <v>0</v>
      </c>
      <c r="Q1680" t="s">
        <v>44</v>
      </c>
      <c r="R1680" t="s">
        <v>44</v>
      </c>
      <c r="S1680" t="s">
        <v>44</v>
      </c>
      <c r="T1680" t="s">
        <v>44</v>
      </c>
      <c r="U1680" t="s">
        <v>44</v>
      </c>
      <c r="V1680">
        <v>7</v>
      </c>
      <c r="W1680" t="s">
        <v>44</v>
      </c>
      <c r="X1680" t="s">
        <v>44</v>
      </c>
      <c r="Y1680">
        <v>7</v>
      </c>
      <c r="Z1680" t="s">
        <v>44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7</v>
      </c>
      <c r="AQ1680">
        <f t="shared" si="59"/>
        <v>7</v>
      </c>
      <c r="AR1680" s="5">
        <f>VLOOKUP(F1680,'[1]Cost Sheet'!$C:$D,2,0)</f>
        <v>75.010000000000005</v>
      </c>
      <c r="AS1680" s="5">
        <f t="shared" si="60"/>
        <v>525.07000000000005</v>
      </c>
    </row>
    <row r="1681" spans="1:45" x14ac:dyDescent="0.3">
      <c r="A1681" s="1">
        <v>45900.963888888888</v>
      </c>
      <c r="B1681" t="s">
        <v>1473</v>
      </c>
      <c r="C1681" t="s">
        <v>1474</v>
      </c>
      <c r="D1681" t="s">
        <v>1438</v>
      </c>
      <c r="F1681" t="s">
        <v>2165</v>
      </c>
      <c r="G1681" t="s">
        <v>1439</v>
      </c>
      <c r="H1681" t="s">
        <v>66</v>
      </c>
      <c r="I1681" t="s">
        <v>43</v>
      </c>
      <c r="J1681">
        <v>120</v>
      </c>
      <c r="K1681">
        <v>19</v>
      </c>
      <c r="L1681">
        <v>10</v>
      </c>
      <c r="M1681">
        <v>11</v>
      </c>
      <c r="N1681">
        <v>10</v>
      </c>
      <c r="O1681">
        <v>0</v>
      </c>
      <c r="P1681">
        <v>0</v>
      </c>
      <c r="Q1681" t="s">
        <v>44</v>
      </c>
      <c r="R1681" t="s">
        <v>44</v>
      </c>
      <c r="S1681" t="s">
        <v>44</v>
      </c>
      <c r="T1681" t="s">
        <v>44</v>
      </c>
      <c r="U1681" t="s">
        <v>44</v>
      </c>
      <c r="V1681">
        <v>5</v>
      </c>
      <c r="W1681" t="s">
        <v>44</v>
      </c>
      <c r="X1681" t="s">
        <v>44</v>
      </c>
      <c r="Y1681">
        <v>5</v>
      </c>
      <c r="Z1681" t="s">
        <v>44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5</v>
      </c>
      <c r="AQ1681">
        <f t="shared" si="59"/>
        <v>5</v>
      </c>
      <c r="AR1681" s="5">
        <f>VLOOKUP(F1681,'[1]Cost Sheet'!$C:$D,2,0)</f>
        <v>44.312857142857141</v>
      </c>
      <c r="AS1681" s="5">
        <f t="shared" si="60"/>
        <v>221.56428571428569</v>
      </c>
    </row>
    <row r="1682" spans="1:45" x14ac:dyDescent="0.3">
      <c r="A1682" s="1">
        <v>45900.963888888888</v>
      </c>
      <c r="B1682" t="s">
        <v>1473</v>
      </c>
      <c r="C1682" t="s">
        <v>1474</v>
      </c>
      <c r="D1682" t="s">
        <v>1237</v>
      </c>
      <c r="F1682" t="s">
        <v>2068</v>
      </c>
      <c r="G1682" t="s">
        <v>1238</v>
      </c>
      <c r="H1682" t="s">
        <v>130</v>
      </c>
      <c r="I1682" t="s">
        <v>43</v>
      </c>
      <c r="J1682">
        <v>4.2</v>
      </c>
      <c r="K1682">
        <v>19</v>
      </c>
      <c r="L1682">
        <v>10</v>
      </c>
      <c r="M1682">
        <v>11</v>
      </c>
      <c r="N1682">
        <v>30</v>
      </c>
      <c r="O1682">
        <v>0</v>
      </c>
      <c r="P1682">
        <v>0</v>
      </c>
      <c r="Q1682" t="s">
        <v>44</v>
      </c>
      <c r="R1682" t="s">
        <v>44</v>
      </c>
      <c r="S1682" t="s">
        <v>44</v>
      </c>
      <c r="T1682" t="s">
        <v>44</v>
      </c>
      <c r="U1682" t="s">
        <v>44</v>
      </c>
      <c r="V1682">
        <v>10</v>
      </c>
      <c r="W1682" t="s">
        <v>44</v>
      </c>
      <c r="X1682" t="s">
        <v>44</v>
      </c>
      <c r="Y1682">
        <v>10</v>
      </c>
      <c r="Z1682" t="s">
        <v>44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10</v>
      </c>
      <c r="AQ1682">
        <f t="shared" si="59"/>
        <v>10</v>
      </c>
      <c r="AR1682" s="5">
        <f>VLOOKUP(F1682,'[1]Cost Sheet'!$C:$D,2,0)</f>
        <v>96.2</v>
      </c>
      <c r="AS1682" s="5">
        <f t="shared" si="60"/>
        <v>962</v>
      </c>
    </row>
    <row r="1683" spans="1:45" x14ac:dyDescent="0.3">
      <c r="A1683" s="1">
        <v>45900.963888888888</v>
      </c>
      <c r="B1683" t="s">
        <v>1473</v>
      </c>
      <c r="C1683" t="s">
        <v>1474</v>
      </c>
      <c r="D1683" t="s">
        <v>1239</v>
      </c>
      <c r="F1683" t="s">
        <v>2069</v>
      </c>
      <c r="G1683" t="s">
        <v>1240</v>
      </c>
      <c r="H1683" t="s">
        <v>130</v>
      </c>
      <c r="I1683" t="s">
        <v>43</v>
      </c>
      <c r="J1683">
        <v>4.2</v>
      </c>
      <c r="K1683">
        <v>19</v>
      </c>
      <c r="L1683">
        <v>10</v>
      </c>
      <c r="M1683">
        <v>11</v>
      </c>
      <c r="N1683">
        <v>30</v>
      </c>
      <c r="O1683">
        <v>0</v>
      </c>
      <c r="P1683">
        <v>0</v>
      </c>
      <c r="Q1683" t="s">
        <v>44</v>
      </c>
      <c r="R1683" t="s">
        <v>44</v>
      </c>
      <c r="S1683" t="s">
        <v>44</v>
      </c>
      <c r="T1683" t="s">
        <v>44</v>
      </c>
      <c r="U1683" t="s">
        <v>44</v>
      </c>
      <c r="V1683">
        <v>12</v>
      </c>
      <c r="W1683" t="s">
        <v>44</v>
      </c>
      <c r="X1683" t="s">
        <v>44</v>
      </c>
      <c r="Y1683">
        <v>12</v>
      </c>
      <c r="Z1683" t="s">
        <v>44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12</v>
      </c>
      <c r="AQ1683">
        <f t="shared" ref="AQ1683:AQ1746" si="61">O1683+P1683+V1683+AA1683</f>
        <v>12</v>
      </c>
      <c r="AR1683" s="5">
        <f>VLOOKUP(F1683,'[1]Cost Sheet'!$C:$D,2,0)</f>
        <v>96.2</v>
      </c>
      <c r="AS1683" s="5">
        <f t="shared" si="60"/>
        <v>1154.4000000000001</v>
      </c>
    </row>
    <row r="1684" spans="1:45" x14ac:dyDescent="0.3">
      <c r="A1684" s="1">
        <v>45900.963888888888</v>
      </c>
      <c r="B1684" t="s">
        <v>1473</v>
      </c>
      <c r="C1684" t="s">
        <v>1474</v>
      </c>
      <c r="D1684" t="s">
        <v>1241</v>
      </c>
      <c r="F1684" t="s">
        <v>2070</v>
      </c>
      <c r="G1684" t="s">
        <v>1242</v>
      </c>
      <c r="H1684" t="s">
        <v>130</v>
      </c>
      <c r="I1684" t="s">
        <v>43</v>
      </c>
      <c r="J1684">
        <v>5</v>
      </c>
      <c r="K1684">
        <v>19</v>
      </c>
      <c r="L1684">
        <v>10</v>
      </c>
      <c r="M1684">
        <v>11</v>
      </c>
      <c r="N1684">
        <v>292</v>
      </c>
      <c r="O1684">
        <v>0</v>
      </c>
      <c r="P1684">
        <v>0</v>
      </c>
      <c r="Q1684" t="s">
        <v>44</v>
      </c>
      <c r="R1684" t="s">
        <v>44</v>
      </c>
      <c r="S1684" t="s">
        <v>44</v>
      </c>
      <c r="T1684" t="s">
        <v>44</v>
      </c>
      <c r="U1684" t="s">
        <v>44</v>
      </c>
      <c r="V1684">
        <v>54</v>
      </c>
      <c r="W1684" t="s">
        <v>44</v>
      </c>
      <c r="X1684" t="s">
        <v>44</v>
      </c>
      <c r="Y1684">
        <v>54</v>
      </c>
      <c r="Z1684" t="s">
        <v>44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54</v>
      </c>
      <c r="AQ1684">
        <f t="shared" si="61"/>
        <v>54</v>
      </c>
      <c r="AR1684" s="5">
        <f>VLOOKUP(F1684,'[1]Cost Sheet'!$C:$D,2,0)</f>
        <v>90.089999999999989</v>
      </c>
      <c r="AS1684" s="5">
        <f t="shared" si="60"/>
        <v>4864.8599999999997</v>
      </c>
    </row>
    <row r="1685" spans="1:45" x14ac:dyDescent="0.3">
      <c r="A1685" s="1">
        <v>45900.963888888888</v>
      </c>
      <c r="B1685" t="s">
        <v>1473</v>
      </c>
      <c r="C1685" t="s">
        <v>1474</v>
      </c>
      <c r="D1685" t="s">
        <v>732</v>
      </c>
      <c r="F1685" t="s">
        <v>1819</v>
      </c>
      <c r="G1685" t="s">
        <v>733</v>
      </c>
      <c r="H1685" t="s">
        <v>130</v>
      </c>
      <c r="I1685" t="s">
        <v>43</v>
      </c>
      <c r="J1685">
        <v>4</v>
      </c>
      <c r="K1685">
        <v>19</v>
      </c>
      <c r="L1685">
        <v>10</v>
      </c>
      <c r="M1685">
        <v>11</v>
      </c>
      <c r="N1685">
        <v>274</v>
      </c>
      <c r="O1685">
        <v>0</v>
      </c>
      <c r="P1685">
        <v>0</v>
      </c>
      <c r="Q1685" t="s">
        <v>44</v>
      </c>
      <c r="R1685" t="s">
        <v>44</v>
      </c>
      <c r="S1685" t="s">
        <v>44</v>
      </c>
      <c r="T1685" t="s">
        <v>44</v>
      </c>
      <c r="U1685" t="s">
        <v>44</v>
      </c>
      <c r="V1685">
        <v>73</v>
      </c>
      <c r="W1685" t="s">
        <v>44</v>
      </c>
      <c r="X1685" t="s">
        <v>44</v>
      </c>
      <c r="Y1685">
        <v>73</v>
      </c>
      <c r="Z1685" t="s">
        <v>44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73</v>
      </c>
      <c r="AQ1685">
        <f t="shared" si="61"/>
        <v>73</v>
      </c>
      <c r="AR1685" s="5">
        <f>VLOOKUP(F1685,'[1]Cost Sheet'!$C:$D,2,0)</f>
        <v>129.18</v>
      </c>
      <c r="AS1685" s="5">
        <f t="shared" si="60"/>
        <v>9430.1400000000012</v>
      </c>
    </row>
    <row r="1686" spans="1:45" x14ac:dyDescent="0.3">
      <c r="A1686" s="1">
        <v>45900.963888888888</v>
      </c>
      <c r="B1686" t="s">
        <v>1473</v>
      </c>
      <c r="C1686" t="s">
        <v>1474</v>
      </c>
      <c r="D1686" t="s">
        <v>734</v>
      </c>
      <c r="F1686" t="s">
        <v>1820</v>
      </c>
      <c r="G1686" t="s">
        <v>735</v>
      </c>
      <c r="H1686" t="s">
        <v>130</v>
      </c>
      <c r="I1686" t="s">
        <v>43</v>
      </c>
      <c r="J1686">
        <v>4</v>
      </c>
      <c r="K1686">
        <v>19</v>
      </c>
      <c r="L1686">
        <v>10</v>
      </c>
      <c r="M1686">
        <v>11</v>
      </c>
      <c r="N1686">
        <v>390</v>
      </c>
      <c r="O1686">
        <v>0</v>
      </c>
      <c r="P1686">
        <v>0</v>
      </c>
      <c r="Q1686" t="s">
        <v>44</v>
      </c>
      <c r="R1686" t="s">
        <v>44</v>
      </c>
      <c r="S1686" t="s">
        <v>44</v>
      </c>
      <c r="T1686" t="s">
        <v>44</v>
      </c>
      <c r="U1686" t="s">
        <v>44</v>
      </c>
      <c r="V1686">
        <v>53</v>
      </c>
      <c r="W1686" t="s">
        <v>44</v>
      </c>
      <c r="X1686" t="s">
        <v>44</v>
      </c>
      <c r="Y1686">
        <v>53</v>
      </c>
      <c r="Z1686" t="s">
        <v>44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53</v>
      </c>
      <c r="AQ1686">
        <f t="shared" si="61"/>
        <v>53</v>
      </c>
      <c r="AR1686" s="5">
        <f>VLOOKUP(F1686,'[1]Cost Sheet'!$C:$D,2,0)</f>
        <v>129.18</v>
      </c>
      <c r="AS1686" s="5">
        <f t="shared" si="60"/>
        <v>6846.54</v>
      </c>
    </row>
    <row r="1687" spans="1:45" x14ac:dyDescent="0.3">
      <c r="A1687" s="1">
        <v>45900.963888888888</v>
      </c>
      <c r="B1687" t="s">
        <v>1473</v>
      </c>
      <c r="C1687" t="s">
        <v>1474</v>
      </c>
      <c r="D1687" t="s">
        <v>736</v>
      </c>
      <c r="F1687" t="s">
        <v>1821</v>
      </c>
      <c r="G1687" t="s">
        <v>737</v>
      </c>
      <c r="H1687" t="s">
        <v>130</v>
      </c>
      <c r="I1687" t="s">
        <v>43</v>
      </c>
      <c r="J1687">
        <v>4</v>
      </c>
      <c r="K1687">
        <v>19</v>
      </c>
      <c r="L1687">
        <v>10</v>
      </c>
      <c r="M1687">
        <v>11</v>
      </c>
      <c r="N1687">
        <v>260</v>
      </c>
      <c r="O1687">
        <v>0</v>
      </c>
      <c r="P1687">
        <v>0</v>
      </c>
      <c r="Q1687" t="s">
        <v>44</v>
      </c>
      <c r="R1687" t="s">
        <v>44</v>
      </c>
      <c r="S1687" t="s">
        <v>44</v>
      </c>
      <c r="T1687" t="s">
        <v>44</v>
      </c>
      <c r="U1687" t="s">
        <v>44</v>
      </c>
      <c r="V1687">
        <v>39</v>
      </c>
      <c r="W1687" t="s">
        <v>44</v>
      </c>
      <c r="X1687" t="s">
        <v>44</v>
      </c>
      <c r="Y1687">
        <v>39</v>
      </c>
      <c r="Z1687" t="s">
        <v>44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39</v>
      </c>
      <c r="AQ1687">
        <f t="shared" si="61"/>
        <v>39</v>
      </c>
      <c r="AR1687" s="5">
        <f>VLOOKUP(F1687,'[1]Cost Sheet'!$C:$D,2,0)</f>
        <v>129.18</v>
      </c>
      <c r="AS1687" s="5">
        <f t="shared" si="60"/>
        <v>5038.0200000000004</v>
      </c>
    </row>
    <row r="1688" spans="1:45" x14ac:dyDescent="0.3">
      <c r="A1688" s="1">
        <v>45900.963888888888</v>
      </c>
      <c r="B1688" t="s">
        <v>1473</v>
      </c>
      <c r="C1688" t="s">
        <v>1474</v>
      </c>
      <c r="D1688" t="s">
        <v>738</v>
      </c>
      <c r="F1688" t="s">
        <v>1822</v>
      </c>
      <c r="G1688" t="s">
        <v>739</v>
      </c>
      <c r="H1688" t="s">
        <v>130</v>
      </c>
      <c r="I1688" t="s">
        <v>43</v>
      </c>
      <c r="J1688">
        <v>4</v>
      </c>
      <c r="K1688">
        <v>19</v>
      </c>
      <c r="L1688">
        <v>10</v>
      </c>
      <c r="M1688">
        <v>11</v>
      </c>
      <c r="N1688">
        <v>322</v>
      </c>
      <c r="O1688">
        <v>0</v>
      </c>
      <c r="P1688">
        <v>0</v>
      </c>
      <c r="Q1688" t="s">
        <v>44</v>
      </c>
      <c r="R1688" t="s">
        <v>44</v>
      </c>
      <c r="S1688" t="s">
        <v>44</v>
      </c>
      <c r="T1688" t="s">
        <v>44</v>
      </c>
      <c r="U1688" t="s">
        <v>44</v>
      </c>
      <c r="V1688">
        <v>70</v>
      </c>
      <c r="W1688" t="s">
        <v>44</v>
      </c>
      <c r="X1688" t="s">
        <v>44</v>
      </c>
      <c r="Y1688">
        <v>70</v>
      </c>
      <c r="Z1688" t="s">
        <v>44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70</v>
      </c>
      <c r="AQ1688">
        <f t="shared" si="61"/>
        <v>70</v>
      </c>
      <c r="AR1688" s="5">
        <f>VLOOKUP(F1688,'[1]Cost Sheet'!$C:$D,2,0)</f>
        <v>129.18</v>
      </c>
      <c r="AS1688" s="5">
        <f t="shared" si="60"/>
        <v>9042.6</v>
      </c>
    </row>
    <row r="1689" spans="1:45" x14ac:dyDescent="0.3">
      <c r="A1689" s="1">
        <v>45900.963888888888</v>
      </c>
      <c r="B1689" t="s">
        <v>1473</v>
      </c>
      <c r="C1689" t="s">
        <v>1474</v>
      </c>
      <c r="D1689" t="s">
        <v>740</v>
      </c>
      <c r="F1689" t="s">
        <v>1823</v>
      </c>
      <c r="G1689" t="s">
        <v>741</v>
      </c>
      <c r="H1689" t="s">
        <v>130</v>
      </c>
      <c r="I1689" t="s">
        <v>43</v>
      </c>
      <c r="J1689">
        <v>8</v>
      </c>
      <c r="K1689">
        <v>19</v>
      </c>
      <c r="L1689">
        <v>10</v>
      </c>
      <c r="M1689">
        <v>11</v>
      </c>
      <c r="N1689">
        <v>164</v>
      </c>
      <c r="O1689">
        <v>0</v>
      </c>
      <c r="P1689">
        <v>0</v>
      </c>
      <c r="Q1689" t="s">
        <v>44</v>
      </c>
      <c r="R1689" t="s">
        <v>44</v>
      </c>
      <c r="S1689" t="s">
        <v>44</v>
      </c>
      <c r="T1689" t="s">
        <v>44</v>
      </c>
      <c r="U1689" t="s">
        <v>44</v>
      </c>
      <c r="V1689">
        <v>19</v>
      </c>
      <c r="W1689" t="s">
        <v>44</v>
      </c>
      <c r="X1689" t="s">
        <v>44</v>
      </c>
      <c r="Y1689">
        <v>19</v>
      </c>
      <c r="Z1689" t="s">
        <v>44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19</v>
      </c>
      <c r="AQ1689">
        <f t="shared" si="61"/>
        <v>19</v>
      </c>
      <c r="AR1689" s="5">
        <f>VLOOKUP(F1689,'[1]Cost Sheet'!$C:$D,2,0)</f>
        <v>91.39</v>
      </c>
      <c r="AS1689" s="5">
        <f t="shared" si="60"/>
        <v>1736.41</v>
      </c>
    </row>
    <row r="1690" spans="1:45" x14ac:dyDescent="0.3">
      <c r="A1690" s="1">
        <v>45900.963888888888</v>
      </c>
      <c r="B1690" t="s">
        <v>1473</v>
      </c>
      <c r="C1690" t="s">
        <v>1474</v>
      </c>
      <c r="D1690" t="s">
        <v>742</v>
      </c>
      <c r="F1690" t="s">
        <v>1824</v>
      </c>
      <c r="G1690" t="s">
        <v>743</v>
      </c>
      <c r="H1690" t="s">
        <v>130</v>
      </c>
      <c r="I1690" t="s">
        <v>43</v>
      </c>
      <c r="J1690">
        <v>8</v>
      </c>
      <c r="K1690">
        <v>19</v>
      </c>
      <c r="L1690">
        <v>10</v>
      </c>
      <c r="M1690">
        <v>11</v>
      </c>
      <c r="N1690">
        <v>164</v>
      </c>
      <c r="O1690">
        <v>0</v>
      </c>
      <c r="P1690">
        <v>0</v>
      </c>
      <c r="Q1690" t="s">
        <v>44</v>
      </c>
      <c r="R1690" t="s">
        <v>44</v>
      </c>
      <c r="S1690" t="s">
        <v>44</v>
      </c>
      <c r="T1690" t="s">
        <v>44</v>
      </c>
      <c r="U1690" t="s">
        <v>44</v>
      </c>
      <c r="V1690">
        <v>16</v>
      </c>
      <c r="W1690" t="s">
        <v>44</v>
      </c>
      <c r="X1690" t="s">
        <v>44</v>
      </c>
      <c r="Y1690">
        <v>16</v>
      </c>
      <c r="Z1690" t="s">
        <v>44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16</v>
      </c>
      <c r="AQ1690">
        <f t="shared" si="61"/>
        <v>16</v>
      </c>
      <c r="AR1690" s="5">
        <f>VLOOKUP(F1690,'[1]Cost Sheet'!$C:$D,2,0)</f>
        <v>91.39</v>
      </c>
      <c r="AS1690" s="5">
        <f t="shared" si="60"/>
        <v>1462.24</v>
      </c>
    </row>
    <row r="1691" spans="1:45" x14ac:dyDescent="0.3">
      <c r="A1691" s="1">
        <v>45900.963888888888</v>
      </c>
      <c r="B1691" t="s">
        <v>1473</v>
      </c>
      <c r="C1691" t="s">
        <v>1474</v>
      </c>
      <c r="D1691" t="s">
        <v>744</v>
      </c>
      <c r="F1691" t="s">
        <v>1825</v>
      </c>
      <c r="G1691" t="s">
        <v>745</v>
      </c>
      <c r="H1691" t="s">
        <v>66</v>
      </c>
      <c r="I1691" t="s">
        <v>43</v>
      </c>
      <c r="J1691">
        <v>400</v>
      </c>
      <c r="K1691">
        <v>19</v>
      </c>
      <c r="L1691">
        <v>10</v>
      </c>
      <c r="M1691">
        <v>11</v>
      </c>
      <c r="N1691">
        <v>715</v>
      </c>
      <c r="O1691">
        <v>0</v>
      </c>
      <c r="P1691">
        <v>0</v>
      </c>
      <c r="Q1691" t="s">
        <v>44</v>
      </c>
      <c r="R1691" t="s">
        <v>44</v>
      </c>
      <c r="S1691" t="s">
        <v>44</v>
      </c>
      <c r="T1691" t="s">
        <v>44</v>
      </c>
      <c r="U1691" t="s">
        <v>44</v>
      </c>
      <c r="V1691">
        <v>57</v>
      </c>
      <c r="W1691" t="s">
        <v>44</v>
      </c>
      <c r="X1691" t="s">
        <v>44</v>
      </c>
      <c r="Y1691">
        <v>57</v>
      </c>
      <c r="Z1691" t="s">
        <v>44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57</v>
      </c>
      <c r="AQ1691">
        <f t="shared" si="61"/>
        <v>57</v>
      </c>
      <c r="AR1691" s="5">
        <f>VLOOKUP(F1691,'[1]Cost Sheet'!$C:$D,2,0)</f>
        <v>79.760000000000005</v>
      </c>
      <c r="AS1691" s="5">
        <f t="shared" si="60"/>
        <v>4546.3200000000006</v>
      </c>
    </row>
    <row r="1692" spans="1:45" x14ac:dyDescent="0.3">
      <c r="A1692" s="1">
        <v>45900.963888888888</v>
      </c>
      <c r="B1692" t="s">
        <v>1473</v>
      </c>
      <c r="C1692" t="s">
        <v>1474</v>
      </c>
      <c r="D1692" t="s">
        <v>746</v>
      </c>
      <c r="F1692" t="s">
        <v>1826</v>
      </c>
      <c r="G1692" t="s">
        <v>747</v>
      </c>
      <c r="H1692" t="s">
        <v>66</v>
      </c>
      <c r="I1692" t="s">
        <v>43</v>
      </c>
      <c r="J1692">
        <v>400</v>
      </c>
      <c r="K1692">
        <v>19</v>
      </c>
      <c r="L1692">
        <v>10</v>
      </c>
      <c r="M1692">
        <v>11</v>
      </c>
      <c r="N1692">
        <v>716</v>
      </c>
      <c r="O1692">
        <v>0</v>
      </c>
      <c r="P1692">
        <v>0</v>
      </c>
      <c r="Q1692" t="s">
        <v>44</v>
      </c>
      <c r="R1692" t="s">
        <v>44</v>
      </c>
      <c r="S1692" t="s">
        <v>44</v>
      </c>
      <c r="T1692" t="s">
        <v>44</v>
      </c>
      <c r="U1692" t="s">
        <v>44</v>
      </c>
      <c r="V1692">
        <v>45</v>
      </c>
      <c r="W1692" t="s">
        <v>44</v>
      </c>
      <c r="X1692" t="s">
        <v>44</v>
      </c>
      <c r="Y1692">
        <v>45</v>
      </c>
      <c r="Z1692" t="s">
        <v>44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45</v>
      </c>
      <c r="AQ1692">
        <f t="shared" si="61"/>
        <v>45</v>
      </c>
      <c r="AR1692" s="5">
        <f>VLOOKUP(F1692,'[1]Cost Sheet'!$C:$D,2,0)</f>
        <v>91.35</v>
      </c>
      <c r="AS1692" s="5">
        <f t="shared" si="60"/>
        <v>4110.75</v>
      </c>
    </row>
    <row r="1693" spans="1:45" x14ac:dyDescent="0.3">
      <c r="A1693" s="1">
        <v>45900.963888888888</v>
      </c>
      <c r="B1693" t="s">
        <v>1473</v>
      </c>
      <c r="C1693" t="s">
        <v>1474</v>
      </c>
      <c r="D1693" t="s">
        <v>748</v>
      </c>
      <c r="F1693" t="s">
        <v>1827</v>
      </c>
      <c r="G1693" t="s">
        <v>749</v>
      </c>
      <c r="H1693" t="s">
        <v>66</v>
      </c>
      <c r="I1693" t="s">
        <v>43</v>
      </c>
      <c r="J1693">
        <v>30</v>
      </c>
      <c r="K1693">
        <v>19</v>
      </c>
      <c r="L1693">
        <v>10</v>
      </c>
      <c r="M1693">
        <v>11</v>
      </c>
      <c r="N1693">
        <v>158</v>
      </c>
      <c r="O1693">
        <v>0</v>
      </c>
      <c r="P1693">
        <v>0</v>
      </c>
      <c r="Q1693" t="s">
        <v>44</v>
      </c>
      <c r="R1693" t="s">
        <v>44</v>
      </c>
      <c r="S1693" t="s">
        <v>44</v>
      </c>
      <c r="T1693" t="s">
        <v>44</v>
      </c>
      <c r="U1693" t="s">
        <v>44</v>
      </c>
      <c r="V1693">
        <v>20</v>
      </c>
      <c r="W1693" t="s">
        <v>44</v>
      </c>
      <c r="X1693" t="s">
        <v>44</v>
      </c>
      <c r="Y1693">
        <v>20</v>
      </c>
      <c r="Z1693" t="s">
        <v>44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20</v>
      </c>
      <c r="AQ1693">
        <f t="shared" si="61"/>
        <v>20</v>
      </c>
      <c r="AR1693" s="5">
        <f>VLOOKUP(F1693,'[1]Cost Sheet'!$C:$D,2,0)</f>
        <v>114.81</v>
      </c>
      <c r="AS1693" s="5">
        <f t="shared" si="60"/>
        <v>2296.1999999999998</v>
      </c>
    </row>
    <row r="1694" spans="1:45" x14ac:dyDescent="0.3">
      <c r="A1694" s="1">
        <v>45900.963888888888</v>
      </c>
      <c r="B1694" t="s">
        <v>1473</v>
      </c>
      <c r="C1694" t="s">
        <v>1474</v>
      </c>
      <c r="D1694" t="s">
        <v>1246</v>
      </c>
      <c r="F1694" t="s">
        <v>2073</v>
      </c>
      <c r="G1694" t="s">
        <v>123</v>
      </c>
      <c r="H1694" t="s">
        <v>120</v>
      </c>
      <c r="I1694" t="s">
        <v>43</v>
      </c>
      <c r="J1694">
        <v>100</v>
      </c>
      <c r="K1694">
        <v>19</v>
      </c>
      <c r="L1694">
        <v>11</v>
      </c>
      <c r="M1694">
        <v>10</v>
      </c>
      <c r="N1694">
        <v>3001</v>
      </c>
      <c r="O1694">
        <v>0</v>
      </c>
      <c r="P1694">
        <v>0</v>
      </c>
      <c r="Q1694" t="s">
        <v>44</v>
      </c>
      <c r="R1694">
        <v>5</v>
      </c>
      <c r="S1694" t="s">
        <v>44</v>
      </c>
      <c r="T1694" t="s">
        <v>44</v>
      </c>
      <c r="U1694" t="s">
        <v>44</v>
      </c>
      <c r="V1694">
        <v>1</v>
      </c>
      <c r="W1694" t="s">
        <v>44</v>
      </c>
      <c r="X1694" t="s">
        <v>44</v>
      </c>
      <c r="Y1694">
        <v>1</v>
      </c>
      <c r="Z1694" t="s">
        <v>44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1</v>
      </c>
      <c r="AQ1694">
        <f t="shared" si="61"/>
        <v>1</v>
      </c>
      <c r="AR1694" s="5">
        <f>VLOOKUP(F1694,'[1]Cost Sheet'!$C:$D,2,0)</f>
        <v>27.5</v>
      </c>
      <c r="AS1694" s="5">
        <f t="shared" si="60"/>
        <v>27.5</v>
      </c>
    </row>
    <row r="1695" spans="1:45" x14ac:dyDescent="0.3">
      <c r="A1695" s="1">
        <v>45900.963888888888</v>
      </c>
      <c r="B1695" t="s">
        <v>1473</v>
      </c>
      <c r="C1695" t="s">
        <v>1474</v>
      </c>
      <c r="D1695" t="s">
        <v>1452</v>
      </c>
      <c r="E1695" t="s">
        <v>1250</v>
      </c>
      <c r="F1695" t="s">
        <v>2173</v>
      </c>
      <c r="G1695" t="s">
        <v>1453</v>
      </c>
      <c r="H1695" t="s">
        <v>120</v>
      </c>
      <c r="I1695" t="s">
        <v>415</v>
      </c>
      <c r="J1695">
        <v>100</v>
      </c>
      <c r="K1695">
        <v>19</v>
      </c>
      <c r="L1695">
        <v>10</v>
      </c>
      <c r="M1695">
        <v>11</v>
      </c>
      <c r="N1695">
        <v>819</v>
      </c>
      <c r="O1695">
        <v>0</v>
      </c>
      <c r="P1695">
        <v>0</v>
      </c>
      <c r="Q1695" t="s">
        <v>44</v>
      </c>
      <c r="R1695" t="s">
        <v>44</v>
      </c>
      <c r="S1695" t="s">
        <v>44</v>
      </c>
      <c r="T1695">
        <v>45</v>
      </c>
      <c r="U1695" t="s">
        <v>44</v>
      </c>
      <c r="V1695">
        <v>3</v>
      </c>
      <c r="W1695" t="s">
        <v>44</v>
      </c>
      <c r="X1695" t="s">
        <v>44</v>
      </c>
      <c r="Y1695">
        <v>3</v>
      </c>
      <c r="Z1695" t="s">
        <v>44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3</v>
      </c>
      <c r="AQ1695">
        <f t="shared" si="61"/>
        <v>3</v>
      </c>
      <c r="AR1695" s="5">
        <f>VLOOKUP(F1695,'[2]SCP_24-25'!$A:$D,4,0)</f>
        <v>110</v>
      </c>
      <c r="AS1695" s="5">
        <f t="shared" si="60"/>
        <v>330</v>
      </c>
    </row>
    <row r="1696" spans="1:45" x14ac:dyDescent="0.3">
      <c r="A1696" s="1">
        <v>45900.963888888888</v>
      </c>
      <c r="B1696" t="s">
        <v>1473</v>
      </c>
      <c r="C1696" t="s">
        <v>1474</v>
      </c>
      <c r="D1696" t="s">
        <v>1249</v>
      </c>
      <c r="E1696" t="s">
        <v>1250</v>
      </c>
      <c r="F1696" t="s">
        <v>2075</v>
      </c>
      <c r="G1696" t="s">
        <v>1251</v>
      </c>
      <c r="H1696" t="s">
        <v>120</v>
      </c>
      <c r="I1696" t="s">
        <v>415</v>
      </c>
      <c r="J1696">
        <v>100</v>
      </c>
      <c r="K1696">
        <v>19</v>
      </c>
      <c r="L1696">
        <v>10</v>
      </c>
      <c r="M1696">
        <v>11</v>
      </c>
      <c r="N1696">
        <v>600</v>
      </c>
      <c r="O1696">
        <v>0</v>
      </c>
      <c r="P1696">
        <v>0</v>
      </c>
      <c r="Q1696" t="s">
        <v>44</v>
      </c>
      <c r="R1696" t="s">
        <v>44</v>
      </c>
      <c r="S1696" t="s">
        <v>44</v>
      </c>
      <c r="T1696" t="s">
        <v>44</v>
      </c>
      <c r="U1696" t="s">
        <v>44</v>
      </c>
      <c r="V1696">
        <v>20</v>
      </c>
      <c r="W1696" t="s">
        <v>44</v>
      </c>
      <c r="X1696" t="s">
        <v>44</v>
      </c>
      <c r="Y1696">
        <v>20</v>
      </c>
      <c r="Z1696" t="s">
        <v>44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20</v>
      </c>
      <c r="AQ1696">
        <f t="shared" si="61"/>
        <v>20</v>
      </c>
      <c r="AR1696" s="5">
        <f>VLOOKUP(F1696,'[2]SCP_24-25'!$A:$D,4,0)</f>
        <v>55</v>
      </c>
      <c r="AS1696" s="5">
        <f t="shared" si="60"/>
        <v>1100</v>
      </c>
    </row>
    <row r="1697" spans="1:45" x14ac:dyDescent="0.3">
      <c r="A1697" s="1">
        <v>45900.963888888888</v>
      </c>
      <c r="B1697" t="s">
        <v>1473</v>
      </c>
      <c r="C1697" t="s">
        <v>1474</v>
      </c>
      <c r="D1697" t="s">
        <v>1457</v>
      </c>
      <c r="F1697" t="s">
        <v>2176</v>
      </c>
      <c r="G1697" t="s">
        <v>123</v>
      </c>
      <c r="H1697" t="s">
        <v>120</v>
      </c>
      <c r="I1697" t="s">
        <v>43</v>
      </c>
      <c r="J1697">
        <v>10</v>
      </c>
      <c r="K1697">
        <v>19</v>
      </c>
      <c r="L1697">
        <v>11</v>
      </c>
      <c r="M1697">
        <v>10</v>
      </c>
      <c r="N1697">
        <v>41</v>
      </c>
      <c r="O1697">
        <v>0</v>
      </c>
      <c r="P1697">
        <v>0</v>
      </c>
      <c r="Q1697" t="s">
        <v>44</v>
      </c>
      <c r="R1697" t="s">
        <v>44</v>
      </c>
      <c r="S1697" t="s">
        <v>44</v>
      </c>
      <c r="T1697">
        <v>81</v>
      </c>
      <c r="U1697" t="s">
        <v>44</v>
      </c>
      <c r="V1697">
        <v>22</v>
      </c>
      <c r="W1697" t="s">
        <v>44</v>
      </c>
      <c r="X1697" t="s">
        <v>44</v>
      </c>
      <c r="Y1697">
        <v>22</v>
      </c>
      <c r="Z1697" t="s">
        <v>44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22</v>
      </c>
      <c r="AQ1697">
        <f t="shared" si="61"/>
        <v>22</v>
      </c>
      <c r="AR1697" s="5">
        <f>VLOOKUP(F1697,'[1]Cost Sheet'!$C:$D,2,0)</f>
        <v>34</v>
      </c>
      <c r="AS1697" s="5">
        <f t="shared" si="60"/>
        <v>748</v>
      </c>
    </row>
    <row r="1698" spans="1:45" x14ac:dyDescent="0.3">
      <c r="A1698" s="1">
        <v>45900.963888888888</v>
      </c>
      <c r="B1698" t="s">
        <v>1473</v>
      </c>
      <c r="C1698" t="s">
        <v>1474</v>
      </c>
      <c r="D1698" t="s">
        <v>558</v>
      </c>
      <c r="F1698" t="s">
        <v>1733</v>
      </c>
      <c r="G1698" t="s">
        <v>559</v>
      </c>
      <c r="H1698" t="s">
        <v>66</v>
      </c>
      <c r="I1698" t="s">
        <v>415</v>
      </c>
      <c r="J1698">
        <v>100</v>
      </c>
      <c r="K1698">
        <v>19</v>
      </c>
      <c r="L1698">
        <v>10</v>
      </c>
      <c r="M1698">
        <v>11</v>
      </c>
      <c r="N1698">
        <v>16865</v>
      </c>
      <c r="O1698">
        <v>0</v>
      </c>
      <c r="P1698">
        <v>0</v>
      </c>
      <c r="Q1698">
        <v>57</v>
      </c>
      <c r="R1698">
        <v>109</v>
      </c>
      <c r="S1698" t="s">
        <v>44</v>
      </c>
      <c r="T1698">
        <v>11</v>
      </c>
      <c r="U1698" t="s">
        <v>44</v>
      </c>
      <c r="V1698">
        <v>0</v>
      </c>
      <c r="W1698" t="s">
        <v>44</v>
      </c>
      <c r="X1698" t="s">
        <v>44</v>
      </c>
      <c r="Y1698" t="s">
        <v>44</v>
      </c>
      <c r="Z1698" t="s">
        <v>44</v>
      </c>
      <c r="AA1698">
        <v>6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6</v>
      </c>
      <c r="AQ1698">
        <f t="shared" si="61"/>
        <v>6</v>
      </c>
      <c r="AR1698" s="5">
        <f>VLOOKUP(F1698,'[2]SCP_24-25'!$A:$D,4,0)</f>
        <v>64.38</v>
      </c>
      <c r="AS1698" s="5">
        <f t="shared" si="60"/>
        <v>386.28</v>
      </c>
    </row>
    <row r="1699" spans="1:45" x14ac:dyDescent="0.3">
      <c r="A1699" s="1">
        <v>45900.963888888888</v>
      </c>
      <c r="B1699" t="s">
        <v>1473</v>
      </c>
      <c r="C1699" t="s">
        <v>1474</v>
      </c>
      <c r="D1699" t="s">
        <v>473</v>
      </c>
      <c r="F1699" t="s">
        <v>1691</v>
      </c>
      <c r="G1699" t="s">
        <v>474</v>
      </c>
      <c r="H1699" t="s">
        <v>103</v>
      </c>
      <c r="I1699" t="s">
        <v>415</v>
      </c>
      <c r="J1699">
        <v>200</v>
      </c>
      <c r="K1699">
        <v>19</v>
      </c>
      <c r="L1699">
        <v>10</v>
      </c>
      <c r="M1699">
        <v>11</v>
      </c>
      <c r="N1699">
        <v>11136</v>
      </c>
      <c r="O1699">
        <v>10</v>
      </c>
      <c r="P1699">
        <v>0</v>
      </c>
      <c r="Q1699">
        <v>3</v>
      </c>
      <c r="R1699">
        <v>1</v>
      </c>
      <c r="S1699" t="s">
        <v>44</v>
      </c>
      <c r="T1699">
        <v>1011</v>
      </c>
      <c r="U1699" t="s">
        <v>44</v>
      </c>
      <c r="V1699">
        <v>0</v>
      </c>
      <c r="W1699" t="s">
        <v>44</v>
      </c>
      <c r="X1699" t="s">
        <v>44</v>
      </c>
      <c r="Y1699" t="s">
        <v>44</v>
      </c>
      <c r="Z1699">
        <v>1</v>
      </c>
      <c r="AA1699">
        <v>17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27</v>
      </c>
      <c r="AQ1699">
        <f t="shared" si="61"/>
        <v>27</v>
      </c>
      <c r="AR1699" s="5">
        <f>VLOOKUP(F1699,'[2]SCP_24-25'!$A:$D,4,0)</f>
        <v>40.409999999999997</v>
      </c>
      <c r="AS1699" s="5">
        <f t="shared" si="60"/>
        <v>1091.07</v>
      </c>
    </row>
    <row r="1700" spans="1:45" x14ac:dyDescent="0.3">
      <c r="A1700" s="1">
        <v>45900.963888888888</v>
      </c>
      <c r="B1700" t="s">
        <v>1473</v>
      </c>
      <c r="C1700" t="s">
        <v>1474</v>
      </c>
      <c r="D1700" t="s">
        <v>584</v>
      </c>
      <c r="F1700" t="s">
        <v>1746</v>
      </c>
      <c r="G1700" t="s">
        <v>585</v>
      </c>
      <c r="H1700" t="s">
        <v>103</v>
      </c>
      <c r="I1700" t="s">
        <v>415</v>
      </c>
      <c r="J1700">
        <v>200</v>
      </c>
      <c r="K1700">
        <v>19</v>
      </c>
      <c r="L1700">
        <v>10</v>
      </c>
      <c r="M1700">
        <v>11</v>
      </c>
      <c r="N1700">
        <v>4416</v>
      </c>
      <c r="O1700">
        <v>3</v>
      </c>
      <c r="P1700">
        <v>0</v>
      </c>
      <c r="Q1700">
        <v>1</v>
      </c>
      <c r="R1700">
        <v>1</v>
      </c>
      <c r="S1700" t="s">
        <v>44</v>
      </c>
      <c r="T1700" t="s">
        <v>44</v>
      </c>
      <c r="U1700" t="s">
        <v>44</v>
      </c>
      <c r="V1700">
        <v>0</v>
      </c>
      <c r="W1700" t="s">
        <v>44</v>
      </c>
      <c r="X1700" t="s">
        <v>44</v>
      </c>
      <c r="Y1700" t="s">
        <v>44</v>
      </c>
      <c r="Z1700" t="s">
        <v>44</v>
      </c>
      <c r="AA1700">
        <v>6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9</v>
      </c>
      <c r="AQ1700">
        <f t="shared" si="61"/>
        <v>9</v>
      </c>
      <c r="AR1700" s="5">
        <f>VLOOKUP(F1700,'[2]SCP_24-25'!$A:$D,4,0)</f>
        <v>65.53</v>
      </c>
      <c r="AS1700" s="5">
        <f t="shared" si="60"/>
        <v>589.77</v>
      </c>
    </row>
    <row r="1701" spans="1:45" x14ac:dyDescent="0.3">
      <c r="A1701" s="1">
        <v>45900.963888888888</v>
      </c>
      <c r="B1701" t="s">
        <v>1473</v>
      </c>
      <c r="C1701" t="s">
        <v>1474</v>
      </c>
      <c r="D1701" t="s">
        <v>1254</v>
      </c>
      <c r="F1701" t="s">
        <v>2077</v>
      </c>
      <c r="G1701" t="s">
        <v>123</v>
      </c>
      <c r="H1701" t="s">
        <v>66</v>
      </c>
      <c r="I1701" t="s">
        <v>415</v>
      </c>
      <c r="J1701">
        <v>50</v>
      </c>
      <c r="K1701">
        <v>19</v>
      </c>
      <c r="L1701">
        <v>10</v>
      </c>
      <c r="M1701">
        <v>11</v>
      </c>
      <c r="N1701">
        <v>100</v>
      </c>
      <c r="O1701">
        <v>0</v>
      </c>
      <c r="P1701">
        <v>0</v>
      </c>
      <c r="Q1701" t="s">
        <v>44</v>
      </c>
      <c r="R1701" t="s">
        <v>44</v>
      </c>
      <c r="S1701" t="s">
        <v>44</v>
      </c>
      <c r="T1701" t="s">
        <v>44</v>
      </c>
      <c r="U1701" t="s">
        <v>44</v>
      </c>
      <c r="V1701">
        <v>100</v>
      </c>
      <c r="W1701" t="s">
        <v>44</v>
      </c>
      <c r="X1701" t="s">
        <v>44</v>
      </c>
      <c r="Y1701">
        <v>100</v>
      </c>
      <c r="Z1701" t="s">
        <v>44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100</v>
      </c>
      <c r="AQ1701">
        <f t="shared" si="61"/>
        <v>100</v>
      </c>
      <c r="AR1701" s="5">
        <f>VLOOKUP(F1701,'[1]Cost Sheet'!$C:$D,2,0)</f>
        <v>40.33</v>
      </c>
      <c r="AS1701" s="5">
        <f t="shared" si="60"/>
        <v>4033</v>
      </c>
    </row>
    <row r="1702" spans="1:45" x14ac:dyDescent="0.3">
      <c r="A1702" s="1">
        <v>45900.963888888888</v>
      </c>
      <c r="B1702" t="s">
        <v>1473</v>
      </c>
      <c r="C1702" t="s">
        <v>1474</v>
      </c>
      <c r="D1702" t="s">
        <v>1255</v>
      </c>
      <c r="F1702" t="s">
        <v>2078</v>
      </c>
      <c r="G1702" t="s">
        <v>1256</v>
      </c>
      <c r="H1702" t="s">
        <v>66</v>
      </c>
      <c r="I1702" t="s">
        <v>415</v>
      </c>
      <c r="J1702">
        <v>100</v>
      </c>
      <c r="K1702">
        <v>19</v>
      </c>
      <c r="L1702">
        <v>10</v>
      </c>
      <c r="M1702">
        <v>11</v>
      </c>
      <c r="N1702">
        <v>200</v>
      </c>
      <c r="O1702">
        <v>0</v>
      </c>
      <c r="P1702">
        <v>0</v>
      </c>
      <c r="Q1702" t="s">
        <v>44</v>
      </c>
      <c r="R1702" t="s">
        <v>44</v>
      </c>
      <c r="S1702" t="s">
        <v>44</v>
      </c>
      <c r="T1702" t="s">
        <v>44</v>
      </c>
      <c r="U1702" t="s">
        <v>44</v>
      </c>
      <c r="V1702">
        <v>9</v>
      </c>
      <c r="W1702" t="s">
        <v>44</v>
      </c>
      <c r="X1702" t="s">
        <v>44</v>
      </c>
      <c r="Y1702">
        <v>9</v>
      </c>
      <c r="Z1702" t="s">
        <v>44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9</v>
      </c>
      <c r="AQ1702">
        <f t="shared" si="61"/>
        <v>9</v>
      </c>
      <c r="AR1702" s="5">
        <f>VLOOKUP(F1702,'[1]Cost Sheet'!$C:$D,2,0)</f>
        <v>64.38</v>
      </c>
      <c r="AS1702" s="5">
        <f t="shared" si="60"/>
        <v>579.41999999999996</v>
      </c>
    </row>
    <row r="1703" spans="1:45" x14ac:dyDescent="0.3">
      <c r="A1703" s="1">
        <v>45900.963888888888</v>
      </c>
      <c r="B1703" t="s">
        <v>1473</v>
      </c>
      <c r="C1703" t="s">
        <v>1474</v>
      </c>
      <c r="D1703" t="s">
        <v>1458</v>
      </c>
      <c r="F1703" t="s">
        <v>2177</v>
      </c>
      <c r="G1703" t="s">
        <v>123</v>
      </c>
      <c r="H1703" t="s">
        <v>66</v>
      </c>
      <c r="I1703" t="s">
        <v>415</v>
      </c>
      <c r="J1703">
        <v>77</v>
      </c>
      <c r="K1703">
        <v>19</v>
      </c>
      <c r="L1703">
        <v>10</v>
      </c>
      <c r="M1703">
        <v>11</v>
      </c>
      <c r="N1703">
        <v>60</v>
      </c>
      <c r="O1703">
        <v>0</v>
      </c>
      <c r="P1703">
        <v>0</v>
      </c>
      <c r="Q1703" t="s">
        <v>44</v>
      </c>
      <c r="R1703" t="s">
        <v>44</v>
      </c>
      <c r="S1703" t="s">
        <v>44</v>
      </c>
      <c r="T1703" t="s">
        <v>44</v>
      </c>
      <c r="U1703" t="s">
        <v>44</v>
      </c>
      <c r="V1703">
        <v>60</v>
      </c>
      <c r="W1703" t="s">
        <v>44</v>
      </c>
      <c r="X1703" t="s">
        <v>44</v>
      </c>
      <c r="Y1703">
        <v>60</v>
      </c>
      <c r="Z1703" t="s">
        <v>44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60</v>
      </c>
      <c r="AQ1703">
        <f t="shared" si="61"/>
        <v>60</v>
      </c>
      <c r="AR1703" s="5">
        <f>VLOOKUP(F1703,'[1]Cost Sheet'!$C:$D,2,0)</f>
        <v>70.5</v>
      </c>
      <c r="AS1703" s="5">
        <f t="shared" si="60"/>
        <v>4230</v>
      </c>
    </row>
    <row r="1704" spans="1:45" x14ac:dyDescent="0.3">
      <c r="A1704" s="1">
        <v>45900.963888888888</v>
      </c>
      <c r="B1704" t="s">
        <v>1473</v>
      </c>
      <c r="C1704" t="s">
        <v>1474</v>
      </c>
      <c r="D1704" t="s">
        <v>1264</v>
      </c>
      <c r="F1704" t="s">
        <v>2083</v>
      </c>
      <c r="G1704" t="s">
        <v>123</v>
      </c>
      <c r="H1704" t="s">
        <v>66</v>
      </c>
      <c r="I1704" t="s">
        <v>415</v>
      </c>
      <c r="J1704">
        <v>40</v>
      </c>
      <c r="K1704">
        <v>19</v>
      </c>
      <c r="L1704">
        <v>10</v>
      </c>
      <c r="M1704">
        <v>11</v>
      </c>
      <c r="N1704">
        <v>60</v>
      </c>
      <c r="O1704">
        <v>0</v>
      </c>
      <c r="P1704">
        <v>0</v>
      </c>
      <c r="Q1704" t="s">
        <v>44</v>
      </c>
      <c r="R1704" t="s">
        <v>44</v>
      </c>
      <c r="S1704" t="s">
        <v>44</v>
      </c>
      <c r="T1704" t="s">
        <v>44</v>
      </c>
      <c r="U1704" t="s">
        <v>44</v>
      </c>
      <c r="V1704">
        <v>60</v>
      </c>
      <c r="W1704" t="s">
        <v>44</v>
      </c>
      <c r="X1704" t="s">
        <v>44</v>
      </c>
      <c r="Y1704">
        <v>60</v>
      </c>
      <c r="Z1704" t="s">
        <v>44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60</v>
      </c>
      <c r="AQ1704">
        <f t="shared" si="61"/>
        <v>60</v>
      </c>
      <c r="AR1704" s="5">
        <f>VLOOKUP(F1704,'[1]Cost Sheet'!$C:$D,2,0)</f>
        <v>87.59</v>
      </c>
      <c r="AS1704" s="5">
        <f t="shared" si="60"/>
        <v>5255.4000000000005</v>
      </c>
    </row>
    <row r="1705" spans="1:45" x14ac:dyDescent="0.3">
      <c r="A1705" s="1">
        <v>45900.963888888888</v>
      </c>
      <c r="B1705" t="s">
        <v>1473</v>
      </c>
      <c r="C1705" t="s">
        <v>1474</v>
      </c>
      <c r="D1705" t="s">
        <v>1475</v>
      </c>
      <c r="F1705" t="s">
        <v>2185</v>
      </c>
      <c r="G1705" t="s">
        <v>123</v>
      </c>
      <c r="H1705" t="s">
        <v>66</v>
      </c>
      <c r="I1705" t="s">
        <v>415</v>
      </c>
      <c r="J1705">
        <v>45</v>
      </c>
      <c r="K1705">
        <v>19</v>
      </c>
      <c r="L1705">
        <v>10</v>
      </c>
      <c r="M1705">
        <v>11</v>
      </c>
      <c r="N1705">
        <v>30</v>
      </c>
      <c r="O1705">
        <v>0</v>
      </c>
      <c r="P1705">
        <v>0</v>
      </c>
      <c r="Q1705" t="s">
        <v>44</v>
      </c>
      <c r="R1705" t="s">
        <v>44</v>
      </c>
      <c r="S1705" t="s">
        <v>44</v>
      </c>
      <c r="T1705" t="s">
        <v>44</v>
      </c>
      <c r="U1705" t="s">
        <v>44</v>
      </c>
      <c r="V1705">
        <v>30</v>
      </c>
      <c r="W1705" t="s">
        <v>44</v>
      </c>
      <c r="X1705" t="s">
        <v>44</v>
      </c>
      <c r="Y1705">
        <v>30</v>
      </c>
      <c r="Z1705" t="s">
        <v>44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30</v>
      </c>
      <c r="AQ1705">
        <f t="shared" si="61"/>
        <v>30</v>
      </c>
      <c r="AR1705" s="5">
        <f>VLOOKUP(F1705,'[1]Cost Sheet'!$C:$D,2,0)</f>
        <v>85.96</v>
      </c>
      <c r="AS1705" s="5">
        <f t="shared" si="60"/>
        <v>2578.7999999999997</v>
      </c>
    </row>
    <row r="1706" spans="1:45" x14ac:dyDescent="0.3">
      <c r="A1706" s="1">
        <v>45900.963888888888</v>
      </c>
      <c r="B1706" t="s">
        <v>1473</v>
      </c>
      <c r="C1706" t="s">
        <v>1474</v>
      </c>
      <c r="D1706" t="s">
        <v>1265</v>
      </c>
      <c r="F1706" t="s">
        <v>2084</v>
      </c>
      <c r="G1706" t="s">
        <v>123</v>
      </c>
      <c r="H1706" t="s">
        <v>66</v>
      </c>
      <c r="I1706" t="s">
        <v>415</v>
      </c>
      <c r="J1706">
        <v>50</v>
      </c>
      <c r="K1706">
        <v>19</v>
      </c>
      <c r="L1706">
        <v>10</v>
      </c>
      <c r="M1706">
        <v>11</v>
      </c>
      <c r="N1706">
        <v>60</v>
      </c>
      <c r="O1706">
        <v>0</v>
      </c>
      <c r="P1706">
        <v>0</v>
      </c>
      <c r="Q1706" t="s">
        <v>44</v>
      </c>
      <c r="R1706" t="s">
        <v>44</v>
      </c>
      <c r="S1706" t="s">
        <v>44</v>
      </c>
      <c r="T1706" t="s">
        <v>44</v>
      </c>
      <c r="U1706" t="s">
        <v>44</v>
      </c>
      <c r="V1706">
        <v>60</v>
      </c>
      <c r="W1706" t="s">
        <v>44</v>
      </c>
      <c r="X1706" t="s">
        <v>44</v>
      </c>
      <c r="Y1706">
        <v>60</v>
      </c>
      <c r="Z1706" t="s">
        <v>44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60</v>
      </c>
      <c r="AQ1706">
        <f t="shared" si="61"/>
        <v>60</v>
      </c>
      <c r="AR1706" s="5">
        <f>VLOOKUP(F1706,'[1]Cost Sheet'!$C:$D,2,0)</f>
        <v>84.2</v>
      </c>
      <c r="AS1706" s="5">
        <f t="shared" si="60"/>
        <v>5052</v>
      </c>
    </row>
    <row r="1707" spans="1:45" x14ac:dyDescent="0.3">
      <c r="A1707" s="1">
        <v>45900.963888888888</v>
      </c>
      <c r="B1707" t="s">
        <v>1473</v>
      </c>
      <c r="C1707" t="s">
        <v>1474</v>
      </c>
      <c r="D1707" t="s">
        <v>1459</v>
      </c>
      <c r="F1707" t="s">
        <v>2178</v>
      </c>
      <c r="G1707" t="s">
        <v>123</v>
      </c>
      <c r="H1707" t="s">
        <v>66</v>
      </c>
      <c r="I1707" t="s">
        <v>415</v>
      </c>
      <c r="J1707">
        <v>50</v>
      </c>
      <c r="K1707">
        <v>19</v>
      </c>
      <c r="L1707">
        <v>10</v>
      </c>
      <c r="M1707">
        <v>11</v>
      </c>
      <c r="N1707">
        <v>31</v>
      </c>
      <c r="O1707">
        <v>0</v>
      </c>
      <c r="P1707">
        <v>0</v>
      </c>
      <c r="Q1707" t="s">
        <v>44</v>
      </c>
      <c r="R1707">
        <v>1</v>
      </c>
      <c r="S1707" t="s">
        <v>44</v>
      </c>
      <c r="T1707" t="s">
        <v>44</v>
      </c>
      <c r="U1707" t="s">
        <v>44</v>
      </c>
      <c r="V1707">
        <v>30</v>
      </c>
      <c r="W1707" t="s">
        <v>44</v>
      </c>
      <c r="X1707" t="s">
        <v>44</v>
      </c>
      <c r="Y1707">
        <v>30</v>
      </c>
      <c r="Z1707" t="s">
        <v>44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30</v>
      </c>
      <c r="AQ1707">
        <f t="shared" si="61"/>
        <v>30</v>
      </c>
      <c r="AR1707" s="5">
        <f>VLOOKUP(F1707,'[1]Cost Sheet'!$C:$D,2,0)</f>
        <v>91.25</v>
      </c>
      <c r="AS1707" s="5">
        <f t="shared" si="60"/>
        <v>2737.5</v>
      </c>
    </row>
    <row r="1708" spans="1:45" x14ac:dyDescent="0.3">
      <c r="A1708" s="1">
        <v>45900.963888888888</v>
      </c>
      <c r="B1708" t="s">
        <v>1473</v>
      </c>
      <c r="C1708" t="s">
        <v>1474</v>
      </c>
      <c r="D1708" t="s">
        <v>1462</v>
      </c>
      <c r="F1708" t="s">
        <v>2180</v>
      </c>
      <c r="G1708" t="s">
        <v>422</v>
      </c>
      <c r="H1708" t="s">
        <v>120</v>
      </c>
      <c r="I1708" t="s">
        <v>43</v>
      </c>
      <c r="J1708">
        <v>10</v>
      </c>
      <c r="K1708">
        <v>19</v>
      </c>
      <c r="L1708">
        <v>11</v>
      </c>
      <c r="M1708">
        <v>10</v>
      </c>
      <c r="N1708">
        <v>11</v>
      </c>
      <c r="O1708">
        <v>0</v>
      </c>
      <c r="P1708">
        <v>0</v>
      </c>
      <c r="Q1708" t="s">
        <v>44</v>
      </c>
      <c r="R1708" t="s">
        <v>44</v>
      </c>
      <c r="S1708" t="s">
        <v>44</v>
      </c>
      <c r="T1708" t="s">
        <v>44</v>
      </c>
      <c r="U1708" t="s">
        <v>44</v>
      </c>
      <c r="V1708">
        <v>11</v>
      </c>
      <c r="W1708" t="s">
        <v>44</v>
      </c>
      <c r="X1708" t="s">
        <v>44</v>
      </c>
      <c r="Y1708">
        <v>11</v>
      </c>
      <c r="Z1708" t="s">
        <v>44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11</v>
      </c>
      <c r="AQ1708">
        <f t="shared" si="61"/>
        <v>11</v>
      </c>
      <c r="AR1708" s="5">
        <f>VLOOKUP(F1708,'[1]Cost Sheet'!$C:$D,2,0)</f>
        <v>34</v>
      </c>
      <c r="AS1708" s="5">
        <f t="shared" si="60"/>
        <v>374</v>
      </c>
    </row>
    <row r="1709" spans="1:45" x14ac:dyDescent="0.3">
      <c r="A1709" s="1">
        <v>45900.963888888888</v>
      </c>
      <c r="B1709" t="s">
        <v>1473</v>
      </c>
      <c r="C1709" t="s">
        <v>1474</v>
      </c>
      <c r="D1709" t="s">
        <v>1476</v>
      </c>
      <c r="F1709" t="s">
        <v>2186</v>
      </c>
      <c r="G1709" t="s">
        <v>123</v>
      </c>
      <c r="H1709" t="s">
        <v>130</v>
      </c>
      <c r="I1709" t="s">
        <v>415</v>
      </c>
      <c r="J1709">
        <v>10</v>
      </c>
      <c r="K1709">
        <v>19</v>
      </c>
      <c r="L1709">
        <v>10</v>
      </c>
      <c r="M1709">
        <v>11</v>
      </c>
      <c r="N1709">
        <v>100</v>
      </c>
      <c r="O1709">
        <v>0</v>
      </c>
      <c r="P1709">
        <v>0</v>
      </c>
      <c r="Q1709" t="s">
        <v>44</v>
      </c>
      <c r="R1709" t="s">
        <v>44</v>
      </c>
      <c r="S1709" t="s">
        <v>44</v>
      </c>
      <c r="T1709" t="s">
        <v>44</v>
      </c>
      <c r="U1709" t="s">
        <v>44</v>
      </c>
      <c r="V1709">
        <v>100</v>
      </c>
      <c r="W1709" t="s">
        <v>44</v>
      </c>
      <c r="X1709" t="s">
        <v>44</v>
      </c>
      <c r="Y1709">
        <v>100</v>
      </c>
      <c r="Z1709" t="s">
        <v>44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100</v>
      </c>
      <c r="AQ1709">
        <f t="shared" si="61"/>
        <v>100</v>
      </c>
      <c r="AR1709" s="5">
        <v>147.47</v>
      </c>
      <c r="AS1709" s="5">
        <f t="shared" si="60"/>
        <v>14747</v>
      </c>
    </row>
    <row r="1710" spans="1:45" x14ac:dyDescent="0.3">
      <c r="A1710" s="1">
        <v>45900.963888888888</v>
      </c>
      <c r="B1710" t="s">
        <v>1473</v>
      </c>
      <c r="C1710" t="s">
        <v>1474</v>
      </c>
      <c r="D1710" t="s">
        <v>1477</v>
      </c>
      <c r="F1710" t="s">
        <v>2187</v>
      </c>
      <c r="G1710" t="s">
        <v>123</v>
      </c>
      <c r="H1710" t="s">
        <v>130</v>
      </c>
      <c r="I1710" t="s">
        <v>415</v>
      </c>
      <c r="J1710">
        <v>10</v>
      </c>
      <c r="K1710">
        <v>19</v>
      </c>
      <c r="L1710">
        <v>10</v>
      </c>
      <c r="M1710">
        <v>11</v>
      </c>
      <c r="N1710">
        <v>100</v>
      </c>
      <c r="O1710">
        <v>0</v>
      </c>
      <c r="P1710">
        <v>0</v>
      </c>
      <c r="Q1710" t="s">
        <v>44</v>
      </c>
      <c r="R1710" t="s">
        <v>44</v>
      </c>
      <c r="S1710" t="s">
        <v>44</v>
      </c>
      <c r="T1710" t="s">
        <v>44</v>
      </c>
      <c r="U1710" t="s">
        <v>44</v>
      </c>
      <c r="V1710">
        <v>100</v>
      </c>
      <c r="W1710" t="s">
        <v>44</v>
      </c>
      <c r="X1710" t="s">
        <v>44</v>
      </c>
      <c r="Y1710">
        <v>100</v>
      </c>
      <c r="Z1710" t="s">
        <v>44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100</v>
      </c>
      <c r="AQ1710">
        <f t="shared" si="61"/>
        <v>100</v>
      </c>
      <c r="AR1710" s="5">
        <v>147.47</v>
      </c>
      <c r="AS1710" s="5">
        <f t="shared" si="60"/>
        <v>14747</v>
      </c>
    </row>
    <row r="1711" spans="1:45" x14ac:dyDescent="0.3">
      <c r="A1711" s="1">
        <v>45900.963888888888</v>
      </c>
      <c r="B1711" t="s">
        <v>1473</v>
      </c>
      <c r="C1711" t="s">
        <v>1474</v>
      </c>
      <c r="D1711" t="s">
        <v>1478</v>
      </c>
      <c r="F1711" t="s">
        <v>2188</v>
      </c>
      <c r="G1711" t="s">
        <v>123</v>
      </c>
      <c r="H1711" t="s">
        <v>130</v>
      </c>
      <c r="I1711" t="s">
        <v>415</v>
      </c>
      <c r="J1711">
        <v>10</v>
      </c>
      <c r="K1711">
        <v>19</v>
      </c>
      <c r="L1711">
        <v>10</v>
      </c>
      <c r="M1711">
        <v>11</v>
      </c>
      <c r="N1711">
        <v>100</v>
      </c>
      <c r="O1711">
        <v>0</v>
      </c>
      <c r="P1711">
        <v>0</v>
      </c>
      <c r="Q1711" t="s">
        <v>44</v>
      </c>
      <c r="R1711" t="s">
        <v>44</v>
      </c>
      <c r="S1711" t="s">
        <v>44</v>
      </c>
      <c r="T1711" t="s">
        <v>44</v>
      </c>
      <c r="U1711" t="s">
        <v>44</v>
      </c>
      <c r="V1711">
        <v>100</v>
      </c>
      <c r="W1711" t="s">
        <v>44</v>
      </c>
      <c r="X1711" t="s">
        <v>44</v>
      </c>
      <c r="Y1711">
        <v>100</v>
      </c>
      <c r="Z1711" t="s">
        <v>44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100</v>
      </c>
      <c r="AQ1711">
        <f t="shared" si="61"/>
        <v>100</v>
      </c>
      <c r="AR1711" s="5">
        <v>147.47</v>
      </c>
      <c r="AS1711" s="5">
        <f t="shared" si="60"/>
        <v>14747</v>
      </c>
    </row>
    <row r="1712" spans="1:45" x14ac:dyDescent="0.3">
      <c r="A1712" s="1">
        <v>45900.963888888888</v>
      </c>
      <c r="B1712" t="s">
        <v>1473</v>
      </c>
      <c r="C1712" t="s">
        <v>1474</v>
      </c>
      <c r="D1712" t="s">
        <v>1479</v>
      </c>
      <c r="F1712" t="s">
        <v>2189</v>
      </c>
      <c r="G1712" t="s">
        <v>123</v>
      </c>
      <c r="H1712" t="s">
        <v>130</v>
      </c>
      <c r="I1712" t="s">
        <v>415</v>
      </c>
      <c r="J1712">
        <v>10</v>
      </c>
      <c r="K1712">
        <v>19</v>
      </c>
      <c r="L1712">
        <v>10</v>
      </c>
      <c r="M1712">
        <v>11</v>
      </c>
      <c r="N1712">
        <v>100</v>
      </c>
      <c r="O1712">
        <v>0</v>
      </c>
      <c r="P1712">
        <v>0</v>
      </c>
      <c r="Q1712" t="s">
        <v>44</v>
      </c>
      <c r="R1712" t="s">
        <v>44</v>
      </c>
      <c r="S1712" t="s">
        <v>44</v>
      </c>
      <c r="T1712" t="s">
        <v>44</v>
      </c>
      <c r="U1712" t="s">
        <v>44</v>
      </c>
      <c r="V1712">
        <v>100</v>
      </c>
      <c r="W1712" t="s">
        <v>44</v>
      </c>
      <c r="X1712" t="s">
        <v>44</v>
      </c>
      <c r="Y1712">
        <v>100</v>
      </c>
      <c r="Z1712" t="s">
        <v>44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100</v>
      </c>
      <c r="AQ1712">
        <f t="shared" si="61"/>
        <v>100</v>
      </c>
      <c r="AR1712" s="5">
        <v>147.47</v>
      </c>
      <c r="AS1712" s="5">
        <f t="shared" si="60"/>
        <v>14747</v>
      </c>
    </row>
    <row r="1713" spans="1:45" x14ac:dyDescent="0.3">
      <c r="A1713" s="1">
        <v>45900.963888888888</v>
      </c>
      <c r="B1713" t="s">
        <v>1473</v>
      </c>
      <c r="C1713" t="s">
        <v>1474</v>
      </c>
      <c r="D1713" t="s">
        <v>1480</v>
      </c>
      <c r="F1713" t="s">
        <v>2190</v>
      </c>
      <c r="G1713" t="s">
        <v>123</v>
      </c>
      <c r="H1713" t="s">
        <v>130</v>
      </c>
      <c r="I1713" t="s">
        <v>415</v>
      </c>
      <c r="J1713">
        <v>10</v>
      </c>
      <c r="K1713">
        <v>19</v>
      </c>
      <c r="L1713">
        <v>10</v>
      </c>
      <c r="M1713">
        <v>11</v>
      </c>
      <c r="N1713">
        <v>100</v>
      </c>
      <c r="O1713">
        <v>0</v>
      </c>
      <c r="P1713">
        <v>0</v>
      </c>
      <c r="Q1713" t="s">
        <v>44</v>
      </c>
      <c r="R1713" t="s">
        <v>44</v>
      </c>
      <c r="S1713" t="s">
        <v>44</v>
      </c>
      <c r="T1713" t="s">
        <v>44</v>
      </c>
      <c r="U1713" t="s">
        <v>44</v>
      </c>
      <c r="V1713">
        <v>100</v>
      </c>
      <c r="W1713" t="s">
        <v>44</v>
      </c>
      <c r="X1713" t="s">
        <v>44</v>
      </c>
      <c r="Y1713">
        <v>100</v>
      </c>
      <c r="Z1713" t="s">
        <v>44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100</v>
      </c>
      <c r="AQ1713">
        <f t="shared" si="61"/>
        <v>100</v>
      </c>
      <c r="AR1713" s="5">
        <v>147.47</v>
      </c>
      <c r="AS1713" s="5">
        <f t="shared" si="60"/>
        <v>14747</v>
      </c>
    </row>
    <row r="1714" spans="1:45" x14ac:dyDescent="0.3">
      <c r="A1714" s="1">
        <v>45900.963888888888</v>
      </c>
      <c r="B1714" t="s">
        <v>1473</v>
      </c>
      <c r="C1714" t="s">
        <v>1474</v>
      </c>
      <c r="D1714" t="s">
        <v>1481</v>
      </c>
      <c r="F1714" t="s">
        <v>2191</v>
      </c>
      <c r="G1714" t="s">
        <v>123</v>
      </c>
      <c r="H1714" t="s">
        <v>130</v>
      </c>
      <c r="I1714" t="s">
        <v>415</v>
      </c>
      <c r="J1714">
        <v>10</v>
      </c>
      <c r="K1714">
        <v>19</v>
      </c>
      <c r="L1714">
        <v>10</v>
      </c>
      <c r="M1714">
        <v>11</v>
      </c>
      <c r="N1714">
        <v>100</v>
      </c>
      <c r="O1714">
        <v>0</v>
      </c>
      <c r="P1714">
        <v>0</v>
      </c>
      <c r="Q1714" t="s">
        <v>44</v>
      </c>
      <c r="R1714" t="s">
        <v>44</v>
      </c>
      <c r="S1714" t="s">
        <v>44</v>
      </c>
      <c r="T1714" t="s">
        <v>44</v>
      </c>
      <c r="U1714" t="s">
        <v>44</v>
      </c>
      <c r="V1714">
        <v>100</v>
      </c>
      <c r="W1714" t="s">
        <v>44</v>
      </c>
      <c r="X1714" t="s">
        <v>44</v>
      </c>
      <c r="Y1714">
        <v>100</v>
      </c>
      <c r="Z1714" t="s">
        <v>44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100</v>
      </c>
      <c r="AQ1714">
        <f t="shared" si="61"/>
        <v>100</v>
      </c>
      <c r="AR1714" s="5">
        <v>147.47</v>
      </c>
      <c r="AS1714" s="5">
        <f t="shared" si="60"/>
        <v>14747</v>
      </c>
    </row>
    <row r="1715" spans="1:45" x14ac:dyDescent="0.3">
      <c r="A1715" s="1">
        <v>45900.963888888888</v>
      </c>
      <c r="B1715" t="s">
        <v>1473</v>
      </c>
      <c r="C1715" t="s">
        <v>1474</v>
      </c>
      <c r="D1715" t="s">
        <v>1482</v>
      </c>
      <c r="F1715" t="s">
        <v>2192</v>
      </c>
      <c r="G1715" t="s">
        <v>123</v>
      </c>
      <c r="H1715" t="s">
        <v>130</v>
      </c>
      <c r="I1715" t="s">
        <v>415</v>
      </c>
      <c r="J1715">
        <v>10</v>
      </c>
      <c r="K1715">
        <v>19</v>
      </c>
      <c r="L1715">
        <v>10</v>
      </c>
      <c r="M1715">
        <v>11</v>
      </c>
      <c r="N1715">
        <v>100</v>
      </c>
      <c r="O1715">
        <v>0</v>
      </c>
      <c r="P1715">
        <v>0</v>
      </c>
      <c r="Q1715" t="s">
        <v>44</v>
      </c>
      <c r="R1715" t="s">
        <v>44</v>
      </c>
      <c r="S1715" t="s">
        <v>44</v>
      </c>
      <c r="T1715" t="s">
        <v>44</v>
      </c>
      <c r="U1715" t="s">
        <v>44</v>
      </c>
      <c r="V1715">
        <v>100</v>
      </c>
      <c r="W1715" t="s">
        <v>44</v>
      </c>
      <c r="X1715" t="s">
        <v>44</v>
      </c>
      <c r="Y1715">
        <v>100</v>
      </c>
      <c r="Z1715" t="s">
        <v>44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100</v>
      </c>
      <c r="AQ1715">
        <f t="shared" si="61"/>
        <v>100</v>
      </c>
      <c r="AR1715" s="5">
        <v>147.47</v>
      </c>
      <c r="AS1715" s="5">
        <f t="shared" si="60"/>
        <v>14747</v>
      </c>
    </row>
    <row r="1716" spans="1:45" x14ac:dyDescent="0.3">
      <c r="A1716" s="1">
        <v>45900.963888888888</v>
      </c>
      <c r="B1716" t="s">
        <v>1473</v>
      </c>
      <c r="C1716" t="s">
        <v>1474</v>
      </c>
      <c r="D1716" t="s">
        <v>143</v>
      </c>
      <c r="F1716" t="s">
        <v>1549</v>
      </c>
      <c r="G1716" t="s">
        <v>144</v>
      </c>
      <c r="H1716" t="s">
        <v>103</v>
      </c>
      <c r="I1716" t="s">
        <v>43</v>
      </c>
      <c r="J1716">
        <v>122</v>
      </c>
      <c r="K1716">
        <v>19</v>
      </c>
      <c r="L1716">
        <v>9.5</v>
      </c>
      <c r="M1716">
        <v>11</v>
      </c>
      <c r="N1716">
        <v>21651</v>
      </c>
      <c r="O1716">
        <v>9</v>
      </c>
      <c r="P1716">
        <v>0</v>
      </c>
      <c r="Q1716">
        <v>72</v>
      </c>
      <c r="R1716">
        <v>18</v>
      </c>
      <c r="S1716" t="s">
        <v>44</v>
      </c>
      <c r="T1716">
        <v>244</v>
      </c>
      <c r="U1716" t="s">
        <v>44</v>
      </c>
      <c r="V1716">
        <v>4986</v>
      </c>
      <c r="W1716">
        <v>25</v>
      </c>
      <c r="X1716" t="s">
        <v>44</v>
      </c>
      <c r="Y1716">
        <v>4981</v>
      </c>
      <c r="Z1716" t="s">
        <v>44</v>
      </c>
      <c r="AA1716">
        <v>4</v>
      </c>
      <c r="AB1716">
        <v>0</v>
      </c>
      <c r="AC1716">
        <v>0</v>
      </c>
      <c r="AD1716">
        <v>0</v>
      </c>
      <c r="AE1716">
        <v>4</v>
      </c>
      <c r="AF1716">
        <v>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 s="2">
        <v>4999</v>
      </c>
      <c r="AQ1716">
        <f t="shared" si="61"/>
        <v>4999</v>
      </c>
      <c r="AR1716" s="5">
        <f>VLOOKUP(F1716,'[2]SCP_24-25'!$A:$D,4,0)</f>
        <v>100.66</v>
      </c>
      <c r="AS1716" s="5">
        <f t="shared" si="60"/>
        <v>503199.33999999997</v>
      </c>
    </row>
    <row r="1717" spans="1:45" x14ac:dyDescent="0.3">
      <c r="A1717" s="1">
        <v>45900.963888888888</v>
      </c>
      <c r="B1717" t="s">
        <v>1473</v>
      </c>
      <c r="C1717" t="s">
        <v>1474</v>
      </c>
      <c r="D1717" t="s">
        <v>179</v>
      </c>
      <c r="F1717" t="s">
        <v>1567</v>
      </c>
      <c r="G1717" t="s">
        <v>180</v>
      </c>
      <c r="H1717" t="s">
        <v>103</v>
      </c>
      <c r="I1717" t="s">
        <v>43</v>
      </c>
      <c r="J1717">
        <v>128</v>
      </c>
      <c r="K1717">
        <v>19</v>
      </c>
      <c r="L1717">
        <v>9.5</v>
      </c>
      <c r="M1717">
        <v>11</v>
      </c>
      <c r="N1717">
        <v>238726</v>
      </c>
      <c r="O1717">
        <v>40</v>
      </c>
      <c r="P1717">
        <v>0</v>
      </c>
      <c r="Q1717">
        <v>319</v>
      </c>
      <c r="R1717">
        <v>2930</v>
      </c>
      <c r="S1717" t="s">
        <v>44</v>
      </c>
      <c r="T1717">
        <v>212</v>
      </c>
      <c r="U1717" t="s">
        <v>44</v>
      </c>
      <c r="V1717">
        <v>5278</v>
      </c>
      <c r="W1717">
        <v>43</v>
      </c>
      <c r="X1717" t="s">
        <v>44</v>
      </c>
      <c r="Y1717">
        <v>5100</v>
      </c>
      <c r="Z1717" t="s">
        <v>44</v>
      </c>
      <c r="AA1717">
        <v>34</v>
      </c>
      <c r="AB1717">
        <v>0</v>
      </c>
      <c r="AC1717">
        <v>0</v>
      </c>
      <c r="AD1717">
        <v>0</v>
      </c>
      <c r="AE1717">
        <v>6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 s="2">
        <v>5352</v>
      </c>
      <c r="AQ1717">
        <f t="shared" si="61"/>
        <v>5352</v>
      </c>
      <c r="AR1717" s="5">
        <f>VLOOKUP(F1717,'[2]SCP_24-25'!$A:$D,4,0)</f>
        <v>130.39230769230767</v>
      </c>
      <c r="AS1717" s="5">
        <f t="shared" si="60"/>
        <v>697859.63076923066</v>
      </c>
    </row>
    <row r="1718" spans="1:45" x14ac:dyDescent="0.3">
      <c r="A1718" s="1">
        <v>45900.963888888888</v>
      </c>
      <c r="B1718" t="s">
        <v>1473</v>
      </c>
      <c r="C1718" t="s">
        <v>1474</v>
      </c>
      <c r="D1718" t="s">
        <v>183</v>
      </c>
      <c r="F1718" t="s">
        <v>1569</v>
      </c>
      <c r="G1718" t="s">
        <v>184</v>
      </c>
      <c r="H1718" t="s">
        <v>66</v>
      </c>
      <c r="I1718" t="s">
        <v>43</v>
      </c>
      <c r="J1718">
        <v>105.88</v>
      </c>
      <c r="K1718">
        <v>19</v>
      </c>
      <c r="L1718">
        <v>9.5</v>
      </c>
      <c r="M1718">
        <v>11</v>
      </c>
      <c r="N1718">
        <v>186865</v>
      </c>
      <c r="O1718">
        <v>77</v>
      </c>
      <c r="P1718">
        <v>0</v>
      </c>
      <c r="Q1718">
        <v>170</v>
      </c>
      <c r="R1718">
        <v>415</v>
      </c>
      <c r="S1718" t="s">
        <v>44</v>
      </c>
      <c r="T1718">
        <v>5</v>
      </c>
      <c r="U1718" t="s">
        <v>44</v>
      </c>
      <c r="V1718">
        <v>9586</v>
      </c>
      <c r="W1718">
        <v>4</v>
      </c>
      <c r="X1718" t="s">
        <v>44</v>
      </c>
      <c r="Y1718">
        <v>9529</v>
      </c>
      <c r="Z1718" t="s">
        <v>44</v>
      </c>
      <c r="AA1718">
        <v>24</v>
      </c>
      <c r="AB1718">
        <v>0</v>
      </c>
      <c r="AC1718">
        <v>0</v>
      </c>
      <c r="AD1718">
        <v>0</v>
      </c>
      <c r="AE1718">
        <v>50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 s="2">
        <v>9687</v>
      </c>
      <c r="AQ1718">
        <f t="shared" si="61"/>
        <v>9687</v>
      </c>
      <c r="AR1718" s="5">
        <f>VLOOKUP(F1718,'[2]SCP_24-25'!$A:$D,4,0)</f>
        <v>51.841111111111118</v>
      </c>
      <c r="AS1718" s="5">
        <f t="shared" si="60"/>
        <v>502184.84333333338</v>
      </c>
    </row>
    <row r="1719" spans="1:45" x14ac:dyDescent="0.3">
      <c r="A1719" s="1">
        <v>45900.963888888888</v>
      </c>
      <c r="B1719" t="s">
        <v>1473</v>
      </c>
      <c r="C1719" t="s">
        <v>1474</v>
      </c>
      <c r="D1719" t="s">
        <v>200</v>
      </c>
      <c r="E1719" t="s">
        <v>201</v>
      </c>
      <c r="F1719" t="s">
        <v>1577</v>
      </c>
      <c r="G1719" t="s">
        <v>202</v>
      </c>
      <c r="H1719" t="s">
        <v>66</v>
      </c>
      <c r="I1719" t="s">
        <v>43</v>
      </c>
      <c r="J1719">
        <v>37</v>
      </c>
      <c r="K1719">
        <v>19</v>
      </c>
      <c r="L1719">
        <v>9.5</v>
      </c>
      <c r="M1719">
        <v>11</v>
      </c>
      <c r="N1719">
        <v>46288</v>
      </c>
      <c r="O1719">
        <v>2</v>
      </c>
      <c r="P1719">
        <v>0</v>
      </c>
      <c r="Q1719" t="s">
        <v>44</v>
      </c>
      <c r="R1719">
        <v>19</v>
      </c>
      <c r="S1719" t="s">
        <v>44</v>
      </c>
      <c r="T1719" t="s">
        <v>44</v>
      </c>
      <c r="U1719" t="s">
        <v>44</v>
      </c>
      <c r="V1719">
        <v>4897</v>
      </c>
      <c r="W1719" t="s">
        <v>44</v>
      </c>
      <c r="X1719" t="s">
        <v>44</v>
      </c>
      <c r="Y1719">
        <v>4897</v>
      </c>
      <c r="Z1719" t="s">
        <v>44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 s="2">
        <v>4899</v>
      </c>
      <c r="AQ1719">
        <f t="shared" si="61"/>
        <v>4899</v>
      </c>
      <c r="AR1719" s="5">
        <f>VLOOKUP(F1719,'[2]SCP_24-25'!$A:$D,4,0)</f>
        <v>18.564999999999998</v>
      </c>
      <c r="AS1719" s="5">
        <f t="shared" si="60"/>
        <v>90949.934999999983</v>
      </c>
    </row>
    <row r="1720" spans="1:45" x14ac:dyDescent="0.3">
      <c r="A1720" s="1">
        <v>45900.963888888888</v>
      </c>
      <c r="B1720" t="s">
        <v>1473</v>
      </c>
      <c r="C1720" t="s">
        <v>1474</v>
      </c>
      <c r="D1720" t="s">
        <v>210</v>
      </c>
      <c r="E1720" t="s">
        <v>211</v>
      </c>
      <c r="F1720" t="s">
        <v>1581</v>
      </c>
      <c r="G1720" t="s">
        <v>212</v>
      </c>
      <c r="H1720" t="s">
        <v>66</v>
      </c>
      <c r="I1720" t="s">
        <v>43</v>
      </c>
      <c r="J1720">
        <v>23</v>
      </c>
      <c r="K1720">
        <v>19</v>
      </c>
      <c r="L1720">
        <v>9.5</v>
      </c>
      <c r="M1720">
        <v>11</v>
      </c>
      <c r="N1720">
        <v>69245</v>
      </c>
      <c r="O1720">
        <v>1</v>
      </c>
      <c r="P1720">
        <v>0</v>
      </c>
      <c r="Q1720" t="s">
        <v>44</v>
      </c>
      <c r="R1720">
        <v>5479</v>
      </c>
      <c r="S1720" t="s">
        <v>44</v>
      </c>
      <c r="T1720" t="s">
        <v>44</v>
      </c>
      <c r="U1720" t="s">
        <v>44</v>
      </c>
      <c r="V1720">
        <v>6813</v>
      </c>
      <c r="W1720" t="s">
        <v>44</v>
      </c>
      <c r="X1720" t="s">
        <v>44</v>
      </c>
      <c r="Y1720">
        <v>6813</v>
      </c>
      <c r="Z1720" t="s">
        <v>44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 s="2">
        <v>6814</v>
      </c>
      <c r="AQ1720">
        <f t="shared" si="61"/>
        <v>6814</v>
      </c>
      <c r="AR1720" s="5">
        <f>VLOOKUP(F1720,'[2]SCP_24-25'!$A:$D,4,0)</f>
        <v>11.69</v>
      </c>
      <c r="AS1720" s="5">
        <f t="shared" si="60"/>
        <v>79655.66</v>
      </c>
    </row>
    <row r="1721" spans="1:45" x14ac:dyDescent="0.3">
      <c r="A1721" s="1">
        <v>45900.963888888888</v>
      </c>
      <c r="B1721" t="s">
        <v>1473</v>
      </c>
      <c r="C1721" t="s">
        <v>1474</v>
      </c>
      <c r="D1721" t="s">
        <v>277</v>
      </c>
      <c r="E1721" t="s">
        <v>278</v>
      </c>
      <c r="F1721" t="s">
        <v>1607</v>
      </c>
      <c r="G1721" t="s">
        <v>279</v>
      </c>
      <c r="H1721" t="s">
        <v>103</v>
      </c>
      <c r="I1721" t="s">
        <v>43</v>
      </c>
      <c r="J1721">
        <v>224.02</v>
      </c>
      <c r="K1721">
        <v>19</v>
      </c>
      <c r="L1721">
        <v>9.5</v>
      </c>
      <c r="M1721">
        <v>11</v>
      </c>
      <c r="N1721">
        <v>79334</v>
      </c>
      <c r="O1721">
        <v>3</v>
      </c>
      <c r="P1721">
        <v>0</v>
      </c>
      <c r="Q1721">
        <v>37</v>
      </c>
      <c r="R1721">
        <v>105</v>
      </c>
      <c r="S1721" t="s">
        <v>44</v>
      </c>
      <c r="T1721">
        <v>33</v>
      </c>
      <c r="U1721" t="s">
        <v>44</v>
      </c>
      <c r="V1721">
        <v>7102</v>
      </c>
      <c r="W1721" t="s">
        <v>44</v>
      </c>
      <c r="X1721" t="s">
        <v>44</v>
      </c>
      <c r="Y1721">
        <v>7077</v>
      </c>
      <c r="Z1721" t="s">
        <v>44</v>
      </c>
      <c r="AA1721">
        <v>7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 s="2">
        <v>7112</v>
      </c>
      <c r="AQ1721">
        <f t="shared" si="61"/>
        <v>7112</v>
      </c>
      <c r="AR1721" s="5">
        <f>VLOOKUP(F1721,'[2]SCP_24-25'!$A:$D,4,0)</f>
        <v>77.739999999999995</v>
      </c>
      <c r="AS1721" s="5">
        <f t="shared" si="60"/>
        <v>552886.88</v>
      </c>
    </row>
    <row r="1722" spans="1:45" x14ac:dyDescent="0.3">
      <c r="A1722" s="1">
        <v>45900.963888888888</v>
      </c>
      <c r="B1722" t="s">
        <v>1473</v>
      </c>
      <c r="C1722" t="s">
        <v>1474</v>
      </c>
      <c r="D1722" t="s">
        <v>113</v>
      </c>
      <c r="F1722" t="s">
        <v>1536</v>
      </c>
      <c r="G1722" t="s">
        <v>114</v>
      </c>
      <c r="H1722" t="s">
        <v>66</v>
      </c>
      <c r="I1722" t="s">
        <v>43</v>
      </c>
      <c r="J1722">
        <v>37</v>
      </c>
      <c r="K1722">
        <v>19</v>
      </c>
      <c r="L1722">
        <v>11</v>
      </c>
      <c r="M1722">
        <v>9.5</v>
      </c>
      <c r="N1722">
        <v>71481</v>
      </c>
      <c r="O1722">
        <v>0</v>
      </c>
      <c r="P1722">
        <v>0</v>
      </c>
      <c r="Q1722" t="s">
        <v>44</v>
      </c>
      <c r="R1722">
        <v>928</v>
      </c>
      <c r="S1722" t="s">
        <v>44</v>
      </c>
      <c r="T1722" t="s">
        <v>44</v>
      </c>
      <c r="U1722" t="s">
        <v>44</v>
      </c>
      <c r="V1722">
        <v>7594</v>
      </c>
      <c r="W1722" t="s">
        <v>44</v>
      </c>
      <c r="X1722" t="s">
        <v>44</v>
      </c>
      <c r="Y1722">
        <v>7594</v>
      </c>
      <c r="Z1722" t="s">
        <v>44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 s="2">
        <v>7594</v>
      </c>
      <c r="AQ1722">
        <f t="shared" si="61"/>
        <v>7594</v>
      </c>
      <c r="AR1722" s="5">
        <f>VLOOKUP(F1722,'[2]SCP_24-25'!$A:$D,4,0)</f>
        <v>13.56</v>
      </c>
      <c r="AS1722" s="5">
        <f t="shared" si="60"/>
        <v>102974.64</v>
      </c>
    </row>
    <row r="1723" spans="1:45" x14ac:dyDescent="0.3">
      <c r="A1723" s="1">
        <v>45900.963888888888</v>
      </c>
      <c r="B1723" t="s">
        <v>1473</v>
      </c>
      <c r="C1723" t="s">
        <v>1474</v>
      </c>
      <c r="D1723" t="s">
        <v>405</v>
      </c>
      <c r="F1723" t="s">
        <v>1660</v>
      </c>
      <c r="G1723" t="s">
        <v>406</v>
      </c>
      <c r="H1723" t="s">
        <v>103</v>
      </c>
      <c r="I1723" t="s">
        <v>43</v>
      </c>
      <c r="J1723">
        <v>90</v>
      </c>
      <c r="K1723">
        <v>19</v>
      </c>
      <c r="L1723">
        <v>10</v>
      </c>
      <c r="M1723">
        <v>11</v>
      </c>
      <c r="N1723">
        <v>161541</v>
      </c>
      <c r="O1723">
        <v>90</v>
      </c>
      <c r="P1723">
        <v>0</v>
      </c>
      <c r="Q1723">
        <v>234</v>
      </c>
      <c r="R1723">
        <v>397</v>
      </c>
      <c r="S1723" t="s">
        <v>44</v>
      </c>
      <c r="T1723">
        <v>31</v>
      </c>
      <c r="U1723" t="s">
        <v>44</v>
      </c>
      <c r="V1723">
        <v>7652</v>
      </c>
      <c r="W1723">
        <v>1</v>
      </c>
      <c r="X1723" t="s">
        <v>44</v>
      </c>
      <c r="Y1723">
        <v>7652</v>
      </c>
      <c r="Z1723" t="s">
        <v>44</v>
      </c>
      <c r="AA1723">
        <v>671</v>
      </c>
      <c r="AB1723">
        <v>0</v>
      </c>
      <c r="AC1723">
        <v>0</v>
      </c>
      <c r="AD1723">
        <v>0</v>
      </c>
      <c r="AE1723">
        <v>0</v>
      </c>
      <c r="AF1723">
        <v>2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 s="2">
        <v>8413</v>
      </c>
      <c r="AQ1723">
        <f t="shared" si="61"/>
        <v>8413</v>
      </c>
      <c r="AR1723" s="5">
        <f>VLOOKUP(F1723,'[2]SCP_24-25'!$A:$D,4,0)</f>
        <v>83.794500000000028</v>
      </c>
      <c r="AS1723" s="5">
        <f t="shared" si="60"/>
        <v>704963.12850000022</v>
      </c>
    </row>
    <row r="1724" spans="1:45" x14ac:dyDescent="0.3">
      <c r="A1724" s="1">
        <v>45900.963888888888</v>
      </c>
      <c r="B1724" t="s">
        <v>1473</v>
      </c>
      <c r="C1724" t="s">
        <v>1474</v>
      </c>
      <c r="D1724" t="s">
        <v>418</v>
      </c>
      <c r="F1724" t="s">
        <v>1666</v>
      </c>
      <c r="G1724" t="s">
        <v>419</v>
      </c>
      <c r="H1724" t="s">
        <v>66</v>
      </c>
      <c r="I1724" t="s">
        <v>43</v>
      </c>
      <c r="J1724">
        <v>90.08</v>
      </c>
      <c r="K1724">
        <v>19</v>
      </c>
      <c r="L1724">
        <v>10</v>
      </c>
      <c r="M1724">
        <v>11</v>
      </c>
      <c r="N1724">
        <v>66272</v>
      </c>
      <c r="O1724">
        <v>60</v>
      </c>
      <c r="P1724">
        <v>0</v>
      </c>
      <c r="Q1724">
        <v>92</v>
      </c>
      <c r="R1724">
        <v>2285</v>
      </c>
      <c r="S1724" t="s">
        <v>44</v>
      </c>
      <c r="T1724">
        <v>2</v>
      </c>
      <c r="U1724" t="s">
        <v>44</v>
      </c>
      <c r="V1724">
        <v>4710</v>
      </c>
      <c r="W1724">
        <v>2</v>
      </c>
      <c r="X1724" t="s">
        <v>44</v>
      </c>
      <c r="Y1724">
        <v>4710</v>
      </c>
      <c r="Z1724" t="s">
        <v>44</v>
      </c>
      <c r="AA1724">
        <v>37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 s="2">
        <v>4807</v>
      </c>
      <c r="AQ1724">
        <f t="shared" si="61"/>
        <v>4807</v>
      </c>
      <c r="AR1724" s="5">
        <f>VLOOKUP(F1724,'[2]SCP_24-25'!$A:$D,4,0)</f>
        <v>45.279999999999994</v>
      </c>
      <c r="AS1724" s="5">
        <f t="shared" si="60"/>
        <v>217660.95999999996</v>
      </c>
    </row>
    <row r="1725" spans="1:45" x14ac:dyDescent="0.3">
      <c r="A1725" s="1">
        <v>45900.963888888888</v>
      </c>
      <c r="B1725" t="s">
        <v>1473</v>
      </c>
      <c r="C1725" t="s">
        <v>1474</v>
      </c>
      <c r="D1725" t="s">
        <v>411</v>
      </c>
      <c r="F1725" t="s">
        <v>1663</v>
      </c>
      <c r="G1725" t="s">
        <v>412</v>
      </c>
      <c r="H1725" t="s">
        <v>66</v>
      </c>
      <c r="I1725" t="s">
        <v>43</v>
      </c>
      <c r="J1725">
        <v>115</v>
      </c>
      <c r="K1725">
        <v>19</v>
      </c>
      <c r="L1725">
        <v>11</v>
      </c>
      <c r="M1725">
        <v>10</v>
      </c>
      <c r="N1725">
        <v>59905</v>
      </c>
      <c r="O1725">
        <v>2</v>
      </c>
      <c r="P1725">
        <v>0</v>
      </c>
      <c r="Q1725">
        <v>20</v>
      </c>
      <c r="R1725">
        <v>54</v>
      </c>
      <c r="S1725" t="s">
        <v>44</v>
      </c>
      <c r="T1725">
        <v>8</v>
      </c>
      <c r="U1725" t="s">
        <v>44</v>
      </c>
      <c r="V1725">
        <v>9743</v>
      </c>
      <c r="W1725" t="s">
        <v>44</v>
      </c>
      <c r="X1725" t="s">
        <v>44</v>
      </c>
      <c r="Y1725">
        <v>9743</v>
      </c>
      <c r="Z1725" t="s">
        <v>44</v>
      </c>
      <c r="AA1725">
        <v>4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 s="2">
        <v>9749</v>
      </c>
      <c r="AQ1725">
        <f t="shared" si="61"/>
        <v>9749</v>
      </c>
      <c r="AR1725" s="5">
        <f>VLOOKUP(F1725,'[2]SCP_24-25'!$A:$D,4,0)</f>
        <v>54.699999999999996</v>
      </c>
      <c r="AS1725" s="5">
        <f t="shared" si="60"/>
        <v>533270.29999999993</v>
      </c>
    </row>
    <row r="1726" spans="1:45" x14ac:dyDescent="0.3">
      <c r="A1726" s="1">
        <v>45900.963888888888</v>
      </c>
      <c r="B1726" t="s">
        <v>1473</v>
      </c>
      <c r="C1726" t="s">
        <v>1474</v>
      </c>
      <c r="D1726" t="s">
        <v>619</v>
      </c>
      <c r="F1726" t="s">
        <v>1762</v>
      </c>
      <c r="G1726" t="s">
        <v>620</v>
      </c>
      <c r="H1726" t="s">
        <v>621</v>
      </c>
      <c r="I1726" t="s">
        <v>43</v>
      </c>
      <c r="J1726">
        <v>250</v>
      </c>
      <c r="K1726">
        <v>126</v>
      </c>
      <c r="L1726">
        <v>50</v>
      </c>
      <c r="M1726">
        <v>126</v>
      </c>
      <c r="N1726">
        <v>14528</v>
      </c>
      <c r="O1726">
        <v>0</v>
      </c>
      <c r="P1726">
        <v>0</v>
      </c>
      <c r="Q1726" t="s">
        <v>44</v>
      </c>
      <c r="R1726">
        <v>570</v>
      </c>
      <c r="S1726" t="s">
        <v>44</v>
      </c>
      <c r="T1726" t="s">
        <v>44</v>
      </c>
      <c r="U1726" t="s">
        <v>44</v>
      </c>
      <c r="V1726">
        <v>6370</v>
      </c>
      <c r="W1726" t="s">
        <v>44</v>
      </c>
      <c r="X1726" t="s">
        <v>44</v>
      </c>
      <c r="Y1726">
        <v>6370</v>
      </c>
      <c r="Z1726" t="s">
        <v>44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 s="2">
        <v>6370</v>
      </c>
      <c r="AQ1726">
        <f t="shared" si="61"/>
        <v>6370</v>
      </c>
      <c r="AR1726" s="5">
        <f>VLOOKUP(F1726,'[2]SCP_24-25'!$A:$D,4,0)</f>
        <v>45</v>
      </c>
      <c r="AS1726" s="5">
        <f t="shared" si="60"/>
        <v>286650</v>
      </c>
    </row>
    <row r="1727" spans="1:45" x14ac:dyDescent="0.3">
      <c r="A1727" s="1">
        <v>45900.963888888888</v>
      </c>
      <c r="B1727" t="s">
        <v>1473</v>
      </c>
      <c r="C1727" t="s">
        <v>1474</v>
      </c>
      <c r="D1727" t="s">
        <v>413</v>
      </c>
      <c r="F1727" t="s">
        <v>1664</v>
      </c>
      <c r="G1727" t="s">
        <v>414</v>
      </c>
      <c r="H1727" t="s">
        <v>66</v>
      </c>
      <c r="I1727" t="s">
        <v>415</v>
      </c>
      <c r="J1727">
        <v>56.72</v>
      </c>
      <c r="K1727">
        <v>19</v>
      </c>
      <c r="L1727">
        <v>10</v>
      </c>
      <c r="M1727">
        <v>11</v>
      </c>
      <c r="N1727">
        <v>40451</v>
      </c>
      <c r="O1727">
        <v>8</v>
      </c>
      <c r="P1727">
        <v>0</v>
      </c>
      <c r="Q1727">
        <v>38</v>
      </c>
      <c r="R1727">
        <v>59</v>
      </c>
      <c r="S1727" t="s">
        <v>44</v>
      </c>
      <c r="T1727">
        <v>5</v>
      </c>
      <c r="U1727" t="s">
        <v>44</v>
      </c>
      <c r="V1727">
        <v>8064</v>
      </c>
      <c r="W1727">
        <v>1</v>
      </c>
      <c r="X1727" t="s">
        <v>44</v>
      </c>
      <c r="Y1727">
        <v>8064</v>
      </c>
      <c r="Z1727" t="s">
        <v>44</v>
      </c>
      <c r="AA1727">
        <v>5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 s="2">
        <v>8077</v>
      </c>
      <c r="AQ1727">
        <f t="shared" si="61"/>
        <v>8077</v>
      </c>
      <c r="AR1727" s="5">
        <f>VLOOKUP(F1727,'[2]SCP_24-25'!$A:$D,4,0)</f>
        <v>85.96</v>
      </c>
      <c r="AS1727" s="5">
        <f t="shared" si="60"/>
        <v>694298.91999999993</v>
      </c>
    </row>
    <row r="1728" spans="1:45" x14ac:dyDescent="0.3">
      <c r="A1728" s="1">
        <v>45900.963888888888</v>
      </c>
      <c r="B1728" t="s">
        <v>1473</v>
      </c>
      <c r="C1728" t="s">
        <v>1474</v>
      </c>
      <c r="D1728" t="s">
        <v>507</v>
      </c>
      <c r="F1728" t="s">
        <v>1708</v>
      </c>
      <c r="G1728" t="s">
        <v>508</v>
      </c>
      <c r="H1728" t="s">
        <v>66</v>
      </c>
      <c r="I1728" t="s">
        <v>415</v>
      </c>
      <c r="J1728">
        <v>77</v>
      </c>
      <c r="K1728">
        <v>19</v>
      </c>
      <c r="L1728">
        <v>10</v>
      </c>
      <c r="M1728">
        <v>11</v>
      </c>
      <c r="N1728">
        <v>20810</v>
      </c>
      <c r="O1728">
        <v>4</v>
      </c>
      <c r="P1728">
        <v>0</v>
      </c>
      <c r="Q1728">
        <v>20</v>
      </c>
      <c r="R1728">
        <v>18</v>
      </c>
      <c r="S1728" t="s">
        <v>44</v>
      </c>
      <c r="T1728">
        <v>19</v>
      </c>
      <c r="U1728" t="s">
        <v>44</v>
      </c>
      <c r="V1728">
        <v>6428</v>
      </c>
      <c r="W1728" t="s">
        <v>44</v>
      </c>
      <c r="X1728" t="s">
        <v>44</v>
      </c>
      <c r="Y1728">
        <v>6428</v>
      </c>
      <c r="Z1728" t="s">
        <v>44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 s="2">
        <v>6433</v>
      </c>
      <c r="AQ1728">
        <f t="shared" si="61"/>
        <v>6433</v>
      </c>
      <c r="AR1728" s="5">
        <f>VLOOKUP(F1728,'[2]SCP_24-25'!$A:$D,4,0)</f>
        <v>91.25</v>
      </c>
      <c r="AS1728" s="5">
        <f t="shared" si="60"/>
        <v>587011.25</v>
      </c>
    </row>
    <row r="1729" spans="1:45" x14ac:dyDescent="0.3">
      <c r="A1729" s="1">
        <v>45900.963888888888</v>
      </c>
      <c r="B1729" t="s">
        <v>1473</v>
      </c>
      <c r="C1729" t="s">
        <v>1474</v>
      </c>
      <c r="D1729" t="s">
        <v>1310</v>
      </c>
      <c r="F1729" t="s">
        <v>2106</v>
      </c>
      <c r="G1729" t="s">
        <v>1311</v>
      </c>
      <c r="H1729" t="s">
        <v>66</v>
      </c>
      <c r="I1729" t="s">
        <v>415</v>
      </c>
      <c r="J1729">
        <v>15</v>
      </c>
      <c r="K1729">
        <v>19</v>
      </c>
      <c r="L1729">
        <v>10</v>
      </c>
      <c r="M1729">
        <v>11</v>
      </c>
      <c r="N1729">
        <v>5400</v>
      </c>
      <c r="O1729">
        <v>0</v>
      </c>
      <c r="P1729">
        <v>0</v>
      </c>
      <c r="Q1729" t="s">
        <v>44</v>
      </c>
      <c r="R1729" t="s">
        <v>44</v>
      </c>
      <c r="S1729" t="s">
        <v>44</v>
      </c>
      <c r="T1729" t="s">
        <v>44</v>
      </c>
      <c r="U1729" t="s">
        <v>44</v>
      </c>
      <c r="V1729">
        <v>5400</v>
      </c>
      <c r="W1729" t="s">
        <v>44</v>
      </c>
      <c r="X1729" t="s">
        <v>44</v>
      </c>
      <c r="Y1729">
        <v>5400</v>
      </c>
      <c r="Z1729" t="s">
        <v>44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 s="2">
        <v>5400</v>
      </c>
      <c r="AQ1729">
        <f t="shared" si="61"/>
        <v>5400</v>
      </c>
      <c r="AR1729" s="5">
        <f>VLOOKUP(F1729,'[2]SCP_24-25'!$A:$D,4,0)</f>
        <v>7.92</v>
      </c>
      <c r="AS1729" s="5">
        <f t="shared" si="60"/>
        <v>42768</v>
      </c>
    </row>
    <row r="1730" spans="1:45" x14ac:dyDescent="0.3">
      <c r="A1730" s="1">
        <v>45900.963888888888</v>
      </c>
      <c r="B1730" t="s">
        <v>1473</v>
      </c>
      <c r="C1730" t="s">
        <v>1474</v>
      </c>
      <c r="D1730" t="s">
        <v>193</v>
      </c>
      <c r="F1730" t="s">
        <v>1574</v>
      </c>
      <c r="G1730" t="s">
        <v>194</v>
      </c>
      <c r="H1730" t="s">
        <v>66</v>
      </c>
      <c r="I1730" t="s">
        <v>43</v>
      </c>
      <c r="J1730">
        <v>224</v>
      </c>
      <c r="K1730">
        <v>19</v>
      </c>
      <c r="L1730">
        <v>9.5</v>
      </c>
      <c r="M1730">
        <v>11</v>
      </c>
      <c r="N1730">
        <v>47555</v>
      </c>
      <c r="O1730">
        <v>2</v>
      </c>
      <c r="P1730">
        <v>0</v>
      </c>
      <c r="Q1730">
        <v>19</v>
      </c>
      <c r="R1730">
        <v>1206</v>
      </c>
      <c r="S1730" t="s">
        <v>44</v>
      </c>
      <c r="T1730">
        <v>4</v>
      </c>
      <c r="U1730" t="s">
        <v>44</v>
      </c>
      <c r="V1730">
        <v>10176</v>
      </c>
      <c r="W1730" t="s">
        <v>44</v>
      </c>
      <c r="X1730" t="s">
        <v>44</v>
      </c>
      <c r="Y1730">
        <v>10175</v>
      </c>
      <c r="Z1730" t="s">
        <v>44</v>
      </c>
      <c r="AA1730">
        <v>0</v>
      </c>
      <c r="AB1730">
        <v>0</v>
      </c>
      <c r="AC1730">
        <v>0</v>
      </c>
      <c r="AD1730">
        <v>0</v>
      </c>
      <c r="AE1730">
        <v>2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 s="2">
        <v>10178</v>
      </c>
      <c r="AQ1730">
        <f t="shared" si="61"/>
        <v>10178</v>
      </c>
      <c r="AR1730" s="5">
        <f>VLOOKUP(F1730,'[2]SCP_24-25'!$A:$D,4,0)</f>
        <v>47.03</v>
      </c>
      <c r="AS1730" s="5">
        <f t="shared" si="60"/>
        <v>478671.34</v>
      </c>
    </row>
    <row r="1731" spans="1:45" x14ac:dyDescent="0.3">
      <c r="A1731" s="1">
        <v>45900.963888888888</v>
      </c>
      <c r="B1731" t="s">
        <v>1473</v>
      </c>
      <c r="C1731" t="s">
        <v>1474</v>
      </c>
      <c r="D1731" t="s">
        <v>224</v>
      </c>
      <c r="F1731" t="s">
        <v>1587</v>
      </c>
      <c r="G1731" t="s">
        <v>225</v>
      </c>
      <c r="H1731" t="s">
        <v>66</v>
      </c>
      <c r="I1731" t="s">
        <v>43</v>
      </c>
      <c r="J1731">
        <v>102</v>
      </c>
      <c r="K1731">
        <v>19</v>
      </c>
      <c r="L1731">
        <v>10</v>
      </c>
      <c r="M1731">
        <v>11</v>
      </c>
      <c r="N1731">
        <v>197073</v>
      </c>
      <c r="O1731">
        <v>18</v>
      </c>
      <c r="P1731">
        <v>0</v>
      </c>
      <c r="Q1731">
        <v>41</v>
      </c>
      <c r="R1731">
        <v>2948</v>
      </c>
      <c r="S1731" t="s">
        <v>44</v>
      </c>
      <c r="T1731">
        <v>7</v>
      </c>
      <c r="U1731" t="s">
        <v>44</v>
      </c>
      <c r="V1731">
        <v>10515</v>
      </c>
      <c r="W1731">
        <v>1</v>
      </c>
      <c r="X1731" t="s">
        <v>44</v>
      </c>
      <c r="Y1731">
        <v>10507</v>
      </c>
      <c r="Z1731" t="s">
        <v>44</v>
      </c>
      <c r="AA1731">
        <v>8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 s="2">
        <v>10541</v>
      </c>
      <c r="AQ1731">
        <f t="shared" si="61"/>
        <v>10541</v>
      </c>
      <c r="AR1731" s="5">
        <f>VLOOKUP(F1731,'[2]SCP_24-25'!$A:$D,4,0)</f>
        <v>66.328461538461553</v>
      </c>
      <c r="AS1731" s="5">
        <f t="shared" ref="AS1731:AS1794" si="62">AQ1731*AR1731</f>
        <v>699168.31307692325</v>
      </c>
    </row>
    <row r="1732" spans="1:45" x14ac:dyDescent="0.3">
      <c r="A1732" s="1">
        <v>45900.963888888888</v>
      </c>
      <c r="B1732" t="s">
        <v>1473</v>
      </c>
      <c r="C1732" t="s">
        <v>1474</v>
      </c>
      <c r="D1732" t="s">
        <v>301</v>
      </c>
      <c r="F1732" t="s">
        <v>1616</v>
      </c>
      <c r="G1732" t="s">
        <v>302</v>
      </c>
      <c r="H1732" t="s">
        <v>66</v>
      </c>
      <c r="I1732" t="s">
        <v>43</v>
      </c>
      <c r="J1732">
        <v>30</v>
      </c>
      <c r="K1732">
        <v>19</v>
      </c>
      <c r="L1732">
        <v>9.5</v>
      </c>
      <c r="M1732">
        <v>11</v>
      </c>
      <c r="N1732">
        <v>65950</v>
      </c>
      <c r="O1732">
        <v>9</v>
      </c>
      <c r="P1732">
        <v>0</v>
      </c>
      <c r="Q1732">
        <v>3</v>
      </c>
      <c r="R1732">
        <v>5</v>
      </c>
      <c r="S1732" t="s">
        <v>44</v>
      </c>
      <c r="T1732" t="s">
        <v>44</v>
      </c>
      <c r="U1732" t="s">
        <v>44</v>
      </c>
      <c r="V1732">
        <v>12200</v>
      </c>
      <c r="W1732" t="s">
        <v>44</v>
      </c>
      <c r="X1732" t="s">
        <v>44</v>
      </c>
      <c r="Y1732">
        <v>12200</v>
      </c>
      <c r="Z1732" t="s">
        <v>44</v>
      </c>
      <c r="AA1732">
        <v>2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 s="2">
        <v>12211</v>
      </c>
      <c r="AQ1732">
        <f t="shared" si="61"/>
        <v>12211</v>
      </c>
      <c r="AR1732" s="5">
        <f>VLOOKUP(F1732,'[2]SCP_24-25'!$A:$D,4,0)</f>
        <v>17.305</v>
      </c>
      <c r="AS1732" s="5">
        <f t="shared" si="62"/>
        <v>211311.35500000001</v>
      </c>
    </row>
    <row r="1733" spans="1:45" x14ac:dyDescent="0.3">
      <c r="A1733" s="1">
        <v>45900.963888888888</v>
      </c>
      <c r="B1733" t="s">
        <v>1473</v>
      </c>
      <c r="C1733" t="s">
        <v>1474</v>
      </c>
      <c r="D1733" t="s">
        <v>902</v>
      </c>
      <c r="E1733" t="s">
        <v>903</v>
      </c>
      <c r="F1733" t="s">
        <v>1901</v>
      </c>
      <c r="G1733" t="s">
        <v>904</v>
      </c>
      <c r="H1733" t="s">
        <v>621</v>
      </c>
      <c r="I1733" t="s">
        <v>43</v>
      </c>
      <c r="J1733">
        <v>228.4</v>
      </c>
      <c r="K1733">
        <v>31.1</v>
      </c>
      <c r="L1733">
        <v>10</v>
      </c>
      <c r="M1733">
        <v>18.5</v>
      </c>
      <c r="N1733">
        <v>74123</v>
      </c>
      <c r="O1733">
        <v>0</v>
      </c>
      <c r="P1733">
        <v>0</v>
      </c>
      <c r="Q1733" t="s">
        <v>44</v>
      </c>
      <c r="R1733">
        <v>2736</v>
      </c>
      <c r="S1733" t="s">
        <v>44</v>
      </c>
      <c r="T1733" t="s">
        <v>44</v>
      </c>
      <c r="U1733" t="s">
        <v>44</v>
      </c>
      <c r="V1733">
        <v>22002</v>
      </c>
      <c r="W1733" t="s">
        <v>44</v>
      </c>
      <c r="X1733" t="s">
        <v>44</v>
      </c>
      <c r="Y1733">
        <v>22002</v>
      </c>
      <c r="Z1733" t="s">
        <v>44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 s="2">
        <v>22002</v>
      </c>
      <c r="AQ1733">
        <f t="shared" si="61"/>
        <v>22002</v>
      </c>
      <c r="AR1733" s="5">
        <f>VLOOKUP(F1733,'[2]SCP_24-25'!$A:$D,4,0)</f>
        <v>6.25</v>
      </c>
      <c r="AS1733" s="5">
        <f t="shared" si="62"/>
        <v>137512.5</v>
      </c>
    </row>
    <row r="1734" spans="1:45" x14ac:dyDescent="0.3">
      <c r="A1734" s="1">
        <v>45900.963888888888</v>
      </c>
      <c r="B1734" t="s">
        <v>1473</v>
      </c>
      <c r="C1734" t="s">
        <v>1474</v>
      </c>
      <c r="D1734" t="s">
        <v>416</v>
      </c>
      <c r="F1734" t="s">
        <v>1665</v>
      </c>
      <c r="G1734" t="s">
        <v>417</v>
      </c>
      <c r="H1734" t="s">
        <v>66</v>
      </c>
      <c r="I1734" t="s">
        <v>43</v>
      </c>
      <c r="J1734">
        <v>46.59</v>
      </c>
      <c r="K1734">
        <v>19</v>
      </c>
      <c r="L1734">
        <v>10</v>
      </c>
      <c r="M1734">
        <v>11</v>
      </c>
      <c r="N1734">
        <v>122115</v>
      </c>
      <c r="O1734">
        <v>160</v>
      </c>
      <c r="P1734">
        <v>0</v>
      </c>
      <c r="Q1734">
        <v>227</v>
      </c>
      <c r="R1734">
        <v>99</v>
      </c>
      <c r="S1734" t="s">
        <v>44</v>
      </c>
      <c r="T1734">
        <v>53</v>
      </c>
      <c r="U1734" t="s">
        <v>44</v>
      </c>
      <c r="V1734">
        <v>22304</v>
      </c>
      <c r="W1734" t="s">
        <v>44</v>
      </c>
      <c r="X1734" t="s">
        <v>44</v>
      </c>
      <c r="Y1734">
        <v>22304</v>
      </c>
      <c r="Z1734" t="s">
        <v>44</v>
      </c>
      <c r="AA1734">
        <v>109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1900</v>
      </c>
      <c r="AP1734" s="2">
        <v>22573</v>
      </c>
      <c r="AQ1734">
        <f t="shared" si="61"/>
        <v>22573</v>
      </c>
      <c r="AR1734" s="5">
        <f>VLOOKUP(F1734,'[2]SCP_24-25'!$A:$D,4,0)</f>
        <v>34.455294117647057</v>
      </c>
      <c r="AS1734" s="5">
        <f t="shared" si="62"/>
        <v>777759.35411764705</v>
      </c>
    </row>
    <row r="1735" spans="1:45" x14ac:dyDescent="0.3">
      <c r="A1735" s="1">
        <v>45900.963888888888</v>
      </c>
      <c r="B1735" t="s">
        <v>1473</v>
      </c>
      <c r="C1735" t="s">
        <v>1474</v>
      </c>
      <c r="D1735" t="s">
        <v>471</v>
      </c>
      <c r="F1735" t="s">
        <v>1690</v>
      </c>
      <c r="G1735" t="s">
        <v>472</v>
      </c>
      <c r="H1735" t="s">
        <v>66</v>
      </c>
      <c r="I1735" t="s">
        <v>415</v>
      </c>
      <c r="J1735">
        <v>52.02</v>
      </c>
      <c r="K1735">
        <v>19</v>
      </c>
      <c r="L1735">
        <v>10</v>
      </c>
      <c r="M1735">
        <v>11</v>
      </c>
      <c r="N1735">
        <v>54620</v>
      </c>
      <c r="O1735">
        <v>3</v>
      </c>
      <c r="P1735">
        <v>0</v>
      </c>
      <c r="Q1735">
        <v>47</v>
      </c>
      <c r="R1735">
        <v>55</v>
      </c>
      <c r="S1735" t="s">
        <v>44</v>
      </c>
      <c r="T1735">
        <v>1</v>
      </c>
      <c r="U1735" t="s">
        <v>44</v>
      </c>
      <c r="V1735">
        <v>16334</v>
      </c>
      <c r="W1735">
        <v>7</v>
      </c>
      <c r="X1735" t="s">
        <v>44</v>
      </c>
      <c r="Y1735">
        <v>16334</v>
      </c>
      <c r="Z1735" t="s">
        <v>44</v>
      </c>
      <c r="AA1735">
        <v>4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 s="2">
        <v>16341</v>
      </c>
      <c r="AQ1735">
        <f t="shared" si="61"/>
        <v>16341</v>
      </c>
      <c r="AR1735" s="5">
        <f>VLOOKUP(F1735,'[2]SCP_24-25'!$A:$D,4,0)</f>
        <v>87.59</v>
      </c>
      <c r="AS1735" s="5">
        <f t="shared" si="62"/>
        <v>1431308.19</v>
      </c>
    </row>
    <row r="1736" spans="1:45" x14ac:dyDescent="0.3">
      <c r="A1736" s="1">
        <v>45900.963888888888</v>
      </c>
      <c r="B1736" t="s">
        <v>1473</v>
      </c>
      <c r="C1736" t="s">
        <v>1474</v>
      </c>
      <c r="D1736" t="s">
        <v>1353</v>
      </c>
      <c r="F1736" t="s">
        <v>2125</v>
      </c>
      <c r="G1736" t="s">
        <v>1354</v>
      </c>
      <c r="H1736" t="s">
        <v>66</v>
      </c>
      <c r="I1736" t="s">
        <v>415</v>
      </c>
      <c r="J1736">
        <v>5</v>
      </c>
      <c r="K1736">
        <v>19</v>
      </c>
      <c r="L1736">
        <v>10</v>
      </c>
      <c r="M1736">
        <v>11</v>
      </c>
      <c r="N1736">
        <v>16896</v>
      </c>
      <c r="O1736">
        <v>0</v>
      </c>
      <c r="P1736">
        <v>0</v>
      </c>
      <c r="Q1736" t="s">
        <v>44</v>
      </c>
      <c r="R1736" t="s">
        <v>44</v>
      </c>
      <c r="S1736" t="s">
        <v>44</v>
      </c>
      <c r="T1736" t="s">
        <v>44</v>
      </c>
      <c r="U1736" t="s">
        <v>44</v>
      </c>
      <c r="V1736">
        <v>14755</v>
      </c>
      <c r="W1736" t="s">
        <v>44</v>
      </c>
      <c r="X1736" t="s">
        <v>44</v>
      </c>
      <c r="Y1736">
        <v>14755</v>
      </c>
      <c r="Z1736" t="s">
        <v>44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 s="2">
        <v>14755</v>
      </c>
      <c r="AQ1736">
        <f t="shared" si="61"/>
        <v>14755</v>
      </c>
      <c r="AR1736" s="5">
        <f>VLOOKUP(F1736,'[2]SCP_24-25'!$A:$D,4,0)</f>
        <v>20.990000000000002</v>
      </c>
      <c r="AS1736" s="5">
        <f t="shared" si="62"/>
        <v>309707.45</v>
      </c>
    </row>
    <row r="1737" spans="1:45" x14ac:dyDescent="0.3">
      <c r="A1737" s="1">
        <v>45900.963888888888</v>
      </c>
      <c r="B1737" t="s">
        <v>1473</v>
      </c>
      <c r="C1737" t="s">
        <v>1474</v>
      </c>
      <c r="D1737" t="s">
        <v>1341</v>
      </c>
      <c r="F1737" t="s">
        <v>2120</v>
      </c>
      <c r="G1737" t="s">
        <v>1342</v>
      </c>
      <c r="H1737" t="s">
        <v>66</v>
      </c>
      <c r="I1737" t="s">
        <v>415</v>
      </c>
      <c r="J1737">
        <v>5</v>
      </c>
      <c r="K1737">
        <v>19</v>
      </c>
      <c r="L1737">
        <v>10</v>
      </c>
      <c r="M1737">
        <v>11</v>
      </c>
      <c r="N1737">
        <v>18240</v>
      </c>
      <c r="O1737">
        <v>0</v>
      </c>
      <c r="P1737">
        <v>0</v>
      </c>
      <c r="Q1737" t="s">
        <v>44</v>
      </c>
      <c r="R1737" t="s">
        <v>44</v>
      </c>
      <c r="S1737" t="s">
        <v>44</v>
      </c>
      <c r="T1737" t="s">
        <v>44</v>
      </c>
      <c r="U1737" t="s">
        <v>44</v>
      </c>
      <c r="V1737">
        <v>17251</v>
      </c>
      <c r="W1737" t="s">
        <v>44</v>
      </c>
      <c r="X1737" t="s">
        <v>44</v>
      </c>
      <c r="Y1737">
        <v>17251</v>
      </c>
      <c r="Z1737" t="s">
        <v>44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 s="2">
        <v>17251</v>
      </c>
      <c r="AQ1737">
        <f t="shared" si="61"/>
        <v>17251</v>
      </c>
      <c r="AR1737" s="5">
        <f>VLOOKUP(F1737,'[2]SCP_24-25'!$A:$D,4,0)</f>
        <v>14.550000000000008</v>
      </c>
      <c r="AS1737" s="5">
        <f t="shared" si="62"/>
        <v>251002.05000000013</v>
      </c>
    </row>
    <row r="1738" spans="1:45" x14ac:dyDescent="0.3">
      <c r="A1738" s="1">
        <v>45900.963888888888</v>
      </c>
      <c r="B1738" t="s">
        <v>1473</v>
      </c>
      <c r="C1738" t="s">
        <v>1474</v>
      </c>
      <c r="D1738" t="s">
        <v>1333</v>
      </c>
      <c r="F1738" t="s">
        <v>2116</v>
      </c>
      <c r="G1738" t="s">
        <v>1334</v>
      </c>
      <c r="H1738" t="s">
        <v>66</v>
      </c>
      <c r="I1738" t="s">
        <v>43</v>
      </c>
      <c r="J1738">
        <v>8</v>
      </c>
      <c r="K1738">
        <v>19</v>
      </c>
      <c r="L1738">
        <v>11</v>
      </c>
      <c r="M1738">
        <v>10</v>
      </c>
      <c r="N1738">
        <v>10997</v>
      </c>
      <c r="O1738">
        <v>0</v>
      </c>
      <c r="P1738">
        <v>0</v>
      </c>
      <c r="Q1738" t="s">
        <v>44</v>
      </c>
      <c r="R1738" t="s">
        <v>44</v>
      </c>
      <c r="S1738" t="s">
        <v>44</v>
      </c>
      <c r="T1738">
        <v>3</v>
      </c>
      <c r="U1738" t="s">
        <v>44</v>
      </c>
      <c r="V1738">
        <v>10997</v>
      </c>
      <c r="W1738" t="s">
        <v>44</v>
      </c>
      <c r="X1738" t="s">
        <v>44</v>
      </c>
      <c r="Y1738">
        <v>10997</v>
      </c>
      <c r="Z1738" t="s">
        <v>44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 s="2">
        <v>10997</v>
      </c>
      <c r="AQ1738">
        <f t="shared" si="61"/>
        <v>10997</v>
      </c>
      <c r="AR1738" s="5">
        <f>VLOOKUP(F1738,'[2]SCP_24-25'!$A:$D,4,0)</f>
        <v>11.289999999999996</v>
      </c>
      <c r="AS1738" s="5">
        <f t="shared" si="62"/>
        <v>124156.12999999995</v>
      </c>
    </row>
    <row r="1739" spans="1:45" x14ac:dyDescent="0.3">
      <c r="A1739" s="1">
        <v>45900.963888888888</v>
      </c>
      <c r="B1739" t="s">
        <v>1473</v>
      </c>
      <c r="C1739" t="s">
        <v>1474</v>
      </c>
      <c r="D1739" t="s">
        <v>1335</v>
      </c>
      <c r="F1739" t="s">
        <v>2117</v>
      </c>
      <c r="G1739" t="s">
        <v>1336</v>
      </c>
      <c r="H1739" t="s">
        <v>66</v>
      </c>
      <c r="I1739" t="s">
        <v>43</v>
      </c>
      <c r="J1739">
        <v>5</v>
      </c>
      <c r="K1739">
        <v>19</v>
      </c>
      <c r="L1739">
        <v>11</v>
      </c>
      <c r="M1739">
        <v>10</v>
      </c>
      <c r="N1739">
        <v>10752</v>
      </c>
      <c r="O1739">
        <v>0</v>
      </c>
      <c r="P1739">
        <v>0</v>
      </c>
      <c r="Q1739" t="s">
        <v>44</v>
      </c>
      <c r="R1739" t="s">
        <v>44</v>
      </c>
      <c r="S1739" t="s">
        <v>44</v>
      </c>
      <c r="T1739" t="s">
        <v>44</v>
      </c>
      <c r="U1739" t="s">
        <v>44</v>
      </c>
      <c r="V1739">
        <v>10752</v>
      </c>
      <c r="W1739" t="s">
        <v>44</v>
      </c>
      <c r="X1739" t="s">
        <v>44</v>
      </c>
      <c r="Y1739">
        <v>10752</v>
      </c>
      <c r="Z1739" t="s">
        <v>44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 s="2">
        <v>10752</v>
      </c>
      <c r="AQ1739">
        <f t="shared" si="61"/>
        <v>10752</v>
      </c>
      <c r="AR1739" s="5">
        <f>VLOOKUP(F1739,'[1]Cost Sheet'!$C:$D,2,0)</f>
        <v>16.23</v>
      </c>
      <c r="AS1739" s="5">
        <f t="shared" si="62"/>
        <v>174504.95999999999</v>
      </c>
    </row>
    <row r="1740" spans="1:45" x14ac:dyDescent="0.3">
      <c r="A1740" s="1">
        <v>45900.963888888888</v>
      </c>
      <c r="B1740" t="s">
        <v>1473</v>
      </c>
      <c r="C1740" t="s">
        <v>1474</v>
      </c>
      <c r="D1740" t="s">
        <v>1358</v>
      </c>
      <c r="E1740" t="s">
        <v>1359</v>
      </c>
      <c r="F1740" t="s">
        <v>2127</v>
      </c>
      <c r="G1740" t="s">
        <v>1360</v>
      </c>
      <c r="H1740" t="s">
        <v>621</v>
      </c>
      <c r="I1740" t="s">
        <v>43</v>
      </c>
      <c r="J1740">
        <v>50.8</v>
      </c>
      <c r="K1740">
        <v>19</v>
      </c>
      <c r="L1740">
        <v>11</v>
      </c>
      <c r="M1740">
        <v>8.5</v>
      </c>
      <c r="N1740">
        <v>520252</v>
      </c>
      <c r="O1740">
        <v>0</v>
      </c>
      <c r="P1740">
        <v>0</v>
      </c>
      <c r="Q1740" t="s">
        <v>44</v>
      </c>
      <c r="R1740">
        <v>2406</v>
      </c>
      <c r="S1740" t="s">
        <v>44</v>
      </c>
      <c r="T1740">
        <v>2000</v>
      </c>
      <c r="U1740" t="s">
        <v>44</v>
      </c>
      <c r="V1740">
        <v>23541</v>
      </c>
      <c r="W1740" t="s">
        <v>44</v>
      </c>
      <c r="X1740" t="s">
        <v>44</v>
      </c>
      <c r="Y1740">
        <v>23569</v>
      </c>
      <c r="Z1740" t="s">
        <v>44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 s="2">
        <v>23541</v>
      </c>
      <c r="AQ1740">
        <f t="shared" si="61"/>
        <v>23541</v>
      </c>
      <c r="AR1740" s="5">
        <f>VLOOKUP(F1740,'[2]SCP_24-25'!$A:$D,4,0)</f>
        <v>2.8999999999999995</v>
      </c>
      <c r="AS1740" s="5">
        <f t="shared" si="62"/>
        <v>68268.899999999994</v>
      </c>
    </row>
    <row r="1741" spans="1:45" x14ac:dyDescent="0.3">
      <c r="A1741" s="1">
        <v>45900.963888888888</v>
      </c>
      <c r="B1741" t="s">
        <v>1473</v>
      </c>
      <c r="C1741" t="s">
        <v>1474</v>
      </c>
      <c r="D1741" t="s">
        <v>133</v>
      </c>
      <c r="F1741" t="s">
        <v>1544</v>
      </c>
      <c r="G1741" t="s">
        <v>134</v>
      </c>
      <c r="H1741" t="s">
        <v>66</v>
      </c>
      <c r="I1741" t="s">
        <v>43</v>
      </c>
      <c r="J1741">
        <v>137</v>
      </c>
      <c r="K1741">
        <v>19</v>
      </c>
      <c r="L1741">
        <v>10</v>
      </c>
      <c r="M1741">
        <v>11</v>
      </c>
      <c r="N1741">
        <v>39624</v>
      </c>
      <c r="O1741">
        <v>11</v>
      </c>
      <c r="P1741">
        <v>0</v>
      </c>
      <c r="Q1741">
        <v>245</v>
      </c>
      <c r="R1741">
        <v>130</v>
      </c>
      <c r="S1741" t="s">
        <v>44</v>
      </c>
      <c r="T1741">
        <v>19</v>
      </c>
      <c r="U1741" t="s">
        <v>44</v>
      </c>
      <c r="V1741">
        <v>1014</v>
      </c>
      <c r="W1741">
        <v>65</v>
      </c>
      <c r="X1741" t="s">
        <v>44</v>
      </c>
      <c r="Y1741">
        <v>999</v>
      </c>
      <c r="Z1741" t="s">
        <v>44</v>
      </c>
      <c r="AA1741">
        <v>5</v>
      </c>
      <c r="AB1741">
        <v>0</v>
      </c>
      <c r="AC1741">
        <v>0</v>
      </c>
      <c r="AD1741">
        <v>0</v>
      </c>
      <c r="AE1741">
        <v>4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 s="2">
        <v>1030</v>
      </c>
      <c r="AQ1741">
        <f t="shared" si="61"/>
        <v>1030</v>
      </c>
      <c r="AR1741" s="5">
        <f>VLOOKUP(F1741,'[2]SCP_24-25'!$A:$D,4,0)</f>
        <v>27.66</v>
      </c>
      <c r="AS1741" s="5">
        <f t="shared" si="62"/>
        <v>28489.8</v>
      </c>
    </row>
    <row r="1742" spans="1:45" x14ac:dyDescent="0.3">
      <c r="A1742" s="1">
        <v>45900.963888888888</v>
      </c>
      <c r="B1742" t="s">
        <v>1473</v>
      </c>
      <c r="C1742" t="s">
        <v>1474</v>
      </c>
      <c r="D1742" t="s">
        <v>139</v>
      </c>
      <c r="F1742" t="s">
        <v>1547</v>
      </c>
      <c r="G1742" t="s">
        <v>140</v>
      </c>
      <c r="H1742" t="s">
        <v>66</v>
      </c>
      <c r="I1742" t="s">
        <v>43</v>
      </c>
      <c r="J1742">
        <v>176</v>
      </c>
      <c r="K1742">
        <v>11</v>
      </c>
      <c r="L1742">
        <v>19</v>
      </c>
      <c r="M1742">
        <v>10</v>
      </c>
      <c r="N1742">
        <v>15472</v>
      </c>
      <c r="O1742">
        <v>1</v>
      </c>
      <c r="P1742">
        <v>0</v>
      </c>
      <c r="Q1742">
        <v>27</v>
      </c>
      <c r="R1742">
        <v>12</v>
      </c>
      <c r="S1742" t="s">
        <v>44</v>
      </c>
      <c r="T1742">
        <v>1</v>
      </c>
      <c r="U1742" t="s">
        <v>44</v>
      </c>
      <c r="V1742">
        <v>264</v>
      </c>
      <c r="W1742">
        <v>10</v>
      </c>
      <c r="X1742" t="s">
        <v>44</v>
      </c>
      <c r="Y1742">
        <v>196</v>
      </c>
      <c r="Z1742" t="s">
        <v>44</v>
      </c>
      <c r="AA1742">
        <v>2</v>
      </c>
      <c r="AB1742">
        <v>0</v>
      </c>
      <c r="AC1742">
        <v>0</v>
      </c>
      <c r="AD1742">
        <v>0</v>
      </c>
      <c r="AE1742">
        <v>4</v>
      </c>
      <c r="AF1742">
        <v>6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267</v>
      </c>
      <c r="AQ1742">
        <f t="shared" si="61"/>
        <v>267</v>
      </c>
      <c r="AR1742" s="5">
        <f>VLOOKUP(F1742,'[2]SCP_24-25'!$A:$D,4,0)</f>
        <v>60.54</v>
      </c>
      <c r="AS1742" s="5">
        <f t="shared" si="62"/>
        <v>16164.18</v>
      </c>
    </row>
    <row r="1743" spans="1:45" x14ac:dyDescent="0.3">
      <c r="A1743" s="1">
        <v>45900.963888888888</v>
      </c>
      <c r="B1743" t="s">
        <v>1473</v>
      </c>
      <c r="C1743" t="s">
        <v>1474</v>
      </c>
      <c r="D1743" t="s">
        <v>153</v>
      </c>
      <c r="F1743" t="s">
        <v>1554</v>
      </c>
      <c r="G1743" t="s">
        <v>154</v>
      </c>
      <c r="H1743" t="s">
        <v>66</v>
      </c>
      <c r="I1743" t="s">
        <v>43</v>
      </c>
      <c r="J1743">
        <v>92.91</v>
      </c>
      <c r="K1743">
        <v>19</v>
      </c>
      <c r="L1743">
        <v>9.5</v>
      </c>
      <c r="M1743">
        <v>11</v>
      </c>
      <c r="N1743">
        <v>11802</v>
      </c>
      <c r="O1743">
        <v>1</v>
      </c>
      <c r="P1743">
        <v>0</v>
      </c>
      <c r="Q1743">
        <v>9</v>
      </c>
      <c r="R1743">
        <v>7</v>
      </c>
      <c r="S1743" t="s">
        <v>44</v>
      </c>
      <c r="T1743" t="s">
        <v>44</v>
      </c>
      <c r="U1743" t="s">
        <v>44</v>
      </c>
      <c r="V1743">
        <v>227</v>
      </c>
      <c r="W1743">
        <v>10</v>
      </c>
      <c r="X1743" t="s">
        <v>44</v>
      </c>
      <c r="Y1743">
        <v>149</v>
      </c>
      <c r="Z1743" t="s">
        <v>44</v>
      </c>
      <c r="AA1743">
        <v>3</v>
      </c>
      <c r="AB1743">
        <v>0</v>
      </c>
      <c r="AC1743">
        <v>0</v>
      </c>
      <c r="AD1743">
        <v>0</v>
      </c>
      <c r="AE1743">
        <v>13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231</v>
      </c>
      <c r="AQ1743">
        <f t="shared" si="61"/>
        <v>231</v>
      </c>
      <c r="AR1743" s="5">
        <f>VLOOKUP(F1743,'[2]SCP_24-25'!$A:$D,4,0)</f>
        <v>41.09</v>
      </c>
      <c r="AS1743" s="5">
        <f t="shared" si="62"/>
        <v>9491.7900000000009</v>
      </c>
    </row>
    <row r="1744" spans="1:45" x14ac:dyDescent="0.3">
      <c r="A1744" s="1">
        <v>45900.963888888888</v>
      </c>
      <c r="B1744" t="s">
        <v>1473</v>
      </c>
      <c r="C1744" t="s">
        <v>1474</v>
      </c>
      <c r="D1744" t="s">
        <v>159</v>
      </c>
      <c r="F1744" t="s">
        <v>1557</v>
      </c>
      <c r="G1744" t="s">
        <v>160</v>
      </c>
      <c r="H1744" t="s">
        <v>66</v>
      </c>
      <c r="I1744" t="s">
        <v>43</v>
      </c>
      <c r="J1744">
        <v>73.209999999999994</v>
      </c>
      <c r="K1744">
        <v>19</v>
      </c>
      <c r="L1744">
        <v>9.5</v>
      </c>
      <c r="M1744">
        <v>11</v>
      </c>
      <c r="N1744">
        <v>7740</v>
      </c>
      <c r="O1744">
        <v>1</v>
      </c>
      <c r="P1744">
        <v>0</v>
      </c>
      <c r="Q1744">
        <v>38</v>
      </c>
      <c r="R1744">
        <v>7</v>
      </c>
      <c r="S1744" t="s">
        <v>44</v>
      </c>
      <c r="T1744">
        <v>1</v>
      </c>
      <c r="U1744" t="s">
        <v>44</v>
      </c>
      <c r="V1744">
        <v>388</v>
      </c>
      <c r="W1744">
        <v>20</v>
      </c>
      <c r="X1744" t="s">
        <v>44</v>
      </c>
      <c r="Y1744">
        <v>249</v>
      </c>
      <c r="Z1744" t="s">
        <v>44</v>
      </c>
      <c r="AA1744">
        <v>0</v>
      </c>
      <c r="AB1744">
        <v>0</v>
      </c>
      <c r="AC1744">
        <v>0</v>
      </c>
      <c r="AD1744">
        <v>0</v>
      </c>
      <c r="AE1744">
        <v>61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389</v>
      </c>
      <c r="AQ1744">
        <f t="shared" si="61"/>
        <v>389</v>
      </c>
      <c r="AR1744" s="5">
        <f>VLOOKUP(F1744,'[2]SCP_24-25'!$A:$D,4,0)</f>
        <v>40.090000000000003</v>
      </c>
      <c r="AS1744" s="5">
        <f t="shared" si="62"/>
        <v>15595.010000000002</v>
      </c>
    </row>
    <row r="1745" spans="1:45" x14ac:dyDescent="0.3">
      <c r="A1745" s="1">
        <v>45900.963888888888</v>
      </c>
      <c r="B1745" t="s">
        <v>1473</v>
      </c>
      <c r="C1745" t="s">
        <v>1474</v>
      </c>
      <c r="D1745" t="s">
        <v>163</v>
      </c>
      <c r="F1745" t="s">
        <v>1559</v>
      </c>
      <c r="G1745" t="s">
        <v>164</v>
      </c>
      <c r="H1745" t="s">
        <v>66</v>
      </c>
      <c r="I1745" t="s">
        <v>43</v>
      </c>
      <c r="J1745">
        <v>75.400000000000006</v>
      </c>
      <c r="K1745">
        <v>19</v>
      </c>
      <c r="L1745">
        <v>11</v>
      </c>
      <c r="M1745">
        <v>9.5</v>
      </c>
      <c r="N1745">
        <v>8676</v>
      </c>
      <c r="O1745">
        <v>1</v>
      </c>
      <c r="P1745">
        <v>0</v>
      </c>
      <c r="Q1745">
        <v>38</v>
      </c>
      <c r="R1745">
        <v>26</v>
      </c>
      <c r="S1745" t="s">
        <v>44</v>
      </c>
      <c r="T1745">
        <v>72</v>
      </c>
      <c r="U1745" t="s">
        <v>44</v>
      </c>
      <c r="V1745">
        <v>547</v>
      </c>
      <c r="W1745">
        <v>75</v>
      </c>
      <c r="X1745" t="s">
        <v>44</v>
      </c>
      <c r="Y1745">
        <v>315</v>
      </c>
      <c r="Z1745" t="s">
        <v>44</v>
      </c>
      <c r="AA1745">
        <v>2</v>
      </c>
      <c r="AB1745">
        <v>0</v>
      </c>
      <c r="AC1745">
        <v>0</v>
      </c>
      <c r="AD1745">
        <v>0</v>
      </c>
      <c r="AE1745">
        <v>37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550</v>
      </c>
      <c r="AQ1745">
        <f t="shared" si="61"/>
        <v>550</v>
      </c>
      <c r="AR1745" s="5">
        <f>VLOOKUP(F1745,'[2]SCP_24-25'!$A:$D,4,0)</f>
        <v>63.65</v>
      </c>
      <c r="AS1745" s="5">
        <f t="shared" si="62"/>
        <v>35007.5</v>
      </c>
    </row>
    <row r="1746" spans="1:45" x14ac:dyDescent="0.3">
      <c r="A1746" s="1">
        <v>45900.963888888888</v>
      </c>
      <c r="B1746" t="s">
        <v>1473</v>
      </c>
      <c r="C1746" t="s">
        <v>1474</v>
      </c>
      <c r="D1746" t="s">
        <v>167</v>
      </c>
      <c r="F1746" t="s">
        <v>1561</v>
      </c>
      <c r="G1746" t="s">
        <v>168</v>
      </c>
      <c r="H1746" t="s">
        <v>103</v>
      </c>
      <c r="I1746" t="s">
        <v>43</v>
      </c>
      <c r="J1746">
        <v>228.22</v>
      </c>
      <c r="K1746">
        <v>19</v>
      </c>
      <c r="L1746">
        <v>11</v>
      </c>
      <c r="M1746">
        <v>9.5</v>
      </c>
      <c r="N1746">
        <v>17444</v>
      </c>
      <c r="O1746">
        <v>4</v>
      </c>
      <c r="P1746">
        <v>0</v>
      </c>
      <c r="Q1746">
        <v>47</v>
      </c>
      <c r="R1746">
        <v>43</v>
      </c>
      <c r="S1746" t="s">
        <v>44</v>
      </c>
      <c r="T1746">
        <v>1</v>
      </c>
      <c r="U1746" t="s">
        <v>44</v>
      </c>
      <c r="V1746">
        <v>869</v>
      </c>
      <c r="W1746">
        <v>56</v>
      </c>
      <c r="X1746" t="s">
        <v>44</v>
      </c>
      <c r="Y1746">
        <v>470</v>
      </c>
      <c r="Z1746" t="s">
        <v>44</v>
      </c>
      <c r="AA1746">
        <v>8</v>
      </c>
      <c r="AB1746">
        <v>0</v>
      </c>
      <c r="AC1746">
        <v>0</v>
      </c>
      <c r="AD1746">
        <v>0</v>
      </c>
      <c r="AE1746">
        <v>18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881</v>
      </c>
      <c r="AQ1746">
        <f t="shared" si="61"/>
        <v>881</v>
      </c>
      <c r="AR1746" s="5">
        <f>VLOOKUP(F1746,'[2]SCP_24-25'!$A:$D,4,0)</f>
        <v>75.010000000000005</v>
      </c>
      <c r="AS1746" s="5">
        <f t="shared" si="62"/>
        <v>66083.81</v>
      </c>
    </row>
    <row r="1747" spans="1:45" x14ac:dyDescent="0.3">
      <c r="A1747" s="1">
        <v>45900.963888888888</v>
      </c>
      <c r="B1747" t="s">
        <v>1473</v>
      </c>
      <c r="C1747" t="s">
        <v>1474</v>
      </c>
      <c r="D1747" t="s">
        <v>175</v>
      </c>
      <c r="F1747" t="s">
        <v>1565</v>
      </c>
      <c r="G1747" t="s">
        <v>176</v>
      </c>
      <c r="H1747" t="s">
        <v>66</v>
      </c>
      <c r="I1747" t="s">
        <v>43</v>
      </c>
      <c r="J1747">
        <v>101</v>
      </c>
      <c r="K1747">
        <v>18</v>
      </c>
      <c r="L1747">
        <v>9.5</v>
      </c>
      <c r="M1747">
        <v>11</v>
      </c>
      <c r="N1747">
        <v>28622</v>
      </c>
      <c r="O1747">
        <v>4</v>
      </c>
      <c r="P1747">
        <v>0</v>
      </c>
      <c r="Q1747">
        <v>84</v>
      </c>
      <c r="R1747">
        <v>27</v>
      </c>
      <c r="S1747" t="s">
        <v>44</v>
      </c>
      <c r="T1747">
        <v>2</v>
      </c>
      <c r="U1747" t="s">
        <v>44</v>
      </c>
      <c r="V1747">
        <v>986</v>
      </c>
      <c r="W1747">
        <v>68</v>
      </c>
      <c r="X1747" t="s">
        <v>44</v>
      </c>
      <c r="Y1747">
        <v>701</v>
      </c>
      <c r="Z1747" t="s">
        <v>44</v>
      </c>
      <c r="AA1747">
        <v>0</v>
      </c>
      <c r="AB1747">
        <v>0</v>
      </c>
      <c r="AC1747">
        <v>0</v>
      </c>
      <c r="AD1747">
        <v>0</v>
      </c>
      <c r="AE1747">
        <v>84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990</v>
      </c>
      <c r="AQ1747">
        <f t="shared" ref="AQ1747:AQ1810" si="63">O1747+P1747+V1747+AA1747</f>
        <v>990</v>
      </c>
      <c r="AR1747" s="5">
        <f>VLOOKUP(F1747,'[2]SCP_24-25'!$A:$D,4,0)</f>
        <v>75.27</v>
      </c>
      <c r="AS1747" s="5">
        <f t="shared" si="62"/>
        <v>74517.3</v>
      </c>
    </row>
    <row r="1748" spans="1:45" x14ac:dyDescent="0.3">
      <c r="A1748" s="1">
        <v>45900.963888888888</v>
      </c>
      <c r="B1748" t="s">
        <v>1473</v>
      </c>
      <c r="C1748" t="s">
        <v>1474</v>
      </c>
      <c r="D1748" t="s">
        <v>181</v>
      </c>
      <c r="F1748" t="s">
        <v>1568</v>
      </c>
      <c r="G1748" t="s">
        <v>182</v>
      </c>
      <c r="H1748" t="s">
        <v>66</v>
      </c>
      <c r="I1748" t="s">
        <v>43</v>
      </c>
      <c r="J1748">
        <v>206</v>
      </c>
      <c r="K1748">
        <v>19</v>
      </c>
      <c r="L1748">
        <v>9.5</v>
      </c>
      <c r="M1748">
        <v>11</v>
      </c>
      <c r="N1748">
        <v>13591</v>
      </c>
      <c r="O1748">
        <v>3</v>
      </c>
      <c r="P1748">
        <v>0</v>
      </c>
      <c r="Q1748">
        <v>79</v>
      </c>
      <c r="R1748">
        <v>482</v>
      </c>
      <c r="S1748" t="s">
        <v>44</v>
      </c>
      <c r="T1748">
        <v>1</v>
      </c>
      <c r="U1748" t="s">
        <v>44</v>
      </c>
      <c r="V1748">
        <v>432</v>
      </c>
      <c r="W1748">
        <v>50</v>
      </c>
      <c r="X1748" t="s">
        <v>44</v>
      </c>
      <c r="Y1748">
        <v>297</v>
      </c>
      <c r="Z1748" t="s">
        <v>44</v>
      </c>
      <c r="AA1748">
        <v>1</v>
      </c>
      <c r="AB1748">
        <v>0</v>
      </c>
      <c r="AC1748">
        <v>0</v>
      </c>
      <c r="AD1748">
        <v>0</v>
      </c>
      <c r="AE1748">
        <v>47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436</v>
      </c>
      <c r="AQ1748">
        <f t="shared" si="63"/>
        <v>436</v>
      </c>
      <c r="AR1748" s="5">
        <f>VLOOKUP(F1748,'[2]SCP_24-25'!$A:$D,4,0)</f>
        <v>61.72</v>
      </c>
      <c r="AS1748" s="5">
        <f t="shared" si="62"/>
        <v>26909.919999999998</v>
      </c>
    </row>
    <row r="1749" spans="1:45" x14ac:dyDescent="0.3">
      <c r="A1749" s="1">
        <v>45900.963888888888</v>
      </c>
      <c r="B1749" t="s">
        <v>1473</v>
      </c>
      <c r="C1749" t="s">
        <v>1474</v>
      </c>
      <c r="D1749" t="s">
        <v>203</v>
      </c>
      <c r="F1749" t="s">
        <v>1578</v>
      </c>
      <c r="G1749" t="s">
        <v>204</v>
      </c>
      <c r="H1749" t="s">
        <v>66</v>
      </c>
      <c r="I1749" t="s">
        <v>43</v>
      </c>
      <c r="J1749">
        <v>37</v>
      </c>
      <c r="K1749">
        <v>19</v>
      </c>
      <c r="L1749">
        <v>9.5</v>
      </c>
      <c r="M1749">
        <v>11</v>
      </c>
      <c r="N1749">
        <v>78935</v>
      </c>
      <c r="O1749">
        <v>17</v>
      </c>
      <c r="P1749">
        <v>0</v>
      </c>
      <c r="Q1749">
        <v>61</v>
      </c>
      <c r="R1749">
        <v>6430</v>
      </c>
      <c r="S1749" t="s">
        <v>44</v>
      </c>
      <c r="T1749" t="s">
        <v>44</v>
      </c>
      <c r="U1749" t="s">
        <v>44</v>
      </c>
      <c r="V1749">
        <v>930</v>
      </c>
      <c r="W1749" t="s">
        <v>44</v>
      </c>
      <c r="X1749" t="s">
        <v>44</v>
      </c>
      <c r="Y1749">
        <v>930</v>
      </c>
      <c r="Z1749" t="s">
        <v>44</v>
      </c>
      <c r="AA1749">
        <v>11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958</v>
      </c>
      <c r="AQ1749">
        <f t="shared" si="63"/>
        <v>958</v>
      </c>
      <c r="AR1749" s="5">
        <f>VLOOKUP(F1749,'[2]SCP_24-25'!$A:$D,4,0)</f>
        <v>19.899999999999999</v>
      </c>
      <c r="AS1749" s="5">
        <f t="shared" si="62"/>
        <v>19064.199999999997</v>
      </c>
    </row>
    <row r="1750" spans="1:45" x14ac:dyDescent="0.3">
      <c r="A1750" s="1">
        <v>45900.963888888888</v>
      </c>
      <c r="B1750" t="s">
        <v>1473</v>
      </c>
      <c r="C1750" t="s">
        <v>1474</v>
      </c>
      <c r="D1750" t="s">
        <v>205</v>
      </c>
      <c r="E1750" t="s">
        <v>206</v>
      </c>
      <c r="F1750" t="s">
        <v>1579</v>
      </c>
      <c r="G1750" t="s">
        <v>207</v>
      </c>
      <c r="H1750" t="s">
        <v>66</v>
      </c>
      <c r="I1750" t="s">
        <v>43</v>
      </c>
      <c r="J1750">
        <v>23</v>
      </c>
      <c r="K1750">
        <v>19</v>
      </c>
      <c r="L1750">
        <v>9.5</v>
      </c>
      <c r="M1750">
        <v>11</v>
      </c>
      <c r="N1750">
        <v>71482</v>
      </c>
      <c r="O1750">
        <v>14</v>
      </c>
      <c r="P1750">
        <v>0</v>
      </c>
      <c r="Q1750" t="s">
        <v>44</v>
      </c>
      <c r="R1750">
        <v>4032</v>
      </c>
      <c r="S1750" t="s">
        <v>44</v>
      </c>
      <c r="T1750" t="s">
        <v>44</v>
      </c>
      <c r="U1750" t="s">
        <v>44</v>
      </c>
      <c r="V1750">
        <v>543</v>
      </c>
      <c r="W1750" t="s">
        <v>44</v>
      </c>
      <c r="X1750" t="s">
        <v>44</v>
      </c>
      <c r="Y1750">
        <v>543</v>
      </c>
      <c r="Z1750" t="s">
        <v>44</v>
      </c>
      <c r="AA1750">
        <v>6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563</v>
      </c>
      <c r="AQ1750">
        <f t="shared" si="63"/>
        <v>563</v>
      </c>
      <c r="AR1750" s="5">
        <f>VLOOKUP(F1750,'[2]SCP_24-25'!$A:$D,4,0)</f>
        <v>16.38</v>
      </c>
      <c r="AS1750" s="5">
        <f t="shared" si="62"/>
        <v>9221.9399999999987</v>
      </c>
    </row>
    <row r="1751" spans="1:45" x14ac:dyDescent="0.3">
      <c r="A1751" s="1">
        <v>45900.963888888888</v>
      </c>
      <c r="B1751" t="s">
        <v>1473</v>
      </c>
      <c r="C1751" t="s">
        <v>1474</v>
      </c>
      <c r="D1751" t="s">
        <v>213</v>
      </c>
      <c r="E1751" t="s">
        <v>214</v>
      </c>
      <c r="F1751" t="s">
        <v>1582</v>
      </c>
      <c r="G1751" t="s">
        <v>215</v>
      </c>
      <c r="H1751" t="s">
        <v>66</v>
      </c>
      <c r="I1751" t="s">
        <v>43</v>
      </c>
      <c r="J1751">
        <v>101</v>
      </c>
      <c r="K1751">
        <v>19</v>
      </c>
      <c r="L1751">
        <v>9.5</v>
      </c>
      <c r="M1751">
        <v>11</v>
      </c>
      <c r="N1751">
        <v>31011</v>
      </c>
      <c r="O1751">
        <v>9</v>
      </c>
      <c r="P1751">
        <v>0</v>
      </c>
      <c r="Q1751">
        <v>45</v>
      </c>
      <c r="R1751">
        <v>56</v>
      </c>
      <c r="S1751" t="s">
        <v>44</v>
      </c>
      <c r="T1751">
        <v>3</v>
      </c>
      <c r="U1751" t="s">
        <v>44</v>
      </c>
      <c r="V1751">
        <v>1008</v>
      </c>
      <c r="W1751">
        <v>24</v>
      </c>
      <c r="X1751" t="s">
        <v>44</v>
      </c>
      <c r="Y1751">
        <v>745</v>
      </c>
      <c r="Z1751" t="s">
        <v>44</v>
      </c>
      <c r="AA1751">
        <v>4</v>
      </c>
      <c r="AB1751">
        <v>0</v>
      </c>
      <c r="AC1751">
        <v>0</v>
      </c>
      <c r="AD1751">
        <v>0</v>
      </c>
      <c r="AE1751">
        <v>82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 s="2">
        <v>1021</v>
      </c>
      <c r="AQ1751">
        <f t="shared" si="63"/>
        <v>1021</v>
      </c>
      <c r="AR1751" s="5">
        <f>VLOOKUP(F1751,'[2]SCP_24-25'!$A:$D,4,0)</f>
        <v>60.46</v>
      </c>
      <c r="AS1751" s="5">
        <f t="shared" si="62"/>
        <v>61729.66</v>
      </c>
    </row>
    <row r="1752" spans="1:45" x14ac:dyDescent="0.3">
      <c r="A1752" s="1">
        <v>45900.963888888888</v>
      </c>
      <c r="B1752" t="s">
        <v>1473</v>
      </c>
      <c r="C1752" t="s">
        <v>1474</v>
      </c>
      <c r="D1752" t="s">
        <v>216</v>
      </c>
      <c r="F1752" t="s">
        <v>1583</v>
      </c>
      <c r="G1752" t="s">
        <v>217</v>
      </c>
      <c r="H1752" t="s">
        <v>66</v>
      </c>
      <c r="I1752" t="s">
        <v>43</v>
      </c>
      <c r="J1752">
        <v>205</v>
      </c>
      <c r="K1752">
        <v>19</v>
      </c>
      <c r="L1752">
        <v>10</v>
      </c>
      <c r="M1752">
        <v>11</v>
      </c>
      <c r="N1752">
        <v>16523</v>
      </c>
      <c r="O1752">
        <v>5</v>
      </c>
      <c r="P1752">
        <v>0</v>
      </c>
      <c r="Q1752">
        <v>47</v>
      </c>
      <c r="R1752">
        <v>8</v>
      </c>
      <c r="S1752" t="s">
        <v>44</v>
      </c>
      <c r="T1752">
        <v>3</v>
      </c>
      <c r="U1752" t="s">
        <v>44</v>
      </c>
      <c r="V1752">
        <v>622</v>
      </c>
      <c r="W1752">
        <v>56</v>
      </c>
      <c r="X1752" t="s">
        <v>44</v>
      </c>
      <c r="Y1752">
        <v>508</v>
      </c>
      <c r="Z1752" t="s">
        <v>44</v>
      </c>
      <c r="AA1752">
        <v>1</v>
      </c>
      <c r="AB1752">
        <v>0</v>
      </c>
      <c r="AC1752">
        <v>0</v>
      </c>
      <c r="AD1752">
        <v>0</v>
      </c>
      <c r="AE1752">
        <v>61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628</v>
      </c>
      <c r="AQ1752">
        <f t="shared" si="63"/>
        <v>628</v>
      </c>
      <c r="AR1752" s="5">
        <f>VLOOKUP(F1752,'[2]SCP_24-25'!$A:$D,4,0)</f>
        <v>61.48</v>
      </c>
      <c r="AS1752" s="5">
        <f t="shared" si="62"/>
        <v>38609.439999999995</v>
      </c>
    </row>
    <row r="1753" spans="1:45" x14ac:dyDescent="0.3">
      <c r="A1753" s="1">
        <v>45900.963888888888</v>
      </c>
      <c r="B1753" t="s">
        <v>1473</v>
      </c>
      <c r="C1753" t="s">
        <v>1474</v>
      </c>
      <c r="D1753" t="s">
        <v>218</v>
      </c>
      <c r="F1753" t="s">
        <v>1584</v>
      </c>
      <c r="G1753" t="s">
        <v>219</v>
      </c>
      <c r="H1753" t="s">
        <v>66</v>
      </c>
      <c r="I1753" t="s">
        <v>43</v>
      </c>
      <c r="J1753">
        <v>133</v>
      </c>
      <c r="K1753">
        <v>19</v>
      </c>
      <c r="L1753">
        <v>10</v>
      </c>
      <c r="M1753">
        <v>11</v>
      </c>
      <c r="N1753">
        <v>17130</v>
      </c>
      <c r="O1753">
        <v>1</v>
      </c>
      <c r="P1753">
        <v>0</v>
      </c>
      <c r="Q1753">
        <v>178</v>
      </c>
      <c r="R1753">
        <v>1</v>
      </c>
      <c r="S1753" t="s">
        <v>44</v>
      </c>
      <c r="T1753">
        <v>2</v>
      </c>
      <c r="U1753" t="s">
        <v>44</v>
      </c>
      <c r="V1753">
        <v>636</v>
      </c>
      <c r="W1753">
        <v>7</v>
      </c>
      <c r="X1753" t="s">
        <v>44</v>
      </c>
      <c r="Y1753">
        <v>607</v>
      </c>
      <c r="Z1753" t="s">
        <v>44</v>
      </c>
      <c r="AA1753">
        <v>1</v>
      </c>
      <c r="AB1753">
        <v>0</v>
      </c>
      <c r="AC1753">
        <v>0</v>
      </c>
      <c r="AD1753">
        <v>0</v>
      </c>
      <c r="AE1753">
        <v>25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638</v>
      </c>
      <c r="AQ1753">
        <f t="shared" si="63"/>
        <v>638</v>
      </c>
      <c r="AR1753" s="5">
        <f>VLOOKUP(F1753,'[2]SCP_24-25'!$A:$D,4,0)</f>
        <v>32.03</v>
      </c>
      <c r="AS1753" s="5">
        <f t="shared" si="62"/>
        <v>20435.14</v>
      </c>
    </row>
    <row r="1754" spans="1:45" x14ac:dyDescent="0.3">
      <c r="A1754" s="1">
        <v>45900.963888888888</v>
      </c>
      <c r="B1754" t="s">
        <v>1473</v>
      </c>
      <c r="C1754" t="s">
        <v>1474</v>
      </c>
      <c r="D1754" t="s">
        <v>226</v>
      </c>
      <c r="F1754" t="s">
        <v>1588</v>
      </c>
      <c r="G1754" t="s">
        <v>227</v>
      </c>
      <c r="H1754" t="s">
        <v>66</v>
      </c>
      <c r="I1754" t="s">
        <v>43</v>
      </c>
      <c r="J1754">
        <v>101</v>
      </c>
      <c r="K1754">
        <v>19</v>
      </c>
      <c r="L1754">
        <v>10</v>
      </c>
      <c r="M1754">
        <v>11</v>
      </c>
      <c r="N1754">
        <v>11256</v>
      </c>
      <c r="O1754">
        <v>2</v>
      </c>
      <c r="P1754">
        <v>0</v>
      </c>
      <c r="Q1754">
        <v>42</v>
      </c>
      <c r="R1754">
        <v>263</v>
      </c>
      <c r="S1754" t="s">
        <v>44</v>
      </c>
      <c r="T1754">
        <v>1</v>
      </c>
      <c r="U1754" t="s">
        <v>44</v>
      </c>
      <c r="V1754">
        <v>659</v>
      </c>
      <c r="W1754">
        <v>64</v>
      </c>
      <c r="X1754" t="s">
        <v>44</v>
      </c>
      <c r="Y1754">
        <v>450</v>
      </c>
      <c r="Z1754" t="s">
        <v>44</v>
      </c>
      <c r="AA1754">
        <v>0</v>
      </c>
      <c r="AB1754">
        <v>0</v>
      </c>
      <c r="AC1754">
        <v>0</v>
      </c>
      <c r="AD1754">
        <v>0</v>
      </c>
      <c r="AE1754">
        <v>73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661</v>
      </c>
      <c r="AQ1754">
        <f t="shared" si="63"/>
        <v>661</v>
      </c>
      <c r="AR1754" s="5">
        <f>VLOOKUP(F1754,'[2]SCP_24-25'!$A:$D,4,0)</f>
        <v>70.2</v>
      </c>
      <c r="AS1754" s="5">
        <f t="shared" si="62"/>
        <v>46402.200000000004</v>
      </c>
    </row>
    <row r="1755" spans="1:45" x14ac:dyDescent="0.3">
      <c r="A1755" s="1">
        <v>45900.963888888888</v>
      </c>
      <c r="B1755" t="s">
        <v>1473</v>
      </c>
      <c r="C1755" t="s">
        <v>1474</v>
      </c>
      <c r="D1755" t="s">
        <v>228</v>
      </c>
      <c r="F1755" t="s">
        <v>1589</v>
      </c>
      <c r="G1755" t="s">
        <v>229</v>
      </c>
      <c r="H1755" t="s">
        <v>66</v>
      </c>
      <c r="I1755" t="s">
        <v>43</v>
      </c>
      <c r="J1755">
        <v>79</v>
      </c>
      <c r="K1755">
        <v>19</v>
      </c>
      <c r="L1755">
        <v>10</v>
      </c>
      <c r="M1755">
        <v>11</v>
      </c>
      <c r="N1755">
        <v>8164</v>
      </c>
      <c r="O1755">
        <v>0</v>
      </c>
      <c r="P1755">
        <v>0</v>
      </c>
      <c r="Q1755">
        <v>15</v>
      </c>
      <c r="R1755">
        <v>2</v>
      </c>
      <c r="S1755" t="s">
        <v>44</v>
      </c>
      <c r="T1755" t="s">
        <v>44</v>
      </c>
      <c r="U1755" t="s">
        <v>44</v>
      </c>
      <c r="V1755">
        <v>322</v>
      </c>
      <c r="W1755">
        <v>19</v>
      </c>
      <c r="X1755" t="s">
        <v>44</v>
      </c>
      <c r="Y1755">
        <v>186</v>
      </c>
      <c r="Z1755" t="s">
        <v>44</v>
      </c>
      <c r="AA1755">
        <v>2</v>
      </c>
      <c r="AB1755">
        <v>0</v>
      </c>
      <c r="AC1755">
        <v>0</v>
      </c>
      <c r="AD1755">
        <v>0</v>
      </c>
      <c r="AE1755">
        <v>40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324</v>
      </c>
      <c r="AQ1755">
        <f t="shared" si="63"/>
        <v>324</v>
      </c>
      <c r="AR1755" s="5">
        <f>VLOOKUP(F1755,'[2]SCP_24-25'!$A:$D,4,0)</f>
        <v>69.61</v>
      </c>
      <c r="AS1755" s="5">
        <f t="shared" si="62"/>
        <v>22553.64</v>
      </c>
    </row>
    <row r="1756" spans="1:45" x14ac:dyDescent="0.3">
      <c r="A1756" s="1">
        <v>45900.963888888888</v>
      </c>
      <c r="B1756" t="s">
        <v>1473</v>
      </c>
      <c r="C1756" t="s">
        <v>1474</v>
      </c>
      <c r="D1756" t="s">
        <v>232</v>
      </c>
      <c r="E1756" t="s">
        <v>233</v>
      </c>
      <c r="F1756" t="s">
        <v>1591</v>
      </c>
      <c r="G1756" t="s">
        <v>234</v>
      </c>
      <c r="H1756" t="s">
        <v>66</v>
      </c>
      <c r="I1756" t="s">
        <v>43</v>
      </c>
      <c r="J1756">
        <v>95</v>
      </c>
      <c r="K1756">
        <v>19</v>
      </c>
      <c r="L1756">
        <v>11</v>
      </c>
      <c r="M1756">
        <v>9.5</v>
      </c>
      <c r="N1756">
        <v>66892</v>
      </c>
      <c r="O1756">
        <v>18</v>
      </c>
      <c r="P1756">
        <v>0</v>
      </c>
      <c r="Q1756">
        <v>51</v>
      </c>
      <c r="R1756">
        <v>105</v>
      </c>
      <c r="S1756" t="s">
        <v>44</v>
      </c>
      <c r="T1756">
        <v>4</v>
      </c>
      <c r="U1756" t="s">
        <v>44</v>
      </c>
      <c r="V1756">
        <v>984</v>
      </c>
      <c r="W1756">
        <v>26</v>
      </c>
      <c r="X1756" t="s">
        <v>44</v>
      </c>
      <c r="Y1756">
        <v>818</v>
      </c>
      <c r="Z1756" t="s">
        <v>44</v>
      </c>
      <c r="AA1756">
        <v>8</v>
      </c>
      <c r="AB1756">
        <v>0</v>
      </c>
      <c r="AC1756">
        <v>0</v>
      </c>
      <c r="AD1756">
        <v>0</v>
      </c>
      <c r="AE1756">
        <v>177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 s="2">
        <v>1010</v>
      </c>
      <c r="AQ1756">
        <f t="shared" si="63"/>
        <v>1010</v>
      </c>
      <c r="AR1756" s="5">
        <f>VLOOKUP(F1756,'[2]SCP_24-25'!$A:$D,4,0)</f>
        <v>70.52</v>
      </c>
      <c r="AS1756" s="5">
        <f t="shared" si="62"/>
        <v>71225.2</v>
      </c>
    </row>
    <row r="1757" spans="1:45" x14ac:dyDescent="0.3">
      <c r="A1757" s="1">
        <v>45900.963888888888</v>
      </c>
      <c r="B1757" t="s">
        <v>1473</v>
      </c>
      <c r="C1757" t="s">
        <v>1474</v>
      </c>
      <c r="D1757" t="s">
        <v>239</v>
      </c>
      <c r="E1757" t="s">
        <v>240</v>
      </c>
      <c r="F1757" t="s">
        <v>1594</v>
      </c>
      <c r="G1757" t="s">
        <v>241</v>
      </c>
      <c r="H1757" t="s">
        <v>66</v>
      </c>
      <c r="I1757" t="s">
        <v>43</v>
      </c>
      <c r="J1757">
        <v>35</v>
      </c>
      <c r="K1757">
        <v>19</v>
      </c>
      <c r="L1757">
        <v>11</v>
      </c>
      <c r="M1757">
        <v>9.5</v>
      </c>
      <c r="N1757">
        <v>12732</v>
      </c>
      <c r="O1757">
        <v>0</v>
      </c>
      <c r="P1757">
        <v>0</v>
      </c>
      <c r="Q1757">
        <v>31</v>
      </c>
      <c r="R1757" t="s">
        <v>44</v>
      </c>
      <c r="S1757" t="s">
        <v>44</v>
      </c>
      <c r="T1757">
        <v>3</v>
      </c>
      <c r="U1757" t="s">
        <v>44</v>
      </c>
      <c r="V1757">
        <v>713</v>
      </c>
      <c r="W1757">
        <v>8</v>
      </c>
      <c r="X1757" t="s">
        <v>44</v>
      </c>
      <c r="Y1757">
        <v>577</v>
      </c>
      <c r="Z1757" t="s">
        <v>44</v>
      </c>
      <c r="AA1757">
        <v>0</v>
      </c>
      <c r="AB1757">
        <v>0</v>
      </c>
      <c r="AC1757">
        <v>0</v>
      </c>
      <c r="AD1757">
        <v>0</v>
      </c>
      <c r="AE1757">
        <v>11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713</v>
      </c>
      <c r="AQ1757">
        <f t="shared" si="63"/>
        <v>713</v>
      </c>
      <c r="AR1757" s="5">
        <f>VLOOKUP(F1757,'[2]SCP_24-25'!$A:$D,4,0)</f>
        <v>31.31</v>
      </c>
      <c r="AS1757" s="5">
        <f t="shared" si="62"/>
        <v>22324.03</v>
      </c>
    </row>
    <row r="1758" spans="1:45" x14ac:dyDescent="0.3">
      <c r="A1758" s="1">
        <v>45900.963888888888</v>
      </c>
      <c r="B1758" t="s">
        <v>1473</v>
      </c>
      <c r="C1758" t="s">
        <v>1474</v>
      </c>
      <c r="D1758" t="s">
        <v>248</v>
      </c>
      <c r="E1758" t="s">
        <v>249</v>
      </c>
      <c r="F1758" t="s">
        <v>1597</v>
      </c>
      <c r="G1758" t="s">
        <v>250</v>
      </c>
      <c r="H1758" t="s">
        <v>66</v>
      </c>
      <c r="I1758" t="s">
        <v>43</v>
      </c>
      <c r="J1758">
        <v>35</v>
      </c>
      <c r="K1758">
        <v>19</v>
      </c>
      <c r="L1758">
        <v>11</v>
      </c>
      <c r="M1758">
        <v>9.5</v>
      </c>
      <c r="N1758">
        <v>6152</v>
      </c>
      <c r="O1758">
        <v>0</v>
      </c>
      <c r="P1758">
        <v>0</v>
      </c>
      <c r="Q1758">
        <v>7</v>
      </c>
      <c r="R1758">
        <v>4</v>
      </c>
      <c r="S1758" t="s">
        <v>44</v>
      </c>
      <c r="T1758" t="s">
        <v>44</v>
      </c>
      <c r="U1758" t="s">
        <v>44</v>
      </c>
      <c r="V1758">
        <v>601</v>
      </c>
      <c r="W1758">
        <v>5</v>
      </c>
      <c r="X1758" t="s">
        <v>44</v>
      </c>
      <c r="Y1758">
        <v>522</v>
      </c>
      <c r="Z1758" t="s">
        <v>44</v>
      </c>
      <c r="AA1758">
        <v>0</v>
      </c>
      <c r="AB1758">
        <v>0</v>
      </c>
      <c r="AC1758">
        <v>0</v>
      </c>
      <c r="AD1758">
        <v>0</v>
      </c>
      <c r="AE1758">
        <v>11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601</v>
      </c>
      <c r="AQ1758">
        <f t="shared" si="63"/>
        <v>601</v>
      </c>
      <c r="AR1758" s="5">
        <f>VLOOKUP(F1758,'[2]SCP_24-25'!$A:$D,4,0)</f>
        <v>26.914999999999996</v>
      </c>
      <c r="AS1758" s="5">
        <f t="shared" si="62"/>
        <v>16175.914999999997</v>
      </c>
    </row>
    <row r="1759" spans="1:45" x14ac:dyDescent="0.3">
      <c r="A1759" s="1">
        <v>45900.963888888888</v>
      </c>
      <c r="B1759" t="s">
        <v>1473</v>
      </c>
      <c r="C1759" t="s">
        <v>1474</v>
      </c>
      <c r="D1759" t="s">
        <v>251</v>
      </c>
      <c r="E1759" t="s">
        <v>252</v>
      </c>
      <c r="F1759" t="s">
        <v>1598</v>
      </c>
      <c r="G1759" t="s">
        <v>253</v>
      </c>
      <c r="H1759" t="s">
        <v>66</v>
      </c>
      <c r="I1759" t="s">
        <v>43</v>
      </c>
      <c r="J1759">
        <v>35</v>
      </c>
      <c r="K1759">
        <v>19</v>
      </c>
      <c r="L1759">
        <v>11</v>
      </c>
      <c r="M1759">
        <v>9.5</v>
      </c>
      <c r="N1759">
        <v>6617</v>
      </c>
      <c r="O1759">
        <v>2</v>
      </c>
      <c r="P1759">
        <v>0</v>
      </c>
      <c r="Q1759">
        <v>16</v>
      </c>
      <c r="R1759">
        <v>102</v>
      </c>
      <c r="S1759" t="s">
        <v>44</v>
      </c>
      <c r="T1759" t="s">
        <v>44</v>
      </c>
      <c r="U1759" t="s">
        <v>44</v>
      </c>
      <c r="V1759">
        <v>343</v>
      </c>
      <c r="W1759" t="s">
        <v>44</v>
      </c>
      <c r="X1759" t="s">
        <v>44</v>
      </c>
      <c r="Y1759">
        <v>343</v>
      </c>
      <c r="Z1759" t="s">
        <v>44</v>
      </c>
      <c r="AA1759">
        <v>0</v>
      </c>
      <c r="AB1759">
        <v>0</v>
      </c>
      <c r="AC1759">
        <v>0</v>
      </c>
      <c r="AD1759">
        <v>0</v>
      </c>
      <c r="AE1759">
        <v>319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345</v>
      </c>
      <c r="AQ1759">
        <f t="shared" si="63"/>
        <v>345</v>
      </c>
      <c r="AR1759" s="5">
        <f>VLOOKUP(F1759,'[2]SCP_24-25'!$A:$D,4,0)</f>
        <v>28.82</v>
      </c>
      <c r="AS1759" s="5">
        <f t="shared" si="62"/>
        <v>9942.9</v>
      </c>
    </row>
    <row r="1760" spans="1:45" x14ac:dyDescent="0.3">
      <c r="A1760" s="1">
        <v>45900.963888888888</v>
      </c>
      <c r="B1760" t="s">
        <v>1473</v>
      </c>
      <c r="C1760" t="s">
        <v>1474</v>
      </c>
      <c r="D1760" t="s">
        <v>257</v>
      </c>
      <c r="E1760" t="s">
        <v>258</v>
      </c>
      <c r="F1760" t="s">
        <v>1600</v>
      </c>
      <c r="G1760" t="s">
        <v>259</v>
      </c>
      <c r="H1760" t="s">
        <v>66</v>
      </c>
      <c r="I1760" t="s">
        <v>43</v>
      </c>
      <c r="J1760">
        <v>200</v>
      </c>
      <c r="K1760">
        <v>19</v>
      </c>
      <c r="L1760">
        <v>11</v>
      </c>
      <c r="M1760">
        <v>9.5</v>
      </c>
      <c r="N1760">
        <v>9543</v>
      </c>
      <c r="O1760">
        <v>1</v>
      </c>
      <c r="P1760">
        <v>0</v>
      </c>
      <c r="Q1760">
        <v>16</v>
      </c>
      <c r="R1760">
        <v>448</v>
      </c>
      <c r="S1760" t="s">
        <v>44</v>
      </c>
      <c r="T1760">
        <v>5</v>
      </c>
      <c r="U1760" t="s">
        <v>44</v>
      </c>
      <c r="V1760">
        <v>365</v>
      </c>
      <c r="W1760">
        <v>7</v>
      </c>
      <c r="X1760" t="s">
        <v>44</v>
      </c>
      <c r="Y1760">
        <v>341</v>
      </c>
      <c r="Z1760" t="s">
        <v>44</v>
      </c>
      <c r="AA1760">
        <v>0</v>
      </c>
      <c r="AB1760">
        <v>0</v>
      </c>
      <c r="AC1760">
        <v>0</v>
      </c>
      <c r="AD1760">
        <v>0</v>
      </c>
      <c r="AE1760">
        <v>37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366</v>
      </c>
      <c r="AQ1760">
        <f t="shared" si="63"/>
        <v>366</v>
      </c>
      <c r="AR1760" s="5">
        <f>VLOOKUP(F1760,'[2]SCP_24-25'!$A:$D,4,0)</f>
        <v>62.99</v>
      </c>
      <c r="AS1760" s="5">
        <f t="shared" si="62"/>
        <v>23054.34</v>
      </c>
    </row>
    <row r="1761" spans="1:45" x14ac:dyDescent="0.3">
      <c r="A1761" s="1">
        <v>45900.963888888888</v>
      </c>
      <c r="B1761" t="s">
        <v>1473</v>
      </c>
      <c r="C1761" t="s">
        <v>1474</v>
      </c>
      <c r="D1761" t="s">
        <v>274</v>
      </c>
      <c r="E1761" t="s">
        <v>275</v>
      </c>
      <c r="F1761" t="s">
        <v>1606</v>
      </c>
      <c r="G1761" t="s">
        <v>276</v>
      </c>
      <c r="H1761" t="s">
        <v>103</v>
      </c>
      <c r="I1761" t="s">
        <v>43</v>
      </c>
      <c r="J1761">
        <v>238.02</v>
      </c>
      <c r="K1761">
        <v>19</v>
      </c>
      <c r="L1761">
        <v>9.5</v>
      </c>
      <c r="M1761">
        <v>11</v>
      </c>
      <c r="N1761">
        <v>170902</v>
      </c>
      <c r="O1761">
        <v>0</v>
      </c>
      <c r="P1761">
        <v>0</v>
      </c>
      <c r="Q1761">
        <v>138</v>
      </c>
      <c r="R1761">
        <v>145</v>
      </c>
      <c r="S1761" t="s">
        <v>44</v>
      </c>
      <c r="T1761">
        <v>146</v>
      </c>
      <c r="U1761" t="s">
        <v>44</v>
      </c>
      <c r="V1761">
        <v>807</v>
      </c>
      <c r="W1761">
        <v>2</v>
      </c>
      <c r="X1761" t="s">
        <v>44</v>
      </c>
      <c r="Y1761">
        <v>807</v>
      </c>
      <c r="Z1761">
        <v>3</v>
      </c>
      <c r="AA1761">
        <v>40</v>
      </c>
      <c r="AB1761">
        <v>33</v>
      </c>
      <c r="AC1761">
        <v>0</v>
      </c>
      <c r="AD1761">
        <v>0</v>
      </c>
      <c r="AE1761">
        <v>0</v>
      </c>
      <c r="AF1761">
        <v>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807</v>
      </c>
      <c r="AP1761">
        <v>847</v>
      </c>
      <c r="AQ1761">
        <f t="shared" si="63"/>
        <v>847</v>
      </c>
      <c r="AR1761" s="5">
        <f>VLOOKUP(F1761,'[2]SCP_24-25'!$A:$D,4,0)</f>
        <v>82.6</v>
      </c>
      <c r="AS1761" s="5">
        <f t="shared" si="62"/>
        <v>69962.2</v>
      </c>
    </row>
    <row r="1762" spans="1:45" x14ac:dyDescent="0.3">
      <c r="A1762" s="1">
        <v>45900.963888888888</v>
      </c>
      <c r="B1762" t="s">
        <v>1473</v>
      </c>
      <c r="C1762" t="s">
        <v>1474</v>
      </c>
      <c r="D1762" t="s">
        <v>286</v>
      </c>
      <c r="E1762" t="s">
        <v>287</v>
      </c>
      <c r="F1762" t="s">
        <v>1610</v>
      </c>
      <c r="G1762" t="s">
        <v>288</v>
      </c>
      <c r="H1762" t="s">
        <v>66</v>
      </c>
      <c r="I1762" t="s">
        <v>43</v>
      </c>
      <c r="J1762">
        <v>122.02</v>
      </c>
      <c r="K1762">
        <v>19</v>
      </c>
      <c r="L1762">
        <v>9.5</v>
      </c>
      <c r="M1762">
        <v>11</v>
      </c>
      <c r="N1762">
        <v>7361</v>
      </c>
      <c r="O1762">
        <v>0</v>
      </c>
      <c r="P1762">
        <v>0</v>
      </c>
      <c r="Q1762">
        <v>26</v>
      </c>
      <c r="R1762">
        <v>27</v>
      </c>
      <c r="S1762" t="s">
        <v>44</v>
      </c>
      <c r="T1762">
        <v>20</v>
      </c>
      <c r="U1762" t="s">
        <v>44</v>
      </c>
      <c r="V1762">
        <v>413</v>
      </c>
      <c r="W1762">
        <v>30</v>
      </c>
      <c r="X1762" t="s">
        <v>44</v>
      </c>
      <c r="Y1762">
        <v>148</v>
      </c>
      <c r="Z1762" t="s">
        <v>44</v>
      </c>
      <c r="AA1762">
        <v>0</v>
      </c>
      <c r="AB1762">
        <v>0</v>
      </c>
      <c r="AC1762">
        <v>0</v>
      </c>
      <c r="AD1762">
        <v>0</v>
      </c>
      <c r="AE1762">
        <v>38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413</v>
      </c>
      <c r="AQ1762">
        <f t="shared" si="63"/>
        <v>413</v>
      </c>
      <c r="AR1762" s="5">
        <f>VLOOKUP(F1762,'[2]SCP_24-25'!$A:$D,4,0)</f>
        <v>79.260000000000005</v>
      </c>
      <c r="AS1762" s="5">
        <f t="shared" si="62"/>
        <v>32734.38</v>
      </c>
    </row>
    <row r="1763" spans="1:45" x14ac:dyDescent="0.3">
      <c r="A1763" s="1">
        <v>45900.963888888888</v>
      </c>
      <c r="B1763" t="s">
        <v>1473</v>
      </c>
      <c r="C1763" t="s">
        <v>1474</v>
      </c>
      <c r="D1763" t="s">
        <v>289</v>
      </c>
      <c r="E1763" t="s">
        <v>290</v>
      </c>
      <c r="F1763" t="s">
        <v>1611</v>
      </c>
      <c r="G1763" t="s">
        <v>291</v>
      </c>
      <c r="H1763" t="s">
        <v>103</v>
      </c>
      <c r="I1763" t="s">
        <v>43</v>
      </c>
      <c r="J1763">
        <v>138.99</v>
      </c>
      <c r="K1763">
        <v>19</v>
      </c>
      <c r="L1763">
        <v>9.5</v>
      </c>
      <c r="M1763">
        <v>11</v>
      </c>
      <c r="N1763">
        <v>6740</v>
      </c>
      <c r="O1763">
        <v>1</v>
      </c>
      <c r="P1763">
        <v>0</v>
      </c>
      <c r="Q1763">
        <v>69</v>
      </c>
      <c r="R1763">
        <v>74</v>
      </c>
      <c r="S1763" t="s">
        <v>44</v>
      </c>
      <c r="T1763">
        <v>25</v>
      </c>
      <c r="U1763" t="s">
        <v>44</v>
      </c>
      <c r="V1763">
        <v>334</v>
      </c>
      <c r="W1763">
        <v>99</v>
      </c>
      <c r="X1763" t="s">
        <v>44</v>
      </c>
      <c r="Y1763">
        <v>196</v>
      </c>
      <c r="Z1763" t="s">
        <v>44</v>
      </c>
      <c r="AA1763">
        <v>0</v>
      </c>
      <c r="AB1763">
        <v>0</v>
      </c>
      <c r="AC1763">
        <v>0</v>
      </c>
      <c r="AD1763">
        <v>0</v>
      </c>
      <c r="AE1763">
        <v>36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335</v>
      </c>
      <c r="AQ1763">
        <f t="shared" si="63"/>
        <v>335</v>
      </c>
      <c r="AR1763" s="5">
        <f>VLOOKUP(F1763,'[2]SCP_24-25'!$A:$D,4,0)</f>
        <v>99.63</v>
      </c>
      <c r="AS1763" s="5">
        <f t="shared" si="62"/>
        <v>33376.049999999996</v>
      </c>
    </row>
    <row r="1764" spans="1:45" x14ac:dyDescent="0.3">
      <c r="A1764" s="1">
        <v>45900.963888888888</v>
      </c>
      <c r="B1764" t="s">
        <v>1473</v>
      </c>
      <c r="C1764" t="s">
        <v>1474</v>
      </c>
      <c r="D1764" t="s">
        <v>295</v>
      </c>
      <c r="F1764" t="s">
        <v>1613</v>
      </c>
      <c r="G1764" t="s">
        <v>296</v>
      </c>
      <c r="H1764" t="s">
        <v>103</v>
      </c>
      <c r="I1764" t="s">
        <v>43</v>
      </c>
      <c r="J1764">
        <v>150</v>
      </c>
      <c r="K1764">
        <v>19</v>
      </c>
      <c r="L1764">
        <v>9.5</v>
      </c>
      <c r="M1764">
        <v>11</v>
      </c>
      <c r="N1764">
        <v>9301</v>
      </c>
      <c r="O1764">
        <v>4</v>
      </c>
      <c r="P1764">
        <v>0</v>
      </c>
      <c r="Q1764">
        <v>64</v>
      </c>
      <c r="R1764" t="s">
        <v>44</v>
      </c>
      <c r="S1764" t="s">
        <v>44</v>
      </c>
      <c r="T1764" t="s">
        <v>44</v>
      </c>
      <c r="U1764" t="s">
        <v>44</v>
      </c>
      <c r="V1764">
        <v>862</v>
      </c>
      <c r="W1764">
        <v>27</v>
      </c>
      <c r="X1764" t="s">
        <v>44</v>
      </c>
      <c r="Y1764">
        <v>531</v>
      </c>
      <c r="Z1764" t="s">
        <v>44</v>
      </c>
      <c r="AA1764">
        <v>1</v>
      </c>
      <c r="AB1764">
        <v>0</v>
      </c>
      <c r="AC1764">
        <v>0</v>
      </c>
      <c r="AD1764">
        <v>0</v>
      </c>
      <c r="AE1764">
        <v>6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867</v>
      </c>
      <c r="AQ1764">
        <f t="shared" si="63"/>
        <v>867</v>
      </c>
      <c r="AR1764" s="5">
        <f>VLOOKUP(F1764,'[2]SCP_24-25'!$A:$D,4,0)</f>
        <v>45.01</v>
      </c>
      <c r="AS1764" s="5">
        <f t="shared" si="62"/>
        <v>39023.67</v>
      </c>
    </row>
    <row r="1765" spans="1:45" x14ac:dyDescent="0.3">
      <c r="A1765" s="1">
        <v>45900.963888888888</v>
      </c>
      <c r="B1765" t="s">
        <v>1473</v>
      </c>
      <c r="C1765" t="s">
        <v>1474</v>
      </c>
      <c r="D1765" t="s">
        <v>299</v>
      </c>
      <c r="F1765" t="s">
        <v>1615</v>
      </c>
      <c r="G1765" t="s">
        <v>300</v>
      </c>
      <c r="H1765" t="s">
        <v>66</v>
      </c>
      <c r="I1765" t="s">
        <v>43</v>
      </c>
      <c r="J1765">
        <v>30</v>
      </c>
      <c r="K1765">
        <v>19</v>
      </c>
      <c r="L1765">
        <v>9.5</v>
      </c>
      <c r="M1765">
        <v>11</v>
      </c>
      <c r="N1765">
        <v>8109</v>
      </c>
      <c r="O1765">
        <v>3</v>
      </c>
      <c r="P1765">
        <v>0</v>
      </c>
      <c r="Q1765">
        <v>3</v>
      </c>
      <c r="R1765">
        <v>11</v>
      </c>
      <c r="S1765" t="s">
        <v>44</v>
      </c>
      <c r="T1765" t="s">
        <v>44</v>
      </c>
      <c r="U1765" t="s">
        <v>44</v>
      </c>
      <c r="V1765">
        <v>131</v>
      </c>
      <c r="W1765" t="s">
        <v>44</v>
      </c>
      <c r="X1765" t="s">
        <v>44</v>
      </c>
      <c r="Y1765">
        <v>121</v>
      </c>
      <c r="Z1765" t="s">
        <v>44</v>
      </c>
      <c r="AA1765">
        <v>1</v>
      </c>
      <c r="AB1765">
        <v>0</v>
      </c>
      <c r="AC1765">
        <v>0</v>
      </c>
      <c r="AD1765">
        <v>0</v>
      </c>
      <c r="AE1765">
        <v>8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135</v>
      </c>
      <c r="AQ1765">
        <f t="shared" si="63"/>
        <v>135</v>
      </c>
      <c r="AR1765" s="5">
        <f>VLOOKUP(F1765,'[2]SCP_24-25'!$A:$D,4,0)</f>
        <v>25.930000000000003</v>
      </c>
      <c r="AS1765" s="5">
        <f t="shared" si="62"/>
        <v>3500.5500000000006</v>
      </c>
    </row>
    <row r="1766" spans="1:45" x14ac:dyDescent="0.3">
      <c r="A1766" s="1">
        <v>45900.963888888888</v>
      </c>
      <c r="B1766" t="s">
        <v>1473</v>
      </c>
      <c r="C1766" t="s">
        <v>1474</v>
      </c>
      <c r="D1766" t="s">
        <v>308</v>
      </c>
      <c r="E1766" t="s">
        <v>309</v>
      </c>
      <c r="F1766" t="s">
        <v>1619</v>
      </c>
      <c r="G1766" t="s">
        <v>310</v>
      </c>
      <c r="H1766" t="s">
        <v>66</v>
      </c>
      <c r="I1766" t="s">
        <v>43</v>
      </c>
      <c r="J1766">
        <v>120</v>
      </c>
      <c r="K1766">
        <v>19</v>
      </c>
      <c r="L1766">
        <v>11</v>
      </c>
      <c r="M1766">
        <v>9.5</v>
      </c>
      <c r="N1766">
        <v>17570</v>
      </c>
      <c r="O1766">
        <v>1</v>
      </c>
      <c r="P1766">
        <v>0</v>
      </c>
      <c r="Q1766">
        <v>160</v>
      </c>
      <c r="R1766">
        <v>7</v>
      </c>
      <c r="S1766" t="s">
        <v>44</v>
      </c>
      <c r="T1766">
        <v>2</v>
      </c>
      <c r="U1766" t="s">
        <v>44</v>
      </c>
      <c r="V1766">
        <v>774</v>
      </c>
      <c r="W1766">
        <v>21</v>
      </c>
      <c r="X1766" t="s">
        <v>44</v>
      </c>
      <c r="Y1766">
        <v>678</v>
      </c>
      <c r="Z1766" t="s">
        <v>44</v>
      </c>
      <c r="AA1766">
        <v>0</v>
      </c>
      <c r="AB1766">
        <v>0</v>
      </c>
      <c r="AC1766">
        <v>0</v>
      </c>
      <c r="AD1766">
        <v>0</v>
      </c>
      <c r="AE1766">
        <v>66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775</v>
      </c>
      <c r="AQ1766">
        <f t="shared" si="63"/>
        <v>775</v>
      </c>
      <c r="AR1766" s="5">
        <f>VLOOKUP(F1766,'[2]SCP_24-25'!$A:$D,4,0)</f>
        <v>43.38</v>
      </c>
      <c r="AS1766" s="5">
        <f t="shared" si="62"/>
        <v>33619.5</v>
      </c>
    </row>
    <row r="1767" spans="1:45" x14ac:dyDescent="0.3">
      <c r="A1767" s="1">
        <v>45900.963888888888</v>
      </c>
      <c r="B1767" t="s">
        <v>1473</v>
      </c>
      <c r="C1767" t="s">
        <v>1474</v>
      </c>
      <c r="D1767" t="s">
        <v>317</v>
      </c>
      <c r="E1767" t="s">
        <v>318</v>
      </c>
      <c r="F1767" t="s">
        <v>1622</v>
      </c>
      <c r="G1767" t="s">
        <v>319</v>
      </c>
      <c r="H1767" t="s">
        <v>66</v>
      </c>
      <c r="I1767" t="s">
        <v>43</v>
      </c>
      <c r="J1767">
        <v>170</v>
      </c>
      <c r="K1767">
        <v>19</v>
      </c>
      <c r="L1767">
        <v>11</v>
      </c>
      <c r="M1767">
        <v>9.5</v>
      </c>
      <c r="N1767">
        <v>11469</v>
      </c>
      <c r="O1767">
        <v>3</v>
      </c>
      <c r="P1767">
        <v>0</v>
      </c>
      <c r="Q1767">
        <v>17</v>
      </c>
      <c r="R1767">
        <v>1</v>
      </c>
      <c r="S1767" t="s">
        <v>44</v>
      </c>
      <c r="T1767">
        <v>1</v>
      </c>
      <c r="U1767" t="s">
        <v>44</v>
      </c>
      <c r="V1767">
        <v>751</v>
      </c>
      <c r="W1767">
        <v>6</v>
      </c>
      <c r="X1767" t="s">
        <v>44</v>
      </c>
      <c r="Y1767">
        <v>724</v>
      </c>
      <c r="Z1767" t="s">
        <v>44</v>
      </c>
      <c r="AA1767">
        <v>1</v>
      </c>
      <c r="AB1767">
        <v>0</v>
      </c>
      <c r="AC1767">
        <v>0</v>
      </c>
      <c r="AD1767">
        <v>0</v>
      </c>
      <c r="AE1767">
        <v>2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755</v>
      </c>
      <c r="AQ1767">
        <f t="shared" si="63"/>
        <v>755</v>
      </c>
      <c r="AR1767" s="5">
        <f>VLOOKUP(F1767,'[2]SCP_24-25'!$A:$D,4,0)</f>
        <v>67.69</v>
      </c>
      <c r="AS1767" s="5">
        <f t="shared" si="62"/>
        <v>51105.95</v>
      </c>
    </row>
    <row r="1768" spans="1:45" x14ac:dyDescent="0.3">
      <c r="A1768" s="1">
        <v>45900.963888888888</v>
      </c>
      <c r="B1768" t="s">
        <v>1473</v>
      </c>
      <c r="C1768" t="s">
        <v>1474</v>
      </c>
      <c r="D1768" t="s">
        <v>1302</v>
      </c>
      <c r="E1768" t="s">
        <v>1303</v>
      </c>
      <c r="F1768" t="s">
        <v>2103</v>
      </c>
      <c r="G1768" t="s">
        <v>1304</v>
      </c>
      <c r="H1768" t="s">
        <v>66</v>
      </c>
      <c r="I1768" t="s">
        <v>43</v>
      </c>
      <c r="J1768">
        <v>10</v>
      </c>
      <c r="K1768">
        <v>19</v>
      </c>
      <c r="L1768">
        <v>11</v>
      </c>
      <c r="M1768">
        <v>9.5</v>
      </c>
      <c r="N1768">
        <v>34874</v>
      </c>
      <c r="O1768">
        <v>0</v>
      </c>
      <c r="P1768">
        <v>0</v>
      </c>
      <c r="Q1768" t="s">
        <v>44</v>
      </c>
      <c r="R1768">
        <v>1008</v>
      </c>
      <c r="S1768">
        <v>1</v>
      </c>
      <c r="T1768" t="s">
        <v>44</v>
      </c>
      <c r="U1768" t="s">
        <v>44</v>
      </c>
      <c r="V1768">
        <v>871</v>
      </c>
      <c r="W1768" t="s">
        <v>44</v>
      </c>
      <c r="X1768" t="s">
        <v>44</v>
      </c>
      <c r="Y1768">
        <v>869</v>
      </c>
      <c r="Z1768" t="s">
        <v>44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871</v>
      </c>
      <c r="AQ1768">
        <f t="shared" si="63"/>
        <v>871</v>
      </c>
      <c r="AR1768" s="5">
        <f>VLOOKUP(F1768,'[2]SCP_24-25'!$A:$D,4,0)</f>
        <v>18.22</v>
      </c>
      <c r="AS1768" s="5">
        <f t="shared" si="62"/>
        <v>15869.619999999999</v>
      </c>
    </row>
    <row r="1769" spans="1:45" x14ac:dyDescent="0.3">
      <c r="A1769" s="1">
        <v>45900.963888888888</v>
      </c>
      <c r="B1769" t="s">
        <v>1473</v>
      </c>
      <c r="C1769" t="s">
        <v>1474</v>
      </c>
      <c r="D1769" t="s">
        <v>39</v>
      </c>
      <c r="E1769" t="s">
        <v>40</v>
      </c>
      <c r="F1769" t="s">
        <v>1513</v>
      </c>
      <c r="G1769" t="s">
        <v>41</v>
      </c>
      <c r="H1769" t="s">
        <v>42</v>
      </c>
      <c r="I1769" t="s">
        <v>43</v>
      </c>
      <c r="J1769">
        <v>180</v>
      </c>
      <c r="K1769">
        <v>19</v>
      </c>
      <c r="L1769">
        <v>9.5</v>
      </c>
      <c r="M1769">
        <v>11</v>
      </c>
      <c r="N1769">
        <v>10396</v>
      </c>
      <c r="O1769">
        <v>0</v>
      </c>
      <c r="P1769">
        <v>0</v>
      </c>
      <c r="Q1769">
        <v>152</v>
      </c>
      <c r="R1769">
        <v>1007</v>
      </c>
      <c r="S1769" t="s">
        <v>44</v>
      </c>
      <c r="T1769" t="s">
        <v>44</v>
      </c>
      <c r="U1769" t="s">
        <v>44</v>
      </c>
      <c r="V1769">
        <v>113</v>
      </c>
      <c r="W1769">
        <v>1</v>
      </c>
      <c r="X1769" t="s">
        <v>44</v>
      </c>
      <c r="Y1769">
        <v>107</v>
      </c>
      <c r="Z1769" t="s">
        <v>44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114</v>
      </c>
      <c r="AQ1769">
        <f t="shared" si="63"/>
        <v>114</v>
      </c>
      <c r="AR1769" s="5">
        <f>VLOOKUP(F1769,'[2]SCP_24-25'!$A:$D,4,0)</f>
        <v>61.93</v>
      </c>
      <c r="AS1769" s="5">
        <f t="shared" si="62"/>
        <v>7060.0199999999995</v>
      </c>
    </row>
    <row r="1770" spans="1:45" x14ac:dyDescent="0.3">
      <c r="A1770" s="1">
        <v>45900.963888888888</v>
      </c>
      <c r="B1770" t="s">
        <v>1473</v>
      </c>
      <c r="C1770" t="s">
        <v>1474</v>
      </c>
      <c r="D1770" t="s">
        <v>48</v>
      </c>
      <c r="E1770" t="s">
        <v>49</v>
      </c>
      <c r="F1770" t="s">
        <v>1515</v>
      </c>
      <c r="G1770" t="s">
        <v>50</v>
      </c>
      <c r="H1770" t="s">
        <v>42</v>
      </c>
      <c r="I1770" t="s">
        <v>43</v>
      </c>
      <c r="J1770">
        <v>180</v>
      </c>
      <c r="K1770">
        <v>19</v>
      </c>
      <c r="L1770">
        <v>9.5</v>
      </c>
      <c r="M1770">
        <v>11</v>
      </c>
      <c r="N1770">
        <v>8689</v>
      </c>
      <c r="O1770">
        <v>0</v>
      </c>
      <c r="P1770">
        <v>0</v>
      </c>
      <c r="Q1770">
        <v>37</v>
      </c>
      <c r="R1770">
        <v>482</v>
      </c>
      <c r="S1770" t="s">
        <v>44</v>
      </c>
      <c r="T1770" t="s">
        <v>44</v>
      </c>
      <c r="U1770" t="s">
        <v>44</v>
      </c>
      <c r="V1770">
        <v>312</v>
      </c>
      <c r="W1770">
        <v>351</v>
      </c>
      <c r="X1770" t="s">
        <v>44</v>
      </c>
      <c r="Y1770">
        <v>312</v>
      </c>
      <c r="Z1770" t="s">
        <v>44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312</v>
      </c>
      <c r="AQ1770">
        <f t="shared" si="63"/>
        <v>312</v>
      </c>
      <c r="AR1770" s="5">
        <f>VLOOKUP(F1770,'[2]SCP_24-25'!$A:$D,4,0)</f>
        <v>57</v>
      </c>
      <c r="AS1770" s="5">
        <f t="shared" si="62"/>
        <v>17784</v>
      </c>
    </row>
    <row r="1771" spans="1:45" x14ac:dyDescent="0.3">
      <c r="A1771" s="1">
        <v>45900.963888888888</v>
      </c>
      <c r="B1771" t="s">
        <v>1473</v>
      </c>
      <c r="C1771" t="s">
        <v>1474</v>
      </c>
      <c r="D1771" t="s">
        <v>54</v>
      </c>
      <c r="E1771" t="s">
        <v>55</v>
      </c>
      <c r="F1771" t="s">
        <v>1517</v>
      </c>
      <c r="G1771" t="s">
        <v>56</v>
      </c>
      <c r="H1771" t="s">
        <v>42</v>
      </c>
      <c r="I1771" t="s">
        <v>43</v>
      </c>
      <c r="J1771">
        <v>200</v>
      </c>
      <c r="K1771">
        <v>19</v>
      </c>
      <c r="L1771">
        <v>9.5</v>
      </c>
      <c r="M1771">
        <v>11</v>
      </c>
      <c r="N1771">
        <v>11469</v>
      </c>
      <c r="O1771">
        <v>1</v>
      </c>
      <c r="P1771">
        <v>0</v>
      </c>
      <c r="Q1771">
        <v>56</v>
      </c>
      <c r="R1771">
        <v>89</v>
      </c>
      <c r="S1771" t="s">
        <v>44</v>
      </c>
      <c r="T1771">
        <v>5</v>
      </c>
      <c r="U1771" t="s">
        <v>44</v>
      </c>
      <c r="V1771">
        <v>376</v>
      </c>
      <c r="W1771">
        <v>14</v>
      </c>
      <c r="X1771" t="s">
        <v>44</v>
      </c>
      <c r="Y1771">
        <v>376</v>
      </c>
      <c r="Z1771" t="s">
        <v>44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378</v>
      </c>
      <c r="AQ1771">
        <f t="shared" si="63"/>
        <v>378</v>
      </c>
      <c r="AR1771" s="5">
        <f>VLOOKUP(F1771,'[2]SCP_24-25'!$A:$D,4,0)</f>
        <v>116.69999999999999</v>
      </c>
      <c r="AS1771" s="5">
        <f t="shared" si="62"/>
        <v>44112.6</v>
      </c>
    </row>
    <row r="1772" spans="1:45" x14ac:dyDescent="0.3">
      <c r="A1772" s="1">
        <v>45900.963888888888</v>
      </c>
      <c r="B1772" t="s">
        <v>1473</v>
      </c>
      <c r="C1772" t="s">
        <v>1474</v>
      </c>
      <c r="D1772" t="s">
        <v>70</v>
      </c>
      <c r="E1772" t="s">
        <v>71</v>
      </c>
      <c r="F1772" t="s">
        <v>1522</v>
      </c>
      <c r="G1772" t="s">
        <v>72</v>
      </c>
      <c r="H1772" t="s">
        <v>66</v>
      </c>
      <c r="I1772" t="s">
        <v>43</v>
      </c>
      <c r="J1772">
        <v>150</v>
      </c>
      <c r="K1772">
        <v>19</v>
      </c>
      <c r="L1772">
        <v>9.5</v>
      </c>
      <c r="M1772">
        <v>11</v>
      </c>
      <c r="N1772">
        <v>18791</v>
      </c>
      <c r="O1772">
        <v>2</v>
      </c>
      <c r="P1772">
        <v>0</v>
      </c>
      <c r="Q1772">
        <v>34</v>
      </c>
      <c r="R1772">
        <v>1033</v>
      </c>
      <c r="S1772" t="s">
        <v>44</v>
      </c>
      <c r="T1772">
        <v>4</v>
      </c>
      <c r="U1772" t="s">
        <v>44</v>
      </c>
      <c r="V1772">
        <v>871</v>
      </c>
      <c r="W1772">
        <v>5</v>
      </c>
      <c r="X1772" t="s">
        <v>44</v>
      </c>
      <c r="Y1772">
        <v>854</v>
      </c>
      <c r="Z1772" t="s">
        <v>44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873</v>
      </c>
      <c r="AQ1772">
        <f t="shared" si="63"/>
        <v>873</v>
      </c>
      <c r="AR1772" s="5">
        <f>VLOOKUP(F1772,'[2]SCP_24-25'!$A:$D,4,0)</f>
        <v>103.36</v>
      </c>
      <c r="AS1772" s="5">
        <f t="shared" si="62"/>
        <v>90233.279999999999</v>
      </c>
    </row>
    <row r="1773" spans="1:45" x14ac:dyDescent="0.3">
      <c r="A1773" s="1">
        <v>45900.963888888888</v>
      </c>
      <c r="B1773" t="s">
        <v>1473</v>
      </c>
      <c r="C1773" t="s">
        <v>1474</v>
      </c>
      <c r="D1773" t="s">
        <v>76</v>
      </c>
      <c r="E1773" t="s">
        <v>77</v>
      </c>
      <c r="F1773" t="s">
        <v>1524</v>
      </c>
      <c r="G1773" t="s">
        <v>78</v>
      </c>
      <c r="H1773" t="s">
        <v>66</v>
      </c>
      <c r="I1773" t="s">
        <v>43</v>
      </c>
      <c r="J1773">
        <v>50</v>
      </c>
      <c r="K1773">
        <v>19</v>
      </c>
      <c r="L1773">
        <v>9.5</v>
      </c>
      <c r="M1773">
        <v>11</v>
      </c>
      <c r="N1773">
        <v>6850</v>
      </c>
      <c r="O1773">
        <v>0</v>
      </c>
      <c r="P1773">
        <v>0</v>
      </c>
      <c r="Q1773">
        <v>6</v>
      </c>
      <c r="R1773" t="s">
        <v>44</v>
      </c>
      <c r="S1773" t="s">
        <v>44</v>
      </c>
      <c r="T1773" t="s">
        <v>44</v>
      </c>
      <c r="U1773" t="s">
        <v>44</v>
      </c>
      <c r="V1773">
        <v>312</v>
      </c>
      <c r="W1773" t="s">
        <v>44</v>
      </c>
      <c r="X1773" t="s">
        <v>44</v>
      </c>
      <c r="Y1773">
        <v>293</v>
      </c>
      <c r="Z1773" t="s">
        <v>44</v>
      </c>
      <c r="AA1773">
        <v>0</v>
      </c>
      <c r="AB1773">
        <v>0</v>
      </c>
      <c r="AC1773">
        <v>0</v>
      </c>
      <c r="AD1773">
        <v>0</v>
      </c>
      <c r="AE1773">
        <v>3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312</v>
      </c>
      <c r="AQ1773">
        <f t="shared" si="63"/>
        <v>312</v>
      </c>
      <c r="AR1773" s="5">
        <f>VLOOKUP(F1773,'[2]SCP_24-25'!$A:$D,4,0)</f>
        <v>28.3</v>
      </c>
      <c r="AS1773" s="5">
        <f t="shared" si="62"/>
        <v>8829.6</v>
      </c>
    </row>
    <row r="1774" spans="1:45" x14ac:dyDescent="0.3">
      <c r="A1774" s="1">
        <v>45900.963888888888</v>
      </c>
      <c r="B1774" t="s">
        <v>1473</v>
      </c>
      <c r="C1774" t="s">
        <v>1474</v>
      </c>
      <c r="D1774" t="s">
        <v>79</v>
      </c>
      <c r="E1774" t="s">
        <v>80</v>
      </c>
      <c r="F1774" t="s">
        <v>1525</v>
      </c>
      <c r="G1774" t="s">
        <v>81</v>
      </c>
      <c r="H1774" t="s">
        <v>66</v>
      </c>
      <c r="I1774" t="s">
        <v>43</v>
      </c>
      <c r="J1774">
        <v>150</v>
      </c>
      <c r="K1774">
        <v>19</v>
      </c>
      <c r="L1774">
        <v>9.5</v>
      </c>
      <c r="M1774">
        <v>11</v>
      </c>
      <c r="N1774">
        <v>12802</v>
      </c>
      <c r="O1774">
        <v>0</v>
      </c>
      <c r="P1774">
        <v>0</v>
      </c>
      <c r="Q1774">
        <v>3</v>
      </c>
      <c r="R1774">
        <v>7</v>
      </c>
      <c r="S1774" t="s">
        <v>44</v>
      </c>
      <c r="T1774">
        <v>25</v>
      </c>
      <c r="U1774" t="s">
        <v>44</v>
      </c>
      <c r="V1774">
        <v>424</v>
      </c>
      <c r="W1774" t="s">
        <v>44</v>
      </c>
      <c r="X1774" t="s">
        <v>44</v>
      </c>
      <c r="Y1774">
        <v>411</v>
      </c>
      <c r="Z1774" t="s">
        <v>44</v>
      </c>
      <c r="AA1774">
        <v>0</v>
      </c>
      <c r="AB1774">
        <v>0</v>
      </c>
      <c r="AC1774">
        <v>0</v>
      </c>
      <c r="AD1774">
        <v>0</v>
      </c>
      <c r="AE1774">
        <v>4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424</v>
      </c>
      <c r="AQ1774">
        <f t="shared" si="63"/>
        <v>424</v>
      </c>
      <c r="AR1774" s="5">
        <f>VLOOKUP(F1774,'[2]SCP_24-25'!$A:$D,4,0)</f>
        <v>48.72</v>
      </c>
      <c r="AS1774" s="5">
        <f t="shared" si="62"/>
        <v>20657.28</v>
      </c>
    </row>
    <row r="1775" spans="1:45" x14ac:dyDescent="0.3">
      <c r="A1775" s="1">
        <v>45900.963888888888</v>
      </c>
      <c r="B1775" t="s">
        <v>1473</v>
      </c>
      <c r="C1775" t="s">
        <v>1474</v>
      </c>
      <c r="D1775" t="s">
        <v>85</v>
      </c>
      <c r="E1775" t="s">
        <v>86</v>
      </c>
      <c r="F1775" t="s">
        <v>1527</v>
      </c>
      <c r="G1775" t="s">
        <v>87</v>
      </c>
      <c r="H1775" t="s">
        <v>66</v>
      </c>
      <c r="I1775" t="s">
        <v>43</v>
      </c>
      <c r="J1775">
        <v>100</v>
      </c>
      <c r="K1775">
        <v>19</v>
      </c>
      <c r="L1775">
        <v>9.5</v>
      </c>
      <c r="M1775">
        <v>11</v>
      </c>
      <c r="N1775">
        <v>5209</v>
      </c>
      <c r="O1775">
        <v>0</v>
      </c>
      <c r="P1775">
        <v>0</v>
      </c>
      <c r="Q1775">
        <v>9</v>
      </c>
      <c r="R1775">
        <v>17</v>
      </c>
      <c r="S1775" t="s">
        <v>44</v>
      </c>
      <c r="T1775" t="s">
        <v>44</v>
      </c>
      <c r="U1775" t="s">
        <v>44</v>
      </c>
      <c r="V1775">
        <v>288</v>
      </c>
      <c r="W1775">
        <v>25</v>
      </c>
      <c r="X1775" t="s">
        <v>44</v>
      </c>
      <c r="Y1775">
        <v>165</v>
      </c>
      <c r="Z1775" t="s">
        <v>44</v>
      </c>
      <c r="AA1775">
        <v>0</v>
      </c>
      <c r="AB1775">
        <v>0</v>
      </c>
      <c r="AC1775">
        <v>0</v>
      </c>
      <c r="AD1775">
        <v>0</v>
      </c>
      <c r="AE1775">
        <v>48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288</v>
      </c>
      <c r="AQ1775">
        <f t="shared" si="63"/>
        <v>288</v>
      </c>
      <c r="AR1775" s="5">
        <f>VLOOKUP(F1775,'[2]SCP_24-25'!$A:$D,4,0)</f>
        <v>105.05000000000001</v>
      </c>
      <c r="AS1775" s="5">
        <f t="shared" si="62"/>
        <v>30254.400000000001</v>
      </c>
    </row>
    <row r="1776" spans="1:45" x14ac:dyDescent="0.3">
      <c r="A1776" s="1">
        <v>45900.963888888888</v>
      </c>
      <c r="B1776" t="s">
        <v>1473</v>
      </c>
      <c r="C1776" t="s">
        <v>1474</v>
      </c>
      <c r="D1776" t="s">
        <v>88</v>
      </c>
      <c r="E1776" t="s">
        <v>89</v>
      </c>
      <c r="F1776" t="s">
        <v>1528</v>
      </c>
      <c r="G1776" t="s">
        <v>90</v>
      </c>
      <c r="H1776" t="s">
        <v>66</v>
      </c>
      <c r="I1776" t="s">
        <v>43</v>
      </c>
      <c r="J1776">
        <v>150</v>
      </c>
      <c r="K1776">
        <v>19</v>
      </c>
      <c r="L1776">
        <v>9.5</v>
      </c>
      <c r="M1776">
        <v>11</v>
      </c>
      <c r="N1776">
        <v>6817</v>
      </c>
      <c r="O1776">
        <v>1</v>
      </c>
      <c r="P1776">
        <v>0</v>
      </c>
      <c r="Q1776">
        <v>6</v>
      </c>
      <c r="R1776" t="s">
        <v>44</v>
      </c>
      <c r="S1776" t="s">
        <v>44</v>
      </c>
      <c r="T1776">
        <v>48</v>
      </c>
      <c r="U1776" t="s">
        <v>44</v>
      </c>
      <c r="V1776">
        <v>242</v>
      </c>
      <c r="W1776">
        <v>1</v>
      </c>
      <c r="X1776" t="s">
        <v>44</v>
      </c>
      <c r="Y1776">
        <v>233</v>
      </c>
      <c r="Z1776" t="s">
        <v>44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243</v>
      </c>
      <c r="AQ1776">
        <f t="shared" si="63"/>
        <v>243</v>
      </c>
      <c r="AR1776" s="5">
        <f>VLOOKUP(F1776,'[2]SCP_24-25'!$A:$D,4,0)</f>
        <v>100.13</v>
      </c>
      <c r="AS1776" s="5">
        <f t="shared" si="62"/>
        <v>24331.59</v>
      </c>
    </row>
    <row r="1777" spans="1:45" x14ac:dyDescent="0.3">
      <c r="A1777" s="1">
        <v>45900.963888888888</v>
      </c>
      <c r="B1777" t="s">
        <v>1473</v>
      </c>
      <c r="C1777" t="s">
        <v>1474</v>
      </c>
      <c r="D1777" t="s">
        <v>107</v>
      </c>
      <c r="E1777" t="s">
        <v>108</v>
      </c>
      <c r="F1777" t="s">
        <v>1534</v>
      </c>
      <c r="G1777" t="s">
        <v>109</v>
      </c>
      <c r="H1777" t="s">
        <v>103</v>
      </c>
      <c r="I1777" t="s">
        <v>43</v>
      </c>
      <c r="J1777">
        <v>130</v>
      </c>
      <c r="K1777">
        <v>19</v>
      </c>
      <c r="L1777">
        <v>10</v>
      </c>
      <c r="M1777">
        <v>11</v>
      </c>
      <c r="N1777">
        <v>34862</v>
      </c>
      <c r="O1777">
        <v>10</v>
      </c>
      <c r="P1777">
        <v>0</v>
      </c>
      <c r="Q1777">
        <v>85</v>
      </c>
      <c r="R1777">
        <v>1486</v>
      </c>
      <c r="S1777" t="s">
        <v>44</v>
      </c>
      <c r="T1777">
        <v>3</v>
      </c>
      <c r="U1777" t="s">
        <v>44</v>
      </c>
      <c r="V1777">
        <v>214</v>
      </c>
      <c r="W1777">
        <v>2</v>
      </c>
      <c r="X1777" t="s">
        <v>44</v>
      </c>
      <c r="Y1777">
        <v>212</v>
      </c>
      <c r="Z1777" t="s">
        <v>44</v>
      </c>
      <c r="AA1777">
        <v>4</v>
      </c>
      <c r="AB1777">
        <v>0</v>
      </c>
      <c r="AC1777">
        <v>0</v>
      </c>
      <c r="AD1777">
        <v>0</v>
      </c>
      <c r="AE1777">
        <v>3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228</v>
      </c>
      <c r="AQ1777">
        <f t="shared" si="63"/>
        <v>228</v>
      </c>
      <c r="AR1777" s="5">
        <f>VLOOKUP(F1777,'[2]SCP_24-25'!$A:$D,4,0)</f>
        <v>61.997777777777777</v>
      </c>
      <c r="AS1777" s="5">
        <f t="shared" si="62"/>
        <v>14135.493333333334</v>
      </c>
    </row>
    <row r="1778" spans="1:45" x14ac:dyDescent="0.3">
      <c r="A1778" s="1">
        <v>45900.963888888888</v>
      </c>
      <c r="B1778" t="s">
        <v>1473</v>
      </c>
      <c r="C1778" t="s">
        <v>1474</v>
      </c>
      <c r="D1778" t="s">
        <v>110</v>
      </c>
      <c r="E1778" t="s">
        <v>111</v>
      </c>
      <c r="F1778" t="s">
        <v>1535</v>
      </c>
      <c r="G1778" t="s">
        <v>112</v>
      </c>
      <c r="H1778" t="s">
        <v>66</v>
      </c>
      <c r="I1778" t="s">
        <v>43</v>
      </c>
      <c r="J1778">
        <v>50</v>
      </c>
      <c r="K1778">
        <v>19</v>
      </c>
      <c r="L1778">
        <v>10</v>
      </c>
      <c r="M1778">
        <v>11</v>
      </c>
      <c r="N1778">
        <v>15666</v>
      </c>
      <c r="O1778">
        <v>1</v>
      </c>
      <c r="P1778">
        <v>0</v>
      </c>
      <c r="Q1778">
        <v>54</v>
      </c>
      <c r="R1778">
        <v>221</v>
      </c>
      <c r="S1778" t="s">
        <v>44</v>
      </c>
      <c r="T1778" t="s">
        <v>44</v>
      </c>
      <c r="U1778" t="s">
        <v>44</v>
      </c>
      <c r="V1778">
        <v>578</v>
      </c>
      <c r="W1778">
        <v>49</v>
      </c>
      <c r="X1778" t="s">
        <v>44</v>
      </c>
      <c r="Y1778">
        <v>510</v>
      </c>
      <c r="Z1778" t="s">
        <v>44</v>
      </c>
      <c r="AA1778">
        <v>0</v>
      </c>
      <c r="AB1778">
        <v>0</v>
      </c>
      <c r="AC1778">
        <v>0</v>
      </c>
      <c r="AD1778">
        <v>0</v>
      </c>
      <c r="AE1778">
        <v>5</v>
      </c>
      <c r="AF1778">
        <v>14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579</v>
      </c>
      <c r="AQ1778">
        <f t="shared" si="63"/>
        <v>579</v>
      </c>
      <c r="AR1778" s="5">
        <f>VLOOKUP(F1778,'[2]SCP_24-25'!$A:$D,4,0)</f>
        <v>45.474000000000004</v>
      </c>
      <c r="AS1778" s="5">
        <f t="shared" si="62"/>
        <v>26329.446000000004</v>
      </c>
    </row>
    <row r="1779" spans="1:45" x14ac:dyDescent="0.3">
      <c r="A1779" s="1">
        <v>45900.963888888888</v>
      </c>
      <c r="B1779" t="s">
        <v>1473</v>
      </c>
      <c r="C1779" t="s">
        <v>1474</v>
      </c>
      <c r="D1779" t="s">
        <v>895</v>
      </c>
      <c r="E1779" t="s">
        <v>332</v>
      </c>
      <c r="F1779" t="s">
        <v>1898</v>
      </c>
      <c r="G1779" t="s">
        <v>896</v>
      </c>
      <c r="H1779" t="s">
        <v>130</v>
      </c>
      <c r="I1779" t="s">
        <v>43</v>
      </c>
      <c r="J1779">
        <v>12.92</v>
      </c>
      <c r="K1779">
        <v>19</v>
      </c>
      <c r="L1779">
        <v>10</v>
      </c>
      <c r="M1779">
        <v>11</v>
      </c>
      <c r="N1779">
        <v>3880</v>
      </c>
      <c r="O1779">
        <v>0</v>
      </c>
      <c r="P1779">
        <v>0</v>
      </c>
      <c r="Q1779">
        <v>33</v>
      </c>
      <c r="R1779">
        <v>164</v>
      </c>
      <c r="S1779" t="s">
        <v>44</v>
      </c>
      <c r="T1779" t="s">
        <v>44</v>
      </c>
      <c r="U1779" t="s">
        <v>44</v>
      </c>
      <c r="V1779">
        <v>918</v>
      </c>
      <c r="W1779">
        <v>6</v>
      </c>
      <c r="X1779" t="s">
        <v>44</v>
      </c>
      <c r="Y1779">
        <v>896</v>
      </c>
      <c r="Z1779" t="s">
        <v>44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918</v>
      </c>
      <c r="AQ1779">
        <f t="shared" si="63"/>
        <v>918</v>
      </c>
      <c r="AR1779" s="5">
        <f>VLOOKUP(F1779,'[2]SCP_24-25'!$A:$D,4,0)</f>
        <v>50.4</v>
      </c>
      <c r="AS1779" s="5">
        <f t="shared" si="62"/>
        <v>46267.199999999997</v>
      </c>
    </row>
    <row r="1780" spans="1:45" x14ac:dyDescent="0.3">
      <c r="A1780" s="1">
        <v>45900.963888888888</v>
      </c>
      <c r="B1780" t="s">
        <v>1473</v>
      </c>
      <c r="C1780" t="s">
        <v>1474</v>
      </c>
      <c r="D1780" t="s">
        <v>331</v>
      </c>
      <c r="E1780" t="s">
        <v>332</v>
      </c>
      <c r="F1780" t="s">
        <v>1627</v>
      </c>
      <c r="G1780" t="s">
        <v>333</v>
      </c>
      <c r="H1780" t="s">
        <v>130</v>
      </c>
      <c r="I1780" t="s">
        <v>43</v>
      </c>
      <c r="J1780">
        <v>12</v>
      </c>
      <c r="K1780">
        <v>19</v>
      </c>
      <c r="L1780">
        <v>10</v>
      </c>
      <c r="M1780">
        <v>11</v>
      </c>
      <c r="N1780">
        <v>2731</v>
      </c>
      <c r="O1780">
        <v>0</v>
      </c>
      <c r="P1780">
        <v>0</v>
      </c>
      <c r="Q1780">
        <v>33</v>
      </c>
      <c r="R1780">
        <v>81</v>
      </c>
      <c r="S1780" t="s">
        <v>44</v>
      </c>
      <c r="T1780" t="s">
        <v>44</v>
      </c>
      <c r="U1780" t="s">
        <v>44</v>
      </c>
      <c r="V1780">
        <v>188</v>
      </c>
      <c r="W1780">
        <v>2</v>
      </c>
      <c r="X1780" t="s">
        <v>44</v>
      </c>
      <c r="Y1780">
        <v>157</v>
      </c>
      <c r="Z1780" t="s">
        <v>44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188</v>
      </c>
      <c r="AQ1780">
        <f t="shared" si="63"/>
        <v>188</v>
      </c>
      <c r="AR1780" s="5">
        <f>VLOOKUP(F1780,'[2]SCP_24-25'!$A:$D,4,0)</f>
        <v>63.22</v>
      </c>
      <c r="AS1780" s="5">
        <f t="shared" si="62"/>
        <v>11885.36</v>
      </c>
    </row>
    <row r="1781" spans="1:45" x14ac:dyDescent="0.3">
      <c r="A1781" s="1">
        <v>45900.963888888888</v>
      </c>
      <c r="B1781" t="s">
        <v>1473</v>
      </c>
      <c r="C1781" t="s">
        <v>1474</v>
      </c>
      <c r="D1781" t="s">
        <v>516</v>
      </c>
      <c r="E1781" t="s">
        <v>332</v>
      </c>
      <c r="F1781" t="s">
        <v>1712</v>
      </c>
      <c r="G1781" t="s">
        <v>517</v>
      </c>
      <c r="H1781" t="s">
        <v>130</v>
      </c>
      <c r="I1781" t="s">
        <v>43</v>
      </c>
      <c r="J1781">
        <v>12.92</v>
      </c>
      <c r="K1781">
        <v>19</v>
      </c>
      <c r="L1781">
        <v>10</v>
      </c>
      <c r="M1781">
        <v>11</v>
      </c>
      <c r="N1781">
        <v>2826</v>
      </c>
      <c r="O1781">
        <v>0</v>
      </c>
      <c r="P1781">
        <v>0</v>
      </c>
      <c r="Q1781">
        <v>27</v>
      </c>
      <c r="R1781">
        <v>122</v>
      </c>
      <c r="S1781" t="s">
        <v>44</v>
      </c>
      <c r="T1781" t="s">
        <v>44</v>
      </c>
      <c r="U1781" t="s">
        <v>44</v>
      </c>
      <c r="V1781">
        <v>546</v>
      </c>
      <c r="W1781">
        <v>4</v>
      </c>
      <c r="X1781" t="s">
        <v>44</v>
      </c>
      <c r="Y1781">
        <v>515</v>
      </c>
      <c r="Z1781" t="s">
        <v>44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546</v>
      </c>
      <c r="AQ1781">
        <f t="shared" si="63"/>
        <v>546</v>
      </c>
      <c r="AR1781" s="5">
        <f>VLOOKUP(F1781,'[2]SCP_24-25'!$A:$D,4,0)</f>
        <v>53.64</v>
      </c>
      <c r="AS1781" s="5">
        <f t="shared" si="62"/>
        <v>29287.439999999999</v>
      </c>
    </row>
    <row r="1782" spans="1:45" x14ac:dyDescent="0.3">
      <c r="A1782" s="1">
        <v>45900.963888888888</v>
      </c>
      <c r="B1782" t="s">
        <v>1473</v>
      </c>
      <c r="C1782" t="s">
        <v>1474</v>
      </c>
      <c r="D1782" t="s">
        <v>334</v>
      </c>
      <c r="E1782" t="s">
        <v>335</v>
      </c>
      <c r="F1782" t="s">
        <v>1628</v>
      </c>
      <c r="G1782" t="s">
        <v>336</v>
      </c>
      <c r="H1782" t="s">
        <v>130</v>
      </c>
      <c r="I1782" t="s">
        <v>43</v>
      </c>
      <c r="J1782">
        <v>42</v>
      </c>
      <c r="K1782">
        <v>19</v>
      </c>
      <c r="L1782">
        <v>10</v>
      </c>
      <c r="M1782">
        <v>11</v>
      </c>
      <c r="N1782">
        <v>22603</v>
      </c>
      <c r="O1782">
        <v>3</v>
      </c>
      <c r="P1782">
        <v>0</v>
      </c>
      <c r="Q1782">
        <v>14</v>
      </c>
      <c r="R1782">
        <v>96</v>
      </c>
      <c r="S1782" t="s">
        <v>44</v>
      </c>
      <c r="T1782">
        <v>1</v>
      </c>
      <c r="U1782" t="s">
        <v>44</v>
      </c>
      <c r="V1782">
        <v>1049</v>
      </c>
      <c r="W1782">
        <v>4</v>
      </c>
      <c r="X1782" t="s">
        <v>44</v>
      </c>
      <c r="Y1782">
        <v>963</v>
      </c>
      <c r="Z1782" t="s">
        <v>44</v>
      </c>
      <c r="AA1782">
        <v>2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 s="2">
        <v>1054</v>
      </c>
      <c r="AQ1782">
        <f t="shared" si="63"/>
        <v>1054</v>
      </c>
      <c r="AR1782" s="5">
        <f>VLOOKUP(F1782,'[2]SCP_24-25'!$A:$D,4,0)</f>
        <v>68.577500000000001</v>
      </c>
      <c r="AS1782" s="5">
        <f t="shared" si="62"/>
        <v>72280.684999999998</v>
      </c>
    </row>
    <row r="1783" spans="1:45" x14ac:dyDescent="0.3">
      <c r="A1783" s="1">
        <v>45900.963888888888</v>
      </c>
      <c r="B1783" t="s">
        <v>1473</v>
      </c>
      <c r="C1783" t="s">
        <v>1474</v>
      </c>
      <c r="D1783" t="s">
        <v>353</v>
      </c>
      <c r="E1783" t="s">
        <v>345</v>
      </c>
      <c r="F1783" t="s">
        <v>1636</v>
      </c>
      <c r="G1783" t="s">
        <v>354</v>
      </c>
      <c r="H1783" t="s">
        <v>130</v>
      </c>
      <c r="I1783" t="s">
        <v>43</v>
      </c>
      <c r="J1783">
        <v>112.62</v>
      </c>
      <c r="K1783">
        <v>19</v>
      </c>
      <c r="L1783">
        <v>10</v>
      </c>
      <c r="M1783">
        <v>11</v>
      </c>
      <c r="N1783">
        <v>6178</v>
      </c>
      <c r="O1783">
        <v>5</v>
      </c>
      <c r="P1783">
        <v>0</v>
      </c>
      <c r="Q1783">
        <v>5</v>
      </c>
      <c r="R1783">
        <v>4</v>
      </c>
      <c r="S1783" t="s">
        <v>44</v>
      </c>
      <c r="T1783" t="s">
        <v>44</v>
      </c>
      <c r="U1783" t="s">
        <v>44</v>
      </c>
      <c r="V1783">
        <v>412</v>
      </c>
      <c r="W1783">
        <v>2</v>
      </c>
      <c r="X1783" t="s">
        <v>44</v>
      </c>
      <c r="Y1783">
        <v>391</v>
      </c>
      <c r="Z1783" t="s">
        <v>44</v>
      </c>
      <c r="AA1783">
        <v>2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419</v>
      </c>
      <c r="AQ1783">
        <f t="shared" si="63"/>
        <v>419</v>
      </c>
      <c r="AR1783" s="5">
        <f>VLOOKUP(F1783,'[2]SCP_24-25'!$A:$D,4,0)</f>
        <v>114.81</v>
      </c>
      <c r="AS1783" s="5">
        <f t="shared" si="62"/>
        <v>48105.39</v>
      </c>
    </row>
    <row r="1784" spans="1:45" x14ac:dyDescent="0.3">
      <c r="A1784" s="1">
        <v>45900.963888888888</v>
      </c>
      <c r="B1784" t="s">
        <v>1473</v>
      </c>
      <c r="C1784" t="s">
        <v>1474</v>
      </c>
      <c r="D1784" t="s">
        <v>560</v>
      </c>
      <c r="E1784" t="s">
        <v>345</v>
      </c>
      <c r="F1784" t="s">
        <v>1734</v>
      </c>
      <c r="G1784" t="s">
        <v>561</v>
      </c>
      <c r="H1784" t="s">
        <v>130</v>
      </c>
      <c r="I1784" t="s">
        <v>43</v>
      </c>
      <c r="J1784">
        <v>112.62</v>
      </c>
      <c r="K1784">
        <v>19</v>
      </c>
      <c r="L1784">
        <v>10</v>
      </c>
      <c r="M1784">
        <v>11</v>
      </c>
      <c r="N1784">
        <v>3259</v>
      </c>
      <c r="O1784">
        <v>1</v>
      </c>
      <c r="P1784">
        <v>0</v>
      </c>
      <c r="Q1784">
        <v>17</v>
      </c>
      <c r="R1784">
        <v>9</v>
      </c>
      <c r="S1784" t="s">
        <v>44</v>
      </c>
      <c r="T1784" t="s">
        <v>44</v>
      </c>
      <c r="U1784" t="s">
        <v>44</v>
      </c>
      <c r="V1784">
        <v>212</v>
      </c>
      <c r="W1784">
        <v>9</v>
      </c>
      <c r="X1784" t="s">
        <v>44</v>
      </c>
      <c r="Y1784">
        <v>198</v>
      </c>
      <c r="Z1784" t="s">
        <v>44</v>
      </c>
      <c r="AA1784">
        <v>2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215</v>
      </c>
      <c r="AQ1784">
        <f t="shared" si="63"/>
        <v>215</v>
      </c>
      <c r="AR1784" s="5">
        <f>VLOOKUP(F1784,'[2]SCP_24-25'!$A:$D,4,0)</f>
        <v>114.81</v>
      </c>
      <c r="AS1784" s="5">
        <f t="shared" si="62"/>
        <v>24684.15</v>
      </c>
    </row>
    <row r="1785" spans="1:45" x14ac:dyDescent="0.3">
      <c r="A1785" s="1">
        <v>45900.963888888888</v>
      </c>
      <c r="B1785" t="s">
        <v>1473</v>
      </c>
      <c r="C1785" t="s">
        <v>1474</v>
      </c>
      <c r="D1785" t="s">
        <v>362</v>
      </c>
      <c r="E1785" t="s">
        <v>356</v>
      </c>
      <c r="F1785" t="s">
        <v>1640</v>
      </c>
      <c r="G1785" t="s">
        <v>363</v>
      </c>
      <c r="H1785" t="s">
        <v>130</v>
      </c>
      <c r="I1785" t="s">
        <v>43</v>
      </c>
      <c r="J1785">
        <v>81.42</v>
      </c>
      <c r="K1785">
        <v>19</v>
      </c>
      <c r="L1785">
        <v>10</v>
      </c>
      <c r="M1785">
        <v>11</v>
      </c>
      <c r="N1785">
        <v>4492</v>
      </c>
      <c r="O1785">
        <v>0</v>
      </c>
      <c r="P1785">
        <v>0</v>
      </c>
      <c r="Q1785">
        <v>6</v>
      </c>
      <c r="R1785">
        <v>1</v>
      </c>
      <c r="S1785" t="s">
        <v>44</v>
      </c>
      <c r="T1785" t="s">
        <v>44</v>
      </c>
      <c r="U1785" t="s">
        <v>44</v>
      </c>
      <c r="V1785">
        <v>294</v>
      </c>
      <c r="W1785">
        <v>14</v>
      </c>
      <c r="X1785" t="s">
        <v>44</v>
      </c>
      <c r="Y1785">
        <v>294</v>
      </c>
      <c r="Z1785" t="s">
        <v>44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295</v>
      </c>
      <c r="AQ1785">
        <f t="shared" si="63"/>
        <v>295</v>
      </c>
      <c r="AR1785" s="5">
        <f>VLOOKUP(F1785,'[2]SCP_24-25'!$A:$D,4,0)</f>
        <v>83.14</v>
      </c>
      <c r="AS1785" s="5">
        <f t="shared" si="62"/>
        <v>24526.3</v>
      </c>
    </row>
    <row r="1786" spans="1:45" x14ac:dyDescent="0.3">
      <c r="A1786" s="1">
        <v>45900.963888888888</v>
      </c>
      <c r="B1786" t="s">
        <v>1473</v>
      </c>
      <c r="C1786" t="s">
        <v>1474</v>
      </c>
      <c r="D1786" t="s">
        <v>518</v>
      </c>
      <c r="E1786" t="s">
        <v>356</v>
      </c>
      <c r="F1786" t="s">
        <v>1713</v>
      </c>
      <c r="G1786" t="s">
        <v>519</v>
      </c>
      <c r="H1786" t="s">
        <v>130</v>
      </c>
      <c r="I1786" t="s">
        <v>43</v>
      </c>
      <c r="J1786">
        <v>81.42</v>
      </c>
      <c r="K1786">
        <v>19</v>
      </c>
      <c r="L1786">
        <v>10</v>
      </c>
      <c r="M1786">
        <v>11</v>
      </c>
      <c r="N1786">
        <v>4785</v>
      </c>
      <c r="O1786">
        <v>1</v>
      </c>
      <c r="P1786">
        <v>0</v>
      </c>
      <c r="Q1786">
        <v>32</v>
      </c>
      <c r="R1786">
        <v>124</v>
      </c>
      <c r="S1786" t="s">
        <v>44</v>
      </c>
      <c r="T1786" t="s">
        <v>44</v>
      </c>
      <c r="U1786" t="s">
        <v>44</v>
      </c>
      <c r="V1786">
        <v>748</v>
      </c>
      <c r="W1786">
        <v>13</v>
      </c>
      <c r="X1786" t="s">
        <v>44</v>
      </c>
      <c r="Y1786">
        <v>748</v>
      </c>
      <c r="Z1786" t="s">
        <v>44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749</v>
      </c>
      <c r="AQ1786">
        <f t="shared" si="63"/>
        <v>749</v>
      </c>
      <c r="AR1786" s="5">
        <f>VLOOKUP(F1786,'[2]SCP_24-25'!$A:$D,4,0)</f>
        <v>83.14</v>
      </c>
      <c r="AS1786" s="5">
        <f t="shared" si="62"/>
        <v>62271.86</v>
      </c>
    </row>
    <row r="1787" spans="1:45" x14ac:dyDescent="0.3">
      <c r="A1787" s="1">
        <v>45900.963888888888</v>
      </c>
      <c r="B1787" t="s">
        <v>1473</v>
      </c>
      <c r="C1787" t="s">
        <v>1474</v>
      </c>
      <c r="D1787" t="s">
        <v>364</v>
      </c>
      <c r="E1787" t="s">
        <v>365</v>
      </c>
      <c r="F1787" t="s">
        <v>1641</v>
      </c>
      <c r="G1787" t="s">
        <v>366</v>
      </c>
      <c r="H1787" t="s">
        <v>130</v>
      </c>
      <c r="I1787" t="s">
        <v>43</v>
      </c>
      <c r="J1787">
        <v>40.68</v>
      </c>
      <c r="K1787">
        <v>19</v>
      </c>
      <c r="L1787">
        <v>10</v>
      </c>
      <c r="M1787">
        <v>11</v>
      </c>
      <c r="N1787">
        <v>18769</v>
      </c>
      <c r="O1787">
        <v>2</v>
      </c>
      <c r="P1787">
        <v>0</v>
      </c>
      <c r="Q1787">
        <v>9</v>
      </c>
      <c r="R1787">
        <v>9</v>
      </c>
      <c r="S1787" t="s">
        <v>44</v>
      </c>
      <c r="T1787" t="s">
        <v>44</v>
      </c>
      <c r="U1787" t="s">
        <v>44</v>
      </c>
      <c r="V1787">
        <v>807</v>
      </c>
      <c r="W1787">
        <v>5</v>
      </c>
      <c r="X1787" t="s">
        <v>44</v>
      </c>
      <c r="Y1787">
        <v>803</v>
      </c>
      <c r="Z1787" t="s">
        <v>44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809</v>
      </c>
      <c r="AQ1787">
        <f t="shared" si="63"/>
        <v>809</v>
      </c>
      <c r="AR1787" s="5">
        <f>VLOOKUP(F1787,'[2]SCP_24-25'!$A:$D,4,0)</f>
        <v>61.98</v>
      </c>
      <c r="AS1787" s="5">
        <f t="shared" si="62"/>
        <v>50141.82</v>
      </c>
    </row>
    <row r="1788" spans="1:45" x14ac:dyDescent="0.3">
      <c r="A1788" s="1">
        <v>45900.963888888888</v>
      </c>
      <c r="B1788" t="s">
        <v>1473</v>
      </c>
      <c r="C1788" t="s">
        <v>1474</v>
      </c>
      <c r="D1788" t="s">
        <v>370</v>
      </c>
      <c r="E1788" t="s">
        <v>368</v>
      </c>
      <c r="F1788" t="s">
        <v>1643</v>
      </c>
      <c r="G1788" t="s">
        <v>371</v>
      </c>
      <c r="H1788" t="s">
        <v>130</v>
      </c>
      <c r="I1788" t="s">
        <v>43</v>
      </c>
      <c r="J1788">
        <v>24.02</v>
      </c>
      <c r="K1788">
        <v>19</v>
      </c>
      <c r="L1788">
        <v>10</v>
      </c>
      <c r="M1788">
        <v>11</v>
      </c>
      <c r="N1788">
        <v>7832</v>
      </c>
      <c r="O1788">
        <v>0</v>
      </c>
      <c r="P1788">
        <v>0</v>
      </c>
      <c r="Q1788">
        <v>4</v>
      </c>
      <c r="R1788">
        <v>4</v>
      </c>
      <c r="S1788" t="s">
        <v>44</v>
      </c>
      <c r="T1788" t="s">
        <v>44</v>
      </c>
      <c r="U1788" t="s">
        <v>44</v>
      </c>
      <c r="V1788">
        <v>205</v>
      </c>
      <c r="W1788">
        <v>2</v>
      </c>
      <c r="X1788" t="s">
        <v>44</v>
      </c>
      <c r="Y1788">
        <v>190</v>
      </c>
      <c r="Z1788" t="s">
        <v>44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205</v>
      </c>
      <c r="AQ1788">
        <f t="shared" si="63"/>
        <v>205</v>
      </c>
      <c r="AR1788" s="5">
        <f>VLOOKUP(F1788,'[2]SCP_24-25'!$A:$D,4,0)</f>
        <v>77.84</v>
      </c>
      <c r="AS1788" s="5">
        <f t="shared" si="62"/>
        <v>15957.2</v>
      </c>
    </row>
    <row r="1789" spans="1:45" x14ac:dyDescent="0.3">
      <c r="A1789" s="1">
        <v>45900.963888888888</v>
      </c>
      <c r="B1789" t="s">
        <v>1473</v>
      </c>
      <c r="C1789" t="s">
        <v>1474</v>
      </c>
      <c r="D1789" t="s">
        <v>372</v>
      </c>
      <c r="E1789" t="s">
        <v>368</v>
      </c>
      <c r="F1789" t="s">
        <v>1644</v>
      </c>
      <c r="G1789" t="s">
        <v>373</v>
      </c>
      <c r="H1789" t="s">
        <v>130</v>
      </c>
      <c r="I1789" t="s">
        <v>43</v>
      </c>
      <c r="J1789">
        <v>24.02</v>
      </c>
      <c r="K1789">
        <v>19</v>
      </c>
      <c r="L1789">
        <v>10</v>
      </c>
      <c r="M1789">
        <v>11</v>
      </c>
      <c r="N1789">
        <v>9278</v>
      </c>
      <c r="O1789">
        <v>1</v>
      </c>
      <c r="P1789">
        <v>0</v>
      </c>
      <c r="Q1789">
        <v>5</v>
      </c>
      <c r="R1789">
        <v>18</v>
      </c>
      <c r="S1789" t="s">
        <v>44</v>
      </c>
      <c r="T1789">
        <v>2</v>
      </c>
      <c r="U1789" t="s">
        <v>44</v>
      </c>
      <c r="V1789">
        <v>224</v>
      </c>
      <c r="W1789" t="s">
        <v>44</v>
      </c>
      <c r="X1789" t="s">
        <v>44</v>
      </c>
      <c r="Y1789">
        <v>217</v>
      </c>
      <c r="Z1789" t="s">
        <v>44</v>
      </c>
      <c r="AA1789">
        <v>1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226</v>
      </c>
      <c r="AQ1789">
        <f t="shared" si="63"/>
        <v>226</v>
      </c>
      <c r="AR1789" s="5">
        <f>VLOOKUP(F1789,'[2]SCP_24-25'!$A:$D,4,0)</f>
        <v>78.575999999999993</v>
      </c>
      <c r="AS1789" s="5">
        <f t="shared" si="62"/>
        <v>17758.175999999999</v>
      </c>
    </row>
    <row r="1790" spans="1:45" x14ac:dyDescent="0.3">
      <c r="A1790" s="1">
        <v>45900.963888888888</v>
      </c>
      <c r="B1790" t="s">
        <v>1473</v>
      </c>
      <c r="C1790" t="s">
        <v>1474</v>
      </c>
      <c r="D1790" t="s">
        <v>374</v>
      </c>
      <c r="E1790" t="s">
        <v>368</v>
      </c>
      <c r="F1790" t="s">
        <v>1645</v>
      </c>
      <c r="G1790" t="s">
        <v>375</v>
      </c>
      <c r="H1790" t="s">
        <v>130</v>
      </c>
      <c r="I1790" t="s">
        <v>43</v>
      </c>
      <c r="J1790">
        <v>24.02</v>
      </c>
      <c r="K1790">
        <v>19</v>
      </c>
      <c r="L1790">
        <v>10</v>
      </c>
      <c r="M1790">
        <v>11</v>
      </c>
      <c r="N1790">
        <v>9160</v>
      </c>
      <c r="O1790">
        <v>0</v>
      </c>
      <c r="P1790">
        <v>0</v>
      </c>
      <c r="Q1790">
        <v>5</v>
      </c>
      <c r="R1790">
        <v>151</v>
      </c>
      <c r="S1790" t="s">
        <v>44</v>
      </c>
      <c r="T1790" t="s">
        <v>44</v>
      </c>
      <c r="U1790" t="s">
        <v>44</v>
      </c>
      <c r="V1790">
        <v>566</v>
      </c>
      <c r="W1790">
        <v>248</v>
      </c>
      <c r="X1790" t="s">
        <v>44</v>
      </c>
      <c r="Y1790">
        <v>554</v>
      </c>
      <c r="Z1790" t="s">
        <v>44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566</v>
      </c>
      <c r="AQ1790">
        <f t="shared" si="63"/>
        <v>566</v>
      </c>
      <c r="AR1790" s="5">
        <f>VLOOKUP(F1790,'[2]SCP_24-25'!$A:$D,4,0)</f>
        <v>78.453333333333333</v>
      </c>
      <c r="AS1790" s="5">
        <f t="shared" si="62"/>
        <v>44404.58666666667</v>
      </c>
    </row>
    <row r="1791" spans="1:45" x14ac:dyDescent="0.3">
      <c r="A1791" s="1">
        <v>45900.963888888888</v>
      </c>
      <c r="B1791" t="s">
        <v>1473</v>
      </c>
      <c r="C1791" t="s">
        <v>1474</v>
      </c>
      <c r="D1791" t="s">
        <v>378</v>
      </c>
      <c r="E1791" t="s">
        <v>368</v>
      </c>
      <c r="F1791" t="s">
        <v>1647</v>
      </c>
      <c r="G1791" t="s">
        <v>379</v>
      </c>
      <c r="H1791" t="s">
        <v>130</v>
      </c>
      <c r="I1791" t="s">
        <v>43</v>
      </c>
      <c r="J1791">
        <v>24</v>
      </c>
      <c r="K1791">
        <v>19</v>
      </c>
      <c r="L1791">
        <v>10</v>
      </c>
      <c r="M1791">
        <v>11</v>
      </c>
      <c r="N1791">
        <v>6622</v>
      </c>
      <c r="O1791">
        <v>1</v>
      </c>
      <c r="P1791">
        <v>0</v>
      </c>
      <c r="Q1791">
        <v>2</v>
      </c>
      <c r="R1791">
        <v>283</v>
      </c>
      <c r="S1791" t="s">
        <v>44</v>
      </c>
      <c r="T1791" t="s">
        <v>44</v>
      </c>
      <c r="U1791" t="s">
        <v>44</v>
      </c>
      <c r="V1791">
        <v>880</v>
      </c>
      <c r="W1791" t="s">
        <v>44</v>
      </c>
      <c r="X1791" t="s">
        <v>44</v>
      </c>
      <c r="Y1791">
        <v>859</v>
      </c>
      <c r="Z1791" t="s">
        <v>44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881</v>
      </c>
      <c r="AQ1791">
        <f t="shared" si="63"/>
        <v>881</v>
      </c>
      <c r="AR1791" s="5">
        <f>VLOOKUP(F1791,'[2]SCP_24-25'!$A:$D,4,0)</f>
        <v>79.066666666666677</v>
      </c>
      <c r="AS1791" s="5">
        <f t="shared" si="62"/>
        <v>69657.733333333337</v>
      </c>
    </row>
    <row r="1792" spans="1:45" x14ac:dyDescent="0.3">
      <c r="A1792" s="1">
        <v>45900.963888888888</v>
      </c>
      <c r="B1792" t="s">
        <v>1473</v>
      </c>
      <c r="C1792" t="s">
        <v>1474</v>
      </c>
      <c r="D1792" t="s">
        <v>382</v>
      </c>
      <c r="E1792" t="s">
        <v>368</v>
      </c>
      <c r="F1792" t="s">
        <v>1649</v>
      </c>
      <c r="G1792" t="s">
        <v>383</v>
      </c>
      <c r="H1792" t="s">
        <v>130</v>
      </c>
      <c r="I1792" t="s">
        <v>43</v>
      </c>
      <c r="J1792">
        <v>24.02</v>
      </c>
      <c r="K1792">
        <v>19</v>
      </c>
      <c r="L1792">
        <v>10</v>
      </c>
      <c r="M1792">
        <v>11</v>
      </c>
      <c r="N1792">
        <v>8396</v>
      </c>
      <c r="O1792">
        <v>0</v>
      </c>
      <c r="P1792">
        <v>0</v>
      </c>
      <c r="Q1792">
        <v>9</v>
      </c>
      <c r="R1792">
        <v>78</v>
      </c>
      <c r="S1792" t="s">
        <v>44</v>
      </c>
      <c r="T1792">
        <v>12</v>
      </c>
      <c r="U1792" t="s">
        <v>44</v>
      </c>
      <c r="V1792">
        <v>854</v>
      </c>
      <c r="W1792">
        <v>2</v>
      </c>
      <c r="X1792" t="s">
        <v>44</v>
      </c>
      <c r="Y1792">
        <v>839</v>
      </c>
      <c r="Z1792" t="s">
        <v>44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854</v>
      </c>
      <c r="AQ1792">
        <f t="shared" si="63"/>
        <v>854</v>
      </c>
      <c r="AR1792" s="5">
        <f>VLOOKUP(F1792,'[2]SCP_24-25'!$A:$D,4,0)</f>
        <v>77.84</v>
      </c>
      <c r="AS1792" s="5">
        <f t="shared" si="62"/>
        <v>66475.360000000001</v>
      </c>
    </row>
    <row r="1793" spans="1:45" x14ac:dyDescent="0.3">
      <c r="A1793" s="1">
        <v>45900.963888888888</v>
      </c>
      <c r="B1793" t="s">
        <v>1473</v>
      </c>
      <c r="C1793" t="s">
        <v>1474</v>
      </c>
      <c r="D1793" t="s">
        <v>384</v>
      </c>
      <c r="E1793" t="s">
        <v>368</v>
      </c>
      <c r="F1793" t="s">
        <v>1650</v>
      </c>
      <c r="G1793" t="s">
        <v>385</v>
      </c>
      <c r="H1793" t="s">
        <v>130</v>
      </c>
      <c r="I1793" t="s">
        <v>43</v>
      </c>
      <c r="J1793">
        <v>24</v>
      </c>
      <c r="K1793">
        <v>19</v>
      </c>
      <c r="L1793">
        <v>10</v>
      </c>
      <c r="M1793">
        <v>11</v>
      </c>
      <c r="N1793">
        <v>5987</v>
      </c>
      <c r="O1793">
        <v>1</v>
      </c>
      <c r="P1793">
        <v>0</v>
      </c>
      <c r="Q1793">
        <v>12</v>
      </c>
      <c r="R1793">
        <v>10</v>
      </c>
      <c r="S1793" t="s">
        <v>44</v>
      </c>
      <c r="T1793">
        <v>12</v>
      </c>
      <c r="U1793" t="s">
        <v>44</v>
      </c>
      <c r="V1793">
        <v>778</v>
      </c>
      <c r="W1793" t="s">
        <v>44</v>
      </c>
      <c r="X1793" t="s">
        <v>44</v>
      </c>
      <c r="Y1793">
        <v>769</v>
      </c>
      <c r="Z1793" t="s">
        <v>44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2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779</v>
      </c>
      <c r="AQ1793">
        <f t="shared" si="63"/>
        <v>779</v>
      </c>
      <c r="AR1793" s="5">
        <f>VLOOKUP(F1793,'[2]SCP_24-25'!$A:$D,4,0)</f>
        <v>79.066666666666677</v>
      </c>
      <c r="AS1793" s="5">
        <f t="shared" si="62"/>
        <v>61592.933333333342</v>
      </c>
    </row>
    <row r="1794" spans="1:45" x14ac:dyDescent="0.3">
      <c r="A1794" s="1">
        <v>45900.963888888888</v>
      </c>
      <c r="B1794" t="s">
        <v>1473</v>
      </c>
      <c r="C1794" t="s">
        <v>1474</v>
      </c>
      <c r="D1794" t="s">
        <v>388</v>
      </c>
      <c r="E1794" t="s">
        <v>368</v>
      </c>
      <c r="F1794" t="s">
        <v>1652</v>
      </c>
      <c r="G1794" t="s">
        <v>389</v>
      </c>
      <c r="H1794" t="s">
        <v>130</v>
      </c>
      <c r="I1794" t="s">
        <v>43</v>
      </c>
      <c r="J1794">
        <v>24</v>
      </c>
      <c r="K1794">
        <v>19</v>
      </c>
      <c r="L1794">
        <v>10</v>
      </c>
      <c r="M1794">
        <v>11</v>
      </c>
      <c r="N1794">
        <v>5021</v>
      </c>
      <c r="O1794">
        <v>0</v>
      </c>
      <c r="P1794">
        <v>0</v>
      </c>
      <c r="Q1794">
        <v>11</v>
      </c>
      <c r="R1794">
        <v>47</v>
      </c>
      <c r="S1794" t="s">
        <v>44</v>
      </c>
      <c r="T1794">
        <v>12</v>
      </c>
      <c r="U1794" t="s">
        <v>44</v>
      </c>
      <c r="V1794">
        <v>294</v>
      </c>
      <c r="W1794">
        <v>1</v>
      </c>
      <c r="X1794" t="s">
        <v>44</v>
      </c>
      <c r="Y1794">
        <v>270</v>
      </c>
      <c r="Z1794" t="s">
        <v>44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294</v>
      </c>
      <c r="AQ1794">
        <f t="shared" si="63"/>
        <v>294</v>
      </c>
      <c r="AR1794" s="5">
        <f>VLOOKUP(F1794,'[2]SCP_24-25'!$A:$D,4,0)</f>
        <v>78.760000000000005</v>
      </c>
      <c r="AS1794" s="5">
        <f t="shared" si="62"/>
        <v>23155.440000000002</v>
      </c>
    </row>
    <row r="1795" spans="1:45" x14ac:dyDescent="0.3">
      <c r="A1795" s="1">
        <v>45900.963888888888</v>
      </c>
      <c r="B1795" t="s">
        <v>1473</v>
      </c>
      <c r="C1795" t="s">
        <v>1474</v>
      </c>
      <c r="D1795" t="s">
        <v>390</v>
      </c>
      <c r="E1795" t="s">
        <v>368</v>
      </c>
      <c r="F1795" t="s">
        <v>1653</v>
      </c>
      <c r="G1795" t="s">
        <v>391</v>
      </c>
      <c r="H1795" t="s">
        <v>130</v>
      </c>
      <c r="I1795" t="s">
        <v>43</v>
      </c>
      <c r="J1795">
        <v>24.02</v>
      </c>
      <c r="K1795">
        <v>19</v>
      </c>
      <c r="L1795">
        <v>10</v>
      </c>
      <c r="M1795">
        <v>11</v>
      </c>
      <c r="N1795">
        <v>7308</v>
      </c>
      <c r="O1795">
        <v>0</v>
      </c>
      <c r="P1795">
        <v>0</v>
      </c>
      <c r="Q1795">
        <v>7</v>
      </c>
      <c r="R1795">
        <v>4</v>
      </c>
      <c r="S1795" t="s">
        <v>44</v>
      </c>
      <c r="T1795">
        <v>1</v>
      </c>
      <c r="U1795" t="s">
        <v>44</v>
      </c>
      <c r="V1795">
        <v>852</v>
      </c>
      <c r="W1795" t="s">
        <v>44</v>
      </c>
      <c r="X1795" t="s">
        <v>44</v>
      </c>
      <c r="Y1795">
        <v>839</v>
      </c>
      <c r="Z1795" t="s">
        <v>44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853</v>
      </c>
      <c r="AQ1795">
        <f t="shared" si="63"/>
        <v>853</v>
      </c>
      <c r="AR1795" s="5">
        <f>VLOOKUP(F1795,'[2]SCP_24-25'!$A:$D,4,0)</f>
        <v>77.84</v>
      </c>
      <c r="AS1795" s="5">
        <f t="shared" ref="AS1795:AS1858" si="64">AQ1795*AR1795</f>
        <v>66397.52</v>
      </c>
    </row>
    <row r="1796" spans="1:45" x14ac:dyDescent="0.3">
      <c r="A1796" s="1">
        <v>45900.963888888888</v>
      </c>
      <c r="B1796" t="s">
        <v>1473</v>
      </c>
      <c r="C1796" t="s">
        <v>1474</v>
      </c>
      <c r="D1796" t="s">
        <v>392</v>
      </c>
      <c r="E1796" t="s">
        <v>368</v>
      </c>
      <c r="F1796" t="s">
        <v>1654</v>
      </c>
      <c r="G1796" t="s">
        <v>393</v>
      </c>
      <c r="H1796" t="s">
        <v>130</v>
      </c>
      <c r="I1796" t="s">
        <v>43</v>
      </c>
      <c r="J1796">
        <v>24.02</v>
      </c>
      <c r="K1796">
        <v>19</v>
      </c>
      <c r="L1796">
        <v>10</v>
      </c>
      <c r="M1796">
        <v>11</v>
      </c>
      <c r="N1796">
        <v>3797</v>
      </c>
      <c r="O1796">
        <v>0</v>
      </c>
      <c r="P1796">
        <v>0</v>
      </c>
      <c r="Q1796">
        <v>27</v>
      </c>
      <c r="R1796">
        <v>201</v>
      </c>
      <c r="S1796" t="s">
        <v>44</v>
      </c>
      <c r="T1796" t="s">
        <v>44</v>
      </c>
      <c r="U1796" t="s">
        <v>44</v>
      </c>
      <c r="V1796">
        <v>479</v>
      </c>
      <c r="W1796">
        <v>12</v>
      </c>
      <c r="X1796" t="s">
        <v>44</v>
      </c>
      <c r="Y1796">
        <v>437</v>
      </c>
      <c r="Z1796" t="s">
        <v>44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4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479</v>
      </c>
      <c r="AQ1796">
        <f t="shared" si="63"/>
        <v>479</v>
      </c>
      <c r="AR1796" s="5">
        <f>VLOOKUP(F1796,'[2]SCP_24-25'!$A:$D,4,0)</f>
        <v>79.679999999999993</v>
      </c>
      <c r="AS1796" s="5">
        <f t="shared" si="64"/>
        <v>38166.719999999994</v>
      </c>
    </row>
    <row r="1797" spans="1:45" x14ac:dyDescent="0.3">
      <c r="A1797" s="1">
        <v>45900.963888888888</v>
      </c>
      <c r="B1797" t="s">
        <v>1473</v>
      </c>
      <c r="C1797" t="s">
        <v>1474</v>
      </c>
      <c r="D1797" t="s">
        <v>394</v>
      </c>
      <c r="E1797" t="s">
        <v>395</v>
      </c>
      <c r="F1797" t="s">
        <v>1655</v>
      </c>
      <c r="G1797" t="s">
        <v>396</v>
      </c>
      <c r="H1797" t="s">
        <v>130</v>
      </c>
      <c r="I1797" t="s">
        <v>43</v>
      </c>
      <c r="J1797">
        <v>24.22</v>
      </c>
      <c r="K1797">
        <v>19</v>
      </c>
      <c r="L1797">
        <v>10</v>
      </c>
      <c r="M1797">
        <v>11</v>
      </c>
      <c r="N1797">
        <v>4261</v>
      </c>
      <c r="O1797">
        <v>0</v>
      </c>
      <c r="P1797">
        <v>0</v>
      </c>
      <c r="Q1797">
        <v>5</v>
      </c>
      <c r="R1797">
        <v>7</v>
      </c>
      <c r="S1797" t="s">
        <v>44</v>
      </c>
      <c r="T1797" t="s">
        <v>44</v>
      </c>
      <c r="U1797" t="s">
        <v>44</v>
      </c>
      <c r="V1797">
        <v>654</v>
      </c>
      <c r="W1797">
        <v>5</v>
      </c>
      <c r="X1797" t="s">
        <v>44</v>
      </c>
      <c r="Y1797">
        <v>651</v>
      </c>
      <c r="Z1797" t="s">
        <v>44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654</v>
      </c>
      <c r="AQ1797">
        <f t="shared" si="63"/>
        <v>654</v>
      </c>
      <c r="AR1797" s="5">
        <f>VLOOKUP(F1797,'[2]SCP_24-25'!$A:$D,4,0)</f>
        <v>87.9</v>
      </c>
      <c r="AS1797" s="5">
        <f t="shared" si="64"/>
        <v>57486.600000000006</v>
      </c>
    </row>
    <row r="1798" spans="1:45" x14ac:dyDescent="0.3">
      <c r="A1798" s="1">
        <v>45900.963888888888</v>
      </c>
      <c r="B1798" t="s">
        <v>1473</v>
      </c>
      <c r="C1798" t="s">
        <v>1474</v>
      </c>
      <c r="D1798" t="s">
        <v>785</v>
      </c>
      <c r="F1798" t="s">
        <v>1844</v>
      </c>
      <c r="G1798" t="s">
        <v>786</v>
      </c>
      <c r="H1798" t="s">
        <v>66</v>
      </c>
      <c r="I1798" t="s">
        <v>43</v>
      </c>
      <c r="J1798">
        <v>61.92</v>
      </c>
      <c r="K1798">
        <v>19</v>
      </c>
      <c r="L1798">
        <v>10</v>
      </c>
      <c r="M1798">
        <v>11</v>
      </c>
      <c r="N1798">
        <v>9030</v>
      </c>
      <c r="O1798">
        <v>3</v>
      </c>
      <c r="P1798">
        <v>0</v>
      </c>
      <c r="Q1798">
        <v>1</v>
      </c>
      <c r="R1798">
        <v>1578</v>
      </c>
      <c r="S1798" t="s">
        <v>44</v>
      </c>
      <c r="T1798">
        <v>3</v>
      </c>
      <c r="U1798" t="s">
        <v>44</v>
      </c>
      <c r="V1798">
        <v>776</v>
      </c>
      <c r="W1798" t="s">
        <v>44</v>
      </c>
      <c r="X1798" t="s">
        <v>44</v>
      </c>
      <c r="Y1798">
        <v>776</v>
      </c>
      <c r="Z1798" t="s">
        <v>44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779</v>
      </c>
      <c r="AQ1798">
        <f t="shared" si="63"/>
        <v>779</v>
      </c>
      <c r="AR1798" s="5">
        <f>VLOOKUP(F1798,'[2]SCP_24-25'!$A:$D,4,0)</f>
        <v>23.39</v>
      </c>
      <c r="AS1798" s="5">
        <f t="shared" si="64"/>
        <v>18220.810000000001</v>
      </c>
    </row>
    <row r="1799" spans="1:45" x14ac:dyDescent="0.3">
      <c r="A1799" s="1">
        <v>45900.963888888888</v>
      </c>
      <c r="B1799" t="s">
        <v>1473</v>
      </c>
      <c r="C1799" t="s">
        <v>1474</v>
      </c>
      <c r="D1799" t="s">
        <v>624</v>
      </c>
      <c r="F1799" t="s">
        <v>1765</v>
      </c>
      <c r="G1799" t="s">
        <v>625</v>
      </c>
      <c r="H1799" t="s">
        <v>66</v>
      </c>
      <c r="I1799" t="s">
        <v>43</v>
      </c>
      <c r="J1799">
        <v>61.92</v>
      </c>
      <c r="K1799">
        <v>19</v>
      </c>
      <c r="L1799">
        <v>10</v>
      </c>
      <c r="M1799">
        <v>11</v>
      </c>
      <c r="N1799">
        <v>7291</v>
      </c>
      <c r="O1799">
        <v>0</v>
      </c>
      <c r="P1799">
        <v>0</v>
      </c>
      <c r="Q1799" t="s">
        <v>44</v>
      </c>
      <c r="R1799">
        <v>6</v>
      </c>
      <c r="S1799" t="s">
        <v>44</v>
      </c>
      <c r="T1799" t="s">
        <v>44</v>
      </c>
      <c r="U1799" t="s">
        <v>44</v>
      </c>
      <c r="V1799">
        <v>643</v>
      </c>
      <c r="W1799" t="s">
        <v>44</v>
      </c>
      <c r="X1799" t="s">
        <v>44</v>
      </c>
      <c r="Y1799">
        <v>643</v>
      </c>
      <c r="Z1799" t="s">
        <v>44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643</v>
      </c>
      <c r="AQ1799">
        <f t="shared" si="63"/>
        <v>643</v>
      </c>
      <c r="AR1799" s="5">
        <f>VLOOKUP(F1799,'[2]SCP_24-25'!$A:$D,4,0)</f>
        <v>23.39</v>
      </c>
      <c r="AS1799" s="5">
        <f t="shared" si="64"/>
        <v>15039.77</v>
      </c>
    </row>
    <row r="1800" spans="1:45" x14ac:dyDescent="0.3">
      <c r="A1800" s="1">
        <v>45900.963888888888</v>
      </c>
      <c r="B1800" t="s">
        <v>1473</v>
      </c>
      <c r="C1800" t="s">
        <v>1474</v>
      </c>
      <c r="D1800" t="s">
        <v>626</v>
      </c>
      <c r="F1800" t="s">
        <v>1766</v>
      </c>
      <c r="G1800" t="s">
        <v>627</v>
      </c>
      <c r="H1800" t="s">
        <v>66</v>
      </c>
      <c r="I1800" t="s">
        <v>43</v>
      </c>
      <c r="J1800">
        <v>61.92</v>
      </c>
      <c r="K1800">
        <v>19</v>
      </c>
      <c r="L1800">
        <v>10</v>
      </c>
      <c r="M1800">
        <v>11</v>
      </c>
      <c r="N1800">
        <v>7013</v>
      </c>
      <c r="O1800">
        <v>1</v>
      </c>
      <c r="P1800">
        <v>0</v>
      </c>
      <c r="Q1800" t="s">
        <v>44</v>
      </c>
      <c r="R1800" t="s">
        <v>44</v>
      </c>
      <c r="S1800" t="s">
        <v>44</v>
      </c>
      <c r="T1800">
        <v>73</v>
      </c>
      <c r="U1800" t="s">
        <v>44</v>
      </c>
      <c r="V1800">
        <v>539</v>
      </c>
      <c r="W1800" t="s">
        <v>44</v>
      </c>
      <c r="X1800" t="s">
        <v>44</v>
      </c>
      <c r="Y1800">
        <v>539</v>
      </c>
      <c r="Z1800" t="s">
        <v>44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540</v>
      </c>
      <c r="AQ1800">
        <f t="shared" si="63"/>
        <v>540</v>
      </c>
      <c r="AR1800" s="5">
        <f>VLOOKUP(F1800,'[2]SCP_24-25'!$A:$D,4,0)</f>
        <v>26.96</v>
      </c>
      <c r="AS1800" s="5">
        <f t="shared" si="64"/>
        <v>14558.4</v>
      </c>
    </row>
    <row r="1801" spans="1:45" x14ac:dyDescent="0.3">
      <c r="A1801" s="1">
        <v>45900.963888888888</v>
      </c>
      <c r="B1801" t="s">
        <v>1473</v>
      </c>
      <c r="C1801" t="s">
        <v>1474</v>
      </c>
      <c r="D1801" t="s">
        <v>789</v>
      </c>
      <c r="F1801" t="s">
        <v>1846</v>
      </c>
      <c r="G1801" t="s">
        <v>790</v>
      </c>
      <c r="H1801" t="s">
        <v>66</v>
      </c>
      <c r="I1801" t="s">
        <v>43</v>
      </c>
      <c r="J1801">
        <v>61.92</v>
      </c>
      <c r="K1801">
        <v>19</v>
      </c>
      <c r="L1801">
        <v>10</v>
      </c>
      <c r="M1801">
        <v>11</v>
      </c>
      <c r="N1801">
        <v>7285</v>
      </c>
      <c r="O1801">
        <v>10</v>
      </c>
      <c r="P1801">
        <v>0</v>
      </c>
      <c r="Q1801">
        <v>17</v>
      </c>
      <c r="R1801">
        <v>29</v>
      </c>
      <c r="S1801" t="s">
        <v>44</v>
      </c>
      <c r="T1801">
        <v>8</v>
      </c>
      <c r="U1801" t="s">
        <v>44</v>
      </c>
      <c r="V1801">
        <v>314</v>
      </c>
      <c r="W1801">
        <v>1</v>
      </c>
      <c r="X1801" t="s">
        <v>44</v>
      </c>
      <c r="Y1801">
        <v>314</v>
      </c>
      <c r="Z1801" t="s">
        <v>44</v>
      </c>
      <c r="AA1801">
        <v>3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327</v>
      </c>
      <c r="AQ1801">
        <f t="shared" si="63"/>
        <v>327</v>
      </c>
      <c r="AR1801" s="5">
        <f>VLOOKUP(F1801,'[2]SCP_24-25'!$A:$D,4,0)</f>
        <v>23.39</v>
      </c>
      <c r="AS1801" s="5">
        <f t="shared" si="64"/>
        <v>7648.53</v>
      </c>
    </row>
    <row r="1802" spans="1:45" x14ac:dyDescent="0.3">
      <c r="A1802" s="1">
        <v>45900.963888888888</v>
      </c>
      <c r="B1802" t="s">
        <v>1473</v>
      </c>
      <c r="C1802" t="s">
        <v>1474</v>
      </c>
      <c r="D1802" t="s">
        <v>124</v>
      </c>
      <c r="F1802" t="s">
        <v>1540</v>
      </c>
      <c r="G1802" t="s">
        <v>125</v>
      </c>
      <c r="H1802" t="s">
        <v>66</v>
      </c>
      <c r="I1802" t="s">
        <v>43</v>
      </c>
      <c r="J1802">
        <v>90.08</v>
      </c>
      <c r="K1802">
        <v>19</v>
      </c>
      <c r="L1802">
        <v>11</v>
      </c>
      <c r="M1802">
        <v>10</v>
      </c>
      <c r="N1802">
        <v>16569</v>
      </c>
      <c r="O1802">
        <v>4</v>
      </c>
      <c r="P1802">
        <v>0</v>
      </c>
      <c r="Q1802">
        <v>13</v>
      </c>
      <c r="R1802">
        <v>15</v>
      </c>
      <c r="S1802" t="s">
        <v>44</v>
      </c>
      <c r="T1802">
        <v>108</v>
      </c>
      <c r="U1802" t="s">
        <v>44</v>
      </c>
      <c r="V1802">
        <v>630</v>
      </c>
      <c r="W1802">
        <v>24</v>
      </c>
      <c r="X1802" t="s">
        <v>44</v>
      </c>
      <c r="Y1802">
        <v>630</v>
      </c>
      <c r="Z1802" t="s">
        <v>44</v>
      </c>
      <c r="AA1802">
        <v>2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636</v>
      </c>
      <c r="AQ1802">
        <f t="shared" si="63"/>
        <v>636</v>
      </c>
      <c r="AR1802" s="5">
        <f>VLOOKUP(F1802,'[2]SCP_24-25'!$A:$D,4,0)</f>
        <v>45.74</v>
      </c>
      <c r="AS1802" s="5">
        <f t="shared" si="64"/>
        <v>29090.640000000003</v>
      </c>
    </row>
    <row r="1803" spans="1:45" x14ac:dyDescent="0.3">
      <c r="A1803" s="1">
        <v>45900.963888888888</v>
      </c>
      <c r="B1803" t="s">
        <v>1473</v>
      </c>
      <c r="C1803" t="s">
        <v>1474</v>
      </c>
      <c r="D1803" t="s">
        <v>562</v>
      </c>
      <c r="F1803" t="s">
        <v>1735</v>
      </c>
      <c r="G1803" t="s">
        <v>563</v>
      </c>
      <c r="H1803" t="s">
        <v>66</v>
      </c>
      <c r="I1803" t="s">
        <v>43</v>
      </c>
      <c r="J1803">
        <v>44.99</v>
      </c>
      <c r="K1803">
        <v>19</v>
      </c>
      <c r="L1803">
        <v>11</v>
      </c>
      <c r="M1803">
        <v>10</v>
      </c>
      <c r="N1803">
        <v>7147</v>
      </c>
      <c r="O1803">
        <v>2</v>
      </c>
      <c r="P1803">
        <v>0</v>
      </c>
      <c r="Q1803">
        <v>24</v>
      </c>
      <c r="R1803">
        <v>143</v>
      </c>
      <c r="S1803" t="s">
        <v>44</v>
      </c>
      <c r="T1803" t="s">
        <v>44</v>
      </c>
      <c r="U1803" t="s">
        <v>44</v>
      </c>
      <c r="V1803">
        <v>314</v>
      </c>
      <c r="W1803" t="s">
        <v>44</v>
      </c>
      <c r="X1803" t="s">
        <v>44</v>
      </c>
      <c r="Y1803">
        <v>314</v>
      </c>
      <c r="Z1803" t="s">
        <v>44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317</v>
      </c>
      <c r="AQ1803">
        <f t="shared" si="63"/>
        <v>317</v>
      </c>
      <c r="AR1803" s="5">
        <f>VLOOKUP(F1803,'[2]SCP_24-25'!$A:$D,4,0)</f>
        <v>40.44</v>
      </c>
      <c r="AS1803" s="5">
        <f t="shared" si="64"/>
        <v>12819.48</v>
      </c>
    </row>
    <row r="1804" spans="1:45" x14ac:dyDescent="0.3">
      <c r="A1804" s="1">
        <v>45900.963888888888</v>
      </c>
      <c r="B1804" t="s">
        <v>1473</v>
      </c>
      <c r="C1804" t="s">
        <v>1474</v>
      </c>
      <c r="D1804" t="s">
        <v>128</v>
      </c>
      <c r="F1804" t="s">
        <v>1542</v>
      </c>
      <c r="G1804" t="s">
        <v>129</v>
      </c>
      <c r="H1804" t="s">
        <v>130</v>
      </c>
      <c r="I1804" t="s">
        <v>43</v>
      </c>
      <c r="J1804">
        <v>80</v>
      </c>
      <c r="K1804">
        <v>19</v>
      </c>
      <c r="L1804">
        <v>11</v>
      </c>
      <c r="M1804">
        <v>10</v>
      </c>
      <c r="N1804">
        <v>10302</v>
      </c>
      <c r="O1804">
        <v>2</v>
      </c>
      <c r="P1804">
        <v>0</v>
      </c>
      <c r="Q1804">
        <v>6</v>
      </c>
      <c r="R1804">
        <v>161</v>
      </c>
      <c r="S1804" t="s">
        <v>44</v>
      </c>
      <c r="T1804">
        <v>10</v>
      </c>
      <c r="U1804" t="s">
        <v>44</v>
      </c>
      <c r="V1804">
        <v>147</v>
      </c>
      <c r="W1804">
        <v>1</v>
      </c>
      <c r="X1804" t="s">
        <v>44</v>
      </c>
      <c r="Y1804">
        <v>147</v>
      </c>
      <c r="Z1804" t="s">
        <v>44</v>
      </c>
      <c r="AA1804">
        <v>3</v>
      </c>
      <c r="AB1804">
        <v>0</v>
      </c>
      <c r="AC1804">
        <v>0</v>
      </c>
      <c r="AD1804">
        <v>0</v>
      </c>
      <c r="AE1804">
        <v>0</v>
      </c>
      <c r="AF1804">
        <v>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152</v>
      </c>
      <c r="AQ1804">
        <f t="shared" si="63"/>
        <v>152</v>
      </c>
      <c r="AR1804" s="5">
        <f>VLOOKUP(F1804,'[2]SCP_24-25'!$A:$D,4,0)</f>
        <v>46.19</v>
      </c>
      <c r="AS1804" s="5">
        <f t="shared" si="64"/>
        <v>7020.8799999999992</v>
      </c>
    </row>
    <row r="1805" spans="1:45" x14ac:dyDescent="0.3">
      <c r="A1805" s="1">
        <v>45900.963888888888</v>
      </c>
      <c r="B1805" t="s">
        <v>1473</v>
      </c>
      <c r="C1805" t="s">
        <v>1474</v>
      </c>
      <c r="D1805" t="s">
        <v>629</v>
      </c>
      <c r="F1805" t="s">
        <v>1768</v>
      </c>
      <c r="G1805" t="s">
        <v>630</v>
      </c>
      <c r="H1805" t="s">
        <v>120</v>
      </c>
      <c r="I1805" t="s">
        <v>43</v>
      </c>
      <c r="J1805">
        <v>200</v>
      </c>
      <c r="K1805">
        <v>19</v>
      </c>
      <c r="L1805">
        <v>10</v>
      </c>
      <c r="M1805">
        <v>11</v>
      </c>
      <c r="N1805">
        <v>1362</v>
      </c>
      <c r="O1805">
        <v>0</v>
      </c>
      <c r="P1805">
        <v>0</v>
      </c>
      <c r="Q1805" t="s">
        <v>44</v>
      </c>
      <c r="R1805" t="s">
        <v>44</v>
      </c>
      <c r="S1805" t="s">
        <v>44</v>
      </c>
      <c r="T1805" t="s">
        <v>44</v>
      </c>
      <c r="U1805" t="s">
        <v>44</v>
      </c>
      <c r="V1805">
        <v>228</v>
      </c>
      <c r="W1805" t="s">
        <v>44</v>
      </c>
      <c r="X1805" t="s">
        <v>44</v>
      </c>
      <c r="Y1805">
        <v>228</v>
      </c>
      <c r="Z1805" t="s">
        <v>44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228</v>
      </c>
      <c r="AQ1805">
        <f t="shared" si="63"/>
        <v>228</v>
      </c>
      <c r="AR1805" s="5">
        <f>VLOOKUP(F1805,'[1]Cost Sheet'!$C:$D,2,0)</f>
        <v>48</v>
      </c>
      <c r="AS1805" s="5">
        <f t="shared" si="64"/>
        <v>10944</v>
      </c>
    </row>
    <row r="1806" spans="1:45" x14ac:dyDescent="0.3">
      <c r="A1806" s="1">
        <v>45900.963888888888</v>
      </c>
      <c r="B1806" t="s">
        <v>1473</v>
      </c>
      <c r="C1806" t="s">
        <v>1474</v>
      </c>
      <c r="D1806" t="s">
        <v>791</v>
      </c>
      <c r="F1806" t="s">
        <v>1847</v>
      </c>
      <c r="G1806" t="s">
        <v>792</v>
      </c>
      <c r="H1806" t="s">
        <v>120</v>
      </c>
      <c r="I1806" t="s">
        <v>43</v>
      </c>
      <c r="J1806">
        <v>200</v>
      </c>
      <c r="K1806">
        <v>19</v>
      </c>
      <c r="L1806">
        <v>10</v>
      </c>
      <c r="M1806">
        <v>11</v>
      </c>
      <c r="N1806">
        <v>2072</v>
      </c>
      <c r="O1806">
        <v>0</v>
      </c>
      <c r="P1806">
        <v>0</v>
      </c>
      <c r="Q1806" t="s">
        <v>44</v>
      </c>
      <c r="R1806" t="s">
        <v>44</v>
      </c>
      <c r="S1806" t="s">
        <v>44</v>
      </c>
      <c r="T1806" t="s">
        <v>44</v>
      </c>
      <c r="U1806" t="s">
        <v>44</v>
      </c>
      <c r="V1806">
        <v>136</v>
      </c>
      <c r="W1806" t="s">
        <v>44</v>
      </c>
      <c r="X1806" t="s">
        <v>44</v>
      </c>
      <c r="Y1806">
        <v>136</v>
      </c>
      <c r="Z1806" t="s">
        <v>44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136</v>
      </c>
      <c r="AQ1806">
        <f t="shared" si="63"/>
        <v>136</v>
      </c>
      <c r="AR1806" s="5">
        <f>VLOOKUP(F1806,'[2]SCP_24-25'!$A:$D,4,0)</f>
        <v>48</v>
      </c>
      <c r="AS1806" s="5">
        <f t="shared" si="64"/>
        <v>6528</v>
      </c>
    </row>
    <row r="1807" spans="1:45" x14ac:dyDescent="0.3">
      <c r="A1807" s="1">
        <v>45900.963888888888</v>
      </c>
      <c r="B1807" t="s">
        <v>1473</v>
      </c>
      <c r="C1807" t="s">
        <v>1474</v>
      </c>
      <c r="D1807" t="s">
        <v>631</v>
      </c>
      <c r="F1807" t="s">
        <v>1769</v>
      </c>
      <c r="G1807" t="s">
        <v>632</v>
      </c>
      <c r="H1807" t="s">
        <v>120</v>
      </c>
      <c r="I1807" t="s">
        <v>43</v>
      </c>
      <c r="J1807">
        <v>200</v>
      </c>
      <c r="K1807">
        <v>19</v>
      </c>
      <c r="L1807">
        <v>10</v>
      </c>
      <c r="M1807">
        <v>11</v>
      </c>
      <c r="N1807">
        <v>1577</v>
      </c>
      <c r="O1807">
        <v>0</v>
      </c>
      <c r="P1807">
        <v>0</v>
      </c>
      <c r="Q1807" t="s">
        <v>44</v>
      </c>
      <c r="R1807" t="s">
        <v>44</v>
      </c>
      <c r="S1807" t="s">
        <v>44</v>
      </c>
      <c r="T1807" t="s">
        <v>44</v>
      </c>
      <c r="U1807" t="s">
        <v>44</v>
      </c>
      <c r="V1807">
        <v>245</v>
      </c>
      <c r="W1807" t="s">
        <v>44</v>
      </c>
      <c r="X1807" t="s">
        <v>44</v>
      </c>
      <c r="Y1807">
        <v>245</v>
      </c>
      <c r="Z1807" t="s">
        <v>44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245</v>
      </c>
      <c r="AQ1807">
        <f t="shared" si="63"/>
        <v>245</v>
      </c>
      <c r="AR1807" s="5">
        <f>VLOOKUP(F1807,'[1]Cost Sheet'!$C:$D,2,0)</f>
        <v>48</v>
      </c>
      <c r="AS1807" s="5">
        <f t="shared" si="64"/>
        <v>11760</v>
      </c>
    </row>
    <row r="1808" spans="1:45" x14ac:dyDescent="0.3">
      <c r="A1808" s="1">
        <v>45900.963888888888</v>
      </c>
      <c r="B1808" t="s">
        <v>1473</v>
      </c>
      <c r="C1808" t="s">
        <v>1474</v>
      </c>
      <c r="D1808" t="s">
        <v>793</v>
      </c>
      <c r="F1808" t="s">
        <v>1848</v>
      </c>
      <c r="G1808" t="s">
        <v>794</v>
      </c>
      <c r="H1808" t="s">
        <v>120</v>
      </c>
      <c r="I1808" t="s">
        <v>43</v>
      </c>
      <c r="J1808">
        <v>10</v>
      </c>
      <c r="K1808">
        <v>19</v>
      </c>
      <c r="L1808">
        <v>11</v>
      </c>
      <c r="M1808">
        <v>10</v>
      </c>
      <c r="N1808">
        <v>4950</v>
      </c>
      <c r="O1808">
        <v>0</v>
      </c>
      <c r="P1808">
        <v>0</v>
      </c>
      <c r="Q1808" t="s">
        <v>44</v>
      </c>
      <c r="R1808" t="s">
        <v>44</v>
      </c>
      <c r="S1808" t="s">
        <v>44</v>
      </c>
      <c r="T1808" t="s">
        <v>44</v>
      </c>
      <c r="U1808" t="s">
        <v>44</v>
      </c>
      <c r="V1808">
        <v>670</v>
      </c>
      <c r="W1808" t="s">
        <v>44</v>
      </c>
      <c r="X1808" t="s">
        <v>44</v>
      </c>
      <c r="Y1808">
        <v>670</v>
      </c>
      <c r="Z1808" t="s">
        <v>44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670</v>
      </c>
      <c r="AQ1808">
        <f t="shared" si="63"/>
        <v>670</v>
      </c>
      <c r="AR1808" s="5">
        <f>VLOOKUP(F1808,'[2]SCP_24-25'!$A:$D,4,0)</f>
        <v>7.1</v>
      </c>
      <c r="AS1808" s="5">
        <f t="shared" si="64"/>
        <v>4757</v>
      </c>
    </row>
    <row r="1809" spans="1:45" x14ac:dyDescent="0.3">
      <c r="A1809" s="1">
        <v>45900.963888888888</v>
      </c>
      <c r="B1809" t="s">
        <v>1473</v>
      </c>
      <c r="C1809" t="s">
        <v>1474</v>
      </c>
      <c r="D1809" t="s">
        <v>423</v>
      </c>
      <c r="F1809" t="s">
        <v>1668</v>
      </c>
      <c r="G1809" t="s">
        <v>424</v>
      </c>
      <c r="H1809" t="s">
        <v>66</v>
      </c>
      <c r="I1809" t="s">
        <v>43</v>
      </c>
      <c r="J1809">
        <v>123.19</v>
      </c>
      <c r="K1809">
        <v>19</v>
      </c>
      <c r="L1809">
        <v>10</v>
      </c>
      <c r="M1809">
        <v>11</v>
      </c>
      <c r="N1809">
        <v>41553</v>
      </c>
      <c r="O1809">
        <v>37</v>
      </c>
      <c r="P1809">
        <v>0</v>
      </c>
      <c r="Q1809">
        <v>68</v>
      </c>
      <c r="R1809">
        <v>38</v>
      </c>
      <c r="S1809" t="s">
        <v>44</v>
      </c>
      <c r="T1809">
        <v>74</v>
      </c>
      <c r="U1809" t="s">
        <v>44</v>
      </c>
      <c r="V1809">
        <v>654</v>
      </c>
      <c r="W1809">
        <v>3</v>
      </c>
      <c r="X1809" t="s">
        <v>44</v>
      </c>
      <c r="Y1809">
        <v>654</v>
      </c>
      <c r="Z1809" t="s">
        <v>44</v>
      </c>
      <c r="AA1809">
        <v>17</v>
      </c>
      <c r="AB1809">
        <v>0</v>
      </c>
      <c r="AC1809">
        <v>0</v>
      </c>
      <c r="AD1809">
        <v>0</v>
      </c>
      <c r="AE1809">
        <v>2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708</v>
      </c>
      <c r="AQ1809">
        <f t="shared" si="63"/>
        <v>708</v>
      </c>
      <c r="AR1809" s="5">
        <f>VLOOKUP(F1809,'[2]SCP_24-25'!$A:$D,4,0)</f>
        <v>76.260909090909081</v>
      </c>
      <c r="AS1809" s="5">
        <f t="shared" si="64"/>
        <v>53992.723636363633</v>
      </c>
    </row>
    <row r="1810" spans="1:45" x14ac:dyDescent="0.3">
      <c r="A1810" s="1">
        <v>45900.963888888888</v>
      </c>
      <c r="B1810" t="s">
        <v>1473</v>
      </c>
      <c r="C1810" t="s">
        <v>1474</v>
      </c>
      <c r="D1810" t="s">
        <v>407</v>
      </c>
      <c r="F1810" t="s">
        <v>1661</v>
      </c>
      <c r="G1810" t="s">
        <v>408</v>
      </c>
      <c r="H1810" t="s">
        <v>66</v>
      </c>
      <c r="I1810" t="s">
        <v>43</v>
      </c>
      <c r="J1810">
        <v>90.08</v>
      </c>
      <c r="K1810">
        <v>19</v>
      </c>
      <c r="L1810">
        <v>10</v>
      </c>
      <c r="M1810">
        <v>11</v>
      </c>
      <c r="N1810">
        <v>200927</v>
      </c>
      <c r="O1810">
        <v>100</v>
      </c>
      <c r="P1810">
        <v>0</v>
      </c>
      <c r="Q1810">
        <v>308</v>
      </c>
      <c r="R1810">
        <v>3528</v>
      </c>
      <c r="S1810" t="s">
        <v>44</v>
      </c>
      <c r="T1810">
        <v>2051</v>
      </c>
      <c r="U1810" t="s">
        <v>44</v>
      </c>
      <c r="V1810">
        <v>245</v>
      </c>
      <c r="W1810" t="s">
        <v>44</v>
      </c>
      <c r="X1810" t="s">
        <v>44</v>
      </c>
      <c r="Y1810">
        <v>245</v>
      </c>
      <c r="Z1810" t="s">
        <v>44</v>
      </c>
      <c r="AA1810">
        <v>93</v>
      </c>
      <c r="AB1810">
        <v>0</v>
      </c>
      <c r="AC1810">
        <v>0</v>
      </c>
      <c r="AD1810">
        <v>0</v>
      </c>
      <c r="AE1810">
        <v>2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438</v>
      </c>
      <c r="AQ1810">
        <f t="shared" si="63"/>
        <v>438</v>
      </c>
      <c r="AR1810" s="5">
        <f>VLOOKUP(F1810,'[2]SCP_24-25'!$A:$D,4,0)</f>
        <v>71.819000000000003</v>
      </c>
      <c r="AS1810" s="5">
        <f t="shared" si="64"/>
        <v>31456.722000000002</v>
      </c>
    </row>
    <row r="1811" spans="1:45" x14ac:dyDescent="0.3">
      <c r="A1811" s="1">
        <v>45900.963888888888</v>
      </c>
      <c r="B1811" t="s">
        <v>1473</v>
      </c>
      <c r="C1811" t="s">
        <v>1474</v>
      </c>
      <c r="D1811" t="s">
        <v>633</v>
      </c>
      <c r="E1811" t="s">
        <v>633</v>
      </c>
      <c r="F1811" t="s">
        <v>1770</v>
      </c>
      <c r="G1811" t="s">
        <v>634</v>
      </c>
      <c r="H1811" t="s">
        <v>635</v>
      </c>
      <c r="I1811" t="s">
        <v>43</v>
      </c>
      <c r="N1811">
        <v>997</v>
      </c>
      <c r="O1811">
        <v>0</v>
      </c>
      <c r="P1811">
        <v>0</v>
      </c>
      <c r="Q1811" t="s">
        <v>44</v>
      </c>
      <c r="R1811" t="s">
        <v>44</v>
      </c>
      <c r="S1811" t="s">
        <v>44</v>
      </c>
      <c r="T1811" t="s">
        <v>44</v>
      </c>
      <c r="U1811" t="s">
        <v>44</v>
      </c>
      <c r="V1811">
        <v>173</v>
      </c>
      <c r="W1811" t="s">
        <v>44</v>
      </c>
      <c r="X1811" t="s">
        <v>44</v>
      </c>
      <c r="Y1811">
        <v>173</v>
      </c>
      <c r="Z1811" t="s">
        <v>44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173</v>
      </c>
      <c r="AQ1811">
        <f t="shared" ref="AQ1811:AQ1874" si="65">O1811+P1811+V1811+AA1811</f>
        <v>173</v>
      </c>
      <c r="AR1811" s="5">
        <f>VLOOKUP(F1811,'[1]Cost Sheet'!$C:$D,2,0)</f>
        <v>27.66</v>
      </c>
      <c r="AS1811" s="5">
        <f t="shared" si="64"/>
        <v>4785.18</v>
      </c>
    </row>
    <row r="1812" spans="1:45" x14ac:dyDescent="0.3">
      <c r="A1812" s="1">
        <v>45900.963888888888</v>
      </c>
      <c r="B1812" t="s">
        <v>1473</v>
      </c>
      <c r="C1812" t="s">
        <v>1474</v>
      </c>
      <c r="D1812" t="s">
        <v>933</v>
      </c>
      <c r="E1812" t="s">
        <v>933</v>
      </c>
      <c r="F1812" t="s">
        <v>1916</v>
      </c>
      <c r="G1812" t="s">
        <v>934</v>
      </c>
      <c r="H1812" t="s">
        <v>635</v>
      </c>
      <c r="I1812" t="s">
        <v>43</v>
      </c>
      <c r="N1812">
        <v>1028</v>
      </c>
      <c r="O1812">
        <v>0</v>
      </c>
      <c r="P1812">
        <v>0</v>
      </c>
      <c r="Q1812" t="s">
        <v>44</v>
      </c>
      <c r="R1812" t="s">
        <v>44</v>
      </c>
      <c r="S1812" t="s">
        <v>44</v>
      </c>
      <c r="T1812" t="s">
        <v>44</v>
      </c>
      <c r="U1812" t="s">
        <v>44</v>
      </c>
      <c r="V1812">
        <v>148</v>
      </c>
      <c r="W1812" t="s">
        <v>44</v>
      </c>
      <c r="X1812" t="s">
        <v>44</v>
      </c>
      <c r="Y1812">
        <v>148</v>
      </c>
      <c r="Z1812" t="s">
        <v>44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148</v>
      </c>
      <c r="AQ1812">
        <f t="shared" si="65"/>
        <v>148</v>
      </c>
      <c r="AR1812" s="5">
        <f>VLOOKUP(F1812,'[1]Cost Sheet'!$C:$D,2,0)</f>
        <v>94.530000000000015</v>
      </c>
      <c r="AS1812" s="5">
        <f t="shared" si="64"/>
        <v>13990.440000000002</v>
      </c>
    </row>
    <row r="1813" spans="1:45" x14ac:dyDescent="0.3">
      <c r="A1813" s="1">
        <v>45900.963888888888</v>
      </c>
      <c r="B1813" t="s">
        <v>1473</v>
      </c>
      <c r="C1813" t="s">
        <v>1474</v>
      </c>
      <c r="D1813" t="s">
        <v>935</v>
      </c>
      <c r="E1813" t="s">
        <v>935</v>
      </c>
      <c r="F1813" t="s">
        <v>1917</v>
      </c>
      <c r="G1813" t="s">
        <v>936</v>
      </c>
      <c r="H1813" t="s">
        <v>635</v>
      </c>
      <c r="I1813" t="s">
        <v>43</v>
      </c>
      <c r="N1813">
        <v>803</v>
      </c>
      <c r="O1813">
        <v>0</v>
      </c>
      <c r="P1813">
        <v>0</v>
      </c>
      <c r="Q1813" t="s">
        <v>44</v>
      </c>
      <c r="R1813" t="s">
        <v>44</v>
      </c>
      <c r="S1813" t="s">
        <v>44</v>
      </c>
      <c r="T1813" t="s">
        <v>44</v>
      </c>
      <c r="U1813" t="s">
        <v>44</v>
      </c>
      <c r="V1813">
        <v>120</v>
      </c>
      <c r="W1813" t="s">
        <v>44</v>
      </c>
      <c r="X1813" t="s">
        <v>44</v>
      </c>
      <c r="Y1813">
        <v>120</v>
      </c>
      <c r="Z1813" t="s">
        <v>44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120</v>
      </c>
      <c r="AQ1813">
        <f t="shared" si="65"/>
        <v>120</v>
      </c>
      <c r="AR1813" s="5">
        <f>VLOOKUP(F1813,'[1]Cost Sheet'!$C:$D,2,0)</f>
        <v>100.66</v>
      </c>
      <c r="AS1813" s="5">
        <f t="shared" si="64"/>
        <v>12079.199999999999</v>
      </c>
    </row>
    <row r="1814" spans="1:45" x14ac:dyDescent="0.3">
      <c r="A1814" s="1">
        <v>45900.963888888888</v>
      </c>
      <c r="B1814" t="s">
        <v>1473</v>
      </c>
      <c r="C1814" t="s">
        <v>1474</v>
      </c>
      <c r="D1814" t="s">
        <v>937</v>
      </c>
      <c r="E1814" t="s">
        <v>937</v>
      </c>
      <c r="F1814" t="s">
        <v>1918</v>
      </c>
      <c r="G1814" t="s">
        <v>938</v>
      </c>
      <c r="H1814" t="s">
        <v>635</v>
      </c>
      <c r="I1814" t="s">
        <v>43</v>
      </c>
      <c r="N1814">
        <v>811</v>
      </c>
      <c r="O1814">
        <v>0</v>
      </c>
      <c r="P1814">
        <v>0</v>
      </c>
      <c r="Q1814" t="s">
        <v>44</v>
      </c>
      <c r="R1814" t="s">
        <v>44</v>
      </c>
      <c r="S1814" t="s">
        <v>44</v>
      </c>
      <c r="T1814" t="s">
        <v>44</v>
      </c>
      <c r="U1814" t="s">
        <v>44</v>
      </c>
      <c r="V1814">
        <v>148</v>
      </c>
      <c r="W1814" t="s">
        <v>44</v>
      </c>
      <c r="X1814" t="s">
        <v>44</v>
      </c>
      <c r="Y1814">
        <v>148</v>
      </c>
      <c r="Z1814" t="s">
        <v>44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148</v>
      </c>
      <c r="AQ1814">
        <f t="shared" si="65"/>
        <v>148</v>
      </c>
      <c r="AR1814" s="5">
        <f>VLOOKUP(F1814,'[1]Cost Sheet'!$C:$D,2,0)</f>
        <v>53.202222222222218</v>
      </c>
      <c r="AS1814" s="5">
        <f t="shared" si="64"/>
        <v>7873.9288888888887</v>
      </c>
    </row>
    <row r="1815" spans="1:45" x14ac:dyDescent="0.3">
      <c r="A1815" s="1">
        <v>45900.963888888888</v>
      </c>
      <c r="B1815" t="s">
        <v>1473</v>
      </c>
      <c r="C1815" t="s">
        <v>1474</v>
      </c>
      <c r="D1815" t="s">
        <v>640</v>
      </c>
      <c r="E1815" t="s">
        <v>640</v>
      </c>
      <c r="F1815" t="s">
        <v>1773</v>
      </c>
      <c r="G1815" t="s">
        <v>641</v>
      </c>
      <c r="H1815" t="s">
        <v>635</v>
      </c>
      <c r="I1815" t="s">
        <v>43</v>
      </c>
      <c r="N1815">
        <v>753</v>
      </c>
      <c r="O1815">
        <v>0</v>
      </c>
      <c r="P1815">
        <v>0</v>
      </c>
      <c r="Q1815" t="s">
        <v>44</v>
      </c>
      <c r="R1815" t="s">
        <v>44</v>
      </c>
      <c r="S1815" t="s">
        <v>44</v>
      </c>
      <c r="T1815" t="s">
        <v>44</v>
      </c>
      <c r="U1815" t="s">
        <v>44</v>
      </c>
      <c r="V1815">
        <v>149</v>
      </c>
      <c r="W1815" t="s">
        <v>44</v>
      </c>
      <c r="X1815" t="s">
        <v>44</v>
      </c>
      <c r="Y1815">
        <v>149</v>
      </c>
      <c r="Z1815" t="s">
        <v>44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149</v>
      </c>
      <c r="AQ1815">
        <f t="shared" si="65"/>
        <v>149</v>
      </c>
      <c r="AR1815" s="5">
        <f>VLOOKUP(F1815,'[1]Cost Sheet'!$C:$D,2,0)</f>
        <v>41.87</v>
      </c>
      <c r="AS1815" s="5">
        <f t="shared" si="64"/>
        <v>6238.6299999999992</v>
      </c>
    </row>
    <row r="1816" spans="1:45" x14ac:dyDescent="0.3">
      <c r="A1816" s="1">
        <v>45900.963888888888</v>
      </c>
      <c r="B1816" t="s">
        <v>1473</v>
      </c>
      <c r="C1816" t="s">
        <v>1474</v>
      </c>
      <c r="D1816" t="s">
        <v>943</v>
      </c>
      <c r="E1816" t="s">
        <v>943</v>
      </c>
      <c r="F1816" t="s">
        <v>1921</v>
      </c>
      <c r="G1816" t="s">
        <v>944</v>
      </c>
      <c r="H1816" t="s">
        <v>635</v>
      </c>
      <c r="I1816" t="s">
        <v>43</v>
      </c>
      <c r="N1816">
        <v>846</v>
      </c>
      <c r="O1816">
        <v>0</v>
      </c>
      <c r="P1816">
        <v>0</v>
      </c>
      <c r="Q1816" t="s">
        <v>44</v>
      </c>
      <c r="R1816" t="s">
        <v>44</v>
      </c>
      <c r="S1816" t="s">
        <v>44</v>
      </c>
      <c r="T1816" t="s">
        <v>44</v>
      </c>
      <c r="U1816" t="s">
        <v>44</v>
      </c>
      <c r="V1816">
        <v>148</v>
      </c>
      <c r="W1816" t="s">
        <v>44</v>
      </c>
      <c r="X1816" t="s">
        <v>44</v>
      </c>
      <c r="Y1816">
        <v>148</v>
      </c>
      <c r="Z1816" t="s">
        <v>44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148</v>
      </c>
      <c r="AQ1816">
        <f t="shared" si="65"/>
        <v>148</v>
      </c>
      <c r="AR1816" s="5">
        <f>VLOOKUP(F1816,'[1]Cost Sheet'!$C:$D,2,0)</f>
        <v>51.841111111111118</v>
      </c>
      <c r="AS1816" s="5">
        <f t="shared" si="64"/>
        <v>7672.4844444444452</v>
      </c>
    </row>
    <row r="1817" spans="1:45" x14ac:dyDescent="0.3">
      <c r="A1817" s="1">
        <v>45900.963888888888</v>
      </c>
      <c r="B1817" t="s">
        <v>1473</v>
      </c>
      <c r="C1817" t="s">
        <v>1474</v>
      </c>
      <c r="D1817" t="s">
        <v>795</v>
      </c>
      <c r="E1817" t="s">
        <v>795</v>
      </c>
      <c r="F1817" t="s">
        <v>1849</v>
      </c>
      <c r="G1817" t="s">
        <v>796</v>
      </c>
      <c r="H1817" t="s">
        <v>635</v>
      </c>
      <c r="I1817" t="s">
        <v>43</v>
      </c>
      <c r="N1817">
        <v>822</v>
      </c>
      <c r="O1817">
        <v>0</v>
      </c>
      <c r="P1817">
        <v>0</v>
      </c>
      <c r="Q1817" t="s">
        <v>44</v>
      </c>
      <c r="R1817" t="s">
        <v>44</v>
      </c>
      <c r="S1817" t="s">
        <v>44</v>
      </c>
      <c r="T1817" t="s">
        <v>44</v>
      </c>
      <c r="U1817" t="s">
        <v>44</v>
      </c>
      <c r="V1817">
        <v>117</v>
      </c>
      <c r="W1817" t="s">
        <v>44</v>
      </c>
      <c r="X1817" t="s">
        <v>44</v>
      </c>
      <c r="Y1817">
        <v>117</v>
      </c>
      <c r="Z1817" t="s">
        <v>44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117</v>
      </c>
      <c r="AQ1817">
        <f t="shared" si="65"/>
        <v>117</v>
      </c>
      <c r="AR1817" s="5">
        <f>VLOOKUP(F1817,'[1]Cost Sheet'!$C:$D,2,0)</f>
        <v>121.49</v>
      </c>
      <c r="AS1817" s="5">
        <f t="shared" si="64"/>
        <v>14214.33</v>
      </c>
    </row>
    <row r="1818" spans="1:45" x14ac:dyDescent="0.3">
      <c r="A1818" s="1">
        <v>45900.963888888888</v>
      </c>
      <c r="B1818" t="s">
        <v>1473</v>
      </c>
      <c r="C1818" t="s">
        <v>1474</v>
      </c>
      <c r="D1818" t="s">
        <v>644</v>
      </c>
      <c r="E1818" t="s">
        <v>644</v>
      </c>
      <c r="F1818" t="s">
        <v>1775</v>
      </c>
      <c r="G1818" t="s">
        <v>645</v>
      </c>
      <c r="H1818" t="s">
        <v>635</v>
      </c>
      <c r="I1818" t="s">
        <v>43</v>
      </c>
      <c r="N1818">
        <v>820</v>
      </c>
      <c r="O1818">
        <v>0</v>
      </c>
      <c r="P1818">
        <v>0</v>
      </c>
      <c r="Q1818" t="s">
        <v>44</v>
      </c>
      <c r="R1818" t="s">
        <v>44</v>
      </c>
      <c r="S1818" t="s">
        <v>44</v>
      </c>
      <c r="T1818" t="s">
        <v>44</v>
      </c>
      <c r="U1818" t="s">
        <v>44</v>
      </c>
      <c r="V1818">
        <v>156</v>
      </c>
      <c r="W1818" t="s">
        <v>44</v>
      </c>
      <c r="X1818" t="s">
        <v>44</v>
      </c>
      <c r="Y1818">
        <v>156</v>
      </c>
      <c r="Z1818" t="s">
        <v>44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156</v>
      </c>
      <c r="AQ1818">
        <f t="shared" si="65"/>
        <v>156</v>
      </c>
      <c r="AR1818" s="5">
        <f>VLOOKUP(F1818,'[1]Cost Sheet'!$C:$D,2,0)</f>
        <v>69.16</v>
      </c>
      <c r="AS1818" s="5">
        <f t="shared" si="64"/>
        <v>10788.96</v>
      </c>
    </row>
    <row r="1819" spans="1:45" x14ac:dyDescent="0.3">
      <c r="A1819" s="1">
        <v>45900.963888888888</v>
      </c>
      <c r="B1819" t="s">
        <v>1473</v>
      </c>
      <c r="C1819" t="s">
        <v>1474</v>
      </c>
      <c r="D1819" t="s">
        <v>648</v>
      </c>
      <c r="E1819" t="s">
        <v>648</v>
      </c>
      <c r="F1819" t="s">
        <v>1777</v>
      </c>
      <c r="G1819" t="s">
        <v>649</v>
      </c>
      <c r="H1819" t="s">
        <v>635</v>
      </c>
      <c r="I1819" t="s">
        <v>43</v>
      </c>
      <c r="N1819">
        <v>721</v>
      </c>
      <c r="O1819">
        <v>0</v>
      </c>
      <c r="P1819">
        <v>0</v>
      </c>
      <c r="Q1819" t="s">
        <v>44</v>
      </c>
      <c r="R1819" t="s">
        <v>44</v>
      </c>
      <c r="S1819" t="s">
        <v>44</v>
      </c>
      <c r="T1819" t="s">
        <v>44</v>
      </c>
      <c r="U1819" t="s">
        <v>44</v>
      </c>
      <c r="V1819">
        <v>177</v>
      </c>
      <c r="W1819" t="s">
        <v>44</v>
      </c>
      <c r="X1819" t="s">
        <v>44</v>
      </c>
      <c r="Y1819">
        <v>177</v>
      </c>
      <c r="Z1819" t="s">
        <v>44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177</v>
      </c>
      <c r="AQ1819">
        <f t="shared" si="65"/>
        <v>177</v>
      </c>
      <c r="AR1819" s="5">
        <f>VLOOKUP(F1819,'[1]Cost Sheet'!$C:$D,2,0)</f>
        <v>51.353999999999999</v>
      </c>
      <c r="AS1819" s="5">
        <f t="shared" si="64"/>
        <v>9089.6579999999994</v>
      </c>
    </row>
    <row r="1820" spans="1:45" x14ac:dyDescent="0.3">
      <c r="A1820" s="1">
        <v>45900.963888888888</v>
      </c>
      <c r="B1820" t="s">
        <v>1473</v>
      </c>
      <c r="C1820" t="s">
        <v>1474</v>
      </c>
      <c r="D1820" t="s">
        <v>650</v>
      </c>
      <c r="E1820" t="s">
        <v>650</v>
      </c>
      <c r="F1820" t="s">
        <v>1778</v>
      </c>
      <c r="G1820" t="s">
        <v>651</v>
      </c>
      <c r="H1820" t="s">
        <v>635</v>
      </c>
      <c r="I1820" t="s">
        <v>43</v>
      </c>
      <c r="N1820">
        <v>867</v>
      </c>
      <c r="O1820">
        <v>0</v>
      </c>
      <c r="P1820">
        <v>0</v>
      </c>
      <c r="Q1820" t="s">
        <v>44</v>
      </c>
      <c r="R1820" t="s">
        <v>44</v>
      </c>
      <c r="S1820" t="s">
        <v>44</v>
      </c>
      <c r="T1820" t="s">
        <v>44</v>
      </c>
      <c r="U1820" t="s">
        <v>44</v>
      </c>
      <c r="V1820">
        <v>188</v>
      </c>
      <c r="W1820" t="s">
        <v>44</v>
      </c>
      <c r="X1820" t="s">
        <v>44</v>
      </c>
      <c r="Y1820">
        <v>188</v>
      </c>
      <c r="Z1820" t="s">
        <v>44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188</v>
      </c>
      <c r="AQ1820">
        <f t="shared" si="65"/>
        <v>188</v>
      </c>
      <c r="AR1820" s="5">
        <f>VLOOKUP(F1820,'[1]Cost Sheet'!$C:$D,2,0)</f>
        <v>75.27</v>
      </c>
      <c r="AS1820" s="5">
        <f t="shared" si="64"/>
        <v>14150.759999999998</v>
      </c>
    </row>
    <row r="1821" spans="1:45" x14ac:dyDescent="0.3">
      <c r="A1821" s="1">
        <v>45900.963888888888</v>
      </c>
      <c r="B1821" t="s">
        <v>1473</v>
      </c>
      <c r="C1821" t="s">
        <v>1474</v>
      </c>
      <c r="D1821" t="s">
        <v>652</v>
      </c>
      <c r="E1821" t="s">
        <v>652</v>
      </c>
      <c r="F1821" t="s">
        <v>1779</v>
      </c>
      <c r="G1821" t="s">
        <v>653</v>
      </c>
      <c r="H1821" t="s">
        <v>635</v>
      </c>
      <c r="I1821" t="s">
        <v>43</v>
      </c>
      <c r="N1821">
        <v>834</v>
      </c>
      <c r="O1821">
        <v>0</v>
      </c>
      <c r="P1821">
        <v>0</v>
      </c>
      <c r="Q1821" t="s">
        <v>44</v>
      </c>
      <c r="R1821" t="s">
        <v>44</v>
      </c>
      <c r="S1821" t="s">
        <v>44</v>
      </c>
      <c r="T1821" t="s">
        <v>44</v>
      </c>
      <c r="U1821" t="s">
        <v>44</v>
      </c>
      <c r="V1821">
        <v>167</v>
      </c>
      <c r="W1821" t="s">
        <v>44</v>
      </c>
      <c r="X1821" t="s">
        <v>44</v>
      </c>
      <c r="Y1821">
        <v>167</v>
      </c>
      <c r="Z1821" t="s">
        <v>44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167</v>
      </c>
      <c r="AQ1821">
        <f t="shared" si="65"/>
        <v>167</v>
      </c>
      <c r="AR1821" s="5">
        <f>VLOOKUP(F1821,'[1]Cost Sheet'!$C:$D,2,0)</f>
        <v>76.619230769230754</v>
      </c>
      <c r="AS1821" s="5">
        <f t="shared" si="64"/>
        <v>12795.411538461536</v>
      </c>
    </row>
    <row r="1822" spans="1:45" x14ac:dyDescent="0.3">
      <c r="A1822" s="1">
        <v>45900.963888888888</v>
      </c>
      <c r="B1822" t="s">
        <v>1473</v>
      </c>
      <c r="C1822" t="s">
        <v>1474</v>
      </c>
      <c r="D1822" t="s">
        <v>797</v>
      </c>
      <c r="E1822" t="s">
        <v>797</v>
      </c>
      <c r="F1822" t="s">
        <v>1850</v>
      </c>
      <c r="G1822" t="s">
        <v>798</v>
      </c>
      <c r="H1822" t="s">
        <v>635</v>
      </c>
      <c r="I1822" t="s">
        <v>43</v>
      </c>
      <c r="N1822">
        <v>745</v>
      </c>
      <c r="O1822">
        <v>0</v>
      </c>
      <c r="P1822">
        <v>0</v>
      </c>
      <c r="Q1822" t="s">
        <v>44</v>
      </c>
      <c r="R1822" t="s">
        <v>44</v>
      </c>
      <c r="S1822" t="s">
        <v>44</v>
      </c>
      <c r="T1822" t="s">
        <v>44</v>
      </c>
      <c r="U1822" t="s">
        <v>44</v>
      </c>
      <c r="V1822">
        <v>137</v>
      </c>
      <c r="W1822" t="s">
        <v>44</v>
      </c>
      <c r="X1822" t="s">
        <v>44</v>
      </c>
      <c r="Y1822">
        <v>137</v>
      </c>
      <c r="Z1822" t="s">
        <v>44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137</v>
      </c>
      <c r="AQ1822">
        <f t="shared" si="65"/>
        <v>137</v>
      </c>
      <c r="AR1822" s="5">
        <f>VLOOKUP(F1822,'[1]Cost Sheet'!$C:$D,2,0)</f>
        <v>130.39230769230767</v>
      </c>
      <c r="AS1822" s="5">
        <f t="shared" si="64"/>
        <v>17863.74615384615</v>
      </c>
    </row>
    <row r="1823" spans="1:45" x14ac:dyDescent="0.3">
      <c r="A1823" s="1">
        <v>45900.963888888888</v>
      </c>
      <c r="B1823" t="s">
        <v>1473</v>
      </c>
      <c r="C1823" t="s">
        <v>1474</v>
      </c>
      <c r="D1823" t="s">
        <v>949</v>
      </c>
      <c r="E1823" t="s">
        <v>949</v>
      </c>
      <c r="F1823" t="s">
        <v>1924</v>
      </c>
      <c r="G1823" t="s">
        <v>950</v>
      </c>
      <c r="H1823" t="s">
        <v>635</v>
      </c>
      <c r="I1823" t="s">
        <v>43</v>
      </c>
      <c r="N1823">
        <v>708</v>
      </c>
      <c r="O1823">
        <v>0</v>
      </c>
      <c r="P1823">
        <v>0</v>
      </c>
      <c r="Q1823" t="s">
        <v>44</v>
      </c>
      <c r="R1823" t="s">
        <v>44</v>
      </c>
      <c r="S1823" t="s">
        <v>44</v>
      </c>
      <c r="T1823" t="s">
        <v>44</v>
      </c>
      <c r="U1823" t="s">
        <v>44</v>
      </c>
      <c r="V1823">
        <v>119</v>
      </c>
      <c r="W1823" t="s">
        <v>44</v>
      </c>
      <c r="X1823" t="s">
        <v>44</v>
      </c>
      <c r="Y1823">
        <v>119</v>
      </c>
      <c r="Z1823" t="s">
        <v>44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119</v>
      </c>
      <c r="AQ1823">
        <f t="shared" si="65"/>
        <v>119</v>
      </c>
      <c r="AR1823" s="5">
        <f>VLOOKUP(F1823,'[1]Cost Sheet'!$C:$D,2,0)</f>
        <v>65.349999999999994</v>
      </c>
      <c r="AS1823" s="5">
        <f t="shared" si="64"/>
        <v>7776.65</v>
      </c>
    </row>
    <row r="1824" spans="1:45" x14ac:dyDescent="0.3">
      <c r="A1824" s="1">
        <v>45900.963888888888</v>
      </c>
      <c r="B1824" t="s">
        <v>1473</v>
      </c>
      <c r="C1824" t="s">
        <v>1474</v>
      </c>
      <c r="D1824" t="s">
        <v>953</v>
      </c>
      <c r="E1824" t="s">
        <v>953</v>
      </c>
      <c r="F1824" t="s">
        <v>1926</v>
      </c>
      <c r="G1824" t="s">
        <v>954</v>
      </c>
      <c r="H1824" t="s">
        <v>635</v>
      </c>
      <c r="I1824" t="s">
        <v>43</v>
      </c>
      <c r="N1824">
        <v>640</v>
      </c>
      <c r="O1824">
        <v>0</v>
      </c>
      <c r="P1824">
        <v>0</v>
      </c>
      <c r="Q1824" t="s">
        <v>44</v>
      </c>
      <c r="R1824" t="s">
        <v>44</v>
      </c>
      <c r="S1824" t="s">
        <v>44</v>
      </c>
      <c r="T1824" t="s">
        <v>44</v>
      </c>
      <c r="U1824" t="s">
        <v>44</v>
      </c>
      <c r="V1824">
        <v>102</v>
      </c>
      <c r="W1824" t="s">
        <v>44</v>
      </c>
      <c r="X1824" t="s">
        <v>44</v>
      </c>
      <c r="Y1824">
        <v>102</v>
      </c>
      <c r="Z1824" t="s">
        <v>44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102</v>
      </c>
      <c r="AQ1824">
        <f t="shared" si="65"/>
        <v>102</v>
      </c>
      <c r="AR1824" s="5">
        <f>VLOOKUP(F1824,'[1]Cost Sheet'!$C:$D,2,0)</f>
        <v>47.03</v>
      </c>
      <c r="AS1824" s="5">
        <f t="shared" si="64"/>
        <v>4797.0600000000004</v>
      </c>
    </row>
    <row r="1825" spans="1:45" x14ac:dyDescent="0.3">
      <c r="A1825" s="1">
        <v>45900.963888888888</v>
      </c>
      <c r="B1825" t="s">
        <v>1473</v>
      </c>
      <c r="C1825" t="s">
        <v>1474</v>
      </c>
      <c r="D1825" t="s">
        <v>654</v>
      </c>
      <c r="E1825" t="s">
        <v>654</v>
      </c>
      <c r="F1825" t="s">
        <v>1780</v>
      </c>
      <c r="G1825" t="s">
        <v>655</v>
      </c>
      <c r="H1825" t="s">
        <v>635</v>
      </c>
      <c r="I1825" t="s">
        <v>43</v>
      </c>
      <c r="N1825">
        <v>2214</v>
      </c>
      <c r="O1825">
        <v>0</v>
      </c>
      <c r="P1825">
        <v>0</v>
      </c>
      <c r="Q1825" t="s">
        <v>44</v>
      </c>
      <c r="R1825" t="s">
        <v>44</v>
      </c>
      <c r="S1825" t="s">
        <v>44</v>
      </c>
      <c r="T1825" t="s">
        <v>44</v>
      </c>
      <c r="U1825" t="s">
        <v>44</v>
      </c>
      <c r="V1825">
        <v>618</v>
      </c>
      <c r="W1825" t="s">
        <v>44</v>
      </c>
      <c r="X1825" t="s">
        <v>44</v>
      </c>
      <c r="Y1825">
        <v>618</v>
      </c>
      <c r="Z1825" t="s">
        <v>44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618</v>
      </c>
      <c r="AQ1825">
        <f t="shared" si="65"/>
        <v>618</v>
      </c>
      <c r="AR1825" s="5">
        <f>VLOOKUP(F1825,'[1]Cost Sheet'!$C:$D,2,0)</f>
        <v>63.26</v>
      </c>
      <c r="AS1825" s="5">
        <f t="shared" si="64"/>
        <v>39094.68</v>
      </c>
    </row>
    <row r="1826" spans="1:45" x14ac:dyDescent="0.3">
      <c r="A1826" s="1">
        <v>45900.963888888888</v>
      </c>
      <c r="B1826" t="s">
        <v>1473</v>
      </c>
      <c r="C1826" t="s">
        <v>1474</v>
      </c>
      <c r="D1826" t="s">
        <v>656</v>
      </c>
      <c r="E1826" t="s">
        <v>656</v>
      </c>
      <c r="F1826" t="s">
        <v>1781</v>
      </c>
      <c r="G1826" t="s">
        <v>657</v>
      </c>
      <c r="H1826" t="s">
        <v>635</v>
      </c>
      <c r="I1826" t="s">
        <v>43</v>
      </c>
      <c r="N1826">
        <v>792</v>
      </c>
      <c r="O1826">
        <v>0</v>
      </c>
      <c r="P1826">
        <v>0</v>
      </c>
      <c r="Q1826" t="s">
        <v>44</v>
      </c>
      <c r="R1826" t="s">
        <v>44</v>
      </c>
      <c r="S1826" t="s">
        <v>44</v>
      </c>
      <c r="T1826" t="s">
        <v>44</v>
      </c>
      <c r="U1826" t="s">
        <v>44</v>
      </c>
      <c r="V1826">
        <v>135</v>
      </c>
      <c r="W1826" t="s">
        <v>44</v>
      </c>
      <c r="X1826" t="s">
        <v>44</v>
      </c>
      <c r="Y1826">
        <v>135</v>
      </c>
      <c r="Z1826" t="s">
        <v>44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135</v>
      </c>
      <c r="AQ1826">
        <f t="shared" si="65"/>
        <v>135</v>
      </c>
      <c r="AR1826" s="5">
        <f>VLOOKUP(F1826,'[1]Cost Sheet'!$C:$D,2,0)</f>
        <v>70.52</v>
      </c>
      <c r="AS1826" s="5">
        <f t="shared" si="64"/>
        <v>9520.1999999999989</v>
      </c>
    </row>
    <row r="1827" spans="1:45" x14ac:dyDescent="0.3">
      <c r="A1827" s="1">
        <v>45900.963888888888</v>
      </c>
      <c r="B1827" t="s">
        <v>1473</v>
      </c>
      <c r="C1827" t="s">
        <v>1474</v>
      </c>
      <c r="D1827" t="s">
        <v>957</v>
      </c>
      <c r="E1827" t="s">
        <v>957</v>
      </c>
      <c r="F1827" t="s">
        <v>1928</v>
      </c>
      <c r="G1827" t="s">
        <v>958</v>
      </c>
      <c r="H1827" t="s">
        <v>635</v>
      </c>
      <c r="I1827" t="s">
        <v>43</v>
      </c>
      <c r="N1827">
        <v>1342</v>
      </c>
      <c r="O1827">
        <v>0</v>
      </c>
      <c r="P1827">
        <v>0</v>
      </c>
      <c r="Q1827" t="s">
        <v>44</v>
      </c>
      <c r="R1827" t="s">
        <v>44</v>
      </c>
      <c r="S1827" t="s">
        <v>44</v>
      </c>
      <c r="T1827" t="s">
        <v>44</v>
      </c>
      <c r="U1827" t="s">
        <v>44</v>
      </c>
      <c r="V1827">
        <v>145</v>
      </c>
      <c r="W1827" t="s">
        <v>44</v>
      </c>
      <c r="X1827" t="s">
        <v>44</v>
      </c>
      <c r="Y1827">
        <v>145</v>
      </c>
      <c r="Z1827" t="s">
        <v>44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145</v>
      </c>
      <c r="AQ1827">
        <f t="shared" si="65"/>
        <v>145</v>
      </c>
      <c r="AR1827" s="5">
        <f>VLOOKUP(F1827,'[1]Cost Sheet'!$C:$D,2,0)</f>
        <v>60.46</v>
      </c>
      <c r="AS1827" s="5">
        <f t="shared" si="64"/>
        <v>8766.7000000000007</v>
      </c>
    </row>
    <row r="1828" spans="1:45" x14ac:dyDescent="0.3">
      <c r="A1828" s="1">
        <v>45900.963888888888</v>
      </c>
      <c r="B1828" t="s">
        <v>1473</v>
      </c>
      <c r="C1828" t="s">
        <v>1474</v>
      </c>
      <c r="D1828" t="s">
        <v>658</v>
      </c>
      <c r="E1828" t="s">
        <v>658</v>
      </c>
      <c r="F1828" t="s">
        <v>1782</v>
      </c>
      <c r="G1828" t="s">
        <v>659</v>
      </c>
      <c r="H1828" t="s">
        <v>635</v>
      </c>
      <c r="I1828" t="s">
        <v>43</v>
      </c>
      <c r="N1828">
        <v>703</v>
      </c>
      <c r="O1828">
        <v>0</v>
      </c>
      <c r="P1828">
        <v>0</v>
      </c>
      <c r="Q1828" t="s">
        <v>44</v>
      </c>
      <c r="R1828" t="s">
        <v>44</v>
      </c>
      <c r="S1828" t="s">
        <v>44</v>
      </c>
      <c r="T1828" t="s">
        <v>44</v>
      </c>
      <c r="U1828" t="s">
        <v>44</v>
      </c>
      <c r="V1828">
        <v>132</v>
      </c>
      <c r="W1828" t="s">
        <v>44</v>
      </c>
      <c r="X1828" t="s">
        <v>44</v>
      </c>
      <c r="Y1828">
        <v>132</v>
      </c>
      <c r="Z1828" t="s">
        <v>44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132</v>
      </c>
      <c r="AQ1828">
        <f t="shared" si="65"/>
        <v>132</v>
      </c>
      <c r="AR1828" s="5">
        <f>VLOOKUP(F1828,'[1]Cost Sheet'!$C:$D,2,0)</f>
        <v>66.328461538461553</v>
      </c>
      <c r="AS1828" s="5">
        <f t="shared" si="64"/>
        <v>8755.3569230769244</v>
      </c>
    </row>
    <row r="1829" spans="1:45" x14ac:dyDescent="0.3">
      <c r="A1829" s="1">
        <v>45900.963888888888</v>
      </c>
      <c r="B1829" t="s">
        <v>1473</v>
      </c>
      <c r="C1829" t="s">
        <v>1474</v>
      </c>
      <c r="D1829" t="s">
        <v>662</v>
      </c>
      <c r="E1829" t="s">
        <v>662</v>
      </c>
      <c r="F1829" t="s">
        <v>1784</v>
      </c>
      <c r="G1829" t="s">
        <v>663</v>
      </c>
      <c r="H1829" t="s">
        <v>635</v>
      </c>
      <c r="I1829" t="s">
        <v>43</v>
      </c>
      <c r="N1829">
        <v>1894</v>
      </c>
      <c r="O1829">
        <v>0</v>
      </c>
      <c r="P1829">
        <v>0</v>
      </c>
      <c r="Q1829" t="s">
        <v>44</v>
      </c>
      <c r="R1829">
        <v>1</v>
      </c>
      <c r="S1829" t="s">
        <v>44</v>
      </c>
      <c r="T1829" t="s">
        <v>44</v>
      </c>
      <c r="U1829" t="s">
        <v>44</v>
      </c>
      <c r="V1829">
        <v>634</v>
      </c>
      <c r="W1829" t="s">
        <v>44</v>
      </c>
      <c r="X1829" t="s">
        <v>44</v>
      </c>
      <c r="Y1829">
        <v>634</v>
      </c>
      <c r="Z1829" t="s">
        <v>44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634</v>
      </c>
      <c r="AQ1829">
        <f t="shared" si="65"/>
        <v>634</v>
      </c>
      <c r="AR1829" s="5">
        <f>VLOOKUP(F1829,'[1]Cost Sheet'!$C:$D,2,0)</f>
        <v>75.81</v>
      </c>
      <c r="AS1829" s="5">
        <f t="shared" si="64"/>
        <v>48063.54</v>
      </c>
    </row>
    <row r="1830" spans="1:45" x14ac:dyDescent="0.3">
      <c r="A1830" s="1">
        <v>45900.963888888888</v>
      </c>
      <c r="B1830" t="s">
        <v>1473</v>
      </c>
      <c r="C1830" t="s">
        <v>1474</v>
      </c>
      <c r="D1830" t="s">
        <v>666</v>
      </c>
      <c r="E1830" t="s">
        <v>666</v>
      </c>
      <c r="F1830" t="s">
        <v>1786</v>
      </c>
      <c r="G1830" t="s">
        <v>667</v>
      </c>
      <c r="H1830" t="s">
        <v>635</v>
      </c>
      <c r="I1830" t="s">
        <v>43</v>
      </c>
      <c r="N1830">
        <v>524</v>
      </c>
      <c r="O1830">
        <v>0</v>
      </c>
      <c r="P1830">
        <v>0</v>
      </c>
      <c r="Q1830" t="s">
        <v>44</v>
      </c>
      <c r="R1830">
        <v>1</v>
      </c>
      <c r="S1830" t="s">
        <v>44</v>
      </c>
      <c r="T1830" t="s">
        <v>44</v>
      </c>
      <c r="U1830" t="s">
        <v>44</v>
      </c>
      <c r="V1830">
        <v>127</v>
      </c>
      <c r="W1830" t="s">
        <v>44</v>
      </c>
      <c r="X1830" t="s">
        <v>44</v>
      </c>
      <c r="Y1830">
        <v>127</v>
      </c>
      <c r="Z1830" t="s">
        <v>44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127</v>
      </c>
      <c r="AQ1830">
        <f t="shared" si="65"/>
        <v>127</v>
      </c>
      <c r="AR1830" s="5">
        <f>VLOOKUP(F1830,'[1]Cost Sheet'!$C:$D,2,0)</f>
        <v>52.010000000000005</v>
      </c>
      <c r="AS1830" s="5">
        <f t="shared" si="64"/>
        <v>6605.27</v>
      </c>
    </row>
    <row r="1831" spans="1:45" x14ac:dyDescent="0.3">
      <c r="A1831" s="1">
        <v>45900.963888888888</v>
      </c>
      <c r="B1831" t="s">
        <v>1473</v>
      </c>
      <c r="C1831" t="s">
        <v>1474</v>
      </c>
      <c r="D1831" t="s">
        <v>975</v>
      </c>
      <c r="E1831" t="s">
        <v>975</v>
      </c>
      <c r="F1831" t="s">
        <v>1937</v>
      </c>
      <c r="G1831" t="s">
        <v>976</v>
      </c>
      <c r="H1831" t="s">
        <v>635</v>
      </c>
      <c r="I1831" t="s">
        <v>43</v>
      </c>
      <c r="N1831">
        <v>586</v>
      </c>
      <c r="O1831">
        <v>0</v>
      </c>
      <c r="P1831">
        <v>0</v>
      </c>
      <c r="Q1831" t="s">
        <v>44</v>
      </c>
      <c r="R1831" t="s">
        <v>44</v>
      </c>
      <c r="S1831" t="s">
        <v>44</v>
      </c>
      <c r="T1831" t="s">
        <v>44</v>
      </c>
      <c r="U1831" t="s">
        <v>44</v>
      </c>
      <c r="V1831">
        <v>116</v>
      </c>
      <c r="W1831" t="s">
        <v>44</v>
      </c>
      <c r="X1831" t="s">
        <v>44</v>
      </c>
      <c r="Y1831">
        <v>116</v>
      </c>
      <c r="Z1831" t="s">
        <v>44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116</v>
      </c>
      <c r="AQ1831">
        <f t="shared" si="65"/>
        <v>116</v>
      </c>
      <c r="AR1831" s="5">
        <f>VLOOKUP(F1831,'[1]Cost Sheet'!$C:$D,2,0)</f>
        <v>113.26</v>
      </c>
      <c r="AS1831" s="5">
        <f t="shared" si="64"/>
        <v>13138.16</v>
      </c>
    </row>
    <row r="1832" spans="1:45" x14ac:dyDescent="0.3">
      <c r="A1832" s="1">
        <v>45900.963888888888</v>
      </c>
      <c r="B1832" t="s">
        <v>1473</v>
      </c>
      <c r="C1832" t="s">
        <v>1474</v>
      </c>
      <c r="D1832" t="s">
        <v>1007</v>
      </c>
      <c r="E1832" t="s">
        <v>1007</v>
      </c>
      <c r="F1832" t="s">
        <v>1953</v>
      </c>
      <c r="G1832" t="s">
        <v>1008</v>
      </c>
      <c r="H1832" t="s">
        <v>635</v>
      </c>
      <c r="I1832" t="s">
        <v>43</v>
      </c>
      <c r="N1832">
        <v>737</v>
      </c>
      <c r="O1832">
        <v>0</v>
      </c>
      <c r="P1832">
        <v>0</v>
      </c>
      <c r="Q1832" t="s">
        <v>44</v>
      </c>
      <c r="R1832" t="s">
        <v>44</v>
      </c>
      <c r="S1832" t="s">
        <v>44</v>
      </c>
      <c r="T1832" t="s">
        <v>44</v>
      </c>
      <c r="U1832" t="s">
        <v>44</v>
      </c>
      <c r="V1832">
        <v>150</v>
      </c>
      <c r="W1832" t="s">
        <v>44</v>
      </c>
      <c r="X1832" t="s">
        <v>44</v>
      </c>
      <c r="Y1832">
        <v>150</v>
      </c>
      <c r="Z1832" t="s">
        <v>44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150</v>
      </c>
      <c r="AQ1832">
        <f t="shared" si="65"/>
        <v>150</v>
      </c>
      <c r="AR1832" s="5">
        <f>VLOOKUP(F1832,'[1]Cost Sheet'!$C:$D,2,0)</f>
        <v>103.36</v>
      </c>
      <c r="AS1832" s="5">
        <f t="shared" si="64"/>
        <v>15504</v>
      </c>
    </row>
    <row r="1833" spans="1:45" x14ac:dyDescent="0.3">
      <c r="A1833" s="1">
        <v>45900.963888888888</v>
      </c>
      <c r="B1833" t="s">
        <v>1473</v>
      </c>
      <c r="C1833" t="s">
        <v>1474</v>
      </c>
      <c r="D1833" t="s">
        <v>1017</v>
      </c>
      <c r="E1833" t="s">
        <v>1017</v>
      </c>
      <c r="F1833" t="s">
        <v>1958</v>
      </c>
      <c r="G1833" t="s">
        <v>1018</v>
      </c>
      <c r="H1833" t="s">
        <v>635</v>
      </c>
      <c r="I1833" t="s">
        <v>43</v>
      </c>
      <c r="N1833">
        <v>898</v>
      </c>
      <c r="O1833">
        <v>0</v>
      </c>
      <c r="P1833">
        <v>0</v>
      </c>
      <c r="Q1833" t="s">
        <v>44</v>
      </c>
      <c r="R1833" t="s">
        <v>44</v>
      </c>
      <c r="S1833" t="s">
        <v>44</v>
      </c>
      <c r="T1833" t="s">
        <v>44</v>
      </c>
      <c r="U1833" t="s">
        <v>44</v>
      </c>
      <c r="V1833">
        <v>119</v>
      </c>
      <c r="W1833" t="s">
        <v>44</v>
      </c>
      <c r="X1833" t="s">
        <v>44</v>
      </c>
      <c r="Y1833">
        <v>119</v>
      </c>
      <c r="Z1833" t="s">
        <v>44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119</v>
      </c>
      <c r="AQ1833">
        <f t="shared" si="65"/>
        <v>119</v>
      </c>
      <c r="AR1833" s="5">
        <f>VLOOKUP(F1833,'[1]Cost Sheet'!$C:$D,2,0)</f>
        <v>61.997777777777777</v>
      </c>
      <c r="AS1833" s="5">
        <f t="shared" si="64"/>
        <v>7377.7355555555559</v>
      </c>
    </row>
    <row r="1834" spans="1:45" x14ac:dyDescent="0.3">
      <c r="A1834" s="1">
        <v>45900.963888888888</v>
      </c>
      <c r="B1834" t="s">
        <v>1473</v>
      </c>
      <c r="C1834" t="s">
        <v>1474</v>
      </c>
      <c r="D1834" t="s">
        <v>1021</v>
      </c>
      <c r="E1834" t="s">
        <v>1021</v>
      </c>
      <c r="F1834" t="s">
        <v>1960</v>
      </c>
      <c r="G1834" t="s">
        <v>1022</v>
      </c>
      <c r="H1834" t="s">
        <v>635</v>
      </c>
      <c r="I1834" t="s">
        <v>43</v>
      </c>
      <c r="N1834">
        <v>597</v>
      </c>
      <c r="O1834">
        <v>0</v>
      </c>
      <c r="P1834">
        <v>0</v>
      </c>
      <c r="Q1834" t="s">
        <v>44</v>
      </c>
      <c r="R1834" t="s">
        <v>44</v>
      </c>
      <c r="S1834" t="s">
        <v>44</v>
      </c>
      <c r="T1834" t="s">
        <v>44</v>
      </c>
      <c r="U1834" t="s">
        <v>44</v>
      </c>
      <c r="V1834">
        <v>108</v>
      </c>
      <c r="W1834" t="s">
        <v>44</v>
      </c>
      <c r="X1834" t="s">
        <v>44</v>
      </c>
      <c r="Y1834">
        <v>108</v>
      </c>
      <c r="Z1834" t="s">
        <v>44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108</v>
      </c>
      <c r="AQ1834">
        <f t="shared" si="65"/>
        <v>108</v>
      </c>
      <c r="AR1834" s="5">
        <f>VLOOKUP(F1834,'[1]Cost Sheet'!$C:$D,2,0)</f>
        <v>49.01</v>
      </c>
      <c r="AS1834" s="5">
        <f t="shared" si="64"/>
        <v>5293.08</v>
      </c>
    </row>
    <row r="1835" spans="1:45" x14ac:dyDescent="0.3">
      <c r="A1835" s="1">
        <v>45900.963888888888</v>
      </c>
      <c r="B1835" t="s">
        <v>1473</v>
      </c>
      <c r="C1835" t="s">
        <v>1474</v>
      </c>
      <c r="D1835" t="s">
        <v>680</v>
      </c>
      <c r="E1835" t="s">
        <v>680</v>
      </c>
      <c r="F1835" t="s">
        <v>1793</v>
      </c>
      <c r="G1835" t="s">
        <v>681</v>
      </c>
      <c r="H1835" t="s">
        <v>635</v>
      </c>
      <c r="I1835" t="s">
        <v>43</v>
      </c>
      <c r="N1835">
        <v>656</v>
      </c>
      <c r="O1835">
        <v>0</v>
      </c>
      <c r="P1835">
        <v>0</v>
      </c>
      <c r="Q1835" t="s">
        <v>44</v>
      </c>
      <c r="R1835" t="s">
        <v>44</v>
      </c>
      <c r="S1835" t="s">
        <v>44</v>
      </c>
      <c r="T1835" t="s">
        <v>44</v>
      </c>
      <c r="U1835" t="s">
        <v>44</v>
      </c>
      <c r="V1835">
        <v>159</v>
      </c>
      <c r="W1835" t="s">
        <v>44</v>
      </c>
      <c r="X1835" t="s">
        <v>44</v>
      </c>
      <c r="Y1835">
        <v>159</v>
      </c>
      <c r="Z1835" t="s">
        <v>44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159</v>
      </c>
      <c r="AQ1835">
        <f t="shared" si="65"/>
        <v>159</v>
      </c>
      <c r="AR1835" s="5">
        <f>VLOOKUP(F1835,'[1]Cost Sheet'!$C:$D,2,0)</f>
        <v>68.577500000000001</v>
      </c>
      <c r="AS1835" s="5">
        <f t="shared" si="64"/>
        <v>10903.8225</v>
      </c>
    </row>
    <row r="1836" spans="1:45" x14ac:dyDescent="0.3">
      <c r="A1836" s="1">
        <v>45900.963888888888</v>
      </c>
      <c r="B1836" t="s">
        <v>1473</v>
      </c>
      <c r="C1836" t="s">
        <v>1474</v>
      </c>
      <c r="D1836" t="s">
        <v>1031</v>
      </c>
      <c r="E1836" t="s">
        <v>1031</v>
      </c>
      <c r="F1836" t="s">
        <v>1965</v>
      </c>
      <c r="G1836" t="s">
        <v>1032</v>
      </c>
      <c r="H1836" t="s">
        <v>635</v>
      </c>
      <c r="I1836" t="s">
        <v>43</v>
      </c>
      <c r="N1836">
        <v>735</v>
      </c>
      <c r="O1836">
        <v>0</v>
      </c>
      <c r="P1836">
        <v>0</v>
      </c>
      <c r="Q1836" t="s">
        <v>44</v>
      </c>
      <c r="R1836" t="s">
        <v>44</v>
      </c>
      <c r="S1836" t="s">
        <v>44</v>
      </c>
      <c r="T1836" t="s">
        <v>44</v>
      </c>
      <c r="U1836" t="s">
        <v>44</v>
      </c>
      <c r="V1836">
        <v>105</v>
      </c>
      <c r="W1836" t="s">
        <v>44</v>
      </c>
      <c r="X1836" t="s">
        <v>44</v>
      </c>
      <c r="Y1836">
        <v>105</v>
      </c>
      <c r="Z1836" t="s">
        <v>44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105</v>
      </c>
      <c r="AQ1836">
        <f t="shared" si="65"/>
        <v>105</v>
      </c>
      <c r="AR1836" s="5">
        <f>VLOOKUP(F1836,'[1]Cost Sheet'!$C:$D,2,0)</f>
        <v>64.540000000000006</v>
      </c>
      <c r="AS1836" s="5">
        <f t="shared" si="64"/>
        <v>6776.7000000000007</v>
      </c>
    </row>
    <row r="1837" spans="1:45" x14ac:dyDescent="0.3">
      <c r="A1837" s="1">
        <v>45900.963888888888</v>
      </c>
      <c r="B1837" t="s">
        <v>1473</v>
      </c>
      <c r="C1837" t="s">
        <v>1474</v>
      </c>
      <c r="D1837" t="s">
        <v>1039</v>
      </c>
      <c r="E1837" t="s">
        <v>1039</v>
      </c>
      <c r="F1837" t="s">
        <v>1969</v>
      </c>
      <c r="G1837" t="s">
        <v>1040</v>
      </c>
      <c r="H1837" t="s">
        <v>635</v>
      </c>
      <c r="I1837" t="s">
        <v>43</v>
      </c>
      <c r="N1837">
        <v>738</v>
      </c>
      <c r="O1837">
        <v>0</v>
      </c>
      <c r="P1837">
        <v>0</v>
      </c>
      <c r="Q1837" t="s">
        <v>44</v>
      </c>
      <c r="R1837" t="s">
        <v>44</v>
      </c>
      <c r="S1837" t="s">
        <v>44</v>
      </c>
      <c r="T1837" t="s">
        <v>44</v>
      </c>
      <c r="U1837" t="s">
        <v>44</v>
      </c>
      <c r="V1837">
        <v>151</v>
      </c>
      <c r="W1837" t="s">
        <v>44</v>
      </c>
      <c r="X1837" t="s">
        <v>44</v>
      </c>
      <c r="Y1837">
        <v>151</v>
      </c>
      <c r="Z1837" t="s">
        <v>44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151</v>
      </c>
      <c r="AQ1837">
        <f t="shared" si="65"/>
        <v>151</v>
      </c>
      <c r="AR1837" s="5">
        <f>VLOOKUP(F1837,'[1]Cost Sheet'!$C:$D,2,0)</f>
        <v>114.80999999999999</v>
      </c>
      <c r="AS1837" s="5">
        <f t="shared" si="64"/>
        <v>17336.309999999998</v>
      </c>
    </row>
    <row r="1838" spans="1:45" x14ac:dyDescent="0.3">
      <c r="A1838" s="1">
        <v>45900.963888888888</v>
      </c>
      <c r="B1838" t="s">
        <v>1473</v>
      </c>
      <c r="C1838" t="s">
        <v>1474</v>
      </c>
      <c r="D1838" t="s">
        <v>1053</v>
      </c>
      <c r="E1838" t="s">
        <v>1053</v>
      </c>
      <c r="F1838" t="s">
        <v>1976</v>
      </c>
      <c r="G1838" t="s">
        <v>1054</v>
      </c>
      <c r="H1838" t="s">
        <v>635</v>
      </c>
      <c r="I1838" t="s">
        <v>43</v>
      </c>
      <c r="N1838">
        <v>421</v>
      </c>
      <c r="O1838">
        <v>0</v>
      </c>
      <c r="P1838">
        <v>0</v>
      </c>
      <c r="Q1838" t="s">
        <v>44</v>
      </c>
      <c r="R1838" t="s">
        <v>44</v>
      </c>
      <c r="S1838" t="s">
        <v>44</v>
      </c>
      <c r="T1838" t="s">
        <v>44</v>
      </c>
      <c r="U1838" t="s">
        <v>44</v>
      </c>
      <c r="V1838">
        <v>106</v>
      </c>
      <c r="W1838" t="s">
        <v>44</v>
      </c>
      <c r="X1838" t="s">
        <v>44</v>
      </c>
      <c r="Y1838">
        <v>106</v>
      </c>
      <c r="Z1838" t="s">
        <v>44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106</v>
      </c>
      <c r="AQ1838">
        <f t="shared" si="65"/>
        <v>106</v>
      </c>
      <c r="AR1838" s="5">
        <f>VLOOKUP(F1838,'[1]Cost Sheet'!$C:$D,2,0)</f>
        <v>61.98</v>
      </c>
      <c r="AS1838" s="5">
        <f t="shared" si="64"/>
        <v>6569.88</v>
      </c>
    </row>
    <row r="1839" spans="1:45" x14ac:dyDescent="0.3">
      <c r="A1839" s="1">
        <v>45900.963888888888</v>
      </c>
      <c r="B1839" t="s">
        <v>1473</v>
      </c>
      <c r="C1839" t="s">
        <v>1474</v>
      </c>
      <c r="D1839" t="s">
        <v>1083</v>
      </c>
      <c r="E1839" t="s">
        <v>1083</v>
      </c>
      <c r="F1839" t="s">
        <v>1991</v>
      </c>
      <c r="G1839" t="s">
        <v>1084</v>
      </c>
      <c r="H1839" t="s">
        <v>635</v>
      </c>
      <c r="I1839" t="s">
        <v>43</v>
      </c>
      <c r="N1839">
        <v>360</v>
      </c>
      <c r="O1839">
        <v>0</v>
      </c>
      <c r="P1839">
        <v>0</v>
      </c>
      <c r="Q1839" t="s">
        <v>44</v>
      </c>
      <c r="R1839" t="s">
        <v>44</v>
      </c>
      <c r="S1839" t="s">
        <v>44</v>
      </c>
      <c r="T1839" t="s">
        <v>44</v>
      </c>
      <c r="U1839" t="s">
        <v>44</v>
      </c>
      <c r="V1839">
        <v>118</v>
      </c>
      <c r="W1839" t="s">
        <v>44</v>
      </c>
      <c r="X1839" t="s">
        <v>44</v>
      </c>
      <c r="Y1839">
        <v>118</v>
      </c>
      <c r="Z1839" t="s">
        <v>44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118</v>
      </c>
      <c r="AQ1839">
        <f t="shared" si="65"/>
        <v>118</v>
      </c>
      <c r="AR1839" s="5">
        <f>VLOOKUP(F1839,'[1]Cost Sheet'!$C:$D,2,0)</f>
        <v>94.559999999999988</v>
      </c>
      <c r="AS1839" s="5">
        <f t="shared" si="64"/>
        <v>11158.079999999998</v>
      </c>
    </row>
    <row r="1840" spans="1:45" x14ac:dyDescent="0.3">
      <c r="A1840" s="1">
        <v>45900.963888888888</v>
      </c>
      <c r="B1840" t="s">
        <v>1473</v>
      </c>
      <c r="C1840" t="s">
        <v>1474</v>
      </c>
      <c r="D1840" t="s">
        <v>1085</v>
      </c>
      <c r="E1840" t="s">
        <v>1085</v>
      </c>
      <c r="F1840" t="s">
        <v>1992</v>
      </c>
      <c r="G1840" t="s">
        <v>1086</v>
      </c>
      <c r="H1840" t="s">
        <v>635</v>
      </c>
      <c r="I1840" t="s">
        <v>43</v>
      </c>
      <c r="N1840">
        <v>881</v>
      </c>
      <c r="O1840">
        <v>0</v>
      </c>
      <c r="P1840">
        <v>0</v>
      </c>
      <c r="Q1840" t="s">
        <v>44</v>
      </c>
      <c r="R1840" t="s">
        <v>44</v>
      </c>
      <c r="S1840" t="s">
        <v>44</v>
      </c>
      <c r="T1840" t="s">
        <v>44</v>
      </c>
      <c r="U1840" t="s">
        <v>44</v>
      </c>
      <c r="V1840">
        <v>107</v>
      </c>
      <c r="W1840" t="s">
        <v>44</v>
      </c>
      <c r="X1840" t="s">
        <v>44</v>
      </c>
      <c r="Y1840">
        <v>107</v>
      </c>
      <c r="Z1840" t="s">
        <v>44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107</v>
      </c>
      <c r="AQ1840">
        <f t="shared" si="65"/>
        <v>107</v>
      </c>
      <c r="AR1840" s="5">
        <f>VLOOKUP(F1840,'[1]Cost Sheet'!$C:$D,2,0)</f>
        <v>83.794500000000028</v>
      </c>
      <c r="AS1840" s="5">
        <f t="shared" si="64"/>
        <v>8966.0115000000023</v>
      </c>
    </row>
    <row r="1841" spans="1:45" x14ac:dyDescent="0.3">
      <c r="A1841" s="1">
        <v>45900.963888888888</v>
      </c>
      <c r="B1841" t="s">
        <v>1473</v>
      </c>
      <c r="C1841" t="s">
        <v>1474</v>
      </c>
      <c r="D1841" t="s">
        <v>1087</v>
      </c>
      <c r="E1841" t="s">
        <v>1087</v>
      </c>
      <c r="F1841" t="s">
        <v>1993</v>
      </c>
      <c r="G1841" t="s">
        <v>1088</v>
      </c>
      <c r="H1841" t="s">
        <v>635</v>
      </c>
      <c r="I1841" t="s">
        <v>43</v>
      </c>
      <c r="N1841">
        <v>689</v>
      </c>
      <c r="O1841">
        <v>0</v>
      </c>
      <c r="P1841">
        <v>0</v>
      </c>
      <c r="Q1841" t="s">
        <v>44</v>
      </c>
      <c r="R1841" t="s">
        <v>44</v>
      </c>
      <c r="S1841" t="s">
        <v>44</v>
      </c>
      <c r="T1841" t="s">
        <v>44</v>
      </c>
      <c r="U1841" t="s">
        <v>44</v>
      </c>
      <c r="V1841">
        <v>106</v>
      </c>
      <c r="W1841" t="s">
        <v>44</v>
      </c>
      <c r="X1841" t="s">
        <v>44</v>
      </c>
      <c r="Y1841">
        <v>106</v>
      </c>
      <c r="Z1841" t="s">
        <v>44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106</v>
      </c>
      <c r="AQ1841">
        <f t="shared" si="65"/>
        <v>106</v>
      </c>
      <c r="AR1841" s="5">
        <f>VLOOKUP(F1841,'[1]Cost Sheet'!$C:$D,2,0)</f>
        <v>45.74</v>
      </c>
      <c r="AS1841" s="5">
        <f t="shared" si="64"/>
        <v>4848.4400000000005</v>
      </c>
    </row>
    <row r="1842" spans="1:45" x14ac:dyDescent="0.3">
      <c r="A1842" s="1">
        <v>45900.963888888888</v>
      </c>
      <c r="B1842" t="s">
        <v>1473</v>
      </c>
      <c r="C1842" t="s">
        <v>1474</v>
      </c>
      <c r="D1842" t="s">
        <v>1095</v>
      </c>
      <c r="E1842" t="s">
        <v>1095</v>
      </c>
      <c r="F1842" t="s">
        <v>1997</v>
      </c>
      <c r="G1842" t="s">
        <v>1096</v>
      </c>
      <c r="H1842" t="s">
        <v>635</v>
      </c>
      <c r="I1842" t="s">
        <v>43</v>
      </c>
      <c r="N1842">
        <v>577</v>
      </c>
      <c r="O1842">
        <v>0</v>
      </c>
      <c r="P1842">
        <v>0</v>
      </c>
      <c r="Q1842" t="s">
        <v>44</v>
      </c>
      <c r="R1842" t="s">
        <v>44</v>
      </c>
      <c r="S1842" t="s">
        <v>44</v>
      </c>
      <c r="T1842" t="s">
        <v>44</v>
      </c>
      <c r="U1842" t="s">
        <v>44</v>
      </c>
      <c r="V1842">
        <v>154</v>
      </c>
      <c r="W1842" t="s">
        <v>44</v>
      </c>
      <c r="X1842" t="s">
        <v>44</v>
      </c>
      <c r="Y1842">
        <v>154</v>
      </c>
      <c r="Z1842" t="s">
        <v>44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154</v>
      </c>
      <c r="AQ1842">
        <f t="shared" si="65"/>
        <v>154</v>
      </c>
      <c r="AR1842" s="5">
        <f>VLOOKUP(F1842,'[1]Cost Sheet'!$C:$D,2,0)</f>
        <v>50.06</v>
      </c>
      <c r="AS1842" s="5">
        <f t="shared" si="64"/>
        <v>7709.2400000000007</v>
      </c>
    </row>
    <row r="1843" spans="1:45" x14ac:dyDescent="0.3">
      <c r="A1843" s="1">
        <v>45900.963888888888</v>
      </c>
      <c r="B1843" t="s">
        <v>1473</v>
      </c>
      <c r="C1843" t="s">
        <v>1474</v>
      </c>
      <c r="D1843" t="s">
        <v>520</v>
      </c>
      <c r="F1843" t="s">
        <v>1714</v>
      </c>
      <c r="G1843" t="s">
        <v>521</v>
      </c>
      <c r="H1843" t="s">
        <v>103</v>
      </c>
      <c r="I1843" t="s">
        <v>43</v>
      </c>
      <c r="J1843">
        <v>122</v>
      </c>
      <c r="K1843">
        <v>19</v>
      </c>
      <c r="L1843">
        <v>10</v>
      </c>
      <c r="M1843">
        <v>11</v>
      </c>
      <c r="N1843">
        <v>11435</v>
      </c>
      <c r="O1843">
        <v>4</v>
      </c>
      <c r="P1843">
        <v>0</v>
      </c>
      <c r="Q1843">
        <v>3</v>
      </c>
      <c r="R1843">
        <v>789</v>
      </c>
      <c r="S1843" t="s">
        <v>44</v>
      </c>
      <c r="T1843">
        <v>78</v>
      </c>
      <c r="U1843" t="s">
        <v>44</v>
      </c>
      <c r="V1843">
        <v>490</v>
      </c>
      <c r="W1843">
        <v>1</v>
      </c>
      <c r="X1843" t="s">
        <v>44</v>
      </c>
      <c r="Y1843">
        <v>490</v>
      </c>
      <c r="Z1843" t="s">
        <v>44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494</v>
      </c>
      <c r="AQ1843">
        <f t="shared" si="65"/>
        <v>494</v>
      </c>
      <c r="AR1843" s="5">
        <f>VLOOKUP(F1843,'[2]SCP_24-25'!$A:$D,4,0)</f>
        <v>90.48</v>
      </c>
      <c r="AS1843" s="5">
        <f t="shared" si="64"/>
        <v>44697.120000000003</v>
      </c>
    </row>
    <row r="1844" spans="1:45" x14ac:dyDescent="0.3">
      <c r="A1844" s="1">
        <v>45900.963888888888</v>
      </c>
      <c r="B1844" t="s">
        <v>1473</v>
      </c>
      <c r="C1844" t="s">
        <v>1474</v>
      </c>
      <c r="D1844" t="s">
        <v>1097</v>
      </c>
      <c r="E1844" t="s">
        <v>1097</v>
      </c>
      <c r="F1844" t="s">
        <v>1998</v>
      </c>
      <c r="G1844" t="s">
        <v>1098</v>
      </c>
      <c r="H1844" t="s">
        <v>635</v>
      </c>
      <c r="I1844" t="s">
        <v>43</v>
      </c>
      <c r="N1844">
        <v>181</v>
      </c>
      <c r="O1844">
        <v>0</v>
      </c>
      <c r="P1844">
        <v>0</v>
      </c>
      <c r="Q1844" t="s">
        <v>44</v>
      </c>
      <c r="R1844" t="s">
        <v>44</v>
      </c>
      <c r="S1844" t="s">
        <v>44</v>
      </c>
      <c r="T1844" t="s">
        <v>44</v>
      </c>
      <c r="U1844" t="s">
        <v>44</v>
      </c>
      <c r="V1844">
        <v>120</v>
      </c>
      <c r="W1844" t="s">
        <v>44</v>
      </c>
      <c r="X1844" t="s">
        <v>44</v>
      </c>
      <c r="Y1844">
        <v>120</v>
      </c>
      <c r="Z1844" t="s">
        <v>44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120</v>
      </c>
      <c r="AQ1844">
        <f t="shared" si="65"/>
        <v>120</v>
      </c>
      <c r="AR1844" s="5">
        <f>VLOOKUP(F1844,'[1]Cost Sheet'!$C:$D,2,0)</f>
        <v>90.48</v>
      </c>
      <c r="AS1844" s="5">
        <f t="shared" si="64"/>
        <v>10857.6</v>
      </c>
    </row>
    <row r="1845" spans="1:45" x14ac:dyDescent="0.3">
      <c r="A1845" s="1">
        <v>45900.963888888888</v>
      </c>
      <c r="B1845" t="s">
        <v>1473</v>
      </c>
      <c r="C1845" t="s">
        <v>1474</v>
      </c>
      <c r="D1845" t="s">
        <v>1099</v>
      </c>
      <c r="E1845" t="s">
        <v>1099</v>
      </c>
      <c r="F1845" t="s">
        <v>1999</v>
      </c>
      <c r="G1845" t="s">
        <v>1100</v>
      </c>
      <c r="H1845" t="s">
        <v>635</v>
      </c>
      <c r="I1845" t="s">
        <v>43</v>
      </c>
      <c r="J1845">
        <v>15</v>
      </c>
      <c r="K1845">
        <v>19</v>
      </c>
      <c r="L1845">
        <v>10</v>
      </c>
      <c r="M1845">
        <v>11</v>
      </c>
      <c r="N1845">
        <v>972</v>
      </c>
      <c r="O1845">
        <v>0</v>
      </c>
      <c r="P1845">
        <v>0</v>
      </c>
      <c r="Q1845" t="s">
        <v>44</v>
      </c>
      <c r="R1845" t="s">
        <v>44</v>
      </c>
      <c r="S1845" t="s">
        <v>44</v>
      </c>
      <c r="T1845" t="s">
        <v>44</v>
      </c>
      <c r="U1845" t="s">
        <v>44</v>
      </c>
      <c r="V1845">
        <v>126</v>
      </c>
      <c r="W1845" t="s">
        <v>44</v>
      </c>
      <c r="X1845" t="s">
        <v>44</v>
      </c>
      <c r="Y1845">
        <v>126</v>
      </c>
      <c r="Z1845" t="s">
        <v>44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126</v>
      </c>
      <c r="AQ1845">
        <f t="shared" si="65"/>
        <v>126</v>
      </c>
      <c r="AR1845" s="5">
        <f>VLOOKUP(F1845,'[1]Cost Sheet'!$C:$D,2,0)</f>
        <v>37.46</v>
      </c>
      <c r="AS1845" s="5">
        <f t="shared" si="64"/>
        <v>4719.96</v>
      </c>
    </row>
    <row r="1846" spans="1:45" x14ac:dyDescent="0.3">
      <c r="A1846" s="1">
        <v>45900.963888888888</v>
      </c>
      <c r="B1846" t="s">
        <v>1473</v>
      </c>
      <c r="C1846" t="s">
        <v>1474</v>
      </c>
      <c r="D1846" t="s">
        <v>696</v>
      </c>
      <c r="E1846" t="s">
        <v>696</v>
      </c>
      <c r="F1846" t="s">
        <v>1801</v>
      </c>
      <c r="G1846" t="s">
        <v>697</v>
      </c>
      <c r="H1846" t="s">
        <v>635</v>
      </c>
      <c r="I1846" t="s">
        <v>43</v>
      </c>
      <c r="J1846">
        <v>15</v>
      </c>
      <c r="K1846">
        <v>19</v>
      </c>
      <c r="L1846">
        <v>10</v>
      </c>
      <c r="M1846">
        <v>11</v>
      </c>
      <c r="N1846">
        <v>925</v>
      </c>
      <c r="O1846">
        <v>0</v>
      </c>
      <c r="P1846">
        <v>0</v>
      </c>
      <c r="Q1846" t="s">
        <v>44</v>
      </c>
      <c r="R1846" t="s">
        <v>44</v>
      </c>
      <c r="S1846" t="s">
        <v>44</v>
      </c>
      <c r="T1846" t="s">
        <v>44</v>
      </c>
      <c r="U1846" t="s">
        <v>44</v>
      </c>
      <c r="V1846">
        <v>115</v>
      </c>
      <c r="W1846" t="s">
        <v>44</v>
      </c>
      <c r="X1846" t="s">
        <v>44</v>
      </c>
      <c r="Y1846">
        <v>115</v>
      </c>
      <c r="Z1846" t="s">
        <v>44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115</v>
      </c>
      <c r="AQ1846">
        <f t="shared" si="65"/>
        <v>115</v>
      </c>
      <c r="AR1846" s="5">
        <f>VLOOKUP(F1846,'[1]Cost Sheet'!$C:$D,2,0)</f>
        <v>29.02</v>
      </c>
      <c r="AS1846" s="5">
        <f t="shared" si="64"/>
        <v>3337.2999999999997</v>
      </c>
    </row>
    <row r="1847" spans="1:45" x14ac:dyDescent="0.3">
      <c r="A1847" s="1">
        <v>45900.963888888888</v>
      </c>
      <c r="B1847" t="s">
        <v>1473</v>
      </c>
      <c r="C1847" t="s">
        <v>1474</v>
      </c>
      <c r="D1847" t="s">
        <v>1101</v>
      </c>
      <c r="E1847" t="s">
        <v>1101</v>
      </c>
      <c r="F1847" t="s">
        <v>2000</v>
      </c>
      <c r="G1847" t="s">
        <v>1102</v>
      </c>
      <c r="H1847" t="s">
        <v>635</v>
      </c>
      <c r="I1847" t="s">
        <v>43</v>
      </c>
      <c r="J1847">
        <v>35</v>
      </c>
      <c r="K1847">
        <v>19</v>
      </c>
      <c r="L1847">
        <v>10</v>
      </c>
      <c r="M1847">
        <v>11</v>
      </c>
      <c r="N1847">
        <v>785</v>
      </c>
      <c r="O1847">
        <v>0</v>
      </c>
      <c r="P1847">
        <v>0</v>
      </c>
      <c r="Q1847" t="s">
        <v>44</v>
      </c>
      <c r="R1847" t="s">
        <v>44</v>
      </c>
      <c r="S1847" t="s">
        <v>44</v>
      </c>
      <c r="T1847" t="s">
        <v>44</v>
      </c>
      <c r="U1847" t="s">
        <v>44</v>
      </c>
      <c r="V1847">
        <v>157</v>
      </c>
      <c r="W1847" t="s">
        <v>44</v>
      </c>
      <c r="X1847" t="s">
        <v>44</v>
      </c>
      <c r="Y1847">
        <v>157</v>
      </c>
      <c r="Z1847">
        <v>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157</v>
      </c>
      <c r="AQ1847">
        <f t="shared" si="65"/>
        <v>157</v>
      </c>
      <c r="AR1847" s="5">
        <f>VLOOKUP(F1847,'[1]Cost Sheet'!$C:$D,2,0)</f>
        <v>45.279999999999994</v>
      </c>
      <c r="AS1847" s="5">
        <f t="shared" si="64"/>
        <v>7108.9599999999991</v>
      </c>
    </row>
    <row r="1848" spans="1:45" x14ac:dyDescent="0.3">
      <c r="A1848" s="1">
        <v>45900.963888888888</v>
      </c>
      <c r="B1848" t="s">
        <v>1473</v>
      </c>
      <c r="C1848" t="s">
        <v>1474</v>
      </c>
      <c r="D1848" t="s">
        <v>1103</v>
      </c>
      <c r="E1848" t="s">
        <v>1103</v>
      </c>
      <c r="F1848" t="s">
        <v>2001</v>
      </c>
      <c r="G1848" t="s">
        <v>1104</v>
      </c>
      <c r="H1848" t="s">
        <v>635</v>
      </c>
      <c r="I1848" t="s">
        <v>43</v>
      </c>
      <c r="J1848">
        <v>25</v>
      </c>
      <c r="K1848">
        <v>19</v>
      </c>
      <c r="L1848">
        <v>10</v>
      </c>
      <c r="M1848">
        <v>11</v>
      </c>
      <c r="N1848">
        <v>461</v>
      </c>
      <c r="O1848">
        <v>0</v>
      </c>
      <c r="P1848">
        <v>0</v>
      </c>
      <c r="Q1848" t="s">
        <v>44</v>
      </c>
      <c r="R1848" t="s">
        <v>44</v>
      </c>
      <c r="S1848" t="s">
        <v>44</v>
      </c>
      <c r="T1848" t="s">
        <v>44</v>
      </c>
      <c r="U1848" t="s">
        <v>44</v>
      </c>
      <c r="V1848">
        <v>163</v>
      </c>
      <c r="W1848" t="s">
        <v>44</v>
      </c>
      <c r="X1848" t="s">
        <v>44</v>
      </c>
      <c r="Y1848">
        <v>163</v>
      </c>
      <c r="Z1848">
        <v>2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163</v>
      </c>
      <c r="AQ1848">
        <f t="shared" si="65"/>
        <v>163</v>
      </c>
      <c r="AR1848" s="5">
        <f>VLOOKUP(F1848,'[1]Cost Sheet'!$C:$D,2,0)</f>
        <v>76.260909090909081</v>
      </c>
      <c r="AS1848" s="5">
        <f t="shared" si="64"/>
        <v>12430.528181818179</v>
      </c>
    </row>
    <row r="1849" spans="1:45" x14ac:dyDescent="0.3">
      <c r="A1849" s="1">
        <v>45900.963888888888</v>
      </c>
      <c r="B1849" t="s">
        <v>1473</v>
      </c>
      <c r="C1849" t="s">
        <v>1474</v>
      </c>
      <c r="D1849" t="s">
        <v>1396</v>
      </c>
      <c r="E1849" t="s">
        <v>1396</v>
      </c>
      <c r="F1849" t="s">
        <v>2144</v>
      </c>
      <c r="G1849" t="s">
        <v>1397</v>
      </c>
      <c r="H1849" t="s">
        <v>635</v>
      </c>
      <c r="I1849" t="s">
        <v>43</v>
      </c>
      <c r="J1849">
        <v>35</v>
      </c>
      <c r="K1849">
        <v>19</v>
      </c>
      <c r="L1849">
        <v>10</v>
      </c>
      <c r="M1849">
        <v>11</v>
      </c>
      <c r="N1849">
        <v>549</v>
      </c>
      <c r="O1849">
        <v>0</v>
      </c>
      <c r="P1849">
        <v>0</v>
      </c>
      <c r="Q1849" t="s">
        <v>44</v>
      </c>
      <c r="R1849" t="s">
        <v>44</v>
      </c>
      <c r="S1849" t="s">
        <v>44</v>
      </c>
      <c r="T1849" t="s">
        <v>44</v>
      </c>
      <c r="U1849" t="s">
        <v>44</v>
      </c>
      <c r="V1849">
        <v>141</v>
      </c>
      <c r="W1849" t="s">
        <v>44</v>
      </c>
      <c r="X1849" t="s">
        <v>44</v>
      </c>
      <c r="Y1849">
        <v>141</v>
      </c>
      <c r="Z1849" t="s">
        <v>44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141</v>
      </c>
      <c r="AQ1849">
        <f t="shared" si="65"/>
        <v>141</v>
      </c>
      <c r="AR1849" s="5">
        <f>VLOOKUP(F1849,'[1]Cost Sheet'!$C:$D,2,0)</f>
        <v>71.819000000000003</v>
      </c>
      <c r="AS1849" s="5">
        <f t="shared" si="64"/>
        <v>10126.479000000001</v>
      </c>
    </row>
    <row r="1850" spans="1:45" x14ac:dyDescent="0.3">
      <c r="A1850" s="1">
        <v>45900.963888888888</v>
      </c>
      <c r="B1850" t="s">
        <v>1473</v>
      </c>
      <c r="C1850" t="s">
        <v>1474</v>
      </c>
      <c r="D1850" t="s">
        <v>1107</v>
      </c>
      <c r="F1850" t="s">
        <v>2003</v>
      </c>
      <c r="G1850" t="s">
        <v>1108</v>
      </c>
      <c r="H1850" t="s">
        <v>120</v>
      </c>
      <c r="I1850" t="s">
        <v>43</v>
      </c>
      <c r="J1850">
        <v>200</v>
      </c>
      <c r="K1850">
        <v>19</v>
      </c>
      <c r="L1850">
        <v>11</v>
      </c>
      <c r="M1850">
        <v>10</v>
      </c>
      <c r="N1850">
        <v>4721</v>
      </c>
      <c r="O1850">
        <v>0</v>
      </c>
      <c r="P1850">
        <v>0</v>
      </c>
      <c r="Q1850" t="s">
        <v>44</v>
      </c>
      <c r="R1850">
        <v>1</v>
      </c>
      <c r="S1850" t="s">
        <v>44</v>
      </c>
      <c r="T1850" t="s">
        <v>44</v>
      </c>
      <c r="U1850" t="s">
        <v>44</v>
      </c>
      <c r="V1850">
        <v>137</v>
      </c>
      <c r="W1850" t="s">
        <v>44</v>
      </c>
      <c r="X1850" t="s">
        <v>44</v>
      </c>
      <c r="Y1850">
        <v>137</v>
      </c>
      <c r="Z1850" t="s">
        <v>44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138</v>
      </c>
      <c r="AQ1850">
        <f t="shared" si="65"/>
        <v>138</v>
      </c>
      <c r="AR1850" s="5">
        <f>VLOOKUP(F1850,'[2]SCP_24-25'!$A:$D,4,0)</f>
        <v>50</v>
      </c>
      <c r="AS1850" s="5">
        <f t="shared" si="64"/>
        <v>6900</v>
      </c>
    </row>
    <row r="1851" spans="1:45" x14ac:dyDescent="0.3">
      <c r="A1851" s="1">
        <v>45900.963888888888</v>
      </c>
      <c r="B1851" t="s">
        <v>1473</v>
      </c>
      <c r="C1851" t="s">
        <v>1474</v>
      </c>
      <c r="D1851" t="s">
        <v>444</v>
      </c>
      <c r="E1851" t="s">
        <v>445</v>
      </c>
      <c r="F1851" t="s">
        <v>1677</v>
      </c>
      <c r="G1851" t="s">
        <v>446</v>
      </c>
      <c r="H1851" t="s">
        <v>130</v>
      </c>
      <c r="I1851" t="s">
        <v>43</v>
      </c>
      <c r="J1851">
        <v>60.02</v>
      </c>
      <c r="K1851">
        <v>19</v>
      </c>
      <c r="L1851">
        <v>10</v>
      </c>
      <c r="M1851">
        <v>11</v>
      </c>
      <c r="N1851">
        <v>5922</v>
      </c>
      <c r="O1851">
        <v>1</v>
      </c>
      <c r="P1851">
        <v>0</v>
      </c>
      <c r="Q1851">
        <v>7</v>
      </c>
      <c r="R1851" t="s">
        <v>44</v>
      </c>
      <c r="S1851" t="s">
        <v>44</v>
      </c>
      <c r="T1851">
        <v>2</v>
      </c>
      <c r="U1851" t="s">
        <v>44</v>
      </c>
      <c r="V1851">
        <v>917</v>
      </c>
      <c r="W1851">
        <v>1</v>
      </c>
      <c r="X1851" t="s">
        <v>44</v>
      </c>
      <c r="Y1851">
        <v>917</v>
      </c>
      <c r="Z1851" t="s">
        <v>44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918</v>
      </c>
      <c r="AQ1851">
        <f t="shared" si="65"/>
        <v>918</v>
      </c>
      <c r="AR1851" s="5">
        <f>VLOOKUP(F1851,'[2]SCP_24-25'!$A:$D,4,0)</f>
        <v>86.7</v>
      </c>
      <c r="AS1851" s="5">
        <f t="shared" si="64"/>
        <v>79590.600000000006</v>
      </c>
    </row>
    <row r="1852" spans="1:45" x14ac:dyDescent="0.3">
      <c r="A1852" s="1">
        <v>45900.963888888888</v>
      </c>
      <c r="B1852" t="s">
        <v>1473</v>
      </c>
      <c r="C1852" t="s">
        <v>1474</v>
      </c>
      <c r="D1852" t="s">
        <v>524</v>
      </c>
      <c r="E1852" t="s">
        <v>445</v>
      </c>
      <c r="F1852" t="s">
        <v>1716</v>
      </c>
      <c r="G1852" t="s">
        <v>525</v>
      </c>
      <c r="H1852" t="s">
        <v>130</v>
      </c>
      <c r="I1852" t="s">
        <v>43</v>
      </c>
      <c r="J1852">
        <v>60.02</v>
      </c>
      <c r="K1852">
        <v>19</v>
      </c>
      <c r="L1852">
        <v>10</v>
      </c>
      <c r="M1852">
        <v>11</v>
      </c>
      <c r="N1852">
        <v>5290</v>
      </c>
      <c r="O1852">
        <v>2</v>
      </c>
      <c r="P1852">
        <v>0</v>
      </c>
      <c r="Q1852">
        <v>3</v>
      </c>
      <c r="R1852">
        <v>1</v>
      </c>
      <c r="S1852" t="s">
        <v>44</v>
      </c>
      <c r="T1852" t="s">
        <v>44</v>
      </c>
      <c r="U1852" t="s">
        <v>44</v>
      </c>
      <c r="V1852">
        <v>706</v>
      </c>
      <c r="W1852" t="s">
        <v>44</v>
      </c>
      <c r="X1852" t="s">
        <v>44</v>
      </c>
      <c r="Y1852">
        <v>706</v>
      </c>
      <c r="Z1852" t="s">
        <v>44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708</v>
      </c>
      <c r="AQ1852">
        <f t="shared" si="65"/>
        <v>708</v>
      </c>
      <c r="AR1852" s="5">
        <f>VLOOKUP(F1852,'[2]SCP_24-25'!$A:$D,4,0)</f>
        <v>86.7</v>
      </c>
      <c r="AS1852" s="5">
        <f t="shared" si="64"/>
        <v>61383.6</v>
      </c>
    </row>
    <row r="1853" spans="1:45" x14ac:dyDescent="0.3">
      <c r="A1853" s="1">
        <v>45900.963888888888</v>
      </c>
      <c r="B1853" t="s">
        <v>1473</v>
      </c>
      <c r="C1853" t="s">
        <v>1474</v>
      </c>
      <c r="D1853" t="s">
        <v>594</v>
      </c>
      <c r="E1853" t="s">
        <v>595</v>
      </c>
      <c r="F1853" t="s">
        <v>1751</v>
      </c>
      <c r="G1853" t="s">
        <v>596</v>
      </c>
      <c r="H1853" t="s">
        <v>130</v>
      </c>
      <c r="I1853" t="s">
        <v>43</v>
      </c>
      <c r="J1853">
        <v>60.02</v>
      </c>
      <c r="K1853">
        <v>19</v>
      </c>
      <c r="L1853">
        <v>10</v>
      </c>
      <c r="M1853">
        <v>11</v>
      </c>
      <c r="N1853">
        <v>5300</v>
      </c>
      <c r="O1853">
        <v>1</v>
      </c>
      <c r="P1853">
        <v>0</v>
      </c>
      <c r="Q1853">
        <v>15</v>
      </c>
      <c r="R1853">
        <v>4</v>
      </c>
      <c r="S1853" t="s">
        <v>44</v>
      </c>
      <c r="T1853">
        <v>5</v>
      </c>
      <c r="U1853" t="s">
        <v>44</v>
      </c>
      <c r="V1853">
        <v>446</v>
      </c>
      <c r="W1853">
        <v>6</v>
      </c>
      <c r="X1853" t="s">
        <v>44</v>
      </c>
      <c r="Y1853">
        <v>446</v>
      </c>
      <c r="Z1853" t="s">
        <v>44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6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447</v>
      </c>
      <c r="AQ1853">
        <f t="shared" si="65"/>
        <v>447</v>
      </c>
      <c r="AR1853" s="5">
        <f>VLOOKUP(F1853,'[2]SCP_24-25'!$A:$D,4,0)</f>
        <v>120.58</v>
      </c>
      <c r="AS1853" s="5">
        <f t="shared" si="64"/>
        <v>53899.26</v>
      </c>
    </row>
    <row r="1854" spans="1:45" x14ac:dyDescent="0.3">
      <c r="A1854" s="1">
        <v>45900.963888888888</v>
      </c>
      <c r="B1854" t="s">
        <v>1473</v>
      </c>
      <c r="C1854" t="s">
        <v>1474</v>
      </c>
      <c r="D1854" t="s">
        <v>599</v>
      </c>
      <c r="F1854" t="s">
        <v>1753</v>
      </c>
      <c r="G1854" t="s">
        <v>600</v>
      </c>
      <c r="H1854" t="s">
        <v>130</v>
      </c>
      <c r="I1854" t="s">
        <v>43</v>
      </c>
      <c r="J1854">
        <v>24.02</v>
      </c>
      <c r="K1854">
        <v>19</v>
      </c>
      <c r="L1854">
        <v>10</v>
      </c>
      <c r="M1854">
        <v>11</v>
      </c>
      <c r="N1854">
        <v>5034</v>
      </c>
      <c r="O1854">
        <v>1</v>
      </c>
      <c r="P1854">
        <v>0</v>
      </c>
      <c r="Q1854">
        <v>2</v>
      </c>
      <c r="R1854">
        <v>3</v>
      </c>
      <c r="S1854" t="s">
        <v>44</v>
      </c>
      <c r="T1854" t="s">
        <v>44</v>
      </c>
      <c r="U1854" t="s">
        <v>44</v>
      </c>
      <c r="V1854">
        <v>311</v>
      </c>
      <c r="W1854">
        <v>4</v>
      </c>
      <c r="X1854" t="s">
        <v>44</v>
      </c>
      <c r="Y1854">
        <v>311</v>
      </c>
      <c r="Z1854" t="s">
        <v>44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312</v>
      </c>
      <c r="AQ1854">
        <f t="shared" si="65"/>
        <v>312</v>
      </c>
      <c r="AR1854" s="5">
        <f>VLOOKUP(F1854,'[2]SCP_24-25'!$A:$D,4,0)</f>
        <v>79.680000000000007</v>
      </c>
      <c r="AS1854" s="5">
        <f t="shared" si="64"/>
        <v>24860.160000000003</v>
      </c>
    </row>
    <row r="1855" spans="1:45" x14ac:dyDescent="0.3">
      <c r="A1855" s="1">
        <v>45900.963888888888</v>
      </c>
      <c r="B1855" t="s">
        <v>1473</v>
      </c>
      <c r="C1855" t="s">
        <v>1474</v>
      </c>
      <c r="D1855" t="s">
        <v>449</v>
      </c>
      <c r="F1855" t="s">
        <v>1679</v>
      </c>
      <c r="G1855" t="s">
        <v>450</v>
      </c>
      <c r="H1855" t="s">
        <v>130</v>
      </c>
      <c r="I1855" t="s">
        <v>43</v>
      </c>
      <c r="J1855">
        <v>125</v>
      </c>
      <c r="K1855">
        <v>19</v>
      </c>
      <c r="L1855">
        <v>10</v>
      </c>
      <c r="M1855">
        <v>11</v>
      </c>
      <c r="N1855">
        <v>3794</v>
      </c>
      <c r="O1855">
        <v>1</v>
      </c>
      <c r="P1855">
        <v>0</v>
      </c>
      <c r="Q1855">
        <v>8</v>
      </c>
      <c r="R1855">
        <v>3</v>
      </c>
      <c r="S1855" t="s">
        <v>44</v>
      </c>
      <c r="T1855" t="s">
        <v>44</v>
      </c>
      <c r="U1855" t="s">
        <v>44</v>
      </c>
      <c r="V1855">
        <v>758</v>
      </c>
      <c r="W1855">
        <v>15</v>
      </c>
      <c r="X1855" t="s">
        <v>44</v>
      </c>
      <c r="Y1855">
        <v>758</v>
      </c>
      <c r="Z1855" t="s">
        <v>44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759</v>
      </c>
      <c r="AQ1855">
        <f t="shared" si="65"/>
        <v>759</v>
      </c>
      <c r="AR1855" s="5">
        <f>VLOOKUP(F1855,'[2]SCP_24-25'!$A:$D,4,0)</f>
        <v>168.55</v>
      </c>
      <c r="AS1855" s="5">
        <f t="shared" si="64"/>
        <v>127929.45000000001</v>
      </c>
    </row>
    <row r="1856" spans="1:45" x14ac:dyDescent="0.3">
      <c r="A1856" s="1">
        <v>45900.963888888888</v>
      </c>
      <c r="B1856" t="s">
        <v>1473</v>
      </c>
      <c r="C1856" t="s">
        <v>1474</v>
      </c>
      <c r="D1856" t="s">
        <v>530</v>
      </c>
      <c r="F1856" t="s">
        <v>1719</v>
      </c>
      <c r="G1856" t="s">
        <v>531</v>
      </c>
      <c r="H1856" t="s">
        <v>130</v>
      </c>
      <c r="I1856" t="s">
        <v>43</v>
      </c>
      <c r="J1856">
        <v>38.020000000000003</v>
      </c>
      <c r="K1856">
        <v>19</v>
      </c>
      <c r="L1856">
        <v>10</v>
      </c>
      <c r="M1856">
        <v>11</v>
      </c>
      <c r="N1856">
        <v>4389</v>
      </c>
      <c r="O1856">
        <v>2</v>
      </c>
      <c r="P1856">
        <v>0</v>
      </c>
      <c r="Q1856">
        <v>3</v>
      </c>
      <c r="R1856">
        <v>25</v>
      </c>
      <c r="S1856" t="s">
        <v>44</v>
      </c>
      <c r="T1856">
        <v>24</v>
      </c>
      <c r="U1856" t="s">
        <v>44</v>
      </c>
      <c r="V1856">
        <v>982</v>
      </c>
      <c r="W1856" t="s">
        <v>44</v>
      </c>
      <c r="X1856" t="s">
        <v>44</v>
      </c>
      <c r="Y1856">
        <v>982</v>
      </c>
      <c r="Z1856" t="s">
        <v>44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984</v>
      </c>
      <c r="AQ1856">
        <f t="shared" si="65"/>
        <v>984</v>
      </c>
      <c r="AR1856" s="5">
        <f>VLOOKUP(F1856,'[2]SCP_24-25'!$A:$D,4,0)</f>
        <v>73.05</v>
      </c>
      <c r="AS1856" s="5">
        <f t="shared" si="64"/>
        <v>71881.2</v>
      </c>
    </row>
    <row r="1857" spans="1:45" x14ac:dyDescent="0.3">
      <c r="A1857" s="1">
        <v>45900.963888888888</v>
      </c>
      <c r="B1857" t="s">
        <v>1473</v>
      </c>
      <c r="C1857" t="s">
        <v>1474</v>
      </c>
      <c r="D1857" t="s">
        <v>489</v>
      </c>
      <c r="F1857" t="s">
        <v>1699</v>
      </c>
      <c r="G1857" t="s">
        <v>490</v>
      </c>
      <c r="H1857" t="s">
        <v>130</v>
      </c>
      <c r="I1857" t="s">
        <v>43</v>
      </c>
      <c r="J1857">
        <v>38.020000000000003</v>
      </c>
      <c r="K1857">
        <v>19</v>
      </c>
      <c r="L1857">
        <v>10</v>
      </c>
      <c r="M1857">
        <v>11</v>
      </c>
      <c r="N1857">
        <v>3999</v>
      </c>
      <c r="O1857">
        <v>1</v>
      </c>
      <c r="P1857">
        <v>0</v>
      </c>
      <c r="Q1857">
        <v>2</v>
      </c>
      <c r="R1857">
        <v>6</v>
      </c>
      <c r="S1857" t="s">
        <v>44</v>
      </c>
      <c r="T1857">
        <v>48</v>
      </c>
      <c r="U1857" t="s">
        <v>44</v>
      </c>
      <c r="V1857">
        <v>845</v>
      </c>
      <c r="W1857">
        <v>3</v>
      </c>
      <c r="X1857" t="s">
        <v>44</v>
      </c>
      <c r="Y1857">
        <v>845</v>
      </c>
      <c r="Z1857" t="s">
        <v>44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846</v>
      </c>
      <c r="AQ1857">
        <f t="shared" si="65"/>
        <v>846</v>
      </c>
      <c r="AR1857" s="5">
        <f>VLOOKUP(F1857,'[2]SCP_24-25'!$A:$D,4,0)</f>
        <v>73.05</v>
      </c>
      <c r="AS1857" s="5">
        <f t="shared" si="64"/>
        <v>61800.299999999996</v>
      </c>
    </row>
    <row r="1858" spans="1:45" x14ac:dyDescent="0.3">
      <c r="A1858" s="1">
        <v>45900.963888888888</v>
      </c>
      <c r="B1858" t="s">
        <v>1473</v>
      </c>
      <c r="C1858" t="s">
        <v>1474</v>
      </c>
      <c r="D1858" t="s">
        <v>1113</v>
      </c>
      <c r="F1858" t="s">
        <v>2006</v>
      </c>
      <c r="G1858" t="s">
        <v>1114</v>
      </c>
      <c r="H1858" t="s">
        <v>130</v>
      </c>
      <c r="I1858" t="s">
        <v>43</v>
      </c>
      <c r="J1858">
        <v>40.020000000000003</v>
      </c>
      <c r="K1858">
        <v>19</v>
      </c>
      <c r="L1858">
        <v>10</v>
      </c>
      <c r="M1858">
        <v>11</v>
      </c>
      <c r="N1858">
        <v>9170</v>
      </c>
      <c r="O1858">
        <v>9</v>
      </c>
      <c r="P1858">
        <v>0</v>
      </c>
      <c r="Q1858">
        <v>30</v>
      </c>
      <c r="R1858">
        <v>908</v>
      </c>
      <c r="S1858" t="s">
        <v>44</v>
      </c>
      <c r="T1858" t="s">
        <v>44</v>
      </c>
      <c r="U1858" t="s">
        <v>44</v>
      </c>
      <c r="V1858">
        <v>838</v>
      </c>
      <c r="W1858" t="s">
        <v>44</v>
      </c>
      <c r="X1858" t="s">
        <v>44</v>
      </c>
      <c r="Y1858">
        <v>838</v>
      </c>
      <c r="Z1858" t="s">
        <v>44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848</v>
      </c>
      <c r="AQ1858">
        <f t="shared" si="65"/>
        <v>848</v>
      </c>
      <c r="AR1858" s="5">
        <f>VLOOKUP(F1858,'[2]SCP_24-25'!$A:$D,4,0)</f>
        <v>98.3</v>
      </c>
      <c r="AS1858" s="5">
        <f t="shared" si="64"/>
        <v>83358.399999999994</v>
      </c>
    </row>
    <row r="1859" spans="1:45" x14ac:dyDescent="0.3">
      <c r="A1859" s="1">
        <v>45900.963888888888</v>
      </c>
      <c r="B1859" t="s">
        <v>1473</v>
      </c>
      <c r="C1859" t="s">
        <v>1474</v>
      </c>
      <c r="D1859" t="s">
        <v>597</v>
      </c>
      <c r="F1859" t="s">
        <v>1752</v>
      </c>
      <c r="G1859" t="s">
        <v>598</v>
      </c>
      <c r="H1859" t="s">
        <v>130</v>
      </c>
      <c r="I1859" t="s">
        <v>43</v>
      </c>
      <c r="J1859">
        <v>40</v>
      </c>
      <c r="K1859">
        <v>19</v>
      </c>
      <c r="L1859">
        <v>10</v>
      </c>
      <c r="M1859">
        <v>11</v>
      </c>
      <c r="N1859">
        <v>5772</v>
      </c>
      <c r="O1859">
        <v>2</v>
      </c>
      <c r="P1859">
        <v>0</v>
      </c>
      <c r="Q1859">
        <v>1</v>
      </c>
      <c r="R1859">
        <v>6</v>
      </c>
      <c r="S1859" t="s">
        <v>44</v>
      </c>
      <c r="T1859" t="s">
        <v>44</v>
      </c>
      <c r="U1859" t="s">
        <v>44</v>
      </c>
      <c r="V1859">
        <v>967</v>
      </c>
      <c r="W1859" t="s">
        <v>44</v>
      </c>
      <c r="X1859" t="s">
        <v>44</v>
      </c>
      <c r="Y1859">
        <v>967</v>
      </c>
      <c r="Z1859" t="s">
        <v>44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970</v>
      </c>
      <c r="AQ1859">
        <f t="shared" si="65"/>
        <v>970</v>
      </c>
      <c r="AR1859" s="5">
        <f>VLOOKUP(F1859,'[2]SCP_24-25'!$A:$D,4,0)</f>
        <v>98.3</v>
      </c>
      <c r="AS1859" s="5">
        <f t="shared" ref="AS1859:AS1922" si="66">AQ1859*AR1859</f>
        <v>95351</v>
      </c>
    </row>
    <row r="1860" spans="1:45" x14ac:dyDescent="0.3">
      <c r="A1860" s="1">
        <v>45900.963888888888</v>
      </c>
      <c r="B1860" t="s">
        <v>1473</v>
      </c>
      <c r="C1860" t="s">
        <v>1474</v>
      </c>
      <c r="D1860" t="s">
        <v>572</v>
      </c>
      <c r="F1860" t="s">
        <v>1740</v>
      </c>
      <c r="G1860" t="s">
        <v>573</v>
      </c>
      <c r="H1860" t="s">
        <v>130</v>
      </c>
      <c r="I1860" t="s">
        <v>43</v>
      </c>
      <c r="J1860">
        <v>40.020000000000003</v>
      </c>
      <c r="K1860">
        <v>19</v>
      </c>
      <c r="L1860">
        <v>10</v>
      </c>
      <c r="M1860">
        <v>11</v>
      </c>
      <c r="N1860">
        <v>5188</v>
      </c>
      <c r="O1860">
        <v>7</v>
      </c>
      <c r="P1860">
        <v>0</v>
      </c>
      <c r="Q1860">
        <v>3</v>
      </c>
      <c r="R1860">
        <v>2</v>
      </c>
      <c r="S1860" t="s">
        <v>44</v>
      </c>
      <c r="T1860" t="s">
        <v>44</v>
      </c>
      <c r="U1860" t="s">
        <v>44</v>
      </c>
      <c r="V1860">
        <v>803</v>
      </c>
      <c r="W1860">
        <v>1</v>
      </c>
      <c r="X1860" t="s">
        <v>44</v>
      </c>
      <c r="Y1860">
        <v>803</v>
      </c>
      <c r="Z1860" t="s">
        <v>44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810</v>
      </c>
      <c r="AQ1860">
        <f t="shared" si="65"/>
        <v>810</v>
      </c>
      <c r="AR1860" s="5">
        <f>VLOOKUP(F1860,'[2]SCP_24-25'!$A:$D,4,0)</f>
        <v>98.3</v>
      </c>
      <c r="AS1860" s="5">
        <f t="shared" si="66"/>
        <v>79623</v>
      </c>
    </row>
    <row r="1861" spans="1:45" x14ac:dyDescent="0.3">
      <c r="A1861" s="1">
        <v>45900.963888888888</v>
      </c>
      <c r="B1861" t="s">
        <v>1473</v>
      </c>
      <c r="C1861" t="s">
        <v>1474</v>
      </c>
      <c r="D1861" t="s">
        <v>607</v>
      </c>
      <c r="F1861" t="s">
        <v>1757</v>
      </c>
      <c r="G1861" t="s">
        <v>608</v>
      </c>
      <c r="H1861" t="s">
        <v>130</v>
      </c>
      <c r="I1861" t="s">
        <v>43</v>
      </c>
      <c r="J1861">
        <v>40.020000000000003</v>
      </c>
      <c r="K1861">
        <v>19</v>
      </c>
      <c r="L1861">
        <v>10</v>
      </c>
      <c r="M1861">
        <v>11</v>
      </c>
      <c r="N1861">
        <v>5134</v>
      </c>
      <c r="O1861">
        <v>0</v>
      </c>
      <c r="P1861">
        <v>0</v>
      </c>
      <c r="Q1861">
        <v>8</v>
      </c>
      <c r="R1861">
        <v>5</v>
      </c>
      <c r="S1861" t="s">
        <v>44</v>
      </c>
      <c r="T1861">
        <v>3</v>
      </c>
      <c r="U1861" t="s">
        <v>44</v>
      </c>
      <c r="V1861">
        <v>838</v>
      </c>
      <c r="W1861" t="s">
        <v>44</v>
      </c>
      <c r="X1861" t="s">
        <v>44</v>
      </c>
      <c r="Y1861">
        <v>838</v>
      </c>
      <c r="Z1861" t="s">
        <v>44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838</v>
      </c>
      <c r="AQ1861">
        <f t="shared" si="65"/>
        <v>838</v>
      </c>
      <c r="AR1861" s="5">
        <f>VLOOKUP(F1861,'[2]SCP_24-25'!$A:$D,4,0)</f>
        <v>98.3</v>
      </c>
      <c r="AS1861" s="5">
        <f t="shared" si="66"/>
        <v>82375.399999999994</v>
      </c>
    </row>
    <row r="1862" spans="1:45" x14ac:dyDescent="0.3">
      <c r="A1862" s="1">
        <v>45900.963888888888</v>
      </c>
      <c r="B1862" t="s">
        <v>1473</v>
      </c>
      <c r="C1862" t="s">
        <v>1474</v>
      </c>
      <c r="D1862" t="s">
        <v>534</v>
      </c>
      <c r="F1862" t="s">
        <v>1721</v>
      </c>
      <c r="G1862" t="s">
        <v>535</v>
      </c>
      <c r="H1862" t="s">
        <v>130</v>
      </c>
      <c r="I1862" t="s">
        <v>43</v>
      </c>
      <c r="J1862">
        <v>40.020000000000003</v>
      </c>
      <c r="K1862">
        <v>19</v>
      </c>
      <c r="L1862">
        <v>10</v>
      </c>
      <c r="M1862">
        <v>11</v>
      </c>
      <c r="N1862">
        <v>5812</v>
      </c>
      <c r="O1862">
        <v>2</v>
      </c>
      <c r="P1862">
        <v>0</v>
      </c>
      <c r="Q1862">
        <v>5</v>
      </c>
      <c r="R1862">
        <v>9</v>
      </c>
      <c r="S1862" t="s">
        <v>44</v>
      </c>
      <c r="T1862" t="s">
        <v>44</v>
      </c>
      <c r="U1862" t="s">
        <v>44</v>
      </c>
      <c r="V1862">
        <v>805</v>
      </c>
      <c r="W1862" t="s">
        <v>44</v>
      </c>
      <c r="X1862" t="s">
        <v>44</v>
      </c>
      <c r="Y1862">
        <v>805</v>
      </c>
      <c r="Z1862" t="s">
        <v>44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807</v>
      </c>
      <c r="AQ1862">
        <f t="shared" si="65"/>
        <v>807</v>
      </c>
      <c r="AR1862" s="5">
        <f>VLOOKUP(F1862,'[2]SCP_24-25'!$A:$D,4,0)</f>
        <v>98.3</v>
      </c>
      <c r="AS1862" s="5">
        <f t="shared" si="66"/>
        <v>79328.099999999991</v>
      </c>
    </row>
    <row r="1863" spans="1:45" x14ac:dyDescent="0.3">
      <c r="A1863" s="1">
        <v>45900.963888888888</v>
      </c>
      <c r="B1863" t="s">
        <v>1473</v>
      </c>
      <c r="C1863" t="s">
        <v>1474</v>
      </c>
      <c r="D1863" t="s">
        <v>455</v>
      </c>
      <c r="F1863" t="s">
        <v>1682</v>
      </c>
      <c r="G1863" t="s">
        <v>456</v>
      </c>
      <c r="H1863" t="s">
        <v>130</v>
      </c>
      <c r="I1863" t="s">
        <v>43</v>
      </c>
      <c r="J1863">
        <v>40.020000000000003</v>
      </c>
      <c r="K1863">
        <v>19</v>
      </c>
      <c r="L1863">
        <v>10</v>
      </c>
      <c r="M1863">
        <v>11</v>
      </c>
      <c r="N1863">
        <v>4870</v>
      </c>
      <c r="O1863">
        <v>2</v>
      </c>
      <c r="P1863">
        <v>0</v>
      </c>
      <c r="Q1863">
        <v>22</v>
      </c>
      <c r="R1863">
        <v>2</v>
      </c>
      <c r="S1863" t="s">
        <v>44</v>
      </c>
      <c r="T1863" t="s">
        <v>44</v>
      </c>
      <c r="U1863" t="s">
        <v>44</v>
      </c>
      <c r="V1863">
        <v>814</v>
      </c>
      <c r="W1863">
        <v>1</v>
      </c>
      <c r="X1863" t="s">
        <v>44</v>
      </c>
      <c r="Y1863">
        <v>814</v>
      </c>
      <c r="Z1863" t="s">
        <v>44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816</v>
      </c>
      <c r="AQ1863">
        <f t="shared" si="65"/>
        <v>816</v>
      </c>
      <c r="AR1863" s="5">
        <f>VLOOKUP(F1863,'[2]SCP_24-25'!$A:$D,4,0)</f>
        <v>98.299999999999983</v>
      </c>
      <c r="AS1863" s="5">
        <f t="shared" si="66"/>
        <v>80212.799999999988</v>
      </c>
    </row>
    <row r="1864" spans="1:45" x14ac:dyDescent="0.3">
      <c r="A1864" s="1">
        <v>45900.963888888888</v>
      </c>
      <c r="B1864" t="s">
        <v>1473</v>
      </c>
      <c r="C1864" t="s">
        <v>1474</v>
      </c>
      <c r="D1864" t="s">
        <v>536</v>
      </c>
      <c r="F1864" t="s">
        <v>1722</v>
      </c>
      <c r="G1864" t="s">
        <v>537</v>
      </c>
      <c r="H1864" t="s">
        <v>130</v>
      </c>
      <c r="I1864" t="s">
        <v>43</v>
      </c>
      <c r="J1864">
        <v>40.020000000000003</v>
      </c>
      <c r="K1864">
        <v>19</v>
      </c>
      <c r="L1864">
        <v>10</v>
      </c>
      <c r="M1864">
        <v>11</v>
      </c>
      <c r="N1864">
        <v>4139</v>
      </c>
      <c r="O1864">
        <v>2</v>
      </c>
      <c r="P1864">
        <v>0</v>
      </c>
      <c r="Q1864">
        <v>10</v>
      </c>
      <c r="R1864">
        <v>96</v>
      </c>
      <c r="S1864" t="s">
        <v>44</v>
      </c>
      <c r="T1864" t="s">
        <v>44</v>
      </c>
      <c r="U1864" t="s">
        <v>44</v>
      </c>
      <c r="V1864">
        <v>204</v>
      </c>
      <c r="W1864" t="s">
        <v>44</v>
      </c>
      <c r="X1864" t="s">
        <v>44</v>
      </c>
      <c r="Y1864">
        <v>204</v>
      </c>
      <c r="Z1864" t="s">
        <v>44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206</v>
      </c>
      <c r="AQ1864">
        <f t="shared" si="65"/>
        <v>206</v>
      </c>
      <c r="AR1864" s="5">
        <f>VLOOKUP(F1864,'[2]SCP_24-25'!$A:$D,4,0)</f>
        <v>98.3</v>
      </c>
      <c r="AS1864" s="5">
        <f t="shared" si="66"/>
        <v>20249.8</v>
      </c>
    </row>
    <row r="1865" spans="1:45" x14ac:dyDescent="0.3">
      <c r="A1865" s="1">
        <v>45900.963888888888</v>
      </c>
      <c r="B1865" t="s">
        <v>1473</v>
      </c>
      <c r="C1865" t="s">
        <v>1474</v>
      </c>
      <c r="D1865" t="s">
        <v>491</v>
      </c>
      <c r="F1865" t="s">
        <v>1700</v>
      </c>
      <c r="G1865" t="s">
        <v>492</v>
      </c>
      <c r="H1865" t="s">
        <v>130</v>
      </c>
      <c r="I1865" t="s">
        <v>43</v>
      </c>
      <c r="J1865">
        <v>40.020000000000003</v>
      </c>
      <c r="K1865">
        <v>19</v>
      </c>
      <c r="L1865">
        <v>10</v>
      </c>
      <c r="M1865">
        <v>11</v>
      </c>
      <c r="N1865">
        <v>4263</v>
      </c>
      <c r="O1865">
        <v>4</v>
      </c>
      <c r="P1865">
        <v>0</v>
      </c>
      <c r="Q1865">
        <v>4</v>
      </c>
      <c r="R1865">
        <v>192</v>
      </c>
      <c r="S1865" t="s">
        <v>44</v>
      </c>
      <c r="T1865">
        <v>5</v>
      </c>
      <c r="U1865" t="s">
        <v>44</v>
      </c>
      <c r="V1865">
        <v>185</v>
      </c>
      <c r="W1865">
        <v>2</v>
      </c>
      <c r="X1865" t="s">
        <v>44</v>
      </c>
      <c r="Y1865">
        <v>185</v>
      </c>
      <c r="Z1865" t="s">
        <v>44</v>
      </c>
      <c r="AA1865">
        <v>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190</v>
      </c>
      <c r="AQ1865">
        <f t="shared" si="65"/>
        <v>190</v>
      </c>
      <c r="AR1865" s="5">
        <f>VLOOKUP(F1865,'[2]SCP_24-25'!$A:$D,4,0)</f>
        <v>98.3</v>
      </c>
      <c r="AS1865" s="5">
        <f t="shared" si="66"/>
        <v>18677</v>
      </c>
    </row>
    <row r="1866" spans="1:45" x14ac:dyDescent="0.3">
      <c r="A1866" s="1">
        <v>45900.963888888888</v>
      </c>
      <c r="B1866" t="s">
        <v>1473</v>
      </c>
      <c r="C1866" t="s">
        <v>1474</v>
      </c>
      <c r="D1866" t="s">
        <v>493</v>
      </c>
      <c r="F1866" t="s">
        <v>1701</v>
      </c>
      <c r="G1866" t="s">
        <v>494</v>
      </c>
      <c r="H1866" t="s">
        <v>130</v>
      </c>
      <c r="I1866" t="s">
        <v>43</v>
      </c>
      <c r="J1866">
        <v>40.020000000000003</v>
      </c>
      <c r="K1866">
        <v>19</v>
      </c>
      <c r="L1866">
        <v>10</v>
      </c>
      <c r="M1866">
        <v>11</v>
      </c>
      <c r="N1866">
        <v>4740</v>
      </c>
      <c r="O1866">
        <v>2</v>
      </c>
      <c r="P1866">
        <v>0</v>
      </c>
      <c r="Q1866">
        <v>6</v>
      </c>
      <c r="R1866">
        <v>292</v>
      </c>
      <c r="S1866" t="s">
        <v>44</v>
      </c>
      <c r="T1866">
        <v>1</v>
      </c>
      <c r="U1866" t="s">
        <v>44</v>
      </c>
      <c r="V1866">
        <v>661</v>
      </c>
      <c r="W1866" t="s">
        <v>44</v>
      </c>
      <c r="X1866" t="s">
        <v>44</v>
      </c>
      <c r="Y1866">
        <v>661</v>
      </c>
      <c r="Z1866" t="s">
        <v>44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663</v>
      </c>
      <c r="AQ1866">
        <f t="shared" si="65"/>
        <v>663</v>
      </c>
      <c r="AR1866" s="5">
        <f>VLOOKUP(F1866,'[2]SCP_24-25'!$A:$D,4,0)</f>
        <v>98.3</v>
      </c>
      <c r="AS1866" s="5">
        <f t="shared" si="66"/>
        <v>65172.9</v>
      </c>
    </row>
    <row r="1867" spans="1:45" x14ac:dyDescent="0.3">
      <c r="A1867" s="1">
        <v>45900.963888888888</v>
      </c>
      <c r="B1867" t="s">
        <v>1473</v>
      </c>
      <c r="C1867" t="s">
        <v>1474</v>
      </c>
      <c r="D1867" t="s">
        <v>457</v>
      </c>
      <c r="F1867" t="s">
        <v>1683</v>
      </c>
      <c r="G1867" t="s">
        <v>458</v>
      </c>
      <c r="H1867" t="s">
        <v>130</v>
      </c>
      <c r="I1867" t="s">
        <v>43</v>
      </c>
      <c r="J1867">
        <v>40.020000000000003</v>
      </c>
      <c r="K1867">
        <v>19</v>
      </c>
      <c r="L1867">
        <v>10</v>
      </c>
      <c r="M1867">
        <v>11</v>
      </c>
      <c r="N1867">
        <v>4566</v>
      </c>
      <c r="O1867">
        <v>0</v>
      </c>
      <c r="P1867">
        <v>0</v>
      </c>
      <c r="Q1867">
        <v>5</v>
      </c>
      <c r="R1867">
        <v>4</v>
      </c>
      <c r="S1867" t="s">
        <v>44</v>
      </c>
      <c r="T1867">
        <v>6</v>
      </c>
      <c r="U1867" t="s">
        <v>44</v>
      </c>
      <c r="V1867">
        <v>569</v>
      </c>
      <c r="W1867" t="s">
        <v>44</v>
      </c>
      <c r="X1867" t="s">
        <v>44</v>
      </c>
      <c r="Y1867">
        <v>569</v>
      </c>
      <c r="Z1867" t="s">
        <v>44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569</v>
      </c>
      <c r="AQ1867">
        <f t="shared" si="65"/>
        <v>569</v>
      </c>
      <c r="AR1867" s="5">
        <f>VLOOKUP(F1867,'[2]SCP_24-25'!$A:$D,4,0)</f>
        <v>98.299999999999983</v>
      </c>
      <c r="AS1867" s="5">
        <f t="shared" si="66"/>
        <v>55932.69999999999</v>
      </c>
    </row>
    <row r="1868" spans="1:45" x14ac:dyDescent="0.3">
      <c r="A1868" s="1">
        <v>45900.963888888888</v>
      </c>
      <c r="B1868" t="s">
        <v>1473</v>
      </c>
      <c r="C1868" t="s">
        <v>1474</v>
      </c>
      <c r="D1868" t="s">
        <v>429</v>
      </c>
      <c r="F1868" t="s">
        <v>1671</v>
      </c>
      <c r="G1868" t="s">
        <v>430</v>
      </c>
      <c r="H1868" t="s">
        <v>130</v>
      </c>
      <c r="I1868" t="s">
        <v>43</v>
      </c>
      <c r="J1868">
        <v>40.020000000000003</v>
      </c>
      <c r="K1868">
        <v>19</v>
      </c>
      <c r="L1868">
        <v>10</v>
      </c>
      <c r="M1868">
        <v>11</v>
      </c>
      <c r="N1868">
        <v>6328</v>
      </c>
      <c r="O1868">
        <v>2</v>
      </c>
      <c r="P1868">
        <v>0</v>
      </c>
      <c r="Q1868">
        <v>5</v>
      </c>
      <c r="R1868">
        <v>5</v>
      </c>
      <c r="S1868" t="s">
        <v>44</v>
      </c>
      <c r="T1868" t="s">
        <v>44</v>
      </c>
      <c r="U1868" t="s">
        <v>44</v>
      </c>
      <c r="V1868">
        <v>579</v>
      </c>
      <c r="W1868">
        <v>2</v>
      </c>
      <c r="X1868" t="s">
        <v>44</v>
      </c>
      <c r="Y1868">
        <v>579</v>
      </c>
      <c r="Z1868" t="s">
        <v>44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582</v>
      </c>
      <c r="AQ1868">
        <f t="shared" si="65"/>
        <v>582</v>
      </c>
      <c r="AR1868" s="5">
        <f>VLOOKUP(F1868,'[2]SCP_24-25'!$A:$D,4,0)</f>
        <v>98.299999999999983</v>
      </c>
      <c r="AS1868" s="5">
        <f t="shared" si="66"/>
        <v>57210.599999999991</v>
      </c>
    </row>
    <row r="1869" spans="1:45" x14ac:dyDescent="0.3">
      <c r="A1869" s="1">
        <v>45900.963888888888</v>
      </c>
      <c r="B1869" t="s">
        <v>1473</v>
      </c>
      <c r="C1869" t="s">
        <v>1474</v>
      </c>
      <c r="D1869" t="s">
        <v>580</v>
      </c>
      <c r="F1869" t="s">
        <v>1744</v>
      </c>
      <c r="G1869" t="s">
        <v>581</v>
      </c>
      <c r="H1869" t="s">
        <v>130</v>
      </c>
      <c r="I1869" t="s">
        <v>43</v>
      </c>
      <c r="J1869">
        <v>40.020000000000003</v>
      </c>
      <c r="K1869">
        <v>19</v>
      </c>
      <c r="L1869">
        <v>10</v>
      </c>
      <c r="M1869">
        <v>11</v>
      </c>
      <c r="N1869">
        <v>4580</v>
      </c>
      <c r="O1869">
        <v>1</v>
      </c>
      <c r="P1869">
        <v>0</v>
      </c>
      <c r="Q1869">
        <v>2</v>
      </c>
      <c r="R1869">
        <v>6</v>
      </c>
      <c r="S1869" t="s">
        <v>44</v>
      </c>
      <c r="T1869">
        <v>12</v>
      </c>
      <c r="U1869" t="s">
        <v>44</v>
      </c>
      <c r="V1869">
        <v>411</v>
      </c>
      <c r="W1869" t="s">
        <v>44</v>
      </c>
      <c r="X1869" t="s">
        <v>44</v>
      </c>
      <c r="Y1869">
        <v>411</v>
      </c>
      <c r="Z1869" t="s">
        <v>44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12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412</v>
      </c>
      <c r="AQ1869">
        <f t="shared" si="65"/>
        <v>412</v>
      </c>
      <c r="AR1869" s="5">
        <f>VLOOKUP(F1869,'[2]SCP_24-25'!$A:$D,4,0)</f>
        <v>98.3</v>
      </c>
      <c r="AS1869" s="5">
        <f t="shared" si="66"/>
        <v>40499.599999999999</v>
      </c>
    </row>
    <row r="1870" spans="1:45" x14ac:dyDescent="0.3">
      <c r="A1870" s="1">
        <v>45900.963888888888</v>
      </c>
      <c r="B1870" t="s">
        <v>1473</v>
      </c>
      <c r="C1870" t="s">
        <v>1474</v>
      </c>
      <c r="D1870" t="s">
        <v>420</v>
      </c>
      <c r="F1870" t="s">
        <v>1667</v>
      </c>
      <c r="G1870" t="s">
        <v>421</v>
      </c>
      <c r="H1870" t="s">
        <v>130</v>
      </c>
      <c r="I1870" t="s">
        <v>43</v>
      </c>
      <c r="J1870">
        <v>40.020000000000003</v>
      </c>
      <c r="K1870">
        <v>19</v>
      </c>
      <c r="L1870">
        <v>10</v>
      </c>
      <c r="M1870">
        <v>11</v>
      </c>
      <c r="N1870">
        <v>4389</v>
      </c>
      <c r="O1870">
        <v>1</v>
      </c>
      <c r="P1870">
        <v>0</v>
      </c>
      <c r="Q1870">
        <v>2</v>
      </c>
      <c r="R1870">
        <v>2</v>
      </c>
      <c r="S1870" t="s">
        <v>44</v>
      </c>
      <c r="T1870" t="s">
        <v>44</v>
      </c>
      <c r="U1870" t="s">
        <v>44</v>
      </c>
      <c r="V1870">
        <v>325</v>
      </c>
      <c r="W1870" t="s">
        <v>44</v>
      </c>
      <c r="X1870" t="s">
        <v>44</v>
      </c>
      <c r="Y1870">
        <v>325</v>
      </c>
      <c r="Z1870" t="s">
        <v>44</v>
      </c>
      <c r="AA1870">
        <v>2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328</v>
      </c>
      <c r="AQ1870">
        <f t="shared" si="65"/>
        <v>328</v>
      </c>
      <c r="AR1870" s="5">
        <f>VLOOKUP(F1870,'[2]SCP_24-25'!$A:$D,4,0)</f>
        <v>98.3</v>
      </c>
      <c r="AS1870" s="5">
        <f t="shared" si="66"/>
        <v>32242.399999999998</v>
      </c>
    </row>
    <row r="1871" spans="1:45" x14ac:dyDescent="0.3">
      <c r="A1871" s="1">
        <v>45900.963888888888</v>
      </c>
      <c r="B1871" t="s">
        <v>1473</v>
      </c>
      <c r="C1871" t="s">
        <v>1474</v>
      </c>
      <c r="D1871" t="s">
        <v>590</v>
      </c>
      <c r="F1871" t="s">
        <v>1749</v>
      </c>
      <c r="G1871" t="s">
        <v>591</v>
      </c>
      <c r="H1871" t="s">
        <v>130</v>
      </c>
      <c r="I1871" t="s">
        <v>43</v>
      </c>
      <c r="J1871">
        <v>53.02</v>
      </c>
      <c r="K1871">
        <v>19</v>
      </c>
      <c r="L1871">
        <v>10</v>
      </c>
      <c r="M1871">
        <v>11</v>
      </c>
      <c r="N1871">
        <v>2735</v>
      </c>
      <c r="O1871">
        <v>0</v>
      </c>
      <c r="P1871">
        <v>0</v>
      </c>
      <c r="Q1871" t="s">
        <v>44</v>
      </c>
      <c r="R1871" t="s">
        <v>44</v>
      </c>
      <c r="S1871" t="s">
        <v>44</v>
      </c>
      <c r="T1871">
        <v>6</v>
      </c>
      <c r="U1871" t="s">
        <v>44</v>
      </c>
      <c r="V1871">
        <v>470</v>
      </c>
      <c r="W1871" t="s">
        <v>44</v>
      </c>
      <c r="X1871" t="s">
        <v>44</v>
      </c>
      <c r="Y1871">
        <v>470</v>
      </c>
      <c r="Z1871" t="s">
        <v>44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470</v>
      </c>
      <c r="AQ1871">
        <f t="shared" si="65"/>
        <v>470</v>
      </c>
      <c r="AR1871" s="5">
        <f>VLOOKUP(F1871,'[2]SCP_24-25'!$A:$D,4,0)</f>
        <v>51.74</v>
      </c>
      <c r="AS1871" s="5">
        <f t="shared" si="66"/>
        <v>24317.8</v>
      </c>
    </row>
    <row r="1872" spans="1:45" x14ac:dyDescent="0.3">
      <c r="A1872" s="1">
        <v>45900.963888888888</v>
      </c>
      <c r="B1872" t="s">
        <v>1473</v>
      </c>
      <c r="C1872" t="s">
        <v>1474</v>
      </c>
      <c r="D1872" t="s">
        <v>497</v>
      </c>
      <c r="F1872" t="s">
        <v>1703</v>
      </c>
      <c r="G1872" t="s">
        <v>498</v>
      </c>
      <c r="H1872" t="s">
        <v>130</v>
      </c>
      <c r="I1872" t="s">
        <v>43</v>
      </c>
      <c r="J1872">
        <v>53</v>
      </c>
      <c r="K1872">
        <v>19</v>
      </c>
      <c r="L1872">
        <v>10</v>
      </c>
      <c r="M1872">
        <v>11</v>
      </c>
      <c r="N1872">
        <v>2801</v>
      </c>
      <c r="O1872">
        <v>2</v>
      </c>
      <c r="P1872">
        <v>0</v>
      </c>
      <c r="Q1872">
        <v>2</v>
      </c>
      <c r="R1872" t="s">
        <v>44</v>
      </c>
      <c r="S1872" t="s">
        <v>44</v>
      </c>
      <c r="T1872" t="s">
        <v>44</v>
      </c>
      <c r="U1872" t="s">
        <v>44</v>
      </c>
      <c r="V1872">
        <v>207</v>
      </c>
      <c r="W1872" t="s">
        <v>44</v>
      </c>
      <c r="X1872" t="s">
        <v>44</v>
      </c>
      <c r="Y1872">
        <v>207</v>
      </c>
      <c r="Z1872" t="s">
        <v>44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209</v>
      </c>
      <c r="AQ1872">
        <f t="shared" si="65"/>
        <v>209</v>
      </c>
      <c r="AR1872" s="5">
        <f>VLOOKUP(F1872,'[2]SCP_24-25'!$A:$D,4,0)</f>
        <v>51.74</v>
      </c>
      <c r="AS1872" s="5">
        <f t="shared" si="66"/>
        <v>10813.66</v>
      </c>
    </row>
    <row r="1873" spans="1:45" x14ac:dyDescent="0.3">
      <c r="A1873" s="1">
        <v>45900.963888888888</v>
      </c>
      <c r="B1873" t="s">
        <v>1473</v>
      </c>
      <c r="C1873" t="s">
        <v>1474</v>
      </c>
      <c r="D1873" t="s">
        <v>540</v>
      </c>
      <c r="F1873" t="s">
        <v>1724</v>
      </c>
      <c r="G1873" t="s">
        <v>541</v>
      </c>
      <c r="H1873" t="s">
        <v>130</v>
      </c>
      <c r="I1873" t="s">
        <v>43</v>
      </c>
      <c r="J1873">
        <v>53</v>
      </c>
      <c r="K1873">
        <v>19</v>
      </c>
      <c r="L1873">
        <v>10</v>
      </c>
      <c r="M1873">
        <v>11</v>
      </c>
      <c r="N1873">
        <v>3174</v>
      </c>
      <c r="O1873">
        <v>0</v>
      </c>
      <c r="P1873">
        <v>0</v>
      </c>
      <c r="Q1873">
        <v>3</v>
      </c>
      <c r="R1873" t="s">
        <v>44</v>
      </c>
      <c r="S1873" t="s">
        <v>44</v>
      </c>
      <c r="T1873" t="s">
        <v>44</v>
      </c>
      <c r="U1873" t="s">
        <v>44</v>
      </c>
      <c r="V1873">
        <v>905</v>
      </c>
      <c r="W1873" t="s">
        <v>44</v>
      </c>
      <c r="X1873" t="s">
        <v>44</v>
      </c>
      <c r="Y1873">
        <v>905</v>
      </c>
      <c r="Z1873" t="s">
        <v>44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905</v>
      </c>
      <c r="AQ1873">
        <f t="shared" si="65"/>
        <v>905</v>
      </c>
      <c r="AR1873" s="5">
        <f>VLOOKUP(F1873,'[2]SCP_24-25'!$A:$D,4,0)</f>
        <v>51.74</v>
      </c>
      <c r="AS1873" s="5">
        <f t="shared" si="66"/>
        <v>46824.700000000004</v>
      </c>
    </row>
    <row r="1874" spans="1:45" x14ac:dyDescent="0.3">
      <c r="A1874" s="1">
        <v>45900.963888888888</v>
      </c>
      <c r="B1874" t="s">
        <v>1473</v>
      </c>
      <c r="C1874" t="s">
        <v>1474</v>
      </c>
      <c r="D1874" t="s">
        <v>461</v>
      </c>
      <c r="F1874" t="s">
        <v>1685</v>
      </c>
      <c r="G1874" t="s">
        <v>462</v>
      </c>
      <c r="H1874" t="s">
        <v>130</v>
      </c>
      <c r="I1874" t="s">
        <v>43</v>
      </c>
      <c r="J1874">
        <v>53.02</v>
      </c>
      <c r="K1874">
        <v>19</v>
      </c>
      <c r="L1874">
        <v>10</v>
      </c>
      <c r="M1874">
        <v>11</v>
      </c>
      <c r="N1874">
        <v>2805</v>
      </c>
      <c r="O1874">
        <v>0</v>
      </c>
      <c r="P1874">
        <v>0</v>
      </c>
      <c r="Q1874">
        <v>4</v>
      </c>
      <c r="R1874" t="s">
        <v>44</v>
      </c>
      <c r="S1874" t="s">
        <v>44</v>
      </c>
      <c r="T1874" t="s">
        <v>44</v>
      </c>
      <c r="U1874" t="s">
        <v>44</v>
      </c>
      <c r="V1874">
        <v>582</v>
      </c>
      <c r="W1874" t="s">
        <v>44</v>
      </c>
      <c r="X1874" t="s">
        <v>44</v>
      </c>
      <c r="Y1874">
        <v>582</v>
      </c>
      <c r="Z1874" t="s">
        <v>44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582</v>
      </c>
      <c r="AQ1874">
        <f t="shared" si="65"/>
        <v>582</v>
      </c>
      <c r="AR1874" s="5">
        <f>VLOOKUP(F1874,'[2]SCP_24-25'!$A:$D,4,0)</f>
        <v>51.74</v>
      </c>
      <c r="AS1874" s="5">
        <f t="shared" si="66"/>
        <v>30112.68</v>
      </c>
    </row>
    <row r="1875" spans="1:45" x14ac:dyDescent="0.3">
      <c r="A1875" s="1">
        <v>45900.963888888888</v>
      </c>
      <c r="B1875" t="s">
        <v>1473</v>
      </c>
      <c r="C1875" t="s">
        <v>1474</v>
      </c>
      <c r="D1875" t="s">
        <v>463</v>
      </c>
      <c r="F1875" t="s">
        <v>1686</v>
      </c>
      <c r="G1875" t="s">
        <v>464</v>
      </c>
      <c r="H1875" t="s">
        <v>130</v>
      </c>
      <c r="I1875" t="s">
        <v>43</v>
      </c>
      <c r="J1875">
        <v>53.02</v>
      </c>
      <c r="K1875">
        <v>19</v>
      </c>
      <c r="L1875">
        <v>10</v>
      </c>
      <c r="M1875">
        <v>11</v>
      </c>
      <c r="N1875">
        <v>3209</v>
      </c>
      <c r="O1875">
        <v>0</v>
      </c>
      <c r="P1875">
        <v>0</v>
      </c>
      <c r="Q1875">
        <v>1</v>
      </c>
      <c r="R1875" t="s">
        <v>44</v>
      </c>
      <c r="S1875" t="s">
        <v>44</v>
      </c>
      <c r="T1875" t="s">
        <v>44</v>
      </c>
      <c r="U1875" t="s">
        <v>44</v>
      </c>
      <c r="V1875">
        <v>903</v>
      </c>
      <c r="W1875">
        <v>24</v>
      </c>
      <c r="X1875" t="s">
        <v>44</v>
      </c>
      <c r="Y1875">
        <v>903</v>
      </c>
      <c r="Z1875" t="s">
        <v>44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903</v>
      </c>
      <c r="AQ1875">
        <f t="shared" ref="AQ1875:AQ1938" si="67">O1875+P1875+V1875+AA1875</f>
        <v>903</v>
      </c>
      <c r="AR1875" s="5">
        <f>VLOOKUP(F1875,'[2]SCP_24-25'!$A:$D,4,0)</f>
        <v>51.74</v>
      </c>
      <c r="AS1875" s="5">
        <f t="shared" si="66"/>
        <v>46721.22</v>
      </c>
    </row>
    <row r="1876" spans="1:45" x14ac:dyDescent="0.3">
      <c r="A1876" s="1">
        <v>45900.963888888888</v>
      </c>
      <c r="B1876" t="s">
        <v>1473</v>
      </c>
      <c r="C1876" t="s">
        <v>1474</v>
      </c>
      <c r="D1876" t="s">
        <v>700</v>
      </c>
      <c r="F1876" t="s">
        <v>1803</v>
      </c>
      <c r="G1876" t="s">
        <v>701</v>
      </c>
      <c r="H1876" t="s">
        <v>120</v>
      </c>
      <c r="I1876" t="s">
        <v>43</v>
      </c>
      <c r="J1876">
        <v>50</v>
      </c>
      <c r="K1876">
        <v>19</v>
      </c>
      <c r="L1876">
        <v>11</v>
      </c>
      <c r="M1876">
        <v>10</v>
      </c>
      <c r="N1876">
        <v>4098</v>
      </c>
      <c r="O1876">
        <v>1</v>
      </c>
      <c r="P1876">
        <v>0</v>
      </c>
      <c r="Q1876" t="s">
        <v>44</v>
      </c>
      <c r="R1876">
        <v>1</v>
      </c>
      <c r="S1876" t="s">
        <v>44</v>
      </c>
      <c r="T1876">
        <v>30</v>
      </c>
      <c r="U1876" t="s">
        <v>44</v>
      </c>
      <c r="V1876">
        <v>566</v>
      </c>
      <c r="W1876" t="s">
        <v>44</v>
      </c>
      <c r="X1876" t="s">
        <v>44</v>
      </c>
      <c r="Y1876">
        <v>566</v>
      </c>
      <c r="Z1876" t="s">
        <v>44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567</v>
      </c>
      <c r="AQ1876">
        <f t="shared" si="67"/>
        <v>567</v>
      </c>
      <c r="AR1876" s="5">
        <f>VLOOKUP(F1876,'[2]SCP_24-25'!$A:$D,4,0)</f>
        <v>30</v>
      </c>
      <c r="AS1876" s="5">
        <f t="shared" si="66"/>
        <v>17010</v>
      </c>
    </row>
    <row r="1877" spans="1:45" x14ac:dyDescent="0.3">
      <c r="A1877" s="1">
        <v>45900.963888888888</v>
      </c>
      <c r="B1877" t="s">
        <v>1473</v>
      </c>
      <c r="C1877" t="s">
        <v>1474</v>
      </c>
      <c r="D1877" t="s">
        <v>1191</v>
      </c>
      <c r="E1877" t="s">
        <v>1191</v>
      </c>
      <c r="F1877" t="s">
        <v>2045</v>
      </c>
      <c r="G1877" t="s">
        <v>1192</v>
      </c>
      <c r="H1877" t="s">
        <v>635</v>
      </c>
      <c r="I1877" t="s">
        <v>43</v>
      </c>
      <c r="J1877">
        <v>100</v>
      </c>
      <c r="K1877">
        <v>19</v>
      </c>
      <c r="L1877">
        <v>10</v>
      </c>
      <c r="M1877">
        <v>11</v>
      </c>
      <c r="N1877">
        <v>951</v>
      </c>
      <c r="O1877">
        <v>0</v>
      </c>
      <c r="P1877">
        <v>0</v>
      </c>
      <c r="Q1877" t="s">
        <v>44</v>
      </c>
      <c r="R1877" t="s">
        <v>44</v>
      </c>
      <c r="S1877" t="s">
        <v>44</v>
      </c>
      <c r="T1877" t="s">
        <v>44</v>
      </c>
      <c r="U1877" t="s">
        <v>44</v>
      </c>
      <c r="V1877">
        <v>132</v>
      </c>
      <c r="W1877" t="s">
        <v>44</v>
      </c>
      <c r="X1877" t="s">
        <v>44</v>
      </c>
      <c r="Y1877">
        <v>132</v>
      </c>
      <c r="Z1877" t="s">
        <v>44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132</v>
      </c>
      <c r="AQ1877">
        <f t="shared" si="67"/>
        <v>132</v>
      </c>
      <c r="AR1877" s="5">
        <f>VLOOKUP(F1877,'[1]Cost Sheet'!$C:$D,2,0)</f>
        <v>113</v>
      </c>
      <c r="AS1877" s="5">
        <f t="shared" si="66"/>
        <v>14916</v>
      </c>
    </row>
    <row r="1878" spans="1:45" x14ac:dyDescent="0.3">
      <c r="A1878" s="1">
        <v>45900.963888888888</v>
      </c>
      <c r="B1878" t="s">
        <v>1473</v>
      </c>
      <c r="C1878" t="s">
        <v>1474</v>
      </c>
      <c r="D1878" t="s">
        <v>720</v>
      </c>
      <c r="F1878" t="s">
        <v>1813</v>
      </c>
      <c r="G1878" t="s">
        <v>721</v>
      </c>
      <c r="H1878" t="s">
        <v>130</v>
      </c>
      <c r="I1878" t="s">
        <v>43</v>
      </c>
      <c r="J1878">
        <v>32.020000000000003</v>
      </c>
      <c r="K1878">
        <v>19</v>
      </c>
      <c r="L1878">
        <v>10</v>
      </c>
      <c r="M1878">
        <v>11</v>
      </c>
      <c r="N1878">
        <v>5553</v>
      </c>
      <c r="O1878">
        <v>5</v>
      </c>
      <c r="P1878">
        <v>0</v>
      </c>
      <c r="Q1878">
        <v>1</v>
      </c>
      <c r="R1878">
        <v>5</v>
      </c>
      <c r="S1878" t="s">
        <v>44</v>
      </c>
      <c r="T1878">
        <v>24</v>
      </c>
      <c r="U1878" t="s">
        <v>44</v>
      </c>
      <c r="V1878">
        <v>335</v>
      </c>
      <c r="W1878" t="s">
        <v>44</v>
      </c>
      <c r="X1878" t="s">
        <v>44</v>
      </c>
      <c r="Y1878">
        <v>335</v>
      </c>
      <c r="Z1878" t="s">
        <v>44</v>
      </c>
      <c r="AA1878">
        <v>2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342</v>
      </c>
      <c r="AQ1878">
        <f t="shared" si="67"/>
        <v>342</v>
      </c>
      <c r="AR1878" s="5">
        <f>VLOOKUP(F1878,'[2]SCP_24-25'!$A:$D,4,0)</f>
        <v>96.2</v>
      </c>
      <c r="AS1878" s="5">
        <f t="shared" si="66"/>
        <v>32900.400000000001</v>
      </c>
    </row>
    <row r="1879" spans="1:45" x14ac:dyDescent="0.3">
      <c r="A1879" s="1">
        <v>45900.963888888888</v>
      </c>
      <c r="B1879" t="s">
        <v>1473</v>
      </c>
      <c r="C1879" t="s">
        <v>1474</v>
      </c>
      <c r="D1879" t="s">
        <v>586</v>
      </c>
      <c r="F1879" t="s">
        <v>1747</v>
      </c>
      <c r="G1879" t="s">
        <v>587</v>
      </c>
      <c r="H1879" t="s">
        <v>130</v>
      </c>
      <c r="I1879" t="s">
        <v>43</v>
      </c>
      <c r="J1879">
        <v>32.020000000000003</v>
      </c>
      <c r="K1879">
        <v>19</v>
      </c>
      <c r="L1879">
        <v>10</v>
      </c>
      <c r="M1879">
        <v>11</v>
      </c>
      <c r="N1879">
        <v>7688</v>
      </c>
      <c r="O1879">
        <v>2</v>
      </c>
      <c r="P1879">
        <v>0</v>
      </c>
      <c r="Q1879">
        <v>3</v>
      </c>
      <c r="R1879">
        <v>958</v>
      </c>
      <c r="S1879" t="s">
        <v>44</v>
      </c>
      <c r="T1879" t="s">
        <v>44</v>
      </c>
      <c r="U1879" t="s">
        <v>44</v>
      </c>
      <c r="V1879">
        <v>443</v>
      </c>
      <c r="W1879">
        <v>12</v>
      </c>
      <c r="X1879" t="s">
        <v>44</v>
      </c>
      <c r="Y1879">
        <v>443</v>
      </c>
      <c r="Z1879" t="s">
        <v>44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446</v>
      </c>
      <c r="AQ1879">
        <f t="shared" si="67"/>
        <v>446</v>
      </c>
      <c r="AR1879" s="5">
        <f>VLOOKUP(F1879,'[2]SCP_24-25'!$A:$D,4,0)</f>
        <v>96.2</v>
      </c>
      <c r="AS1879" s="5">
        <f t="shared" si="66"/>
        <v>42905.200000000004</v>
      </c>
    </row>
    <row r="1880" spans="1:45" x14ac:dyDescent="0.3">
      <c r="A1880" s="1">
        <v>45900.963888888888</v>
      </c>
      <c r="B1880" t="s">
        <v>1473</v>
      </c>
      <c r="C1880" t="s">
        <v>1474</v>
      </c>
      <c r="D1880" t="s">
        <v>592</v>
      </c>
      <c r="F1880" t="s">
        <v>1750</v>
      </c>
      <c r="G1880" t="s">
        <v>593</v>
      </c>
      <c r="H1880" t="s">
        <v>130</v>
      </c>
      <c r="I1880" t="s">
        <v>43</v>
      </c>
      <c r="J1880">
        <v>32.020000000000003</v>
      </c>
      <c r="K1880">
        <v>19</v>
      </c>
      <c r="L1880">
        <v>10</v>
      </c>
      <c r="M1880">
        <v>11</v>
      </c>
      <c r="N1880">
        <v>8752</v>
      </c>
      <c r="O1880">
        <v>8</v>
      </c>
      <c r="P1880">
        <v>0</v>
      </c>
      <c r="Q1880">
        <v>10</v>
      </c>
      <c r="R1880">
        <v>4</v>
      </c>
      <c r="S1880" t="s">
        <v>44</v>
      </c>
      <c r="T1880" t="s">
        <v>44</v>
      </c>
      <c r="U1880" t="s">
        <v>44</v>
      </c>
      <c r="V1880">
        <v>544</v>
      </c>
      <c r="W1880" t="s">
        <v>44</v>
      </c>
      <c r="X1880" t="s">
        <v>44</v>
      </c>
      <c r="Y1880">
        <v>544</v>
      </c>
      <c r="Z1880" t="s">
        <v>44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553</v>
      </c>
      <c r="AQ1880">
        <f t="shared" si="67"/>
        <v>553</v>
      </c>
      <c r="AR1880" s="5">
        <f>VLOOKUP(F1880,'[2]SCP_24-25'!$A:$D,4,0)</f>
        <v>96.2</v>
      </c>
      <c r="AS1880" s="5">
        <f t="shared" si="66"/>
        <v>53198.6</v>
      </c>
    </row>
    <row r="1881" spans="1:45" x14ac:dyDescent="0.3">
      <c r="A1881" s="1">
        <v>45900.963888888888</v>
      </c>
      <c r="B1881" t="s">
        <v>1473</v>
      </c>
      <c r="C1881" t="s">
        <v>1474</v>
      </c>
      <c r="D1881" t="s">
        <v>1428</v>
      </c>
      <c r="F1881" t="s">
        <v>2160</v>
      </c>
      <c r="G1881" t="s">
        <v>1429</v>
      </c>
      <c r="H1881" t="s">
        <v>120</v>
      </c>
      <c r="I1881" t="s">
        <v>43</v>
      </c>
      <c r="J1881">
        <v>100</v>
      </c>
      <c r="K1881">
        <v>19</v>
      </c>
      <c r="L1881">
        <v>10</v>
      </c>
      <c r="M1881">
        <v>11</v>
      </c>
      <c r="N1881">
        <v>913</v>
      </c>
      <c r="O1881">
        <v>0</v>
      </c>
      <c r="P1881">
        <v>0</v>
      </c>
      <c r="Q1881" t="s">
        <v>44</v>
      </c>
      <c r="R1881" t="s">
        <v>44</v>
      </c>
      <c r="S1881" t="s">
        <v>44</v>
      </c>
      <c r="T1881" t="s">
        <v>44</v>
      </c>
      <c r="U1881" t="s">
        <v>44</v>
      </c>
      <c r="V1881">
        <v>105</v>
      </c>
      <c r="W1881" t="s">
        <v>44</v>
      </c>
      <c r="X1881" t="s">
        <v>44</v>
      </c>
      <c r="Y1881">
        <v>105</v>
      </c>
      <c r="Z1881" t="s">
        <v>44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105</v>
      </c>
      <c r="AQ1881">
        <f t="shared" si="67"/>
        <v>105</v>
      </c>
      <c r="AR1881" s="5">
        <f>VLOOKUP(F1881,'[2]SCP_24-25'!$A:$D,4,0)</f>
        <v>70</v>
      </c>
      <c r="AS1881" s="5">
        <f t="shared" si="66"/>
        <v>7350</v>
      </c>
    </row>
    <row r="1882" spans="1:45" x14ac:dyDescent="0.3">
      <c r="A1882" s="1">
        <v>45900.963888888888</v>
      </c>
      <c r="B1882" t="s">
        <v>1473</v>
      </c>
      <c r="C1882" t="s">
        <v>1474</v>
      </c>
      <c r="D1882" t="s">
        <v>546</v>
      </c>
      <c r="F1882" t="s">
        <v>1727</v>
      </c>
      <c r="G1882" t="s">
        <v>547</v>
      </c>
      <c r="H1882" t="s">
        <v>130</v>
      </c>
      <c r="I1882" t="s">
        <v>43</v>
      </c>
      <c r="J1882">
        <v>71.02</v>
      </c>
      <c r="K1882">
        <v>19</v>
      </c>
      <c r="L1882">
        <v>10</v>
      </c>
      <c r="M1882">
        <v>11</v>
      </c>
      <c r="N1882">
        <v>5651</v>
      </c>
      <c r="O1882">
        <v>0</v>
      </c>
      <c r="P1882">
        <v>0</v>
      </c>
      <c r="Q1882">
        <v>10</v>
      </c>
      <c r="R1882">
        <v>51</v>
      </c>
      <c r="S1882" t="s">
        <v>44</v>
      </c>
      <c r="T1882" t="s">
        <v>44</v>
      </c>
      <c r="U1882" t="s">
        <v>44</v>
      </c>
      <c r="V1882">
        <v>191</v>
      </c>
      <c r="W1882" t="s">
        <v>44</v>
      </c>
      <c r="X1882" t="s">
        <v>44</v>
      </c>
      <c r="Y1882">
        <v>191</v>
      </c>
      <c r="Z1882" t="s">
        <v>44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192</v>
      </c>
      <c r="AQ1882">
        <f t="shared" si="67"/>
        <v>192</v>
      </c>
      <c r="AR1882" s="5">
        <f>VLOOKUP(F1882,'[2]SCP_24-25'!$A:$D,4,0)</f>
        <v>129.18</v>
      </c>
      <c r="AS1882" s="5">
        <f t="shared" si="66"/>
        <v>24802.560000000001</v>
      </c>
    </row>
    <row r="1883" spans="1:45" x14ac:dyDescent="0.3">
      <c r="A1883" s="1">
        <v>45900.963888888888</v>
      </c>
      <c r="B1883" t="s">
        <v>1473</v>
      </c>
      <c r="C1883" t="s">
        <v>1474</v>
      </c>
      <c r="D1883" t="s">
        <v>499</v>
      </c>
      <c r="F1883" t="s">
        <v>1704</v>
      </c>
      <c r="G1883" t="s">
        <v>500</v>
      </c>
      <c r="H1883" t="s">
        <v>130</v>
      </c>
      <c r="I1883" t="s">
        <v>43</v>
      </c>
      <c r="J1883">
        <v>71.02</v>
      </c>
      <c r="K1883">
        <v>19</v>
      </c>
      <c r="L1883">
        <v>10</v>
      </c>
      <c r="M1883">
        <v>11</v>
      </c>
      <c r="N1883">
        <v>5395</v>
      </c>
      <c r="O1883">
        <v>1</v>
      </c>
      <c r="P1883">
        <v>0</v>
      </c>
      <c r="Q1883">
        <v>7</v>
      </c>
      <c r="R1883" t="s">
        <v>44</v>
      </c>
      <c r="S1883" t="s">
        <v>44</v>
      </c>
      <c r="T1883" t="s">
        <v>44</v>
      </c>
      <c r="U1883" t="s">
        <v>44</v>
      </c>
      <c r="V1883">
        <v>393</v>
      </c>
      <c r="W1883" t="s">
        <v>44</v>
      </c>
      <c r="X1883" t="s">
        <v>44</v>
      </c>
      <c r="Y1883">
        <v>393</v>
      </c>
      <c r="Z1883" t="s">
        <v>44</v>
      </c>
      <c r="AA1883">
        <v>2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396</v>
      </c>
      <c r="AQ1883">
        <f t="shared" si="67"/>
        <v>396</v>
      </c>
      <c r="AR1883" s="5">
        <f>VLOOKUP(F1883,'[2]SCP_24-25'!$A:$D,4,0)</f>
        <v>129.18</v>
      </c>
      <c r="AS1883" s="5">
        <f t="shared" si="66"/>
        <v>51155.280000000006</v>
      </c>
    </row>
    <row r="1884" spans="1:45" x14ac:dyDescent="0.3">
      <c r="A1884" s="1">
        <v>45900.963888888888</v>
      </c>
      <c r="B1884" t="s">
        <v>1473</v>
      </c>
      <c r="C1884" t="s">
        <v>1474</v>
      </c>
      <c r="D1884" t="s">
        <v>603</v>
      </c>
      <c r="F1884" t="s">
        <v>1755</v>
      </c>
      <c r="G1884" t="s">
        <v>604</v>
      </c>
      <c r="H1884" t="s">
        <v>130</v>
      </c>
      <c r="I1884" t="s">
        <v>43</v>
      </c>
      <c r="J1884">
        <v>71.02</v>
      </c>
      <c r="K1884">
        <v>19</v>
      </c>
      <c r="L1884">
        <v>10</v>
      </c>
      <c r="M1884">
        <v>11</v>
      </c>
      <c r="N1884">
        <v>4790</v>
      </c>
      <c r="O1884">
        <v>0</v>
      </c>
      <c r="P1884">
        <v>0</v>
      </c>
      <c r="Q1884">
        <v>3</v>
      </c>
      <c r="R1884">
        <v>3</v>
      </c>
      <c r="S1884" t="s">
        <v>44</v>
      </c>
      <c r="T1884" t="s">
        <v>44</v>
      </c>
      <c r="U1884" t="s">
        <v>44</v>
      </c>
      <c r="V1884">
        <v>917</v>
      </c>
      <c r="W1884" t="s">
        <v>44</v>
      </c>
      <c r="X1884" t="s">
        <v>44</v>
      </c>
      <c r="Y1884">
        <v>917</v>
      </c>
      <c r="Z1884" t="s">
        <v>44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918</v>
      </c>
      <c r="AQ1884">
        <f t="shared" si="67"/>
        <v>918</v>
      </c>
      <c r="AR1884" s="5">
        <f>VLOOKUP(F1884,'[2]SCP_24-25'!$A:$D,4,0)</f>
        <v>129.18</v>
      </c>
      <c r="AS1884" s="5">
        <f t="shared" si="66"/>
        <v>118587.24</v>
      </c>
    </row>
    <row r="1885" spans="1:45" x14ac:dyDescent="0.3">
      <c r="A1885" s="1">
        <v>45900.963888888888</v>
      </c>
      <c r="B1885" t="s">
        <v>1473</v>
      </c>
      <c r="C1885" t="s">
        <v>1474</v>
      </c>
      <c r="D1885" t="s">
        <v>548</v>
      </c>
      <c r="F1885" t="s">
        <v>1728</v>
      </c>
      <c r="G1885" t="s">
        <v>549</v>
      </c>
      <c r="H1885" t="s">
        <v>130</v>
      </c>
      <c r="I1885" t="s">
        <v>43</v>
      </c>
      <c r="J1885">
        <v>63.02</v>
      </c>
      <c r="K1885">
        <v>19</v>
      </c>
      <c r="L1885">
        <v>10</v>
      </c>
      <c r="M1885">
        <v>11</v>
      </c>
      <c r="N1885">
        <v>5009</v>
      </c>
      <c r="O1885">
        <v>3</v>
      </c>
      <c r="P1885">
        <v>0</v>
      </c>
      <c r="Q1885">
        <v>3</v>
      </c>
      <c r="R1885">
        <v>5</v>
      </c>
      <c r="S1885" t="s">
        <v>44</v>
      </c>
      <c r="T1885" t="s">
        <v>44</v>
      </c>
      <c r="U1885" t="s">
        <v>44</v>
      </c>
      <c r="V1885">
        <v>289</v>
      </c>
      <c r="W1885" t="s">
        <v>44</v>
      </c>
      <c r="X1885" t="s">
        <v>44</v>
      </c>
      <c r="Y1885">
        <v>289</v>
      </c>
      <c r="Z1885" t="s">
        <v>44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292</v>
      </c>
      <c r="AQ1885">
        <f t="shared" si="67"/>
        <v>292</v>
      </c>
      <c r="AR1885" s="5">
        <f>VLOOKUP(F1885,'[2]SCP_24-25'!$A:$D,4,0)</f>
        <v>91.39</v>
      </c>
      <c r="AS1885" s="5">
        <f t="shared" si="66"/>
        <v>26685.88</v>
      </c>
    </row>
    <row r="1886" spans="1:45" x14ac:dyDescent="0.3">
      <c r="A1886" s="1">
        <v>45900.963888888888</v>
      </c>
      <c r="B1886" t="s">
        <v>1473</v>
      </c>
      <c r="C1886" t="s">
        <v>1474</v>
      </c>
      <c r="D1886" t="s">
        <v>803</v>
      </c>
      <c r="F1886" t="s">
        <v>1853</v>
      </c>
      <c r="G1886" t="s">
        <v>804</v>
      </c>
      <c r="H1886" t="s">
        <v>130</v>
      </c>
      <c r="I1886" t="s">
        <v>43</v>
      </c>
      <c r="J1886">
        <v>63.02</v>
      </c>
      <c r="K1886">
        <v>19</v>
      </c>
      <c r="L1886">
        <v>10</v>
      </c>
      <c r="M1886">
        <v>11</v>
      </c>
      <c r="N1886">
        <v>5682</v>
      </c>
      <c r="O1886">
        <v>1</v>
      </c>
      <c r="P1886">
        <v>0</v>
      </c>
      <c r="Q1886">
        <v>4</v>
      </c>
      <c r="R1886">
        <v>2</v>
      </c>
      <c r="S1886" t="s">
        <v>44</v>
      </c>
      <c r="T1886" t="s">
        <v>44</v>
      </c>
      <c r="U1886" t="s">
        <v>44</v>
      </c>
      <c r="V1886">
        <v>148</v>
      </c>
      <c r="W1886" t="s">
        <v>44</v>
      </c>
      <c r="X1886" t="s">
        <v>44</v>
      </c>
      <c r="Y1886">
        <v>148</v>
      </c>
      <c r="Z1886" t="s">
        <v>44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149</v>
      </c>
      <c r="AQ1886">
        <f t="shared" si="67"/>
        <v>149</v>
      </c>
      <c r="AR1886" s="5">
        <f>VLOOKUP(F1886,'[2]SCP_24-25'!$A:$D,4,0)</f>
        <v>91.39</v>
      </c>
      <c r="AS1886" s="5">
        <f t="shared" si="66"/>
        <v>13617.11</v>
      </c>
    </row>
    <row r="1887" spans="1:45" x14ac:dyDescent="0.3">
      <c r="A1887" s="1">
        <v>45900.963888888888</v>
      </c>
      <c r="B1887" t="s">
        <v>1473</v>
      </c>
      <c r="C1887" t="s">
        <v>1474</v>
      </c>
      <c r="D1887" t="s">
        <v>409</v>
      </c>
      <c r="F1887" t="s">
        <v>1662</v>
      </c>
      <c r="G1887" t="s">
        <v>410</v>
      </c>
      <c r="H1887" t="s">
        <v>103</v>
      </c>
      <c r="I1887" t="s">
        <v>43</v>
      </c>
      <c r="J1887">
        <v>100.52</v>
      </c>
      <c r="K1887">
        <v>19</v>
      </c>
      <c r="L1887">
        <v>11</v>
      </c>
      <c r="M1887">
        <v>10</v>
      </c>
      <c r="N1887">
        <v>17923</v>
      </c>
      <c r="O1887">
        <v>9</v>
      </c>
      <c r="P1887">
        <v>0</v>
      </c>
      <c r="Q1887">
        <v>48</v>
      </c>
      <c r="R1887">
        <v>24</v>
      </c>
      <c r="S1887" t="s">
        <v>44</v>
      </c>
      <c r="T1887" t="s">
        <v>44</v>
      </c>
      <c r="U1887" t="s">
        <v>44</v>
      </c>
      <c r="V1887">
        <v>392</v>
      </c>
      <c r="W1887" t="s">
        <v>44</v>
      </c>
      <c r="X1887" t="s">
        <v>44</v>
      </c>
      <c r="Y1887">
        <v>392</v>
      </c>
      <c r="Z1887" t="s">
        <v>44</v>
      </c>
      <c r="AA1887">
        <v>3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404</v>
      </c>
      <c r="AQ1887">
        <f t="shared" si="67"/>
        <v>404</v>
      </c>
      <c r="AR1887" s="5">
        <f>VLOOKUP(F1887,'[2]SCP_24-25'!$A:$D,4,0)</f>
        <v>71.81</v>
      </c>
      <c r="AS1887" s="5">
        <f t="shared" si="66"/>
        <v>29011.24</v>
      </c>
    </row>
    <row r="1888" spans="1:45" x14ac:dyDescent="0.3">
      <c r="A1888" s="1">
        <v>45900.963888888888</v>
      </c>
      <c r="B1888" t="s">
        <v>1473</v>
      </c>
      <c r="C1888" t="s">
        <v>1474</v>
      </c>
      <c r="D1888" t="s">
        <v>1203</v>
      </c>
      <c r="F1888" t="s">
        <v>2051</v>
      </c>
      <c r="G1888" t="s">
        <v>1204</v>
      </c>
      <c r="H1888" t="s">
        <v>66</v>
      </c>
      <c r="I1888" t="s">
        <v>43</v>
      </c>
      <c r="J1888">
        <v>100</v>
      </c>
      <c r="K1888">
        <v>19</v>
      </c>
      <c r="L1888">
        <v>10</v>
      </c>
      <c r="M1888">
        <v>11</v>
      </c>
      <c r="N1888">
        <v>479</v>
      </c>
      <c r="O1888">
        <v>0</v>
      </c>
      <c r="P1888">
        <v>0</v>
      </c>
      <c r="Q1888" t="s">
        <v>44</v>
      </c>
      <c r="R1888" t="s">
        <v>44</v>
      </c>
      <c r="S1888" t="s">
        <v>44</v>
      </c>
      <c r="T1888" t="s">
        <v>44</v>
      </c>
      <c r="U1888" t="s">
        <v>44</v>
      </c>
      <c r="V1888">
        <v>173</v>
      </c>
      <c r="W1888" t="s">
        <v>44</v>
      </c>
      <c r="X1888" t="s">
        <v>44</v>
      </c>
      <c r="Y1888">
        <v>173</v>
      </c>
      <c r="Z1888" t="s">
        <v>44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173</v>
      </c>
      <c r="AQ1888">
        <f t="shared" si="67"/>
        <v>173</v>
      </c>
      <c r="AR1888" s="5">
        <f>VLOOKUP(F1888,'[1]Cost Sheet'!$C:$D,2,0)</f>
        <v>34.880000000000003</v>
      </c>
      <c r="AS1888" s="5">
        <f t="shared" si="66"/>
        <v>6034.2400000000007</v>
      </c>
    </row>
    <row r="1889" spans="1:45" x14ac:dyDescent="0.3">
      <c r="A1889" s="1">
        <v>45900.963888888888</v>
      </c>
      <c r="B1889" t="s">
        <v>1473</v>
      </c>
      <c r="C1889" t="s">
        <v>1474</v>
      </c>
      <c r="D1889" t="s">
        <v>1205</v>
      </c>
      <c r="F1889" t="s">
        <v>2052</v>
      </c>
      <c r="G1889" t="s">
        <v>1206</v>
      </c>
      <c r="H1889" t="s">
        <v>66</v>
      </c>
      <c r="I1889" t="s">
        <v>43</v>
      </c>
      <c r="J1889">
        <v>30</v>
      </c>
      <c r="K1889">
        <v>19</v>
      </c>
      <c r="L1889">
        <v>10</v>
      </c>
      <c r="M1889">
        <v>11</v>
      </c>
      <c r="N1889">
        <v>840</v>
      </c>
      <c r="O1889">
        <v>0</v>
      </c>
      <c r="P1889">
        <v>0</v>
      </c>
      <c r="Q1889" t="s">
        <v>44</v>
      </c>
      <c r="R1889" t="s">
        <v>44</v>
      </c>
      <c r="S1889" t="s">
        <v>44</v>
      </c>
      <c r="T1889" t="s">
        <v>44</v>
      </c>
      <c r="U1889" t="s">
        <v>44</v>
      </c>
      <c r="V1889">
        <v>111</v>
      </c>
      <c r="W1889" t="s">
        <v>44</v>
      </c>
      <c r="X1889" t="s">
        <v>44</v>
      </c>
      <c r="Y1889">
        <v>111</v>
      </c>
      <c r="Z1889" t="s">
        <v>44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111</v>
      </c>
      <c r="AQ1889">
        <f t="shared" si="67"/>
        <v>111</v>
      </c>
      <c r="AR1889" s="5">
        <f>VLOOKUP(F1889,'[1]Cost Sheet'!$C:$D,2,0)</f>
        <v>71.81</v>
      </c>
      <c r="AS1889" s="5">
        <f t="shared" si="66"/>
        <v>7970.91</v>
      </c>
    </row>
    <row r="1890" spans="1:45" x14ac:dyDescent="0.3">
      <c r="A1890" s="1">
        <v>45900.963888888888</v>
      </c>
      <c r="B1890" t="s">
        <v>1473</v>
      </c>
      <c r="C1890" t="s">
        <v>1474</v>
      </c>
      <c r="D1890" t="s">
        <v>1213</v>
      </c>
      <c r="F1890" t="s">
        <v>2056</v>
      </c>
      <c r="G1890" t="s">
        <v>1214</v>
      </c>
      <c r="H1890" t="s">
        <v>66</v>
      </c>
      <c r="I1890" t="s">
        <v>43</v>
      </c>
      <c r="J1890">
        <v>206</v>
      </c>
      <c r="K1890">
        <v>19</v>
      </c>
      <c r="L1890">
        <v>10</v>
      </c>
      <c r="M1890">
        <v>11</v>
      </c>
      <c r="N1890">
        <v>202</v>
      </c>
      <c r="O1890">
        <v>0</v>
      </c>
      <c r="P1890">
        <v>0</v>
      </c>
      <c r="Q1890" t="s">
        <v>44</v>
      </c>
      <c r="R1890" t="s">
        <v>44</v>
      </c>
      <c r="S1890" t="s">
        <v>44</v>
      </c>
      <c r="T1890" t="s">
        <v>44</v>
      </c>
      <c r="U1890" t="s">
        <v>44</v>
      </c>
      <c r="V1890">
        <v>101</v>
      </c>
      <c r="W1890" t="s">
        <v>44</v>
      </c>
      <c r="X1890" t="s">
        <v>44</v>
      </c>
      <c r="Y1890">
        <v>101</v>
      </c>
      <c r="Z1890" t="s">
        <v>44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101</v>
      </c>
      <c r="AQ1890">
        <f t="shared" si="67"/>
        <v>101</v>
      </c>
      <c r="AR1890" s="5">
        <f>VLOOKUP(F1890,'[1]Cost Sheet'!$C:$D,2,0)</f>
        <v>61.72</v>
      </c>
      <c r="AS1890" s="5">
        <f t="shared" si="66"/>
        <v>6233.72</v>
      </c>
    </row>
    <row r="1891" spans="1:45" x14ac:dyDescent="0.3">
      <c r="A1891" s="1">
        <v>45900.963888888888</v>
      </c>
      <c r="B1891" t="s">
        <v>1473</v>
      </c>
      <c r="C1891" t="s">
        <v>1474</v>
      </c>
      <c r="D1891" t="s">
        <v>1448</v>
      </c>
      <c r="F1891" t="s">
        <v>2170</v>
      </c>
      <c r="G1891" t="s">
        <v>1449</v>
      </c>
      <c r="H1891" t="s">
        <v>66</v>
      </c>
      <c r="I1891" t="s">
        <v>43</v>
      </c>
      <c r="J1891">
        <v>100</v>
      </c>
      <c r="K1891">
        <v>19</v>
      </c>
      <c r="L1891">
        <v>10</v>
      </c>
      <c r="M1891">
        <v>11</v>
      </c>
      <c r="N1891">
        <v>570</v>
      </c>
      <c r="O1891">
        <v>0</v>
      </c>
      <c r="P1891">
        <v>0</v>
      </c>
      <c r="Q1891" t="s">
        <v>44</v>
      </c>
      <c r="R1891" t="s">
        <v>44</v>
      </c>
      <c r="S1891" t="s">
        <v>44</v>
      </c>
      <c r="T1891" t="s">
        <v>44</v>
      </c>
      <c r="U1891" t="s">
        <v>44</v>
      </c>
      <c r="V1891">
        <v>235</v>
      </c>
      <c r="W1891" t="s">
        <v>44</v>
      </c>
      <c r="X1891" t="s">
        <v>44</v>
      </c>
      <c r="Y1891">
        <v>235</v>
      </c>
      <c r="Z1891" t="s">
        <v>44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235</v>
      </c>
      <c r="AQ1891">
        <f t="shared" si="67"/>
        <v>235</v>
      </c>
      <c r="AR1891" s="5">
        <f>VLOOKUP(F1891,'[1]Cost Sheet'!$C:$D,2,0)</f>
        <v>54.699999999999996</v>
      </c>
      <c r="AS1891" s="5">
        <f t="shared" si="66"/>
        <v>12854.499999999998</v>
      </c>
    </row>
    <row r="1892" spans="1:45" x14ac:dyDescent="0.3">
      <c r="A1892" s="1">
        <v>45900.963888888888</v>
      </c>
      <c r="B1892" t="s">
        <v>1473</v>
      </c>
      <c r="C1892" t="s">
        <v>1474</v>
      </c>
      <c r="D1892" t="s">
        <v>467</v>
      </c>
      <c r="F1892" t="s">
        <v>1688</v>
      </c>
      <c r="G1892" t="s">
        <v>468</v>
      </c>
      <c r="H1892" t="s">
        <v>66</v>
      </c>
      <c r="I1892" t="s">
        <v>43</v>
      </c>
      <c r="J1892">
        <v>459.02</v>
      </c>
      <c r="K1892">
        <v>19</v>
      </c>
      <c r="L1892">
        <v>11</v>
      </c>
      <c r="M1892">
        <v>10</v>
      </c>
      <c r="N1892">
        <v>12327</v>
      </c>
      <c r="O1892">
        <v>2</v>
      </c>
      <c r="P1892">
        <v>0</v>
      </c>
      <c r="Q1892">
        <v>29</v>
      </c>
      <c r="R1892">
        <v>12</v>
      </c>
      <c r="S1892" t="s">
        <v>44</v>
      </c>
      <c r="T1892">
        <v>2</v>
      </c>
      <c r="U1892" t="s">
        <v>44</v>
      </c>
      <c r="V1892">
        <v>421</v>
      </c>
      <c r="W1892">
        <v>39</v>
      </c>
      <c r="X1892" t="s">
        <v>44</v>
      </c>
      <c r="Y1892">
        <v>421</v>
      </c>
      <c r="Z1892" t="s">
        <v>44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423</v>
      </c>
      <c r="AQ1892">
        <f t="shared" si="67"/>
        <v>423</v>
      </c>
      <c r="AR1892" s="5">
        <f>VLOOKUP(F1892,'[2]SCP_24-25'!$A:$D,4,0)</f>
        <v>79.760000000000005</v>
      </c>
      <c r="AS1892" s="5">
        <f t="shared" si="66"/>
        <v>33738.480000000003</v>
      </c>
    </row>
    <row r="1893" spans="1:45" x14ac:dyDescent="0.3">
      <c r="A1893" s="1">
        <v>45900.963888888888</v>
      </c>
      <c r="B1893" t="s">
        <v>1473</v>
      </c>
      <c r="C1893" t="s">
        <v>1474</v>
      </c>
      <c r="D1893" t="s">
        <v>1243</v>
      </c>
      <c r="F1893" t="s">
        <v>2071</v>
      </c>
      <c r="G1893" t="s">
        <v>123</v>
      </c>
      <c r="H1893" t="s">
        <v>120</v>
      </c>
      <c r="I1893" t="s">
        <v>43</v>
      </c>
      <c r="J1893">
        <v>100</v>
      </c>
      <c r="K1893">
        <v>19</v>
      </c>
      <c r="L1893">
        <v>11</v>
      </c>
      <c r="M1893">
        <v>10</v>
      </c>
      <c r="N1893">
        <v>7860</v>
      </c>
      <c r="O1893">
        <v>0</v>
      </c>
      <c r="P1893">
        <v>0</v>
      </c>
      <c r="Q1893" t="s">
        <v>44</v>
      </c>
      <c r="R1893">
        <v>6</v>
      </c>
      <c r="S1893" t="s">
        <v>44</v>
      </c>
      <c r="T1893" t="s">
        <v>44</v>
      </c>
      <c r="U1893" t="s">
        <v>44</v>
      </c>
      <c r="V1893">
        <v>536</v>
      </c>
      <c r="W1893" t="s">
        <v>44</v>
      </c>
      <c r="X1893" t="s">
        <v>44</v>
      </c>
      <c r="Y1893">
        <v>536</v>
      </c>
      <c r="Z1893" t="s">
        <v>44</v>
      </c>
      <c r="AA1893">
        <v>3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539</v>
      </c>
      <c r="AQ1893">
        <f t="shared" si="67"/>
        <v>539</v>
      </c>
      <c r="AR1893" s="5">
        <f>VLOOKUP(F1893,'[2]SCP_24-25'!$A:$D,4,0)</f>
        <v>43.5</v>
      </c>
      <c r="AS1893" s="5">
        <f t="shared" si="66"/>
        <v>23446.5</v>
      </c>
    </row>
    <row r="1894" spans="1:45" x14ac:dyDescent="0.3">
      <c r="A1894" s="1">
        <v>45900.963888888888</v>
      </c>
      <c r="B1894" t="s">
        <v>1473</v>
      </c>
      <c r="C1894" t="s">
        <v>1474</v>
      </c>
      <c r="D1894" t="s">
        <v>805</v>
      </c>
      <c r="F1894" t="s">
        <v>1854</v>
      </c>
      <c r="G1894" t="s">
        <v>806</v>
      </c>
      <c r="H1894" t="s">
        <v>130</v>
      </c>
      <c r="I1894" t="s">
        <v>43</v>
      </c>
      <c r="J1894">
        <v>112.62</v>
      </c>
      <c r="K1894">
        <v>19</v>
      </c>
      <c r="L1894">
        <v>11</v>
      </c>
      <c r="M1894">
        <v>10</v>
      </c>
      <c r="N1894">
        <v>2060</v>
      </c>
      <c r="O1894">
        <v>0</v>
      </c>
      <c r="P1894">
        <v>0</v>
      </c>
      <c r="Q1894">
        <v>5</v>
      </c>
      <c r="R1894" t="s">
        <v>44</v>
      </c>
      <c r="S1894" t="s">
        <v>44</v>
      </c>
      <c r="T1894" t="s">
        <v>44</v>
      </c>
      <c r="U1894" t="s">
        <v>44</v>
      </c>
      <c r="V1894">
        <v>827</v>
      </c>
      <c r="W1894" t="s">
        <v>44</v>
      </c>
      <c r="X1894" t="s">
        <v>44</v>
      </c>
      <c r="Y1894">
        <v>827</v>
      </c>
      <c r="Z1894" t="s">
        <v>44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828</v>
      </c>
      <c r="AQ1894">
        <f t="shared" si="67"/>
        <v>828</v>
      </c>
      <c r="AR1894" s="5">
        <f>VLOOKUP(F1894,'[2]SCP_24-25'!$A:$D,4,0)</f>
        <v>114.81</v>
      </c>
      <c r="AS1894" s="5">
        <f t="shared" si="66"/>
        <v>95062.680000000008</v>
      </c>
    </row>
    <row r="1895" spans="1:45" x14ac:dyDescent="0.3">
      <c r="A1895" s="1">
        <v>45900.963888888888</v>
      </c>
      <c r="B1895" t="s">
        <v>1473</v>
      </c>
      <c r="C1895" t="s">
        <v>1474</v>
      </c>
      <c r="D1895" t="s">
        <v>1244</v>
      </c>
      <c r="F1895" t="s">
        <v>2072</v>
      </c>
      <c r="G1895" t="s">
        <v>1245</v>
      </c>
      <c r="H1895" t="s">
        <v>66</v>
      </c>
      <c r="I1895" t="s">
        <v>43</v>
      </c>
      <c r="J1895">
        <v>163.02000000000001</v>
      </c>
      <c r="K1895">
        <v>19</v>
      </c>
      <c r="L1895">
        <v>11</v>
      </c>
      <c r="M1895">
        <v>10</v>
      </c>
      <c r="N1895">
        <v>6420</v>
      </c>
      <c r="O1895">
        <v>1</v>
      </c>
      <c r="P1895">
        <v>0</v>
      </c>
      <c r="Q1895">
        <v>5</v>
      </c>
      <c r="R1895">
        <v>155</v>
      </c>
      <c r="S1895" t="s">
        <v>44</v>
      </c>
      <c r="T1895">
        <v>12</v>
      </c>
      <c r="U1895" t="s">
        <v>44</v>
      </c>
      <c r="V1895">
        <v>660</v>
      </c>
      <c r="W1895" t="s">
        <v>44</v>
      </c>
      <c r="X1895" t="s">
        <v>44</v>
      </c>
      <c r="Y1895">
        <v>660</v>
      </c>
      <c r="Z1895" t="s">
        <v>44</v>
      </c>
      <c r="AA1895">
        <v>3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664</v>
      </c>
      <c r="AQ1895">
        <f t="shared" si="67"/>
        <v>664</v>
      </c>
      <c r="AR1895" s="5">
        <f>VLOOKUP(F1895,'[2]SCP_24-25'!$A:$D,4,0)</f>
        <v>70.5</v>
      </c>
      <c r="AS1895" s="5">
        <f t="shared" si="66"/>
        <v>46812</v>
      </c>
    </row>
    <row r="1896" spans="1:45" x14ac:dyDescent="0.3">
      <c r="A1896" s="1">
        <v>45900.963888888888</v>
      </c>
      <c r="B1896" t="s">
        <v>1473</v>
      </c>
      <c r="C1896" t="s">
        <v>1474</v>
      </c>
      <c r="D1896" t="s">
        <v>1247</v>
      </c>
      <c r="F1896" t="s">
        <v>2074</v>
      </c>
      <c r="G1896" t="s">
        <v>1248</v>
      </c>
      <c r="H1896" t="s">
        <v>120</v>
      </c>
      <c r="I1896" t="s">
        <v>43</v>
      </c>
      <c r="J1896">
        <v>5</v>
      </c>
      <c r="K1896">
        <v>19</v>
      </c>
      <c r="L1896">
        <v>11</v>
      </c>
      <c r="M1896">
        <v>10</v>
      </c>
      <c r="N1896">
        <v>2929</v>
      </c>
      <c r="O1896">
        <v>0</v>
      </c>
      <c r="P1896">
        <v>0</v>
      </c>
      <c r="Q1896" t="s">
        <v>44</v>
      </c>
      <c r="R1896">
        <v>2</v>
      </c>
      <c r="S1896" t="s">
        <v>44</v>
      </c>
      <c r="T1896" t="s">
        <v>44</v>
      </c>
      <c r="U1896" t="s">
        <v>44</v>
      </c>
      <c r="V1896">
        <v>331</v>
      </c>
      <c r="W1896" t="s">
        <v>44</v>
      </c>
      <c r="X1896" t="s">
        <v>44</v>
      </c>
      <c r="Y1896">
        <v>331</v>
      </c>
      <c r="Z1896" t="s">
        <v>44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331</v>
      </c>
      <c r="AQ1896">
        <f t="shared" si="67"/>
        <v>331</v>
      </c>
      <c r="AR1896" s="5">
        <f>VLOOKUP(F1896,'[2]SCP_24-25'!$A:$D,4,0)</f>
        <v>1.2</v>
      </c>
      <c r="AS1896" s="5">
        <f t="shared" si="66"/>
        <v>397.2</v>
      </c>
    </row>
    <row r="1897" spans="1:45" x14ac:dyDescent="0.3">
      <c r="A1897" s="1">
        <v>45900.963888888888</v>
      </c>
      <c r="B1897" t="s">
        <v>1473</v>
      </c>
      <c r="C1897" t="s">
        <v>1474</v>
      </c>
      <c r="D1897" t="s">
        <v>1483</v>
      </c>
      <c r="F1897" t="s">
        <v>2193</v>
      </c>
      <c r="G1897" t="s">
        <v>123</v>
      </c>
      <c r="H1897" t="s">
        <v>120</v>
      </c>
      <c r="I1897" t="s">
        <v>43</v>
      </c>
      <c r="J1897">
        <v>100</v>
      </c>
      <c r="K1897">
        <v>19</v>
      </c>
      <c r="L1897">
        <v>11</v>
      </c>
      <c r="M1897">
        <v>10</v>
      </c>
      <c r="N1897">
        <v>300</v>
      </c>
      <c r="O1897">
        <v>0</v>
      </c>
      <c r="P1897">
        <v>0</v>
      </c>
      <c r="Q1897" t="s">
        <v>44</v>
      </c>
      <c r="R1897" t="s">
        <v>44</v>
      </c>
      <c r="S1897" t="s">
        <v>44</v>
      </c>
      <c r="T1897" t="s">
        <v>44</v>
      </c>
      <c r="U1897" t="s">
        <v>44</v>
      </c>
      <c r="V1897">
        <v>200</v>
      </c>
      <c r="W1897" t="s">
        <v>44</v>
      </c>
      <c r="X1897" t="s">
        <v>44</v>
      </c>
      <c r="Y1897">
        <v>200</v>
      </c>
      <c r="Z1897" t="s">
        <v>44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200</v>
      </c>
      <c r="AQ1897">
        <f t="shared" si="67"/>
        <v>200</v>
      </c>
      <c r="AR1897" s="5">
        <f>VLOOKUP(F1897,'[1]Cost Sheet'!$C:$D,2,0)</f>
        <v>34</v>
      </c>
      <c r="AS1897" s="5">
        <f t="shared" si="66"/>
        <v>6800</v>
      </c>
    </row>
    <row r="1898" spans="1:45" x14ac:dyDescent="0.3">
      <c r="A1898" s="1">
        <v>45900.963888888888</v>
      </c>
      <c r="B1898" t="s">
        <v>1473</v>
      </c>
      <c r="C1898" t="s">
        <v>1474</v>
      </c>
      <c r="D1898" t="s">
        <v>509</v>
      </c>
      <c r="F1898" t="s">
        <v>1709</v>
      </c>
      <c r="G1898" t="s">
        <v>510</v>
      </c>
      <c r="H1898" t="s">
        <v>103</v>
      </c>
      <c r="I1898" t="s">
        <v>415</v>
      </c>
      <c r="J1898">
        <v>459.02</v>
      </c>
      <c r="K1898">
        <v>19</v>
      </c>
      <c r="L1898">
        <v>10</v>
      </c>
      <c r="M1898">
        <v>11</v>
      </c>
      <c r="N1898">
        <v>5276</v>
      </c>
      <c r="O1898">
        <v>11</v>
      </c>
      <c r="P1898">
        <v>0</v>
      </c>
      <c r="Q1898">
        <v>10</v>
      </c>
      <c r="R1898">
        <v>5</v>
      </c>
      <c r="S1898" t="s">
        <v>44</v>
      </c>
      <c r="T1898">
        <v>1536</v>
      </c>
      <c r="U1898" t="s">
        <v>44</v>
      </c>
      <c r="V1898">
        <v>474</v>
      </c>
      <c r="W1898" t="s">
        <v>44</v>
      </c>
      <c r="X1898" t="s">
        <v>44</v>
      </c>
      <c r="Y1898">
        <v>474</v>
      </c>
      <c r="Z1898" t="s">
        <v>44</v>
      </c>
      <c r="AA1898">
        <v>12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497</v>
      </c>
      <c r="AQ1898">
        <f t="shared" si="67"/>
        <v>497</v>
      </c>
      <c r="AR1898" s="5">
        <f>VLOOKUP(F1898,'[2]SCP_24-25'!$A:$D,4,0)</f>
        <v>67.865000000000009</v>
      </c>
      <c r="AS1898" s="5">
        <f t="shared" si="66"/>
        <v>33728.905000000006</v>
      </c>
    </row>
    <row r="1899" spans="1:45" x14ac:dyDescent="0.3">
      <c r="A1899" s="1">
        <v>45900.963888888888</v>
      </c>
      <c r="B1899" t="s">
        <v>1473</v>
      </c>
      <c r="C1899" t="s">
        <v>1474</v>
      </c>
      <c r="D1899" t="s">
        <v>811</v>
      </c>
      <c r="F1899" t="s">
        <v>1857</v>
      </c>
      <c r="G1899" t="s">
        <v>812</v>
      </c>
      <c r="H1899" t="s">
        <v>130</v>
      </c>
      <c r="I1899" t="s">
        <v>415</v>
      </c>
      <c r="J1899">
        <v>3.5</v>
      </c>
      <c r="K1899">
        <v>19</v>
      </c>
      <c r="L1899">
        <v>10</v>
      </c>
      <c r="M1899">
        <v>11</v>
      </c>
      <c r="N1899">
        <v>1344</v>
      </c>
      <c r="O1899">
        <v>0</v>
      </c>
      <c r="P1899">
        <v>0</v>
      </c>
      <c r="Q1899" t="s">
        <v>44</v>
      </c>
      <c r="R1899" t="s">
        <v>44</v>
      </c>
      <c r="S1899" t="s">
        <v>44</v>
      </c>
      <c r="T1899" t="s">
        <v>44</v>
      </c>
      <c r="U1899" t="s">
        <v>44</v>
      </c>
      <c r="V1899">
        <v>789</v>
      </c>
      <c r="W1899" t="s">
        <v>44</v>
      </c>
      <c r="X1899" t="s">
        <v>44</v>
      </c>
      <c r="Y1899">
        <v>788</v>
      </c>
      <c r="Z1899" t="s">
        <v>44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789</v>
      </c>
      <c r="AQ1899">
        <f t="shared" si="67"/>
        <v>789</v>
      </c>
      <c r="AR1899" s="5">
        <f>VLOOKUP(F1899,'[2]SCP_24-25'!$A:$D,4,0)</f>
        <v>149.82</v>
      </c>
      <c r="AS1899" s="5">
        <f t="shared" si="66"/>
        <v>118207.98</v>
      </c>
    </row>
    <row r="1900" spans="1:45" x14ac:dyDescent="0.3">
      <c r="A1900" s="1">
        <v>45900.963888888888</v>
      </c>
      <c r="B1900" t="s">
        <v>1473</v>
      </c>
      <c r="C1900" t="s">
        <v>1474</v>
      </c>
      <c r="D1900" t="s">
        <v>813</v>
      </c>
      <c r="F1900" t="s">
        <v>1858</v>
      </c>
      <c r="G1900" t="s">
        <v>814</v>
      </c>
      <c r="H1900" t="s">
        <v>130</v>
      </c>
      <c r="I1900" t="s">
        <v>415</v>
      </c>
      <c r="J1900">
        <v>3.5</v>
      </c>
      <c r="K1900">
        <v>19</v>
      </c>
      <c r="L1900">
        <v>10</v>
      </c>
      <c r="M1900">
        <v>11</v>
      </c>
      <c r="N1900">
        <v>864</v>
      </c>
      <c r="O1900">
        <v>0</v>
      </c>
      <c r="P1900">
        <v>0</v>
      </c>
      <c r="Q1900" t="s">
        <v>44</v>
      </c>
      <c r="R1900" t="s">
        <v>44</v>
      </c>
      <c r="S1900" t="s">
        <v>44</v>
      </c>
      <c r="T1900" t="s">
        <v>44</v>
      </c>
      <c r="U1900" t="s">
        <v>44</v>
      </c>
      <c r="V1900">
        <v>316</v>
      </c>
      <c r="W1900" t="s">
        <v>44</v>
      </c>
      <c r="X1900" t="s">
        <v>44</v>
      </c>
      <c r="Y1900">
        <v>316</v>
      </c>
      <c r="Z1900" t="s">
        <v>44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316</v>
      </c>
      <c r="AQ1900">
        <f t="shared" si="67"/>
        <v>316</v>
      </c>
      <c r="AR1900" s="5">
        <f>VLOOKUP(F1900,'[2]SCP_24-25'!$A:$D,4,0)</f>
        <v>149.81999999999996</v>
      </c>
      <c r="AS1900" s="5">
        <f t="shared" si="66"/>
        <v>47343.119999999988</v>
      </c>
    </row>
    <row r="1901" spans="1:45" x14ac:dyDescent="0.3">
      <c r="A1901" s="1">
        <v>45900.963888888888</v>
      </c>
      <c r="B1901" t="s">
        <v>1473</v>
      </c>
      <c r="C1901" t="s">
        <v>1474</v>
      </c>
      <c r="D1901" t="s">
        <v>815</v>
      </c>
      <c r="F1901" t="s">
        <v>1859</v>
      </c>
      <c r="G1901" t="s">
        <v>816</v>
      </c>
      <c r="H1901" t="s">
        <v>130</v>
      </c>
      <c r="I1901" t="s">
        <v>415</v>
      </c>
      <c r="J1901">
        <v>3.5</v>
      </c>
      <c r="K1901">
        <v>19</v>
      </c>
      <c r="L1901">
        <v>10</v>
      </c>
      <c r="M1901">
        <v>11</v>
      </c>
      <c r="N1901">
        <v>1536</v>
      </c>
      <c r="O1901">
        <v>0</v>
      </c>
      <c r="P1901">
        <v>0</v>
      </c>
      <c r="Q1901" t="s">
        <v>44</v>
      </c>
      <c r="R1901" t="s">
        <v>44</v>
      </c>
      <c r="S1901" t="s">
        <v>44</v>
      </c>
      <c r="T1901" t="s">
        <v>44</v>
      </c>
      <c r="U1901" t="s">
        <v>44</v>
      </c>
      <c r="V1901">
        <v>990</v>
      </c>
      <c r="W1901" t="s">
        <v>44</v>
      </c>
      <c r="X1901" t="s">
        <v>44</v>
      </c>
      <c r="Y1901">
        <v>989</v>
      </c>
      <c r="Z1901" t="s">
        <v>44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990</v>
      </c>
      <c r="AQ1901">
        <f t="shared" si="67"/>
        <v>990</v>
      </c>
      <c r="AR1901" s="5">
        <f>VLOOKUP(F1901,'[2]SCP_24-25'!$A:$D,4,0)</f>
        <v>149.82</v>
      </c>
      <c r="AS1901" s="5">
        <f t="shared" si="66"/>
        <v>148321.79999999999</v>
      </c>
    </row>
    <row r="1902" spans="1:45" x14ac:dyDescent="0.3">
      <c r="A1902" s="1">
        <v>45900.963888888888</v>
      </c>
      <c r="B1902" t="s">
        <v>1473</v>
      </c>
      <c r="C1902" t="s">
        <v>1474</v>
      </c>
      <c r="D1902" t="s">
        <v>817</v>
      </c>
      <c r="F1902" t="s">
        <v>1860</v>
      </c>
      <c r="G1902" t="s">
        <v>818</v>
      </c>
      <c r="H1902" t="s">
        <v>130</v>
      </c>
      <c r="I1902" t="s">
        <v>415</v>
      </c>
      <c r="J1902">
        <v>3.5</v>
      </c>
      <c r="K1902">
        <v>19</v>
      </c>
      <c r="L1902">
        <v>10</v>
      </c>
      <c r="M1902">
        <v>11</v>
      </c>
      <c r="N1902">
        <v>1440</v>
      </c>
      <c r="O1902">
        <v>0</v>
      </c>
      <c r="P1902">
        <v>0</v>
      </c>
      <c r="Q1902" t="s">
        <v>44</v>
      </c>
      <c r="R1902" t="s">
        <v>44</v>
      </c>
      <c r="S1902" t="s">
        <v>44</v>
      </c>
      <c r="T1902" t="s">
        <v>44</v>
      </c>
      <c r="U1902" t="s">
        <v>44</v>
      </c>
      <c r="V1902">
        <v>900</v>
      </c>
      <c r="W1902" t="s">
        <v>44</v>
      </c>
      <c r="X1902" t="s">
        <v>44</v>
      </c>
      <c r="Y1902">
        <v>896</v>
      </c>
      <c r="Z1902" t="s">
        <v>44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900</v>
      </c>
      <c r="AQ1902">
        <f t="shared" si="67"/>
        <v>900</v>
      </c>
      <c r="AR1902" s="5">
        <f>VLOOKUP(F1902,'[2]SCP_24-25'!$A:$D,4,0)</f>
        <v>149.82</v>
      </c>
      <c r="AS1902" s="5">
        <f t="shared" si="66"/>
        <v>134838</v>
      </c>
    </row>
    <row r="1903" spans="1:45" x14ac:dyDescent="0.3">
      <c r="A1903" s="1">
        <v>45900.963888888888</v>
      </c>
      <c r="B1903" t="s">
        <v>1473</v>
      </c>
      <c r="C1903" t="s">
        <v>1474</v>
      </c>
      <c r="D1903" t="s">
        <v>819</v>
      </c>
      <c r="F1903" t="s">
        <v>1861</v>
      </c>
      <c r="G1903" t="s">
        <v>820</v>
      </c>
      <c r="H1903" t="s">
        <v>130</v>
      </c>
      <c r="I1903" t="s">
        <v>415</v>
      </c>
      <c r="J1903">
        <v>3.5</v>
      </c>
      <c r="K1903">
        <v>19</v>
      </c>
      <c r="L1903">
        <v>10</v>
      </c>
      <c r="M1903">
        <v>11</v>
      </c>
      <c r="N1903">
        <v>1440</v>
      </c>
      <c r="O1903">
        <v>0</v>
      </c>
      <c r="P1903">
        <v>0</v>
      </c>
      <c r="Q1903" t="s">
        <v>44</v>
      </c>
      <c r="R1903" t="s">
        <v>44</v>
      </c>
      <c r="S1903" t="s">
        <v>44</v>
      </c>
      <c r="T1903" t="s">
        <v>44</v>
      </c>
      <c r="U1903" t="s">
        <v>44</v>
      </c>
      <c r="V1903">
        <v>897</v>
      </c>
      <c r="W1903" t="s">
        <v>44</v>
      </c>
      <c r="X1903" t="s">
        <v>44</v>
      </c>
      <c r="Y1903">
        <v>897</v>
      </c>
      <c r="Z1903" t="s">
        <v>44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897</v>
      </c>
      <c r="AQ1903">
        <f t="shared" si="67"/>
        <v>897</v>
      </c>
      <c r="AR1903" s="5">
        <f>VLOOKUP(F1903,'[2]SCP_24-25'!$A:$D,4,0)</f>
        <v>149.82</v>
      </c>
      <c r="AS1903" s="5">
        <f t="shared" si="66"/>
        <v>134388.54</v>
      </c>
    </row>
    <row r="1904" spans="1:45" x14ac:dyDescent="0.3">
      <c r="A1904" s="1">
        <v>45900.963888888888</v>
      </c>
      <c r="B1904" t="s">
        <v>1473</v>
      </c>
      <c r="C1904" t="s">
        <v>1474</v>
      </c>
      <c r="D1904" t="s">
        <v>821</v>
      </c>
      <c r="F1904" t="s">
        <v>1862</v>
      </c>
      <c r="G1904" t="s">
        <v>822</v>
      </c>
      <c r="H1904" t="s">
        <v>130</v>
      </c>
      <c r="I1904" t="s">
        <v>415</v>
      </c>
      <c r="J1904">
        <v>3.5</v>
      </c>
      <c r="K1904">
        <v>19</v>
      </c>
      <c r="L1904">
        <v>10</v>
      </c>
      <c r="M1904">
        <v>11</v>
      </c>
      <c r="N1904">
        <v>864</v>
      </c>
      <c r="O1904">
        <v>0</v>
      </c>
      <c r="P1904">
        <v>0</v>
      </c>
      <c r="Q1904" t="s">
        <v>44</v>
      </c>
      <c r="R1904" t="s">
        <v>44</v>
      </c>
      <c r="S1904" t="s">
        <v>44</v>
      </c>
      <c r="T1904" t="s">
        <v>44</v>
      </c>
      <c r="U1904" t="s">
        <v>44</v>
      </c>
      <c r="V1904">
        <v>816</v>
      </c>
      <c r="W1904" t="s">
        <v>44</v>
      </c>
      <c r="X1904" t="s">
        <v>44</v>
      </c>
      <c r="Y1904">
        <v>816</v>
      </c>
      <c r="Z1904" t="s">
        <v>44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816</v>
      </c>
      <c r="AQ1904">
        <f t="shared" si="67"/>
        <v>816</v>
      </c>
      <c r="AR1904" s="5">
        <f>VLOOKUP(F1904,'[2]SCP_24-25'!$A:$D,4,0)</f>
        <v>149.82</v>
      </c>
      <c r="AS1904" s="5">
        <f t="shared" si="66"/>
        <v>122253.12</v>
      </c>
    </row>
    <row r="1905" spans="1:45" x14ac:dyDescent="0.3">
      <c r="A1905" s="1">
        <v>45900.963888888888</v>
      </c>
      <c r="B1905" t="s">
        <v>1473</v>
      </c>
      <c r="C1905" t="s">
        <v>1474</v>
      </c>
      <c r="D1905" t="s">
        <v>823</v>
      </c>
      <c r="F1905" t="s">
        <v>1863</v>
      </c>
      <c r="G1905" t="s">
        <v>824</v>
      </c>
      <c r="H1905" t="s">
        <v>130</v>
      </c>
      <c r="I1905" t="s">
        <v>415</v>
      </c>
      <c r="J1905">
        <v>3.5</v>
      </c>
      <c r="K1905">
        <v>19</v>
      </c>
      <c r="L1905">
        <v>10</v>
      </c>
      <c r="M1905">
        <v>11</v>
      </c>
      <c r="N1905">
        <v>1344</v>
      </c>
      <c r="O1905">
        <v>0</v>
      </c>
      <c r="P1905">
        <v>0</v>
      </c>
      <c r="Q1905" t="s">
        <v>44</v>
      </c>
      <c r="R1905" t="s">
        <v>44</v>
      </c>
      <c r="S1905" t="s">
        <v>44</v>
      </c>
      <c r="T1905" t="s">
        <v>44</v>
      </c>
      <c r="U1905" t="s">
        <v>44</v>
      </c>
      <c r="V1905">
        <v>802</v>
      </c>
      <c r="W1905" t="s">
        <v>44</v>
      </c>
      <c r="X1905" t="s">
        <v>44</v>
      </c>
      <c r="Y1905">
        <v>800</v>
      </c>
      <c r="Z1905" t="s">
        <v>44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802</v>
      </c>
      <c r="AQ1905">
        <f t="shared" si="67"/>
        <v>802</v>
      </c>
      <c r="AR1905" s="5">
        <f>VLOOKUP(F1905,'[2]SCP_24-25'!$A:$D,4,0)</f>
        <v>149.82</v>
      </c>
      <c r="AS1905" s="5">
        <f t="shared" si="66"/>
        <v>120155.64</v>
      </c>
    </row>
    <row r="1906" spans="1:45" x14ac:dyDescent="0.3">
      <c r="A1906" s="1">
        <v>45900.963888888888</v>
      </c>
      <c r="B1906" t="s">
        <v>1473</v>
      </c>
      <c r="C1906" t="s">
        <v>1474</v>
      </c>
      <c r="D1906" t="s">
        <v>825</v>
      </c>
      <c r="F1906" t="s">
        <v>1864</v>
      </c>
      <c r="G1906" t="s">
        <v>826</v>
      </c>
      <c r="H1906" t="s">
        <v>130</v>
      </c>
      <c r="I1906" t="s">
        <v>415</v>
      </c>
      <c r="J1906">
        <v>3.5</v>
      </c>
      <c r="K1906">
        <v>19</v>
      </c>
      <c r="L1906">
        <v>10</v>
      </c>
      <c r="M1906">
        <v>11</v>
      </c>
      <c r="N1906">
        <v>1524</v>
      </c>
      <c r="O1906">
        <v>0</v>
      </c>
      <c r="P1906">
        <v>0</v>
      </c>
      <c r="Q1906" t="s">
        <v>44</v>
      </c>
      <c r="R1906" t="s">
        <v>44</v>
      </c>
      <c r="S1906" t="s">
        <v>44</v>
      </c>
      <c r="T1906">
        <v>12</v>
      </c>
      <c r="U1906" t="s">
        <v>44</v>
      </c>
      <c r="V1906">
        <v>983</v>
      </c>
      <c r="W1906" t="s">
        <v>44</v>
      </c>
      <c r="X1906" t="s">
        <v>44</v>
      </c>
      <c r="Y1906">
        <v>983</v>
      </c>
      <c r="Z1906" t="s">
        <v>44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983</v>
      </c>
      <c r="AQ1906">
        <f t="shared" si="67"/>
        <v>983</v>
      </c>
      <c r="AR1906" s="5">
        <f>VLOOKUP(F1906,'[2]SCP_24-25'!$A:$D,4,0)</f>
        <v>149.82</v>
      </c>
      <c r="AS1906" s="5">
        <f t="shared" si="66"/>
        <v>147273.06</v>
      </c>
    </row>
    <row r="1907" spans="1:45" x14ac:dyDescent="0.3">
      <c r="A1907" s="1">
        <v>45900.963888888888</v>
      </c>
      <c r="B1907" t="s">
        <v>1473</v>
      </c>
      <c r="C1907" t="s">
        <v>1474</v>
      </c>
      <c r="D1907" t="s">
        <v>829</v>
      </c>
      <c r="F1907" t="s">
        <v>1866</v>
      </c>
      <c r="G1907" t="s">
        <v>830</v>
      </c>
      <c r="H1907" t="s">
        <v>130</v>
      </c>
      <c r="I1907" t="s">
        <v>415</v>
      </c>
      <c r="J1907">
        <v>3.5</v>
      </c>
      <c r="K1907">
        <v>19</v>
      </c>
      <c r="L1907">
        <v>10</v>
      </c>
      <c r="M1907">
        <v>11</v>
      </c>
      <c r="N1907">
        <v>1440</v>
      </c>
      <c r="O1907">
        <v>0</v>
      </c>
      <c r="P1907">
        <v>0</v>
      </c>
      <c r="Q1907" t="s">
        <v>44</v>
      </c>
      <c r="R1907" t="s">
        <v>44</v>
      </c>
      <c r="S1907" t="s">
        <v>44</v>
      </c>
      <c r="T1907" t="s">
        <v>44</v>
      </c>
      <c r="U1907" t="s">
        <v>44</v>
      </c>
      <c r="V1907">
        <v>900</v>
      </c>
      <c r="W1907" t="s">
        <v>44</v>
      </c>
      <c r="X1907" t="s">
        <v>44</v>
      </c>
      <c r="Y1907">
        <v>900</v>
      </c>
      <c r="Z1907" t="s">
        <v>44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900</v>
      </c>
      <c r="AQ1907">
        <f t="shared" si="67"/>
        <v>900</v>
      </c>
      <c r="AR1907" s="5">
        <f>VLOOKUP(F1907,'[2]SCP_24-25'!$A:$D,4,0)</f>
        <v>149.82</v>
      </c>
      <c r="AS1907" s="5">
        <f t="shared" si="66"/>
        <v>134838</v>
      </c>
    </row>
    <row r="1908" spans="1:45" x14ac:dyDescent="0.3">
      <c r="A1908" s="1">
        <v>45900.963888888888</v>
      </c>
      <c r="B1908" t="s">
        <v>1473</v>
      </c>
      <c r="C1908" t="s">
        <v>1474</v>
      </c>
      <c r="D1908" t="s">
        <v>837</v>
      </c>
      <c r="F1908" t="s">
        <v>1870</v>
      </c>
      <c r="G1908" t="s">
        <v>838</v>
      </c>
      <c r="H1908" t="s">
        <v>130</v>
      </c>
      <c r="I1908" t="s">
        <v>415</v>
      </c>
      <c r="J1908">
        <v>3.5</v>
      </c>
      <c r="K1908">
        <v>19</v>
      </c>
      <c r="L1908">
        <v>10</v>
      </c>
      <c r="M1908">
        <v>11</v>
      </c>
      <c r="N1908">
        <v>1440</v>
      </c>
      <c r="O1908">
        <v>0</v>
      </c>
      <c r="P1908">
        <v>0</v>
      </c>
      <c r="Q1908" t="s">
        <v>44</v>
      </c>
      <c r="R1908" t="s">
        <v>44</v>
      </c>
      <c r="S1908" t="s">
        <v>44</v>
      </c>
      <c r="T1908" t="s">
        <v>44</v>
      </c>
      <c r="U1908" t="s">
        <v>44</v>
      </c>
      <c r="V1908">
        <v>894</v>
      </c>
      <c r="W1908" t="s">
        <v>44</v>
      </c>
      <c r="X1908" t="s">
        <v>44</v>
      </c>
      <c r="Y1908">
        <v>892</v>
      </c>
      <c r="Z1908" t="s">
        <v>44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894</v>
      </c>
      <c r="AQ1908">
        <f t="shared" si="67"/>
        <v>894</v>
      </c>
      <c r="AR1908" s="5">
        <f>VLOOKUP(F1908,'[2]SCP_24-25'!$A:$D,4,0)</f>
        <v>149.82</v>
      </c>
      <c r="AS1908" s="5">
        <f t="shared" si="66"/>
        <v>133939.07999999999</v>
      </c>
    </row>
    <row r="1909" spans="1:45" x14ac:dyDescent="0.3">
      <c r="A1909" s="1">
        <v>45900.963888888888</v>
      </c>
      <c r="B1909" t="s">
        <v>1473</v>
      </c>
      <c r="C1909" t="s">
        <v>1474</v>
      </c>
      <c r="D1909" t="s">
        <v>1318</v>
      </c>
      <c r="F1909" t="s">
        <v>2109</v>
      </c>
      <c r="G1909" t="s">
        <v>1319</v>
      </c>
      <c r="H1909" t="s">
        <v>66</v>
      </c>
      <c r="I1909" t="s">
        <v>415</v>
      </c>
      <c r="J1909">
        <v>10</v>
      </c>
      <c r="K1909">
        <v>19</v>
      </c>
      <c r="L1909">
        <v>10</v>
      </c>
      <c r="M1909">
        <v>11</v>
      </c>
      <c r="N1909">
        <v>980</v>
      </c>
      <c r="O1909">
        <v>11</v>
      </c>
      <c r="P1909">
        <v>0</v>
      </c>
      <c r="Q1909">
        <v>1</v>
      </c>
      <c r="R1909">
        <v>1</v>
      </c>
      <c r="S1909" t="s">
        <v>44</v>
      </c>
      <c r="T1909" t="s">
        <v>44</v>
      </c>
      <c r="U1909" t="s">
        <v>44</v>
      </c>
      <c r="V1909">
        <v>437</v>
      </c>
      <c r="W1909" t="s">
        <v>44</v>
      </c>
      <c r="X1909" t="s">
        <v>44</v>
      </c>
      <c r="Y1909">
        <v>437</v>
      </c>
      <c r="Z1909" t="s">
        <v>44</v>
      </c>
      <c r="AA1909">
        <v>4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452</v>
      </c>
      <c r="AQ1909">
        <f t="shared" si="67"/>
        <v>452</v>
      </c>
      <c r="AR1909" s="5">
        <f>VLOOKUP(F1909,'[2]SCP_24-25'!$A:$D,4,0)</f>
        <v>44.56</v>
      </c>
      <c r="AS1909" s="5">
        <f t="shared" si="66"/>
        <v>20141.120000000003</v>
      </c>
    </row>
    <row r="1910" spans="1:45" x14ac:dyDescent="0.3">
      <c r="A1910" s="1">
        <v>45900.963888888888</v>
      </c>
      <c r="B1910" t="s">
        <v>1473</v>
      </c>
      <c r="C1910" t="s">
        <v>1474</v>
      </c>
      <c r="D1910" t="s">
        <v>769</v>
      </c>
      <c r="F1910" t="s">
        <v>1837</v>
      </c>
      <c r="G1910" t="s">
        <v>770</v>
      </c>
      <c r="H1910" t="s">
        <v>130</v>
      </c>
      <c r="I1910" t="s">
        <v>415</v>
      </c>
      <c r="J1910">
        <v>12</v>
      </c>
      <c r="K1910">
        <v>19</v>
      </c>
      <c r="L1910">
        <v>10</v>
      </c>
      <c r="M1910">
        <v>11</v>
      </c>
      <c r="N1910">
        <v>862</v>
      </c>
      <c r="O1910">
        <v>0</v>
      </c>
      <c r="P1910">
        <v>0</v>
      </c>
      <c r="Q1910" t="s">
        <v>44</v>
      </c>
      <c r="R1910" t="s">
        <v>44</v>
      </c>
      <c r="S1910" t="s">
        <v>44</v>
      </c>
      <c r="T1910">
        <v>2</v>
      </c>
      <c r="U1910" t="s">
        <v>44</v>
      </c>
      <c r="V1910">
        <v>229</v>
      </c>
      <c r="W1910" t="s">
        <v>44</v>
      </c>
      <c r="X1910" t="s">
        <v>44</v>
      </c>
      <c r="Y1910">
        <v>220</v>
      </c>
      <c r="Z1910" t="s">
        <v>44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229</v>
      </c>
      <c r="AQ1910">
        <f t="shared" si="67"/>
        <v>229</v>
      </c>
      <c r="AR1910" s="5">
        <f>VLOOKUP(F1910,'[2]SCP_24-25'!$A:$D,4,0)</f>
        <v>137.76</v>
      </c>
      <c r="AS1910" s="5">
        <f t="shared" si="66"/>
        <v>31547.039999999997</v>
      </c>
    </row>
    <row r="1911" spans="1:45" x14ac:dyDescent="0.3">
      <c r="A1911" s="1">
        <v>45900.963888888888</v>
      </c>
      <c r="B1911" t="s">
        <v>1473</v>
      </c>
      <c r="C1911" t="s">
        <v>1474</v>
      </c>
      <c r="D1911" t="s">
        <v>839</v>
      </c>
      <c r="F1911" t="s">
        <v>1871</v>
      </c>
      <c r="G1911" t="s">
        <v>840</v>
      </c>
      <c r="H1911" t="s">
        <v>130</v>
      </c>
      <c r="I1911" t="s">
        <v>415</v>
      </c>
      <c r="J1911">
        <v>12</v>
      </c>
      <c r="K1911">
        <v>19</v>
      </c>
      <c r="L1911">
        <v>10</v>
      </c>
      <c r="M1911">
        <v>11</v>
      </c>
      <c r="N1911">
        <v>864</v>
      </c>
      <c r="O1911">
        <v>0</v>
      </c>
      <c r="P1911">
        <v>0</v>
      </c>
      <c r="Q1911" t="s">
        <v>44</v>
      </c>
      <c r="R1911" t="s">
        <v>44</v>
      </c>
      <c r="S1911" t="s">
        <v>44</v>
      </c>
      <c r="T1911" t="s">
        <v>44</v>
      </c>
      <c r="U1911" t="s">
        <v>44</v>
      </c>
      <c r="V1911">
        <v>294</v>
      </c>
      <c r="W1911" t="s">
        <v>44</v>
      </c>
      <c r="X1911" t="s">
        <v>44</v>
      </c>
      <c r="Y1911">
        <v>286</v>
      </c>
      <c r="Z1911" t="s">
        <v>44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295</v>
      </c>
      <c r="AQ1911">
        <f t="shared" si="67"/>
        <v>295</v>
      </c>
      <c r="AR1911" s="5">
        <f>VLOOKUP(F1911,'[2]SCP_24-25'!$A:$D,4,0)</f>
        <v>137.76</v>
      </c>
      <c r="AS1911" s="5">
        <f t="shared" si="66"/>
        <v>40639.199999999997</v>
      </c>
    </row>
    <row r="1912" spans="1:45" x14ac:dyDescent="0.3">
      <c r="A1912" s="1">
        <v>45900.963888888888</v>
      </c>
      <c r="B1912" t="s">
        <v>1473</v>
      </c>
      <c r="C1912" t="s">
        <v>1474</v>
      </c>
      <c r="D1912" t="s">
        <v>841</v>
      </c>
      <c r="F1912" t="s">
        <v>1872</v>
      </c>
      <c r="G1912" t="s">
        <v>842</v>
      </c>
      <c r="H1912" t="s">
        <v>130</v>
      </c>
      <c r="I1912" t="s">
        <v>415</v>
      </c>
      <c r="J1912">
        <v>12</v>
      </c>
      <c r="K1912">
        <v>19</v>
      </c>
      <c r="L1912">
        <v>10</v>
      </c>
      <c r="M1912">
        <v>11</v>
      </c>
      <c r="N1912">
        <v>864</v>
      </c>
      <c r="O1912">
        <v>0</v>
      </c>
      <c r="P1912">
        <v>0</v>
      </c>
      <c r="Q1912" t="s">
        <v>44</v>
      </c>
      <c r="R1912" t="s">
        <v>44</v>
      </c>
      <c r="S1912" t="s">
        <v>44</v>
      </c>
      <c r="T1912" t="s">
        <v>44</v>
      </c>
      <c r="U1912" t="s">
        <v>44</v>
      </c>
      <c r="V1912">
        <v>336</v>
      </c>
      <c r="W1912" t="s">
        <v>44</v>
      </c>
      <c r="X1912" t="s">
        <v>44</v>
      </c>
      <c r="Y1912">
        <v>334</v>
      </c>
      <c r="Z1912" t="s">
        <v>44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336</v>
      </c>
      <c r="AQ1912">
        <f t="shared" si="67"/>
        <v>336</v>
      </c>
      <c r="AR1912" s="5">
        <f>VLOOKUP(F1912,'[2]SCP_24-25'!$A:$D,4,0)</f>
        <v>137.76</v>
      </c>
      <c r="AS1912" s="5">
        <f t="shared" si="66"/>
        <v>46287.360000000001</v>
      </c>
    </row>
    <row r="1913" spans="1:45" x14ac:dyDescent="0.3">
      <c r="A1913" s="1">
        <v>45900.963888888888</v>
      </c>
      <c r="B1913" t="s">
        <v>1473</v>
      </c>
      <c r="C1913" t="s">
        <v>1474</v>
      </c>
      <c r="D1913" t="s">
        <v>843</v>
      </c>
      <c r="F1913" t="s">
        <v>1873</v>
      </c>
      <c r="G1913" t="s">
        <v>844</v>
      </c>
      <c r="H1913" t="s">
        <v>130</v>
      </c>
      <c r="I1913" t="s">
        <v>415</v>
      </c>
      <c r="J1913">
        <v>10</v>
      </c>
      <c r="K1913">
        <v>19</v>
      </c>
      <c r="L1913">
        <v>10</v>
      </c>
      <c r="M1913">
        <v>11</v>
      </c>
      <c r="N1913">
        <v>1080</v>
      </c>
      <c r="O1913">
        <v>1</v>
      </c>
      <c r="P1913">
        <v>0</v>
      </c>
      <c r="Q1913">
        <v>2</v>
      </c>
      <c r="R1913" t="s">
        <v>44</v>
      </c>
      <c r="S1913" t="s">
        <v>44</v>
      </c>
      <c r="T1913" t="s">
        <v>44</v>
      </c>
      <c r="U1913" t="s">
        <v>44</v>
      </c>
      <c r="V1913">
        <v>844</v>
      </c>
      <c r="W1913" t="s">
        <v>44</v>
      </c>
      <c r="X1913" t="s">
        <v>44</v>
      </c>
      <c r="Y1913">
        <v>844</v>
      </c>
      <c r="Z1913" t="s">
        <v>44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845</v>
      </c>
      <c r="AQ1913">
        <f t="shared" si="67"/>
        <v>845</v>
      </c>
      <c r="AR1913" s="5">
        <f>VLOOKUP(F1913,'[2]SCP_24-25'!$A:$D,4,0)</f>
        <v>147.47</v>
      </c>
      <c r="AS1913" s="5">
        <f t="shared" si="66"/>
        <v>124612.15</v>
      </c>
    </row>
    <row r="1914" spans="1:45" x14ac:dyDescent="0.3">
      <c r="A1914" s="1">
        <v>45900.963888888888</v>
      </c>
      <c r="B1914" t="s">
        <v>1473</v>
      </c>
      <c r="C1914" t="s">
        <v>1474</v>
      </c>
      <c r="D1914" t="s">
        <v>845</v>
      </c>
      <c r="F1914" t="s">
        <v>1874</v>
      </c>
      <c r="G1914" t="s">
        <v>846</v>
      </c>
      <c r="H1914" t="s">
        <v>130</v>
      </c>
      <c r="I1914" t="s">
        <v>415</v>
      </c>
      <c r="J1914">
        <v>10</v>
      </c>
      <c r="K1914">
        <v>19</v>
      </c>
      <c r="L1914">
        <v>10</v>
      </c>
      <c r="M1914">
        <v>11</v>
      </c>
      <c r="N1914">
        <v>1080</v>
      </c>
      <c r="O1914">
        <v>0</v>
      </c>
      <c r="P1914">
        <v>0</v>
      </c>
      <c r="Q1914" t="s">
        <v>44</v>
      </c>
      <c r="R1914" t="s">
        <v>44</v>
      </c>
      <c r="S1914" t="s">
        <v>44</v>
      </c>
      <c r="T1914" t="s">
        <v>44</v>
      </c>
      <c r="U1914" t="s">
        <v>44</v>
      </c>
      <c r="V1914">
        <v>316</v>
      </c>
      <c r="W1914" t="s">
        <v>44</v>
      </c>
      <c r="X1914" t="s">
        <v>44</v>
      </c>
      <c r="Y1914">
        <v>316</v>
      </c>
      <c r="Z1914" t="s">
        <v>44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316</v>
      </c>
      <c r="AQ1914">
        <f t="shared" si="67"/>
        <v>316</v>
      </c>
      <c r="AR1914" s="5">
        <f>VLOOKUP(F1914,'[2]SCP_24-25'!$A:$D,4,0)</f>
        <v>147.47</v>
      </c>
      <c r="AS1914" s="5">
        <f t="shared" si="66"/>
        <v>46600.52</v>
      </c>
    </row>
    <row r="1915" spans="1:45" x14ac:dyDescent="0.3">
      <c r="A1915" s="1">
        <v>45900.963888888888</v>
      </c>
      <c r="B1915" t="s">
        <v>1473</v>
      </c>
      <c r="C1915" t="s">
        <v>1474</v>
      </c>
      <c r="D1915" t="s">
        <v>847</v>
      </c>
      <c r="F1915" t="s">
        <v>1875</v>
      </c>
      <c r="G1915" t="s">
        <v>848</v>
      </c>
      <c r="H1915" t="s">
        <v>130</v>
      </c>
      <c r="I1915" t="s">
        <v>415</v>
      </c>
      <c r="J1915">
        <v>10</v>
      </c>
      <c r="K1915">
        <v>19</v>
      </c>
      <c r="L1915">
        <v>10</v>
      </c>
      <c r="M1915">
        <v>11</v>
      </c>
      <c r="N1915">
        <v>1080</v>
      </c>
      <c r="O1915">
        <v>1</v>
      </c>
      <c r="P1915">
        <v>0</v>
      </c>
      <c r="Q1915" t="s">
        <v>44</v>
      </c>
      <c r="R1915" t="s">
        <v>44</v>
      </c>
      <c r="S1915" t="s">
        <v>44</v>
      </c>
      <c r="T1915" t="s">
        <v>44</v>
      </c>
      <c r="U1915" t="s">
        <v>44</v>
      </c>
      <c r="V1915">
        <v>409</v>
      </c>
      <c r="W1915" t="s">
        <v>44</v>
      </c>
      <c r="X1915" t="s">
        <v>44</v>
      </c>
      <c r="Y1915">
        <v>409</v>
      </c>
      <c r="Z1915" t="s">
        <v>44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410</v>
      </c>
      <c r="AQ1915">
        <f t="shared" si="67"/>
        <v>410</v>
      </c>
      <c r="AR1915" s="5">
        <f>VLOOKUP(F1915,'[2]SCP_24-25'!$A:$D,4,0)</f>
        <v>147.47</v>
      </c>
      <c r="AS1915" s="5">
        <f t="shared" si="66"/>
        <v>60462.7</v>
      </c>
    </row>
    <row r="1916" spans="1:45" x14ac:dyDescent="0.3">
      <c r="A1916" s="1">
        <v>45900.963888888888</v>
      </c>
      <c r="B1916" t="s">
        <v>1473</v>
      </c>
      <c r="C1916" t="s">
        <v>1474</v>
      </c>
      <c r="D1916" t="s">
        <v>849</v>
      </c>
      <c r="F1916" t="s">
        <v>1876</v>
      </c>
      <c r="G1916" t="s">
        <v>850</v>
      </c>
      <c r="H1916" t="s">
        <v>130</v>
      </c>
      <c r="I1916" t="s">
        <v>415</v>
      </c>
      <c r="J1916">
        <v>10</v>
      </c>
      <c r="K1916">
        <v>19</v>
      </c>
      <c r="L1916">
        <v>10</v>
      </c>
      <c r="M1916">
        <v>11</v>
      </c>
      <c r="N1916">
        <v>1080</v>
      </c>
      <c r="O1916">
        <v>0</v>
      </c>
      <c r="P1916">
        <v>0</v>
      </c>
      <c r="Q1916" t="s">
        <v>44</v>
      </c>
      <c r="R1916" t="s">
        <v>44</v>
      </c>
      <c r="S1916" t="s">
        <v>44</v>
      </c>
      <c r="T1916" t="s">
        <v>44</v>
      </c>
      <c r="U1916" t="s">
        <v>44</v>
      </c>
      <c r="V1916">
        <v>448</v>
      </c>
      <c r="W1916" t="s">
        <v>44</v>
      </c>
      <c r="X1916" t="s">
        <v>44</v>
      </c>
      <c r="Y1916">
        <v>442</v>
      </c>
      <c r="Z1916" t="s">
        <v>44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449</v>
      </c>
      <c r="AQ1916">
        <f t="shared" si="67"/>
        <v>449</v>
      </c>
      <c r="AR1916" s="5">
        <f>VLOOKUP(F1916,'[2]SCP_24-25'!$A:$D,4,0)</f>
        <v>147.47</v>
      </c>
      <c r="AS1916" s="5">
        <f t="shared" si="66"/>
        <v>66214.03</v>
      </c>
    </row>
    <row r="1917" spans="1:45" x14ac:dyDescent="0.3">
      <c r="A1917" s="1">
        <v>45900.963888888888</v>
      </c>
      <c r="B1917" t="s">
        <v>1473</v>
      </c>
      <c r="C1917" t="s">
        <v>1474</v>
      </c>
      <c r="D1917" t="s">
        <v>851</v>
      </c>
      <c r="F1917" t="s">
        <v>1877</v>
      </c>
      <c r="G1917" t="s">
        <v>852</v>
      </c>
      <c r="H1917" t="s">
        <v>130</v>
      </c>
      <c r="I1917" t="s">
        <v>415</v>
      </c>
      <c r="J1917">
        <v>10</v>
      </c>
      <c r="K1917">
        <v>19</v>
      </c>
      <c r="L1917">
        <v>10</v>
      </c>
      <c r="M1917">
        <v>11</v>
      </c>
      <c r="N1917">
        <v>1080</v>
      </c>
      <c r="O1917">
        <v>1</v>
      </c>
      <c r="P1917">
        <v>0</v>
      </c>
      <c r="Q1917" t="s">
        <v>44</v>
      </c>
      <c r="R1917" t="s">
        <v>44</v>
      </c>
      <c r="S1917" t="s">
        <v>44</v>
      </c>
      <c r="T1917" t="s">
        <v>44</v>
      </c>
      <c r="U1917" t="s">
        <v>44</v>
      </c>
      <c r="V1917">
        <v>433</v>
      </c>
      <c r="W1917" t="s">
        <v>44</v>
      </c>
      <c r="X1917" t="s">
        <v>44</v>
      </c>
      <c r="Y1917">
        <v>433</v>
      </c>
      <c r="Z1917" t="s">
        <v>44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434</v>
      </c>
      <c r="AQ1917">
        <f t="shared" si="67"/>
        <v>434</v>
      </c>
      <c r="AR1917" s="5">
        <f>VLOOKUP(F1917,'[2]SCP_24-25'!$A:$D,4,0)</f>
        <v>147.47</v>
      </c>
      <c r="AS1917" s="5">
        <f t="shared" si="66"/>
        <v>64001.979999999996</v>
      </c>
    </row>
    <row r="1918" spans="1:45" x14ac:dyDescent="0.3">
      <c r="A1918" s="1">
        <v>45900.963888888888</v>
      </c>
      <c r="B1918" t="s">
        <v>1473</v>
      </c>
      <c r="C1918" t="s">
        <v>1474</v>
      </c>
      <c r="D1918" t="s">
        <v>853</v>
      </c>
      <c r="F1918" t="s">
        <v>1878</v>
      </c>
      <c r="G1918" t="s">
        <v>854</v>
      </c>
      <c r="H1918" t="s">
        <v>130</v>
      </c>
      <c r="I1918" t="s">
        <v>415</v>
      </c>
      <c r="J1918">
        <v>10</v>
      </c>
      <c r="K1918">
        <v>19</v>
      </c>
      <c r="L1918">
        <v>10</v>
      </c>
      <c r="M1918">
        <v>11</v>
      </c>
      <c r="N1918">
        <v>1080</v>
      </c>
      <c r="O1918">
        <v>0</v>
      </c>
      <c r="P1918">
        <v>0</v>
      </c>
      <c r="Q1918" t="s">
        <v>44</v>
      </c>
      <c r="R1918" t="s">
        <v>44</v>
      </c>
      <c r="S1918" t="s">
        <v>44</v>
      </c>
      <c r="T1918" t="s">
        <v>44</v>
      </c>
      <c r="U1918" t="s">
        <v>44</v>
      </c>
      <c r="V1918">
        <v>924</v>
      </c>
      <c r="W1918" t="s">
        <v>44</v>
      </c>
      <c r="X1918" t="s">
        <v>44</v>
      </c>
      <c r="Y1918">
        <v>923</v>
      </c>
      <c r="Z1918" t="s">
        <v>44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924</v>
      </c>
      <c r="AQ1918">
        <f t="shared" si="67"/>
        <v>924</v>
      </c>
      <c r="AR1918" s="5">
        <f>VLOOKUP(F1918,'[2]SCP_24-25'!$A:$D,4,0)</f>
        <v>147.47</v>
      </c>
      <c r="AS1918" s="5">
        <f t="shared" si="66"/>
        <v>136262.28</v>
      </c>
    </row>
    <row r="1919" spans="1:45" x14ac:dyDescent="0.3">
      <c r="A1919" s="1">
        <v>45900.963888888888</v>
      </c>
      <c r="B1919" t="s">
        <v>1473</v>
      </c>
      <c r="C1919" t="s">
        <v>1474</v>
      </c>
      <c r="D1919" t="s">
        <v>855</v>
      </c>
      <c r="F1919" t="s">
        <v>1879</v>
      </c>
      <c r="G1919" t="s">
        <v>856</v>
      </c>
      <c r="H1919" t="s">
        <v>130</v>
      </c>
      <c r="I1919" t="s">
        <v>415</v>
      </c>
      <c r="J1919">
        <v>10</v>
      </c>
      <c r="K1919">
        <v>19</v>
      </c>
      <c r="L1919">
        <v>10</v>
      </c>
      <c r="M1919">
        <v>11</v>
      </c>
      <c r="N1919">
        <v>1080</v>
      </c>
      <c r="O1919">
        <v>0</v>
      </c>
      <c r="P1919">
        <v>0</v>
      </c>
      <c r="Q1919" t="s">
        <v>44</v>
      </c>
      <c r="R1919" t="s">
        <v>44</v>
      </c>
      <c r="S1919" t="s">
        <v>44</v>
      </c>
      <c r="T1919" t="s">
        <v>44</v>
      </c>
      <c r="U1919" t="s">
        <v>44</v>
      </c>
      <c r="V1919">
        <v>474</v>
      </c>
      <c r="W1919" t="s">
        <v>44</v>
      </c>
      <c r="X1919" t="s">
        <v>44</v>
      </c>
      <c r="Y1919">
        <v>474</v>
      </c>
      <c r="Z1919" t="s">
        <v>44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474</v>
      </c>
      <c r="AQ1919">
        <f t="shared" si="67"/>
        <v>474</v>
      </c>
      <c r="AR1919" s="5">
        <f>VLOOKUP(F1919,'[2]SCP_24-25'!$A:$D,4,0)</f>
        <v>147.47</v>
      </c>
      <c r="AS1919" s="5">
        <f t="shared" si="66"/>
        <v>69900.78</v>
      </c>
    </row>
    <row r="1920" spans="1:45" x14ac:dyDescent="0.3">
      <c r="A1920" s="1">
        <v>45900.963888888888</v>
      </c>
      <c r="B1920" t="s">
        <v>1473</v>
      </c>
      <c r="C1920" t="s">
        <v>1474</v>
      </c>
      <c r="D1920" t="s">
        <v>1320</v>
      </c>
      <c r="F1920" t="s">
        <v>2110</v>
      </c>
      <c r="G1920" t="s">
        <v>1321</v>
      </c>
      <c r="H1920" t="s">
        <v>103</v>
      </c>
      <c r="I1920" t="s">
        <v>43</v>
      </c>
      <c r="J1920">
        <v>400</v>
      </c>
      <c r="K1920">
        <v>19</v>
      </c>
      <c r="L1920">
        <v>11</v>
      </c>
      <c r="M1920">
        <v>10</v>
      </c>
      <c r="N1920">
        <v>1326</v>
      </c>
      <c r="O1920">
        <v>0</v>
      </c>
      <c r="P1920">
        <v>0</v>
      </c>
      <c r="Q1920" t="s">
        <v>44</v>
      </c>
      <c r="R1920" t="s">
        <v>44</v>
      </c>
      <c r="S1920" t="s">
        <v>44</v>
      </c>
      <c r="T1920" t="s">
        <v>44</v>
      </c>
      <c r="U1920" t="s">
        <v>44</v>
      </c>
      <c r="V1920">
        <v>733</v>
      </c>
      <c r="W1920" t="s">
        <v>44</v>
      </c>
      <c r="X1920" t="s">
        <v>44</v>
      </c>
      <c r="Y1920">
        <v>733</v>
      </c>
      <c r="Z1920" t="s">
        <v>44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733</v>
      </c>
      <c r="AQ1920">
        <f t="shared" si="67"/>
        <v>733</v>
      </c>
      <c r="AR1920" s="5">
        <f>VLOOKUP(F1920,'[1]Cost Sheet'!$C:$D,2,0)</f>
        <v>170.18</v>
      </c>
      <c r="AS1920" s="5">
        <f t="shared" si="66"/>
        <v>124741.94</v>
      </c>
    </row>
    <row r="1921" spans="1:45" x14ac:dyDescent="0.3">
      <c r="A1921" s="1">
        <v>45900.963888888888</v>
      </c>
      <c r="B1921" t="s">
        <v>1473</v>
      </c>
      <c r="C1921" t="s">
        <v>1474</v>
      </c>
      <c r="D1921" t="s">
        <v>773</v>
      </c>
      <c r="F1921" t="s">
        <v>1839</v>
      </c>
      <c r="G1921" t="s">
        <v>774</v>
      </c>
      <c r="H1921" t="s">
        <v>120</v>
      </c>
      <c r="I1921" t="s">
        <v>43</v>
      </c>
      <c r="J1921">
        <v>100</v>
      </c>
      <c r="K1921">
        <v>19</v>
      </c>
      <c r="L1921">
        <v>11</v>
      </c>
      <c r="M1921">
        <v>10</v>
      </c>
      <c r="N1921">
        <v>600</v>
      </c>
      <c r="O1921">
        <v>0</v>
      </c>
      <c r="P1921">
        <v>0</v>
      </c>
      <c r="Q1921" t="s">
        <v>44</v>
      </c>
      <c r="R1921" t="s">
        <v>44</v>
      </c>
      <c r="S1921" t="s">
        <v>44</v>
      </c>
      <c r="T1921" t="s">
        <v>44</v>
      </c>
      <c r="U1921" t="s">
        <v>44</v>
      </c>
      <c r="V1921">
        <v>600</v>
      </c>
      <c r="W1921" t="s">
        <v>44</v>
      </c>
      <c r="X1921" t="s">
        <v>44</v>
      </c>
      <c r="Y1921">
        <v>600</v>
      </c>
      <c r="Z1921" t="s">
        <v>44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600</v>
      </c>
      <c r="AQ1921">
        <f t="shared" si="67"/>
        <v>600</v>
      </c>
      <c r="AR1921" s="5">
        <f>VLOOKUP(F1921,'[1]Cost Sheet'!$C:$D,2,0)</f>
        <v>130</v>
      </c>
      <c r="AS1921" s="5">
        <f t="shared" si="66"/>
        <v>78000</v>
      </c>
    </row>
    <row r="1922" spans="1:45" x14ac:dyDescent="0.3">
      <c r="A1922" s="1">
        <v>45900.963888888888</v>
      </c>
      <c r="B1922" t="s">
        <v>1473</v>
      </c>
      <c r="C1922" t="s">
        <v>1474</v>
      </c>
      <c r="D1922" t="s">
        <v>775</v>
      </c>
      <c r="F1922" t="s">
        <v>1840</v>
      </c>
      <c r="G1922" t="s">
        <v>776</v>
      </c>
      <c r="H1922" t="s">
        <v>120</v>
      </c>
      <c r="I1922" t="s">
        <v>43</v>
      </c>
      <c r="J1922">
        <v>100</v>
      </c>
      <c r="K1922">
        <v>19</v>
      </c>
      <c r="L1922">
        <v>11</v>
      </c>
      <c r="M1922">
        <v>10</v>
      </c>
      <c r="N1922">
        <v>2284</v>
      </c>
      <c r="O1922">
        <v>0</v>
      </c>
      <c r="P1922">
        <v>0</v>
      </c>
      <c r="Q1922" t="s">
        <v>44</v>
      </c>
      <c r="R1922" t="s">
        <v>44</v>
      </c>
      <c r="S1922" t="s">
        <v>44</v>
      </c>
      <c r="T1922">
        <v>16</v>
      </c>
      <c r="U1922" t="s">
        <v>44</v>
      </c>
      <c r="V1922">
        <v>703</v>
      </c>
      <c r="W1922" t="s">
        <v>44</v>
      </c>
      <c r="X1922" t="s">
        <v>44</v>
      </c>
      <c r="Y1922">
        <v>703</v>
      </c>
      <c r="Z1922" t="s">
        <v>44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703</v>
      </c>
      <c r="AQ1922">
        <f t="shared" si="67"/>
        <v>703</v>
      </c>
      <c r="AR1922" s="5">
        <f>VLOOKUP(F1922,'[2]SCP_24-25'!$A:$D,4,0)</f>
        <v>53</v>
      </c>
      <c r="AS1922" s="5">
        <f t="shared" si="66"/>
        <v>37259</v>
      </c>
    </row>
    <row r="1923" spans="1:45" x14ac:dyDescent="0.3">
      <c r="A1923" s="1">
        <v>45900.963888888888</v>
      </c>
      <c r="B1923" t="s">
        <v>1473</v>
      </c>
      <c r="C1923" t="s">
        <v>1474</v>
      </c>
      <c r="D1923" t="s">
        <v>863</v>
      </c>
      <c r="F1923" t="s">
        <v>1883</v>
      </c>
      <c r="G1923" t="s">
        <v>864</v>
      </c>
      <c r="H1923" t="s">
        <v>130</v>
      </c>
      <c r="I1923" t="s">
        <v>415</v>
      </c>
      <c r="J1923">
        <v>5.5</v>
      </c>
      <c r="K1923">
        <v>19</v>
      </c>
      <c r="L1923">
        <v>10</v>
      </c>
      <c r="M1923">
        <v>11</v>
      </c>
      <c r="N1923">
        <v>1008</v>
      </c>
      <c r="O1923">
        <v>0</v>
      </c>
      <c r="P1923">
        <v>0</v>
      </c>
      <c r="Q1923" t="s">
        <v>44</v>
      </c>
      <c r="R1923" t="s">
        <v>44</v>
      </c>
      <c r="S1923" t="s">
        <v>44</v>
      </c>
      <c r="T1923" t="s">
        <v>44</v>
      </c>
      <c r="U1923" t="s">
        <v>44</v>
      </c>
      <c r="V1923">
        <v>934</v>
      </c>
      <c r="W1923" t="s">
        <v>44</v>
      </c>
      <c r="X1923" t="s">
        <v>44</v>
      </c>
      <c r="Y1923">
        <v>934</v>
      </c>
      <c r="Z1923" t="s">
        <v>44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934</v>
      </c>
      <c r="AQ1923">
        <f t="shared" si="67"/>
        <v>934</v>
      </c>
      <c r="AR1923" s="5">
        <f>VLOOKUP(F1923,'[2]SCP_24-25'!$A:$D,4,0)</f>
        <v>107.63</v>
      </c>
      <c r="AS1923" s="5">
        <f t="shared" ref="AS1923:AS1986" si="68">AQ1923*AR1923</f>
        <v>100526.42</v>
      </c>
    </row>
    <row r="1924" spans="1:45" x14ac:dyDescent="0.3">
      <c r="A1924" s="1">
        <v>45900.963888888888</v>
      </c>
      <c r="B1924" t="s">
        <v>1473</v>
      </c>
      <c r="C1924" t="s">
        <v>1474</v>
      </c>
      <c r="D1924" t="s">
        <v>865</v>
      </c>
      <c r="F1924" t="s">
        <v>1884</v>
      </c>
      <c r="G1924" t="s">
        <v>866</v>
      </c>
      <c r="H1924" t="s">
        <v>130</v>
      </c>
      <c r="I1924" t="s">
        <v>415</v>
      </c>
      <c r="J1924">
        <v>5.5</v>
      </c>
      <c r="K1924">
        <v>19</v>
      </c>
      <c r="L1924">
        <v>10</v>
      </c>
      <c r="M1924">
        <v>11</v>
      </c>
      <c r="N1924">
        <v>1056</v>
      </c>
      <c r="O1924">
        <v>1</v>
      </c>
      <c r="P1924">
        <v>0</v>
      </c>
      <c r="Q1924" t="s">
        <v>44</v>
      </c>
      <c r="R1924" t="s">
        <v>44</v>
      </c>
      <c r="S1924" t="s">
        <v>44</v>
      </c>
      <c r="T1924" t="s">
        <v>44</v>
      </c>
      <c r="U1924" t="s">
        <v>44</v>
      </c>
      <c r="V1924">
        <v>991</v>
      </c>
      <c r="W1924" t="s">
        <v>44</v>
      </c>
      <c r="X1924" t="s">
        <v>44</v>
      </c>
      <c r="Y1924">
        <v>991</v>
      </c>
      <c r="Z1924" t="s">
        <v>44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992</v>
      </c>
      <c r="AQ1924">
        <f t="shared" si="67"/>
        <v>992</v>
      </c>
      <c r="AR1924" s="5">
        <f>VLOOKUP(F1924,'[2]SCP_24-25'!$A:$D,4,0)</f>
        <v>107.63</v>
      </c>
      <c r="AS1924" s="5">
        <f t="shared" si="68"/>
        <v>106768.95999999999</v>
      </c>
    </row>
    <row r="1925" spans="1:45" x14ac:dyDescent="0.3">
      <c r="A1925" s="1">
        <v>45900.963888888888</v>
      </c>
      <c r="B1925" t="s">
        <v>1473</v>
      </c>
      <c r="C1925" t="s">
        <v>1474</v>
      </c>
      <c r="D1925" t="s">
        <v>875</v>
      </c>
      <c r="F1925" t="s">
        <v>1889</v>
      </c>
      <c r="G1925" t="s">
        <v>876</v>
      </c>
      <c r="H1925" t="s">
        <v>130</v>
      </c>
      <c r="I1925" t="s">
        <v>415</v>
      </c>
      <c r="J1925">
        <v>400</v>
      </c>
      <c r="K1925">
        <v>19</v>
      </c>
      <c r="L1925">
        <v>10</v>
      </c>
      <c r="M1925">
        <v>11</v>
      </c>
      <c r="N1925">
        <v>600</v>
      </c>
      <c r="O1925">
        <v>0</v>
      </c>
      <c r="P1925">
        <v>0</v>
      </c>
      <c r="Q1925" t="s">
        <v>44</v>
      </c>
      <c r="R1925" t="s">
        <v>44</v>
      </c>
      <c r="S1925" t="s">
        <v>44</v>
      </c>
      <c r="T1925" t="s">
        <v>44</v>
      </c>
      <c r="U1925" t="s">
        <v>44</v>
      </c>
      <c r="V1925">
        <v>570</v>
      </c>
      <c r="W1925" t="s">
        <v>44</v>
      </c>
      <c r="X1925" t="s">
        <v>44</v>
      </c>
      <c r="Y1925">
        <v>570</v>
      </c>
      <c r="Z1925" t="s">
        <v>44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570</v>
      </c>
      <c r="AQ1925">
        <f t="shared" si="67"/>
        <v>570</v>
      </c>
      <c r="AR1925" s="5">
        <f>VLOOKUP(F1925,'[2]SCP_24-25'!$A:$D,4,0)</f>
        <v>82.91</v>
      </c>
      <c r="AS1925" s="5">
        <f t="shared" si="68"/>
        <v>47258.7</v>
      </c>
    </row>
    <row r="1926" spans="1:45" x14ac:dyDescent="0.3">
      <c r="A1926" s="1">
        <v>45900.963888888888</v>
      </c>
      <c r="B1926" t="s">
        <v>1473</v>
      </c>
      <c r="C1926" t="s">
        <v>1474</v>
      </c>
      <c r="D1926" t="s">
        <v>877</v>
      </c>
      <c r="F1926" t="s">
        <v>1890</v>
      </c>
      <c r="G1926" t="s">
        <v>878</v>
      </c>
      <c r="H1926" t="s">
        <v>103</v>
      </c>
      <c r="I1926" t="s">
        <v>415</v>
      </c>
      <c r="J1926">
        <v>100</v>
      </c>
      <c r="K1926">
        <v>19</v>
      </c>
      <c r="L1926">
        <v>10</v>
      </c>
      <c r="M1926">
        <v>11</v>
      </c>
      <c r="N1926">
        <v>2202</v>
      </c>
      <c r="O1926">
        <v>2</v>
      </c>
      <c r="P1926">
        <v>0</v>
      </c>
      <c r="Q1926" t="s">
        <v>44</v>
      </c>
      <c r="R1926" t="s">
        <v>44</v>
      </c>
      <c r="S1926" t="s">
        <v>44</v>
      </c>
      <c r="T1926" t="s">
        <v>44</v>
      </c>
      <c r="U1926" t="s">
        <v>44</v>
      </c>
      <c r="V1926">
        <v>940</v>
      </c>
      <c r="W1926" t="s">
        <v>44</v>
      </c>
      <c r="X1926" t="s">
        <v>44</v>
      </c>
      <c r="Y1926">
        <v>940</v>
      </c>
      <c r="Z1926" t="s">
        <v>44</v>
      </c>
      <c r="AA1926">
        <v>3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945</v>
      </c>
      <c r="AQ1926">
        <f t="shared" si="67"/>
        <v>945</v>
      </c>
      <c r="AR1926" s="5">
        <f>VLOOKUP(F1926,'[2]SCP_24-25'!$A:$D,4,0)</f>
        <v>71.19</v>
      </c>
      <c r="AS1926" s="5">
        <f t="shared" si="68"/>
        <v>67274.55</v>
      </c>
    </row>
    <row r="1927" spans="1:45" x14ac:dyDescent="0.3">
      <c r="A1927" s="1">
        <v>45900.963888888888</v>
      </c>
      <c r="B1927" t="s">
        <v>1473</v>
      </c>
      <c r="C1927" t="s">
        <v>1474</v>
      </c>
      <c r="D1927" t="s">
        <v>1270</v>
      </c>
      <c r="F1927" t="s">
        <v>2087</v>
      </c>
      <c r="G1927" t="s">
        <v>1271</v>
      </c>
      <c r="H1927" t="s">
        <v>130</v>
      </c>
      <c r="I1927" t="s">
        <v>415</v>
      </c>
      <c r="J1927">
        <v>1.4</v>
      </c>
      <c r="K1927">
        <v>19</v>
      </c>
      <c r="L1927">
        <v>10</v>
      </c>
      <c r="M1927">
        <v>11</v>
      </c>
      <c r="N1927">
        <v>192</v>
      </c>
      <c r="O1927">
        <v>0</v>
      </c>
      <c r="P1927">
        <v>0</v>
      </c>
      <c r="Q1927" t="s">
        <v>44</v>
      </c>
      <c r="R1927" t="s">
        <v>44</v>
      </c>
      <c r="S1927" t="s">
        <v>44</v>
      </c>
      <c r="T1927" t="s">
        <v>44</v>
      </c>
      <c r="U1927" t="s">
        <v>44</v>
      </c>
      <c r="V1927">
        <v>160</v>
      </c>
      <c r="W1927" t="s">
        <v>44</v>
      </c>
      <c r="X1927" t="s">
        <v>44</v>
      </c>
      <c r="Y1927">
        <v>160</v>
      </c>
      <c r="Z1927" t="s">
        <v>44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160</v>
      </c>
      <c r="AQ1927">
        <f t="shared" si="67"/>
        <v>160</v>
      </c>
      <c r="AR1927" s="5">
        <f>VLOOKUP(F1927,'[2]SCP_24-25'!$A:$D,4,0)</f>
        <v>174.11</v>
      </c>
      <c r="AS1927" s="5">
        <f t="shared" si="68"/>
        <v>27857.600000000002</v>
      </c>
    </row>
    <row r="1928" spans="1:45" x14ac:dyDescent="0.3">
      <c r="A1928" s="1">
        <v>45900.963888888888</v>
      </c>
      <c r="B1928" t="s">
        <v>1473</v>
      </c>
      <c r="C1928" t="s">
        <v>1474</v>
      </c>
      <c r="D1928" t="s">
        <v>1272</v>
      </c>
      <c r="F1928" t="s">
        <v>2088</v>
      </c>
      <c r="G1928" t="s">
        <v>1273</v>
      </c>
      <c r="H1928" t="s">
        <v>130</v>
      </c>
      <c r="I1928" t="s">
        <v>415</v>
      </c>
      <c r="J1928">
        <v>1.4</v>
      </c>
      <c r="K1928">
        <v>19</v>
      </c>
      <c r="L1928">
        <v>10</v>
      </c>
      <c r="M1928">
        <v>11</v>
      </c>
      <c r="N1928">
        <v>192</v>
      </c>
      <c r="O1928">
        <v>0</v>
      </c>
      <c r="P1928">
        <v>0</v>
      </c>
      <c r="Q1928" t="s">
        <v>44</v>
      </c>
      <c r="R1928" t="s">
        <v>44</v>
      </c>
      <c r="S1928" t="s">
        <v>44</v>
      </c>
      <c r="T1928" t="s">
        <v>44</v>
      </c>
      <c r="U1928" t="s">
        <v>44</v>
      </c>
      <c r="V1928">
        <v>160</v>
      </c>
      <c r="W1928" t="s">
        <v>44</v>
      </c>
      <c r="X1928" t="s">
        <v>44</v>
      </c>
      <c r="Y1928">
        <v>160</v>
      </c>
      <c r="Z1928" t="s">
        <v>44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160</v>
      </c>
      <c r="AQ1928">
        <f t="shared" si="67"/>
        <v>160</v>
      </c>
      <c r="AR1928" s="5">
        <f>VLOOKUP(F1928,'[2]SCP_24-25'!$A:$D,4,0)</f>
        <v>174.11</v>
      </c>
      <c r="AS1928" s="5">
        <f t="shared" si="68"/>
        <v>27857.600000000002</v>
      </c>
    </row>
    <row r="1929" spans="1:45" x14ac:dyDescent="0.3">
      <c r="A1929" s="1">
        <v>45900.963888888888</v>
      </c>
      <c r="B1929" t="s">
        <v>1473</v>
      </c>
      <c r="C1929" t="s">
        <v>1474</v>
      </c>
      <c r="D1929" t="s">
        <v>1274</v>
      </c>
      <c r="F1929" t="s">
        <v>2089</v>
      </c>
      <c r="G1929" t="s">
        <v>1275</v>
      </c>
      <c r="H1929" t="s">
        <v>130</v>
      </c>
      <c r="I1929" t="s">
        <v>415</v>
      </c>
      <c r="J1929">
        <v>1.4</v>
      </c>
      <c r="K1929">
        <v>19</v>
      </c>
      <c r="L1929">
        <v>10</v>
      </c>
      <c r="M1929">
        <v>11</v>
      </c>
      <c r="N1929">
        <v>192</v>
      </c>
      <c r="O1929">
        <v>0</v>
      </c>
      <c r="P1929">
        <v>0</v>
      </c>
      <c r="Q1929" t="s">
        <v>44</v>
      </c>
      <c r="R1929" t="s">
        <v>44</v>
      </c>
      <c r="S1929" t="s">
        <v>44</v>
      </c>
      <c r="T1929" t="s">
        <v>44</v>
      </c>
      <c r="U1929" t="s">
        <v>44</v>
      </c>
      <c r="V1929">
        <v>160</v>
      </c>
      <c r="W1929" t="s">
        <v>44</v>
      </c>
      <c r="X1929" t="s">
        <v>44</v>
      </c>
      <c r="Y1929">
        <v>160</v>
      </c>
      <c r="Z1929" t="s">
        <v>44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160</v>
      </c>
      <c r="AQ1929">
        <f t="shared" si="67"/>
        <v>160</v>
      </c>
      <c r="AR1929" s="5">
        <f>VLOOKUP(F1929,'[2]SCP_24-25'!$A:$D,4,0)</f>
        <v>174.11</v>
      </c>
      <c r="AS1929" s="5">
        <f t="shared" si="68"/>
        <v>27857.600000000002</v>
      </c>
    </row>
    <row r="1930" spans="1:45" x14ac:dyDescent="0.3">
      <c r="A1930" s="1">
        <v>45900.963888888888</v>
      </c>
      <c r="B1930" t="s">
        <v>1473</v>
      </c>
      <c r="C1930" t="s">
        <v>1474</v>
      </c>
      <c r="D1930" t="s">
        <v>1276</v>
      </c>
      <c r="F1930" t="s">
        <v>2090</v>
      </c>
      <c r="G1930" t="s">
        <v>1277</v>
      </c>
      <c r="H1930" t="s">
        <v>130</v>
      </c>
      <c r="I1930" t="s">
        <v>415</v>
      </c>
      <c r="J1930">
        <v>1.4</v>
      </c>
      <c r="K1930">
        <v>19</v>
      </c>
      <c r="L1930">
        <v>10</v>
      </c>
      <c r="M1930">
        <v>11</v>
      </c>
      <c r="N1930">
        <v>192</v>
      </c>
      <c r="O1930">
        <v>0</v>
      </c>
      <c r="P1930">
        <v>0</v>
      </c>
      <c r="Q1930" t="s">
        <v>44</v>
      </c>
      <c r="R1930" t="s">
        <v>44</v>
      </c>
      <c r="S1930" t="s">
        <v>44</v>
      </c>
      <c r="T1930" t="s">
        <v>44</v>
      </c>
      <c r="U1930" t="s">
        <v>44</v>
      </c>
      <c r="V1930">
        <v>160</v>
      </c>
      <c r="W1930" t="s">
        <v>44</v>
      </c>
      <c r="X1930" t="s">
        <v>44</v>
      </c>
      <c r="Y1930">
        <v>160</v>
      </c>
      <c r="Z1930" t="s">
        <v>44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160</v>
      </c>
      <c r="AQ1930">
        <f t="shared" si="67"/>
        <v>160</v>
      </c>
      <c r="AR1930" s="5">
        <f>VLOOKUP(F1930,'[2]SCP_24-25'!$A:$D,4,0)</f>
        <v>174.11</v>
      </c>
      <c r="AS1930" s="5">
        <f t="shared" si="68"/>
        <v>27857.600000000002</v>
      </c>
    </row>
    <row r="1931" spans="1:45" x14ac:dyDescent="0.3">
      <c r="A1931" s="1">
        <v>45900.963888888888</v>
      </c>
      <c r="B1931" t="s">
        <v>1473</v>
      </c>
      <c r="C1931" t="s">
        <v>1474</v>
      </c>
      <c r="D1931" t="s">
        <v>1278</v>
      </c>
      <c r="F1931" t="s">
        <v>2091</v>
      </c>
      <c r="G1931" t="s">
        <v>1279</v>
      </c>
      <c r="H1931" t="s">
        <v>130</v>
      </c>
      <c r="I1931" t="s">
        <v>415</v>
      </c>
      <c r="J1931">
        <v>1.4</v>
      </c>
      <c r="K1931">
        <v>19</v>
      </c>
      <c r="L1931">
        <v>10</v>
      </c>
      <c r="M1931">
        <v>11</v>
      </c>
      <c r="N1931">
        <v>192</v>
      </c>
      <c r="O1931">
        <v>0</v>
      </c>
      <c r="P1931">
        <v>0</v>
      </c>
      <c r="Q1931" t="s">
        <v>44</v>
      </c>
      <c r="R1931" t="s">
        <v>44</v>
      </c>
      <c r="S1931" t="s">
        <v>44</v>
      </c>
      <c r="T1931" t="s">
        <v>44</v>
      </c>
      <c r="U1931" t="s">
        <v>44</v>
      </c>
      <c r="V1931">
        <v>160</v>
      </c>
      <c r="W1931" t="s">
        <v>44</v>
      </c>
      <c r="X1931" t="s">
        <v>44</v>
      </c>
      <c r="Y1931">
        <v>160</v>
      </c>
      <c r="Z1931" t="s">
        <v>44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160</v>
      </c>
      <c r="AQ1931">
        <f t="shared" si="67"/>
        <v>160</v>
      </c>
      <c r="AR1931" s="5">
        <f>VLOOKUP(F1931,'[2]SCP_24-25'!$A:$D,4,0)</f>
        <v>174.11</v>
      </c>
      <c r="AS1931" s="5">
        <f t="shared" si="68"/>
        <v>27857.600000000002</v>
      </c>
    </row>
    <row r="1932" spans="1:45" x14ac:dyDescent="0.3">
      <c r="A1932" s="1">
        <v>45900.963888888888</v>
      </c>
      <c r="B1932" t="s">
        <v>1473</v>
      </c>
      <c r="C1932" t="s">
        <v>1474</v>
      </c>
      <c r="D1932" t="s">
        <v>1280</v>
      </c>
      <c r="F1932" t="s">
        <v>2092</v>
      </c>
      <c r="G1932" t="s">
        <v>1281</v>
      </c>
      <c r="H1932" t="s">
        <v>130</v>
      </c>
      <c r="I1932" t="s">
        <v>415</v>
      </c>
      <c r="J1932">
        <v>1.4</v>
      </c>
      <c r="K1932">
        <v>19</v>
      </c>
      <c r="L1932">
        <v>10</v>
      </c>
      <c r="M1932">
        <v>11</v>
      </c>
      <c r="N1932">
        <v>192</v>
      </c>
      <c r="O1932">
        <v>0</v>
      </c>
      <c r="P1932">
        <v>0</v>
      </c>
      <c r="Q1932" t="s">
        <v>44</v>
      </c>
      <c r="R1932" t="s">
        <v>44</v>
      </c>
      <c r="S1932" t="s">
        <v>44</v>
      </c>
      <c r="T1932" t="s">
        <v>44</v>
      </c>
      <c r="U1932" t="s">
        <v>44</v>
      </c>
      <c r="V1932">
        <v>160</v>
      </c>
      <c r="W1932" t="s">
        <v>44</v>
      </c>
      <c r="X1932" t="s">
        <v>44</v>
      </c>
      <c r="Y1932">
        <v>160</v>
      </c>
      <c r="Z1932" t="s">
        <v>44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160</v>
      </c>
      <c r="AQ1932">
        <f t="shared" si="67"/>
        <v>160</v>
      </c>
      <c r="AR1932" s="5">
        <f>VLOOKUP(F1932,'[2]SCP_24-25'!$A:$D,4,0)</f>
        <v>174.11</v>
      </c>
      <c r="AS1932" s="5">
        <f t="shared" si="68"/>
        <v>27857.600000000002</v>
      </c>
    </row>
    <row r="1933" spans="1:45" x14ac:dyDescent="0.3">
      <c r="A1933" s="1">
        <v>45900.963888888888</v>
      </c>
      <c r="B1933" t="s">
        <v>1473</v>
      </c>
      <c r="C1933" t="s">
        <v>1474</v>
      </c>
      <c r="D1933" t="s">
        <v>1282</v>
      </c>
      <c r="F1933" t="s">
        <v>2093</v>
      </c>
      <c r="G1933" t="s">
        <v>1283</v>
      </c>
      <c r="H1933" t="s">
        <v>130</v>
      </c>
      <c r="I1933" t="s">
        <v>415</v>
      </c>
      <c r="J1933">
        <v>1.4</v>
      </c>
      <c r="K1933">
        <v>19</v>
      </c>
      <c r="L1933">
        <v>10</v>
      </c>
      <c r="M1933">
        <v>11</v>
      </c>
      <c r="N1933">
        <v>192</v>
      </c>
      <c r="O1933">
        <v>0</v>
      </c>
      <c r="P1933">
        <v>0</v>
      </c>
      <c r="Q1933" t="s">
        <v>44</v>
      </c>
      <c r="R1933" t="s">
        <v>44</v>
      </c>
      <c r="S1933" t="s">
        <v>44</v>
      </c>
      <c r="T1933" t="s">
        <v>44</v>
      </c>
      <c r="U1933" t="s">
        <v>44</v>
      </c>
      <c r="V1933">
        <v>160</v>
      </c>
      <c r="W1933" t="s">
        <v>44</v>
      </c>
      <c r="X1933" t="s">
        <v>44</v>
      </c>
      <c r="Y1933">
        <v>160</v>
      </c>
      <c r="Z1933" t="s">
        <v>44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160</v>
      </c>
      <c r="AQ1933">
        <f t="shared" si="67"/>
        <v>160</v>
      </c>
      <c r="AR1933" s="5">
        <f>VLOOKUP(F1933,'[2]SCP_24-25'!$A:$D,4,0)</f>
        <v>174.11</v>
      </c>
      <c r="AS1933" s="5">
        <f t="shared" si="68"/>
        <v>27857.600000000002</v>
      </c>
    </row>
    <row r="1934" spans="1:45" x14ac:dyDescent="0.3">
      <c r="A1934" s="1">
        <v>45900.963888888888</v>
      </c>
      <c r="B1934" t="s">
        <v>1473</v>
      </c>
      <c r="C1934" t="s">
        <v>1474</v>
      </c>
      <c r="D1934" t="s">
        <v>1284</v>
      </c>
      <c r="F1934" t="s">
        <v>2094</v>
      </c>
      <c r="G1934" t="s">
        <v>1285</v>
      </c>
      <c r="H1934" t="s">
        <v>130</v>
      </c>
      <c r="I1934" t="s">
        <v>415</v>
      </c>
      <c r="J1934">
        <v>1.4</v>
      </c>
      <c r="K1934">
        <v>19</v>
      </c>
      <c r="L1934">
        <v>10</v>
      </c>
      <c r="M1934">
        <v>11</v>
      </c>
      <c r="N1934">
        <v>192</v>
      </c>
      <c r="O1934">
        <v>0</v>
      </c>
      <c r="P1934">
        <v>0</v>
      </c>
      <c r="Q1934" t="s">
        <v>44</v>
      </c>
      <c r="R1934" t="s">
        <v>44</v>
      </c>
      <c r="S1934" t="s">
        <v>44</v>
      </c>
      <c r="T1934" t="s">
        <v>44</v>
      </c>
      <c r="U1934" t="s">
        <v>44</v>
      </c>
      <c r="V1934">
        <v>160</v>
      </c>
      <c r="W1934" t="s">
        <v>44</v>
      </c>
      <c r="X1934" t="s">
        <v>44</v>
      </c>
      <c r="Y1934">
        <v>160</v>
      </c>
      <c r="Z1934" t="s">
        <v>44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160</v>
      </c>
      <c r="AQ1934">
        <f t="shared" si="67"/>
        <v>160</v>
      </c>
      <c r="AR1934" s="5">
        <f>VLOOKUP(F1934,'[2]SCP_24-25'!$A:$D,4,0)</f>
        <v>174.11</v>
      </c>
      <c r="AS1934" s="5">
        <f t="shared" si="68"/>
        <v>27857.600000000002</v>
      </c>
    </row>
    <row r="1935" spans="1:45" x14ac:dyDescent="0.3">
      <c r="A1935" s="1">
        <v>45900.963888888888</v>
      </c>
      <c r="B1935" t="s">
        <v>1473</v>
      </c>
      <c r="C1935" t="s">
        <v>1474</v>
      </c>
      <c r="D1935" t="s">
        <v>1286</v>
      </c>
      <c r="F1935" t="s">
        <v>2095</v>
      </c>
      <c r="G1935" t="s">
        <v>1287</v>
      </c>
      <c r="H1935" t="s">
        <v>130</v>
      </c>
      <c r="I1935" t="s">
        <v>415</v>
      </c>
      <c r="J1935">
        <v>1.4</v>
      </c>
      <c r="K1935">
        <v>19</v>
      </c>
      <c r="L1935">
        <v>10</v>
      </c>
      <c r="M1935">
        <v>11</v>
      </c>
      <c r="N1935">
        <v>192</v>
      </c>
      <c r="O1935">
        <v>0</v>
      </c>
      <c r="P1935">
        <v>0</v>
      </c>
      <c r="Q1935" t="s">
        <v>44</v>
      </c>
      <c r="R1935" t="s">
        <v>44</v>
      </c>
      <c r="S1935" t="s">
        <v>44</v>
      </c>
      <c r="T1935" t="s">
        <v>44</v>
      </c>
      <c r="U1935" t="s">
        <v>44</v>
      </c>
      <c r="V1935">
        <v>160</v>
      </c>
      <c r="W1935" t="s">
        <v>44</v>
      </c>
      <c r="X1935" t="s">
        <v>44</v>
      </c>
      <c r="Y1935">
        <v>160</v>
      </c>
      <c r="Z1935" t="s">
        <v>44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160</v>
      </c>
      <c r="AQ1935">
        <f t="shared" si="67"/>
        <v>160</v>
      </c>
      <c r="AR1935" s="5">
        <f>VLOOKUP(F1935,'[2]SCP_24-25'!$A:$D,4,0)</f>
        <v>174.11</v>
      </c>
      <c r="AS1935" s="5">
        <f t="shared" si="68"/>
        <v>27857.600000000002</v>
      </c>
    </row>
    <row r="1936" spans="1:45" x14ac:dyDescent="0.3">
      <c r="A1936" s="1">
        <v>45900.963888888888</v>
      </c>
      <c r="B1936" t="s">
        <v>1473</v>
      </c>
      <c r="C1936" t="s">
        <v>1474</v>
      </c>
      <c r="D1936" t="s">
        <v>1288</v>
      </c>
      <c r="F1936" t="s">
        <v>2096</v>
      </c>
      <c r="G1936" t="s">
        <v>1289</v>
      </c>
      <c r="H1936" t="s">
        <v>130</v>
      </c>
      <c r="I1936" t="s">
        <v>415</v>
      </c>
      <c r="J1936">
        <v>1.4</v>
      </c>
      <c r="K1936">
        <v>19</v>
      </c>
      <c r="L1936">
        <v>10</v>
      </c>
      <c r="M1936">
        <v>11</v>
      </c>
      <c r="N1936">
        <v>192</v>
      </c>
      <c r="O1936">
        <v>0</v>
      </c>
      <c r="P1936">
        <v>0</v>
      </c>
      <c r="Q1936" t="s">
        <v>44</v>
      </c>
      <c r="R1936" t="s">
        <v>44</v>
      </c>
      <c r="S1936" t="s">
        <v>44</v>
      </c>
      <c r="T1936" t="s">
        <v>44</v>
      </c>
      <c r="U1936" t="s">
        <v>44</v>
      </c>
      <c r="V1936">
        <v>160</v>
      </c>
      <c r="W1936" t="s">
        <v>44</v>
      </c>
      <c r="X1936" t="s">
        <v>44</v>
      </c>
      <c r="Y1936">
        <v>160</v>
      </c>
      <c r="Z1936" t="s">
        <v>44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160</v>
      </c>
      <c r="AQ1936">
        <f t="shared" si="67"/>
        <v>160</v>
      </c>
      <c r="AR1936" s="5">
        <f>VLOOKUP(F1936,'[2]SCP_24-25'!$A:$D,4,0)</f>
        <v>174.11</v>
      </c>
      <c r="AS1936" s="5">
        <f t="shared" si="68"/>
        <v>27857.600000000002</v>
      </c>
    </row>
    <row r="1937" spans="1:45" x14ac:dyDescent="0.3">
      <c r="A1937" s="1">
        <v>45900.963888888888</v>
      </c>
      <c r="B1937" t="s">
        <v>1473</v>
      </c>
      <c r="C1937" t="s">
        <v>1474</v>
      </c>
      <c r="D1937" t="s">
        <v>1290</v>
      </c>
      <c r="F1937" t="s">
        <v>2097</v>
      </c>
      <c r="G1937" t="s">
        <v>1291</v>
      </c>
      <c r="H1937" t="s">
        <v>130</v>
      </c>
      <c r="I1937" t="s">
        <v>415</v>
      </c>
      <c r="J1937">
        <v>1.4</v>
      </c>
      <c r="K1937">
        <v>19</v>
      </c>
      <c r="L1937">
        <v>10</v>
      </c>
      <c r="M1937">
        <v>11</v>
      </c>
      <c r="N1937">
        <v>192</v>
      </c>
      <c r="O1937">
        <v>0</v>
      </c>
      <c r="P1937">
        <v>0</v>
      </c>
      <c r="Q1937" t="s">
        <v>44</v>
      </c>
      <c r="R1937" t="s">
        <v>44</v>
      </c>
      <c r="S1937" t="s">
        <v>44</v>
      </c>
      <c r="T1937" t="s">
        <v>44</v>
      </c>
      <c r="U1937" t="s">
        <v>44</v>
      </c>
      <c r="V1937">
        <v>160</v>
      </c>
      <c r="W1937" t="s">
        <v>44</v>
      </c>
      <c r="X1937" t="s">
        <v>44</v>
      </c>
      <c r="Y1937">
        <v>160</v>
      </c>
      <c r="Z1937" t="s">
        <v>44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160</v>
      </c>
      <c r="AQ1937">
        <f t="shared" si="67"/>
        <v>160</v>
      </c>
      <c r="AR1937" s="5">
        <f>VLOOKUP(F1937,'[2]SCP_24-25'!$A:$D,4,0)</f>
        <v>174.11</v>
      </c>
      <c r="AS1937" s="5">
        <f t="shared" si="68"/>
        <v>27857.600000000002</v>
      </c>
    </row>
    <row r="1938" spans="1:45" x14ac:dyDescent="0.3">
      <c r="A1938" s="1">
        <v>45900.963888888888</v>
      </c>
      <c r="B1938" t="s">
        <v>1473</v>
      </c>
      <c r="C1938" t="s">
        <v>1474</v>
      </c>
      <c r="D1938" t="s">
        <v>1292</v>
      </c>
      <c r="F1938" t="s">
        <v>2098</v>
      </c>
      <c r="G1938" t="s">
        <v>1293</v>
      </c>
      <c r="H1938" t="s">
        <v>130</v>
      </c>
      <c r="I1938" t="s">
        <v>415</v>
      </c>
      <c r="J1938">
        <v>1.4</v>
      </c>
      <c r="K1938">
        <v>19</v>
      </c>
      <c r="L1938">
        <v>10</v>
      </c>
      <c r="M1938">
        <v>11</v>
      </c>
      <c r="N1938">
        <v>192</v>
      </c>
      <c r="O1938">
        <v>0</v>
      </c>
      <c r="P1938">
        <v>0</v>
      </c>
      <c r="Q1938" t="s">
        <v>44</v>
      </c>
      <c r="R1938" t="s">
        <v>44</v>
      </c>
      <c r="S1938" t="s">
        <v>44</v>
      </c>
      <c r="T1938" t="s">
        <v>44</v>
      </c>
      <c r="U1938" t="s">
        <v>44</v>
      </c>
      <c r="V1938">
        <v>160</v>
      </c>
      <c r="W1938" t="s">
        <v>44</v>
      </c>
      <c r="X1938" t="s">
        <v>44</v>
      </c>
      <c r="Y1938">
        <v>160</v>
      </c>
      <c r="Z1938" t="s">
        <v>44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160</v>
      </c>
      <c r="AQ1938">
        <f t="shared" si="67"/>
        <v>160</v>
      </c>
      <c r="AR1938" s="5">
        <f>VLOOKUP(F1938,'[2]SCP_24-25'!$A:$D,4,0)</f>
        <v>174.11</v>
      </c>
      <c r="AS1938" s="5">
        <f t="shared" si="68"/>
        <v>27857.600000000002</v>
      </c>
    </row>
    <row r="1939" spans="1:45" x14ac:dyDescent="0.3">
      <c r="A1939" s="1">
        <v>45900.963888888888</v>
      </c>
      <c r="B1939" t="s">
        <v>1473</v>
      </c>
      <c r="C1939" t="s">
        <v>1474</v>
      </c>
      <c r="D1939" t="s">
        <v>1294</v>
      </c>
      <c r="F1939" t="s">
        <v>2099</v>
      </c>
      <c r="G1939" t="s">
        <v>1295</v>
      </c>
      <c r="H1939" t="s">
        <v>130</v>
      </c>
      <c r="I1939" t="s">
        <v>415</v>
      </c>
      <c r="J1939">
        <v>1.4</v>
      </c>
      <c r="K1939">
        <v>19</v>
      </c>
      <c r="L1939">
        <v>10</v>
      </c>
      <c r="M1939">
        <v>11</v>
      </c>
      <c r="N1939">
        <v>192</v>
      </c>
      <c r="O1939">
        <v>0</v>
      </c>
      <c r="P1939">
        <v>0</v>
      </c>
      <c r="Q1939" t="s">
        <v>44</v>
      </c>
      <c r="R1939" t="s">
        <v>44</v>
      </c>
      <c r="S1939" t="s">
        <v>44</v>
      </c>
      <c r="T1939" t="s">
        <v>44</v>
      </c>
      <c r="U1939" t="s">
        <v>44</v>
      </c>
      <c r="V1939">
        <v>160</v>
      </c>
      <c r="W1939" t="s">
        <v>44</v>
      </c>
      <c r="X1939" t="s">
        <v>44</v>
      </c>
      <c r="Y1939">
        <v>160</v>
      </c>
      <c r="Z1939" t="s">
        <v>44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160</v>
      </c>
      <c r="AQ1939">
        <f t="shared" ref="AQ1939:AQ2002" si="69">O1939+P1939+V1939+AA1939</f>
        <v>160</v>
      </c>
      <c r="AR1939" s="5">
        <f>VLOOKUP(F1939,'[2]SCP_24-25'!$A:$D,4,0)</f>
        <v>174.11</v>
      </c>
      <c r="AS1939" s="5">
        <f t="shared" si="68"/>
        <v>27857.600000000002</v>
      </c>
    </row>
    <row r="1940" spans="1:45" x14ac:dyDescent="0.3">
      <c r="A1940" s="1">
        <v>45900.963888888888</v>
      </c>
      <c r="B1940" t="s">
        <v>1473</v>
      </c>
      <c r="C1940" t="s">
        <v>1474</v>
      </c>
      <c r="D1940" t="s">
        <v>1296</v>
      </c>
      <c r="F1940" t="s">
        <v>2100</v>
      </c>
      <c r="G1940" t="s">
        <v>1297</v>
      </c>
      <c r="H1940" t="s">
        <v>130</v>
      </c>
      <c r="I1940" t="s">
        <v>415</v>
      </c>
      <c r="J1940">
        <v>1.4</v>
      </c>
      <c r="K1940">
        <v>19</v>
      </c>
      <c r="L1940">
        <v>10</v>
      </c>
      <c r="M1940">
        <v>11</v>
      </c>
      <c r="N1940">
        <v>192</v>
      </c>
      <c r="O1940">
        <v>0</v>
      </c>
      <c r="P1940">
        <v>0</v>
      </c>
      <c r="Q1940" t="s">
        <v>44</v>
      </c>
      <c r="R1940" t="s">
        <v>44</v>
      </c>
      <c r="S1940" t="s">
        <v>44</v>
      </c>
      <c r="T1940" t="s">
        <v>44</v>
      </c>
      <c r="U1940" t="s">
        <v>44</v>
      </c>
      <c r="V1940">
        <v>160</v>
      </c>
      <c r="W1940" t="s">
        <v>44</v>
      </c>
      <c r="X1940" t="s">
        <v>44</v>
      </c>
      <c r="Y1940">
        <v>160</v>
      </c>
      <c r="Z1940" t="s">
        <v>44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160</v>
      </c>
      <c r="AQ1940">
        <f t="shared" si="69"/>
        <v>160</v>
      </c>
      <c r="AR1940" s="5">
        <f>VLOOKUP(F1940,'[2]SCP_24-25'!$A:$D,4,0)</f>
        <v>174.11</v>
      </c>
      <c r="AS1940" s="5">
        <f t="shared" si="68"/>
        <v>27857.600000000002</v>
      </c>
    </row>
    <row r="1941" spans="1:45" x14ac:dyDescent="0.3">
      <c r="A1941" s="1">
        <v>45900.963888888888</v>
      </c>
      <c r="B1941" t="s">
        <v>1473</v>
      </c>
      <c r="C1941" t="s">
        <v>1474</v>
      </c>
      <c r="D1941" t="s">
        <v>1328</v>
      </c>
      <c r="F1941" t="s">
        <v>2114</v>
      </c>
      <c r="G1941" t="s">
        <v>1329</v>
      </c>
      <c r="H1941" t="s">
        <v>130</v>
      </c>
      <c r="I1941" t="s">
        <v>415</v>
      </c>
      <c r="J1941">
        <v>1.4</v>
      </c>
      <c r="K1941">
        <v>19</v>
      </c>
      <c r="L1941">
        <v>10</v>
      </c>
      <c r="M1941">
        <v>11</v>
      </c>
      <c r="N1941">
        <v>720</v>
      </c>
      <c r="O1941">
        <v>0</v>
      </c>
      <c r="P1941">
        <v>0</v>
      </c>
      <c r="Q1941" t="s">
        <v>44</v>
      </c>
      <c r="R1941" t="s">
        <v>44</v>
      </c>
      <c r="S1941" t="s">
        <v>44</v>
      </c>
      <c r="T1941" t="s">
        <v>44</v>
      </c>
      <c r="U1941" t="s">
        <v>44</v>
      </c>
      <c r="V1941">
        <v>690</v>
      </c>
      <c r="W1941" t="s">
        <v>44</v>
      </c>
      <c r="X1941" t="s">
        <v>44</v>
      </c>
      <c r="Y1941">
        <v>690</v>
      </c>
      <c r="Z1941" t="s">
        <v>44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690</v>
      </c>
      <c r="AQ1941">
        <f t="shared" si="69"/>
        <v>690</v>
      </c>
      <c r="AR1941" s="5">
        <f>VLOOKUP(F1941,'[2]SCP_24-25'!$A:$D,4,0)</f>
        <v>417.21</v>
      </c>
      <c r="AS1941" s="5">
        <f t="shared" si="68"/>
        <v>287874.89999999997</v>
      </c>
    </row>
    <row r="1942" spans="1:45" x14ac:dyDescent="0.3">
      <c r="A1942" s="1">
        <v>45900.963888888888</v>
      </c>
      <c r="B1942" t="s">
        <v>1473</v>
      </c>
      <c r="C1942" t="s">
        <v>1474</v>
      </c>
      <c r="D1942" t="s">
        <v>131</v>
      </c>
      <c r="F1942" t="s">
        <v>1543</v>
      </c>
      <c r="G1942" t="s">
        <v>132</v>
      </c>
      <c r="H1942" t="s">
        <v>103</v>
      </c>
      <c r="I1942" t="s">
        <v>43</v>
      </c>
      <c r="J1942">
        <v>250</v>
      </c>
      <c r="K1942">
        <v>19</v>
      </c>
      <c r="L1942">
        <v>10</v>
      </c>
      <c r="M1942">
        <v>11</v>
      </c>
      <c r="N1942">
        <v>33203</v>
      </c>
      <c r="O1942">
        <v>6</v>
      </c>
      <c r="P1942">
        <v>0</v>
      </c>
      <c r="Q1942">
        <v>31</v>
      </c>
      <c r="R1942">
        <v>50</v>
      </c>
      <c r="S1942" t="s">
        <v>44</v>
      </c>
      <c r="T1942">
        <v>2</v>
      </c>
      <c r="U1942" t="s">
        <v>44</v>
      </c>
      <c r="V1942">
        <v>2209</v>
      </c>
      <c r="W1942">
        <v>224</v>
      </c>
      <c r="X1942" t="s">
        <v>44</v>
      </c>
      <c r="Y1942">
        <v>2164</v>
      </c>
      <c r="Z1942" t="s">
        <v>44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 s="2">
        <v>2216</v>
      </c>
      <c r="AQ1942">
        <f t="shared" si="69"/>
        <v>2216</v>
      </c>
      <c r="AR1942" s="5">
        <f>VLOOKUP(F1942,'[2]SCP_24-25'!$A:$D,4,0)</f>
        <v>78.88</v>
      </c>
      <c r="AS1942" s="5">
        <f t="shared" si="68"/>
        <v>174798.07999999999</v>
      </c>
    </row>
    <row r="1943" spans="1:45" x14ac:dyDescent="0.3">
      <c r="A1943" s="1">
        <v>45900.963888888888</v>
      </c>
      <c r="B1943" t="s">
        <v>1473</v>
      </c>
      <c r="C1943" t="s">
        <v>1474</v>
      </c>
      <c r="D1943" t="s">
        <v>137</v>
      </c>
      <c r="F1943" t="s">
        <v>1546</v>
      </c>
      <c r="G1943" t="s">
        <v>138</v>
      </c>
      <c r="H1943" t="s">
        <v>66</v>
      </c>
      <c r="I1943" t="s">
        <v>43</v>
      </c>
      <c r="J1943">
        <v>176</v>
      </c>
      <c r="K1943">
        <v>19</v>
      </c>
      <c r="L1943">
        <v>9.5</v>
      </c>
      <c r="M1943">
        <v>11</v>
      </c>
      <c r="N1943">
        <v>50044</v>
      </c>
      <c r="O1943">
        <v>9</v>
      </c>
      <c r="P1943">
        <v>0</v>
      </c>
      <c r="Q1943">
        <v>47</v>
      </c>
      <c r="R1943">
        <v>1323</v>
      </c>
      <c r="S1943" t="s">
        <v>44</v>
      </c>
      <c r="T1943">
        <v>1</v>
      </c>
      <c r="U1943" t="s">
        <v>44</v>
      </c>
      <c r="V1943">
        <v>3894</v>
      </c>
      <c r="W1943">
        <v>1</v>
      </c>
      <c r="X1943" t="s">
        <v>44</v>
      </c>
      <c r="Y1943">
        <v>3877</v>
      </c>
      <c r="Z1943" t="s">
        <v>44</v>
      </c>
      <c r="AA1943">
        <v>7</v>
      </c>
      <c r="AB1943">
        <v>0</v>
      </c>
      <c r="AC1943">
        <v>0</v>
      </c>
      <c r="AD1943">
        <v>0</v>
      </c>
      <c r="AE1943">
        <v>73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 s="2">
        <v>3910</v>
      </c>
      <c r="AQ1943">
        <f t="shared" si="69"/>
        <v>3910</v>
      </c>
      <c r="AR1943" s="5">
        <f>VLOOKUP(F1943,'[2]SCP_24-25'!$A:$D,4,0)</f>
        <v>94.530000000000015</v>
      </c>
      <c r="AS1943" s="5">
        <f t="shared" si="68"/>
        <v>369612.30000000005</v>
      </c>
    </row>
    <row r="1944" spans="1:45" x14ac:dyDescent="0.3">
      <c r="A1944" s="1">
        <v>45900.963888888888</v>
      </c>
      <c r="B1944" t="s">
        <v>1473</v>
      </c>
      <c r="C1944" t="s">
        <v>1474</v>
      </c>
      <c r="D1944" t="s">
        <v>141</v>
      </c>
      <c r="F1944" t="s">
        <v>1548</v>
      </c>
      <c r="G1944" t="s">
        <v>142</v>
      </c>
      <c r="H1944" t="s">
        <v>66</v>
      </c>
      <c r="I1944" t="s">
        <v>43</v>
      </c>
      <c r="J1944">
        <v>121</v>
      </c>
      <c r="K1944">
        <v>19</v>
      </c>
      <c r="L1944">
        <v>9.5</v>
      </c>
      <c r="M1944">
        <v>11</v>
      </c>
      <c r="N1944">
        <v>22037</v>
      </c>
      <c r="O1944">
        <v>5</v>
      </c>
      <c r="P1944">
        <v>0</v>
      </c>
      <c r="Q1944">
        <v>66</v>
      </c>
      <c r="R1944">
        <v>195</v>
      </c>
      <c r="S1944" t="s">
        <v>44</v>
      </c>
      <c r="T1944">
        <v>2</v>
      </c>
      <c r="U1944" t="s">
        <v>44</v>
      </c>
      <c r="V1944">
        <v>1776</v>
      </c>
      <c r="W1944">
        <v>32</v>
      </c>
      <c r="X1944" t="s">
        <v>44</v>
      </c>
      <c r="Y1944">
        <v>1631</v>
      </c>
      <c r="Z1944" t="s">
        <v>44</v>
      </c>
      <c r="AA1944">
        <v>4</v>
      </c>
      <c r="AB1944">
        <v>0</v>
      </c>
      <c r="AC1944">
        <v>0</v>
      </c>
      <c r="AD1944">
        <v>0</v>
      </c>
      <c r="AE1944">
        <v>85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 s="2">
        <v>1785</v>
      </c>
      <c r="AQ1944">
        <f t="shared" si="69"/>
        <v>1785</v>
      </c>
      <c r="AR1944" s="5">
        <f>VLOOKUP(F1944,'[2]SCP_24-25'!$A:$D,4,0)</f>
        <v>38.68</v>
      </c>
      <c r="AS1944" s="5">
        <f t="shared" si="68"/>
        <v>69043.8</v>
      </c>
    </row>
    <row r="1945" spans="1:45" x14ac:dyDescent="0.3">
      <c r="A1945" s="1">
        <v>45900.963888888888</v>
      </c>
      <c r="B1945" t="s">
        <v>1473</v>
      </c>
      <c r="C1945" t="s">
        <v>1474</v>
      </c>
      <c r="D1945" t="s">
        <v>145</v>
      </c>
      <c r="F1945" t="s">
        <v>1550</v>
      </c>
      <c r="G1945" t="s">
        <v>146</v>
      </c>
      <c r="H1945" t="s">
        <v>103</v>
      </c>
      <c r="I1945" t="s">
        <v>43</v>
      </c>
      <c r="J1945">
        <v>300</v>
      </c>
      <c r="K1945">
        <v>19</v>
      </c>
      <c r="L1945">
        <v>9.5</v>
      </c>
      <c r="M1945">
        <v>11</v>
      </c>
      <c r="N1945">
        <v>36537</v>
      </c>
      <c r="O1945">
        <v>5</v>
      </c>
      <c r="P1945">
        <v>0</v>
      </c>
      <c r="Q1945">
        <v>29</v>
      </c>
      <c r="R1945">
        <v>121</v>
      </c>
      <c r="S1945" t="s">
        <v>44</v>
      </c>
      <c r="T1945">
        <v>19</v>
      </c>
      <c r="U1945" t="s">
        <v>44</v>
      </c>
      <c r="V1945">
        <v>1072</v>
      </c>
      <c r="W1945">
        <v>12</v>
      </c>
      <c r="X1945" t="s">
        <v>44</v>
      </c>
      <c r="Y1945">
        <v>1072</v>
      </c>
      <c r="Z1945" t="s">
        <v>44</v>
      </c>
      <c r="AA1945">
        <v>2</v>
      </c>
      <c r="AB1945">
        <v>0</v>
      </c>
      <c r="AC1945">
        <v>0</v>
      </c>
      <c r="AD1945">
        <v>0</v>
      </c>
      <c r="AE1945">
        <v>8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 s="2">
        <v>1079</v>
      </c>
      <c r="AQ1945">
        <f t="shared" si="69"/>
        <v>1079</v>
      </c>
      <c r="AR1945" s="5">
        <f>VLOOKUP(F1945,'[2]SCP_24-25'!$A:$D,4,0)</f>
        <v>102.91</v>
      </c>
      <c r="AS1945" s="5">
        <f t="shared" si="68"/>
        <v>111039.89</v>
      </c>
    </row>
    <row r="1946" spans="1:45" x14ac:dyDescent="0.3">
      <c r="A1946" s="1">
        <v>45900.963888888888</v>
      </c>
      <c r="B1946" t="s">
        <v>1473</v>
      </c>
      <c r="C1946" t="s">
        <v>1474</v>
      </c>
      <c r="D1946" t="s">
        <v>147</v>
      </c>
      <c r="F1946" t="s">
        <v>1551</v>
      </c>
      <c r="G1946" t="s">
        <v>148</v>
      </c>
      <c r="H1946" t="s">
        <v>120</v>
      </c>
      <c r="I1946" t="s">
        <v>43</v>
      </c>
      <c r="J1946">
        <v>45</v>
      </c>
      <c r="K1946">
        <v>19</v>
      </c>
      <c r="L1946">
        <v>11</v>
      </c>
      <c r="M1946">
        <v>9.5</v>
      </c>
      <c r="N1946">
        <v>185658</v>
      </c>
      <c r="O1946">
        <v>16</v>
      </c>
      <c r="P1946">
        <v>0</v>
      </c>
      <c r="Q1946">
        <v>7</v>
      </c>
      <c r="R1946">
        <v>112</v>
      </c>
      <c r="S1946" t="s">
        <v>44</v>
      </c>
      <c r="T1946" t="s">
        <v>44</v>
      </c>
      <c r="U1946" t="s">
        <v>44</v>
      </c>
      <c r="V1946">
        <v>1559</v>
      </c>
      <c r="W1946" t="s">
        <v>44</v>
      </c>
      <c r="X1946" t="s">
        <v>44</v>
      </c>
      <c r="Y1946">
        <v>1559</v>
      </c>
      <c r="Z1946" t="s">
        <v>44</v>
      </c>
      <c r="AA1946">
        <v>35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 s="2">
        <v>1610</v>
      </c>
      <c r="AQ1946">
        <f t="shared" si="69"/>
        <v>1610</v>
      </c>
      <c r="AR1946" s="5">
        <f>VLOOKUP(F1946,'[2]SCP_24-25'!$A:$D,4,0)</f>
        <v>27.733333333333331</v>
      </c>
      <c r="AS1946" s="5">
        <f t="shared" si="68"/>
        <v>44650.666666666664</v>
      </c>
    </row>
    <row r="1947" spans="1:45" x14ac:dyDescent="0.3">
      <c r="A1947" s="1">
        <v>45900.963888888888</v>
      </c>
      <c r="B1947" t="s">
        <v>1473</v>
      </c>
      <c r="C1947" t="s">
        <v>1474</v>
      </c>
      <c r="D1947" t="s">
        <v>149</v>
      </c>
      <c r="F1947" t="s">
        <v>1552</v>
      </c>
      <c r="G1947" t="s">
        <v>150</v>
      </c>
      <c r="H1947" t="s">
        <v>66</v>
      </c>
      <c r="I1947" t="s">
        <v>43</v>
      </c>
      <c r="J1947">
        <v>116.62</v>
      </c>
      <c r="K1947">
        <v>19</v>
      </c>
      <c r="L1947">
        <v>9.5</v>
      </c>
      <c r="M1947">
        <v>11</v>
      </c>
      <c r="N1947">
        <v>48757</v>
      </c>
      <c r="O1947">
        <v>9</v>
      </c>
      <c r="P1947">
        <v>0</v>
      </c>
      <c r="Q1947">
        <v>45</v>
      </c>
      <c r="R1947">
        <v>1378</v>
      </c>
      <c r="S1947" t="s">
        <v>44</v>
      </c>
      <c r="T1947">
        <v>79</v>
      </c>
      <c r="U1947" t="s">
        <v>44</v>
      </c>
      <c r="V1947">
        <v>3196</v>
      </c>
      <c r="W1947">
        <v>37</v>
      </c>
      <c r="X1947" t="s">
        <v>44</v>
      </c>
      <c r="Y1947">
        <v>3078</v>
      </c>
      <c r="Z1947" t="s">
        <v>44</v>
      </c>
      <c r="AA1947">
        <v>3</v>
      </c>
      <c r="AB1947">
        <v>0</v>
      </c>
      <c r="AC1947">
        <v>0</v>
      </c>
      <c r="AD1947">
        <v>0</v>
      </c>
      <c r="AE1947">
        <v>36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 s="2">
        <v>3208</v>
      </c>
      <c r="AQ1947">
        <f t="shared" si="69"/>
        <v>3208</v>
      </c>
      <c r="AR1947" s="5">
        <f>VLOOKUP(F1947,'[2]SCP_24-25'!$A:$D,4,0)</f>
        <v>35.085999999999999</v>
      </c>
      <c r="AS1947" s="5">
        <f t="shared" si="68"/>
        <v>112555.88799999999</v>
      </c>
    </row>
    <row r="1948" spans="1:45" x14ac:dyDescent="0.3">
      <c r="A1948" s="1">
        <v>45900.963888888888</v>
      </c>
      <c r="B1948" t="s">
        <v>1473</v>
      </c>
      <c r="C1948" t="s">
        <v>1474</v>
      </c>
      <c r="D1948" t="s">
        <v>151</v>
      </c>
      <c r="F1948" t="s">
        <v>1553</v>
      </c>
      <c r="G1948" t="s">
        <v>152</v>
      </c>
      <c r="H1948" t="s">
        <v>66</v>
      </c>
      <c r="I1948" t="s">
        <v>43</v>
      </c>
      <c r="J1948">
        <v>119.96</v>
      </c>
      <c r="K1948">
        <v>19</v>
      </c>
      <c r="L1948">
        <v>9.5</v>
      </c>
      <c r="M1948">
        <v>11</v>
      </c>
      <c r="N1948">
        <v>36762</v>
      </c>
      <c r="O1948">
        <v>1</v>
      </c>
      <c r="P1948">
        <v>0</v>
      </c>
      <c r="Q1948">
        <v>829</v>
      </c>
      <c r="R1948">
        <v>120</v>
      </c>
      <c r="S1948" t="s">
        <v>44</v>
      </c>
      <c r="T1948">
        <v>4</v>
      </c>
      <c r="U1948" t="s">
        <v>44</v>
      </c>
      <c r="V1948">
        <v>2469</v>
      </c>
      <c r="W1948">
        <v>30</v>
      </c>
      <c r="X1948" t="s">
        <v>44</v>
      </c>
      <c r="Y1948">
        <v>2289</v>
      </c>
      <c r="Z1948" t="s">
        <v>44</v>
      </c>
      <c r="AA1948">
        <v>0</v>
      </c>
      <c r="AB1948">
        <v>0</v>
      </c>
      <c r="AC1948">
        <v>0</v>
      </c>
      <c r="AD1948">
        <v>0</v>
      </c>
      <c r="AE1948">
        <v>81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 s="2">
        <v>2470</v>
      </c>
      <c r="AQ1948">
        <f t="shared" si="69"/>
        <v>2470</v>
      </c>
      <c r="AR1948" s="5">
        <f>VLOOKUP(F1948,'[2]SCP_24-25'!$A:$D,4,0)</f>
        <v>25.264285714285712</v>
      </c>
      <c r="AS1948" s="5">
        <f t="shared" si="68"/>
        <v>62402.78571428571</v>
      </c>
    </row>
    <row r="1949" spans="1:45" x14ac:dyDescent="0.3">
      <c r="A1949" s="1">
        <v>45900.963888888888</v>
      </c>
      <c r="B1949" t="s">
        <v>1473</v>
      </c>
      <c r="C1949" t="s">
        <v>1474</v>
      </c>
      <c r="D1949" t="s">
        <v>155</v>
      </c>
      <c r="F1949" t="s">
        <v>1555</v>
      </c>
      <c r="G1949" t="s">
        <v>156</v>
      </c>
      <c r="H1949" t="s">
        <v>66</v>
      </c>
      <c r="I1949" t="s">
        <v>43</v>
      </c>
      <c r="J1949">
        <v>93.19</v>
      </c>
      <c r="K1949">
        <v>18</v>
      </c>
      <c r="L1949">
        <v>9.5</v>
      </c>
      <c r="M1949">
        <v>11</v>
      </c>
      <c r="N1949">
        <v>78979</v>
      </c>
      <c r="O1949">
        <v>11</v>
      </c>
      <c r="P1949">
        <v>0</v>
      </c>
      <c r="Q1949">
        <v>31</v>
      </c>
      <c r="R1949">
        <v>70</v>
      </c>
      <c r="S1949" t="s">
        <v>44</v>
      </c>
      <c r="T1949">
        <v>42</v>
      </c>
      <c r="U1949" t="s">
        <v>44</v>
      </c>
      <c r="V1949">
        <v>4362</v>
      </c>
      <c r="W1949">
        <v>18</v>
      </c>
      <c r="X1949" t="s">
        <v>44</v>
      </c>
      <c r="Y1949">
        <v>4280</v>
      </c>
      <c r="Z1949" t="s">
        <v>44</v>
      </c>
      <c r="AA1949">
        <v>5</v>
      </c>
      <c r="AB1949">
        <v>0</v>
      </c>
      <c r="AC1949">
        <v>0</v>
      </c>
      <c r="AD1949">
        <v>0</v>
      </c>
      <c r="AE1949">
        <v>17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 s="2">
        <v>4378</v>
      </c>
      <c r="AQ1949">
        <f t="shared" si="69"/>
        <v>4378</v>
      </c>
      <c r="AR1949" s="5">
        <f>VLOOKUP(F1949,'[2]SCP_24-25'!$A:$D,4,0)</f>
        <v>53.202222222222218</v>
      </c>
      <c r="AS1949" s="5">
        <f t="shared" si="68"/>
        <v>232919.32888888888</v>
      </c>
    </row>
    <row r="1950" spans="1:45" x14ac:dyDescent="0.3">
      <c r="A1950" s="1">
        <v>45900.963888888888</v>
      </c>
      <c r="B1950" t="s">
        <v>1473</v>
      </c>
      <c r="C1950" t="s">
        <v>1474</v>
      </c>
      <c r="D1950" t="s">
        <v>157</v>
      </c>
      <c r="F1950" t="s">
        <v>1556</v>
      </c>
      <c r="G1950" t="s">
        <v>158</v>
      </c>
      <c r="H1950" t="s">
        <v>66</v>
      </c>
      <c r="I1950" t="s">
        <v>43</v>
      </c>
      <c r="J1950">
        <v>116</v>
      </c>
      <c r="K1950">
        <v>19</v>
      </c>
      <c r="L1950">
        <v>9.5</v>
      </c>
      <c r="M1950">
        <v>11</v>
      </c>
      <c r="N1950">
        <v>10849</v>
      </c>
      <c r="O1950">
        <v>2</v>
      </c>
      <c r="P1950">
        <v>0</v>
      </c>
      <c r="Q1950">
        <v>14</v>
      </c>
      <c r="R1950">
        <v>4</v>
      </c>
      <c r="S1950" t="s">
        <v>44</v>
      </c>
      <c r="T1950">
        <v>1</v>
      </c>
      <c r="U1950" t="s">
        <v>44</v>
      </c>
      <c r="V1950">
        <v>1113</v>
      </c>
      <c r="W1950">
        <v>3</v>
      </c>
      <c r="X1950" t="s">
        <v>44</v>
      </c>
      <c r="Y1950">
        <v>1061</v>
      </c>
      <c r="Z1950" t="s">
        <v>44</v>
      </c>
      <c r="AA1950">
        <v>0</v>
      </c>
      <c r="AB1950">
        <v>0</v>
      </c>
      <c r="AC1950">
        <v>0</v>
      </c>
      <c r="AD1950">
        <v>0</v>
      </c>
      <c r="AE1950">
        <v>35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 s="2">
        <v>1115</v>
      </c>
      <c r="AQ1950">
        <f t="shared" si="69"/>
        <v>1115</v>
      </c>
      <c r="AR1950" s="5">
        <f>VLOOKUP(F1950,'[2]SCP_24-25'!$A:$D,4,0)</f>
        <v>37.17</v>
      </c>
      <c r="AS1950" s="5">
        <f t="shared" si="68"/>
        <v>41444.550000000003</v>
      </c>
    </row>
    <row r="1951" spans="1:45" x14ac:dyDescent="0.3">
      <c r="A1951" s="1">
        <v>45900.963888888888</v>
      </c>
      <c r="B1951" t="s">
        <v>1473</v>
      </c>
      <c r="C1951" t="s">
        <v>1474</v>
      </c>
      <c r="D1951" t="s">
        <v>161</v>
      </c>
      <c r="F1951" t="s">
        <v>1558</v>
      </c>
      <c r="G1951" t="s">
        <v>162</v>
      </c>
      <c r="H1951" t="s">
        <v>66</v>
      </c>
      <c r="I1951" t="s">
        <v>43</v>
      </c>
      <c r="J1951">
        <v>92.53</v>
      </c>
      <c r="K1951">
        <v>19</v>
      </c>
      <c r="L1951">
        <v>9.5</v>
      </c>
      <c r="M1951">
        <v>11</v>
      </c>
      <c r="N1951">
        <v>47802</v>
      </c>
      <c r="O1951">
        <v>5</v>
      </c>
      <c r="P1951">
        <v>0</v>
      </c>
      <c r="Q1951">
        <v>23</v>
      </c>
      <c r="R1951">
        <v>35</v>
      </c>
      <c r="S1951" t="s">
        <v>44</v>
      </c>
      <c r="T1951">
        <v>41</v>
      </c>
      <c r="U1951" t="s">
        <v>44</v>
      </c>
      <c r="V1951">
        <v>1930</v>
      </c>
      <c r="W1951">
        <v>5</v>
      </c>
      <c r="X1951" t="s">
        <v>44</v>
      </c>
      <c r="Y1951">
        <v>1899</v>
      </c>
      <c r="Z1951" t="s">
        <v>44</v>
      </c>
      <c r="AA1951">
        <v>7</v>
      </c>
      <c r="AB1951">
        <v>0</v>
      </c>
      <c r="AC1951">
        <v>0</v>
      </c>
      <c r="AD1951">
        <v>0</v>
      </c>
      <c r="AE1951">
        <v>2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 s="2">
        <v>1942</v>
      </c>
      <c r="AQ1951">
        <f t="shared" si="69"/>
        <v>1942</v>
      </c>
      <c r="AR1951" s="5">
        <f>VLOOKUP(F1951,'[2]SCP_24-25'!$A:$D,4,0)</f>
        <v>41.87</v>
      </c>
      <c r="AS1951" s="5">
        <f t="shared" si="68"/>
        <v>81311.539999999994</v>
      </c>
    </row>
    <row r="1952" spans="1:45" x14ac:dyDescent="0.3">
      <c r="A1952" s="1">
        <v>45900.963888888888</v>
      </c>
      <c r="B1952" t="s">
        <v>1473</v>
      </c>
      <c r="C1952" t="s">
        <v>1474</v>
      </c>
      <c r="D1952" t="s">
        <v>165</v>
      </c>
      <c r="E1952" s="3">
        <v>8910000000000</v>
      </c>
      <c r="F1952" t="s">
        <v>1560</v>
      </c>
      <c r="G1952" t="s">
        <v>166</v>
      </c>
      <c r="H1952" t="s">
        <v>66</v>
      </c>
      <c r="I1952" t="s">
        <v>43</v>
      </c>
      <c r="J1952">
        <v>93.27</v>
      </c>
      <c r="K1952">
        <v>19</v>
      </c>
      <c r="L1952">
        <v>11</v>
      </c>
      <c r="M1952">
        <v>9.5</v>
      </c>
      <c r="N1952">
        <v>67336</v>
      </c>
      <c r="O1952">
        <v>15</v>
      </c>
      <c r="P1952">
        <v>0</v>
      </c>
      <c r="Q1952">
        <v>85</v>
      </c>
      <c r="R1952">
        <v>458</v>
      </c>
      <c r="S1952" t="s">
        <v>44</v>
      </c>
      <c r="T1952">
        <v>321</v>
      </c>
      <c r="U1952" t="s">
        <v>44</v>
      </c>
      <c r="V1952">
        <v>3552</v>
      </c>
      <c r="W1952">
        <v>6</v>
      </c>
      <c r="X1952" t="s">
        <v>44</v>
      </c>
      <c r="Y1952">
        <v>3506</v>
      </c>
      <c r="Z1952" t="s">
        <v>44</v>
      </c>
      <c r="AA1952">
        <v>8</v>
      </c>
      <c r="AB1952">
        <v>0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 s="2">
        <v>3575</v>
      </c>
      <c r="AQ1952">
        <f t="shared" si="69"/>
        <v>3575</v>
      </c>
      <c r="AR1952" s="5">
        <f>VLOOKUP(F1952,'[2]SCP_24-25'!$A:$D,4,0)</f>
        <v>69.16</v>
      </c>
      <c r="AS1952" s="5">
        <f t="shared" si="68"/>
        <v>247247</v>
      </c>
    </row>
    <row r="1953" spans="1:45" x14ac:dyDescent="0.3">
      <c r="A1953" s="1">
        <v>45900.963888888888</v>
      </c>
      <c r="B1953" t="s">
        <v>1473</v>
      </c>
      <c r="C1953" t="s">
        <v>1474</v>
      </c>
      <c r="D1953" t="s">
        <v>171</v>
      </c>
      <c r="F1953" t="s">
        <v>1563</v>
      </c>
      <c r="G1953" t="s">
        <v>172</v>
      </c>
      <c r="H1953" t="s">
        <v>66</v>
      </c>
      <c r="I1953" t="s">
        <v>43</v>
      </c>
      <c r="J1953">
        <v>99.85</v>
      </c>
      <c r="K1953">
        <v>19</v>
      </c>
      <c r="L1953">
        <v>9.5</v>
      </c>
      <c r="M1953">
        <v>11</v>
      </c>
      <c r="N1953">
        <v>29503</v>
      </c>
      <c r="O1953">
        <v>6</v>
      </c>
      <c r="P1953">
        <v>0</v>
      </c>
      <c r="Q1953">
        <v>86</v>
      </c>
      <c r="R1953">
        <v>30</v>
      </c>
      <c r="S1953" t="s">
        <v>44</v>
      </c>
      <c r="T1953" t="s">
        <v>44</v>
      </c>
      <c r="U1953" t="s">
        <v>44</v>
      </c>
      <c r="V1953">
        <v>1356</v>
      </c>
      <c r="W1953">
        <v>62</v>
      </c>
      <c r="X1953" t="s">
        <v>44</v>
      </c>
      <c r="Y1953">
        <v>1150</v>
      </c>
      <c r="Z1953" t="s">
        <v>44</v>
      </c>
      <c r="AA1953">
        <v>2</v>
      </c>
      <c r="AB1953">
        <v>0</v>
      </c>
      <c r="AC1953">
        <v>0</v>
      </c>
      <c r="AD1953">
        <v>0</v>
      </c>
      <c r="AE1953">
        <v>152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 s="2">
        <v>1364</v>
      </c>
      <c r="AQ1953">
        <f t="shared" si="69"/>
        <v>1364</v>
      </c>
      <c r="AR1953" s="5">
        <f>VLOOKUP(F1953,'[2]SCP_24-25'!$A:$D,4,0)</f>
        <v>75.69</v>
      </c>
      <c r="AS1953" s="5">
        <f t="shared" si="68"/>
        <v>103241.16</v>
      </c>
    </row>
    <row r="1954" spans="1:45" x14ac:dyDescent="0.3">
      <c r="A1954" s="1">
        <v>45900.963888888888</v>
      </c>
      <c r="B1954" t="s">
        <v>1473</v>
      </c>
      <c r="C1954" t="s">
        <v>1474</v>
      </c>
      <c r="D1954" t="s">
        <v>177</v>
      </c>
      <c r="F1954" t="s">
        <v>1566</v>
      </c>
      <c r="G1954" t="s">
        <v>178</v>
      </c>
      <c r="H1954" t="s">
        <v>66</v>
      </c>
      <c r="I1954" t="s">
        <v>43</v>
      </c>
      <c r="J1954">
        <v>102</v>
      </c>
      <c r="K1954">
        <v>19</v>
      </c>
      <c r="L1954">
        <v>9.5</v>
      </c>
      <c r="M1954">
        <v>11</v>
      </c>
      <c r="N1954">
        <v>91864</v>
      </c>
      <c r="O1954">
        <v>28</v>
      </c>
      <c r="P1954">
        <v>0</v>
      </c>
      <c r="Q1954">
        <v>88</v>
      </c>
      <c r="R1954">
        <v>1429</v>
      </c>
      <c r="S1954" t="s">
        <v>44</v>
      </c>
      <c r="T1954">
        <v>194</v>
      </c>
      <c r="U1954" t="s">
        <v>44</v>
      </c>
      <c r="V1954">
        <v>4356</v>
      </c>
      <c r="W1954">
        <v>1</v>
      </c>
      <c r="X1954" t="s">
        <v>44</v>
      </c>
      <c r="Y1954">
        <v>4347</v>
      </c>
      <c r="Z1954" t="s">
        <v>44</v>
      </c>
      <c r="AA1954">
        <v>24</v>
      </c>
      <c r="AB1954">
        <v>0</v>
      </c>
      <c r="AC1954">
        <v>0</v>
      </c>
      <c r="AD1954">
        <v>0</v>
      </c>
      <c r="AE1954">
        <v>55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 s="2">
        <v>4408</v>
      </c>
      <c r="AQ1954">
        <f t="shared" si="69"/>
        <v>4408</v>
      </c>
      <c r="AR1954" s="5">
        <f>VLOOKUP(F1954,'[2]SCP_24-25'!$A:$D,4,0)</f>
        <v>76.619230769230754</v>
      </c>
      <c r="AS1954" s="5">
        <f t="shared" si="68"/>
        <v>337737.56923076918</v>
      </c>
    </row>
    <row r="1955" spans="1:45" x14ac:dyDescent="0.3">
      <c r="A1955" s="1">
        <v>45900.963888888888</v>
      </c>
      <c r="B1955" t="s">
        <v>1473</v>
      </c>
      <c r="C1955" t="s">
        <v>1474</v>
      </c>
      <c r="D1955" t="s">
        <v>185</v>
      </c>
      <c r="F1955" t="s">
        <v>1570</v>
      </c>
      <c r="G1955" t="s">
        <v>186</v>
      </c>
      <c r="H1955" t="s">
        <v>66</v>
      </c>
      <c r="I1955" t="s">
        <v>43</v>
      </c>
      <c r="J1955">
        <v>100</v>
      </c>
      <c r="K1955">
        <v>19</v>
      </c>
      <c r="L1955">
        <v>9.5</v>
      </c>
      <c r="M1955">
        <v>11</v>
      </c>
      <c r="N1955">
        <v>22682</v>
      </c>
      <c r="O1955">
        <v>5</v>
      </c>
      <c r="P1955">
        <v>0</v>
      </c>
      <c r="Q1955">
        <v>110</v>
      </c>
      <c r="R1955">
        <v>225</v>
      </c>
      <c r="S1955" t="s">
        <v>44</v>
      </c>
      <c r="T1955">
        <v>12</v>
      </c>
      <c r="U1955" t="s">
        <v>44</v>
      </c>
      <c r="V1955">
        <v>1381</v>
      </c>
      <c r="W1955">
        <v>95</v>
      </c>
      <c r="X1955" t="s">
        <v>44</v>
      </c>
      <c r="Y1955">
        <v>1276</v>
      </c>
      <c r="Z1955" t="s">
        <v>44</v>
      </c>
      <c r="AA1955">
        <v>4</v>
      </c>
      <c r="AB1955">
        <v>0</v>
      </c>
      <c r="AC1955">
        <v>0</v>
      </c>
      <c r="AD1955">
        <v>0</v>
      </c>
      <c r="AE1955">
        <v>3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 s="2">
        <v>1390</v>
      </c>
      <c r="AQ1955">
        <f t="shared" si="69"/>
        <v>1390</v>
      </c>
      <c r="AR1955" s="5">
        <f>VLOOKUP(F1955,'[2]SCP_24-25'!$A:$D,4,0)</f>
        <v>50.46</v>
      </c>
      <c r="AS1955" s="5">
        <f t="shared" si="68"/>
        <v>70139.399999999994</v>
      </c>
    </row>
    <row r="1956" spans="1:45" x14ac:dyDescent="0.3">
      <c r="A1956" s="1">
        <v>45900.963888888888</v>
      </c>
      <c r="B1956" t="s">
        <v>1473</v>
      </c>
      <c r="C1956" t="s">
        <v>1474</v>
      </c>
      <c r="D1956" t="s">
        <v>187</v>
      </c>
      <c r="F1956" t="s">
        <v>1571</v>
      </c>
      <c r="G1956" t="s">
        <v>188</v>
      </c>
      <c r="H1956" t="s">
        <v>66</v>
      </c>
      <c r="I1956" t="s">
        <v>43</v>
      </c>
      <c r="J1956">
        <v>102</v>
      </c>
      <c r="K1956">
        <v>19</v>
      </c>
      <c r="L1956">
        <v>9.5</v>
      </c>
      <c r="M1956">
        <v>11</v>
      </c>
      <c r="N1956">
        <v>24054</v>
      </c>
      <c r="O1956">
        <v>4</v>
      </c>
      <c r="P1956">
        <v>0</v>
      </c>
      <c r="Q1956">
        <v>61</v>
      </c>
      <c r="R1956">
        <v>54</v>
      </c>
      <c r="S1956" t="s">
        <v>44</v>
      </c>
      <c r="T1956" t="s">
        <v>44</v>
      </c>
      <c r="U1956" t="s">
        <v>44</v>
      </c>
      <c r="V1956">
        <v>2789</v>
      </c>
      <c r="W1956">
        <v>89</v>
      </c>
      <c r="X1956" t="s">
        <v>44</v>
      </c>
      <c r="Y1956">
        <v>2454</v>
      </c>
      <c r="Z1956" t="s">
        <v>44</v>
      </c>
      <c r="AA1956">
        <v>2</v>
      </c>
      <c r="AB1956">
        <v>0</v>
      </c>
      <c r="AC1956">
        <v>0</v>
      </c>
      <c r="AD1956">
        <v>0</v>
      </c>
      <c r="AE1956">
        <v>67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 s="2">
        <v>2795</v>
      </c>
      <c r="AQ1956">
        <f t="shared" si="69"/>
        <v>2795</v>
      </c>
      <c r="AR1956" s="5">
        <f>VLOOKUP(F1956,'[2]SCP_24-25'!$A:$D,4,0)</f>
        <v>65.349999999999994</v>
      </c>
      <c r="AS1956" s="5">
        <f t="shared" si="68"/>
        <v>182653.24999999997</v>
      </c>
    </row>
    <row r="1957" spans="1:45" x14ac:dyDescent="0.3">
      <c r="A1957" s="1">
        <v>45900.963888888888</v>
      </c>
      <c r="B1957" t="s">
        <v>1473</v>
      </c>
      <c r="C1957" t="s">
        <v>1474</v>
      </c>
      <c r="D1957" t="s">
        <v>189</v>
      </c>
      <c r="F1957" t="s">
        <v>1572</v>
      </c>
      <c r="G1957" t="s">
        <v>190</v>
      </c>
      <c r="H1957" t="s">
        <v>66</v>
      </c>
      <c r="I1957" t="s">
        <v>43</v>
      </c>
      <c r="J1957">
        <v>115</v>
      </c>
      <c r="K1957">
        <v>19</v>
      </c>
      <c r="L1957">
        <v>9.5</v>
      </c>
      <c r="M1957">
        <v>11</v>
      </c>
      <c r="N1957">
        <v>23733</v>
      </c>
      <c r="O1957">
        <v>3</v>
      </c>
      <c r="P1957">
        <v>0</v>
      </c>
      <c r="Q1957">
        <v>25</v>
      </c>
      <c r="R1957">
        <v>1304</v>
      </c>
      <c r="S1957" t="s">
        <v>44</v>
      </c>
      <c r="T1957">
        <v>11</v>
      </c>
      <c r="U1957" t="s">
        <v>44</v>
      </c>
      <c r="V1957">
        <v>2205</v>
      </c>
      <c r="W1957">
        <v>44</v>
      </c>
      <c r="X1957" t="s">
        <v>44</v>
      </c>
      <c r="Y1957">
        <v>2070</v>
      </c>
      <c r="Z1957" t="s">
        <v>44</v>
      </c>
      <c r="AA1957">
        <v>2</v>
      </c>
      <c r="AB1957">
        <v>2</v>
      </c>
      <c r="AC1957">
        <v>0</v>
      </c>
      <c r="AD1957">
        <v>0</v>
      </c>
      <c r="AE1957">
        <v>28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 s="2">
        <v>2210</v>
      </c>
      <c r="AQ1957">
        <f t="shared" si="69"/>
        <v>2210</v>
      </c>
      <c r="AR1957" s="5">
        <f>VLOOKUP(F1957,'[2]SCP_24-25'!$A:$D,4,0)</f>
        <v>72.599999999999994</v>
      </c>
      <c r="AS1957" s="5">
        <f t="shared" si="68"/>
        <v>160446</v>
      </c>
    </row>
    <row r="1958" spans="1:45" x14ac:dyDescent="0.3">
      <c r="A1958" s="1">
        <v>45900.963888888888</v>
      </c>
      <c r="B1958" t="s">
        <v>1473</v>
      </c>
      <c r="C1958" t="s">
        <v>1474</v>
      </c>
      <c r="D1958" t="s">
        <v>191</v>
      </c>
      <c r="F1958" t="s">
        <v>1573</v>
      </c>
      <c r="G1958" t="s">
        <v>192</v>
      </c>
      <c r="H1958" t="s">
        <v>66</v>
      </c>
      <c r="I1958" t="s">
        <v>43</v>
      </c>
      <c r="J1958">
        <v>195</v>
      </c>
      <c r="K1958">
        <v>19</v>
      </c>
      <c r="L1958">
        <v>9.5</v>
      </c>
      <c r="M1958">
        <v>11</v>
      </c>
      <c r="N1958">
        <v>50719</v>
      </c>
      <c r="O1958">
        <v>4</v>
      </c>
      <c r="P1958">
        <v>0</v>
      </c>
      <c r="Q1958">
        <v>82</v>
      </c>
      <c r="R1958">
        <v>73</v>
      </c>
      <c r="S1958" t="s">
        <v>44</v>
      </c>
      <c r="T1958">
        <v>542</v>
      </c>
      <c r="U1958" t="s">
        <v>44</v>
      </c>
      <c r="V1958">
        <v>2368</v>
      </c>
      <c r="W1958">
        <v>70</v>
      </c>
      <c r="X1958" t="s">
        <v>44</v>
      </c>
      <c r="Y1958">
        <v>2081</v>
      </c>
      <c r="Z1958" t="s">
        <v>44</v>
      </c>
      <c r="AA1958">
        <v>5</v>
      </c>
      <c r="AB1958">
        <v>0</v>
      </c>
      <c r="AC1958">
        <v>0</v>
      </c>
      <c r="AD1958">
        <v>0</v>
      </c>
      <c r="AE1958">
        <v>40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 s="2">
        <v>2377</v>
      </c>
      <c r="AQ1958">
        <f t="shared" si="69"/>
        <v>2377</v>
      </c>
      <c r="AR1958" s="5">
        <f>VLOOKUP(F1958,'[2]SCP_24-25'!$A:$D,4,0)</f>
        <v>66.899999999999991</v>
      </c>
      <c r="AS1958" s="5">
        <f t="shared" si="68"/>
        <v>159021.29999999999</v>
      </c>
    </row>
    <row r="1959" spans="1:45" x14ac:dyDescent="0.3">
      <c r="A1959" s="1">
        <v>45900.963888888888</v>
      </c>
      <c r="B1959" t="s">
        <v>1473</v>
      </c>
      <c r="C1959" t="s">
        <v>1474</v>
      </c>
      <c r="D1959" t="s">
        <v>195</v>
      </c>
      <c r="F1959" t="s">
        <v>1575</v>
      </c>
      <c r="G1959" t="s">
        <v>196</v>
      </c>
      <c r="H1959" t="s">
        <v>66</v>
      </c>
      <c r="I1959" t="s">
        <v>43</v>
      </c>
      <c r="J1959">
        <v>82</v>
      </c>
      <c r="K1959">
        <v>19</v>
      </c>
      <c r="L1959">
        <v>9.5</v>
      </c>
      <c r="M1959">
        <v>11</v>
      </c>
      <c r="N1959">
        <v>12190</v>
      </c>
      <c r="O1959">
        <v>3</v>
      </c>
      <c r="P1959">
        <v>0</v>
      </c>
      <c r="Q1959">
        <v>24</v>
      </c>
      <c r="R1959">
        <v>31</v>
      </c>
      <c r="S1959" t="s">
        <v>44</v>
      </c>
      <c r="T1959">
        <v>1</v>
      </c>
      <c r="U1959" t="s">
        <v>44</v>
      </c>
      <c r="V1959">
        <v>1084</v>
      </c>
      <c r="W1959">
        <v>8</v>
      </c>
      <c r="X1959" t="s">
        <v>44</v>
      </c>
      <c r="Y1959">
        <v>1072</v>
      </c>
      <c r="Z1959" t="s">
        <v>44</v>
      </c>
      <c r="AA1959">
        <v>1</v>
      </c>
      <c r="AB1959">
        <v>0</v>
      </c>
      <c r="AC1959">
        <v>0</v>
      </c>
      <c r="AD1959">
        <v>0</v>
      </c>
      <c r="AE1959">
        <v>11</v>
      </c>
      <c r="AF1959">
        <v>5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 s="2">
        <v>1088</v>
      </c>
      <c r="AQ1959">
        <f t="shared" si="69"/>
        <v>1088</v>
      </c>
      <c r="AR1959" s="5">
        <f>VLOOKUP(F1959,'[2]SCP_24-25'!$A:$D,4,0)</f>
        <v>99.42</v>
      </c>
      <c r="AS1959" s="5">
        <f t="shared" si="68"/>
        <v>108168.96000000001</v>
      </c>
    </row>
    <row r="1960" spans="1:45" x14ac:dyDescent="0.3">
      <c r="A1960" s="1">
        <v>45900.963888888888</v>
      </c>
      <c r="B1960" t="s">
        <v>1473</v>
      </c>
      <c r="C1960" t="s">
        <v>1474</v>
      </c>
      <c r="D1960" t="s">
        <v>197</v>
      </c>
      <c r="E1960" t="s">
        <v>198</v>
      </c>
      <c r="F1960" t="s">
        <v>1576</v>
      </c>
      <c r="G1960" t="s">
        <v>199</v>
      </c>
      <c r="H1960" t="s">
        <v>66</v>
      </c>
      <c r="I1960" t="s">
        <v>43</v>
      </c>
      <c r="J1960">
        <v>100</v>
      </c>
      <c r="K1960">
        <v>19</v>
      </c>
      <c r="L1960">
        <v>9.5</v>
      </c>
      <c r="M1960">
        <v>11</v>
      </c>
      <c r="N1960">
        <v>57274</v>
      </c>
      <c r="O1960">
        <v>4</v>
      </c>
      <c r="P1960">
        <v>0</v>
      </c>
      <c r="Q1960">
        <v>71</v>
      </c>
      <c r="R1960">
        <v>713</v>
      </c>
      <c r="S1960" t="s">
        <v>44</v>
      </c>
      <c r="T1960">
        <v>3</v>
      </c>
      <c r="U1960" t="s">
        <v>44</v>
      </c>
      <c r="V1960">
        <v>3578</v>
      </c>
      <c r="W1960">
        <v>58</v>
      </c>
      <c r="X1960" t="s">
        <v>44</v>
      </c>
      <c r="Y1960">
        <v>3422</v>
      </c>
      <c r="Z1960" t="s">
        <v>44</v>
      </c>
      <c r="AA1960">
        <v>4</v>
      </c>
      <c r="AB1960">
        <v>0</v>
      </c>
      <c r="AC1960">
        <v>0</v>
      </c>
      <c r="AD1960">
        <v>0</v>
      </c>
      <c r="AE1960">
        <v>145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 s="2">
        <v>3586</v>
      </c>
      <c r="AQ1960">
        <f t="shared" si="69"/>
        <v>3586</v>
      </c>
      <c r="AR1960" s="5">
        <f>VLOOKUP(F1960,'[2]SCP_24-25'!$A:$D,4,0)</f>
        <v>63.26</v>
      </c>
      <c r="AS1960" s="5">
        <f t="shared" si="68"/>
        <v>226850.36</v>
      </c>
    </row>
    <row r="1961" spans="1:45" x14ac:dyDescent="0.3">
      <c r="A1961" s="1">
        <v>45900.963888888888</v>
      </c>
      <c r="B1961" t="s">
        <v>1473</v>
      </c>
      <c r="C1961" t="s">
        <v>1474</v>
      </c>
      <c r="D1961" t="s">
        <v>230</v>
      </c>
      <c r="F1961" t="s">
        <v>1590</v>
      </c>
      <c r="G1961" t="s">
        <v>231</v>
      </c>
      <c r="H1961" t="s">
        <v>66</v>
      </c>
      <c r="I1961" t="s">
        <v>43</v>
      </c>
      <c r="J1961">
        <v>47</v>
      </c>
      <c r="K1961">
        <v>19</v>
      </c>
      <c r="L1961">
        <v>10</v>
      </c>
      <c r="M1961">
        <v>11</v>
      </c>
      <c r="N1961">
        <v>27612</v>
      </c>
      <c r="O1961">
        <v>5</v>
      </c>
      <c r="P1961">
        <v>0</v>
      </c>
      <c r="Q1961">
        <v>49</v>
      </c>
      <c r="R1961">
        <v>675</v>
      </c>
      <c r="S1961" t="s">
        <v>44</v>
      </c>
      <c r="T1961">
        <v>8</v>
      </c>
      <c r="U1961" t="s">
        <v>44</v>
      </c>
      <c r="V1961">
        <v>2466</v>
      </c>
      <c r="W1961">
        <v>18</v>
      </c>
      <c r="X1961" t="s">
        <v>44</v>
      </c>
      <c r="Y1961">
        <v>2403</v>
      </c>
      <c r="Z1961" t="s">
        <v>44</v>
      </c>
      <c r="AA1961">
        <v>2</v>
      </c>
      <c r="AB1961">
        <v>0</v>
      </c>
      <c r="AC1961">
        <v>0</v>
      </c>
      <c r="AD1961">
        <v>0</v>
      </c>
      <c r="AE1961">
        <v>274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 s="2">
        <v>2473</v>
      </c>
      <c r="AQ1961">
        <f t="shared" si="69"/>
        <v>2473</v>
      </c>
      <c r="AR1961" s="5">
        <f>VLOOKUP(F1961,'[2]SCP_24-25'!$A:$D,4,0)</f>
        <v>75.81</v>
      </c>
      <c r="AS1961" s="5">
        <f t="shared" si="68"/>
        <v>187478.13</v>
      </c>
    </row>
    <row r="1962" spans="1:45" x14ac:dyDescent="0.3">
      <c r="A1962" s="1">
        <v>45900.963888888888</v>
      </c>
      <c r="B1962" t="s">
        <v>1473</v>
      </c>
      <c r="C1962" t="s">
        <v>1474</v>
      </c>
      <c r="D1962" t="s">
        <v>254</v>
      </c>
      <c r="E1962" t="s">
        <v>255</v>
      </c>
      <c r="F1962" t="s">
        <v>1599</v>
      </c>
      <c r="G1962" t="s">
        <v>256</v>
      </c>
      <c r="H1962" t="s">
        <v>66</v>
      </c>
      <c r="I1962" t="s">
        <v>43</v>
      </c>
      <c r="J1962">
        <v>59.02</v>
      </c>
      <c r="K1962">
        <v>19</v>
      </c>
      <c r="L1962">
        <v>11</v>
      </c>
      <c r="M1962">
        <v>9.5</v>
      </c>
      <c r="N1962">
        <v>20591</v>
      </c>
      <c r="O1962">
        <v>4</v>
      </c>
      <c r="P1962">
        <v>0</v>
      </c>
      <c r="Q1962">
        <v>19</v>
      </c>
      <c r="R1962">
        <v>67</v>
      </c>
      <c r="S1962" t="s">
        <v>44</v>
      </c>
      <c r="T1962">
        <v>2</v>
      </c>
      <c r="U1962" t="s">
        <v>44</v>
      </c>
      <c r="V1962">
        <v>1482</v>
      </c>
      <c r="W1962">
        <v>1</v>
      </c>
      <c r="X1962" t="s">
        <v>44</v>
      </c>
      <c r="Y1962">
        <v>1415</v>
      </c>
      <c r="Z1962" t="s">
        <v>44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 s="2">
        <v>1487</v>
      </c>
      <c r="AQ1962">
        <f t="shared" si="69"/>
        <v>1487</v>
      </c>
      <c r="AR1962" s="5">
        <f>VLOOKUP(F1962,'[2]SCP_24-25'!$A:$D,4,0)</f>
        <v>112.63</v>
      </c>
      <c r="AS1962" s="5">
        <f t="shared" si="68"/>
        <v>167480.81</v>
      </c>
    </row>
    <row r="1963" spans="1:45" x14ac:dyDescent="0.3">
      <c r="A1963" s="1">
        <v>45900.963888888888</v>
      </c>
      <c r="B1963" t="s">
        <v>1473</v>
      </c>
      <c r="C1963" t="s">
        <v>1474</v>
      </c>
      <c r="D1963" t="s">
        <v>260</v>
      </c>
      <c r="E1963" t="s">
        <v>261</v>
      </c>
      <c r="F1963" t="s">
        <v>1601</v>
      </c>
      <c r="G1963" t="s">
        <v>262</v>
      </c>
      <c r="H1963" t="s">
        <v>66</v>
      </c>
      <c r="I1963" t="s">
        <v>43</v>
      </c>
      <c r="J1963">
        <v>150</v>
      </c>
      <c r="K1963">
        <v>19</v>
      </c>
      <c r="L1963">
        <v>11</v>
      </c>
      <c r="M1963">
        <v>9.5</v>
      </c>
      <c r="N1963">
        <v>35795</v>
      </c>
      <c r="O1963">
        <v>7</v>
      </c>
      <c r="P1963">
        <v>0</v>
      </c>
      <c r="Q1963">
        <v>24</v>
      </c>
      <c r="R1963">
        <v>25</v>
      </c>
      <c r="S1963" t="s">
        <v>44</v>
      </c>
      <c r="T1963">
        <v>84</v>
      </c>
      <c r="U1963" t="s">
        <v>44</v>
      </c>
      <c r="V1963">
        <v>1476</v>
      </c>
      <c r="W1963">
        <v>1</v>
      </c>
      <c r="X1963" t="s">
        <v>44</v>
      </c>
      <c r="Y1963">
        <v>1467</v>
      </c>
      <c r="Z1963" t="s">
        <v>44</v>
      </c>
      <c r="AA1963">
        <v>8</v>
      </c>
      <c r="AB1963">
        <v>0</v>
      </c>
      <c r="AC1963">
        <v>0</v>
      </c>
      <c r="AD1963">
        <v>0</v>
      </c>
      <c r="AE1963">
        <v>3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 s="2">
        <v>1491</v>
      </c>
      <c r="AQ1963">
        <f t="shared" si="69"/>
        <v>1491</v>
      </c>
      <c r="AR1963" s="5">
        <f>VLOOKUP(F1963,'[2]SCP_24-25'!$A:$D,4,0)</f>
        <v>40.29</v>
      </c>
      <c r="AS1963" s="5">
        <f t="shared" si="68"/>
        <v>60072.39</v>
      </c>
    </row>
    <row r="1964" spans="1:45" x14ac:dyDescent="0.3">
      <c r="A1964" s="1">
        <v>45900.963888888888</v>
      </c>
      <c r="B1964" t="s">
        <v>1473</v>
      </c>
      <c r="C1964" t="s">
        <v>1474</v>
      </c>
      <c r="D1964" t="s">
        <v>263</v>
      </c>
      <c r="E1964" t="s">
        <v>264</v>
      </c>
      <c r="F1964" t="s">
        <v>1602</v>
      </c>
      <c r="G1964" t="s">
        <v>265</v>
      </c>
      <c r="H1964" t="s">
        <v>66</v>
      </c>
      <c r="I1964" t="s">
        <v>43</v>
      </c>
      <c r="J1964">
        <v>150</v>
      </c>
      <c r="K1964">
        <v>19</v>
      </c>
      <c r="L1964">
        <v>11</v>
      </c>
      <c r="M1964">
        <v>9.5</v>
      </c>
      <c r="N1964">
        <v>21709</v>
      </c>
      <c r="O1964">
        <v>6</v>
      </c>
      <c r="P1964">
        <v>0</v>
      </c>
      <c r="Q1964">
        <v>363</v>
      </c>
      <c r="R1964">
        <v>14</v>
      </c>
      <c r="S1964" t="s">
        <v>44</v>
      </c>
      <c r="T1964">
        <v>5</v>
      </c>
      <c r="U1964" t="s">
        <v>44</v>
      </c>
      <c r="V1964">
        <v>1550</v>
      </c>
      <c r="W1964">
        <v>131</v>
      </c>
      <c r="X1964" t="s">
        <v>44</v>
      </c>
      <c r="Y1964">
        <v>1541</v>
      </c>
      <c r="Z1964" t="s">
        <v>44</v>
      </c>
      <c r="AA1964">
        <v>1</v>
      </c>
      <c r="AB1964">
        <v>0</v>
      </c>
      <c r="AC1964">
        <v>0</v>
      </c>
      <c r="AD1964">
        <v>0</v>
      </c>
      <c r="AE1964">
        <v>6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 s="2">
        <v>1557</v>
      </c>
      <c r="AQ1964">
        <f t="shared" si="69"/>
        <v>1557</v>
      </c>
      <c r="AR1964" s="5">
        <f>VLOOKUP(F1964,'[2]SCP_24-25'!$A:$D,4,0)</f>
        <v>31.706666666666667</v>
      </c>
      <c r="AS1964" s="5">
        <f t="shared" si="68"/>
        <v>49367.28</v>
      </c>
    </row>
    <row r="1965" spans="1:45" x14ac:dyDescent="0.3">
      <c r="A1965" s="1">
        <v>45900.963888888888</v>
      </c>
      <c r="B1965" t="s">
        <v>1473</v>
      </c>
      <c r="C1965" t="s">
        <v>1474</v>
      </c>
      <c r="D1965" t="s">
        <v>283</v>
      </c>
      <c r="E1965" t="s">
        <v>284</v>
      </c>
      <c r="F1965" t="s">
        <v>1609</v>
      </c>
      <c r="G1965" t="s">
        <v>285</v>
      </c>
      <c r="H1965" t="s">
        <v>103</v>
      </c>
      <c r="I1965" t="s">
        <v>43</v>
      </c>
      <c r="J1965">
        <v>120</v>
      </c>
      <c r="K1965">
        <v>19</v>
      </c>
      <c r="L1965">
        <v>9.5</v>
      </c>
      <c r="M1965">
        <v>11</v>
      </c>
      <c r="N1965">
        <v>16079</v>
      </c>
      <c r="O1965">
        <v>1</v>
      </c>
      <c r="P1965">
        <v>0</v>
      </c>
      <c r="Q1965">
        <v>16</v>
      </c>
      <c r="R1965">
        <v>12</v>
      </c>
      <c r="S1965" t="s">
        <v>44</v>
      </c>
      <c r="T1965" t="s">
        <v>44</v>
      </c>
      <c r="U1965" t="s">
        <v>44</v>
      </c>
      <c r="V1965">
        <v>1153</v>
      </c>
      <c r="W1965">
        <v>8</v>
      </c>
      <c r="X1965" t="s">
        <v>44</v>
      </c>
      <c r="Y1965">
        <v>1070</v>
      </c>
      <c r="Z1965" t="s">
        <v>44</v>
      </c>
      <c r="AA1965">
        <v>0</v>
      </c>
      <c r="AB1965">
        <v>0</v>
      </c>
      <c r="AC1965">
        <v>0</v>
      </c>
      <c r="AD1965">
        <v>0</v>
      </c>
      <c r="AE1965">
        <v>6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 s="2">
        <v>1154</v>
      </c>
      <c r="AQ1965">
        <f t="shared" si="69"/>
        <v>1154</v>
      </c>
      <c r="AR1965" s="5">
        <f>VLOOKUP(F1965,'[2]SCP_24-25'!$A:$D,4,0)</f>
        <v>113.26</v>
      </c>
      <c r="AS1965" s="5">
        <f t="shared" si="68"/>
        <v>130702.04000000001</v>
      </c>
    </row>
    <row r="1966" spans="1:45" x14ac:dyDescent="0.3">
      <c r="A1966" s="1">
        <v>45900.963888888888</v>
      </c>
      <c r="B1966" t="s">
        <v>1473</v>
      </c>
      <c r="C1966" t="s">
        <v>1474</v>
      </c>
      <c r="D1966" t="s">
        <v>303</v>
      </c>
      <c r="F1966" t="s">
        <v>1617</v>
      </c>
      <c r="G1966" t="s">
        <v>304</v>
      </c>
      <c r="H1966" t="s">
        <v>66</v>
      </c>
      <c r="I1966" t="s">
        <v>43</v>
      </c>
      <c r="J1966">
        <v>30</v>
      </c>
      <c r="K1966">
        <v>19</v>
      </c>
      <c r="L1966">
        <v>9.5</v>
      </c>
      <c r="M1966">
        <v>11</v>
      </c>
      <c r="N1966">
        <v>39249</v>
      </c>
      <c r="O1966">
        <v>0</v>
      </c>
      <c r="P1966">
        <v>0</v>
      </c>
      <c r="Q1966" t="s">
        <v>44</v>
      </c>
      <c r="R1966">
        <v>25</v>
      </c>
      <c r="S1966" t="s">
        <v>44</v>
      </c>
      <c r="T1966" t="s">
        <v>44</v>
      </c>
      <c r="U1966" t="s">
        <v>44</v>
      </c>
      <c r="V1966">
        <v>1503</v>
      </c>
      <c r="W1966" t="s">
        <v>44</v>
      </c>
      <c r="X1966" t="s">
        <v>44</v>
      </c>
      <c r="Y1966">
        <v>1502</v>
      </c>
      <c r="Z1966" t="s">
        <v>44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 s="2">
        <v>1503</v>
      </c>
      <c r="AQ1966">
        <f t="shared" si="69"/>
        <v>1503</v>
      </c>
      <c r="AR1966" s="5">
        <f>VLOOKUP(F1966,'[2]SCP_24-25'!$A:$D,4,0)</f>
        <v>15.13</v>
      </c>
      <c r="AS1966" s="5">
        <f t="shared" si="68"/>
        <v>22740.39</v>
      </c>
    </row>
    <row r="1967" spans="1:45" x14ac:dyDescent="0.3">
      <c r="A1967" s="1">
        <v>45900.963888888888</v>
      </c>
      <c r="B1967" t="s">
        <v>1473</v>
      </c>
      <c r="C1967" t="s">
        <v>1474</v>
      </c>
      <c r="D1967" t="s">
        <v>314</v>
      </c>
      <c r="E1967" t="s">
        <v>315</v>
      </c>
      <c r="F1967" t="s">
        <v>1621</v>
      </c>
      <c r="G1967" t="s">
        <v>316</v>
      </c>
      <c r="H1967" t="s">
        <v>66</v>
      </c>
      <c r="I1967" t="s">
        <v>43</v>
      </c>
      <c r="J1967">
        <v>75</v>
      </c>
      <c r="K1967">
        <v>19</v>
      </c>
      <c r="L1967">
        <v>11</v>
      </c>
      <c r="M1967">
        <v>9.5</v>
      </c>
      <c r="N1967">
        <v>20368</v>
      </c>
      <c r="O1967">
        <v>0</v>
      </c>
      <c r="P1967">
        <v>0</v>
      </c>
      <c r="Q1967">
        <v>17</v>
      </c>
      <c r="R1967">
        <v>24</v>
      </c>
      <c r="S1967" t="s">
        <v>44</v>
      </c>
      <c r="T1967">
        <v>8</v>
      </c>
      <c r="U1967" t="s">
        <v>44</v>
      </c>
      <c r="V1967">
        <v>3076</v>
      </c>
      <c r="W1967">
        <v>77</v>
      </c>
      <c r="X1967" t="s">
        <v>44</v>
      </c>
      <c r="Y1967">
        <v>2985</v>
      </c>
      <c r="Z1967" t="s">
        <v>44</v>
      </c>
      <c r="AA1967">
        <v>0</v>
      </c>
      <c r="AB1967">
        <v>0</v>
      </c>
      <c r="AC1967">
        <v>0</v>
      </c>
      <c r="AD1967">
        <v>0</v>
      </c>
      <c r="AE1967">
        <v>7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 s="2">
        <v>3076</v>
      </c>
      <c r="AQ1967">
        <f t="shared" si="69"/>
        <v>3076</v>
      </c>
      <c r="AR1967" s="5">
        <f>VLOOKUP(F1967,'[2]SCP_24-25'!$A:$D,4,0)</f>
        <v>53.93</v>
      </c>
      <c r="AS1967" s="5">
        <f t="shared" si="68"/>
        <v>165888.68</v>
      </c>
    </row>
    <row r="1968" spans="1:45" x14ac:dyDescent="0.3">
      <c r="A1968" s="1">
        <v>45900.963888888888</v>
      </c>
      <c r="B1968" t="s">
        <v>1473</v>
      </c>
      <c r="C1968" t="s">
        <v>1474</v>
      </c>
      <c r="D1968" t="s">
        <v>777</v>
      </c>
      <c r="E1968" t="s">
        <v>778</v>
      </c>
      <c r="F1968" t="s">
        <v>1841</v>
      </c>
      <c r="G1968" t="s">
        <v>779</v>
      </c>
      <c r="H1968" t="s">
        <v>66</v>
      </c>
      <c r="I1968" t="s">
        <v>43</v>
      </c>
      <c r="J1968">
        <v>50</v>
      </c>
      <c r="K1968">
        <v>19</v>
      </c>
      <c r="L1968">
        <v>11</v>
      </c>
      <c r="M1968">
        <v>9.5</v>
      </c>
      <c r="N1968">
        <v>20582</v>
      </c>
      <c r="O1968">
        <v>0</v>
      </c>
      <c r="P1968">
        <v>0</v>
      </c>
      <c r="Q1968" t="s">
        <v>44</v>
      </c>
      <c r="R1968" t="s">
        <v>44</v>
      </c>
      <c r="S1968" t="s">
        <v>44</v>
      </c>
      <c r="T1968" t="s">
        <v>44</v>
      </c>
      <c r="U1968" t="s">
        <v>44</v>
      </c>
      <c r="V1968">
        <v>2292</v>
      </c>
      <c r="W1968" t="s">
        <v>44</v>
      </c>
      <c r="X1968" t="s">
        <v>44</v>
      </c>
      <c r="Y1968">
        <v>2292</v>
      </c>
      <c r="Z1968" t="s">
        <v>44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 s="2">
        <v>2292</v>
      </c>
      <c r="AQ1968">
        <f t="shared" si="69"/>
        <v>2292</v>
      </c>
      <c r="AR1968" s="5">
        <f>VLOOKUP(F1968,'[2]SCP_24-25'!$A:$D,4,0)</f>
        <v>13.06</v>
      </c>
      <c r="AS1968" s="5">
        <f t="shared" si="68"/>
        <v>29933.52</v>
      </c>
    </row>
    <row r="1969" spans="1:45" x14ac:dyDescent="0.3">
      <c r="A1969" s="1">
        <v>45900.963888888888</v>
      </c>
      <c r="B1969" t="s">
        <v>1473</v>
      </c>
      <c r="C1969" t="s">
        <v>1474</v>
      </c>
      <c r="D1969" t="s">
        <v>1305</v>
      </c>
      <c r="E1969" t="s">
        <v>1306</v>
      </c>
      <c r="F1969" t="s">
        <v>2104</v>
      </c>
      <c r="G1969" t="s">
        <v>1307</v>
      </c>
      <c r="H1969" t="s">
        <v>66</v>
      </c>
      <c r="I1969" t="s">
        <v>43</v>
      </c>
      <c r="J1969">
        <v>10</v>
      </c>
      <c r="K1969">
        <v>19</v>
      </c>
      <c r="L1969">
        <v>11</v>
      </c>
      <c r="M1969">
        <v>9.5</v>
      </c>
      <c r="N1969">
        <v>42471</v>
      </c>
      <c r="O1969">
        <v>0</v>
      </c>
      <c r="P1969">
        <v>0</v>
      </c>
      <c r="Q1969" t="s">
        <v>44</v>
      </c>
      <c r="R1969">
        <v>2487</v>
      </c>
      <c r="S1969" t="s">
        <v>44</v>
      </c>
      <c r="T1969" t="s">
        <v>44</v>
      </c>
      <c r="U1969" t="s">
        <v>44</v>
      </c>
      <c r="V1969">
        <v>4494</v>
      </c>
      <c r="W1969" t="s">
        <v>44</v>
      </c>
      <c r="X1969" t="s">
        <v>44</v>
      </c>
      <c r="Y1969">
        <v>4494</v>
      </c>
      <c r="Z1969" t="s">
        <v>44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 s="2">
        <v>4495</v>
      </c>
      <c r="AQ1969">
        <f t="shared" si="69"/>
        <v>4495</v>
      </c>
      <c r="AR1969" s="5">
        <f>VLOOKUP(F1969,'[2]SCP_24-25'!$A:$D,4,0)</f>
        <v>16.059999999999999</v>
      </c>
      <c r="AS1969" s="5">
        <f t="shared" si="68"/>
        <v>72189.7</v>
      </c>
    </row>
    <row r="1970" spans="1:45" x14ac:dyDescent="0.3">
      <c r="A1970" s="1">
        <v>45900.963888888888</v>
      </c>
      <c r="B1970" t="s">
        <v>1473</v>
      </c>
      <c r="C1970" t="s">
        <v>1474</v>
      </c>
      <c r="D1970" t="s">
        <v>1312</v>
      </c>
      <c r="E1970" t="s">
        <v>1313</v>
      </c>
      <c r="F1970" t="s">
        <v>2107</v>
      </c>
      <c r="G1970" t="s">
        <v>1314</v>
      </c>
      <c r="H1970" t="s">
        <v>66</v>
      </c>
      <c r="I1970" t="s">
        <v>43</v>
      </c>
      <c r="J1970">
        <v>50</v>
      </c>
      <c r="K1970">
        <v>19</v>
      </c>
      <c r="L1970">
        <v>11</v>
      </c>
      <c r="M1970">
        <v>9.5</v>
      </c>
      <c r="N1970">
        <v>26546</v>
      </c>
      <c r="O1970">
        <v>1</v>
      </c>
      <c r="P1970">
        <v>0</v>
      </c>
      <c r="Q1970" t="s">
        <v>44</v>
      </c>
      <c r="R1970" t="s">
        <v>44</v>
      </c>
      <c r="S1970" t="s">
        <v>44</v>
      </c>
      <c r="T1970">
        <v>3</v>
      </c>
      <c r="U1970" t="s">
        <v>44</v>
      </c>
      <c r="V1970">
        <v>3009</v>
      </c>
      <c r="W1970" t="s">
        <v>44</v>
      </c>
      <c r="X1970" t="s">
        <v>44</v>
      </c>
      <c r="Y1970">
        <v>3009</v>
      </c>
      <c r="Z1970" t="s">
        <v>44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 s="2">
        <v>3010</v>
      </c>
      <c r="AQ1970">
        <f t="shared" si="69"/>
        <v>3010</v>
      </c>
      <c r="AR1970" s="5">
        <f>VLOOKUP(F1970,'[2]SCP_24-25'!$A:$D,4,0)</f>
        <v>20.65</v>
      </c>
      <c r="AS1970" s="5">
        <f t="shared" si="68"/>
        <v>62156.499999999993</v>
      </c>
    </row>
    <row r="1971" spans="1:45" x14ac:dyDescent="0.3">
      <c r="A1971" s="1">
        <v>45900.963888888888</v>
      </c>
      <c r="B1971" t="s">
        <v>1473</v>
      </c>
      <c r="C1971" t="s">
        <v>1474</v>
      </c>
      <c r="D1971" t="s">
        <v>1330</v>
      </c>
      <c r="E1971" t="s">
        <v>1331</v>
      </c>
      <c r="F1971" t="s">
        <v>2115</v>
      </c>
      <c r="G1971" t="s">
        <v>1332</v>
      </c>
      <c r="H1971" t="s">
        <v>66</v>
      </c>
      <c r="I1971" t="s">
        <v>43</v>
      </c>
      <c r="J1971">
        <v>50</v>
      </c>
      <c r="K1971">
        <v>19</v>
      </c>
      <c r="L1971">
        <v>11</v>
      </c>
      <c r="M1971">
        <v>9.5</v>
      </c>
      <c r="N1971">
        <v>20191</v>
      </c>
      <c r="O1971">
        <v>0</v>
      </c>
      <c r="P1971">
        <v>0</v>
      </c>
      <c r="Q1971">
        <v>1</v>
      </c>
      <c r="R1971" t="s">
        <v>44</v>
      </c>
      <c r="S1971" t="s">
        <v>44</v>
      </c>
      <c r="T1971" t="s">
        <v>44</v>
      </c>
      <c r="U1971" t="s">
        <v>44</v>
      </c>
      <c r="V1971">
        <v>2291</v>
      </c>
      <c r="W1971" t="s">
        <v>44</v>
      </c>
      <c r="X1971" t="s">
        <v>44</v>
      </c>
      <c r="Y1971">
        <v>2291</v>
      </c>
      <c r="Z1971" t="s">
        <v>44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 s="2">
        <v>2292</v>
      </c>
      <c r="AQ1971">
        <f t="shared" si="69"/>
        <v>2292</v>
      </c>
      <c r="AR1971" s="5">
        <f>VLOOKUP(F1971,'[2]SCP_24-25'!$A:$D,4,0)</f>
        <v>15.5</v>
      </c>
      <c r="AS1971" s="5">
        <f t="shared" si="68"/>
        <v>35526</v>
      </c>
    </row>
    <row r="1972" spans="1:45" x14ac:dyDescent="0.3">
      <c r="A1972" s="1">
        <v>45900.963888888888</v>
      </c>
      <c r="B1972" t="s">
        <v>1473</v>
      </c>
      <c r="C1972" t="s">
        <v>1474</v>
      </c>
      <c r="D1972" t="s">
        <v>320</v>
      </c>
      <c r="E1972" t="s">
        <v>321</v>
      </c>
      <c r="F1972" t="s">
        <v>1623</v>
      </c>
      <c r="G1972" t="s">
        <v>322</v>
      </c>
      <c r="H1972" t="s">
        <v>66</v>
      </c>
      <c r="I1972" t="s">
        <v>43</v>
      </c>
      <c r="J1972">
        <v>50</v>
      </c>
      <c r="K1972">
        <v>19</v>
      </c>
      <c r="L1972">
        <v>11</v>
      </c>
      <c r="M1972">
        <v>9.5</v>
      </c>
      <c r="N1972">
        <v>34684</v>
      </c>
      <c r="O1972">
        <v>0</v>
      </c>
      <c r="P1972">
        <v>0</v>
      </c>
      <c r="Q1972" t="s">
        <v>44</v>
      </c>
      <c r="R1972">
        <v>2675</v>
      </c>
      <c r="S1972" t="s">
        <v>44</v>
      </c>
      <c r="T1972" t="s">
        <v>44</v>
      </c>
      <c r="U1972" t="s">
        <v>44</v>
      </c>
      <c r="V1972">
        <v>1687</v>
      </c>
      <c r="W1972" t="s">
        <v>44</v>
      </c>
      <c r="X1972" t="s">
        <v>44</v>
      </c>
      <c r="Y1972">
        <v>1687</v>
      </c>
      <c r="Z1972" t="s">
        <v>44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 s="2">
        <v>1687</v>
      </c>
      <c r="AQ1972">
        <f t="shared" si="69"/>
        <v>1687</v>
      </c>
      <c r="AR1972" s="5">
        <f>VLOOKUP(F1972,'[2]SCP_24-25'!$A:$D,4,0)</f>
        <v>17.11</v>
      </c>
      <c r="AS1972" s="5">
        <f t="shared" si="68"/>
        <v>28864.57</v>
      </c>
    </row>
    <row r="1973" spans="1:45" x14ac:dyDescent="0.3">
      <c r="A1973" s="1">
        <v>45900.963888888888</v>
      </c>
      <c r="B1973" t="s">
        <v>1473</v>
      </c>
      <c r="C1973" t="s">
        <v>1474</v>
      </c>
      <c r="D1973" t="s">
        <v>1343</v>
      </c>
      <c r="E1973" t="s">
        <v>1344</v>
      </c>
      <c r="F1973" t="s">
        <v>2121</v>
      </c>
      <c r="G1973" t="s">
        <v>1345</v>
      </c>
      <c r="H1973" t="s">
        <v>66</v>
      </c>
      <c r="I1973" t="s">
        <v>43</v>
      </c>
      <c r="J1973">
        <v>50</v>
      </c>
      <c r="K1973">
        <v>19</v>
      </c>
      <c r="L1973">
        <v>11</v>
      </c>
      <c r="M1973">
        <v>9.5</v>
      </c>
      <c r="N1973">
        <v>29563</v>
      </c>
      <c r="O1973">
        <v>0</v>
      </c>
      <c r="P1973">
        <v>0</v>
      </c>
      <c r="Q1973">
        <v>8</v>
      </c>
      <c r="R1973">
        <v>391</v>
      </c>
      <c r="S1973" t="s">
        <v>44</v>
      </c>
      <c r="T1973" t="s">
        <v>44</v>
      </c>
      <c r="U1973" t="s">
        <v>44</v>
      </c>
      <c r="V1973">
        <v>4433</v>
      </c>
      <c r="W1973" t="s">
        <v>44</v>
      </c>
      <c r="X1973" t="s">
        <v>44</v>
      </c>
      <c r="Y1973">
        <v>4433</v>
      </c>
      <c r="Z1973" t="s">
        <v>44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 s="2">
        <v>4433</v>
      </c>
      <c r="AQ1973">
        <f t="shared" si="69"/>
        <v>4433</v>
      </c>
      <c r="AR1973" s="5">
        <f>VLOOKUP(F1973,'[2]SCP_24-25'!$A:$D,4,0)</f>
        <v>12.53</v>
      </c>
      <c r="AS1973" s="5">
        <f t="shared" si="68"/>
        <v>55545.49</v>
      </c>
    </row>
    <row r="1974" spans="1:45" x14ac:dyDescent="0.3">
      <c r="A1974" s="1">
        <v>45900.963888888888</v>
      </c>
      <c r="B1974" t="s">
        <v>1473</v>
      </c>
      <c r="C1974" t="s">
        <v>1474</v>
      </c>
      <c r="D1974" t="s">
        <v>1355</v>
      </c>
      <c r="E1974" t="s">
        <v>1356</v>
      </c>
      <c r="F1974" t="s">
        <v>2126</v>
      </c>
      <c r="G1974" t="s">
        <v>1357</v>
      </c>
      <c r="H1974" t="s">
        <v>66</v>
      </c>
      <c r="I1974" t="s">
        <v>43</v>
      </c>
      <c r="J1974">
        <v>50</v>
      </c>
      <c r="K1974">
        <v>19</v>
      </c>
      <c r="L1974">
        <v>11</v>
      </c>
      <c r="M1974">
        <v>9.5</v>
      </c>
      <c r="N1974">
        <v>14098</v>
      </c>
      <c r="O1974">
        <v>132</v>
      </c>
      <c r="P1974">
        <v>0</v>
      </c>
      <c r="Q1974" t="s">
        <v>44</v>
      </c>
      <c r="R1974" t="s">
        <v>44</v>
      </c>
      <c r="S1974" t="s">
        <v>44</v>
      </c>
      <c r="T1974">
        <v>581</v>
      </c>
      <c r="U1974" t="s">
        <v>44</v>
      </c>
      <c r="V1974">
        <v>4269</v>
      </c>
      <c r="W1974">
        <v>1</v>
      </c>
      <c r="X1974" t="s">
        <v>44</v>
      </c>
      <c r="Y1974">
        <v>4269</v>
      </c>
      <c r="Z1974" t="s">
        <v>44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 s="2">
        <v>4402</v>
      </c>
      <c r="AQ1974">
        <f t="shared" si="69"/>
        <v>4402</v>
      </c>
      <c r="AR1974" s="5">
        <f>VLOOKUP(F1974,'[2]SCP_24-25'!$A:$D,4,0)</f>
        <v>14.59</v>
      </c>
      <c r="AS1974" s="5">
        <f t="shared" si="68"/>
        <v>64225.18</v>
      </c>
    </row>
    <row r="1975" spans="1:45" x14ac:dyDescent="0.3">
      <c r="A1975" s="1">
        <v>45900.963888888888</v>
      </c>
      <c r="B1975" t="s">
        <v>1473</v>
      </c>
      <c r="C1975" t="s">
        <v>1474</v>
      </c>
      <c r="D1975" t="s">
        <v>67</v>
      </c>
      <c r="E1975" t="s">
        <v>68</v>
      </c>
      <c r="F1975" t="s">
        <v>1521</v>
      </c>
      <c r="G1975" t="s">
        <v>69</v>
      </c>
      <c r="H1975" t="s">
        <v>66</v>
      </c>
      <c r="I1975" t="s">
        <v>43</v>
      </c>
      <c r="J1975">
        <v>110</v>
      </c>
      <c r="K1975">
        <v>19</v>
      </c>
      <c r="L1975">
        <v>9.5</v>
      </c>
      <c r="M1975">
        <v>11</v>
      </c>
      <c r="N1975">
        <v>34243</v>
      </c>
      <c r="O1975">
        <v>2</v>
      </c>
      <c r="P1975">
        <v>0</v>
      </c>
      <c r="Q1975">
        <v>22</v>
      </c>
      <c r="R1975">
        <v>30</v>
      </c>
      <c r="S1975" t="s">
        <v>44</v>
      </c>
      <c r="T1975">
        <v>35</v>
      </c>
      <c r="U1975" t="s">
        <v>44</v>
      </c>
      <c r="V1975">
        <v>1282</v>
      </c>
      <c r="W1975">
        <v>1</v>
      </c>
      <c r="X1975" t="s">
        <v>44</v>
      </c>
      <c r="Y1975">
        <v>1279</v>
      </c>
      <c r="Z1975" t="s">
        <v>44</v>
      </c>
      <c r="AA1975">
        <v>1</v>
      </c>
      <c r="AB1975">
        <v>0</v>
      </c>
      <c r="AC1975">
        <v>0</v>
      </c>
      <c r="AD1975">
        <v>0</v>
      </c>
      <c r="AE1975">
        <v>2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 s="2">
        <v>1285</v>
      </c>
      <c r="AQ1975">
        <f t="shared" si="69"/>
        <v>1285</v>
      </c>
      <c r="AR1975" s="5">
        <f>VLOOKUP(F1975,'[2]SCP_24-25'!$A:$D,4,0)</f>
        <v>53.91</v>
      </c>
      <c r="AS1975" s="5">
        <f t="shared" si="68"/>
        <v>69274.349999999991</v>
      </c>
    </row>
    <row r="1976" spans="1:45" x14ac:dyDescent="0.3">
      <c r="A1976" s="1">
        <v>45900.963888888888</v>
      </c>
      <c r="B1976" t="s">
        <v>1473</v>
      </c>
      <c r="C1976" t="s">
        <v>1474</v>
      </c>
      <c r="D1976" t="s">
        <v>97</v>
      </c>
      <c r="E1976" t="s">
        <v>98</v>
      </c>
      <c r="F1976" t="s">
        <v>1531</v>
      </c>
      <c r="G1976" t="s">
        <v>99</v>
      </c>
      <c r="H1976" t="s">
        <v>66</v>
      </c>
      <c r="I1976" t="s">
        <v>43</v>
      </c>
      <c r="J1976">
        <v>100</v>
      </c>
      <c r="K1976">
        <v>19</v>
      </c>
      <c r="L1976">
        <v>9.5</v>
      </c>
      <c r="M1976">
        <v>11</v>
      </c>
      <c r="N1976">
        <v>12830</v>
      </c>
      <c r="O1976">
        <v>0</v>
      </c>
      <c r="P1976">
        <v>0</v>
      </c>
      <c r="Q1976">
        <v>8</v>
      </c>
      <c r="R1976">
        <v>27</v>
      </c>
      <c r="S1976" t="s">
        <v>44</v>
      </c>
      <c r="T1976">
        <v>4</v>
      </c>
      <c r="U1976" t="s">
        <v>44</v>
      </c>
      <c r="V1976">
        <v>1059</v>
      </c>
      <c r="W1976" t="s">
        <v>44</v>
      </c>
      <c r="X1976" t="s">
        <v>44</v>
      </c>
      <c r="Y1976">
        <v>1059</v>
      </c>
      <c r="Z1976" t="s">
        <v>44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 s="2">
        <v>1060</v>
      </c>
      <c r="AQ1976">
        <f t="shared" si="69"/>
        <v>1060</v>
      </c>
      <c r="AR1976" s="5">
        <f>VLOOKUP(F1976,'[2]SCP_24-25'!$A:$D,4,0)</f>
        <v>132.01</v>
      </c>
      <c r="AS1976" s="5">
        <f t="shared" si="68"/>
        <v>139930.59999999998</v>
      </c>
    </row>
    <row r="1977" spans="1:45" x14ac:dyDescent="0.3">
      <c r="A1977" s="1">
        <v>45900.963888888888</v>
      </c>
      <c r="B1977" t="s">
        <v>1473</v>
      </c>
      <c r="C1977" t="s">
        <v>1474</v>
      </c>
      <c r="D1977" t="s">
        <v>104</v>
      </c>
      <c r="E1977" t="s">
        <v>105</v>
      </c>
      <c r="F1977" t="s">
        <v>1533</v>
      </c>
      <c r="G1977" t="s">
        <v>106</v>
      </c>
      <c r="H1977" t="s">
        <v>103</v>
      </c>
      <c r="I1977" t="s">
        <v>43</v>
      </c>
      <c r="J1977">
        <v>250</v>
      </c>
      <c r="K1977">
        <v>19</v>
      </c>
      <c r="L1977">
        <v>10</v>
      </c>
      <c r="M1977">
        <v>11</v>
      </c>
      <c r="N1977">
        <v>35092</v>
      </c>
      <c r="O1977">
        <v>14</v>
      </c>
      <c r="P1977">
        <v>0</v>
      </c>
      <c r="Q1977">
        <v>109</v>
      </c>
      <c r="R1977">
        <v>107</v>
      </c>
      <c r="S1977" t="s">
        <v>44</v>
      </c>
      <c r="T1977">
        <v>5</v>
      </c>
      <c r="U1977" t="s">
        <v>44</v>
      </c>
      <c r="V1977">
        <v>1942</v>
      </c>
      <c r="W1977">
        <v>29</v>
      </c>
      <c r="X1977" t="s">
        <v>44</v>
      </c>
      <c r="Y1977">
        <v>1885</v>
      </c>
      <c r="Z1977" t="s">
        <v>44</v>
      </c>
      <c r="AA1977">
        <v>8</v>
      </c>
      <c r="AB1977">
        <v>0</v>
      </c>
      <c r="AC1977">
        <v>0</v>
      </c>
      <c r="AD1977">
        <v>0</v>
      </c>
      <c r="AE1977">
        <v>3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 s="2">
        <v>1964</v>
      </c>
      <c r="AQ1977">
        <f t="shared" si="69"/>
        <v>1964</v>
      </c>
      <c r="AR1977" s="5">
        <f>VLOOKUP(F1977,'[2]SCP_24-25'!$A:$D,4,0)</f>
        <v>49.06</v>
      </c>
      <c r="AS1977" s="5">
        <f t="shared" si="68"/>
        <v>96353.840000000011</v>
      </c>
    </row>
    <row r="1978" spans="1:45" x14ac:dyDescent="0.3">
      <c r="A1978" s="1">
        <v>45900.963888888888</v>
      </c>
      <c r="B1978" t="s">
        <v>1473</v>
      </c>
      <c r="C1978" t="s">
        <v>1474</v>
      </c>
      <c r="D1978" t="s">
        <v>326</v>
      </c>
      <c r="F1978" t="s">
        <v>1625</v>
      </c>
      <c r="G1978" t="s">
        <v>327</v>
      </c>
      <c r="H1978" t="s">
        <v>66</v>
      </c>
      <c r="I1978" t="s">
        <v>43</v>
      </c>
      <c r="J1978">
        <v>40</v>
      </c>
      <c r="K1978">
        <v>19</v>
      </c>
      <c r="L1978">
        <v>11</v>
      </c>
      <c r="M1978">
        <v>9.5</v>
      </c>
      <c r="N1978">
        <v>68342</v>
      </c>
      <c r="O1978">
        <v>1</v>
      </c>
      <c r="P1978">
        <v>0</v>
      </c>
      <c r="Q1978">
        <v>1</v>
      </c>
      <c r="R1978">
        <v>16</v>
      </c>
      <c r="S1978" t="s">
        <v>44</v>
      </c>
      <c r="T1978">
        <v>2</v>
      </c>
      <c r="U1978" t="s">
        <v>44</v>
      </c>
      <c r="V1978">
        <v>2600</v>
      </c>
      <c r="W1978" t="s">
        <v>44</v>
      </c>
      <c r="X1978" t="s">
        <v>44</v>
      </c>
      <c r="Y1978">
        <v>2600</v>
      </c>
      <c r="Z1978" t="s">
        <v>44</v>
      </c>
      <c r="AA1978">
        <v>6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 s="2">
        <v>2607</v>
      </c>
      <c r="AQ1978">
        <f t="shared" si="69"/>
        <v>2607</v>
      </c>
      <c r="AR1978" s="5">
        <f>VLOOKUP(F1978,'[2]SCP_24-25'!$A:$D,4,0)</f>
        <v>15.920000000000002</v>
      </c>
      <c r="AS1978" s="5">
        <f t="shared" si="68"/>
        <v>41503.440000000002</v>
      </c>
    </row>
    <row r="1979" spans="1:45" x14ac:dyDescent="0.3">
      <c r="A1979" s="1">
        <v>45900.963888888888</v>
      </c>
      <c r="B1979" t="s">
        <v>1473</v>
      </c>
      <c r="C1979" t="s">
        <v>1474</v>
      </c>
      <c r="D1979" t="s">
        <v>439</v>
      </c>
      <c r="E1979" t="s">
        <v>440</v>
      </c>
      <c r="F1979" t="s">
        <v>1675</v>
      </c>
      <c r="G1979" t="s">
        <v>441</v>
      </c>
      <c r="H1979" t="s">
        <v>130</v>
      </c>
      <c r="I1979" t="s">
        <v>43</v>
      </c>
      <c r="J1979">
        <v>11.32</v>
      </c>
      <c r="K1979">
        <v>19</v>
      </c>
      <c r="L1979">
        <v>10</v>
      </c>
      <c r="M1979">
        <v>11</v>
      </c>
      <c r="N1979">
        <v>34241</v>
      </c>
      <c r="O1979">
        <v>9</v>
      </c>
      <c r="P1979">
        <v>0</v>
      </c>
      <c r="Q1979">
        <v>7</v>
      </c>
      <c r="R1979">
        <v>3009</v>
      </c>
      <c r="S1979" t="s">
        <v>44</v>
      </c>
      <c r="T1979">
        <v>10</v>
      </c>
      <c r="U1979" t="s">
        <v>44</v>
      </c>
      <c r="V1979">
        <v>2279</v>
      </c>
      <c r="W1979" t="s">
        <v>44</v>
      </c>
      <c r="X1979" t="s">
        <v>44</v>
      </c>
      <c r="Y1979">
        <v>2279</v>
      </c>
      <c r="Z1979" t="s">
        <v>44</v>
      </c>
      <c r="AA1979">
        <v>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 s="2">
        <v>2293</v>
      </c>
      <c r="AQ1979">
        <f t="shared" si="69"/>
        <v>2293</v>
      </c>
      <c r="AR1979" s="5">
        <f>VLOOKUP(F1979,'[2]SCP_24-25'!$A:$D,4,0)</f>
        <v>49.01</v>
      </c>
      <c r="AS1979" s="5">
        <f t="shared" si="68"/>
        <v>112379.93</v>
      </c>
    </row>
    <row r="1980" spans="1:45" x14ac:dyDescent="0.3">
      <c r="A1980" s="1">
        <v>45900.963888888888</v>
      </c>
      <c r="B1980" t="s">
        <v>1473</v>
      </c>
      <c r="C1980" t="s">
        <v>1474</v>
      </c>
      <c r="D1980" t="s">
        <v>328</v>
      </c>
      <c r="E1980" t="s">
        <v>329</v>
      </c>
      <c r="F1980" t="s">
        <v>1626</v>
      </c>
      <c r="G1980" t="s">
        <v>330</v>
      </c>
      <c r="H1980" t="s">
        <v>130</v>
      </c>
      <c r="I1980" t="s">
        <v>43</v>
      </c>
      <c r="J1980">
        <v>15.82</v>
      </c>
      <c r="K1980">
        <v>19</v>
      </c>
      <c r="L1980">
        <v>10</v>
      </c>
      <c r="M1980">
        <v>11</v>
      </c>
      <c r="N1980">
        <v>17365</v>
      </c>
      <c r="O1980">
        <v>1</v>
      </c>
      <c r="P1980">
        <v>0</v>
      </c>
      <c r="Q1980">
        <v>3</v>
      </c>
      <c r="R1980">
        <v>3</v>
      </c>
      <c r="S1980" t="s">
        <v>44</v>
      </c>
      <c r="T1980" t="s">
        <v>44</v>
      </c>
      <c r="U1980" t="s">
        <v>44</v>
      </c>
      <c r="V1980">
        <v>1341</v>
      </c>
      <c r="W1980">
        <v>1</v>
      </c>
      <c r="X1980" t="s">
        <v>44</v>
      </c>
      <c r="Y1980">
        <v>1340</v>
      </c>
      <c r="Z1980" t="s">
        <v>44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 s="2">
        <v>1342</v>
      </c>
      <c r="AQ1980">
        <f t="shared" si="69"/>
        <v>1342</v>
      </c>
      <c r="AR1980" s="5">
        <f>VLOOKUP(F1980,'[2]SCP_24-25'!$A:$D,4,0)</f>
        <v>51.93</v>
      </c>
      <c r="AS1980" s="5">
        <f t="shared" si="68"/>
        <v>69690.06</v>
      </c>
    </row>
    <row r="1981" spans="1:45" x14ac:dyDescent="0.3">
      <c r="A1981" s="1">
        <v>45900.963888888888</v>
      </c>
      <c r="B1981" t="s">
        <v>1473</v>
      </c>
      <c r="C1981" t="s">
        <v>1474</v>
      </c>
      <c r="D1981" t="s">
        <v>337</v>
      </c>
      <c r="E1981" t="s">
        <v>338</v>
      </c>
      <c r="F1981" t="s">
        <v>1629</v>
      </c>
      <c r="G1981" t="s">
        <v>339</v>
      </c>
      <c r="H1981" t="s">
        <v>130</v>
      </c>
      <c r="I1981" t="s">
        <v>43</v>
      </c>
      <c r="J1981">
        <v>48.99</v>
      </c>
      <c r="K1981">
        <v>19</v>
      </c>
      <c r="L1981">
        <v>10</v>
      </c>
      <c r="M1981">
        <v>11</v>
      </c>
      <c r="N1981">
        <v>26294</v>
      </c>
      <c r="O1981">
        <v>10</v>
      </c>
      <c r="P1981">
        <v>0</v>
      </c>
      <c r="Q1981">
        <v>12</v>
      </c>
      <c r="R1981">
        <v>1082</v>
      </c>
      <c r="S1981" t="s">
        <v>44</v>
      </c>
      <c r="T1981">
        <v>20</v>
      </c>
      <c r="U1981" t="s">
        <v>44</v>
      </c>
      <c r="V1981">
        <v>1255</v>
      </c>
      <c r="W1981" t="s">
        <v>44</v>
      </c>
      <c r="X1981" t="s">
        <v>44</v>
      </c>
      <c r="Y1981">
        <v>1255</v>
      </c>
      <c r="Z1981" t="s">
        <v>44</v>
      </c>
      <c r="AA1981">
        <v>3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 s="2">
        <v>1268</v>
      </c>
      <c r="AQ1981">
        <f t="shared" si="69"/>
        <v>1268</v>
      </c>
      <c r="AR1981" s="5">
        <f>VLOOKUP(F1981,'[2]SCP_24-25'!$A:$D,4,0)</f>
        <v>64.540000000000006</v>
      </c>
      <c r="AS1981" s="5">
        <f t="shared" si="68"/>
        <v>81836.72</v>
      </c>
    </row>
    <row r="1982" spans="1:45" x14ac:dyDescent="0.3">
      <c r="A1982" s="1">
        <v>45900.963888888888</v>
      </c>
      <c r="B1982" t="s">
        <v>1473</v>
      </c>
      <c r="C1982" t="s">
        <v>1474</v>
      </c>
      <c r="D1982" t="s">
        <v>340</v>
      </c>
      <c r="E1982" t="s">
        <v>338</v>
      </c>
      <c r="F1982" t="s">
        <v>1630</v>
      </c>
      <c r="G1982" t="s">
        <v>341</v>
      </c>
      <c r="H1982" t="s">
        <v>130</v>
      </c>
      <c r="I1982" t="s">
        <v>43</v>
      </c>
      <c r="J1982">
        <v>48.99</v>
      </c>
      <c r="K1982">
        <v>19</v>
      </c>
      <c r="L1982">
        <v>10</v>
      </c>
      <c r="M1982">
        <v>11</v>
      </c>
      <c r="N1982">
        <v>23198</v>
      </c>
      <c r="O1982">
        <v>10</v>
      </c>
      <c r="P1982">
        <v>0</v>
      </c>
      <c r="Q1982">
        <v>30</v>
      </c>
      <c r="R1982">
        <v>72</v>
      </c>
      <c r="S1982" t="s">
        <v>44</v>
      </c>
      <c r="T1982">
        <v>88</v>
      </c>
      <c r="U1982" t="s">
        <v>44</v>
      </c>
      <c r="V1982">
        <v>1867</v>
      </c>
      <c r="W1982">
        <v>1</v>
      </c>
      <c r="X1982" t="s">
        <v>44</v>
      </c>
      <c r="Y1982">
        <v>1848</v>
      </c>
      <c r="Z1982" t="s">
        <v>44</v>
      </c>
      <c r="AA1982">
        <v>7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 s="2">
        <v>1884</v>
      </c>
      <c r="AQ1982">
        <f t="shared" si="69"/>
        <v>1884</v>
      </c>
      <c r="AR1982" s="5">
        <f>VLOOKUP(F1982,'[2]SCP_24-25'!$A:$D,4,0)</f>
        <v>63.836666666666673</v>
      </c>
      <c r="AS1982" s="5">
        <f t="shared" si="68"/>
        <v>120268.28000000001</v>
      </c>
    </row>
    <row r="1983" spans="1:45" x14ac:dyDescent="0.3">
      <c r="A1983" s="1">
        <v>45900.963888888888</v>
      </c>
      <c r="B1983" t="s">
        <v>1473</v>
      </c>
      <c r="C1983" t="s">
        <v>1474</v>
      </c>
      <c r="D1983" t="s">
        <v>342</v>
      </c>
      <c r="E1983" t="s">
        <v>338</v>
      </c>
      <c r="F1983" t="s">
        <v>1631</v>
      </c>
      <c r="G1983" t="s">
        <v>343</v>
      </c>
      <c r="H1983" t="s">
        <v>130</v>
      </c>
      <c r="I1983" t="s">
        <v>43</v>
      </c>
      <c r="J1983">
        <v>48</v>
      </c>
      <c r="K1983">
        <v>19</v>
      </c>
      <c r="L1983">
        <v>10</v>
      </c>
      <c r="M1983">
        <v>11</v>
      </c>
      <c r="N1983">
        <v>10464</v>
      </c>
      <c r="O1983">
        <v>1</v>
      </c>
      <c r="P1983">
        <v>0</v>
      </c>
      <c r="Q1983">
        <v>14</v>
      </c>
      <c r="R1983">
        <v>484</v>
      </c>
      <c r="S1983" t="s">
        <v>44</v>
      </c>
      <c r="T1983" t="s">
        <v>44</v>
      </c>
      <c r="U1983" t="s">
        <v>44</v>
      </c>
      <c r="V1983">
        <v>1065</v>
      </c>
      <c r="W1983">
        <v>5</v>
      </c>
      <c r="X1983" t="s">
        <v>44</v>
      </c>
      <c r="Y1983">
        <v>1024</v>
      </c>
      <c r="Z1983" t="s">
        <v>44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 s="2">
        <v>1066</v>
      </c>
      <c r="AQ1983">
        <f t="shared" si="69"/>
        <v>1066</v>
      </c>
      <c r="AR1983" s="5">
        <f>VLOOKUP(F1983,'[2]SCP_24-25'!$A:$D,4,0)</f>
        <v>64.540000000000006</v>
      </c>
      <c r="AS1983" s="5">
        <f t="shared" si="68"/>
        <v>68799.64</v>
      </c>
    </row>
    <row r="1984" spans="1:45" x14ac:dyDescent="0.3">
      <c r="A1984" s="1">
        <v>45900.963888888888</v>
      </c>
      <c r="B1984" t="s">
        <v>1473</v>
      </c>
      <c r="C1984" t="s">
        <v>1474</v>
      </c>
      <c r="D1984" t="s">
        <v>613</v>
      </c>
      <c r="E1984" t="s">
        <v>395</v>
      </c>
      <c r="F1984" t="s">
        <v>1760</v>
      </c>
      <c r="G1984" t="s">
        <v>614</v>
      </c>
      <c r="H1984" t="s">
        <v>130</v>
      </c>
      <c r="I1984" t="s">
        <v>43</v>
      </c>
      <c r="J1984">
        <v>24.22</v>
      </c>
      <c r="K1984">
        <v>19</v>
      </c>
      <c r="L1984">
        <v>10</v>
      </c>
      <c r="M1984">
        <v>11</v>
      </c>
      <c r="N1984">
        <v>4103</v>
      </c>
      <c r="O1984">
        <v>0</v>
      </c>
      <c r="P1984">
        <v>0</v>
      </c>
      <c r="Q1984">
        <v>14</v>
      </c>
      <c r="R1984">
        <v>113</v>
      </c>
      <c r="S1984" t="s">
        <v>44</v>
      </c>
      <c r="T1984" t="s">
        <v>44</v>
      </c>
      <c r="U1984" t="s">
        <v>44</v>
      </c>
      <c r="V1984">
        <v>1535</v>
      </c>
      <c r="W1984">
        <v>1</v>
      </c>
      <c r="X1984" t="s">
        <v>44</v>
      </c>
      <c r="Y1984">
        <v>1473</v>
      </c>
      <c r="Z1984" t="s">
        <v>44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 s="2">
        <v>1535</v>
      </c>
      <c r="AQ1984">
        <f t="shared" si="69"/>
        <v>1535</v>
      </c>
      <c r="AR1984" s="5">
        <f>VLOOKUP(F1984,'[2]SCP_24-25'!$A:$D,4,0)</f>
        <v>87.899999999999991</v>
      </c>
      <c r="AS1984" s="5">
        <f t="shared" si="68"/>
        <v>134926.5</v>
      </c>
    </row>
    <row r="1985" spans="1:45" x14ac:dyDescent="0.3">
      <c r="A1985" s="1">
        <v>45900.963888888888</v>
      </c>
      <c r="B1985" t="s">
        <v>1473</v>
      </c>
      <c r="C1985" t="s">
        <v>1474</v>
      </c>
      <c r="D1985" t="s">
        <v>115</v>
      </c>
      <c r="E1985" t="s">
        <v>116</v>
      </c>
      <c r="F1985" t="s">
        <v>1537</v>
      </c>
      <c r="G1985" t="s">
        <v>117</v>
      </c>
      <c r="H1985" t="s">
        <v>66</v>
      </c>
      <c r="I1985" t="s">
        <v>43</v>
      </c>
      <c r="J1985">
        <v>60</v>
      </c>
      <c r="K1985">
        <v>19</v>
      </c>
      <c r="L1985">
        <v>11</v>
      </c>
      <c r="M1985">
        <v>10</v>
      </c>
      <c r="N1985">
        <v>9771</v>
      </c>
      <c r="O1985">
        <v>1</v>
      </c>
      <c r="P1985">
        <v>0</v>
      </c>
      <c r="Q1985">
        <v>12</v>
      </c>
      <c r="R1985">
        <v>14</v>
      </c>
      <c r="S1985" t="s">
        <v>44</v>
      </c>
      <c r="T1985" t="s">
        <v>44</v>
      </c>
      <c r="U1985" t="s">
        <v>44</v>
      </c>
      <c r="V1985">
        <v>1131</v>
      </c>
      <c r="W1985">
        <v>5</v>
      </c>
      <c r="X1985" t="s">
        <v>44</v>
      </c>
      <c r="Y1985">
        <v>1130</v>
      </c>
      <c r="Z1985" t="s">
        <v>44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 s="2">
        <v>1132</v>
      </c>
      <c r="AQ1985">
        <f t="shared" si="69"/>
        <v>1132</v>
      </c>
      <c r="AR1985" s="5">
        <f>VLOOKUP(F1985,'[2]SCP_24-25'!$A:$D,4,0)</f>
        <v>94.559999999999988</v>
      </c>
      <c r="AS1985" s="5">
        <f t="shared" si="68"/>
        <v>107041.91999999998</v>
      </c>
    </row>
    <row r="1986" spans="1:45" x14ac:dyDescent="0.3">
      <c r="A1986" s="1">
        <v>45900.963888888888</v>
      </c>
      <c r="B1986" t="s">
        <v>1473</v>
      </c>
      <c r="C1986" t="s">
        <v>1474</v>
      </c>
      <c r="D1986" t="s">
        <v>899</v>
      </c>
      <c r="E1986" t="s">
        <v>900</v>
      </c>
      <c r="F1986" t="s">
        <v>1900</v>
      </c>
      <c r="G1986" t="s">
        <v>901</v>
      </c>
      <c r="H1986" t="s">
        <v>621</v>
      </c>
      <c r="I1986" t="s">
        <v>43</v>
      </c>
      <c r="J1986">
        <v>70.8</v>
      </c>
      <c r="K1986">
        <v>19</v>
      </c>
      <c r="L1986">
        <v>8.5</v>
      </c>
      <c r="M1986">
        <v>11</v>
      </c>
      <c r="N1986">
        <v>473964</v>
      </c>
      <c r="O1986">
        <v>0</v>
      </c>
      <c r="P1986">
        <v>0</v>
      </c>
      <c r="Q1986" t="s">
        <v>44</v>
      </c>
      <c r="R1986">
        <v>2025</v>
      </c>
      <c r="S1986" t="s">
        <v>44</v>
      </c>
      <c r="T1986" t="s">
        <v>44</v>
      </c>
      <c r="U1986" t="s">
        <v>44</v>
      </c>
      <c r="V1986">
        <v>1448</v>
      </c>
      <c r="W1986" t="s">
        <v>44</v>
      </c>
      <c r="X1986" t="s">
        <v>44</v>
      </c>
      <c r="Y1986">
        <v>1441</v>
      </c>
      <c r="Z1986" t="s">
        <v>44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 s="2">
        <v>1448</v>
      </c>
      <c r="AQ1986">
        <f t="shared" si="69"/>
        <v>1448</v>
      </c>
      <c r="AR1986" s="5">
        <f>VLOOKUP(F1986,'[2]SCP_24-25'!$A:$D,4,0)</f>
        <v>3.9500000000000011</v>
      </c>
      <c r="AS1986" s="5">
        <f t="shared" si="68"/>
        <v>5719.6000000000013</v>
      </c>
    </row>
    <row r="1987" spans="1:45" x14ac:dyDescent="0.3">
      <c r="A1987" s="1">
        <v>45900.963888888888</v>
      </c>
      <c r="B1987" t="s">
        <v>1473</v>
      </c>
      <c r="C1987" t="s">
        <v>1474</v>
      </c>
      <c r="D1987" t="s">
        <v>1346</v>
      </c>
      <c r="E1987" t="s">
        <v>1347</v>
      </c>
      <c r="F1987" t="s">
        <v>2122</v>
      </c>
      <c r="G1987" t="s">
        <v>1348</v>
      </c>
      <c r="H1987" t="s">
        <v>621</v>
      </c>
      <c r="I1987" t="s">
        <v>43</v>
      </c>
      <c r="J1987">
        <v>139.30000000000001</v>
      </c>
      <c r="K1987">
        <v>22.8</v>
      </c>
      <c r="L1987">
        <v>7.62</v>
      </c>
      <c r="M1987">
        <v>17.7</v>
      </c>
      <c r="N1987">
        <v>285154</v>
      </c>
      <c r="O1987">
        <v>0</v>
      </c>
      <c r="P1987">
        <v>0</v>
      </c>
      <c r="Q1987" t="s">
        <v>44</v>
      </c>
      <c r="R1987">
        <v>3622</v>
      </c>
      <c r="S1987" t="s">
        <v>44</v>
      </c>
      <c r="T1987">
        <v>13125</v>
      </c>
      <c r="U1987" t="s">
        <v>44</v>
      </c>
      <c r="V1987">
        <v>1270</v>
      </c>
      <c r="W1987" t="s">
        <v>44</v>
      </c>
      <c r="X1987" t="s">
        <v>44</v>
      </c>
      <c r="Y1987">
        <v>1266</v>
      </c>
      <c r="Z1987" t="s">
        <v>44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 s="2">
        <v>1270</v>
      </c>
      <c r="AQ1987">
        <f t="shared" si="69"/>
        <v>1270</v>
      </c>
      <c r="AR1987" s="5">
        <f>VLOOKUP(F1987,'[2]SCP_24-25'!$A:$D,4,0)</f>
        <v>6.9774999999999991</v>
      </c>
      <c r="AS1987" s="5">
        <f t="shared" ref="AS1987:AS2050" si="70">AQ1987*AR1987</f>
        <v>8861.4249999999993</v>
      </c>
    </row>
    <row r="1988" spans="1:45" x14ac:dyDescent="0.3">
      <c r="A1988" s="1">
        <v>45900.963888888888</v>
      </c>
      <c r="B1988" t="s">
        <v>1473</v>
      </c>
      <c r="C1988" t="s">
        <v>1474</v>
      </c>
      <c r="D1988" t="s">
        <v>1315</v>
      </c>
      <c r="E1988" t="s">
        <v>1316</v>
      </c>
      <c r="F1988" t="s">
        <v>2108</v>
      </c>
      <c r="G1988" t="s">
        <v>1317</v>
      </c>
      <c r="H1988" t="s">
        <v>621</v>
      </c>
      <c r="I1988" t="s">
        <v>43</v>
      </c>
      <c r="J1988">
        <v>822</v>
      </c>
      <c r="K1988">
        <v>48</v>
      </c>
      <c r="L1988">
        <v>22</v>
      </c>
      <c r="M1988">
        <v>36</v>
      </c>
      <c r="N1988">
        <v>20767</v>
      </c>
      <c r="O1988">
        <v>0</v>
      </c>
      <c r="P1988">
        <v>0</v>
      </c>
      <c r="Q1988" t="s">
        <v>44</v>
      </c>
      <c r="R1988">
        <v>3961</v>
      </c>
      <c r="S1988" t="s">
        <v>44</v>
      </c>
      <c r="T1988" t="s">
        <v>44</v>
      </c>
      <c r="U1988" t="s">
        <v>44</v>
      </c>
      <c r="V1988">
        <v>2647</v>
      </c>
      <c r="W1988" t="s">
        <v>44</v>
      </c>
      <c r="X1988" t="s">
        <v>44</v>
      </c>
      <c r="Y1988">
        <v>2647</v>
      </c>
      <c r="Z1988" t="s">
        <v>44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 s="2">
        <v>2647</v>
      </c>
      <c r="AQ1988">
        <f t="shared" si="69"/>
        <v>2647</v>
      </c>
      <c r="AR1988" s="5">
        <f>VLOOKUP(F1988,'[2]SCP_24-25'!$A:$D,4,0)</f>
        <v>47.625</v>
      </c>
      <c r="AS1988" s="5">
        <f t="shared" si="70"/>
        <v>126063.375</v>
      </c>
    </row>
    <row r="1989" spans="1:45" x14ac:dyDescent="0.3">
      <c r="A1989" s="1">
        <v>45900.963888888888</v>
      </c>
      <c r="B1989" t="s">
        <v>1473</v>
      </c>
      <c r="C1989" t="s">
        <v>1474</v>
      </c>
      <c r="D1989" t="s">
        <v>787</v>
      </c>
      <c r="F1989" t="s">
        <v>1845</v>
      </c>
      <c r="G1989" t="s">
        <v>788</v>
      </c>
      <c r="H1989" t="s">
        <v>66</v>
      </c>
      <c r="I1989" t="s">
        <v>43</v>
      </c>
      <c r="J1989">
        <v>61.92</v>
      </c>
      <c r="K1989">
        <v>19</v>
      </c>
      <c r="L1989">
        <v>10</v>
      </c>
      <c r="M1989">
        <v>11</v>
      </c>
      <c r="N1989">
        <v>7939</v>
      </c>
      <c r="O1989">
        <v>0</v>
      </c>
      <c r="P1989">
        <v>0</v>
      </c>
      <c r="Q1989" t="s">
        <v>44</v>
      </c>
      <c r="R1989">
        <v>26</v>
      </c>
      <c r="S1989" t="s">
        <v>44</v>
      </c>
      <c r="T1989">
        <v>74</v>
      </c>
      <c r="U1989" t="s">
        <v>44</v>
      </c>
      <c r="V1989">
        <v>1413</v>
      </c>
      <c r="W1989">
        <v>1</v>
      </c>
      <c r="X1989" t="s">
        <v>44</v>
      </c>
      <c r="Y1989">
        <v>1413</v>
      </c>
      <c r="Z1989" t="s">
        <v>44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 s="2">
        <v>1413</v>
      </c>
      <c r="AQ1989">
        <f t="shared" si="69"/>
        <v>1413</v>
      </c>
      <c r="AR1989" s="5">
        <f>VLOOKUP(F1989,'[2]SCP_24-25'!$A:$D,4,0)</f>
        <v>23.39</v>
      </c>
      <c r="AS1989" s="5">
        <f t="shared" si="70"/>
        <v>33050.07</v>
      </c>
    </row>
    <row r="1990" spans="1:45" x14ac:dyDescent="0.3">
      <c r="A1990" s="1">
        <v>45900.963888888888</v>
      </c>
      <c r="B1990" t="s">
        <v>1473</v>
      </c>
      <c r="C1990" t="s">
        <v>1474</v>
      </c>
      <c r="D1990" t="s">
        <v>126</v>
      </c>
      <c r="F1990" t="s">
        <v>1541</v>
      </c>
      <c r="G1990" t="s">
        <v>127</v>
      </c>
      <c r="H1990" t="s">
        <v>42</v>
      </c>
      <c r="I1990" t="s">
        <v>43</v>
      </c>
      <c r="J1990">
        <v>51</v>
      </c>
      <c r="K1990">
        <v>19</v>
      </c>
      <c r="L1990">
        <v>11</v>
      </c>
      <c r="M1990">
        <v>9.5</v>
      </c>
      <c r="N1990">
        <v>12965</v>
      </c>
      <c r="O1990">
        <v>0</v>
      </c>
      <c r="P1990">
        <v>0</v>
      </c>
      <c r="Q1990">
        <v>6</v>
      </c>
      <c r="R1990">
        <v>71</v>
      </c>
      <c r="S1990" t="s">
        <v>44</v>
      </c>
      <c r="T1990" t="s">
        <v>44</v>
      </c>
      <c r="U1990" t="s">
        <v>44</v>
      </c>
      <c r="V1990">
        <v>1542</v>
      </c>
      <c r="W1990">
        <v>1</v>
      </c>
      <c r="X1990" t="s">
        <v>44</v>
      </c>
      <c r="Y1990">
        <v>1542</v>
      </c>
      <c r="Z1990" t="s">
        <v>44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 s="2">
        <v>1542</v>
      </c>
      <c r="AQ1990">
        <f t="shared" si="69"/>
        <v>1542</v>
      </c>
      <c r="AR1990" s="5">
        <f>VLOOKUP(F1990,'[2]SCP_24-25'!$A:$D,4,0)</f>
        <v>150.74</v>
      </c>
      <c r="AS1990" s="5">
        <f t="shared" si="70"/>
        <v>232441.08000000002</v>
      </c>
    </row>
    <row r="1991" spans="1:45" x14ac:dyDescent="0.3">
      <c r="A1991" s="1">
        <v>45900.963888888888</v>
      </c>
      <c r="B1991" t="s">
        <v>1473</v>
      </c>
      <c r="C1991" t="s">
        <v>1474</v>
      </c>
      <c r="D1991" t="s">
        <v>399</v>
      </c>
      <c r="F1991" t="s">
        <v>1657</v>
      </c>
      <c r="G1991" t="s">
        <v>400</v>
      </c>
      <c r="H1991" t="s">
        <v>66</v>
      </c>
      <c r="I1991" t="s">
        <v>43</v>
      </c>
      <c r="J1991">
        <v>59.02</v>
      </c>
      <c r="K1991">
        <v>19</v>
      </c>
      <c r="L1991">
        <v>11</v>
      </c>
      <c r="M1991">
        <v>10</v>
      </c>
      <c r="N1991">
        <v>47832</v>
      </c>
      <c r="O1991">
        <v>9</v>
      </c>
      <c r="P1991">
        <v>0</v>
      </c>
      <c r="Q1991">
        <v>35</v>
      </c>
      <c r="R1991">
        <v>577</v>
      </c>
      <c r="S1991" t="s">
        <v>44</v>
      </c>
      <c r="T1991">
        <v>697</v>
      </c>
      <c r="U1991" t="s">
        <v>44</v>
      </c>
      <c r="V1991">
        <v>2684</v>
      </c>
      <c r="W1991">
        <v>1</v>
      </c>
      <c r="X1991" t="s">
        <v>44</v>
      </c>
      <c r="Y1991">
        <v>2684</v>
      </c>
      <c r="Z1991" t="s">
        <v>44</v>
      </c>
      <c r="AA1991">
        <v>11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 s="2">
        <v>2704</v>
      </c>
      <c r="AQ1991">
        <f t="shared" si="69"/>
        <v>2704</v>
      </c>
      <c r="AR1991" s="5">
        <f>VLOOKUP(F1991,'[2]SCP_24-25'!$A:$D,4,0)</f>
        <v>50.06</v>
      </c>
      <c r="AS1991" s="5">
        <f t="shared" si="70"/>
        <v>135362.24000000002</v>
      </c>
    </row>
    <row r="1992" spans="1:45" x14ac:dyDescent="0.3">
      <c r="A1992" s="1">
        <v>45900.963888888888</v>
      </c>
      <c r="B1992" t="s">
        <v>1473</v>
      </c>
      <c r="C1992" t="s">
        <v>1474</v>
      </c>
      <c r="D1992" t="s">
        <v>425</v>
      </c>
      <c r="F1992" t="s">
        <v>1669</v>
      </c>
      <c r="G1992" t="s">
        <v>426</v>
      </c>
      <c r="H1992" t="s">
        <v>66</v>
      </c>
      <c r="I1992" t="s">
        <v>43</v>
      </c>
      <c r="J1992">
        <v>46.59</v>
      </c>
      <c r="K1992">
        <v>19</v>
      </c>
      <c r="L1992">
        <v>10</v>
      </c>
      <c r="M1992">
        <v>11</v>
      </c>
      <c r="N1992">
        <v>14811</v>
      </c>
      <c r="O1992">
        <v>34</v>
      </c>
      <c r="P1992">
        <v>0</v>
      </c>
      <c r="Q1992">
        <v>12</v>
      </c>
      <c r="R1992">
        <v>1213</v>
      </c>
      <c r="S1992" t="s">
        <v>44</v>
      </c>
      <c r="T1992" t="s">
        <v>44</v>
      </c>
      <c r="U1992" t="s">
        <v>44</v>
      </c>
      <c r="V1992">
        <v>2907</v>
      </c>
      <c r="W1992" t="s">
        <v>44</v>
      </c>
      <c r="X1992" t="s">
        <v>44</v>
      </c>
      <c r="Y1992">
        <v>2907</v>
      </c>
      <c r="Z1992" t="s">
        <v>44</v>
      </c>
      <c r="AA1992">
        <v>13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 s="2">
        <v>2954</v>
      </c>
      <c r="AQ1992">
        <f t="shared" si="69"/>
        <v>2954</v>
      </c>
      <c r="AR1992" s="5">
        <f>VLOOKUP(F1992,'[2]SCP_24-25'!$A:$D,4,0)</f>
        <v>37.46</v>
      </c>
      <c r="AS1992" s="5">
        <f t="shared" si="70"/>
        <v>110656.84</v>
      </c>
    </row>
    <row r="1993" spans="1:45" x14ac:dyDescent="0.3">
      <c r="A1993" s="1">
        <v>45900.963888888888</v>
      </c>
      <c r="B1993" t="s">
        <v>1473</v>
      </c>
      <c r="C1993" t="s">
        <v>1474</v>
      </c>
      <c r="D1993" t="s">
        <v>437</v>
      </c>
      <c r="F1993" t="s">
        <v>1674</v>
      </c>
      <c r="G1993" t="s">
        <v>438</v>
      </c>
      <c r="H1993" t="s">
        <v>66</v>
      </c>
      <c r="I1993" t="s">
        <v>43</v>
      </c>
      <c r="J1993">
        <v>46.59</v>
      </c>
      <c r="K1993">
        <v>19</v>
      </c>
      <c r="L1993">
        <v>10</v>
      </c>
      <c r="M1993">
        <v>11</v>
      </c>
      <c r="N1993">
        <v>32343</v>
      </c>
      <c r="O1993">
        <v>85</v>
      </c>
      <c r="P1993">
        <v>0</v>
      </c>
      <c r="Q1993">
        <v>76</v>
      </c>
      <c r="R1993">
        <v>34</v>
      </c>
      <c r="S1993" t="s">
        <v>44</v>
      </c>
      <c r="T1993" t="s">
        <v>44</v>
      </c>
      <c r="U1993" t="s">
        <v>44</v>
      </c>
      <c r="V1993">
        <v>1041</v>
      </c>
      <c r="W1993" t="s">
        <v>44</v>
      </c>
      <c r="X1993" t="s">
        <v>44</v>
      </c>
      <c r="Y1993">
        <v>1041</v>
      </c>
      <c r="Z1993" t="s">
        <v>44</v>
      </c>
      <c r="AA1993">
        <v>37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 s="2">
        <v>1163</v>
      </c>
      <c r="AQ1993">
        <f t="shared" si="69"/>
        <v>1163</v>
      </c>
      <c r="AR1993" s="5">
        <f>VLOOKUP(F1993,'[2]SCP_24-25'!$A:$D,4,0)</f>
        <v>28.199999999999996</v>
      </c>
      <c r="AS1993" s="5">
        <f t="shared" si="70"/>
        <v>32796.6</v>
      </c>
    </row>
    <row r="1994" spans="1:45" x14ac:dyDescent="0.3">
      <c r="A1994" s="1">
        <v>45900.963888888888</v>
      </c>
      <c r="B1994" t="s">
        <v>1473</v>
      </c>
      <c r="C1994" t="s">
        <v>1474</v>
      </c>
      <c r="D1994" t="s">
        <v>799</v>
      </c>
      <c r="F1994" t="s">
        <v>1851</v>
      </c>
      <c r="G1994" t="s">
        <v>800</v>
      </c>
      <c r="H1994" t="s">
        <v>103</v>
      </c>
      <c r="I1994" t="s">
        <v>43</v>
      </c>
      <c r="J1994">
        <v>217</v>
      </c>
      <c r="K1994">
        <v>19</v>
      </c>
      <c r="L1994">
        <v>10</v>
      </c>
      <c r="M1994">
        <v>11</v>
      </c>
      <c r="N1994">
        <v>31090</v>
      </c>
      <c r="O1994">
        <v>0</v>
      </c>
      <c r="P1994">
        <v>0</v>
      </c>
      <c r="Q1994">
        <v>24</v>
      </c>
      <c r="R1994">
        <v>1015</v>
      </c>
      <c r="S1994" t="s">
        <v>44</v>
      </c>
      <c r="T1994" t="s">
        <v>44</v>
      </c>
      <c r="U1994" t="s">
        <v>44</v>
      </c>
      <c r="V1994">
        <v>3226</v>
      </c>
      <c r="W1994">
        <v>1</v>
      </c>
      <c r="X1994" t="s">
        <v>44</v>
      </c>
      <c r="Y1994">
        <v>3226</v>
      </c>
      <c r="Z1994" t="s">
        <v>44</v>
      </c>
      <c r="AA1994">
        <v>10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 s="2">
        <v>3236</v>
      </c>
      <c r="AQ1994">
        <f t="shared" si="69"/>
        <v>3236</v>
      </c>
      <c r="AR1994" s="5">
        <f>VLOOKUP(F1994,'[2]SCP_24-25'!$A:$D,4,0)</f>
        <v>41.552</v>
      </c>
      <c r="AS1994" s="5">
        <f t="shared" si="70"/>
        <v>134462.272</v>
      </c>
    </row>
    <row r="1995" spans="1:45" x14ac:dyDescent="0.3">
      <c r="A1995" s="1">
        <v>45900.963888888888</v>
      </c>
      <c r="B1995" t="s">
        <v>1473</v>
      </c>
      <c r="C1995" t="s">
        <v>1474</v>
      </c>
      <c r="D1995" t="s">
        <v>522</v>
      </c>
      <c r="E1995" t="s">
        <v>445</v>
      </c>
      <c r="F1995" t="s">
        <v>1715</v>
      </c>
      <c r="G1995" t="s">
        <v>523</v>
      </c>
      <c r="H1995" t="s">
        <v>130</v>
      </c>
      <c r="I1995" t="s">
        <v>43</v>
      </c>
      <c r="J1995">
        <v>60.02</v>
      </c>
      <c r="K1995">
        <v>19</v>
      </c>
      <c r="L1995">
        <v>10</v>
      </c>
      <c r="M1995">
        <v>11</v>
      </c>
      <c r="N1995">
        <v>9239</v>
      </c>
      <c r="O1995">
        <v>0</v>
      </c>
      <c r="P1995">
        <v>0</v>
      </c>
      <c r="Q1995">
        <v>4</v>
      </c>
      <c r="R1995">
        <v>1633</v>
      </c>
      <c r="S1995" t="s">
        <v>44</v>
      </c>
      <c r="T1995" t="s">
        <v>44</v>
      </c>
      <c r="U1995" t="s">
        <v>44</v>
      </c>
      <c r="V1995">
        <v>1416</v>
      </c>
      <c r="W1995">
        <v>3</v>
      </c>
      <c r="X1995" t="s">
        <v>44</v>
      </c>
      <c r="Y1995">
        <v>1409</v>
      </c>
      <c r="Z1995" t="s">
        <v>44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 s="2">
        <v>1416</v>
      </c>
      <c r="AQ1995">
        <f t="shared" si="69"/>
        <v>1416</v>
      </c>
      <c r="AR1995" s="5">
        <f>VLOOKUP(F1995,'[2]SCP_24-25'!$A:$D,4,0)</f>
        <v>86.699999999999989</v>
      </c>
      <c r="AS1995" s="5">
        <f t="shared" si="70"/>
        <v>122767.19999999998</v>
      </c>
    </row>
    <row r="1996" spans="1:45" x14ac:dyDescent="0.3">
      <c r="A1996" s="1">
        <v>45900.963888888888</v>
      </c>
      <c r="B1996" t="s">
        <v>1473</v>
      </c>
      <c r="C1996" t="s">
        <v>1474</v>
      </c>
      <c r="D1996" t="s">
        <v>483</v>
      </c>
      <c r="F1996" t="s">
        <v>1696</v>
      </c>
      <c r="G1996" t="s">
        <v>484</v>
      </c>
      <c r="H1996" t="s">
        <v>130</v>
      </c>
      <c r="I1996" t="s">
        <v>43</v>
      </c>
      <c r="J1996">
        <v>24.02</v>
      </c>
      <c r="K1996">
        <v>19</v>
      </c>
      <c r="L1996">
        <v>10</v>
      </c>
      <c r="M1996">
        <v>11</v>
      </c>
      <c r="N1996">
        <v>8430</v>
      </c>
      <c r="O1996">
        <v>0</v>
      </c>
      <c r="P1996">
        <v>0</v>
      </c>
      <c r="Q1996">
        <v>3</v>
      </c>
      <c r="R1996">
        <v>64</v>
      </c>
      <c r="S1996" t="s">
        <v>44</v>
      </c>
      <c r="T1996" t="s">
        <v>44</v>
      </c>
      <c r="U1996" t="s">
        <v>44</v>
      </c>
      <c r="V1996">
        <v>2879</v>
      </c>
      <c r="W1996" t="s">
        <v>44</v>
      </c>
      <c r="X1996" t="s">
        <v>44</v>
      </c>
      <c r="Y1996">
        <v>2879</v>
      </c>
      <c r="Z1996" t="s">
        <v>44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 s="2">
        <v>2879</v>
      </c>
      <c r="AQ1996">
        <f t="shared" si="69"/>
        <v>2879</v>
      </c>
      <c r="AR1996" s="5">
        <f>VLOOKUP(F1996,'[2]SCP_24-25'!$A:$D,4,0)</f>
        <v>79.066666666666677</v>
      </c>
      <c r="AS1996" s="5">
        <f t="shared" si="70"/>
        <v>227632.93333333335</v>
      </c>
    </row>
    <row r="1997" spans="1:45" x14ac:dyDescent="0.3">
      <c r="A1997" s="1">
        <v>45900.963888888888</v>
      </c>
      <c r="B1997" t="s">
        <v>1473</v>
      </c>
      <c r="C1997" t="s">
        <v>1474</v>
      </c>
      <c r="D1997" t="s">
        <v>526</v>
      </c>
      <c r="F1997" t="s">
        <v>1717</v>
      </c>
      <c r="G1997" t="s">
        <v>527</v>
      </c>
      <c r="H1997" t="s">
        <v>130</v>
      </c>
      <c r="I1997" t="s">
        <v>43</v>
      </c>
      <c r="J1997">
        <v>23</v>
      </c>
      <c r="K1997">
        <v>19</v>
      </c>
      <c r="L1997">
        <v>10</v>
      </c>
      <c r="M1997">
        <v>11</v>
      </c>
      <c r="N1997">
        <v>7215</v>
      </c>
      <c r="O1997">
        <v>0</v>
      </c>
      <c r="P1997">
        <v>0</v>
      </c>
      <c r="Q1997">
        <v>2</v>
      </c>
      <c r="R1997">
        <v>1</v>
      </c>
      <c r="S1997" t="s">
        <v>44</v>
      </c>
      <c r="T1997">
        <v>31</v>
      </c>
      <c r="U1997" t="s">
        <v>44</v>
      </c>
      <c r="V1997">
        <v>1181</v>
      </c>
      <c r="W1997" t="s">
        <v>44</v>
      </c>
      <c r="X1997" t="s">
        <v>44</v>
      </c>
      <c r="Y1997">
        <v>1181</v>
      </c>
      <c r="Z1997" t="s">
        <v>44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 s="2">
        <v>1181</v>
      </c>
      <c r="AQ1997">
        <f t="shared" si="69"/>
        <v>1181</v>
      </c>
      <c r="AR1997" s="5">
        <f>VLOOKUP(F1997,'[2]SCP_24-25'!$A:$D,4,0)</f>
        <v>79.680000000000007</v>
      </c>
      <c r="AS1997" s="5">
        <f t="shared" si="70"/>
        <v>94102.080000000002</v>
      </c>
    </row>
    <row r="1998" spans="1:45" x14ac:dyDescent="0.3">
      <c r="A1998" s="1">
        <v>45900.963888888888</v>
      </c>
      <c r="B1998" t="s">
        <v>1473</v>
      </c>
      <c r="C1998" t="s">
        <v>1474</v>
      </c>
      <c r="D1998" t="s">
        <v>566</v>
      </c>
      <c r="F1998" t="s">
        <v>1737</v>
      </c>
      <c r="G1998" t="s">
        <v>567</v>
      </c>
      <c r="H1998" t="s">
        <v>130</v>
      </c>
      <c r="I1998" t="s">
        <v>43</v>
      </c>
      <c r="J1998">
        <v>24.02</v>
      </c>
      <c r="K1998">
        <v>19</v>
      </c>
      <c r="L1998">
        <v>10</v>
      </c>
      <c r="M1998">
        <v>11</v>
      </c>
      <c r="N1998">
        <v>6473</v>
      </c>
      <c r="O1998">
        <v>0</v>
      </c>
      <c r="P1998">
        <v>0</v>
      </c>
      <c r="Q1998">
        <v>1</v>
      </c>
      <c r="R1998">
        <v>19</v>
      </c>
      <c r="S1998" t="s">
        <v>44</v>
      </c>
      <c r="T1998" t="s">
        <v>44</v>
      </c>
      <c r="U1998" t="s">
        <v>44</v>
      </c>
      <c r="V1998">
        <v>1230</v>
      </c>
      <c r="W1998">
        <v>2</v>
      </c>
      <c r="X1998" t="s">
        <v>44</v>
      </c>
      <c r="Y1998">
        <v>1230</v>
      </c>
      <c r="Z1998" t="s">
        <v>44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 s="2">
        <v>1231</v>
      </c>
      <c r="AQ1998">
        <f t="shared" si="69"/>
        <v>1231</v>
      </c>
      <c r="AR1998" s="5">
        <f>VLOOKUP(F1998,'[2]SCP_24-25'!$A:$D,4,0)</f>
        <v>79.680000000000007</v>
      </c>
      <c r="AS1998" s="5">
        <f t="shared" si="70"/>
        <v>98086.080000000002</v>
      </c>
    </row>
    <row r="1999" spans="1:45" x14ac:dyDescent="0.3">
      <c r="A1999" s="1">
        <v>45900.963888888888</v>
      </c>
      <c r="B1999" t="s">
        <v>1473</v>
      </c>
      <c r="C1999" t="s">
        <v>1474</v>
      </c>
      <c r="D1999" t="s">
        <v>568</v>
      </c>
      <c r="F1999" t="s">
        <v>1738</v>
      </c>
      <c r="G1999" t="s">
        <v>569</v>
      </c>
      <c r="H1999" t="s">
        <v>130</v>
      </c>
      <c r="I1999" t="s">
        <v>43</v>
      </c>
      <c r="J1999">
        <v>24.02</v>
      </c>
      <c r="K1999">
        <v>19</v>
      </c>
      <c r="L1999">
        <v>10</v>
      </c>
      <c r="M1999">
        <v>11</v>
      </c>
      <c r="N1999">
        <v>6956</v>
      </c>
      <c r="O1999">
        <v>1</v>
      </c>
      <c r="P1999">
        <v>0</v>
      </c>
      <c r="Q1999">
        <v>2</v>
      </c>
      <c r="R1999">
        <v>225</v>
      </c>
      <c r="S1999" t="s">
        <v>44</v>
      </c>
      <c r="T1999" t="s">
        <v>44</v>
      </c>
      <c r="U1999" t="s">
        <v>44</v>
      </c>
      <c r="V1999">
        <v>1434</v>
      </c>
      <c r="W1999" t="s">
        <v>44</v>
      </c>
      <c r="X1999" t="s">
        <v>44</v>
      </c>
      <c r="Y1999">
        <v>1434</v>
      </c>
      <c r="Z1999" t="s">
        <v>44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 s="2">
        <v>1435</v>
      </c>
      <c r="AQ1999">
        <f t="shared" si="69"/>
        <v>1435</v>
      </c>
      <c r="AR1999" s="5">
        <f>VLOOKUP(F1999,'[2]SCP_24-25'!$A:$D,4,0)</f>
        <v>79.680000000000007</v>
      </c>
      <c r="AS1999" s="5">
        <f t="shared" si="70"/>
        <v>114340.8</v>
      </c>
    </row>
    <row r="2000" spans="1:45" x14ac:dyDescent="0.3">
      <c r="A2000" s="1">
        <v>45900.963888888888</v>
      </c>
      <c r="B2000" t="s">
        <v>1473</v>
      </c>
      <c r="C2000" t="s">
        <v>1474</v>
      </c>
      <c r="D2000" t="s">
        <v>588</v>
      </c>
      <c r="F2000" t="s">
        <v>1748</v>
      </c>
      <c r="G2000" t="s">
        <v>589</v>
      </c>
      <c r="H2000" t="s">
        <v>130</v>
      </c>
      <c r="I2000" t="s">
        <v>43</v>
      </c>
      <c r="J2000">
        <v>24.02</v>
      </c>
      <c r="K2000">
        <v>19</v>
      </c>
      <c r="L2000">
        <v>10</v>
      </c>
      <c r="M2000">
        <v>11</v>
      </c>
      <c r="N2000">
        <v>6578</v>
      </c>
      <c r="O2000">
        <v>1</v>
      </c>
      <c r="P2000">
        <v>0</v>
      </c>
      <c r="Q2000">
        <v>1</v>
      </c>
      <c r="R2000">
        <v>7</v>
      </c>
      <c r="S2000" t="s">
        <v>44</v>
      </c>
      <c r="T2000">
        <v>12</v>
      </c>
      <c r="U2000" t="s">
        <v>44</v>
      </c>
      <c r="V2000">
        <v>1017</v>
      </c>
      <c r="W2000" t="s">
        <v>44</v>
      </c>
      <c r="X2000" t="s">
        <v>44</v>
      </c>
      <c r="Y2000">
        <v>1017</v>
      </c>
      <c r="Z2000" t="s">
        <v>44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 s="2">
        <v>1018</v>
      </c>
      <c r="AQ2000">
        <f t="shared" si="69"/>
        <v>1018</v>
      </c>
      <c r="AR2000" s="5">
        <f>VLOOKUP(F2000,'[2]SCP_24-25'!$A:$D,4,0)</f>
        <v>77.84</v>
      </c>
      <c r="AS2000" s="5">
        <f t="shared" si="70"/>
        <v>79241.12000000001</v>
      </c>
    </row>
    <row r="2001" spans="1:45" x14ac:dyDescent="0.3">
      <c r="A2001" s="1">
        <v>45900.963888888888</v>
      </c>
      <c r="B2001" t="s">
        <v>1473</v>
      </c>
      <c r="C2001" t="s">
        <v>1474</v>
      </c>
      <c r="D2001" t="s">
        <v>427</v>
      </c>
      <c r="F2001" t="s">
        <v>1670</v>
      </c>
      <c r="G2001" t="s">
        <v>428</v>
      </c>
      <c r="H2001" t="s">
        <v>130</v>
      </c>
      <c r="I2001" t="s">
        <v>43</v>
      </c>
      <c r="J2001">
        <v>24.02</v>
      </c>
      <c r="K2001">
        <v>19</v>
      </c>
      <c r="L2001">
        <v>10</v>
      </c>
      <c r="M2001">
        <v>11</v>
      </c>
      <c r="N2001">
        <v>7048</v>
      </c>
      <c r="O2001">
        <v>0</v>
      </c>
      <c r="P2001">
        <v>0</v>
      </c>
      <c r="Q2001">
        <v>1</v>
      </c>
      <c r="R2001">
        <v>150</v>
      </c>
      <c r="S2001" t="s">
        <v>44</v>
      </c>
      <c r="T2001" t="s">
        <v>44</v>
      </c>
      <c r="U2001" t="s">
        <v>44</v>
      </c>
      <c r="V2001">
        <v>1720</v>
      </c>
      <c r="W2001" t="s">
        <v>44</v>
      </c>
      <c r="X2001" t="s">
        <v>44</v>
      </c>
      <c r="Y2001">
        <v>1720</v>
      </c>
      <c r="Z2001" t="s">
        <v>44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 s="2">
        <v>1720</v>
      </c>
      <c r="AQ2001">
        <f t="shared" si="69"/>
        <v>1720</v>
      </c>
      <c r="AR2001" s="5">
        <f>VLOOKUP(F2001,'[2]SCP_24-25'!$A:$D,4,0)</f>
        <v>79.680000000000007</v>
      </c>
      <c r="AS2001" s="5">
        <f t="shared" si="70"/>
        <v>137049.60000000001</v>
      </c>
    </row>
    <row r="2002" spans="1:45" x14ac:dyDescent="0.3">
      <c r="A2002" s="1">
        <v>45900.963888888888</v>
      </c>
      <c r="B2002" t="s">
        <v>1473</v>
      </c>
      <c r="C2002" t="s">
        <v>1474</v>
      </c>
      <c r="D2002" t="s">
        <v>485</v>
      </c>
      <c r="F2002" t="s">
        <v>1697</v>
      </c>
      <c r="G2002" t="s">
        <v>486</v>
      </c>
      <c r="H2002" t="s">
        <v>130</v>
      </c>
      <c r="I2002" t="s">
        <v>43</v>
      </c>
      <c r="J2002">
        <v>24.02</v>
      </c>
      <c r="K2002">
        <v>19</v>
      </c>
      <c r="L2002">
        <v>10</v>
      </c>
      <c r="M2002">
        <v>11</v>
      </c>
      <c r="N2002">
        <v>7012</v>
      </c>
      <c r="O2002">
        <v>1</v>
      </c>
      <c r="P2002">
        <v>0</v>
      </c>
      <c r="Q2002">
        <v>1</v>
      </c>
      <c r="R2002">
        <v>40</v>
      </c>
      <c r="S2002" t="s">
        <v>44</v>
      </c>
      <c r="T2002" t="s">
        <v>44</v>
      </c>
      <c r="U2002" t="s">
        <v>44</v>
      </c>
      <c r="V2002">
        <v>1461</v>
      </c>
      <c r="W2002">
        <v>1</v>
      </c>
      <c r="X2002" t="s">
        <v>44</v>
      </c>
      <c r="Y2002">
        <v>1461</v>
      </c>
      <c r="Z2002" t="s">
        <v>44</v>
      </c>
      <c r="AA2002">
        <v>5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 s="2">
        <v>1467</v>
      </c>
      <c r="AQ2002">
        <f t="shared" si="69"/>
        <v>1467</v>
      </c>
      <c r="AR2002" s="5">
        <f>VLOOKUP(F2002,'[2]SCP_24-25'!$A:$D,4,0)</f>
        <v>79.680000000000007</v>
      </c>
      <c r="AS2002" s="5">
        <f t="shared" si="70"/>
        <v>116890.56000000001</v>
      </c>
    </row>
    <row r="2003" spans="1:45" x14ac:dyDescent="0.3">
      <c r="A2003" s="1">
        <v>45900.963888888888</v>
      </c>
      <c r="B2003" t="s">
        <v>1473</v>
      </c>
      <c r="C2003" t="s">
        <v>1474</v>
      </c>
      <c r="D2003" t="s">
        <v>570</v>
      </c>
      <c r="F2003" t="s">
        <v>1739</v>
      </c>
      <c r="G2003" t="s">
        <v>571</v>
      </c>
      <c r="H2003" t="s">
        <v>130</v>
      </c>
      <c r="I2003" t="s">
        <v>43</v>
      </c>
      <c r="J2003">
        <v>24</v>
      </c>
      <c r="K2003">
        <v>19</v>
      </c>
      <c r="L2003">
        <v>10</v>
      </c>
      <c r="M2003">
        <v>11</v>
      </c>
      <c r="N2003">
        <v>6870</v>
      </c>
      <c r="O2003">
        <v>4</v>
      </c>
      <c r="P2003">
        <v>0</v>
      </c>
      <c r="Q2003" t="s">
        <v>44</v>
      </c>
      <c r="R2003" t="s">
        <v>44</v>
      </c>
      <c r="S2003" t="s">
        <v>44</v>
      </c>
      <c r="T2003" t="s">
        <v>44</v>
      </c>
      <c r="U2003" t="s">
        <v>44</v>
      </c>
      <c r="V2003">
        <v>1538</v>
      </c>
      <c r="W2003" t="s">
        <v>44</v>
      </c>
      <c r="X2003" t="s">
        <v>44</v>
      </c>
      <c r="Y2003">
        <v>1538</v>
      </c>
      <c r="Z2003" t="s">
        <v>44</v>
      </c>
      <c r="AA2003">
        <v>4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 s="2">
        <v>1546</v>
      </c>
      <c r="AQ2003">
        <f t="shared" ref="AQ2003:AQ2041" si="71">O2003+P2003+V2003+AA2003</f>
        <v>1546</v>
      </c>
      <c r="AR2003" s="5">
        <f>VLOOKUP(F2003,'[2]SCP_24-25'!$A:$D,4,0)</f>
        <v>79.680000000000007</v>
      </c>
      <c r="AS2003" s="5">
        <f t="shared" si="70"/>
        <v>123185.28000000001</v>
      </c>
    </row>
    <row r="2004" spans="1:45" x14ac:dyDescent="0.3">
      <c r="A2004" s="1">
        <v>45900.963888888888</v>
      </c>
      <c r="B2004" t="s">
        <v>1473</v>
      </c>
      <c r="C2004" t="s">
        <v>1474</v>
      </c>
      <c r="D2004" t="s">
        <v>528</v>
      </c>
      <c r="F2004" t="s">
        <v>1718</v>
      </c>
      <c r="G2004" t="s">
        <v>529</v>
      </c>
      <c r="H2004" t="s">
        <v>130</v>
      </c>
      <c r="I2004" t="s">
        <v>43</v>
      </c>
      <c r="J2004">
        <v>24.02</v>
      </c>
      <c r="K2004">
        <v>19</v>
      </c>
      <c r="L2004">
        <v>10</v>
      </c>
      <c r="M2004">
        <v>11</v>
      </c>
      <c r="N2004">
        <v>7536</v>
      </c>
      <c r="O2004">
        <v>0</v>
      </c>
      <c r="P2004">
        <v>0</v>
      </c>
      <c r="Q2004">
        <v>2</v>
      </c>
      <c r="R2004">
        <v>146</v>
      </c>
      <c r="S2004" t="s">
        <v>44</v>
      </c>
      <c r="T2004" t="s">
        <v>44</v>
      </c>
      <c r="U2004" t="s">
        <v>44</v>
      </c>
      <c r="V2004">
        <v>1759</v>
      </c>
      <c r="W2004">
        <v>11</v>
      </c>
      <c r="X2004" t="s">
        <v>44</v>
      </c>
      <c r="Y2004">
        <v>1754</v>
      </c>
      <c r="Z2004" t="s">
        <v>44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 s="2">
        <v>1759</v>
      </c>
      <c r="AQ2004">
        <f t="shared" si="71"/>
        <v>1759</v>
      </c>
      <c r="AR2004" s="5">
        <f>VLOOKUP(F2004,'[2]SCP_24-25'!$A:$D,4,0)</f>
        <v>79.680000000000007</v>
      </c>
      <c r="AS2004" s="5">
        <f t="shared" si="70"/>
        <v>140157.12000000002</v>
      </c>
    </row>
    <row r="2005" spans="1:45" x14ac:dyDescent="0.3">
      <c r="A2005" s="1">
        <v>45900.963888888888</v>
      </c>
      <c r="B2005" t="s">
        <v>1473</v>
      </c>
      <c r="C2005" t="s">
        <v>1474</v>
      </c>
      <c r="D2005" t="s">
        <v>487</v>
      </c>
      <c r="F2005" t="s">
        <v>1698</v>
      </c>
      <c r="G2005" t="s">
        <v>488</v>
      </c>
      <c r="H2005" t="s">
        <v>130</v>
      </c>
      <c r="I2005" t="s">
        <v>43</v>
      </c>
      <c r="J2005">
        <v>24.02</v>
      </c>
      <c r="K2005">
        <v>19</v>
      </c>
      <c r="L2005">
        <v>10</v>
      </c>
      <c r="M2005">
        <v>11</v>
      </c>
      <c r="N2005">
        <v>6187</v>
      </c>
      <c r="O2005">
        <v>1</v>
      </c>
      <c r="P2005">
        <v>0</v>
      </c>
      <c r="Q2005">
        <v>1</v>
      </c>
      <c r="R2005">
        <v>211</v>
      </c>
      <c r="S2005" t="s">
        <v>44</v>
      </c>
      <c r="T2005" t="s">
        <v>44</v>
      </c>
      <c r="U2005" t="s">
        <v>44</v>
      </c>
      <c r="V2005">
        <v>1720</v>
      </c>
      <c r="W2005" t="s">
        <v>44</v>
      </c>
      <c r="X2005" t="s">
        <v>44</v>
      </c>
      <c r="Y2005">
        <v>1720</v>
      </c>
      <c r="Z2005" t="s">
        <v>44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 s="2">
        <v>1721</v>
      </c>
      <c r="AQ2005">
        <f t="shared" si="71"/>
        <v>1721</v>
      </c>
      <c r="AR2005" s="5">
        <f>VLOOKUP(F2005,'[2]SCP_24-25'!$A:$D,4,0)</f>
        <v>79.680000000000007</v>
      </c>
      <c r="AS2005" s="5">
        <f t="shared" si="70"/>
        <v>137129.28</v>
      </c>
    </row>
    <row r="2006" spans="1:45" x14ac:dyDescent="0.3">
      <c r="A2006" s="1">
        <v>45900.963888888888</v>
      </c>
      <c r="B2006" t="s">
        <v>1473</v>
      </c>
      <c r="C2006" t="s">
        <v>1474</v>
      </c>
      <c r="D2006" t="s">
        <v>447</v>
      </c>
      <c r="F2006" t="s">
        <v>1678</v>
      </c>
      <c r="G2006" t="s">
        <v>448</v>
      </c>
      <c r="H2006" t="s">
        <v>130</v>
      </c>
      <c r="I2006" t="s">
        <v>43</v>
      </c>
      <c r="J2006">
        <v>24</v>
      </c>
      <c r="K2006">
        <v>19</v>
      </c>
      <c r="L2006">
        <v>10</v>
      </c>
      <c r="M2006">
        <v>11</v>
      </c>
      <c r="N2006">
        <v>7658</v>
      </c>
      <c r="O2006">
        <v>0</v>
      </c>
      <c r="P2006">
        <v>0</v>
      </c>
      <c r="Q2006">
        <v>2</v>
      </c>
      <c r="R2006">
        <v>176</v>
      </c>
      <c r="S2006" t="s">
        <v>44</v>
      </c>
      <c r="T2006">
        <v>1</v>
      </c>
      <c r="U2006" t="s">
        <v>44</v>
      </c>
      <c r="V2006">
        <v>2288</v>
      </c>
      <c r="W2006" t="s">
        <v>44</v>
      </c>
      <c r="X2006" t="s">
        <v>44</v>
      </c>
      <c r="Y2006">
        <v>2286</v>
      </c>
      <c r="Z2006" t="s">
        <v>44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 s="2">
        <v>2288</v>
      </c>
      <c r="AQ2006">
        <f t="shared" si="71"/>
        <v>2288</v>
      </c>
      <c r="AR2006" s="5">
        <f>VLOOKUP(F2006,'[2]SCP_24-25'!$A:$D,4,0)</f>
        <v>79.680000000000007</v>
      </c>
      <c r="AS2006" s="5">
        <f t="shared" si="70"/>
        <v>182307.84000000003</v>
      </c>
    </row>
    <row r="2007" spans="1:45" x14ac:dyDescent="0.3">
      <c r="A2007" s="1">
        <v>45900.963888888888</v>
      </c>
      <c r="B2007" t="s">
        <v>1473</v>
      </c>
      <c r="C2007" t="s">
        <v>1474</v>
      </c>
      <c r="D2007" t="s">
        <v>451</v>
      </c>
      <c r="F2007" t="s">
        <v>1680</v>
      </c>
      <c r="G2007" t="s">
        <v>452</v>
      </c>
      <c r="H2007" t="s">
        <v>130</v>
      </c>
      <c r="I2007" t="s">
        <v>43</v>
      </c>
      <c r="J2007">
        <v>125.02</v>
      </c>
      <c r="K2007">
        <v>19</v>
      </c>
      <c r="L2007">
        <v>10</v>
      </c>
      <c r="M2007">
        <v>11</v>
      </c>
      <c r="N2007">
        <v>11247</v>
      </c>
      <c r="O2007">
        <v>0</v>
      </c>
      <c r="P2007">
        <v>0</v>
      </c>
      <c r="Q2007">
        <v>3</v>
      </c>
      <c r="R2007" t="s">
        <v>44</v>
      </c>
      <c r="S2007" t="s">
        <v>44</v>
      </c>
      <c r="T2007" t="s">
        <v>44</v>
      </c>
      <c r="U2007" t="s">
        <v>44</v>
      </c>
      <c r="V2007">
        <v>4051</v>
      </c>
      <c r="W2007" t="s">
        <v>44</v>
      </c>
      <c r="X2007" t="s">
        <v>44</v>
      </c>
      <c r="Y2007">
        <v>4047</v>
      </c>
      <c r="Z2007" t="s">
        <v>44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 s="2">
        <v>4051</v>
      </c>
      <c r="AQ2007">
        <f t="shared" si="71"/>
        <v>4051</v>
      </c>
      <c r="AR2007" s="5">
        <f>VLOOKUP(F2007,'[2]SCP_24-25'!$A:$D,4,0)</f>
        <v>168.55</v>
      </c>
      <c r="AS2007" s="5">
        <f t="shared" si="70"/>
        <v>682796.05</v>
      </c>
    </row>
    <row r="2008" spans="1:45" x14ac:dyDescent="0.3">
      <c r="A2008" s="1">
        <v>45900.963888888888</v>
      </c>
      <c r="B2008" t="s">
        <v>1473</v>
      </c>
      <c r="C2008" t="s">
        <v>1474</v>
      </c>
      <c r="D2008" t="s">
        <v>532</v>
      </c>
      <c r="F2008" t="s">
        <v>1720</v>
      </c>
      <c r="G2008" t="s">
        <v>533</v>
      </c>
      <c r="H2008" t="s">
        <v>130</v>
      </c>
      <c r="I2008" t="s">
        <v>43</v>
      </c>
      <c r="J2008">
        <v>38.020000000000003</v>
      </c>
      <c r="K2008">
        <v>19</v>
      </c>
      <c r="L2008">
        <v>10</v>
      </c>
      <c r="M2008">
        <v>11</v>
      </c>
      <c r="N2008">
        <v>4803</v>
      </c>
      <c r="O2008">
        <v>2</v>
      </c>
      <c r="P2008">
        <v>0</v>
      </c>
      <c r="Q2008" t="s">
        <v>44</v>
      </c>
      <c r="R2008">
        <v>3</v>
      </c>
      <c r="S2008" t="s">
        <v>44</v>
      </c>
      <c r="T2008">
        <v>6</v>
      </c>
      <c r="U2008" t="s">
        <v>44</v>
      </c>
      <c r="V2008">
        <v>1191</v>
      </c>
      <c r="W2008" t="s">
        <v>44</v>
      </c>
      <c r="X2008" t="s">
        <v>44</v>
      </c>
      <c r="Y2008">
        <v>1191</v>
      </c>
      <c r="Z2008" t="s">
        <v>44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 s="2">
        <v>1193</v>
      </c>
      <c r="AQ2008">
        <f t="shared" si="71"/>
        <v>1193</v>
      </c>
      <c r="AR2008" s="5">
        <f>VLOOKUP(F2008,'[2]SCP_24-25'!$A:$D,4,0)</f>
        <v>73.05</v>
      </c>
      <c r="AS2008" s="5">
        <f t="shared" si="70"/>
        <v>87148.65</v>
      </c>
    </row>
    <row r="2009" spans="1:45" x14ac:dyDescent="0.3">
      <c r="A2009" s="1">
        <v>45900.963888888888</v>
      </c>
      <c r="B2009" t="s">
        <v>1473</v>
      </c>
      <c r="C2009" t="s">
        <v>1474</v>
      </c>
      <c r="D2009" t="s">
        <v>453</v>
      </c>
      <c r="F2009" t="s">
        <v>1681</v>
      </c>
      <c r="G2009" t="s">
        <v>454</v>
      </c>
      <c r="H2009" t="s">
        <v>130</v>
      </c>
      <c r="I2009" t="s">
        <v>43</v>
      </c>
      <c r="J2009">
        <v>38.020000000000003</v>
      </c>
      <c r="K2009">
        <v>19</v>
      </c>
      <c r="L2009">
        <v>10</v>
      </c>
      <c r="M2009">
        <v>11</v>
      </c>
      <c r="N2009">
        <v>4798</v>
      </c>
      <c r="O2009">
        <v>1</v>
      </c>
      <c r="P2009">
        <v>0</v>
      </c>
      <c r="Q2009">
        <v>3</v>
      </c>
      <c r="R2009">
        <v>273</v>
      </c>
      <c r="S2009" t="s">
        <v>44</v>
      </c>
      <c r="T2009" t="s">
        <v>44</v>
      </c>
      <c r="U2009" t="s">
        <v>44</v>
      </c>
      <c r="V2009">
        <v>1154</v>
      </c>
      <c r="W2009">
        <v>1</v>
      </c>
      <c r="X2009" t="s">
        <v>44</v>
      </c>
      <c r="Y2009">
        <v>1154</v>
      </c>
      <c r="Z2009" t="s">
        <v>44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 s="2">
        <v>1155</v>
      </c>
      <c r="AQ2009">
        <f t="shared" si="71"/>
        <v>1155</v>
      </c>
      <c r="AR2009" s="5">
        <f>VLOOKUP(F2009,'[2]SCP_24-25'!$A:$D,4,0)</f>
        <v>73.05</v>
      </c>
      <c r="AS2009" s="5">
        <f t="shared" si="70"/>
        <v>84372.75</v>
      </c>
    </row>
    <row r="2010" spans="1:45" x14ac:dyDescent="0.3">
      <c r="A2010" s="1">
        <v>45900.963888888888</v>
      </c>
      <c r="B2010" t="s">
        <v>1473</v>
      </c>
      <c r="C2010" t="s">
        <v>1474</v>
      </c>
      <c r="D2010" t="s">
        <v>574</v>
      </c>
      <c r="F2010" t="s">
        <v>1741</v>
      </c>
      <c r="G2010" t="s">
        <v>575</v>
      </c>
      <c r="H2010" t="s">
        <v>130</v>
      </c>
      <c r="I2010" t="s">
        <v>43</v>
      </c>
      <c r="J2010">
        <v>40.020000000000003</v>
      </c>
      <c r="K2010">
        <v>19</v>
      </c>
      <c r="L2010">
        <v>10</v>
      </c>
      <c r="M2010">
        <v>11</v>
      </c>
      <c r="N2010">
        <v>9340</v>
      </c>
      <c r="O2010">
        <v>8</v>
      </c>
      <c r="P2010">
        <v>0</v>
      </c>
      <c r="Q2010">
        <v>5</v>
      </c>
      <c r="R2010">
        <v>13</v>
      </c>
      <c r="S2010" t="s">
        <v>44</v>
      </c>
      <c r="T2010" t="s">
        <v>44</v>
      </c>
      <c r="U2010" t="s">
        <v>44</v>
      </c>
      <c r="V2010">
        <v>1554</v>
      </c>
      <c r="W2010" t="s">
        <v>44</v>
      </c>
      <c r="X2010" t="s">
        <v>44</v>
      </c>
      <c r="Y2010">
        <v>1554</v>
      </c>
      <c r="Z2010" t="s">
        <v>44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 s="2">
        <v>1562</v>
      </c>
      <c r="AQ2010">
        <f t="shared" si="71"/>
        <v>1562</v>
      </c>
      <c r="AR2010" s="5">
        <f>VLOOKUP(F2010,'[2]SCP_24-25'!$A:$D,4,0)</f>
        <v>98.3</v>
      </c>
      <c r="AS2010" s="5">
        <f t="shared" si="70"/>
        <v>153544.6</v>
      </c>
    </row>
    <row r="2011" spans="1:45" x14ac:dyDescent="0.3">
      <c r="A2011" s="1">
        <v>45900.963888888888</v>
      </c>
      <c r="B2011" t="s">
        <v>1473</v>
      </c>
      <c r="C2011" t="s">
        <v>1474</v>
      </c>
      <c r="D2011" t="s">
        <v>576</v>
      </c>
      <c r="F2011" t="s">
        <v>1742</v>
      </c>
      <c r="G2011" t="s">
        <v>577</v>
      </c>
      <c r="H2011" t="s">
        <v>130</v>
      </c>
      <c r="I2011" t="s">
        <v>43</v>
      </c>
      <c r="J2011">
        <v>40.020000000000003</v>
      </c>
      <c r="K2011">
        <v>19</v>
      </c>
      <c r="L2011">
        <v>10</v>
      </c>
      <c r="M2011">
        <v>11</v>
      </c>
      <c r="N2011">
        <v>6175</v>
      </c>
      <c r="O2011">
        <v>5</v>
      </c>
      <c r="P2011">
        <v>0</v>
      </c>
      <c r="Q2011">
        <v>2</v>
      </c>
      <c r="R2011">
        <v>8</v>
      </c>
      <c r="S2011" t="s">
        <v>44</v>
      </c>
      <c r="T2011" t="s">
        <v>44</v>
      </c>
      <c r="U2011" t="s">
        <v>44</v>
      </c>
      <c r="V2011">
        <v>1358</v>
      </c>
      <c r="W2011" t="s">
        <v>44</v>
      </c>
      <c r="X2011" t="s">
        <v>44</v>
      </c>
      <c r="Y2011">
        <v>1358</v>
      </c>
      <c r="Z2011" t="s">
        <v>44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 s="2">
        <v>1363</v>
      </c>
      <c r="AQ2011">
        <f t="shared" si="71"/>
        <v>1363</v>
      </c>
      <c r="AR2011" s="5">
        <f>VLOOKUP(F2011,'[2]SCP_24-25'!$A:$D,4,0)</f>
        <v>98.3</v>
      </c>
      <c r="AS2011" s="5">
        <f t="shared" si="70"/>
        <v>133982.9</v>
      </c>
    </row>
    <row r="2012" spans="1:45" x14ac:dyDescent="0.3">
      <c r="A2012" s="1">
        <v>45900.963888888888</v>
      </c>
      <c r="B2012" t="s">
        <v>1473</v>
      </c>
      <c r="C2012" t="s">
        <v>1474</v>
      </c>
      <c r="D2012" t="s">
        <v>578</v>
      </c>
      <c r="F2012" t="s">
        <v>1743</v>
      </c>
      <c r="G2012" t="s">
        <v>579</v>
      </c>
      <c r="H2012" t="s">
        <v>130</v>
      </c>
      <c r="I2012" t="s">
        <v>43</v>
      </c>
      <c r="J2012">
        <v>40.020000000000003</v>
      </c>
      <c r="K2012">
        <v>19</v>
      </c>
      <c r="L2012">
        <v>10</v>
      </c>
      <c r="M2012">
        <v>11</v>
      </c>
      <c r="N2012">
        <v>5127</v>
      </c>
      <c r="O2012">
        <v>1</v>
      </c>
      <c r="P2012">
        <v>0</v>
      </c>
      <c r="Q2012">
        <v>4</v>
      </c>
      <c r="R2012">
        <v>5</v>
      </c>
      <c r="S2012" t="s">
        <v>44</v>
      </c>
      <c r="T2012" t="s">
        <v>44</v>
      </c>
      <c r="U2012" t="s">
        <v>44</v>
      </c>
      <c r="V2012">
        <v>1068</v>
      </c>
      <c r="W2012" t="s">
        <v>44</v>
      </c>
      <c r="X2012" t="s">
        <v>44</v>
      </c>
      <c r="Y2012">
        <v>1068</v>
      </c>
      <c r="Z2012" t="s">
        <v>44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 s="2">
        <v>1069</v>
      </c>
      <c r="AQ2012">
        <f t="shared" si="71"/>
        <v>1069</v>
      </c>
      <c r="AR2012" s="5">
        <f>VLOOKUP(F2012,'[2]SCP_24-25'!$A:$D,4,0)</f>
        <v>98.3</v>
      </c>
      <c r="AS2012" s="5">
        <f t="shared" si="70"/>
        <v>105082.7</v>
      </c>
    </row>
    <row r="2013" spans="1:45" x14ac:dyDescent="0.3">
      <c r="A2013" s="1">
        <v>45900.963888888888</v>
      </c>
      <c r="B2013" t="s">
        <v>1473</v>
      </c>
      <c r="C2013" t="s">
        <v>1474</v>
      </c>
      <c r="D2013" t="s">
        <v>495</v>
      </c>
      <c r="F2013" t="s">
        <v>1702</v>
      </c>
      <c r="G2013" t="s">
        <v>496</v>
      </c>
      <c r="H2013" t="s">
        <v>130</v>
      </c>
      <c r="I2013" t="s">
        <v>43</v>
      </c>
      <c r="J2013">
        <v>40.020000000000003</v>
      </c>
      <c r="K2013">
        <v>19</v>
      </c>
      <c r="L2013">
        <v>10</v>
      </c>
      <c r="M2013">
        <v>11</v>
      </c>
      <c r="N2013">
        <v>12035</v>
      </c>
      <c r="O2013">
        <v>6</v>
      </c>
      <c r="P2013">
        <v>0</v>
      </c>
      <c r="Q2013">
        <v>3</v>
      </c>
      <c r="R2013">
        <v>7</v>
      </c>
      <c r="S2013" t="s">
        <v>44</v>
      </c>
      <c r="T2013" t="s">
        <v>44</v>
      </c>
      <c r="U2013" t="s">
        <v>44</v>
      </c>
      <c r="V2013">
        <v>3346</v>
      </c>
      <c r="W2013" t="s">
        <v>44</v>
      </c>
      <c r="X2013" t="s">
        <v>44</v>
      </c>
      <c r="Y2013">
        <v>3346</v>
      </c>
      <c r="Z2013" t="s">
        <v>44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 s="2">
        <v>3352</v>
      </c>
      <c r="AQ2013">
        <f t="shared" si="71"/>
        <v>3352</v>
      </c>
      <c r="AR2013" s="5">
        <f>VLOOKUP(F2013,'[2]SCP_24-25'!$A:$D,4,0)</f>
        <v>98.3</v>
      </c>
      <c r="AS2013" s="5">
        <f t="shared" si="70"/>
        <v>329501.59999999998</v>
      </c>
    </row>
    <row r="2014" spans="1:45" x14ac:dyDescent="0.3">
      <c r="A2014" s="1">
        <v>45900.963888888888</v>
      </c>
      <c r="B2014" t="s">
        <v>1473</v>
      </c>
      <c r="C2014" t="s">
        <v>1474</v>
      </c>
      <c r="D2014" t="s">
        <v>459</v>
      </c>
      <c r="F2014" t="s">
        <v>1684</v>
      </c>
      <c r="G2014" t="s">
        <v>460</v>
      </c>
      <c r="H2014" t="s">
        <v>130</v>
      </c>
      <c r="I2014" t="s">
        <v>43</v>
      </c>
      <c r="J2014">
        <v>40.020000000000003</v>
      </c>
      <c r="K2014">
        <v>19</v>
      </c>
      <c r="L2014">
        <v>10</v>
      </c>
      <c r="M2014">
        <v>11</v>
      </c>
      <c r="N2014">
        <v>17035</v>
      </c>
      <c r="O2014">
        <v>8</v>
      </c>
      <c r="P2014">
        <v>0</v>
      </c>
      <c r="Q2014">
        <v>5</v>
      </c>
      <c r="R2014">
        <v>6</v>
      </c>
      <c r="S2014" t="s">
        <v>44</v>
      </c>
      <c r="T2014" t="s">
        <v>44</v>
      </c>
      <c r="U2014" t="s">
        <v>44</v>
      </c>
      <c r="V2014">
        <v>4227</v>
      </c>
      <c r="W2014" t="s">
        <v>44</v>
      </c>
      <c r="X2014" t="s">
        <v>44</v>
      </c>
      <c r="Y2014">
        <v>4227</v>
      </c>
      <c r="Z2014" t="s">
        <v>44</v>
      </c>
      <c r="AA2014">
        <v>3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 s="2">
        <v>4238</v>
      </c>
      <c r="AQ2014">
        <f t="shared" si="71"/>
        <v>4238</v>
      </c>
      <c r="AR2014" s="5">
        <f>VLOOKUP(F2014,'[2]SCP_24-25'!$A:$D,4,0)</f>
        <v>98.299999999999983</v>
      </c>
      <c r="AS2014" s="5">
        <f t="shared" si="70"/>
        <v>416595.39999999991</v>
      </c>
    </row>
    <row r="2015" spans="1:45" x14ac:dyDescent="0.3">
      <c r="A2015" s="1">
        <v>45900.963888888888</v>
      </c>
      <c r="B2015" t="s">
        <v>1473</v>
      </c>
      <c r="C2015" t="s">
        <v>1474</v>
      </c>
      <c r="D2015" t="s">
        <v>465</v>
      </c>
      <c r="F2015" t="s">
        <v>1687</v>
      </c>
      <c r="G2015" t="s">
        <v>466</v>
      </c>
      <c r="H2015" t="s">
        <v>130</v>
      </c>
      <c r="I2015" t="s">
        <v>43</v>
      </c>
      <c r="J2015">
        <v>29.02</v>
      </c>
      <c r="K2015">
        <v>19</v>
      </c>
      <c r="L2015">
        <v>10</v>
      </c>
      <c r="M2015">
        <v>11</v>
      </c>
      <c r="N2015">
        <v>9270</v>
      </c>
      <c r="O2015">
        <v>2</v>
      </c>
      <c r="P2015">
        <v>0</v>
      </c>
      <c r="Q2015" t="s">
        <v>44</v>
      </c>
      <c r="R2015" t="s">
        <v>44</v>
      </c>
      <c r="S2015" t="s">
        <v>44</v>
      </c>
      <c r="T2015">
        <v>5</v>
      </c>
      <c r="U2015" t="s">
        <v>44</v>
      </c>
      <c r="V2015">
        <v>1120</v>
      </c>
      <c r="W2015" t="s">
        <v>44</v>
      </c>
      <c r="X2015" t="s">
        <v>44</v>
      </c>
      <c r="Y2015">
        <v>1120</v>
      </c>
      <c r="Z2015" t="s">
        <v>44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 s="2">
        <v>1122</v>
      </c>
      <c r="AQ2015">
        <f t="shared" si="71"/>
        <v>1122</v>
      </c>
      <c r="AR2015" s="5">
        <f>VLOOKUP(F2015,'[2]SCP_24-25'!$A:$D,4,0)</f>
        <v>113</v>
      </c>
      <c r="AS2015" s="5">
        <f t="shared" si="70"/>
        <v>126786</v>
      </c>
    </row>
    <row r="2016" spans="1:45" x14ac:dyDescent="0.3">
      <c r="A2016" s="1">
        <v>45900.963888888888</v>
      </c>
      <c r="B2016" t="s">
        <v>1473</v>
      </c>
      <c r="C2016" t="s">
        <v>1474</v>
      </c>
      <c r="D2016" t="s">
        <v>801</v>
      </c>
      <c r="F2016" t="s">
        <v>1852</v>
      </c>
      <c r="G2016" t="s">
        <v>802</v>
      </c>
      <c r="H2016" t="s">
        <v>130</v>
      </c>
      <c r="I2016" t="s">
        <v>43</v>
      </c>
      <c r="J2016">
        <v>32.020000000000003</v>
      </c>
      <c r="K2016">
        <v>19</v>
      </c>
      <c r="L2016">
        <v>10</v>
      </c>
      <c r="M2016">
        <v>11</v>
      </c>
      <c r="N2016">
        <v>6542</v>
      </c>
      <c r="O2016">
        <v>0</v>
      </c>
      <c r="P2016">
        <v>0</v>
      </c>
      <c r="Q2016" t="s">
        <v>44</v>
      </c>
      <c r="R2016" t="s">
        <v>44</v>
      </c>
      <c r="S2016" t="s">
        <v>44</v>
      </c>
      <c r="T2016" t="s">
        <v>44</v>
      </c>
      <c r="U2016" t="s">
        <v>44</v>
      </c>
      <c r="V2016">
        <v>1198</v>
      </c>
      <c r="W2016" t="s">
        <v>44</v>
      </c>
      <c r="X2016" t="s">
        <v>44</v>
      </c>
      <c r="Y2016">
        <v>1198</v>
      </c>
      <c r="Z2016" t="s">
        <v>44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 s="2">
        <v>1198</v>
      </c>
      <c r="AQ2016">
        <f t="shared" si="71"/>
        <v>1198</v>
      </c>
      <c r="AR2016" s="5">
        <f>VLOOKUP(F2016,'[2]SCP_24-25'!$A:$D,4,0)</f>
        <v>96.2</v>
      </c>
      <c r="AS2016" s="5">
        <f t="shared" si="70"/>
        <v>115247.6</v>
      </c>
    </row>
    <row r="2017" spans="1:45" x14ac:dyDescent="0.3">
      <c r="A2017" s="1">
        <v>45900.963888888888</v>
      </c>
      <c r="B2017" t="s">
        <v>1473</v>
      </c>
      <c r="C2017" t="s">
        <v>1474</v>
      </c>
      <c r="D2017" t="s">
        <v>544</v>
      </c>
      <c r="F2017" t="s">
        <v>1726</v>
      </c>
      <c r="G2017" t="s">
        <v>545</v>
      </c>
      <c r="H2017" t="s">
        <v>130</v>
      </c>
      <c r="I2017" t="s">
        <v>43</v>
      </c>
      <c r="J2017">
        <v>34.020000000000003</v>
      </c>
      <c r="K2017">
        <v>19</v>
      </c>
      <c r="L2017">
        <v>10</v>
      </c>
      <c r="M2017">
        <v>11</v>
      </c>
      <c r="N2017">
        <v>10368</v>
      </c>
      <c r="O2017">
        <v>0</v>
      </c>
      <c r="P2017">
        <v>0</v>
      </c>
      <c r="Q2017">
        <v>2</v>
      </c>
      <c r="R2017">
        <v>4</v>
      </c>
      <c r="S2017" t="s">
        <v>44</v>
      </c>
      <c r="T2017" t="s">
        <v>44</v>
      </c>
      <c r="U2017" t="s">
        <v>44</v>
      </c>
      <c r="V2017">
        <v>1369</v>
      </c>
      <c r="W2017" t="s">
        <v>44</v>
      </c>
      <c r="X2017" t="s">
        <v>44</v>
      </c>
      <c r="Y2017">
        <v>1369</v>
      </c>
      <c r="Z2017" t="s">
        <v>44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 s="2">
        <v>1369</v>
      </c>
      <c r="AQ2017">
        <f t="shared" si="71"/>
        <v>1369</v>
      </c>
      <c r="AR2017" s="5">
        <f>VLOOKUP(F2017,'[2]SCP_24-25'!$A:$D,4,0)</f>
        <v>90.089999999999989</v>
      </c>
      <c r="AS2017" s="5">
        <f t="shared" si="70"/>
        <v>123333.20999999999</v>
      </c>
    </row>
    <row r="2018" spans="1:45" x14ac:dyDescent="0.3">
      <c r="A2018" s="1">
        <v>45900.963888888888</v>
      </c>
      <c r="B2018" t="s">
        <v>1473</v>
      </c>
      <c r="C2018" t="s">
        <v>1474</v>
      </c>
      <c r="D2018" t="s">
        <v>501</v>
      </c>
      <c r="F2018" t="s">
        <v>1705</v>
      </c>
      <c r="G2018" t="s">
        <v>502</v>
      </c>
      <c r="H2018" t="s">
        <v>130</v>
      </c>
      <c r="I2018" t="s">
        <v>43</v>
      </c>
      <c r="J2018">
        <v>71</v>
      </c>
      <c r="K2018">
        <v>19</v>
      </c>
      <c r="L2018">
        <v>10</v>
      </c>
      <c r="M2018">
        <v>11</v>
      </c>
      <c r="N2018">
        <v>4377</v>
      </c>
      <c r="O2018">
        <v>0</v>
      </c>
      <c r="P2018">
        <v>0</v>
      </c>
      <c r="Q2018">
        <v>1</v>
      </c>
      <c r="R2018">
        <v>2</v>
      </c>
      <c r="S2018" t="s">
        <v>44</v>
      </c>
      <c r="T2018" t="s">
        <v>44</v>
      </c>
      <c r="U2018" t="s">
        <v>44</v>
      </c>
      <c r="V2018">
        <v>1011</v>
      </c>
      <c r="W2018" t="s">
        <v>44</v>
      </c>
      <c r="X2018" t="s">
        <v>44</v>
      </c>
      <c r="Y2018">
        <v>1011</v>
      </c>
      <c r="Z2018" t="s">
        <v>44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 s="2">
        <v>1011</v>
      </c>
      <c r="AQ2018">
        <f t="shared" si="71"/>
        <v>1011</v>
      </c>
      <c r="AR2018" s="5">
        <f>VLOOKUP(F2018,'[2]SCP_24-25'!$A:$D,4,0)</f>
        <v>129.18</v>
      </c>
      <c r="AS2018" s="5">
        <f t="shared" si="70"/>
        <v>130600.98000000001</v>
      </c>
    </row>
    <row r="2019" spans="1:45" x14ac:dyDescent="0.3">
      <c r="A2019" s="1">
        <v>45900.963888888888</v>
      </c>
      <c r="B2019" t="s">
        <v>1473</v>
      </c>
      <c r="C2019" t="s">
        <v>1474</v>
      </c>
      <c r="D2019" t="s">
        <v>503</v>
      </c>
      <c r="F2019" t="s">
        <v>1706</v>
      </c>
      <c r="G2019" t="s">
        <v>504</v>
      </c>
      <c r="H2019" t="s">
        <v>103</v>
      </c>
      <c r="I2019" t="s">
        <v>43</v>
      </c>
      <c r="J2019">
        <v>131.02000000000001</v>
      </c>
      <c r="K2019">
        <v>19</v>
      </c>
      <c r="L2019">
        <v>11</v>
      </c>
      <c r="M2019">
        <v>10</v>
      </c>
      <c r="N2019">
        <v>52567</v>
      </c>
      <c r="O2019">
        <v>612</v>
      </c>
      <c r="P2019">
        <v>0</v>
      </c>
      <c r="Q2019">
        <v>1752</v>
      </c>
      <c r="R2019">
        <v>1570</v>
      </c>
      <c r="S2019" t="s">
        <v>44</v>
      </c>
      <c r="T2019">
        <v>145</v>
      </c>
      <c r="U2019" t="s">
        <v>44</v>
      </c>
      <c r="V2019">
        <v>1209</v>
      </c>
      <c r="W2019">
        <v>4</v>
      </c>
      <c r="X2019" t="s">
        <v>44</v>
      </c>
      <c r="Y2019">
        <v>1209</v>
      </c>
      <c r="Z2019" t="s">
        <v>44</v>
      </c>
      <c r="AA2019">
        <v>1</v>
      </c>
      <c r="AB2019">
        <v>18</v>
      </c>
      <c r="AC2019">
        <v>0</v>
      </c>
      <c r="AD2019">
        <v>0</v>
      </c>
      <c r="AE2019">
        <v>0</v>
      </c>
      <c r="AF2019">
        <v>3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 s="2">
        <v>1822</v>
      </c>
      <c r="AQ2019">
        <f t="shared" si="71"/>
        <v>1822</v>
      </c>
      <c r="AR2019" s="5">
        <f>VLOOKUP(F2019,'[2]SCP_24-25'!$A:$D,4,0)</f>
        <v>34.880000000000003</v>
      </c>
      <c r="AS2019" s="5">
        <f t="shared" si="70"/>
        <v>63551.360000000008</v>
      </c>
    </row>
    <row r="2020" spans="1:45" x14ac:dyDescent="0.3">
      <c r="A2020" s="1">
        <v>45900.963888888888</v>
      </c>
      <c r="B2020" t="s">
        <v>1473</v>
      </c>
      <c r="C2020" t="s">
        <v>1474</v>
      </c>
      <c r="D2020" t="s">
        <v>550</v>
      </c>
      <c r="F2020" t="s">
        <v>1729</v>
      </c>
      <c r="G2020" t="s">
        <v>551</v>
      </c>
      <c r="H2020" t="s">
        <v>103</v>
      </c>
      <c r="I2020" t="s">
        <v>43</v>
      </c>
      <c r="J2020">
        <v>100.52</v>
      </c>
      <c r="K2020">
        <v>19</v>
      </c>
      <c r="L2020">
        <v>11</v>
      </c>
      <c r="M2020">
        <v>10</v>
      </c>
      <c r="N2020">
        <v>25363</v>
      </c>
      <c r="O2020">
        <v>4</v>
      </c>
      <c r="P2020">
        <v>0</v>
      </c>
      <c r="Q2020">
        <v>49</v>
      </c>
      <c r="R2020">
        <v>2161</v>
      </c>
      <c r="S2020" t="s">
        <v>44</v>
      </c>
      <c r="T2020">
        <v>17</v>
      </c>
      <c r="U2020" t="s">
        <v>44</v>
      </c>
      <c r="V2020">
        <v>1479</v>
      </c>
      <c r="W2020">
        <v>1</v>
      </c>
      <c r="X2020" t="s">
        <v>44</v>
      </c>
      <c r="Y2020">
        <v>1479</v>
      </c>
      <c r="Z2020" t="s">
        <v>44</v>
      </c>
      <c r="AA2020">
        <v>7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 s="2">
        <v>1490</v>
      </c>
      <c r="AQ2020">
        <f t="shared" si="71"/>
        <v>1490</v>
      </c>
      <c r="AR2020" s="5">
        <f>VLOOKUP(F2020,'[2]SCP_24-25'!$A:$D,4,0)</f>
        <v>90.823333333333338</v>
      </c>
      <c r="AS2020" s="5">
        <f t="shared" si="70"/>
        <v>135326.76666666666</v>
      </c>
    </row>
    <row r="2021" spans="1:45" x14ac:dyDescent="0.3">
      <c r="A2021" s="1">
        <v>45900.963888888888</v>
      </c>
      <c r="B2021" t="s">
        <v>1473</v>
      </c>
      <c r="C2021" t="s">
        <v>1474</v>
      </c>
      <c r="D2021" t="s">
        <v>469</v>
      </c>
      <c r="F2021" t="s">
        <v>1689</v>
      </c>
      <c r="G2021" t="s">
        <v>470</v>
      </c>
      <c r="H2021" t="s">
        <v>66</v>
      </c>
      <c r="I2021" t="s">
        <v>43</v>
      </c>
      <c r="J2021">
        <v>459.02</v>
      </c>
      <c r="K2021">
        <v>19</v>
      </c>
      <c r="L2021">
        <v>11</v>
      </c>
      <c r="M2021">
        <v>10</v>
      </c>
      <c r="N2021">
        <v>16053</v>
      </c>
      <c r="O2021">
        <v>0</v>
      </c>
      <c r="P2021">
        <v>0</v>
      </c>
      <c r="Q2021">
        <v>56</v>
      </c>
      <c r="R2021">
        <v>8</v>
      </c>
      <c r="S2021" t="s">
        <v>44</v>
      </c>
      <c r="T2021" t="s">
        <v>44</v>
      </c>
      <c r="U2021" t="s">
        <v>44</v>
      </c>
      <c r="V2021">
        <v>2274</v>
      </c>
      <c r="W2021">
        <v>4</v>
      </c>
      <c r="X2021" t="s">
        <v>44</v>
      </c>
      <c r="Y2021">
        <v>2274</v>
      </c>
      <c r="Z2021" t="s">
        <v>44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 s="2">
        <v>2274</v>
      </c>
      <c r="AQ2021">
        <f t="shared" si="71"/>
        <v>2274</v>
      </c>
      <c r="AR2021" s="5">
        <f>VLOOKUP(F2021,'[2]SCP_24-25'!$A:$D,4,0)</f>
        <v>91.35</v>
      </c>
      <c r="AS2021" s="5">
        <f t="shared" si="70"/>
        <v>207729.9</v>
      </c>
    </row>
    <row r="2022" spans="1:45" x14ac:dyDescent="0.3">
      <c r="A2022" s="1">
        <v>45900.963888888888</v>
      </c>
      <c r="B2022" t="s">
        <v>1473</v>
      </c>
      <c r="C2022" t="s">
        <v>1474</v>
      </c>
      <c r="D2022" t="s">
        <v>807</v>
      </c>
      <c r="F2022" t="s">
        <v>1855</v>
      </c>
      <c r="G2022" t="s">
        <v>808</v>
      </c>
      <c r="H2022" t="s">
        <v>120</v>
      </c>
      <c r="I2022" t="s">
        <v>43</v>
      </c>
      <c r="J2022">
        <v>100</v>
      </c>
      <c r="K2022">
        <v>19</v>
      </c>
      <c r="L2022">
        <v>11</v>
      </c>
      <c r="M2022">
        <v>10</v>
      </c>
      <c r="N2022">
        <v>5493</v>
      </c>
      <c r="O2022">
        <v>0</v>
      </c>
      <c r="P2022">
        <v>0</v>
      </c>
      <c r="Q2022" t="s">
        <v>44</v>
      </c>
      <c r="R2022" t="s">
        <v>44</v>
      </c>
      <c r="S2022" t="s">
        <v>44</v>
      </c>
      <c r="T2022" t="s">
        <v>44</v>
      </c>
      <c r="U2022" t="s">
        <v>44</v>
      </c>
      <c r="V2022">
        <v>1034</v>
      </c>
      <c r="W2022" t="s">
        <v>44</v>
      </c>
      <c r="X2022" t="s">
        <v>44</v>
      </c>
      <c r="Y2022">
        <v>1034</v>
      </c>
      <c r="Z2022" t="s">
        <v>44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 s="2">
        <v>1034</v>
      </c>
      <c r="AQ2022">
        <f t="shared" si="71"/>
        <v>1034</v>
      </c>
      <c r="AR2022" s="5">
        <f>VLOOKUP(F2022,'[2]SCP_24-25'!$A:$D,4,0)</f>
        <v>48</v>
      </c>
      <c r="AS2022" s="5">
        <f t="shared" si="70"/>
        <v>49632</v>
      </c>
    </row>
    <row r="2023" spans="1:45" x14ac:dyDescent="0.3">
      <c r="A2023" s="1">
        <v>45900.963888888888</v>
      </c>
      <c r="B2023" t="s">
        <v>1473</v>
      </c>
      <c r="C2023" t="s">
        <v>1474</v>
      </c>
      <c r="D2023" t="s">
        <v>750</v>
      </c>
      <c r="F2023" t="s">
        <v>1828</v>
      </c>
      <c r="G2023" t="s">
        <v>751</v>
      </c>
      <c r="H2023" t="s">
        <v>66</v>
      </c>
      <c r="I2023" t="s">
        <v>43</v>
      </c>
      <c r="J2023">
        <v>161.02000000000001</v>
      </c>
      <c r="K2023">
        <v>19</v>
      </c>
      <c r="L2023">
        <v>11</v>
      </c>
      <c r="M2023">
        <v>10</v>
      </c>
      <c r="N2023">
        <v>1484</v>
      </c>
      <c r="O2023">
        <v>0</v>
      </c>
      <c r="P2023">
        <v>0</v>
      </c>
      <c r="Q2023">
        <v>21</v>
      </c>
      <c r="R2023" t="s">
        <v>44</v>
      </c>
      <c r="S2023" t="s">
        <v>44</v>
      </c>
      <c r="T2023" t="s">
        <v>44</v>
      </c>
      <c r="U2023" t="s">
        <v>44</v>
      </c>
      <c r="V2023">
        <v>1303</v>
      </c>
      <c r="W2023" t="s">
        <v>44</v>
      </c>
      <c r="X2023" t="s">
        <v>44</v>
      </c>
      <c r="Y2023">
        <v>1303</v>
      </c>
      <c r="Z2023" t="s">
        <v>44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 s="2">
        <v>1303</v>
      </c>
      <c r="AQ2023">
        <f t="shared" si="71"/>
        <v>1303</v>
      </c>
      <c r="AR2023" s="5">
        <f>VLOOKUP(F2023,'[2]SCP_24-25'!$A:$D,4,0)</f>
        <v>297.47000000000003</v>
      </c>
      <c r="AS2023" s="5">
        <f t="shared" si="70"/>
        <v>387603.41000000003</v>
      </c>
    </row>
    <row r="2024" spans="1:45" x14ac:dyDescent="0.3">
      <c r="A2024" s="1">
        <v>45900.963888888888</v>
      </c>
      <c r="B2024" t="s">
        <v>1473</v>
      </c>
      <c r="C2024" t="s">
        <v>1474</v>
      </c>
      <c r="D2024" t="s">
        <v>505</v>
      </c>
      <c r="F2024" t="s">
        <v>1707</v>
      </c>
      <c r="G2024" t="s">
        <v>506</v>
      </c>
      <c r="H2024" t="s">
        <v>66</v>
      </c>
      <c r="I2024" t="s">
        <v>415</v>
      </c>
      <c r="J2024">
        <v>81.52</v>
      </c>
      <c r="K2024">
        <v>19</v>
      </c>
      <c r="L2024">
        <v>10</v>
      </c>
      <c r="M2024">
        <v>11</v>
      </c>
      <c r="N2024">
        <v>18380</v>
      </c>
      <c r="O2024">
        <v>3</v>
      </c>
      <c r="P2024">
        <v>0</v>
      </c>
      <c r="Q2024">
        <v>12</v>
      </c>
      <c r="R2024">
        <v>24</v>
      </c>
      <c r="S2024" t="s">
        <v>44</v>
      </c>
      <c r="T2024">
        <v>44</v>
      </c>
      <c r="U2024" t="s">
        <v>44</v>
      </c>
      <c r="V2024">
        <v>2594</v>
      </c>
      <c r="W2024" t="s">
        <v>44</v>
      </c>
      <c r="X2024" t="s">
        <v>44</v>
      </c>
      <c r="Y2024">
        <v>2594</v>
      </c>
      <c r="Z2024" t="s">
        <v>44</v>
      </c>
      <c r="AA2024">
        <v>9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 s="2">
        <v>2606</v>
      </c>
      <c r="AQ2024">
        <f t="shared" si="71"/>
        <v>2606</v>
      </c>
      <c r="AR2024" s="5">
        <f>VLOOKUP(F2024,'[2]SCP_24-25'!$A:$D,4,0)</f>
        <v>84.2</v>
      </c>
      <c r="AS2024" s="5">
        <f t="shared" si="70"/>
        <v>219425.2</v>
      </c>
    </row>
    <row r="2025" spans="1:45" x14ac:dyDescent="0.3">
      <c r="A2025" s="1">
        <v>45900.963888888888</v>
      </c>
      <c r="B2025" t="s">
        <v>1473</v>
      </c>
      <c r="C2025" t="s">
        <v>1474</v>
      </c>
      <c r="D2025" t="s">
        <v>615</v>
      </c>
      <c r="F2025" t="s">
        <v>1761</v>
      </c>
      <c r="G2025" t="s">
        <v>616</v>
      </c>
      <c r="H2025" t="s">
        <v>66</v>
      </c>
      <c r="I2025" t="s">
        <v>415</v>
      </c>
      <c r="J2025">
        <v>50</v>
      </c>
      <c r="K2025">
        <v>19</v>
      </c>
      <c r="L2025">
        <v>10</v>
      </c>
      <c r="M2025">
        <v>11</v>
      </c>
      <c r="N2025">
        <v>8307</v>
      </c>
      <c r="O2025">
        <v>63</v>
      </c>
      <c r="P2025">
        <v>0</v>
      </c>
      <c r="Q2025">
        <v>5</v>
      </c>
      <c r="R2025">
        <v>105</v>
      </c>
      <c r="S2025" t="s">
        <v>44</v>
      </c>
      <c r="T2025">
        <v>1</v>
      </c>
      <c r="U2025" t="s">
        <v>44</v>
      </c>
      <c r="V2025">
        <v>2582</v>
      </c>
      <c r="W2025" t="s">
        <v>44</v>
      </c>
      <c r="X2025" t="s">
        <v>44</v>
      </c>
      <c r="Y2025">
        <v>2582</v>
      </c>
      <c r="Z2025" t="s">
        <v>44</v>
      </c>
      <c r="AA2025">
        <v>12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 s="2">
        <v>2657</v>
      </c>
      <c r="AQ2025">
        <f t="shared" si="71"/>
        <v>2657</v>
      </c>
      <c r="AR2025" s="5">
        <f>VLOOKUP(F2025,'[2]SCP_24-25'!$A:$D,4,0)</f>
        <v>40.33</v>
      </c>
      <c r="AS2025" s="5">
        <f t="shared" si="70"/>
        <v>107156.81</v>
      </c>
    </row>
    <row r="2026" spans="1:45" x14ac:dyDescent="0.3">
      <c r="A2026" s="1">
        <v>45900.963888888888</v>
      </c>
      <c r="B2026" t="s">
        <v>1473</v>
      </c>
      <c r="C2026" t="s">
        <v>1474</v>
      </c>
      <c r="D2026" t="s">
        <v>475</v>
      </c>
      <c r="F2026" t="s">
        <v>1692</v>
      </c>
      <c r="G2026" t="s">
        <v>476</v>
      </c>
      <c r="H2026" t="s">
        <v>103</v>
      </c>
      <c r="I2026" t="s">
        <v>415</v>
      </c>
      <c r="J2026">
        <v>200</v>
      </c>
      <c r="K2026">
        <v>19</v>
      </c>
      <c r="L2026">
        <v>10</v>
      </c>
      <c r="M2026">
        <v>11</v>
      </c>
      <c r="N2026">
        <v>8400</v>
      </c>
      <c r="O2026">
        <v>11</v>
      </c>
      <c r="P2026">
        <v>0</v>
      </c>
      <c r="Q2026">
        <v>1</v>
      </c>
      <c r="R2026">
        <v>5</v>
      </c>
      <c r="S2026" t="s">
        <v>44</v>
      </c>
      <c r="T2026">
        <v>24</v>
      </c>
      <c r="U2026" t="s">
        <v>44</v>
      </c>
      <c r="V2026">
        <v>1911</v>
      </c>
      <c r="W2026" t="s">
        <v>44</v>
      </c>
      <c r="X2026" t="s">
        <v>44</v>
      </c>
      <c r="Y2026">
        <v>1911</v>
      </c>
      <c r="Z2026" t="s">
        <v>44</v>
      </c>
      <c r="AA2026">
        <v>11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 s="2">
        <v>1933</v>
      </c>
      <c r="AQ2026">
        <f t="shared" si="71"/>
        <v>1933</v>
      </c>
      <c r="AR2026" s="5">
        <f>VLOOKUP(F2026,'[2]SCP_24-25'!$A:$D,4,0)</f>
        <v>62.03</v>
      </c>
      <c r="AS2026" s="5">
        <f t="shared" si="70"/>
        <v>119903.99</v>
      </c>
    </row>
    <row r="2027" spans="1:45" x14ac:dyDescent="0.3">
      <c r="A2027" s="1">
        <v>45900.963888888888</v>
      </c>
      <c r="B2027" t="s">
        <v>1473</v>
      </c>
      <c r="C2027" t="s">
        <v>1474</v>
      </c>
      <c r="D2027" t="s">
        <v>827</v>
      </c>
      <c r="F2027" t="s">
        <v>1865</v>
      </c>
      <c r="G2027" t="s">
        <v>828</v>
      </c>
      <c r="H2027" t="s">
        <v>130</v>
      </c>
      <c r="I2027" t="s">
        <v>415</v>
      </c>
      <c r="J2027">
        <v>3.5</v>
      </c>
      <c r="K2027">
        <v>19</v>
      </c>
      <c r="L2027">
        <v>10</v>
      </c>
      <c r="M2027">
        <v>11</v>
      </c>
      <c r="N2027">
        <v>1440</v>
      </c>
      <c r="O2027">
        <v>0</v>
      </c>
      <c r="P2027">
        <v>0</v>
      </c>
      <c r="Q2027" t="s">
        <v>44</v>
      </c>
      <c r="R2027" t="s">
        <v>44</v>
      </c>
      <c r="S2027" t="s">
        <v>44</v>
      </c>
      <c r="T2027" t="s">
        <v>44</v>
      </c>
      <c r="U2027" t="s">
        <v>44</v>
      </c>
      <c r="V2027">
        <v>1388</v>
      </c>
      <c r="W2027" t="s">
        <v>44</v>
      </c>
      <c r="X2027" t="s">
        <v>44</v>
      </c>
      <c r="Y2027">
        <v>1388</v>
      </c>
      <c r="Z2027" t="s">
        <v>44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 s="2">
        <v>1388</v>
      </c>
      <c r="AQ2027">
        <f t="shared" si="71"/>
        <v>1388</v>
      </c>
      <c r="AR2027" s="5">
        <f>VLOOKUP(F2027,'[2]SCP_24-25'!$A:$D,4,0)</f>
        <v>149.82</v>
      </c>
      <c r="AS2027" s="5">
        <f t="shared" si="70"/>
        <v>207950.16</v>
      </c>
    </row>
    <row r="2028" spans="1:45" x14ac:dyDescent="0.3">
      <c r="A2028" s="1">
        <v>45900.963888888888</v>
      </c>
      <c r="B2028" t="s">
        <v>1473</v>
      </c>
      <c r="C2028" t="s">
        <v>1474</v>
      </c>
      <c r="D2028" t="s">
        <v>831</v>
      </c>
      <c r="F2028" t="s">
        <v>1867</v>
      </c>
      <c r="G2028" t="s">
        <v>832</v>
      </c>
      <c r="H2028" t="s">
        <v>130</v>
      </c>
      <c r="I2028" t="s">
        <v>415</v>
      </c>
      <c r="J2028">
        <v>3.5</v>
      </c>
      <c r="K2028">
        <v>19</v>
      </c>
      <c r="L2028">
        <v>10</v>
      </c>
      <c r="M2028">
        <v>11</v>
      </c>
      <c r="N2028">
        <v>1200</v>
      </c>
      <c r="O2028">
        <v>6</v>
      </c>
      <c r="P2028">
        <v>0</v>
      </c>
      <c r="Q2028" t="s">
        <v>44</v>
      </c>
      <c r="R2028" t="s">
        <v>44</v>
      </c>
      <c r="S2028" t="s">
        <v>44</v>
      </c>
      <c r="T2028">
        <v>48</v>
      </c>
      <c r="U2028" t="s">
        <v>44</v>
      </c>
      <c r="V2028">
        <v>1166</v>
      </c>
      <c r="W2028" t="s">
        <v>44</v>
      </c>
      <c r="X2028" t="s">
        <v>44</v>
      </c>
      <c r="Y2028">
        <v>1164</v>
      </c>
      <c r="Z2028" t="s">
        <v>44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 s="2">
        <v>1172</v>
      </c>
      <c r="AQ2028">
        <f t="shared" si="71"/>
        <v>1172</v>
      </c>
      <c r="AR2028" s="5">
        <f>VLOOKUP(F2028,'[2]SCP_24-25'!$A:$D,4,0)</f>
        <v>149.82</v>
      </c>
      <c r="AS2028" s="5">
        <f t="shared" si="70"/>
        <v>175589.03999999998</v>
      </c>
    </row>
    <row r="2029" spans="1:45" x14ac:dyDescent="0.3">
      <c r="A2029" s="1">
        <v>45900.963888888888</v>
      </c>
      <c r="B2029" t="s">
        <v>1473</v>
      </c>
      <c r="C2029" t="s">
        <v>1474</v>
      </c>
      <c r="D2029" t="s">
        <v>833</v>
      </c>
      <c r="F2029" t="s">
        <v>1868</v>
      </c>
      <c r="G2029" t="s">
        <v>834</v>
      </c>
      <c r="H2029" t="s">
        <v>130</v>
      </c>
      <c r="I2029" t="s">
        <v>415</v>
      </c>
      <c r="J2029">
        <v>3.5</v>
      </c>
      <c r="K2029">
        <v>19</v>
      </c>
      <c r="L2029">
        <v>10</v>
      </c>
      <c r="M2029">
        <v>11</v>
      </c>
      <c r="N2029">
        <v>1440</v>
      </c>
      <c r="O2029">
        <v>0</v>
      </c>
      <c r="P2029">
        <v>0</v>
      </c>
      <c r="Q2029" t="s">
        <v>44</v>
      </c>
      <c r="R2029" t="s">
        <v>44</v>
      </c>
      <c r="S2029" t="s">
        <v>44</v>
      </c>
      <c r="T2029" t="s">
        <v>44</v>
      </c>
      <c r="U2029" t="s">
        <v>44</v>
      </c>
      <c r="V2029">
        <v>1410</v>
      </c>
      <c r="W2029" t="s">
        <v>44</v>
      </c>
      <c r="X2029" t="s">
        <v>44</v>
      </c>
      <c r="Y2029">
        <v>1409</v>
      </c>
      <c r="Z2029" t="s">
        <v>44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 s="2">
        <v>1410</v>
      </c>
      <c r="AQ2029">
        <f t="shared" si="71"/>
        <v>1410</v>
      </c>
      <c r="AR2029" s="5">
        <f>VLOOKUP(F2029,'[2]SCP_24-25'!$A:$D,4,0)</f>
        <v>149.82</v>
      </c>
      <c r="AS2029" s="5">
        <f t="shared" si="70"/>
        <v>211246.19999999998</v>
      </c>
    </row>
    <row r="2030" spans="1:45" x14ac:dyDescent="0.3">
      <c r="A2030" s="1">
        <v>45900.963888888888</v>
      </c>
      <c r="B2030" t="s">
        <v>1473</v>
      </c>
      <c r="C2030" t="s">
        <v>1474</v>
      </c>
      <c r="D2030" t="s">
        <v>835</v>
      </c>
      <c r="F2030" t="s">
        <v>1869</v>
      </c>
      <c r="G2030" t="s">
        <v>836</v>
      </c>
      <c r="H2030" t="s">
        <v>130</v>
      </c>
      <c r="I2030" t="s">
        <v>415</v>
      </c>
      <c r="J2030">
        <v>3.5</v>
      </c>
      <c r="K2030">
        <v>19</v>
      </c>
      <c r="L2030">
        <v>10</v>
      </c>
      <c r="M2030">
        <v>11</v>
      </c>
      <c r="N2030">
        <v>1199</v>
      </c>
      <c r="O2030">
        <v>6</v>
      </c>
      <c r="P2030">
        <v>0</v>
      </c>
      <c r="Q2030" t="s">
        <v>44</v>
      </c>
      <c r="R2030" t="s">
        <v>44</v>
      </c>
      <c r="S2030" t="s">
        <v>44</v>
      </c>
      <c r="T2030">
        <v>49</v>
      </c>
      <c r="U2030" t="s">
        <v>44</v>
      </c>
      <c r="V2030">
        <v>1165</v>
      </c>
      <c r="W2030" t="s">
        <v>44</v>
      </c>
      <c r="X2030" t="s">
        <v>44</v>
      </c>
      <c r="Y2030">
        <v>1165</v>
      </c>
      <c r="Z2030" t="s">
        <v>44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 s="2">
        <v>1171</v>
      </c>
      <c r="AQ2030">
        <f t="shared" si="71"/>
        <v>1171</v>
      </c>
      <c r="AR2030" s="5">
        <f>VLOOKUP(F2030,'[2]SCP_24-25'!$A:$D,4,0)</f>
        <v>149.82</v>
      </c>
      <c r="AS2030" s="5">
        <f t="shared" si="70"/>
        <v>175439.22</v>
      </c>
    </row>
    <row r="2031" spans="1:45" x14ac:dyDescent="0.3">
      <c r="A2031" s="1">
        <v>45900.963888888888</v>
      </c>
      <c r="B2031" t="s">
        <v>1473</v>
      </c>
      <c r="C2031" t="s">
        <v>1474</v>
      </c>
      <c r="D2031" t="s">
        <v>1298</v>
      </c>
      <c r="F2031" t="s">
        <v>2101</v>
      </c>
      <c r="G2031" t="s">
        <v>1299</v>
      </c>
      <c r="H2031" t="s">
        <v>66</v>
      </c>
      <c r="I2031" t="s">
        <v>415</v>
      </c>
      <c r="J2031">
        <v>10</v>
      </c>
      <c r="K2031">
        <v>19</v>
      </c>
      <c r="L2031">
        <v>10</v>
      </c>
      <c r="M2031">
        <v>11</v>
      </c>
      <c r="N2031">
        <v>5460</v>
      </c>
      <c r="O2031">
        <v>157</v>
      </c>
      <c r="P2031">
        <v>0</v>
      </c>
      <c r="Q2031" t="s">
        <v>44</v>
      </c>
      <c r="R2031" t="s">
        <v>44</v>
      </c>
      <c r="S2031" t="s">
        <v>44</v>
      </c>
      <c r="T2031" t="s">
        <v>44</v>
      </c>
      <c r="U2031" t="s">
        <v>44</v>
      </c>
      <c r="V2031">
        <v>1164</v>
      </c>
      <c r="W2031" t="s">
        <v>44</v>
      </c>
      <c r="X2031" t="s">
        <v>44</v>
      </c>
      <c r="Y2031">
        <v>1164</v>
      </c>
      <c r="Z2031" t="s">
        <v>44</v>
      </c>
      <c r="AA2031">
        <v>2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 s="2">
        <v>1323</v>
      </c>
      <c r="AQ2031">
        <f t="shared" si="71"/>
        <v>1323</v>
      </c>
      <c r="AR2031" s="5">
        <f>VLOOKUP(F2031,'[2]SCP_24-25'!$A:$D,4,0)</f>
        <v>27.16</v>
      </c>
      <c r="AS2031" s="5">
        <f t="shared" si="70"/>
        <v>35932.68</v>
      </c>
    </row>
    <row r="2032" spans="1:45" x14ac:dyDescent="0.3">
      <c r="A2032" s="1">
        <v>45900.963888888888</v>
      </c>
      <c r="B2032" t="s">
        <v>1473</v>
      </c>
      <c r="C2032" t="s">
        <v>1474</v>
      </c>
      <c r="D2032" t="s">
        <v>1361</v>
      </c>
      <c r="F2032" t="s">
        <v>2128</v>
      </c>
      <c r="G2032" t="s">
        <v>1362</v>
      </c>
      <c r="H2032" t="s">
        <v>66</v>
      </c>
      <c r="I2032" t="s">
        <v>415</v>
      </c>
      <c r="J2032">
        <v>60</v>
      </c>
      <c r="K2032">
        <v>19</v>
      </c>
      <c r="L2032">
        <v>10</v>
      </c>
      <c r="M2032">
        <v>11</v>
      </c>
      <c r="N2032">
        <v>4176</v>
      </c>
      <c r="O2032">
        <v>24</v>
      </c>
      <c r="P2032">
        <v>0</v>
      </c>
      <c r="Q2032">
        <v>2</v>
      </c>
      <c r="R2032">
        <v>2</v>
      </c>
      <c r="S2032" t="s">
        <v>44</v>
      </c>
      <c r="T2032" t="s">
        <v>44</v>
      </c>
      <c r="U2032" t="s">
        <v>44</v>
      </c>
      <c r="V2032">
        <v>1776</v>
      </c>
      <c r="W2032" t="s">
        <v>44</v>
      </c>
      <c r="X2032" t="s">
        <v>44</v>
      </c>
      <c r="Y2032">
        <v>1776</v>
      </c>
      <c r="Z2032" t="s">
        <v>44</v>
      </c>
      <c r="AA2032">
        <v>7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 s="2">
        <v>1807</v>
      </c>
      <c r="AQ2032">
        <f t="shared" si="71"/>
        <v>1807</v>
      </c>
      <c r="AR2032" s="5">
        <f>VLOOKUP(F2032,'[2]SCP_24-25'!$A:$D,4,0)</f>
        <v>86.75</v>
      </c>
      <c r="AS2032" s="5">
        <f t="shared" si="70"/>
        <v>156757.25</v>
      </c>
    </row>
    <row r="2033" spans="1:45" x14ac:dyDescent="0.3">
      <c r="A2033" s="1">
        <v>45900.963888888888</v>
      </c>
      <c r="B2033" t="s">
        <v>1473</v>
      </c>
      <c r="C2033" t="s">
        <v>1474</v>
      </c>
      <c r="D2033" t="s">
        <v>1322</v>
      </c>
      <c r="F2033" t="s">
        <v>2111</v>
      </c>
      <c r="G2033" t="s">
        <v>1323</v>
      </c>
      <c r="H2033" t="s">
        <v>120</v>
      </c>
      <c r="I2033" t="s">
        <v>43</v>
      </c>
      <c r="J2033">
        <v>100</v>
      </c>
      <c r="K2033">
        <v>19</v>
      </c>
      <c r="L2033">
        <v>11</v>
      </c>
      <c r="M2033">
        <v>10</v>
      </c>
      <c r="N2033">
        <v>4934</v>
      </c>
      <c r="O2033">
        <v>0</v>
      </c>
      <c r="P2033">
        <v>0</v>
      </c>
      <c r="Q2033" t="s">
        <v>44</v>
      </c>
      <c r="R2033" t="s">
        <v>44</v>
      </c>
      <c r="S2033" t="s">
        <v>44</v>
      </c>
      <c r="T2033">
        <v>16</v>
      </c>
      <c r="U2033" t="s">
        <v>44</v>
      </c>
      <c r="V2033">
        <v>3279</v>
      </c>
      <c r="W2033" t="s">
        <v>44</v>
      </c>
      <c r="X2033" t="s">
        <v>44</v>
      </c>
      <c r="Y2033">
        <v>3279</v>
      </c>
      <c r="Z2033" t="s">
        <v>44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 s="2">
        <v>3279</v>
      </c>
      <c r="AQ2033">
        <f t="shared" si="71"/>
        <v>3279</v>
      </c>
      <c r="AR2033" s="5">
        <f>VLOOKUP(F2033,'[2]SCP_24-25'!$A:$D,4,0)</f>
        <v>51.411764705882355</v>
      </c>
      <c r="AS2033" s="5">
        <f t="shared" si="70"/>
        <v>168579.17647058825</v>
      </c>
    </row>
    <row r="2034" spans="1:45" x14ac:dyDescent="0.3">
      <c r="A2034" s="1">
        <v>45900.963888888888</v>
      </c>
      <c r="B2034" t="s">
        <v>1473</v>
      </c>
      <c r="C2034" t="s">
        <v>1474</v>
      </c>
      <c r="D2034" t="s">
        <v>857</v>
      </c>
      <c r="F2034" t="s">
        <v>1880</v>
      </c>
      <c r="G2034" t="s">
        <v>858</v>
      </c>
      <c r="H2034" t="s">
        <v>120</v>
      </c>
      <c r="I2034" t="s">
        <v>43</v>
      </c>
      <c r="J2034">
        <v>100</v>
      </c>
      <c r="K2034">
        <v>19</v>
      </c>
      <c r="L2034">
        <v>11</v>
      </c>
      <c r="M2034">
        <v>10</v>
      </c>
      <c r="N2034">
        <v>2197</v>
      </c>
      <c r="O2034">
        <v>0</v>
      </c>
      <c r="P2034">
        <v>0</v>
      </c>
      <c r="Q2034" t="s">
        <v>44</v>
      </c>
      <c r="R2034" t="s">
        <v>44</v>
      </c>
      <c r="S2034" t="s">
        <v>44</v>
      </c>
      <c r="T2034">
        <v>3</v>
      </c>
      <c r="U2034" t="s">
        <v>44</v>
      </c>
      <c r="V2034">
        <v>1161</v>
      </c>
      <c r="W2034" t="s">
        <v>44</v>
      </c>
      <c r="X2034" t="s">
        <v>44</v>
      </c>
      <c r="Y2034">
        <v>1161</v>
      </c>
      <c r="Z2034" t="s">
        <v>44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 s="2">
        <v>1161</v>
      </c>
      <c r="AQ2034">
        <f t="shared" si="71"/>
        <v>1161</v>
      </c>
      <c r="AR2034" s="5">
        <f>VLOOKUP(F2034,'[2]SCP_24-25'!$A:$D,4,0)</f>
        <v>125.60526315789474</v>
      </c>
      <c r="AS2034" s="5">
        <f t="shared" si="70"/>
        <v>145827.71052631579</v>
      </c>
    </row>
    <row r="2035" spans="1:45" x14ac:dyDescent="0.3">
      <c r="A2035" s="1">
        <v>45900.963888888888</v>
      </c>
      <c r="B2035" t="s">
        <v>1473</v>
      </c>
      <c r="C2035" t="s">
        <v>1474</v>
      </c>
      <c r="D2035" t="s">
        <v>867</v>
      </c>
      <c r="F2035" t="s">
        <v>1885</v>
      </c>
      <c r="G2035" t="s">
        <v>868</v>
      </c>
      <c r="H2035" t="s">
        <v>130</v>
      </c>
      <c r="I2035" t="s">
        <v>415</v>
      </c>
      <c r="J2035">
        <v>5.5</v>
      </c>
      <c r="K2035">
        <v>19</v>
      </c>
      <c r="L2035">
        <v>10</v>
      </c>
      <c r="M2035">
        <v>11</v>
      </c>
      <c r="N2035">
        <v>1056</v>
      </c>
      <c r="O2035">
        <v>0</v>
      </c>
      <c r="P2035">
        <v>0</v>
      </c>
      <c r="Q2035" t="s">
        <v>44</v>
      </c>
      <c r="R2035" t="s">
        <v>44</v>
      </c>
      <c r="S2035" t="s">
        <v>44</v>
      </c>
      <c r="T2035" t="s">
        <v>44</v>
      </c>
      <c r="U2035" t="s">
        <v>44</v>
      </c>
      <c r="V2035">
        <v>1019</v>
      </c>
      <c r="W2035" t="s">
        <v>44</v>
      </c>
      <c r="X2035" t="s">
        <v>44</v>
      </c>
      <c r="Y2035">
        <v>1017</v>
      </c>
      <c r="Z2035" t="s">
        <v>44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 s="2">
        <v>1019</v>
      </c>
      <c r="AQ2035">
        <f t="shared" si="71"/>
        <v>1019</v>
      </c>
      <c r="AR2035" s="5">
        <f>VLOOKUP(F2035,'[2]SCP_24-25'!$A:$D,4,0)</f>
        <v>107.63</v>
      </c>
      <c r="AS2035" s="5">
        <f t="shared" si="70"/>
        <v>109674.97</v>
      </c>
    </row>
    <row r="2036" spans="1:45" x14ac:dyDescent="0.3">
      <c r="A2036" s="1">
        <v>45900.963888888888</v>
      </c>
      <c r="B2036" t="s">
        <v>1473</v>
      </c>
      <c r="C2036" t="s">
        <v>1474</v>
      </c>
      <c r="D2036" t="s">
        <v>869</v>
      </c>
      <c r="F2036" t="s">
        <v>1886</v>
      </c>
      <c r="G2036" t="s">
        <v>870</v>
      </c>
      <c r="H2036" t="s">
        <v>130</v>
      </c>
      <c r="I2036" t="s">
        <v>415</v>
      </c>
      <c r="J2036">
        <v>5.5</v>
      </c>
      <c r="K2036">
        <v>19</v>
      </c>
      <c r="L2036">
        <v>10</v>
      </c>
      <c r="M2036">
        <v>11</v>
      </c>
      <c r="N2036">
        <v>1056</v>
      </c>
      <c r="O2036">
        <v>0</v>
      </c>
      <c r="P2036">
        <v>0</v>
      </c>
      <c r="Q2036" t="s">
        <v>44</v>
      </c>
      <c r="R2036" t="s">
        <v>44</v>
      </c>
      <c r="S2036" t="s">
        <v>44</v>
      </c>
      <c r="T2036" t="s">
        <v>44</v>
      </c>
      <c r="U2036" t="s">
        <v>44</v>
      </c>
      <c r="V2036">
        <v>1017</v>
      </c>
      <c r="W2036" t="s">
        <v>44</v>
      </c>
      <c r="X2036" t="s">
        <v>44</v>
      </c>
      <c r="Y2036">
        <v>1015</v>
      </c>
      <c r="Z2036" t="s">
        <v>44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 s="2">
        <v>1018</v>
      </c>
      <c r="AQ2036">
        <f t="shared" si="71"/>
        <v>1018</v>
      </c>
      <c r="AR2036" s="5">
        <f>VLOOKUP(F2036,'[2]SCP_24-25'!$A:$D,4,0)</f>
        <v>107.63</v>
      </c>
      <c r="AS2036" s="5">
        <f t="shared" si="70"/>
        <v>109567.34</v>
      </c>
    </row>
    <row r="2037" spans="1:45" x14ac:dyDescent="0.3">
      <c r="A2037" s="1">
        <v>45900.963888888888</v>
      </c>
      <c r="B2037" t="s">
        <v>1473</v>
      </c>
      <c r="C2037" t="s">
        <v>1474</v>
      </c>
      <c r="D2037" t="s">
        <v>871</v>
      </c>
      <c r="F2037" t="s">
        <v>1887</v>
      </c>
      <c r="G2037" t="s">
        <v>872</v>
      </c>
      <c r="H2037" t="s">
        <v>130</v>
      </c>
      <c r="I2037" t="s">
        <v>415</v>
      </c>
      <c r="J2037">
        <v>5.5</v>
      </c>
      <c r="K2037">
        <v>19</v>
      </c>
      <c r="L2037">
        <v>10</v>
      </c>
      <c r="M2037">
        <v>11</v>
      </c>
      <c r="N2037">
        <v>1152</v>
      </c>
      <c r="O2037">
        <v>0</v>
      </c>
      <c r="P2037">
        <v>0</v>
      </c>
      <c r="Q2037" t="s">
        <v>44</v>
      </c>
      <c r="R2037" t="s">
        <v>44</v>
      </c>
      <c r="S2037" t="s">
        <v>44</v>
      </c>
      <c r="T2037" t="s">
        <v>44</v>
      </c>
      <c r="U2037" t="s">
        <v>44</v>
      </c>
      <c r="V2037">
        <v>1101</v>
      </c>
      <c r="W2037" t="s">
        <v>44</v>
      </c>
      <c r="X2037" t="s">
        <v>44</v>
      </c>
      <c r="Y2037">
        <v>1098</v>
      </c>
      <c r="Z2037" t="s">
        <v>44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 s="2">
        <v>1101</v>
      </c>
      <c r="AQ2037">
        <f t="shared" si="71"/>
        <v>1101</v>
      </c>
      <c r="AR2037" s="5">
        <f>VLOOKUP(F2037,'[2]SCP_24-25'!$A:$D,4,0)</f>
        <v>107.63</v>
      </c>
      <c r="AS2037" s="5">
        <f t="shared" si="70"/>
        <v>118500.62999999999</v>
      </c>
    </row>
    <row r="2038" spans="1:45" x14ac:dyDescent="0.3">
      <c r="A2038" s="1">
        <v>45900.963888888888</v>
      </c>
      <c r="B2038" t="s">
        <v>1473</v>
      </c>
      <c r="C2038" t="s">
        <v>1474</v>
      </c>
      <c r="D2038" t="s">
        <v>873</v>
      </c>
      <c r="F2038" t="s">
        <v>1888</v>
      </c>
      <c r="G2038" t="s">
        <v>874</v>
      </c>
      <c r="H2038" t="s">
        <v>130</v>
      </c>
      <c r="I2038" t="s">
        <v>415</v>
      </c>
      <c r="J2038">
        <v>5.3</v>
      </c>
      <c r="K2038">
        <v>19</v>
      </c>
      <c r="L2038">
        <v>10</v>
      </c>
      <c r="M2038">
        <v>11</v>
      </c>
      <c r="N2038">
        <v>1104</v>
      </c>
      <c r="O2038">
        <v>1</v>
      </c>
      <c r="P2038">
        <v>0</v>
      </c>
      <c r="Q2038" t="s">
        <v>44</v>
      </c>
      <c r="R2038" t="s">
        <v>44</v>
      </c>
      <c r="S2038" t="s">
        <v>44</v>
      </c>
      <c r="T2038" t="s">
        <v>44</v>
      </c>
      <c r="U2038" t="s">
        <v>44</v>
      </c>
      <c r="V2038">
        <v>1060</v>
      </c>
      <c r="W2038" t="s">
        <v>44</v>
      </c>
      <c r="X2038" t="s">
        <v>44</v>
      </c>
      <c r="Y2038">
        <v>1060</v>
      </c>
      <c r="Z2038" t="s">
        <v>44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 s="2">
        <v>1061</v>
      </c>
      <c r="AQ2038">
        <f t="shared" si="71"/>
        <v>1061</v>
      </c>
      <c r="AR2038" s="5">
        <f>VLOOKUP(F2038,'[2]SCP_24-25'!$A:$D,4,0)</f>
        <v>109.68</v>
      </c>
      <c r="AS2038" s="5">
        <f t="shared" si="70"/>
        <v>116370.48000000001</v>
      </c>
    </row>
    <row r="2039" spans="1:45" x14ac:dyDescent="0.3">
      <c r="A2039" s="1">
        <v>45900.963888888888</v>
      </c>
      <c r="B2039" t="s">
        <v>1473</v>
      </c>
      <c r="C2039" t="s">
        <v>1474</v>
      </c>
      <c r="D2039" t="s">
        <v>1349</v>
      </c>
      <c r="F2039" t="s">
        <v>2123</v>
      </c>
      <c r="G2039" t="s">
        <v>1350</v>
      </c>
      <c r="H2039" t="s">
        <v>66</v>
      </c>
      <c r="I2039" t="s">
        <v>415</v>
      </c>
      <c r="J2039">
        <v>25</v>
      </c>
      <c r="K2039">
        <v>19</v>
      </c>
      <c r="L2039">
        <v>10</v>
      </c>
      <c r="M2039">
        <v>11</v>
      </c>
      <c r="N2039">
        <v>6720</v>
      </c>
      <c r="O2039">
        <v>2</v>
      </c>
      <c r="P2039">
        <v>0</v>
      </c>
      <c r="Q2039" t="s">
        <v>44</v>
      </c>
      <c r="R2039" t="s">
        <v>44</v>
      </c>
      <c r="S2039" t="s">
        <v>44</v>
      </c>
      <c r="T2039" t="s">
        <v>44</v>
      </c>
      <c r="U2039" t="s">
        <v>44</v>
      </c>
      <c r="V2039">
        <v>3260</v>
      </c>
      <c r="W2039" t="s">
        <v>44</v>
      </c>
      <c r="X2039" t="s">
        <v>44</v>
      </c>
      <c r="Y2039">
        <v>3260</v>
      </c>
      <c r="Z2039" t="s">
        <v>44</v>
      </c>
      <c r="AA2039">
        <v>3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 s="2">
        <v>3265</v>
      </c>
      <c r="AQ2039">
        <f t="shared" si="71"/>
        <v>3265</v>
      </c>
      <c r="AR2039" s="5">
        <f>VLOOKUP(F2039,'[2]SCP_24-25'!$A:$D,4,0)</f>
        <v>7.7</v>
      </c>
      <c r="AS2039" s="5">
        <f t="shared" si="70"/>
        <v>25140.5</v>
      </c>
    </row>
    <row r="2040" spans="1:45" x14ac:dyDescent="0.3">
      <c r="A2040" s="1">
        <v>45900.963888888888</v>
      </c>
      <c r="B2040" t="s">
        <v>1473</v>
      </c>
      <c r="C2040" t="s">
        <v>1474</v>
      </c>
      <c r="D2040" t="s">
        <v>1351</v>
      </c>
      <c r="F2040" t="s">
        <v>2124</v>
      </c>
      <c r="G2040" t="s">
        <v>1352</v>
      </c>
      <c r="H2040" t="s">
        <v>66</v>
      </c>
      <c r="I2040" t="s">
        <v>415</v>
      </c>
      <c r="J2040">
        <v>25</v>
      </c>
      <c r="K2040">
        <v>19</v>
      </c>
      <c r="L2040">
        <v>10</v>
      </c>
      <c r="M2040">
        <v>11</v>
      </c>
      <c r="N2040">
        <v>4800</v>
      </c>
      <c r="O2040">
        <v>1</v>
      </c>
      <c r="P2040">
        <v>0</v>
      </c>
      <c r="Q2040" t="s">
        <v>44</v>
      </c>
      <c r="R2040" t="s">
        <v>44</v>
      </c>
      <c r="S2040" t="s">
        <v>44</v>
      </c>
      <c r="T2040">
        <v>576</v>
      </c>
      <c r="U2040" t="s">
        <v>44</v>
      </c>
      <c r="V2040">
        <v>1920</v>
      </c>
      <c r="W2040" t="s">
        <v>44</v>
      </c>
      <c r="X2040" t="s">
        <v>44</v>
      </c>
      <c r="Y2040">
        <v>1920</v>
      </c>
      <c r="Z2040" t="s">
        <v>44</v>
      </c>
      <c r="AA2040">
        <v>3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 s="2">
        <v>1924</v>
      </c>
      <c r="AQ2040">
        <f t="shared" si="71"/>
        <v>1924</v>
      </c>
      <c r="AR2040" s="5">
        <f>VLOOKUP(F2040,'[2]SCP_24-25'!$A:$D,4,0)</f>
        <v>9.9</v>
      </c>
      <c r="AS2040" s="5">
        <f t="shared" si="70"/>
        <v>19047.600000000002</v>
      </c>
    </row>
    <row r="2041" spans="1:45" x14ac:dyDescent="0.3">
      <c r="A2041" s="1">
        <v>45900.963888888888</v>
      </c>
      <c r="B2041" t="s">
        <v>1473</v>
      </c>
      <c r="C2041" t="s">
        <v>1474</v>
      </c>
      <c r="D2041" t="s">
        <v>879</v>
      </c>
      <c r="F2041" t="s">
        <v>1891</v>
      </c>
      <c r="G2041" t="s">
        <v>880</v>
      </c>
      <c r="H2041" t="s">
        <v>120</v>
      </c>
      <c r="I2041" t="s">
        <v>43</v>
      </c>
      <c r="J2041">
        <v>100</v>
      </c>
      <c r="K2041">
        <v>19</v>
      </c>
      <c r="L2041">
        <v>11</v>
      </c>
      <c r="M2041">
        <v>10</v>
      </c>
      <c r="N2041">
        <v>2700</v>
      </c>
      <c r="O2041">
        <v>1</v>
      </c>
      <c r="P2041">
        <v>0</v>
      </c>
      <c r="Q2041" t="s">
        <v>44</v>
      </c>
      <c r="R2041" t="s">
        <v>44</v>
      </c>
      <c r="S2041" t="s">
        <v>44</v>
      </c>
      <c r="T2041" t="s">
        <v>44</v>
      </c>
      <c r="U2041" t="s">
        <v>44</v>
      </c>
      <c r="V2041">
        <v>1113</v>
      </c>
      <c r="W2041" t="s">
        <v>44</v>
      </c>
      <c r="X2041" t="s">
        <v>44</v>
      </c>
      <c r="Y2041">
        <v>1113</v>
      </c>
      <c r="Z2041" t="s">
        <v>44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 s="2">
        <v>1114</v>
      </c>
      <c r="AQ2041">
        <f t="shared" si="71"/>
        <v>1114</v>
      </c>
      <c r="AR2041" s="5">
        <f>VLOOKUP(F2041,'[2]SCP_24-25'!$A:$D,4,0)</f>
        <v>46.5</v>
      </c>
      <c r="AS2041" s="5">
        <f t="shared" si="70"/>
        <v>51801</v>
      </c>
    </row>
    <row r="2042" spans="1:45" x14ac:dyDescent="0.3">
      <c r="A2042" s="1">
        <v>45900.965277777781</v>
      </c>
      <c r="B2042" t="s">
        <v>1484</v>
      </c>
      <c r="C2042" t="s">
        <v>1485</v>
      </c>
      <c r="D2042" t="s">
        <v>1266</v>
      </c>
      <c r="F2042" t="s">
        <v>2085</v>
      </c>
      <c r="G2042" t="s">
        <v>1267</v>
      </c>
      <c r="H2042" t="s">
        <v>433</v>
      </c>
      <c r="I2042" t="s">
        <v>434</v>
      </c>
      <c r="J2042">
        <v>131</v>
      </c>
      <c r="K2042">
        <v>4</v>
      </c>
      <c r="L2042">
        <v>3</v>
      </c>
      <c r="M2042">
        <v>16</v>
      </c>
      <c r="N2042">
        <v>3773</v>
      </c>
      <c r="O2042">
        <v>65</v>
      </c>
      <c r="P2042">
        <v>0</v>
      </c>
      <c r="Q2042" t="s">
        <v>44</v>
      </c>
      <c r="R2042" t="s">
        <v>44</v>
      </c>
      <c r="S2042" t="s">
        <v>44</v>
      </c>
      <c r="T2042" t="s">
        <v>44</v>
      </c>
      <c r="U2042" t="s">
        <v>44</v>
      </c>
      <c r="V2042">
        <v>297</v>
      </c>
      <c r="W2042" t="s">
        <v>44</v>
      </c>
      <c r="X2042" t="s">
        <v>44</v>
      </c>
      <c r="Y2042">
        <v>297</v>
      </c>
      <c r="Z2042" t="s">
        <v>44</v>
      </c>
      <c r="AA2042">
        <v>31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393</v>
      </c>
      <c r="AQ2042">
        <f t="shared" ref="AQ2042:AQ2076" si="72">O2042+P2042+V2042+AA2042</f>
        <v>393</v>
      </c>
      <c r="AR2042" s="5">
        <f>VLOOKUP(F2042,'[2]SCP_24-25'!$A:$D,4,0)</f>
        <v>50.05</v>
      </c>
      <c r="AS2042" s="5">
        <f t="shared" si="70"/>
        <v>19669.649999999998</v>
      </c>
    </row>
    <row r="2043" spans="1:45" x14ac:dyDescent="0.3">
      <c r="A2043" s="1">
        <v>45900.965277777781</v>
      </c>
      <c r="B2043" t="s">
        <v>1484</v>
      </c>
      <c r="C2043" t="s">
        <v>1485</v>
      </c>
      <c r="D2043" t="s">
        <v>556</v>
      </c>
      <c r="F2043" t="s">
        <v>1732</v>
      </c>
      <c r="G2043" t="s">
        <v>557</v>
      </c>
      <c r="H2043" t="s">
        <v>433</v>
      </c>
      <c r="I2043" t="s">
        <v>434</v>
      </c>
      <c r="J2043">
        <v>256.39999999999998</v>
      </c>
      <c r="K2043">
        <v>8</v>
      </c>
      <c r="L2043">
        <v>8</v>
      </c>
      <c r="M2043">
        <v>6.3</v>
      </c>
      <c r="N2043">
        <v>7604</v>
      </c>
      <c r="O2043">
        <v>31</v>
      </c>
      <c r="P2043">
        <v>0</v>
      </c>
      <c r="Q2043">
        <v>1</v>
      </c>
      <c r="R2043">
        <v>3729</v>
      </c>
      <c r="S2043" t="s">
        <v>44</v>
      </c>
      <c r="T2043" t="s">
        <v>44</v>
      </c>
      <c r="U2043" t="s">
        <v>44</v>
      </c>
      <c r="V2043">
        <v>914</v>
      </c>
      <c r="W2043" t="s">
        <v>44</v>
      </c>
      <c r="X2043" t="s">
        <v>44</v>
      </c>
      <c r="Y2043">
        <v>914</v>
      </c>
      <c r="Z2043" t="s">
        <v>44</v>
      </c>
      <c r="AA2043">
        <v>5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950</v>
      </c>
      <c r="AQ2043">
        <f t="shared" si="72"/>
        <v>950</v>
      </c>
      <c r="AR2043" s="5">
        <f>VLOOKUP(F2043,'[2]SCP_24-25'!$A:$D,4,0)</f>
        <v>103.38</v>
      </c>
      <c r="AS2043" s="5">
        <f t="shared" si="70"/>
        <v>98211</v>
      </c>
    </row>
    <row r="2044" spans="1:45" x14ac:dyDescent="0.3">
      <c r="A2044" s="1">
        <v>45900.965277777781</v>
      </c>
      <c r="B2044" t="s">
        <v>1484</v>
      </c>
      <c r="C2044" t="s">
        <v>1485</v>
      </c>
      <c r="D2044" t="s">
        <v>762</v>
      </c>
      <c r="F2044" t="s">
        <v>1834</v>
      </c>
      <c r="G2044" t="s">
        <v>763</v>
      </c>
      <c r="H2044" t="s">
        <v>433</v>
      </c>
      <c r="I2044" t="s">
        <v>434</v>
      </c>
      <c r="J2044">
        <v>58</v>
      </c>
      <c r="K2044">
        <v>3.5</v>
      </c>
      <c r="L2044">
        <v>12.4</v>
      </c>
      <c r="M2044">
        <v>3.5</v>
      </c>
      <c r="N2044">
        <v>2232</v>
      </c>
      <c r="O2044">
        <v>61</v>
      </c>
      <c r="P2044">
        <v>0</v>
      </c>
      <c r="Q2044" t="s">
        <v>44</v>
      </c>
      <c r="R2044" t="s">
        <v>44</v>
      </c>
      <c r="S2044" t="s">
        <v>44</v>
      </c>
      <c r="T2044" t="s">
        <v>44</v>
      </c>
      <c r="U2044" t="s">
        <v>44</v>
      </c>
      <c r="V2044">
        <v>730</v>
      </c>
      <c r="W2044" t="s">
        <v>44</v>
      </c>
      <c r="X2044" t="s">
        <v>44</v>
      </c>
      <c r="Y2044">
        <v>730</v>
      </c>
      <c r="Z2044" t="s">
        <v>44</v>
      </c>
      <c r="AA2044">
        <v>6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797</v>
      </c>
      <c r="AQ2044">
        <f t="shared" si="72"/>
        <v>797</v>
      </c>
      <c r="AR2044" s="5">
        <f>VLOOKUP(F2044,'[2]SCP_24-25'!$A:$D,4,0)</f>
        <v>83.6</v>
      </c>
      <c r="AS2044" s="5">
        <f t="shared" si="70"/>
        <v>66629.2</v>
      </c>
    </row>
    <row r="2045" spans="1:45" x14ac:dyDescent="0.3">
      <c r="A2045" s="1">
        <v>45900.965277777781</v>
      </c>
      <c r="B2045" t="s">
        <v>1484</v>
      </c>
      <c r="C2045" t="s">
        <v>1485</v>
      </c>
      <c r="D2045" t="s">
        <v>479</v>
      </c>
      <c r="F2045" t="s">
        <v>1694</v>
      </c>
      <c r="G2045" t="s">
        <v>480</v>
      </c>
      <c r="H2045" t="s">
        <v>433</v>
      </c>
      <c r="I2045" t="s">
        <v>434</v>
      </c>
      <c r="N2045">
        <v>3292</v>
      </c>
      <c r="O2045">
        <v>24</v>
      </c>
      <c r="P2045">
        <v>0</v>
      </c>
      <c r="Q2045" t="s">
        <v>44</v>
      </c>
      <c r="R2045" t="s">
        <v>44</v>
      </c>
      <c r="S2045" t="s">
        <v>44</v>
      </c>
      <c r="T2045">
        <v>100</v>
      </c>
      <c r="U2045" t="s">
        <v>44</v>
      </c>
      <c r="V2045">
        <v>515</v>
      </c>
      <c r="W2045" t="s">
        <v>44</v>
      </c>
      <c r="X2045" t="s">
        <v>44</v>
      </c>
      <c r="Y2045">
        <v>515</v>
      </c>
      <c r="Z2045" t="s">
        <v>44</v>
      </c>
      <c r="AA2045">
        <v>4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543</v>
      </c>
      <c r="AQ2045">
        <f t="shared" si="72"/>
        <v>543</v>
      </c>
      <c r="AR2045" s="5">
        <f>VLOOKUP(F2045,'[2]SCP_24-25'!$A:$D,4,0)</f>
        <v>89.7</v>
      </c>
      <c r="AS2045" s="5">
        <f t="shared" si="70"/>
        <v>48707.1</v>
      </c>
    </row>
    <row r="2046" spans="1:45" x14ac:dyDescent="0.3">
      <c r="A2046" s="1">
        <v>45900.965277777781</v>
      </c>
      <c r="B2046" t="s">
        <v>1484</v>
      </c>
      <c r="C2046" t="s">
        <v>1485</v>
      </c>
      <c r="D2046" t="s">
        <v>1486</v>
      </c>
      <c r="F2046" t="s">
        <v>2194</v>
      </c>
      <c r="G2046" t="s">
        <v>1487</v>
      </c>
      <c r="H2046" t="s">
        <v>120</v>
      </c>
      <c r="I2046" t="s">
        <v>434</v>
      </c>
      <c r="J2046">
        <v>100</v>
      </c>
      <c r="K2046">
        <v>19</v>
      </c>
      <c r="L2046">
        <v>11</v>
      </c>
      <c r="M2046">
        <v>10</v>
      </c>
      <c r="N2046">
        <v>398</v>
      </c>
      <c r="O2046">
        <v>0</v>
      </c>
      <c r="P2046">
        <v>0</v>
      </c>
      <c r="Q2046" t="s">
        <v>44</v>
      </c>
      <c r="R2046" t="s">
        <v>44</v>
      </c>
      <c r="S2046" t="s">
        <v>44</v>
      </c>
      <c r="T2046" t="s">
        <v>44</v>
      </c>
      <c r="U2046" t="s">
        <v>44</v>
      </c>
      <c r="V2046">
        <v>281</v>
      </c>
      <c r="W2046" t="s">
        <v>44</v>
      </c>
      <c r="X2046" t="s">
        <v>44</v>
      </c>
      <c r="Y2046">
        <v>281</v>
      </c>
      <c r="Z2046" t="s">
        <v>44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281</v>
      </c>
      <c r="AQ2046">
        <f t="shared" si="72"/>
        <v>281</v>
      </c>
      <c r="AR2046" s="5">
        <f>VLOOKUP(F2046,'[2]SCP_24-25'!$A:$D,4,0)</f>
        <v>175</v>
      </c>
      <c r="AS2046" s="5">
        <f t="shared" si="70"/>
        <v>49175</v>
      </c>
    </row>
    <row r="2047" spans="1:45" x14ac:dyDescent="0.3">
      <c r="A2047" s="1">
        <v>45900.965277777781</v>
      </c>
      <c r="B2047" t="s">
        <v>1484</v>
      </c>
      <c r="C2047" t="s">
        <v>1485</v>
      </c>
      <c r="D2047" t="s">
        <v>1488</v>
      </c>
      <c r="F2047" t="s">
        <v>2195</v>
      </c>
      <c r="G2047" t="s">
        <v>1489</v>
      </c>
      <c r="H2047" t="s">
        <v>120</v>
      </c>
      <c r="I2047" t="s">
        <v>434</v>
      </c>
      <c r="J2047">
        <v>10</v>
      </c>
      <c r="K2047">
        <v>19</v>
      </c>
      <c r="L2047">
        <v>11</v>
      </c>
      <c r="M2047">
        <v>10</v>
      </c>
      <c r="N2047">
        <v>450</v>
      </c>
      <c r="O2047">
        <v>0</v>
      </c>
      <c r="P2047">
        <v>0</v>
      </c>
      <c r="Q2047" t="s">
        <v>44</v>
      </c>
      <c r="R2047" t="s">
        <v>44</v>
      </c>
      <c r="S2047" t="s">
        <v>44</v>
      </c>
      <c r="T2047" t="s">
        <v>44</v>
      </c>
      <c r="U2047" t="s">
        <v>44</v>
      </c>
      <c r="V2047">
        <v>333</v>
      </c>
      <c r="W2047" t="s">
        <v>44</v>
      </c>
      <c r="X2047" t="s">
        <v>44</v>
      </c>
      <c r="Y2047">
        <v>333</v>
      </c>
      <c r="Z2047" t="s">
        <v>44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333</v>
      </c>
      <c r="AQ2047">
        <f t="shared" si="72"/>
        <v>333</v>
      </c>
      <c r="AR2047" s="5">
        <f>VLOOKUP(F2047,'[2]SCP_24-25'!$A:$D,4,0)</f>
        <v>6.5</v>
      </c>
      <c r="AS2047" s="5">
        <f t="shared" si="70"/>
        <v>2164.5</v>
      </c>
    </row>
    <row r="2048" spans="1:45" x14ac:dyDescent="0.3">
      <c r="A2048" s="1">
        <v>45900.965277777781</v>
      </c>
      <c r="B2048" t="s">
        <v>1484</v>
      </c>
      <c r="C2048" t="s">
        <v>1485</v>
      </c>
      <c r="D2048" t="s">
        <v>1490</v>
      </c>
      <c r="F2048" t="s">
        <v>2196</v>
      </c>
      <c r="G2048" t="s">
        <v>1491</v>
      </c>
      <c r="H2048" t="s">
        <v>1492</v>
      </c>
      <c r="I2048" t="s">
        <v>434</v>
      </c>
      <c r="J2048">
        <v>100</v>
      </c>
      <c r="K2048">
        <v>19</v>
      </c>
      <c r="L2048">
        <v>11</v>
      </c>
      <c r="M2048">
        <v>10</v>
      </c>
      <c r="N2048">
        <v>390</v>
      </c>
      <c r="O2048">
        <v>0</v>
      </c>
      <c r="P2048">
        <v>0</v>
      </c>
      <c r="Q2048">
        <v>1</v>
      </c>
      <c r="R2048">
        <v>195</v>
      </c>
      <c r="S2048" t="s">
        <v>44</v>
      </c>
      <c r="T2048" t="s">
        <v>44</v>
      </c>
      <c r="U2048" t="s">
        <v>44</v>
      </c>
      <c r="V2048">
        <v>77</v>
      </c>
      <c r="W2048" t="s">
        <v>44</v>
      </c>
      <c r="X2048" t="s">
        <v>44</v>
      </c>
      <c r="Y2048">
        <v>77</v>
      </c>
      <c r="Z2048" t="s">
        <v>44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77</v>
      </c>
      <c r="AQ2048">
        <f t="shared" si="72"/>
        <v>77</v>
      </c>
      <c r="AR2048" s="5">
        <f>VLOOKUP(F2048,'[2]SCP_24-25'!$A:$D,4,0)</f>
        <v>91</v>
      </c>
      <c r="AS2048" s="5">
        <f t="shared" si="70"/>
        <v>7007</v>
      </c>
    </row>
    <row r="2049" spans="1:45" x14ac:dyDescent="0.3">
      <c r="A2049" s="1">
        <v>45900.965277777781</v>
      </c>
      <c r="B2049" t="s">
        <v>1484</v>
      </c>
      <c r="C2049" t="s">
        <v>1485</v>
      </c>
      <c r="D2049" t="s">
        <v>511</v>
      </c>
      <c r="F2049" t="s">
        <v>1710</v>
      </c>
      <c r="G2049" t="s">
        <v>512</v>
      </c>
      <c r="H2049" t="s">
        <v>433</v>
      </c>
      <c r="I2049" t="s">
        <v>434</v>
      </c>
      <c r="J2049">
        <v>110.9</v>
      </c>
      <c r="K2049">
        <v>6</v>
      </c>
      <c r="L2049">
        <v>3.4</v>
      </c>
      <c r="M2049">
        <v>11</v>
      </c>
      <c r="N2049">
        <v>16307</v>
      </c>
      <c r="O2049">
        <v>79</v>
      </c>
      <c r="P2049">
        <v>0</v>
      </c>
      <c r="Q2049">
        <v>3</v>
      </c>
      <c r="R2049">
        <v>7312</v>
      </c>
      <c r="S2049" t="s">
        <v>44</v>
      </c>
      <c r="T2049" t="s">
        <v>44</v>
      </c>
      <c r="U2049" t="s">
        <v>44</v>
      </c>
      <c r="V2049">
        <v>0</v>
      </c>
      <c r="W2049" t="s">
        <v>44</v>
      </c>
      <c r="X2049" t="s">
        <v>44</v>
      </c>
      <c r="Y2049" t="s">
        <v>44</v>
      </c>
      <c r="Z2049" t="s">
        <v>44</v>
      </c>
      <c r="AA2049">
        <v>115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194</v>
      </c>
      <c r="AQ2049">
        <f t="shared" si="72"/>
        <v>194</v>
      </c>
      <c r="AR2049" s="5">
        <f>VLOOKUP(F2049,'[2]SCP_24-25'!$A:$D,4,0)</f>
        <v>87.7</v>
      </c>
      <c r="AS2049" s="5">
        <f t="shared" si="70"/>
        <v>17013.8</v>
      </c>
    </row>
    <row r="2050" spans="1:45" x14ac:dyDescent="0.3">
      <c r="A2050" s="1">
        <v>45900.965277777781</v>
      </c>
      <c r="B2050" t="s">
        <v>1484</v>
      </c>
      <c r="C2050" t="s">
        <v>1485</v>
      </c>
      <c r="D2050" t="s">
        <v>431</v>
      </c>
      <c r="F2050" t="s">
        <v>1672</v>
      </c>
      <c r="G2050" t="s">
        <v>432</v>
      </c>
      <c r="H2050" t="s">
        <v>433</v>
      </c>
      <c r="I2050" t="s">
        <v>434</v>
      </c>
      <c r="J2050">
        <v>110.3</v>
      </c>
      <c r="K2050">
        <v>6</v>
      </c>
      <c r="L2050">
        <v>3.4</v>
      </c>
      <c r="M2050">
        <v>12</v>
      </c>
      <c r="N2050">
        <v>26677</v>
      </c>
      <c r="O2050">
        <v>49</v>
      </c>
      <c r="P2050">
        <v>0</v>
      </c>
      <c r="Q2050">
        <v>3</v>
      </c>
      <c r="R2050">
        <v>17174</v>
      </c>
      <c r="S2050" t="s">
        <v>44</v>
      </c>
      <c r="T2050" t="s">
        <v>44</v>
      </c>
      <c r="U2050" t="s">
        <v>44</v>
      </c>
      <c r="V2050">
        <v>2766</v>
      </c>
      <c r="W2050" t="s">
        <v>44</v>
      </c>
      <c r="X2050" t="s">
        <v>44</v>
      </c>
      <c r="Y2050">
        <v>2766</v>
      </c>
      <c r="Z2050" t="s">
        <v>44</v>
      </c>
      <c r="AA2050">
        <v>39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 s="2">
        <v>2854</v>
      </c>
      <c r="AQ2050">
        <f t="shared" si="72"/>
        <v>2854</v>
      </c>
      <c r="AR2050" s="5">
        <f>VLOOKUP(F2050,'[2]SCP_24-25'!$A:$D,4,0)</f>
        <v>117.33</v>
      </c>
      <c r="AS2050" s="5">
        <f t="shared" si="70"/>
        <v>334859.82</v>
      </c>
    </row>
    <row r="2051" spans="1:45" x14ac:dyDescent="0.3">
      <c r="A2051" s="1">
        <v>45900.965277777781</v>
      </c>
      <c r="B2051" t="s">
        <v>1484</v>
      </c>
      <c r="C2051" t="s">
        <v>1485</v>
      </c>
      <c r="D2051" t="s">
        <v>552</v>
      </c>
      <c r="F2051" t="s">
        <v>1730</v>
      </c>
      <c r="G2051" t="s">
        <v>553</v>
      </c>
      <c r="H2051" t="s">
        <v>433</v>
      </c>
      <c r="I2051" t="s">
        <v>434</v>
      </c>
      <c r="J2051">
        <v>255</v>
      </c>
      <c r="K2051">
        <v>8</v>
      </c>
      <c r="L2051">
        <v>8</v>
      </c>
      <c r="M2051">
        <v>6.3</v>
      </c>
      <c r="N2051">
        <v>10546</v>
      </c>
      <c r="O2051">
        <v>25</v>
      </c>
      <c r="P2051">
        <v>0</v>
      </c>
      <c r="Q2051" t="s">
        <v>44</v>
      </c>
      <c r="R2051">
        <v>2111</v>
      </c>
      <c r="S2051" t="s">
        <v>44</v>
      </c>
      <c r="T2051" t="s">
        <v>44</v>
      </c>
      <c r="U2051" t="s">
        <v>44</v>
      </c>
      <c r="V2051">
        <v>3380</v>
      </c>
      <c r="W2051" t="s">
        <v>44</v>
      </c>
      <c r="X2051" t="s">
        <v>44</v>
      </c>
      <c r="Y2051">
        <v>3380</v>
      </c>
      <c r="Z2051" t="s">
        <v>44</v>
      </c>
      <c r="AA2051">
        <v>8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 s="2">
        <v>3413</v>
      </c>
      <c r="AQ2051">
        <f t="shared" si="72"/>
        <v>3413</v>
      </c>
      <c r="AR2051" s="5">
        <f>VLOOKUP(F2051,'[2]SCP_24-25'!$A:$D,4,0)</f>
        <v>99.01</v>
      </c>
      <c r="AS2051" s="5">
        <f t="shared" ref="AS2051:AS2114" si="73">AQ2051*AR2051</f>
        <v>337921.13</v>
      </c>
    </row>
    <row r="2052" spans="1:45" x14ac:dyDescent="0.3">
      <c r="A2052" s="1">
        <v>45900.965277777781</v>
      </c>
      <c r="B2052" t="s">
        <v>1484</v>
      </c>
      <c r="C2052" t="s">
        <v>1485</v>
      </c>
      <c r="D2052" t="s">
        <v>435</v>
      </c>
      <c r="F2052" t="s">
        <v>1673</v>
      </c>
      <c r="G2052" t="s">
        <v>436</v>
      </c>
      <c r="H2052" t="s">
        <v>433</v>
      </c>
      <c r="I2052" t="s">
        <v>434</v>
      </c>
      <c r="J2052">
        <v>110.9</v>
      </c>
      <c r="K2052">
        <v>6</v>
      </c>
      <c r="L2052">
        <v>3.4</v>
      </c>
      <c r="M2052">
        <v>12</v>
      </c>
      <c r="N2052">
        <v>24659</v>
      </c>
      <c r="O2052">
        <v>193</v>
      </c>
      <c r="P2052">
        <v>0</v>
      </c>
      <c r="Q2052">
        <v>4</v>
      </c>
      <c r="R2052">
        <v>7264</v>
      </c>
      <c r="S2052" t="s">
        <v>44</v>
      </c>
      <c r="T2052">
        <v>3192</v>
      </c>
      <c r="U2052" t="s">
        <v>44</v>
      </c>
      <c r="V2052">
        <v>5284</v>
      </c>
      <c r="W2052" t="s">
        <v>44</v>
      </c>
      <c r="X2052" t="s">
        <v>44</v>
      </c>
      <c r="Y2052">
        <v>5284</v>
      </c>
      <c r="Z2052" t="s">
        <v>44</v>
      </c>
      <c r="AA2052">
        <v>115</v>
      </c>
      <c r="AB2052">
        <v>0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 s="2">
        <v>5592</v>
      </c>
      <c r="AQ2052">
        <f t="shared" si="72"/>
        <v>5592</v>
      </c>
      <c r="AR2052" s="5">
        <f>VLOOKUP(F2052,'[2]SCP_24-25'!$A:$D,4,0)</f>
        <v>91.53</v>
      </c>
      <c r="AS2052" s="5">
        <f t="shared" si="73"/>
        <v>511835.76</v>
      </c>
    </row>
    <row r="2053" spans="1:45" x14ac:dyDescent="0.3">
      <c r="A2053" s="1">
        <v>45900.965277777781</v>
      </c>
      <c r="B2053" t="s">
        <v>1484</v>
      </c>
      <c r="C2053" t="s">
        <v>1485</v>
      </c>
      <c r="D2053" t="s">
        <v>554</v>
      </c>
      <c r="F2053" t="s">
        <v>1731</v>
      </c>
      <c r="G2053" t="s">
        <v>555</v>
      </c>
      <c r="H2053" t="s">
        <v>433</v>
      </c>
      <c r="I2053" t="s">
        <v>434</v>
      </c>
      <c r="J2053">
        <v>110.9</v>
      </c>
      <c r="K2053">
        <v>6</v>
      </c>
      <c r="L2053">
        <v>3.4</v>
      </c>
      <c r="M2053">
        <v>12</v>
      </c>
      <c r="N2053">
        <v>7484</v>
      </c>
      <c r="O2053">
        <v>32</v>
      </c>
      <c r="P2053">
        <v>0</v>
      </c>
      <c r="Q2053" t="s">
        <v>44</v>
      </c>
      <c r="R2053">
        <v>3742</v>
      </c>
      <c r="S2053" t="s">
        <v>44</v>
      </c>
      <c r="T2053" t="s">
        <v>44</v>
      </c>
      <c r="U2053" t="s">
        <v>44</v>
      </c>
      <c r="V2053">
        <v>1020</v>
      </c>
      <c r="W2053" t="s">
        <v>44</v>
      </c>
      <c r="X2053" t="s">
        <v>44</v>
      </c>
      <c r="Y2053">
        <v>1020</v>
      </c>
      <c r="Z2053" t="s">
        <v>44</v>
      </c>
      <c r="AA2053">
        <v>2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 s="2">
        <v>1054</v>
      </c>
      <c r="AQ2053">
        <f t="shared" si="72"/>
        <v>1054</v>
      </c>
      <c r="AR2053" s="5">
        <f>VLOOKUP(F2053,'[2]SCP_24-25'!$A:$D,4,0)</f>
        <v>95.29</v>
      </c>
      <c r="AS2053" s="5">
        <f t="shared" si="73"/>
        <v>100435.66</v>
      </c>
    </row>
    <row r="2054" spans="1:45" x14ac:dyDescent="0.3">
      <c r="A2054" s="1">
        <v>45900.965277777781</v>
      </c>
      <c r="B2054" t="s">
        <v>1484</v>
      </c>
      <c r="C2054" t="s">
        <v>1485</v>
      </c>
      <c r="D2054" t="s">
        <v>477</v>
      </c>
      <c r="F2054" t="s">
        <v>1693</v>
      </c>
      <c r="G2054" t="s">
        <v>478</v>
      </c>
      <c r="H2054" t="s">
        <v>433</v>
      </c>
      <c r="I2054" t="s">
        <v>434</v>
      </c>
      <c r="J2054">
        <v>110</v>
      </c>
      <c r="K2054">
        <v>6</v>
      </c>
      <c r="L2054">
        <v>3.4</v>
      </c>
      <c r="M2054">
        <v>11</v>
      </c>
      <c r="N2054">
        <v>14592</v>
      </c>
      <c r="O2054">
        <v>3</v>
      </c>
      <c r="P2054">
        <v>0</v>
      </c>
      <c r="Q2054" t="s">
        <v>44</v>
      </c>
      <c r="R2054">
        <v>7296</v>
      </c>
      <c r="S2054" t="s">
        <v>44</v>
      </c>
      <c r="T2054" t="s">
        <v>44</v>
      </c>
      <c r="U2054" t="s">
        <v>44</v>
      </c>
      <c r="V2054">
        <v>3134</v>
      </c>
      <c r="W2054" t="s">
        <v>44</v>
      </c>
      <c r="X2054" t="s">
        <v>44</v>
      </c>
      <c r="Y2054">
        <v>3134</v>
      </c>
      <c r="Z2054" t="s">
        <v>44</v>
      </c>
      <c r="AA2054">
        <v>8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 s="2">
        <v>3145</v>
      </c>
      <c r="AQ2054">
        <f t="shared" si="72"/>
        <v>3145</v>
      </c>
      <c r="AR2054" s="5">
        <f>VLOOKUP(F2054,'[2]SCP_24-25'!$A:$D,4,0)</f>
        <v>86.13</v>
      </c>
      <c r="AS2054" s="5">
        <f t="shared" si="73"/>
        <v>270878.84999999998</v>
      </c>
    </row>
    <row r="2055" spans="1:45" x14ac:dyDescent="0.3">
      <c r="A2055" s="1">
        <v>45900.965277777781</v>
      </c>
      <c r="B2055" t="s">
        <v>1484</v>
      </c>
      <c r="C2055" t="s">
        <v>1485</v>
      </c>
      <c r="D2055" t="s">
        <v>1495</v>
      </c>
      <c r="F2055" t="s">
        <v>2198</v>
      </c>
      <c r="G2055" t="s">
        <v>1496</v>
      </c>
      <c r="H2055" t="s">
        <v>766</v>
      </c>
      <c r="I2055" t="s">
        <v>434</v>
      </c>
      <c r="J2055">
        <v>70.8</v>
      </c>
      <c r="K2055">
        <v>19</v>
      </c>
      <c r="L2055">
        <v>8.5</v>
      </c>
      <c r="M2055">
        <v>11</v>
      </c>
      <c r="N2055">
        <v>11802</v>
      </c>
      <c r="O2055">
        <v>0</v>
      </c>
      <c r="P2055">
        <v>0</v>
      </c>
      <c r="Q2055" t="s">
        <v>44</v>
      </c>
      <c r="R2055">
        <v>1597</v>
      </c>
      <c r="S2055" t="s">
        <v>44</v>
      </c>
      <c r="T2055" t="s">
        <v>44</v>
      </c>
      <c r="U2055" t="s">
        <v>44</v>
      </c>
      <c r="V2055">
        <v>5020</v>
      </c>
      <c r="W2055" t="s">
        <v>44</v>
      </c>
      <c r="X2055" t="s">
        <v>44</v>
      </c>
      <c r="Y2055">
        <v>5020</v>
      </c>
      <c r="Z2055" t="s">
        <v>44</v>
      </c>
      <c r="AA2055">
        <v>832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 s="2">
        <v>5852</v>
      </c>
      <c r="AQ2055">
        <f t="shared" si="72"/>
        <v>5852</v>
      </c>
      <c r="AR2055" s="5">
        <f>VLOOKUP(F2055,'[2]SCP_24-25'!$A:$D,4,0)</f>
        <v>15.8</v>
      </c>
      <c r="AS2055" s="5">
        <f t="shared" si="73"/>
        <v>92461.6</v>
      </c>
    </row>
    <row r="2056" spans="1:45" x14ac:dyDescent="0.3">
      <c r="A2056" s="1">
        <v>45900.965277777781</v>
      </c>
      <c r="B2056" t="s">
        <v>1484</v>
      </c>
      <c r="C2056" t="s">
        <v>1485</v>
      </c>
      <c r="D2056" t="s">
        <v>764</v>
      </c>
      <c r="F2056" t="s">
        <v>1835</v>
      </c>
      <c r="G2056" t="s">
        <v>765</v>
      </c>
      <c r="H2056" t="s">
        <v>766</v>
      </c>
      <c r="I2056" t="s">
        <v>434</v>
      </c>
      <c r="J2056">
        <v>139.30000000000001</v>
      </c>
      <c r="K2056">
        <v>1</v>
      </c>
      <c r="L2056">
        <v>7.62</v>
      </c>
      <c r="M2056">
        <v>17.7</v>
      </c>
      <c r="N2056">
        <v>14367</v>
      </c>
      <c r="O2056">
        <v>0</v>
      </c>
      <c r="P2056">
        <v>0</v>
      </c>
      <c r="Q2056" t="s">
        <v>44</v>
      </c>
      <c r="R2056" t="s">
        <v>44</v>
      </c>
      <c r="S2056" t="s">
        <v>44</v>
      </c>
      <c r="T2056">
        <v>836</v>
      </c>
      <c r="U2056" t="s">
        <v>44</v>
      </c>
      <c r="V2056">
        <v>9582</v>
      </c>
      <c r="W2056" t="s">
        <v>44</v>
      </c>
      <c r="X2056" t="s">
        <v>44</v>
      </c>
      <c r="Y2056">
        <v>9582</v>
      </c>
      <c r="Z2056" t="s">
        <v>44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 s="2">
        <v>9582</v>
      </c>
      <c r="AQ2056">
        <f t="shared" si="72"/>
        <v>9582</v>
      </c>
      <c r="AR2056" s="5">
        <f>VLOOKUP(F2056,'[2]SCP_24-25'!$A:$D,4,0)</f>
        <v>21.3</v>
      </c>
      <c r="AS2056" s="5">
        <f t="shared" si="73"/>
        <v>204096.6</v>
      </c>
    </row>
    <row r="2057" spans="1:45" x14ac:dyDescent="0.3">
      <c r="A2057" s="1">
        <v>45900.965277777781</v>
      </c>
      <c r="B2057" t="s">
        <v>1484</v>
      </c>
      <c r="C2057" t="s">
        <v>1485</v>
      </c>
      <c r="D2057" t="s">
        <v>767</v>
      </c>
      <c r="F2057" t="s">
        <v>1836</v>
      </c>
      <c r="G2057" t="s">
        <v>768</v>
      </c>
      <c r="H2057" t="s">
        <v>766</v>
      </c>
      <c r="I2057" t="s">
        <v>434</v>
      </c>
      <c r="J2057">
        <v>228.4</v>
      </c>
      <c r="K2057">
        <v>31.1</v>
      </c>
      <c r="L2057">
        <v>10</v>
      </c>
      <c r="M2057">
        <v>18.5</v>
      </c>
      <c r="N2057">
        <v>4841</v>
      </c>
      <c r="O2057">
        <v>0</v>
      </c>
      <c r="P2057">
        <v>0</v>
      </c>
      <c r="Q2057" t="s">
        <v>44</v>
      </c>
      <c r="R2057" t="s">
        <v>44</v>
      </c>
      <c r="S2057" t="s">
        <v>44</v>
      </c>
      <c r="T2057">
        <v>5688</v>
      </c>
      <c r="U2057" t="s">
        <v>44</v>
      </c>
      <c r="V2057">
        <v>3379</v>
      </c>
      <c r="W2057" t="s">
        <v>44</v>
      </c>
      <c r="X2057" t="s">
        <v>44</v>
      </c>
      <c r="Y2057">
        <v>3379</v>
      </c>
      <c r="Z2057" t="s">
        <v>44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 s="2">
        <v>3379</v>
      </c>
      <c r="AQ2057">
        <f t="shared" si="72"/>
        <v>3379</v>
      </c>
      <c r="AR2057" s="5">
        <f>VLOOKUP(F2057,'[1]Cost Sheet'!$C:$D,2,0)</f>
        <v>25.3</v>
      </c>
      <c r="AS2057" s="5">
        <f t="shared" si="73"/>
        <v>85488.7</v>
      </c>
    </row>
    <row r="2058" spans="1:45" x14ac:dyDescent="0.3">
      <c r="A2058" s="1">
        <v>45900.965277777781</v>
      </c>
      <c r="B2058" t="s">
        <v>1497</v>
      </c>
      <c r="C2058" t="s">
        <v>1498</v>
      </c>
      <c r="D2058" t="s">
        <v>179</v>
      </c>
      <c r="F2058" t="s">
        <v>1567</v>
      </c>
      <c r="G2058" t="s">
        <v>180</v>
      </c>
      <c r="H2058" t="s">
        <v>103</v>
      </c>
      <c r="I2058" t="s">
        <v>43</v>
      </c>
      <c r="J2058">
        <v>128</v>
      </c>
      <c r="K2058">
        <v>19</v>
      </c>
      <c r="L2058">
        <v>9.5</v>
      </c>
      <c r="M2058">
        <v>11</v>
      </c>
      <c r="N2058">
        <v>1</v>
      </c>
      <c r="O2058">
        <v>0</v>
      </c>
      <c r="P2058">
        <v>0</v>
      </c>
      <c r="Q2058" t="s">
        <v>44</v>
      </c>
      <c r="R2058" t="s">
        <v>44</v>
      </c>
      <c r="S2058" t="s">
        <v>44</v>
      </c>
      <c r="T2058" t="s">
        <v>44</v>
      </c>
      <c r="U2058" t="s">
        <v>44</v>
      </c>
      <c r="V2058">
        <v>1</v>
      </c>
      <c r="W2058" t="s">
        <v>44</v>
      </c>
      <c r="X2058" t="s">
        <v>44</v>
      </c>
      <c r="Y2058">
        <v>1</v>
      </c>
      <c r="Z2058" t="s">
        <v>44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f t="shared" si="72"/>
        <v>1</v>
      </c>
      <c r="AR2058" s="5">
        <f>VLOOKUP(F2058,'[2]SCP_24-25'!$A:$D,4,0)</f>
        <v>130.39230769230767</v>
      </c>
      <c r="AS2058" s="5">
        <f t="shared" si="73"/>
        <v>130.39230769230767</v>
      </c>
    </row>
    <row r="2059" spans="1:45" x14ac:dyDescent="0.3">
      <c r="A2059" s="1">
        <v>45900.965277777781</v>
      </c>
      <c r="B2059" t="s">
        <v>1499</v>
      </c>
      <c r="C2059" t="s">
        <v>1500</v>
      </c>
      <c r="D2059" t="s">
        <v>147</v>
      </c>
      <c r="F2059" t="s">
        <v>1551</v>
      </c>
      <c r="G2059" t="s">
        <v>148</v>
      </c>
      <c r="H2059" t="s">
        <v>120</v>
      </c>
      <c r="I2059" t="s">
        <v>43</v>
      </c>
      <c r="J2059">
        <v>45</v>
      </c>
      <c r="K2059">
        <v>19</v>
      </c>
      <c r="L2059">
        <v>11</v>
      </c>
      <c r="M2059">
        <v>9.5</v>
      </c>
      <c r="N2059">
        <v>320</v>
      </c>
      <c r="O2059">
        <v>0</v>
      </c>
      <c r="P2059">
        <v>0</v>
      </c>
      <c r="Q2059" t="s">
        <v>44</v>
      </c>
      <c r="R2059" t="s">
        <v>44</v>
      </c>
      <c r="S2059" t="s">
        <v>44</v>
      </c>
      <c r="T2059" t="s">
        <v>44</v>
      </c>
      <c r="U2059" t="s">
        <v>44</v>
      </c>
      <c r="V2059">
        <v>100</v>
      </c>
      <c r="W2059" t="s">
        <v>44</v>
      </c>
      <c r="X2059" t="s">
        <v>44</v>
      </c>
      <c r="Y2059">
        <v>100</v>
      </c>
      <c r="Z2059" t="s">
        <v>44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100</v>
      </c>
      <c r="AQ2059">
        <f t="shared" si="72"/>
        <v>100</v>
      </c>
      <c r="AR2059" s="5">
        <f>VLOOKUP(F2059,'[2]SCP_24-25'!$A:$D,4,0)</f>
        <v>27.733333333333331</v>
      </c>
      <c r="AS2059" s="5">
        <f t="shared" si="73"/>
        <v>2773.333333333333</v>
      </c>
    </row>
    <row r="2060" spans="1:45" x14ac:dyDescent="0.3">
      <c r="A2060" s="1">
        <v>45900.965277777781</v>
      </c>
      <c r="B2060" t="s">
        <v>1499</v>
      </c>
      <c r="C2060" t="s">
        <v>1500</v>
      </c>
      <c r="D2060" t="s">
        <v>235</v>
      </c>
      <c r="F2060" t="s">
        <v>1592</v>
      </c>
      <c r="G2060" t="s">
        <v>236</v>
      </c>
      <c r="H2060" t="s">
        <v>66</v>
      </c>
      <c r="I2060" t="s">
        <v>43</v>
      </c>
      <c r="J2060">
        <v>90</v>
      </c>
      <c r="K2060">
        <v>19</v>
      </c>
      <c r="L2060">
        <v>9.5</v>
      </c>
      <c r="M2060">
        <v>11</v>
      </c>
      <c r="N2060">
        <v>39</v>
      </c>
      <c r="O2060">
        <v>0</v>
      </c>
      <c r="P2060">
        <v>0</v>
      </c>
      <c r="Q2060" t="s">
        <v>44</v>
      </c>
      <c r="R2060" t="s">
        <v>44</v>
      </c>
      <c r="S2060" t="s">
        <v>44</v>
      </c>
      <c r="T2060" t="s">
        <v>44</v>
      </c>
      <c r="U2060" t="s">
        <v>44</v>
      </c>
      <c r="V2060">
        <v>39</v>
      </c>
      <c r="W2060" t="s">
        <v>44</v>
      </c>
      <c r="X2060" t="s">
        <v>44</v>
      </c>
      <c r="Y2060">
        <v>39</v>
      </c>
      <c r="Z2060" t="s">
        <v>44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39</v>
      </c>
      <c r="AQ2060">
        <f t="shared" si="72"/>
        <v>39</v>
      </c>
      <c r="AR2060" s="5">
        <f>VLOOKUP(F2060,'[2]SCP_24-25'!$A:$D,4,0)</f>
        <v>52.010000000000005</v>
      </c>
      <c r="AS2060" s="5">
        <f t="shared" si="73"/>
        <v>2028.39</v>
      </c>
    </row>
    <row r="2061" spans="1:45" x14ac:dyDescent="0.3">
      <c r="A2061" s="1">
        <v>45900.965277777781</v>
      </c>
      <c r="B2061" t="s">
        <v>1499</v>
      </c>
      <c r="C2061" t="s">
        <v>1500</v>
      </c>
      <c r="D2061" t="s">
        <v>60</v>
      </c>
      <c r="E2061" t="s">
        <v>61</v>
      </c>
      <c r="F2061" t="s">
        <v>1519</v>
      </c>
      <c r="G2061" t="s">
        <v>62</v>
      </c>
      <c r="H2061" t="s">
        <v>42</v>
      </c>
      <c r="I2061" t="s">
        <v>43</v>
      </c>
      <c r="J2061">
        <v>200</v>
      </c>
      <c r="K2061">
        <v>19</v>
      </c>
      <c r="L2061">
        <v>9.5</v>
      </c>
      <c r="M2061">
        <v>11</v>
      </c>
      <c r="N2061">
        <v>792</v>
      </c>
      <c r="O2061">
        <v>0</v>
      </c>
      <c r="P2061">
        <v>0</v>
      </c>
      <c r="Q2061" t="s">
        <v>44</v>
      </c>
      <c r="R2061" t="s">
        <v>44</v>
      </c>
      <c r="S2061" t="s">
        <v>44</v>
      </c>
      <c r="T2061" t="s">
        <v>44</v>
      </c>
      <c r="U2061" t="s">
        <v>44</v>
      </c>
      <c r="V2061">
        <v>50</v>
      </c>
      <c r="W2061" t="s">
        <v>44</v>
      </c>
      <c r="X2061" t="s">
        <v>44</v>
      </c>
      <c r="Y2061">
        <v>50</v>
      </c>
      <c r="Z2061" t="s">
        <v>44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50</v>
      </c>
      <c r="AQ2061">
        <f t="shared" si="72"/>
        <v>50</v>
      </c>
      <c r="AR2061" s="5">
        <f>VLOOKUP(F2061,'[2]SCP_24-25'!$A:$D,4,0)</f>
        <v>152.38000000000002</v>
      </c>
      <c r="AS2061" s="5">
        <f t="shared" si="73"/>
        <v>7619.0000000000009</v>
      </c>
    </row>
    <row r="2062" spans="1:45" x14ac:dyDescent="0.3">
      <c r="A2062" s="1">
        <v>45900.965277777781</v>
      </c>
      <c r="B2062" t="s">
        <v>1499</v>
      </c>
      <c r="C2062" t="s">
        <v>1500</v>
      </c>
      <c r="D2062" t="s">
        <v>63</v>
      </c>
      <c r="E2062" t="s">
        <v>64</v>
      </c>
      <c r="F2062" t="s">
        <v>1520</v>
      </c>
      <c r="G2062" t="s">
        <v>65</v>
      </c>
      <c r="H2062" t="s">
        <v>66</v>
      </c>
      <c r="I2062" t="s">
        <v>43</v>
      </c>
      <c r="J2062">
        <v>150</v>
      </c>
      <c r="K2062">
        <v>19</v>
      </c>
      <c r="L2062">
        <v>9.5</v>
      </c>
      <c r="M2062">
        <v>11</v>
      </c>
      <c r="N2062">
        <v>3</v>
      </c>
      <c r="O2062">
        <v>0</v>
      </c>
      <c r="P2062">
        <v>0</v>
      </c>
      <c r="Q2062" t="s">
        <v>44</v>
      </c>
      <c r="R2062" t="s">
        <v>44</v>
      </c>
      <c r="S2062" t="s">
        <v>44</v>
      </c>
      <c r="T2062" t="s">
        <v>44</v>
      </c>
      <c r="U2062" t="s">
        <v>44</v>
      </c>
      <c r="V2062">
        <v>3</v>
      </c>
      <c r="W2062" t="s">
        <v>44</v>
      </c>
      <c r="X2062" t="s">
        <v>44</v>
      </c>
      <c r="Y2062">
        <v>3</v>
      </c>
      <c r="Z2062" t="s">
        <v>44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3</v>
      </c>
      <c r="AQ2062">
        <f t="shared" si="72"/>
        <v>3</v>
      </c>
      <c r="AR2062" s="5">
        <f>VLOOKUP(F2062,'[2]SCP_24-25'!$A:$D,4,0)</f>
        <v>89.66</v>
      </c>
      <c r="AS2062" s="5">
        <f t="shared" si="73"/>
        <v>268.98</v>
      </c>
    </row>
    <row r="2063" spans="1:45" x14ac:dyDescent="0.3">
      <c r="A2063" s="1">
        <v>45900.965277777781</v>
      </c>
      <c r="B2063" t="s">
        <v>1499</v>
      </c>
      <c r="C2063" t="s">
        <v>1500</v>
      </c>
      <c r="D2063" t="s">
        <v>85</v>
      </c>
      <c r="E2063" t="s">
        <v>86</v>
      </c>
      <c r="F2063" t="s">
        <v>1527</v>
      </c>
      <c r="G2063" t="s">
        <v>87</v>
      </c>
      <c r="H2063" t="s">
        <v>66</v>
      </c>
      <c r="I2063" t="s">
        <v>43</v>
      </c>
      <c r="J2063">
        <v>100</v>
      </c>
      <c r="K2063">
        <v>19</v>
      </c>
      <c r="L2063">
        <v>9.5</v>
      </c>
      <c r="M2063">
        <v>11</v>
      </c>
      <c r="N2063">
        <v>96</v>
      </c>
      <c r="O2063">
        <v>0</v>
      </c>
      <c r="P2063">
        <v>0</v>
      </c>
      <c r="Q2063" t="s">
        <v>44</v>
      </c>
      <c r="R2063" t="s">
        <v>44</v>
      </c>
      <c r="S2063" t="s">
        <v>44</v>
      </c>
      <c r="T2063" t="s">
        <v>44</v>
      </c>
      <c r="U2063" t="s">
        <v>44</v>
      </c>
      <c r="V2063">
        <v>12</v>
      </c>
      <c r="W2063" t="s">
        <v>44</v>
      </c>
      <c r="X2063" t="s">
        <v>44</v>
      </c>
      <c r="Y2063">
        <v>12</v>
      </c>
      <c r="Z2063" t="s">
        <v>44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12</v>
      </c>
      <c r="AQ2063">
        <f t="shared" si="72"/>
        <v>12</v>
      </c>
      <c r="AR2063" s="5">
        <f>VLOOKUP(F2063,'[2]SCP_24-25'!$A:$D,4,0)</f>
        <v>105.05000000000001</v>
      </c>
      <c r="AS2063" s="5">
        <f t="shared" si="73"/>
        <v>1260.6000000000001</v>
      </c>
    </row>
    <row r="2064" spans="1:45" x14ac:dyDescent="0.3">
      <c r="A2064" s="1">
        <v>45900.965277777781</v>
      </c>
      <c r="B2064" t="s">
        <v>1499</v>
      </c>
      <c r="C2064" t="s">
        <v>1500</v>
      </c>
      <c r="D2064" t="s">
        <v>344</v>
      </c>
      <c r="E2064" t="s">
        <v>345</v>
      </c>
      <c r="F2064" t="s">
        <v>1632</v>
      </c>
      <c r="G2064" t="s">
        <v>346</v>
      </c>
      <c r="H2064" t="s">
        <v>130</v>
      </c>
      <c r="I2064" t="s">
        <v>43</v>
      </c>
      <c r="J2064">
        <v>112.62</v>
      </c>
      <c r="K2064">
        <v>19</v>
      </c>
      <c r="L2064">
        <v>10</v>
      </c>
      <c r="M2064">
        <v>11</v>
      </c>
      <c r="N2064">
        <v>1981</v>
      </c>
      <c r="O2064">
        <v>6</v>
      </c>
      <c r="P2064">
        <v>0</v>
      </c>
      <c r="Q2064" t="s">
        <v>44</v>
      </c>
      <c r="R2064" t="s">
        <v>44</v>
      </c>
      <c r="S2064" t="s">
        <v>44</v>
      </c>
      <c r="T2064" t="s">
        <v>44</v>
      </c>
      <c r="U2064" t="s">
        <v>44</v>
      </c>
      <c r="V2064">
        <v>0</v>
      </c>
      <c r="W2064" t="s">
        <v>44</v>
      </c>
      <c r="X2064" t="s">
        <v>44</v>
      </c>
      <c r="Y2064" t="s">
        <v>44</v>
      </c>
      <c r="Z2064" t="s">
        <v>44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6</v>
      </c>
      <c r="AQ2064">
        <f t="shared" si="72"/>
        <v>6</v>
      </c>
      <c r="AR2064" s="5">
        <f>VLOOKUP(F2064,'[2]SCP_24-25'!$A:$D,4,0)</f>
        <v>114.81</v>
      </c>
      <c r="AS2064" s="5">
        <f t="shared" si="73"/>
        <v>688.86</v>
      </c>
    </row>
    <row r="2065" spans="1:45" x14ac:dyDescent="0.3">
      <c r="A2065" s="1">
        <v>45900.965277777781</v>
      </c>
      <c r="B2065" t="s">
        <v>1499</v>
      </c>
      <c r="C2065" t="s">
        <v>1500</v>
      </c>
      <c r="D2065" t="s">
        <v>347</v>
      </c>
      <c r="E2065" t="s">
        <v>345</v>
      </c>
      <c r="F2065" t="s">
        <v>1633</v>
      </c>
      <c r="G2065" t="s">
        <v>348</v>
      </c>
      <c r="H2065" t="s">
        <v>130</v>
      </c>
      <c r="I2065" t="s">
        <v>43</v>
      </c>
      <c r="J2065">
        <v>112.62</v>
      </c>
      <c r="K2065">
        <v>19</v>
      </c>
      <c r="L2065">
        <v>10</v>
      </c>
      <c r="M2065">
        <v>11</v>
      </c>
      <c r="N2065">
        <v>1728</v>
      </c>
      <c r="O2065">
        <v>18</v>
      </c>
      <c r="P2065">
        <v>0</v>
      </c>
      <c r="Q2065" t="s">
        <v>44</v>
      </c>
      <c r="R2065" t="s">
        <v>44</v>
      </c>
      <c r="S2065" t="s">
        <v>44</v>
      </c>
      <c r="T2065" t="s">
        <v>44</v>
      </c>
      <c r="U2065" t="s">
        <v>44</v>
      </c>
      <c r="V2065">
        <v>0</v>
      </c>
      <c r="W2065" t="s">
        <v>44</v>
      </c>
      <c r="X2065" t="s">
        <v>44</v>
      </c>
      <c r="Y2065" t="s">
        <v>44</v>
      </c>
      <c r="Z2065" t="s">
        <v>44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18</v>
      </c>
      <c r="AQ2065">
        <f t="shared" si="72"/>
        <v>18</v>
      </c>
      <c r="AR2065" s="5">
        <f>VLOOKUP(F2065,'[2]SCP_24-25'!$A:$D,4,0)</f>
        <v>114.80999999999999</v>
      </c>
      <c r="AS2065" s="5">
        <f t="shared" si="73"/>
        <v>2066.58</v>
      </c>
    </row>
    <row r="2066" spans="1:45" x14ac:dyDescent="0.3">
      <c r="A2066" s="1">
        <v>45900.965277777781</v>
      </c>
      <c r="B2066" t="s">
        <v>1499</v>
      </c>
      <c r="C2066" t="s">
        <v>1500</v>
      </c>
      <c r="D2066" t="s">
        <v>518</v>
      </c>
      <c r="E2066" t="s">
        <v>356</v>
      </c>
      <c r="F2066" t="s">
        <v>1713</v>
      </c>
      <c r="G2066" t="s">
        <v>519</v>
      </c>
      <c r="H2066" t="s">
        <v>130</v>
      </c>
      <c r="I2066" t="s">
        <v>43</v>
      </c>
      <c r="J2066">
        <v>81.42</v>
      </c>
      <c r="K2066">
        <v>19</v>
      </c>
      <c r="L2066">
        <v>10</v>
      </c>
      <c r="M2066">
        <v>11</v>
      </c>
      <c r="N2066">
        <v>12</v>
      </c>
      <c r="O2066">
        <v>0</v>
      </c>
      <c r="P2066">
        <v>0</v>
      </c>
      <c r="Q2066" t="s">
        <v>44</v>
      </c>
      <c r="R2066" t="s">
        <v>44</v>
      </c>
      <c r="S2066" t="s">
        <v>44</v>
      </c>
      <c r="T2066" t="s">
        <v>44</v>
      </c>
      <c r="U2066" t="s">
        <v>44</v>
      </c>
      <c r="V2066">
        <v>12</v>
      </c>
      <c r="W2066" t="s">
        <v>44</v>
      </c>
      <c r="X2066" t="s">
        <v>44</v>
      </c>
      <c r="Y2066">
        <v>12</v>
      </c>
      <c r="Z2066" t="s">
        <v>44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12</v>
      </c>
      <c r="AQ2066">
        <f t="shared" si="72"/>
        <v>12</v>
      </c>
      <c r="AR2066" s="5">
        <f>VLOOKUP(F2066,'[2]SCP_24-25'!$A:$D,4,0)</f>
        <v>83.14</v>
      </c>
      <c r="AS2066" s="5">
        <f t="shared" si="73"/>
        <v>997.68000000000006</v>
      </c>
    </row>
    <row r="2067" spans="1:45" x14ac:dyDescent="0.3">
      <c r="A2067" s="1">
        <v>45900.965277777781</v>
      </c>
      <c r="B2067" t="s">
        <v>1499</v>
      </c>
      <c r="C2067" t="s">
        <v>1500</v>
      </c>
      <c r="D2067" t="s">
        <v>927</v>
      </c>
      <c r="F2067" t="s">
        <v>1913</v>
      </c>
      <c r="G2067" t="s">
        <v>928</v>
      </c>
      <c r="H2067" t="s">
        <v>103</v>
      </c>
      <c r="I2067" t="s">
        <v>43</v>
      </c>
      <c r="J2067">
        <v>217</v>
      </c>
      <c r="K2067">
        <v>19</v>
      </c>
      <c r="L2067">
        <v>10</v>
      </c>
      <c r="M2067">
        <v>11</v>
      </c>
      <c r="N2067">
        <v>2131</v>
      </c>
      <c r="O2067">
        <v>97</v>
      </c>
      <c r="P2067">
        <v>0</v>
      </c>
      <c r="Q2067" t="s">
        <v>44</v>
      </c>
      <c r="R2067" t="s">
        <v>44</v>
      </c>
      <c r="S2067" t="s">
        <v>44</v>
      </c>
      <c r="T2067" t="s">
        <v>44</v>
      </c>
      <c r="U2067" t="s">
        <v>44</v>
      </c>
      <c r="V2067">
        <v>0</v>
      </c>
      <c r="W2067" t="s">
        <v>44</v>
      </c>
      <c r="X2067" t="s">
        <v>44</v>
      </c>
      <c r="Y2067" t="s">
        <v>44</v>
      </c>
      <c r="Z2067" t="s">
        <v>44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97</v>
      </c>
      <c r="AQ2067">
        <f t="shared" si="72"/>
        <v>97</v>
      </c>
      <c r="AR2067" s="5">
        <f>VLOOKUP(F2067,'[2]SCP_24-25'!$A:$D,4,0)</f>
        <v>53.669999999999995</v>
      </c>
      <c r="AS2067" s="5">
        <f t="shared" si="73"/>
        <v>5205.99</v>
      </c>
    </row>
    <row r="2068" spans="1:45" x14ac:dyDescent="0.3">
      <c r="A2068" s="1">
        <v>45900.965277777781</v>
      </c>
      <c r="B2068" t="s">
        <v>1499</v>
      </c>
      <c r="C2068" t="s">
        <v>1500</v>
      </c>
      <c r="D2068" t="s">
        <v>403</v>
      </c>
      <c r="F2068" t="s">
        <v>1659</v>
      </c>
      <c r="G2068" t="s">
        <v>404</v>
      </c>
      <c r="H2068" t="s">
        <v>103</v>
      </c>
      <c r="I2068" t="s">
        <v>43</v>
      </c>
      <c r="J2068">
        <v>272.02</v>
      </c>
      <c r="K2068">
        <v>19</v>
      </c>
      <c r="L2068">
        <v>11</v>
      </c>
      <c r="M2068">
        <v>10</v>
      </c>
      <c r="N2068">
        <v>6306</v>
      </c>
      <c r="O2068">
        <v>192</v>
      </c>
      <c r="P2068">
        <v>0</v>
      </c>
      <c r="Q2068" t="s">
        <v>44</v>
      </c>
      <c r="R2068" t="s">
        <v>44</v>
      </c>
      <c r="S2068" t="s">
        <v>44</v>
      </c>
      <c r="T2068">
        <v>12</v>
      </c>
      <c r="U2068" t="s">
        <v>44</v>
      </c>
      <c r="V2068">
        <v>0</v>
      </c>
      <c r="W2068" t="s">
        <v>44</v>
      </c>
      <c r="X2068" t="s">
        <v>44</v>
      </c>
      <c r="Y2068" t="s">
        <v>44</v>
      </c>
      <c r="Z2068" t="s">
        <v>44</v>
      </c>
      <c r="AA2068">
        <v>30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222</v>
      </c>
      <c r="AQ2068">
        <f t="shared" si="72"/>
        <v>222</v>
      </c>
      <c r="AR2068" s="5">
        <f>VLOOKUP(F2068,'[2]SCP_24-25'!$A:$D,4,0)</f>
        <v>231.99</v>
      </c>
      <c r="AS2068" s="5">
        <f t="shared" si="73"/>
        <v>51501.78</v>
      </c>
    </row>
    <row r="2069" spans="1:45" x14ac:dyDescent="0.3">
      <c r="A2069" s="1">
        <v>45900.965277777781</v>
      </c>
      <c r="B2069" t="s">
        <v>1499</v>
      </c>
      <c r="C2069" t="s">
        <v>1500</v>
      </c>
      <c r="D2069" t="s">
        <v>633</v>
      </c>
      <c r="E2069" t="s">
        <v>633</v>
      </c>
      <c r="F2069" t="s">
        <v>1770</v>
      </c>
      <c r="G2069" t="s">
        <v>634</v>
      </c>
      <c r="H2069" t="s">
        <v>635</v>
      </c>
      <c r="I2069" t="s">
        <v>43</v>
      </c>
      <c r="N2069">
        <v>48</v>
      </c>
      <c r="O2069">
        <v>2</v>
      </c>
      <c r="P2069">
        <v>0</v>
      </c>
      <c r="Q2069" t="s">
        <v>44</v>
      </c>
      <c r="R2069" t="s">
        <v>44</v>
      </c>
      <c r="S2069" t="s">
        <v>44</v>
      </c>
      <c r="T2069">
        <v>4</v>
      </c>
      <c r="U2069" t="s">
        <v>44</v>
      </c>
      <c r="V2069">
        <v>0</v>
      </c>
      <c r="W2069" t="s">
        <v>44</v>
      </c>
      <c r="X2069" t="s">
        <v>44</v>
      </c>
      <c r="Y2069" t="s">
        <v>44</v>
      </c>
      <c r="Z2069" t="s">
        <v>44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2</v>
      </c>
      <c r="AQ2069">
        <f t="shared" si="72"/>
        <v>2</v>
      </c>
      <c r="AR2069" s="5">
        <f>VLOOKUP(F2069,'[1]Cost Sheet'!$C:$D,2,0)</f>
        <v>27.66</v>
      </c>
      <c r="AS2069" s="5">
        <f t="shared" si="73"/>
        <v>55.32</v>
      </c>
    </row>
    <row r="2070" spans="1:45" x14ac:dyDescent="0.3">
      <c r="A2070" s="1">
        <v>45900.965277777781</v>
      </c>
      <c r="B2070" t="s">
        <v>1499</v>
      </c>
      <c r="C2070" t="s">
        <v>1500</v>
      </c>
      <c r="D2070" t="s">
        <v>931</v>
      </c>
      <c r="E2070" t="s">
        <v>931</v>
      </c>
      <c r="F2070" t="s">
        <v>1915</v>
      </c>
      <c r="G2070" t="s">
        <v>932</v>
      </c>
      <c r="H2070" t="s">
        <v>635</v>
      </c>
      <c r="I2070" t="s">
        <v>43</v>
      </c>
      <c r="N2070">
        <v>33</v>
      </c>
      <c r="O2070">
        <v>2</v>
      </c>
      <c r="P2070">
        <v>0</v>
      </c>
      <c r="Q2070" t="s">
        <v>44</v>
      </c>
      <c r="R2070" t="s">
        <v>44</v>
      </c>
      <c r="S2070" t="s">
        <v>44</v>
      </c>
      <c r="T2070" t="s">
        <v>44</v>
      </c>
      <c r="U2070" t="s">
        <v>44</v>
      </c>
      <c r="V2070">
        <v>9</v>
      </c>
      <c r="W2070" t="s">
        <v>44</v>
      </c>
      <c r="X2070" t="s">
        <v>44</v>
      </c>
      <c r="Y2070">
        <v>9</v>
      </c>
      <c r="Z2070" t="s">
        <v>44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11</v>
      </c>
      <c r="AQ2070">
        <f t="shared" si="72"/>
        <v>11</v>
      </c>
      <c r="AR2070" s="5">
        <f>VLOOKUP(F2070,'[1]Cost Sheet'!$C:$D,2,0)</f>
        <v>60.54</v>
      </c>
      <c r="AS2070" s="5">
        <f t="shared" si="73"/>
        <v>665.93999999999994</v>
      </c>
    </row>
    <row r="2071" spans="1:45" x14ac:dyDescent="0.3">
      <c r="A2071" s="1">
        <v>45900.965277777781</v>
      </c>
      <c r="B2071" t="s">
        <v>1499</v>
      </c>
      <c r="C2071" t="s">
        <v>1500</v>
      </c>
      <c r="D2071" t="s">
        <v>636</v>
      </c>
      <c r="E2071" t="s">
        <v>636</v>
      </c>
      <c r="F2071" t="s">
        <v>1771</v>
      </c>
      <c r="G2071" t="s">
        <v>637</v>
      </c>
      <c r="H2071" t="s">
        <v>635</v>
      </c>
      <c r="I2071" t="s">
        <v>43</v>
      </c>
      <c r="N2071">
        <v>33</v>
      </c>
      <c r="O2071">
        <v>0</v>
      </c>
      <c r="P2071">
        <v>0</v>
      </c>
      <c r="Q2071" t="s">
        <v>44</v>
      </c>
      <c r="R2071" t="s">
        <v>44</v>
      </c>
      <c r="S2071" t="s">
        <v>44</v>
      </c>
      <c r="T2071" t="s">
        <v>44</v>
      </c>
      <c r="U2071" t="s">
        <v>44</v>
      </c>
      <c r="V2071">
        <v>33</v>
      </c>
      <c r="W2071" t="s">
        <v>44</v>
      </c>
      <c r="X2071" t="s">
        <v>44</v>
      </c>
      <c r="Y2071">
        <v>33</v>
      </c>
      <c r="Z2071" t="s">
        <v>44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33</v>
      </c>
      <c r="AQ2071">
        <f t="shared" si="72"/>
        <v>33</v>
      </c>
      <c r="AR2071" s="5">
        <f>VLOOKUP(F2071,'[1]Cost Sheet'!$C:$D,2,0)</f>
        <v>42.19</v>
      </c>
      <c r="AS2071" s="5">
        <f t="shared" si="73"/>
        <v>1392.27</v>
      </c>
    </row>
    <row r="2072" spans="1:45" x14ac:dyDescent="0.3">
      <c r="A2072" s="1">
        <v>45900.965277777781</v>
      </c>
      <c r="B2072" t="s">
        <v>1499</v>
      </c>
      <c r="C2072" t="s">
        <v>1500</v>
      </c>
      <c r="D2072" t="s">
        <v>933</v>
      </c>
      <c r="E2072" t="s">
        <v>933</v>
      </c>
      <c r="F2072" t="s">
        <v>1916</v>
      </c>
      <c r="G2072" t="s">
        <v>934</v>
      </c>
      <c r="H2072" t="s">
        <v>635</v>
      </c>
      <c r="I2072" t="s">
        <v>43</v>
      </c>
      <c r="N2072">
        <v>79</v>
      </c>
      <c r="O2072">
        <v>2</v>
      </c>
      <c r="P2072">
        <v>0</v>
      </c>
      <c r="Q2072" t="s">
        <v>44</v>
      </c>
      <c r="R2072" t="s">
        <v>44</v>
      </c>
      <c r="S2072" t="s">
        <v>44</v>
      </c>
      <c r="T2072" t="s">
        <v>44</v>
      </c>
      <c r="U2072" t="s">
        <v>44</v>
      </c>
      <c r="V2072">
        <v>4</v>
      </c>
      <c r="W2072" t="s">
        <v>44</v>
      </c>
      <c r="X2072" t="s">
        <v>44</v>
      </c>
      <c r="Y2072">
        <v>4</v>
      </c>
      <c r="Z2072" t="s">
        <v>44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6</v>
      </c>
      <c r="AQ2072">
        <f t="shared" si="72"/>
        <v>6</v>
      </c>
      <c r="AR2072" s="5">
        <f>VLOOKUP(F2072,'[1]Cost Sheet'!$C:$D,2,0)</f>
        <v>94.530000000000015</v>
      </c>
      <c r="AS2072" s="5">
        <f t="shared" si="73"/>
        <v>567.18000000000006</v>
      </c>
    </row>
    <row r="2073" spans="1:45" x14ac:dyDescent="0.3">
      <c r="A2073" s="1">
        <v>45900.965277777781</v>
      </c>
      <c r="B2073" t="s">
        <v>1499</v>
      </c>
      <c r="C2073" t="s">
        <v>1500</v>
      </c>
      <c r="D2073" t="s">
        <v>935</v>
      </c>
      <c r="E2073" t="s">
        <v>935</v>
      </c>
      <c r="F2073" t="s">
        <v>1917</v>
      </c>
      <c r="G2073" t="s">
        <v>936</v>
      </c>
      <c r="H2073" t="s">
        <v>635</v>
      </c>
      <c r="I2073" t="s">
        <v>43</v>
      </c>
      <c r="N2073">
        <v>69</v>
      </c>
      <c r="O2073">
        <v>0</v>
      </c>
      <c r="P2073">
        <v>0</v>
      </c>
      <c r="Q2073" t="s">
        <v>44</v>
      </c>
      <c r="R2073" t="s">
        <v>44</v>
      </c>
      <c r="S2073" t="s">
        <v>44</v>
      </c>
      <c r="T2073" t="s">
        <v>44</v>
      </c>
      <c r="U2073" t="s">
        <v>44</v>
      </c>
      <c r="V2073">
        <v>69</v>
      </c>
      <c r="W2073" t="s">
        <v>44</v>
      </c>
      <c r="X2073" t="s">
        <v>44</v>
      </c>
      <c r="Y2073">
        <v>69</v>
      </c>
      <c r="Z2073" t="s">
        <v>44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69</v>
      </c>
      <c r="AQ2073">
        <f t="shared" si="72"/>
        <v>69</v>
      </c>
      <c r="AR2073" s="5">
        <f>VLOOKUP(F2073,'[1]Cost Sheet'!$C:$D,2,0)</f>
        <v>100.66</v>
      </c>
      <c r="AS2073" s="5">
        <f t="shared" si="73"/>
        <v>6945.54</v>
      </c>
    </row>
    <row r="2074" spans="1:45" x14ac:dyDescent="0.3">
      <c r="A2074" s="1">
        <v>45900.965277777781</v>
      </c>
      <c r="B2074" t="s">
        <v>1499</v>
      </c>
      <c r="C2074" t="s">
        <v>1500</v>
      </c>
      <c r="D2074" t="s">
        <v>937</v>
      </c>
      <c r="E2074" t="s">
        <v>937</v>
      </c>
      <c r="F2074" t="s">
        <v>1918</v>
      </c>
      <c r="G2074" t="s">
        <v>938</v>
      </c>
      <c r="H2074" t="s">
        <v>635</v>
      </c>
      <c r="I2074" t="s">
        <v>43</v>
      </c>
      <c r="N2074">
        <v>76</v>
      </c>
      <c r="O2074">
        <v>2</v>
      </c>
      <c r="P2074">
        <v>0</v>
      </c>
      <c r="Q2074" t="s">
        <v>44</v>
      </c>
      <c r="R2074" t="s">
        <v>44</v>
      </c>
      <c r="S2074" t="s">
        <v>44</v>
      </c>
      <c r="T2074">
        <v>2</v>
      </c>
      <c r="U2074" t="s">
        <v>44</v>
      </c>
      <c r="V2074">
        <v>0</v>
      </c>
      <c r="W2074" t="s">
        <v>44</v>
      </c>
      <c r="X2074" t="s">
        <v>44</v>
      </c>
      <c r="Y2074" t="s">
        <v>44</v>
      </c>
      <c r="Z2074" t="s">
        <v>44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2</v>
      </c>
      <c r="AQ2074">
        <f t="shared" si="72"/>
        <v>2</v>
      </c>
      <c r="AR2074" s="5">
        <f>VLOOKUP(F2074,'[1]Cost Sheet'!$C:$D,2,0)</f>
        <v>53.202222222222218</v>
      </c>
      <c r="AS2074" s="5">
        <f t="shared" si="73"/>
        <v>106.40444444444444</v>
      </c>
    </row>
    <row r="2075" spans="1:45" x14ac:dyDescent="0.3">
      <c r="A2075" s="1">
        <v>45900.965277777781</v>
      </c>
      <c r="B2075" t="s">
        <v>1499</v>
      </c>
      <c r="C2075" t="s">
        <v>1500</v>
      </c>
      <c r="D2075" t="s">
        <v>939</v>
      </c>
      <c r="E2075" t="s">
        <v>939</v>
      </c>
      <c r="F2075" t="s">
        <v>1919</v>
      </c>
      <c r="G2075" t="s">
        <v>940</v>
      </c>
      <c r="H2075" t="s">
        <v>635</v>
      </c>
      <c r="I2075" t="s">
        <v>43</v>
      </c>
      <c r="N2075">
        <v>65</v>
      </c>
      <c r="O2075">
        <v>0</v>
      </c>
      <c r="P2075">
        <v>0</v>
      </c>
      <c r="Q2075" t="s">
        <v>44</v>
      </c>
      <c r="R2075" t="s">
        <v>44</v>
      </c>
      <c r="S2075" t="s">
        <v>44</v>
      </c>
      <c r="T2075" t="s">
        <v>44</v>
      </c>
      <c r="U2075" t="s">
        <v>44</v>
      </c>
      <c r="V2075">
        <v>65</v>
      </c>
      <c r="W2075" t="s">
        <v>44</v>
      </c>
      <c r="X2075" t="s">
        <v>44</v>
      </c>
      <c r="Y2075">
        <v>65</v>
      </c>
      <c r="Z2075" t="s">
        <v>44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65</v>
      </c>
      <c r="AQ2075">
        <f t="shared" si="72"/>
        <v>65</v>
      </c>
      <c r="AR2075" s="5">
        <f>VLOOKUP(F2075,'[1]Cost Sheet'!$C:$D,2,0)</f>
        <v>37.17</v>
      </c>
      <c r="AS2075" s="5">
        <f t="shared" si="73"/>
        <v>2416.0500000000002</v>
      </c>
    </row>
    <row r="2076" spans="1:45" x14ac:dyDescent="0.3">
      <c r="A2076" s="1">
        <v>45900.965277777781</v>
      </c>
      <c r="B2076" t="s">
        <v>1499</v>
      </c>
      <c r="C2076" t="s">
        <v>1500</v>
      </c>
      <c r="D2076" t="s">
        <v>638</v>
      </c>
      <c r="E2076" t="s">
        <v>638</v>
      </c>
      <c r="F2076" t="s">
        <v>1772</v>
      </c>
      <c r="G2076" t="s">
        <v>639</v>
      </c>
      <c r="H2076" t="s">
        <v>635</v>
      </c>
      <c r="I2076" t="s">
        <v>43</v>
      </c>
      <c r="N2076">
        <v>61</v>
      </c>
      <c r="O2076">
        <v>2</v>
      </c>
      <c r="P2076">
        <v>0</v>
      </c>
      <c r="Q2076" t="s">
        <v>44</v>
      </c>
      <c r="R2076" t="s">
        <v>44</v>
      </c>
      <c r="S2076" t="s">
        <v>44</v>
      </c>
      <c r="T2076">
        <v>1</v>
      </c>
      <c r="U2076" t="s">
        <v>44</v>
      </c>
      <c r="V2076">
        <v>4</v>
      </c>
      <c r="W2076" t="s">
        <v>44</v>
      </c>
      <c r="X2076" t="s">
        <v>44</v>
      </c>
      <c r="Y2076">
        <v>4</v>
      </c>
      <c r="Z2076" t="s">
        <v>44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6</v>
      </c>
      <c r="AQ2076">
        <f t="shared" si="72"/>
        <v>6</v>
      </c>
      <c r="AR2076" s="5">
        <f>VLOOKUP(F2076,'[1]Cost Sheet'!$C:$D,2,0)</f>
        <v>25.264285714285712</v>
      </c>
      <c r="AS2076" s="5">
        <f t="shared" si="73"/>
        <v>151.58571428571429</v>
      </c>
    </row>
    <row r="2077" spans="1:45" x14ac:dyDescent="0.3">
      <c r="A2077" s="1">
        <v>45900.965277777781</v>
      </c>
      <c r="B2077" t="s">
        <v>1499</v>
      </c>
      <c r="C2077" t="s">
        <v>1500</v>
      </c>
      <c r="D2077" t="s">
        <v>941</v>
      </c>
      <c r="E2077" t="s">
        <v>941</v>
      </c>
      <c r="F2077" t="s">
        <v>1920</v>
      </c>
      <c r="G2077" t="s">
        <v>942</v>
      </c>
      <c r="H2077" t="s">
        <v>635</v>
      </c>
      <c r="I2077" t="s">
        <v>43</v>
      </c>
      <c r="N2077">
        <v>64</v>
      </c>
      <c r="O2077">
        <v>2</v>
      </c>
      <c r="P2077">
        <v>0</v>
      </c>
      <c r="Q2077" t="s">
        <v>44</v>
      </c>
      <c r="R2077" t="s">
        <v>44</v>
      </c>
      <c r="S2077" t="s">
        <v>44</v>
      </c>
      <c r="T2077" t="s">
        <v>44</v>
      </c>
      <c r="U2077" t="s">
        <v>44</v>
      </c>
      <c r="V2077">
        <v>30</v>
      </c>
      <c r="W2077" t="s">
        <v>44</v>
      </c>
      <c r="X2077" t="s">
        <v>44</v>
      </c>
      <c r="Y2077">
        <v>30</v>
      </c>
      <c r="Z2077" t="s">
        <v>44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32</v>
      </c>
      <c r="AQ2077">
        <f t="shared" ref="AQ2077:AQ2139" si="74">O2077+P2077+V2077+AA2077</f>
        <v>32</v>
      </c>
      <c r="AR2077" s="5">
        <f>VLOOKUP(F2077,'[1]Cost Sheet'!$C:$D,2,0)</f>
        <v>41.09</v>
      </c>
      <c r="AS2077" s="5">
        <f t="shared" si="73"/>
        <v>1314.88</v>
      </c>
    </row>
    <row r="2078" spans="1:45" x14ac:dyDescent="0.3">
      <c r="A2078" s="1">
        <v>45900.965277777781</v>
      </c>
      <c r="B2078" t="s">
        <v>1499</v>
      </c>
      <c r="C2078" t="s">
        <v>1500</v>
      </c>
      <c r="D2078" t="s">
        <v>640</v>
      </c>
      <c r="E2078" t="s">
        <v>640</v>
      </c>
      <c r="F2078" t="s">
        <v>1773</v>
      </c>
      <c r="G2078" t="s">
        <v>641</v>
      </c>
      <c r="H2078" t="s">
        <v>635</v>
      </c>
      <c r="I2078" t="s">
        <v>43</v>
      </c>
      <c r="N2078">
        <v>131</v>
      </c>
      <c r="O2078">
        <v>2</v>
      </c>
      <c r="P2078">
        <v>0</v>
      </c>
      <c r="Q2078" t="s">
        <v>44</v>
      </c>
      <c r="R2078" t="s">
        <v>44</v>
      </c>
      <c r="S2078" t="s">
        <v>44</v>
      </c>
      <c r="T2078">
        <v>1</v>
      </c>
      <c r="U2078" t="s">
        <v>44</v>
      </c>
      <c r="V2078">
        <v>63</v>
      </c>
      <c r="W2078" t="s">
        <v>44</v>
      </c>
      <c r="X2078" t="s">
        <v>44</v>
      </c>
      <c r="Y2078">
        <v>63</v>
      </c>
      <c r="Z2078" t="s">
        <v>44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65</v>
      </c>
      <c r="AQ2078">
        <f t="shared" si="74"/>
        <v>65</v>
      </c>
      <c r="AR2078" s="5">
        <f>VLOOKUP(F2078,'[1]Cost Sheet'!$C:$D,2,0)</f>
        <v>41.87</v>
      </c>
      <c r="AS2078" s="5">
        <f t="shared" si="73"/>
        <v>2721.5499999999997</v>
      </c>
    </row>
    <row r="2079" spans="1:45" x14ac:dyDescent="0.3">
      <c r="A2079" s="1">
        <v>45900.965277777781</v>
      </c>
      <c r="B2079" t="s">
        <v>1499</v>
      </c>
      <c r="C2079" t="s">
        <v>1500</v>
      </c>
      <c r="D2079" t="s">
        <v>642</v>
      </c>
      <c r="E2079" t="s">
        <v>642</v>
      </c>
      <c r="F2079" t="s">
        <v>1774</v>
      </c>
      <c r="G2079" t="s">
        <v>643</v>
      </c>
      <c r="H2079" t="s">
        <v>635</v>
      </c>
      <c r="I2079" t="s">
        <v>43</v>
      </c>
      <c r="N2079">
        <v>116</v>
      </c>
      <c r="O2079">
        <v>2</v>
      </c>
      <c r="P2079">
        <v>0</v>
      </c>
      <c r="Q2079" t="s">
        <v>44</v>
      </c>
      <c r="R2079" t="s">
        <v>44</v>
      </c>
      <c r="S2079" t="s">
        <v>44</v>
      </c>
      <c r="T2079">
        <v>1</v>
      </c>
      <c r="U2079" t="s">
        <v>44</v>
      </c>
      <c r="V2079">
        <v>88</v>
      </c>
      <c r="W2079" t="s">
        <v>44</v>
      </c>
      <c r="X2079" t="s">
        <v>44</v>
      </c>
      <c r="Y2079">
        <v>88</v>
      </c>
      <c r="Z2079" t="s">
        <v>44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90</v>
      </c>
      <c r="AQ2079">
        <f t="shared" si="74"/>
        <v>90</v>
      </c>
      <c r="AR2079" s="5">
        <f>VLOOKUP(F2079,'[1]Cost Sheet'!$C:$D,2,0)</f>
        <v>40.090000000000003</v>
      </c>
      <c r="AS2079" s="5">
        <f t="shared" si="73"/>
        <v>3608.1000000000004</v>
      </c>
    </row>
    <row r="2080" spans="1:45" x14ac:dyDescent="0.3">
      <c r="A2080" s="1">
        <v>45900.965277777781</v>
      </c>
      <c r="B2080" t="s">
        <v>1499</v>
      </c>
      <c r="C2080" t="s">
        <v>1500</v>
      </c>
      <c r="D2080" t="s">
        <v>943</v>
      </c>
      <c r="E2080" t="s">
        <v>943</v>
      </c>
      <c r="F2080" t="s">
        <v>1921</v>
      </c>
      <c r="G2080" t="s">
        <v>944</v>
      </c>
      <c r="H2080" t="s">
        <v>635</v>
      </c>
      <c r="I2080" t="s">
        <v>43</v>
      </c>
      <c r="N2080">
        <v>83</v>
      </c>
      <c r="O2080">
        <v>2</v>
      </c>
      <c r="P2080">
        <v>0</v>
      </c>
      <c r="Q2080" t="s">
        <v>44</v>
      </c>
      <c r="R2080" t="s">
        <v>44</v>
      </c>
      <c r="S2080" t="s">
        <v>44</v>
      </c>
      <c r="T2080">
        <v>3</v>
      </c>
      <c r="U2080" t="s">
        <v>44</v>
      </c>
      <c r="V2080">
        <v>0</v>
      </c>
      <c r="W2080" t="s">
        <v>44</v>
      </c>
      <c r="X2080" t="s">
        <v>44</v>
      </c>
      <c r="Y2080" t="s">
        <v>44</v>
      </c>
      <c r="Z2080" t="s">
        <v>44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2</v>
      </c>
      <c r="AQ2080">
        <f t="shared" si="74"/>
        <v>2</v>
      </c>
      <c r="AR2080" s="5">
        <f>VLOOKUP(F2080,'[1]Cost Sheet'!$C:$D,2,0)</f>
        <v>51.841111111111118</v>
      </c>
      <c r="AS2080" s="5">
        <f t="shared" si="73"/>
        <v>103.68222222222224</v>
      </c>
    </row>
    <row r="2081" spans="1:45" x14ac:dyDescent="0.3">
      <c r="A2081" s="1">
        <v>45900.965277777781</v>
      </c>
      <c r="B2081" t="s">
        <v>1499</v>
      </c>
      <c r="C2081" t="s">
        <v>1500</v>
      </c>
      <c r="D2081" t="s">
        <v>795</v>
      </c>
      <c r="E2081" t="s">
        <v>795</v>
      </c>
      <c r="F2081" t="s">
        <v>1849</v>
      </c>
      <c r="G2081" t="s">
        <v>796</v>
      </c>
      <c r="H2081" t="s">
        <v>635</v>
      </c>
      <c r="I2081" t="s">
        <v>43</v>
      </c>
      <c r="N2081">
        <v>80</v>
      </c>
      <c r="O2081">
        <v>2</v>
      </c>
      <c r="P2081">
        <v>0</v>
      </c>
      <c r="Q2081" t="s">
        <v>44</v>
      </c>
      <c r="R2081" t="s">
        <v>44</v>
      </c>
      <c r="S2081" t="s">
        <v>44</v>
      </c>
      <c r="T2081" t="s">
        <v>44</v>
      </c>
      <c r="U2081" t="s">
        <v>44</v>
      </c>
      <c r="V2081">
        <v>55</v>
      </c>
      <c r="W2081" t="s">
        <v>44</v>
      </c>
      <c r="X2081" t="s">
        <v>44</v>
      </c>
      <c r="Y2081">
        <v>55</v>
      </c>
      <c r="Z2081" t="s">
        <v>44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57</v>
      </c>
      <c r="AQ2081">
        <f t="shared" si="74"/>
        <v>57</v>
      </c>
      <c r="AR2081" s="5">
        <f>VLOOKUP(F2081,'[1]Cost Sheet'!$C:$D,2,0)</f>
        <v>121.49</v>
      </c>
      <c r="AS2081" s="5">
        <f t="shared" si="73"/>
        <v>6924.9299999999994</v>
      </c>
    </row>
    <row r="2082" spans="1:45" x14ac:dyDescent="0.3">
      <c r="A2082" s="1">
        <v>45900.965277777781</v>
      </c>
      <c r="B2082" t="s">
        <v>1499</v>
      </c>
      <c r="C2082" t="s">
        <v>1500</v>
      </c>
      <c r="D2082" t="s">
        <v>644</v>
      </c>
      <c r="E2082" t="s">
        <v>644</v>
      </c>
      <c r="F2082" t="s">
        <v>1775</v>
      </c>
      <c r="G2082" t="s">
        <v>645</v>
      </c>
      <c r="H2082" t="s">
        <v>635</v>
      </c>
      <c r="I2082" t="s">
        <v>43</v>
      </c>
      <c r="N2082">
        <v>90</v>
      </c>
      <c r="O2082">
        <v>2</v>
      </c>
      <c r="P2082">
        <v>0</v>
      </c>
      <c r="Q2082" t="s">
        <v>44</v>
      </c>
      <c r="R2082" t="s">
        <v>44</v>
      </c>
      <c r="S2082" t="s">
        <v>44</v>
      </c>
      <c r="T2082" t="s">
        <v>44</v>
      </c>
      <c r="U2082" t="s">
        <v>44</v>
      </c>
      <c r="V2082">
        <v>49</v>
      </c>
      <c r="W2082" t="s">
        <v>44</v>
      </c>
      <c r="X2082" t="s">
        <v>44</v>
      </c>
      <c r="Y2082">
        <v>49</v>
      </c>
      <c r="Z2082" t="s">
        <v>44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51</v>
      </c>
      <c r="AQ2082">
        <f t="shared" si="74"/>
        <v>51</v>
      </c>
      <c r="AR2082" s="5">
        <f>VLOOKUP(F2082,'[1]Cost Sheet'!$C:$D,2,0)</f>
        <v>69.16</v>
      </c>
      <c r="AS2082" s="5">
        <f t="shared" si="73"/>
        <v>3527.16</v>
      </c>
    </row>
    <row r="2083" spans="1:45" x14ac:dyDescent="0.3">
      <c r="A2083" s="1">
        <v>45900.965277777781</v>
      </c>
      <c r="B2083" t="s">
        <v>1499</v>
      </c>
      <c r="C2083" t="s">
        <v>1500</v>
      </c>
      <c r="D2083" t="s">
        <v>646</v>
      </c>
      <c r="E2083" t="s">
        <v>646</v>
      </c>
      <c r="F2083" t="s">
        <v>1776</v>
      </c>
      <c r="G2083" t="s">
        <v>647</v>
      </c>
      <c r="H2083" t="s">
        <v>635</v>
      </c>
      <c r="I2083" t="s">
        <v>43</v>
      </c>
      <c r="N2083">
        <v>38</v>
      </c>
      <c r="O2083">
        <v>2</v>
      </c>
      <c r="P2083">
        <v>0</v>
      </c>
      <c r="Q2083" t="s">
        <v>44</v>
      </c>
      <c r="R2083" t="s">
        <v>44</v>
      </c>
      <c r="S2083" t="s">
        <v>44</v>
      </c>
      <c r="T2083" t="s">
        <v>44</v>
      </c>
      <c r="U2083" t="s">
        <v>44</v>
      </c>
      <c r="V2083">
        <v>25</v>
      </c>
      <c r="W2083" t="s">
        <v>44</v>
      </c>
      <c r="X2083" t="s">
        <v>44</v>
      </c>
      <c r="Y2083">
        <v>25</v>
      </c>
      <c r="Z2083" t="s">
        <v>44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27</v>
      </c>
      <c r="AQ2083">
        <f t="shared" si="74"/>
        <v>27</v>
      </c>
      <c r="AR2083" s="5">
        <f>VLOOKUP(F2083,'[1]Cost Sheet'!$C:$D,2,0)</f>
        <v>75.69</v>
      </c>
      <c r="AS2083" s="5">
        <f t="shared" si="73"/>
        <v>2043.6299999999999</v>
      </c>
    </row>
    <row r="2084" spans="1:45" x14ac:dyDescent="0.3">
      <c r="A2084" s="1">
        <v>45900.965277777781</v>
      </c>
      <c r="B2084" t="s">
        <v>1499</v>
      </c>
      <c r="C2084" t="s">
        <v>1500</v>
      </c>
      <c r="D2084" t="s">
        <v>648</v>
      </c>
      <c r="E2084" t="s">
        <v>648</v>
      </c>
      <c r="F2084" t="s">
        <v>1777</v>
      </c>
      <c r="G2084" t="s">
        <v>649</v>
      </c>
      <c r="H2084" t="s">
        <v>635</v>
      </c>
      <c r="I2084" t="s">
        <v>43</v>
      </c>
      <c r="N2084">
        <v>49</v>
      </c>
      <c r="O2084">
        <v>0</v>
      </c>
      <c r="P2084">
        <v>0</v>
      </c>
      <c r="Q2084" t="s">
        <v>44</v>
      </c>
      <c r="R2084" t="s">
        <v>44</v>
      </c>
      <c r="S2084" t="s">
        <v>44</v>
      </c>
      <c r="T2084" t="s">
        <v>44</v>
      </c>
      <c r="U2084" t="s">
        <v>44</v>
      </c>
      <c r="V2084">
        <v>32</v>
      </c>
      <c r="W2084" t="s">
        <v>44</v>
      </c>
      <c r="X2084" t="s">
        <v>44</v>
      </c>
      <c r="Y2084">
        <v>32</v>
      </c>
      <c r="Z2084" t="s">
        <v>44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32</v>
      </c>
      <c r="AQ2084">
        <f t="shared" si="74"/>
        <v>32</v>
      </c>
      <c r="AR2084" s="5">
        <f>VLOOKUP(F2084,'[1]Cost Sheet'!$C:$D,2,0)</f>
        <v>51.353999999999999</v>
      </c>
      <c r="AS2084" s="5">
        <f t="shared" si="73"/>
        <v>1643.328</v>
      </c>
    </row>
    <row r="2085" spans="1:45" x14ac:dyDescent="0.3">
      <c r="A2085" s="1">
        <v>45900.965277777781</v>
      </c>
      <c r="B2085" t="s">
        <v>1499</v>
      </c>
      <c r="C2085" t="s">
        <v>1500</v>
      </c>
      <c r="D2085" t="s">
        <v>652</v>
      </c>
      <c r="E2085" t="s">
        <v>652</v>
      </c>
      <c r="F2085" t="s">
        <v>1779</v>
      </c>
      <c r="G2085" t="s">
        <v>653</v>
      </c>
      <c r="H2085" t="s">
        <v>635</v>
      </c>
      <c r="I2085" t="s">
        <v>43</v>
      </c>
      <c r="N2085">
        <v>157</v>
      </c>
      <c r="O2085">
        <v>2</v>
      </c>
      <c r="P2085">
        <v>0</v>
      </c>
      <c r="Q2085" t="s">
        <v>44</v>
      </c>
      <c r="R2085" t="s">
        <v>44</v>
      </c>
      <c r="S2085" t="s">
        <v>44</v>
      </c>
      <c r="T2085">
        <v>2</v>
      </c>
      <c r="U2085" t="s">
        <v>44</v>
      </c>
      <c r="V2085">
        <v>98</v>
      </c>
      <c r="W2085" t="s">
        <v>44</v>
      </c>
      <c r="X2085" t="s">
        <v>44</v>
      </c>
      <c r="Y2085">
        <v>98</v>
      </c>
      <c r="Z2085" t="s">
        <v>44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100</v>
      </c>
      <c r="AQ2085">
        <f t="shared" si="74"/>
        <v>100</v>
      </c>
      <c r="AR2085" s="5">
        <f>VLOOKUP(F2085,'[1]Cost Sheet'!$C:$D,2,0)</f>
        <v>76.619230769230754</v>
      </c>
      <c r="AS2085" s="5">
        <f t="shared" si="73"/>
        <v>7661.9230769230753</v>
      </c>
    </row>
    <row r="2086" spans="1:45" x14ac:dyDescent="0.3">
      <c r="A2086" s="1">
        <v>45900.965277777781</v>
      </c>
      <c r="B2086" t="s">
        <v>1499</v>
      </c>
      <c r="C2086" t="s">
        <v>1500</v>
      </c>
      <c r="D2086" t="s">
        <v>797</v>
      </c>
      <c r="E2086" t="s">
        <v>797</v>
      </c>
      <c r="F2086" t="s">
        <v>1850</v>
      </c>
      <c r="G2086" t="s">
        <v>798</v>
      </c>
      <c r="H2086" t="s">
        <v>635</v>
      </c>
      <c r="I2086" t="s">
        <v>43</v>
      </c>
      <c r="N2086">
        <v>118</v>
      </c>
      <c r="O2086">
        <v>2</v>
      </c>
      <c r="P2086">
        <v>0</v>
      </c>
      <c r="Q2086" t="s">
        <v>44</v>
      </c>
      <c r="R2086" t="s">
        <v>44</v>
      </c>
      <c r="S2086" t="s">
        <v>44</v>
      </c>
      <c r="T2086">
        <v>3</v>
      </c>
      <c r="U2086" t="s">
        <v>44</v>
      </c>
      <c r="V2086">
        <v>36</v>
      </c>
      <c r="W2086" t="s">
        <v>44</v>
      </c>
      <c r="X2086" t="s">
        <v>44</v>
      </c>
      <c r="Y2086">
        <v>36</v>
      </c>
      <c r="Z2086" t="s">
        <v>44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38</v>
      </c>
      <c r="AQ2086">
        <f t="shared" si="74"/>
        <v>38</v>
      </c>
      <c r="AR2086" s="5">
        <f>VLOOKUP(F2086,'[1]Cost Sheet'!$C:$D,2,0)</f>
        <v>130.39230769230767</v>
      </c>
      <c r="AS2086" s="5">
        <f t="shared" si="73"/>
        <v>4954.9076923076918</v>
      </c>
    </row>
    <row r="2087" spans="1:45" x14ac:dyDescent="0.3">
      <c r="A2087" s="1">
        <v>45900.965277777781</v>
      </c>
      <c r="B2087" t="s">
        <v>1499</v>
      </c>
      <c r="C2087" t="s">
        <v>1500</v>
      </c>
      <c r="D2087" t="s">
        <v>949</v>
      </c>
      <c r="E2087" t="s">
        <v>949</v>
      </c>
      <c r="F2087" t="s">
        <v>1924</v>
      </c>
      <c r="G2087" t="s">
        <v>950</v>
      </c>
      <c r="H2087" t="s">
        <v>635</v>
      </c>
      <c r="I2087" t="s">
        <v>43</v>
      </c>
      <c r="N2087">
        <v>83</v>
      </c>
      <c r="O2087">
        <v>2</v>
      </c>
      <c r="P2087">
        <v>0</v>
      </c>
      <c r="Q2087" t="s">
        <v>44</v>
      </c>
      <c r="R2087" t="s">
        <v>44</v>
      </c>
      <c r="S2087" t="s">
        <v>44</v>
      </c>
      <c r="T2087" t="s">
        <v>44</v>
      </c>
      <c r="U2087" t="s">
        <v>44</v>
      </c>
      <c r="V2087">
        <v>63</v>
      </c>
      <c r="W2087" t="s">
        <v>44</v>
      </c>
      <c r="X2087" t="s">
        <v>44</v>
      </c>
      <c r="Y2087">
        <v>63</v>
      </c>
      <c r="Z2087" t="s">
        <v>44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65</v>
      </c>
      <c r="AQ2087">
        <f t="shared" si="74"/>
        <v>65</v>
      </c>
      <c r="AR2087" s="5">
        <f>VLOOKUP(F2087,'[1]Cost Sheet'!$C:$D,2,0)</f>
        <v>65.349999999999994</v>
      </c>
      <c r="AS2087" s="5">
        <f t="shared" si="73"/>
        <v>4247.75</v>
      </c>
    </row>
    <row r="2088" spans="1:45" x14ac:dyDescent="0.3">
      <c r="A2088" s="1">
        <v>45900.965277777781</v>
      </c>
      <c r="B2088" t="s">
        <v>1499</v>
      </c>
      <c r="C2088" t="s">
        <v>1500</v>
      </c>
      <c r="D2088" t="s">
        <v>951</v>
      </c>
      <c r="E2088" t="s">
        <v>951</v>
      </c>
      <c r="F2088" t="s">
        <v>1925</v>
      </c>
      <c r="G2088" t="s">
        <v>952</v>
      </c>
      <c r="H2088" t="s">
        <v>635</v>
      </c>
      <c r="I2088" t="s">
        <v>43</v>
      </c>
      <c r="N2088">
        <v>54</v>
      </c>
      <c r="O2088">
        <v>2</v>
      </c>
      <c r="P2088">
        <v>0</v>
      </c>
      <c r="Q2088" t="s">
        <v>44</v>
      </c>
      <c r="R2088" t="s">
        <v>44</v>
      </c>
      <c r="S2088" t="s">
        <v>44</v>
      </c>
      <c r="T2088">
        <v>3</v>
      </c>
      <c r="U2088" t="s">
        <v>44</v>
      </c>
      <c r="V2088">
        <v>4</v>
      </c>
      <c r="W2088" t="s">
        <v>44</v>
      </c>
      <c r="X2088" t="s">
        <v>44</v>
      </c>
      <c r="Y2088">
        <v>4</v>
      </c>
      <c r="Z2088" t="s">
        <v>44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6</v>
      </c>
      <c r="AQ2088">
        <f t="shared" si="74"/>
        <v>6</v>
      </c>
      <c r="AR2088" s="5">
        <f>VLOOKUP(F2088,'[1]Cost Sheet'!$C:$D,2,0)</f>
        <v>72.599999999999994</v>
      </c>
      <c r="AS2088" s="5">
        <f t="shared" si="73"/>
        <v>435.59999999999997</v>
      </c>
    </row>
    <row r="2089" spans="1:45" x14ac:dyDescent="0.3">
      <c r="A2089" s="1">
        <v>45900.965277777781</v>
      </c>
      <c r="B2089" t="s">
        <v>1499</v>
      </c>
      <c r="C2089" t="s">
        <v>1500</v>
      </c>
      <c r="D2089" t="s">
        <v>953</v>
      </c>
      <c r="E2089" t="s">
        <v>953</v>
      </c>
      <c r="F2089" t="s">
        <v>1926</v>
      </c>
      <c r="G2089" t="s">
        <v>954</v>
      </c>
      <c r="H2089" t="s">
        <v>635</v>
      </c>
      <c r="I2089" t="s">
        <v>43</v>
      </c>
      <c r="N2089">
        <v>54</v>
      </c>
      <c r="O2089">
        <v>2</v>
      </c>
      <c r="P2089">
        <v>0</v>
      </c>
      <c r="Q2089" t="s">
        <v>44</v>
      </c>
      <c r="R2089" t="s">
        <v>44</v>
      </c>
      <c r="S2089" t="s">
        <v>44</v>
      </c>
      <c r="T2089" t="s">
        <v>44</v>
      </c>
      <c r="U2089" t="s">
        <v>44</v>
      </c>
      <c r="V2089">
        <v>23</v>
      </c>
      <c r="W2089" t="s">
        <v>44</v>
      </c>
      <c r="X2089" t="s">
        <v>44</v>
      </c>
      <c r="Y2089">
        <v>23</v>
      </c>
      <c r="Z2089" t="s">
        <v>44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25</v>
      </c>
      <c r="AQ2089">
        <f t="shared" si="74"/>
        <v>25</v>
      </c>
      <c r="AR2089" s="5">
        <f>VLOOKUP(F2089,'[1]Cost Sheet'!$C:$D,2,0)</f>
        <v>47.03</v>
      </c>
      <c r="AS2089" s="5">
        <f t="shared" si="73"/>
        <v>1175.75</v>
      </c>
    </row>
    <row r="2090" spans="1:45" x14ac:dyDescent="0.3">
      <c r="A2090" s="1">
        <v>45900.965277777781</v>
      </c>
      <c r="B2090" t="s">
        <v>1499</v>
      </c>
      <c r="C2090" t="s">
        <v>1500</v>
      </c>
      <c r="D2090" t="s">
        <v>955</v>
      </c>
      <c r="E2090" t="s">
        <v>955</v>
      </c>
      <c r="F2090" t="s">
        <v>1927</v>
      </c>
      <c r="G2090" t="s">
        <v>956</v>
      </c>
      <c r="H2090" t="s">
        <v>635</v>
      </c>
      <c r="I2090" t="s">
        <v>43</v>
      </c>
      <c r="N2090">
        <v>59</v>
      </c>
      <c r="O2090">
        <v>2</v>
      </c>
      <c r="P2090">
        <v>0</v>
      </c>
      <c r="Q2090" t="s">
        <v>44</v>
      </c>
      <c r="R2090" t="s">
        <v>44</v>
      </c>
      <c r="S2090" t="s">
        <v>44</v>
      </c>
      <c r="T2090" t="s">
        <v>44</v>
      </c>
      <c r="U2090" t="s">
        <v>44</v>
      </c>
      <c r="V2090">
        <v>32</v>
      </c>
      <c r="W2090" t="s">
        <v>44</v>
      </c>
      <c r="X2090" t="s">
        <v>44</v>
      </c>
      <c r="Y2090">
        <v>32</v>
      </c>
      <c r="Z2090" t="s">
        <v>44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34</v>
      </c>
      <c r="AQ2090">
        <f t="shared" si="74"/>
        <v>34</v>
      </c>
      <c r="AR2090" s="5">
        <f>VLOOKUP(F2090,'[1]Cost Sheet'!$C:$D,2,0)</f>
        <v>99.42</v>
      </c>
      <c r="AS2090" s="5">
        <f t="shared" si="73"/>
        <v>3380.28</v>
      </c>
    </row>
    <row r="2091" spans="1:45" x14ac:dyDescent="0.3">
      <c r="A2091" s="1">
        <v>45900.965277777781</v>
      </c>
      <c r="B2091" t="s">
        <v>1499</v>
      </c>
      <c r="C2091" t="s">
        <v>1500</v>
      </c>
      <c r="D2091" t="s">
        <v>656</v>
      </c>
      <c r="E2091" t="s">
        <v>656</v>
      </c>
      <c r="F2091" t="s">
        <v>1781</v>
      </c>
      <c r="G2091" t="s">
        <v>657</v>
      </c>
      <c r="H2091" t="s">
        <v>635</v>
      </c>
      <c r="I2091" t="s">
        <v>43</v>
      </c>
      <c r="N2091">
        <v>137</v>
      </c>
      <c r="O2091">
        <v>2</v>
      </c>
      <c r="P2091">
        <v>0</v>
      </c>
      <c r="Q2091" t="s">
        <v>44</v>
      </c>
      <c r="R2091" t="s">
        <v>44</v>
      </c>
      <c r="S2091" t="s">
        <v>44</v>
      </c>
      <c r="T2091" t="s">
        <v>44</v>
      </c>
      <c r="U2091" t="s">
        <v>44</v>
      </c>
      <c r="V2091">
        <v>97</v>
      </c>
      <c r="W2091" t="s">
        <v>44</v>
      </c>
      <c r="X2091" t="s">
        <v>44</v>
      </c>
      <c r="Y2091">
        <v>97</v>
      </c>
      <c r="Z2091" t="s">
        <v>44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99</v>
      </c>
      <c r="AQ2091">
        <f t="shared" si="74"/>
        <v>99</v>
      </c>
      <c r="AR2091" s="5">
        <f>VLOOKUP(F2091,'[1]Cost Sheet'!$C:$D,2,0)</f>
        <v>70.52</v>
      </c>
      <c r="AS2091" s="5">
        <f t="shared" si="73"/>
        <v>6981.48</v>
      </c>
    </row>
    <row r="2092" spans="1:45" x14ac:dyDescent="0.3">
      <c r="A2092" s="1">
        <v>45900.965277777781</v>
      </c>
      <c r="B2092" t="s">
        <v>1499</v>
      </c>
      <c r="C2092" t="s">
        <v>1500</v>
      </c>
      <c r="D2092" t="s">
        <v>957</v>
      </c>
      <c r="E2092" t="s">
        <v>957</v>
      </c>
      <c r="F2092" t="s">
        <v>1928</v>
      </c>
      <c r="G2092" t="s">
        <v>958</v>
      </c>
      <c r="H2092" t="s">
        <v>635</v>
      </c>
      <c r="I2092" t="s">
        <v>43</v>
      </c>
      <c r="N2092">
        <v>102</v>
      </c>
      <c r="O2092">
        <v>2</v>
      </c>
      <c r="P2092">
        <v>0</v>
      </c>
      <c r="Q2092">
        <v>2</v>
      </c>
      <c r="R2092" t="s">
        <v>44</v>
      </c>
      <c r="S2092" t="s">
        <v>44</v>
      </c>
      <c r="T2092" t="s">
        <v>44</v>
      </c>
      <c r="U2092" t="s">
        <v>44</v>
      </c>
      <c r="V2092">
        <v>49</v>
      </c>
      <c r="W2092" t="s">
        <v>44</v>
      </c>
      <c r="X2092" t="s">
        <v>44</v>
      </c>
      <c r="Y2092">
        <v>49</v>
      </c>
      <c r="Z2092" t="s">
        <v>44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51</v>
      </c>
      <c r="AQ2092">
        <f t="shared" si="74"/>
        <v>51</v>
      </c>
      <c r="AR2092" s="5">
        <f>VLOOKUP(F2092,'[1]Cost Sheet'!$C:$D,2,0)</f>
        <v>60.46</v>
      </c>
      <c r="AS2092" s="5">
        <f t="shared" si="73"/>
        <v>3083.46</v>
      </c>
    </row>
    <row r="2093" spans="1:45" x14ac:dyDescent="0.3">
      <c r="A2093" s="1">
        <v>45900.965277777781</v>
      </c>
      <c r="B2093" t="s">
        <v>1499</v>
      </c>
      <c r="C2093" t="s">
        <v>1500</v>
      </c>
      <c r="D2093" t="s">
        <v>660</v>
      </c>
      <c r="E2093" t="s">
        <v>660</v>
      </c>
      <c r="F2093" t="s">
        <v>1783</v>
      </c>
      <c r="G2093" t="s">
        <v>661</v>
      </c>
      <c r="H2093" t="s">
        <v>635</v>
      </c>
      <c r="I2093" t="s">
        <v>43</v>
      </c>
      <c r="N2093">
        <v>73</v>
      </c>
      <c r="O2093">
        <v>0</v>
      </c>
      <c r="P2093">
        <v>0</v>
      </c>
      <c r="Q2093">
        <v>1</v>
      </c>
      <c r="R2093" t="s">
        <v>44</v>
      </c>
      <c r="S2093" t="s">
        <v>44</v>
      </c>
      <c r="T2093" t="s">
        <v>44</v>
      </c>
      <c r="U2093" t="s">
        <v>44</v>
      </c>
      <c r="V2093">
        <v>45</v>
      </c>
      <c r="W2093" t="s">
        <v>44</v>
      </c>
      <c r="X2093" t="s">
        <v>44</v>
      </c>
      <c r="Y2093">
        <v>45</v>
      </c>
      <c r="Z2093" t="s">
        <v>44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45</v>
      </c>
      <c r="AQ2093">
        <f t="shared" si="74"/>
        <v>45</v>
      </c>
      <c r="AR2093" s="5">
        <f>VLOOKUP(F2093,'[1]Cost Sheet'!$C:$D,2,0)</f>
        <v>60.73</v>
      </c>
      <c r="AS2093" s="5">
        <f t="shared" si="73"/>
        <v>2732.85</v>
      </c>
    </row>
    <row r="2094" spans="1:45" x14ac:dyDescent="0.3">
      <c r="A2094" s="1">
        <v>45900.965277777781</v>
      </c>
      <c r="B2094" t="s">
        <v>1499</v>
      </c>
      <c r="C2094" t="s">
        <v>1500</v>
      </c>
      <c r="D2094" t="s">
        <v>959</v>
      </c>
      <c r="E2094" t="s">
        <v>959</v>
      </c>
      <c r="F2094" t="s">
        <v>1929</v>
      </c>
      <c r="G2094" t="s">
        <v>960</v>
      </c>
      <c r="H2094" t="s">
        <v>635</v>
      </c>
      <c r="I2094" t="s">
        <v>43</v>
      </c>
      <c r="N2094">
        <v>42</v>
      </c>
      <c r="O2094">
        <v>0</v>
      </c>
      <c r="P2094">
        <v>0</v>
      </c>
      <c r="Q2094" t="s">
        <v>44</v>
      </c>
      <c r="R2094" t="s">
        <v>44</v>
      </c>
      <c r="S2094" t="s">
        <v>44</v>
      </c>
      <c r="T2094" t="s">
        <v>44</v>
      </c>
      <c r="U2094" t="s">
        <v>44</v>
      </c>
      <c r="V2094">
        <v>42</v>
      </c>
      <c r="W2094" t="s">
        <v>44</v>
      </c>
      <c r="X2094" t="s">
        <v>44</v>
      </c>
      <c r="Y2094">
        <v>42</v>
      </c>
      <c r="Z2094" t="s">
        <v>44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42</v>
      </c>
      <c r="AQ2094">
        <f t="shared" si="74"/>
        <v>42</v>
      </c>
      <c r="AR2094" s="5">
        <f>VLOOKUP(F2094,'[1]Cost Sheet'!$C:$D,2,0)</f>
        <v>70.2</v>
      </c>
      <c r="AS2094" s="5">
        <f t="shared" si="73"/>
        <v>2948.4</v>
      </c>
    </row>
    <row r="2095" spans="1:45" x14ac:dyDescent="0.3">
      <c r="A2095" s="1">
        <v>45900.965277777781</v>
      </c>
      <c r="B2095" t="s">
        <v>1499</v>
      </c>
      <c r="C2095" t="s">
        <v>1500</v>
      </c>
      <c r="D2095" t="s">
        <v>662</v>
      </c>
      <c r="E2095" t="s">
        <v>662</v>
      </c>
      <c r="F2095" t="s">
        <v>1784</v>
      </c>
      <c r="G2095" t="s">
        <v>663</v>
      </c>
      <c r="H2095" t="s">
        <v>635</v>
      </c>
      <c r="I2095" t="s">
        <v>43</v>
      </c>
      <c r="N2095">
        <v>127</v>
      </c>
      <c r="O2095">
        <v>2</v>
      </c>
      <c r="P2095">
        <v>0</v>
      </c>
      <c r="Q2095" t="s">
        <v>44</v>
      </c>
      <c r="R2095" t="s">
        <v>44</v>
      </c>
      <c r="S2095" t="s">
        <v>44</v>
      </c>
      <c r="T2095" t="s">
        <v>44</v>
      </c>
      <c r="U2095" t="s">
        <v>44</v>
      </c>
      <c r="V2095">
        <v>88</v>
      </c>
      <c r="W2095" t="s">
        <v>44</v>
      </c>
      <c r="X2095" t="s">
        <v>44</v>
      </c>
      <c r="Y2095">
        <v>88</v>
      </c>
      <c r="Z2095" t="s">
        <v>44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90</v>
      </c>
      <c r="AQ2095">
        <f t="shared" si="74"/>
        <v>90</v>
      </c>
      <c r="AR2095" s="5">
        <f>VLOOKUP(F2095,'[1]Cost Sheet'!$C:$D,2,0)</f>
        <v>75.81</v>
      </c>
      <c r="AS2095" s="5">
        <f t="shared" si="73"/>
        <v>6822.9000000000005</v>
      </c>
    </row>
    <row r="2096" spans="1:45" x14ac:dyDescent="0.3">
      <c r="A2096" s="1">
        <v>45900.965277777781</v>
      </c>
      <c r="B2096" t="s">
        <v>1499</v>
      </c>
      <c r="C2096" t="s">
        <v>1500</v>
      </c>
      <c r="D2096" t="s">
        <v>664</v>
      </c>
      <c r="E2096" t="s">
        <v>664</v>
      </c>
      <c r="F2096" t="s">
        <v>1785</v>
      </c>
      <c r="G2096" t="s">
        <v>665</v>
      </c>
      <c r="H2096" t="s">
        <v>635</v>
      </c>
      <c r="I2096" t="s">
        <v>43</v>
      </c>
      <c r="N2096">
        <v>34</v>
      </c>
      <c r="O2096">
        <v>2</v>
      </c>
      <c r="P2096">
        <v>0</v>
      </c>
      <c r="Q2096" t="s">
        <v>44</v>
      </c>
      <c r="R2096" t="s">
        <v>44</v>
      </c>
      <c r="S2096" t="s">
        <v>44</v>
      </c>
      <c r="T2096" t="s">
        <v>44</v>
      </c>
      <c r="U2096" t="s">
        <v>44</v>
      </c>
      <c r="V2096">
        <v>13</v>
      </c>
      <c r="W2096" t="s">
        <v>44</v>
      </c>
      <c r="X2096" t="s">
        <v>44</v>
      </c>
      <c r="Y2096">
        <v>13</v>
      </c>
      <c r="Z2096" t="s">
        <v>44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15</v>
      </c>
      <c r="AQ2096">
        <f t="shared" si="74"/>
        <v>15</v>
      </c>
      <c r="AR2096" s="5">
        <f>VLOOKUP(F2096,'[1]Cost Sheet'!$C:$D,2,0)</f>
        <v>69.61</v>
      </c>
      <c r="AS2096" s="5">
        <f t="shared" si="73"/>
        <v>1044.1500000000001</v>
      </c>
    </row>
    <row r="2097" spans="1:45" x14ac:dyDescent="0.3">
      <c r="A2097" s="1">
        <v>45900.965277777781</v>
      </c>
      <c r="B2097" t="s">
        <v>1499</v>
      </c>
      <c r="C2097" t="s">
        <v>1500</v>
      </c>
      <c r="D2097" t="s">
        <v>666</v>
      </c>
      <c r="E2097" t="s">
        <v>666</v>
      </c>
      <c r="F2097" t="s">
        <v>1786</v>
      </c>
      <c r="G2097" t="s">
        <v>667</v>
      </c>
      <c r="H2097" t="s">
        <v>635</v>
      </c>
      <c r="I2097" t="s">
        <v>43</v>
      </c>
      <c r="N2097">
        <v>70</v>
      </c>
      <c r="O2097">
        <v>0</v>
      </c>
      <c r="P2097">
        <v>0</v>
      </c>
      <c r="Q2097" t="s">
        <v>44</v>
      </c>
      <c r="R2097" t="s">
        <v>44</v>
      </c>
      <c r="S2097" t="s">
        <v>44</v>
      </c>
      <c r="T2097" t="s">
        <v>44</v>
      </c>
      <c r="U2097" t="s">
        <v>44</v>
      </c>
      <c r="V2097">
        <v>70</v>
      </c>
      <c r="W2097" t="s">
        <v>44</v>
      </c>
      <c r="X2097" t="s">
        <v>44</v>
      </c>
      <c r="Y2097">
        <v>70</v>
      </c>
      <c r="Z2097" t="s">
        <v>44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70</v>
      </c>
      <c r="AQ2097">
        <f t="shared" si="74"/>
        <v>70</v>
      </c>
      <c r="AR2097" s="5">
        <f>VLOOKUP(F2097,'[1]Cost Sheet'!$C:$D,2,0)</f>
        <v>52.010000000000005</v>
      </c>
      <c r="AS2097" s="5">
        <f t="shared" si="73"/>
        <v>3640.7000000000003</v>
      </c>
    </row>
    <row r="2098" spans="1:45" x14ac:dyDescent="0.3">
      <c r="A2098" s="1">
        <v>45900.965277777781</v>
      </c>
      <c r="B2098" t="s">
        <v>1499</v>
      </c>
      <c r="C2098" t="s">
        <v>1500</v>
      </c>
      <c r="D2098" t="s">
        <v>668</v>
      </c>
      <c r="E2098" t="s">
        <v>668</v>
      </c>
      <c r="F2098" t="s">
        <v>1787</v>
      </c>
      <c r="G2098" t="s">
        <v>669</v>
      </c>
      <c r="H2098" t="s">
        <v>635</v>
      </c>
      <c r="I2098" t="s">
        <v>43</v>
      </c>
      <c r="N2098">
        <v>106</v>
      </c>
      <c r="O2098">
        <v>2</v>
      </c>
      <c r="P2098">
        <v>0</v>
      </c>
      <c r="Q2098" t="s">
        <v>44</v>
      </c>
      <c r="R2098" t="s">
        <v>44</v>
      </c>
      <c r="S2098" t="s">
        <v>44</v>
      </c>
      <c r="T2098" t="s">
        <v>44</v>
      </c>
      <c r="U2098" t="s">
        <v>44</v>
      </c>
      <c r="V2098">
        <v>94</v>
      </c>
      <c r="W2098" t="s">
        <v>44</v>
      </c>
      <c r="X2098" t="s">
        <v>44</v>
      </c>
      <c r="Y2098">
        <v>94</v>
      </c>
      <c r="Z2098" t="s">
        <v>44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96</v>
      </c>
      <c r="AQ2098">
        <f t="shared" si="74"/>
        <v>96</v>
      </c>
      <c r="AR2098" s="5">
        <f>VLOOKUP(F2098,'[1]Cost Sheet'!$C:$D,2,0)</f>
        <v>60</v>
      </c>
      <c r="AS2098" s="5">
        <f t="shared" si="73"/>
        <v>5760</v>
      </c>
    </row>
    <row r="2099" spans="1:45" x14ac:dyDescent="0.3">
      <c r="A2099" s="1">
        <v>45900.965277777781</v>
      </c>
      <c r="B2099" t="s">
        <v>1499</v>
      </c>
      <c r="C2099" t="s">
        <v>1500</v>
      </c>
      <c r="D2099" t="s">
        <v>1379</v>
      </c>
      <c r="E2099" t="s">
        <v>1379</v>
      </c>
      <c r="F2099" t="s">
        <v>2136</v>
      </c>
      <c r="G2099" t="s">
        <v>1380</v>
      </c>
      <c r="H2099" t="s">
        <v>635</v>
      </c>
      <c r="I2099" t="s">
        <v>43</v>
      </c>
      <c r="N2099">
        <v>58</v>
      </c>
      <c r="O2099">
        <v>2</v>
      </c>
      <c r="P2099">
        <v>0</v>
      </c>
      <c r="Q2099" t="s">
        <v>44</v>
      </c>
      <c r="R2099" t="s">
        <v>44</v>
      </c>
      <c r="S2099" t="s">
        <v>44</v>
      </c>
      <c r="T2099" t="s">
        <v>44</v>
      </c>
      <c r="U2099" t="s">
        <v>44</v>
      </c>
      <c r="V2099">
        <v>0</v>
      </c>
      <c r="W2099" t="s">
        <v>44</v>
      </c>
      <c r="X2099" t="s">
        <v>44</v>
      </c>
      <c r="Y2099" t="s">
        <v>44</v>
      </c>
      <c r="Z2099" t="s">
        <v>44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2</v>
      </c>
      <c r="AQ2099">
        <f t="shared" si="74"/>
        <v>2</v>
      </c>
      <c r="AR2099" s="5">
        <f>VLOOKUP(F2099,'[1]Cost Sheet'!$C:$D,2,0)</f>
        <v>112.63</v>
      </c>
      <c r="AS2099" s="5">
        <f t="shared" si="73"/>
        <v>225.26</v>
      </c>
    </row>
    <row r="2100" spans="1:45" x14ac:dyDescent="0.3">
      <c r="A2100" s="1">
        <v>45900.965277777781</v>
      </c>
      <c r="B2100" t="s">
        <v>1499</v>
      </c>
      <c r="C2100" t="s">
        <v>1500</v>
      </c>
      <c r="D2100" t="s">
        <v>670</v>
      </c>
      <c r="E2100" t="s">
        <v>670</v>
      </c>
      <c r="F2100" t="s">
        <v>1788</v>
      </c>
      <c r="G2100" t="s">
        <v>671</v>
      </c>
      <c r="H2100" t="s">
        <v>635</v>
      </c>
      <c r="I2100" t="s">
        <v>43</v>
      </c>
      <c r="N2100">
        <v>40</v>
      </c>
      <c r="O2100">
        <v>0</v>
      </c>
      <c r="P2100">
        <v>0</v>
      </c>
      <c r="Q2100" t="s">
        <v>44</v>
      </c>
      <c r="R2100" t="s">
        <v>44</v>
      </c>
      <c r="S2100" t="s">
        <v>44</v>
      </c>
      <c r="T2100" t="s">
        <v>44</v>
      </c>
      <c r="U2100" t="s">
        <v>44</v>
      </c>
      <c r="V2100">
        <v>40</v>
      </c>
      <c r="W2100" t="s">
        <v>44</v>
      </c>
      <c r="X2100" t="s">
        <v>44</v>
      </c>
      <c r="Y2100">
        <v>40</v>
      </c>
      <c r="Z2100" t="s">
        <v>44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40</v>
      </c>
      <c r="AQ2100">
        <f t="shared" si="74"/>
        <v>40</v>
      </c>
      <c r="AR2100" s="5">
        <f>VLOOKUP(F2100,'[1]Cost Sheet'!$C:$D,2,0)</f>
        <v>31.31</v>
      </c>
      <c r="AS2100" s="5">
        <f t="shared" si="73"/>
        <v>1252.3999999999999</v>
      </c>
    </row>
    <row r="2101" spans="1:45" x14ac:dyDescent="0.3">
      <c r="A2101" s="1">
        <v>45900.965277777781</v>
      </c>
      <c r="B2101" t="s">
        <v>1499</v>
      </c>
      <c r="C2101" t="s">
        <v>1500</v>
      </c>
      <c r="D2101" t="s">
        <v>963</v>
      </c>
      <c r="E2101" t="s">
        <v>963</v>
      </c>
      <c r="F2101" t="s">
        <v>1931</v>
      </c>
      <c r="G2101" t="s">
        <v>964</v>
      </c>
      <c r="H2101" t="s">
        <v>635</v>
      </c>
      <c r="I2101" t="s">
        <v>43</v>
      </c>
      <c r="N2101">
        <v>54</v>
      </c>
      <c r="O2101">
        <v>0</v>
      </c>
      <c r="P2101">
        <v>0</v>
      </c>
      <c r="Q2101" t="s">
        <v>44</v>
      </c>
      <c r="R2101" t="s">
        <v>44</v>
      </c>
      <c r="S2101" t="s">
        <v>44</v>
      </c>
      <c r="T2101" t="s">
        <v>44</v>
      </c>
      <c r="U2101" t="s">
        <v>44</v>
      </c>
      <c r="V2101">
        <v>54</v>
      </c>
      <c r="W2101" t="s">
        <v>44</v>
      </c>
      <c r="X2101" t="s">
        <v>44</v>
      </c>
      <c r="Y2101">
        <v>54</v>
      </c>
      <c r="Z2101" t="s">
        <v>44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54</v>
      </c>
      <c r="AQ2101">
        <f t="shared" si="74"/>
        <v>54</v>
      </c>
      <c r="AR2101" s="5">
        <f>VLOOKUP(F2101,'[1]Cost Sheet'!$C:$D,2,0)</f>
        <v>31.06</v>
      </c>
      <c r="AS2101" s="5">
        <f t="shared" si="73"/>
        <v>1677.24</v>
      </c>
    </row>
    <row r="2102" spans="1:45" x14ac:dyDescent="0.3">
      <c r="A2102" s="1">
        <v>45900.965277777781</v>
      </c>
      <c r="B2102" t="s">
        <v>1499</v>
      </c>
      <c r="C2102" t="s">
        <v>1500</v>
      </c>
      <c r="D2102" t="s">
        <v>672</v>
      </c>
      <c r="E2102" t="s">
        <v>672</v>
      </c>
      <c r="F2102" t="s">
        <v>1789</v>
      </c>
      <c r="G2102" t="s">
        <v>673</v>
      </c>
      <c r="H2102" t="s">
        <v>635</v>
      </c>
      <c r="I2102" t="s">
        <v>43</v>
      </c>
      <c r="N2102">
        <v>95</v>
      </c>
      <c r="O2102">
        <v>0</v>
      </c>
      <c r="P2102">
        <v>0</v>
      </c>
      <c r="Q2102" t="s">
        <v>44</v>
      </c>
      <c r="R2102" t="s">
        <v>44</v>
      </c>
      <c r="S2102" t="s">
        <v>44</v>
      </c>
      <c r="T2102" t="s">
        <v>44</v>
      </c>
      <c r="U2102" t="s">
        <v>44</v>
      </c>
      <c r="V2102">
        <v>95</v>
      </c>
      <c r="W2102" t="s">
        <v>44</v>
      </c>
      <c r="X2102" t="s">
        <v>44</v>
      </c>
      <c r="Y2102">
        <v>95</v>
      </c>
      <c r="Z2102" t="s">
        <v>44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95</v>
      </c>
      <c r="AQ2102">
        <f t="shared" si="74"/>
        <v>95</v>
      </c>
      <c r="AR2102" s="5">
        <f>VLOOKUP(F2102,'[1]Cost Sheet'!$C:$D,2,0)</f>
        <v>26.27</v>
      </c>
      <c r="AS2102" s="5">
        <f t="shared" si="73"/>
        <v>2495.65</v>
      </c>
    </row>
    <row r="2103" spans="1:45" x14ac:dyDescent="0.3">
      <c r="A2103" s="1">
        <v>45900.965277777781</v>
      </c>
      <c r="B2103" t="s">
        <v>1499</v>
      </c>
      <c r="C2103" t="s">
        <v>1500</v>
      </c>
      <c r="D2103" t="s">
        <v>965</v>
      </c>
      <c r="E2103" t="s">
        <v>965</v>
      </c>
      <c r="F2103" t="s">
        <v>1932</v>
      </c>
      <c r="G2103" t="s">
        <v>966</v>
      </c>
      <c r="H2103" t="s">
        <v>635</v>
      </c>
      <c r="I2103" t="s">
        <v>43</v>
      </c>
      <c r="N2103">
        <v>71</v>
      </c>
      <c r="O2103">
        <v>0</v>
      </c>
      <c r="P2103">
        <v>0</v>
      </c>
      <c r="Q2103" t="s">
        <v>44</v>
      </c>
      <c r="R2103" t="s">
        <v>44</v>
      </c>
      <c r="S2103" t="s">
        <v>44</v>
      </c>
      <c r="T2103" t="s">
        <v>44</v>
      </c>
      <c r="U2103" t="s">
        <v>44</v>
      </c>
      <c r="V2103">
        <v>71</v>
      </c>
      <c r="W2103" t="s">
        <v>44</v>
      </c>
      <c r="X2103" t="s">
        <v>44</v>
      </c>
      <c r="Y2103">
        <v>71</v>
      </c>
      <c r="Z2103" t="s">
        <v>44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71</v>
      </c>
      <c r="AQ2103">
        <f t="shared" si="74"/>
        <v>71</v>
      </c>
      <c r="AR2103" s="5">
        <f>VLOOKUP(F2103,'[1]Cost Sheet'!$C:$D,2,0)</f>
        <v>26.914999999999996</v>
      </c>
      <c r="AS2103" s="5">
        <f t="shared" si="73"/>
        <v>1910.9649999999997</v>
      </c>
    </row>
    <row r="2104" spans="1:45" x14ac:dyDescent="0.3">
      <c r="A2104" s="1">
        <v>45900.965277777781</v>
      </c>
      <c r="B2104" t="s">
        <v>1499</v>
      </c>
      <c r="C2104" t="s">
        <v>1500</v>
      </c>
      <c r="D2104" t="s">
        <v>967</v>
      </c>
      <c r="E2104" t="s">
        <v>967</v>
      </c>
      <c r="F2104" t="s">
        <v>1933</v>
      </c>
      <c r="G2104" t="s">
        <v>968</v>
      </c>
      <c r="H2104" t="s">
        <v>635</v>
      </c>
      <c r="I2104" t="s">
        <v>43</v>
      </c>
      <c r="N2104">
        <v>57</v>
      </c>
      <c r="O2104">
        <v>0</v>
      </c>
      <c r="P2104">
        <v>0</v>
      </c>
      <c r="Q2104" t="s">
        <v>44</v>
      </c>
      <c r="R2104" t="s">
        <v>44</v>
      </c>
      <c r="S2104" t="s">
        <v>44</v>
      </c>
      <c r="T2104" t="s">
        <v>44</v>
      </c>
      <c r="U2104" t="s">
        <v>44</v>
      </c>
      <c r="V2104">
        <v>57</v>
      </c>
      <c r="W2104" t="s">
        <v>44</v>
      </c>
      <c r="X2104" t="s">
        <v>44</v>
      </c>
      <c r="Y2104">
        <v>57</v>
      </c>
      <c r="Z2104" t="s">
        <v>44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57</v>
      </c>
      <c r="AQ2104">
        <f t="shared" si="74"/>
        <v>57</v>
      </c>
      <c r="AR2104" s="5">
        <f>VLOOKUP(F2104,'[1]Cost Sheet'!$C:$D,2,0)</f>
        <v>37.06</v>
      </c>
      <c r="AS2104" s="5">
        <f t="shared" si="73"/>
        <v>2112.42</v>
      </c>
    </row>
    <row r="2105" spans="1:45" x14ac:dyDescent="0.3">
      <c r="A2105" s="1">
        <v>45900.965277777781</v>
      </c>
      <c r="B2105" t="s">
        <v>1499</v>
      </c>
      <c r="C2105" t="s">
        <v>1500</v>
      </c>
      <c r="D2105" t="s">
        <v>674</v>
      </c>
      <c r="E2105" t="s">
        <v>674</v>
      </c>
      <c r="F2105" t="s">
        <v>1790</v>
      </c>
      <c r="G2105" t="s">
        <v>675</v>
      </c>
      <c r="H2105" t="s">
        <v>635</v>
      </c>
      <c r="I2105" t="s">
        <v>43</v>
      </c>
      <c r="N2105">
        <v>18</v>
      </c>
      <c r="O2105">
        <v>0</v>
      </c>
      <c r="P2105">
        <v>0</v>
      </c>
      <c r="Q2105" t="s">
        <v>44</v>
      </c>
      <c r="R2105" t="s">
        <v>44</v>
      </c>
      <c r="S2105" t="s">
        <v>44</v>
      </c>
      <c r="T2105" t="s">
        <v>44</v>
      </c>
      <c r="U2105" t="s">
        <v>44</v>
      </c>
      <c r="V2105">
        <v>18</v>
      </c>
      <c r="W2105" t="s">
        <v>44</v>
      </c>
      <c r="X2105" t="s">
        <v>44</v>
      </c>
      <c r="Y2105">
        <v>18</v>
      </c>
      <c r="Z2105" t="s">
        <v>44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18</v>
      </c>
      <c r="AQ2105">
        <f t="shared" si="74"/>
        <v>18</v>
      </c>
      <c r="AR2105" s="5">
        <f>VLOOKUP(F2105,'[1]Cost Sheet'!$C:$D,2,0)</f>
        <v>28.82</v>
      </c>
      <c r="AS2105" s="5">
        <f t="shared" si="73"/>
        <v>518.76</v>
      </c>
    </row>
    <row r="2106" spans="1:45" x14ac:dyDescent="0.3">
      <c r="A2106" s="1">
        <v>45900.965277777781</v>
      </c>
      <c r="B2106" t="s">
        <v>1499</v>
      </c>
      <c r="C2106" t="s">
        <v>1500</v>
      </c>
      <c r="D2106" t="s">
        <v>969</v>
      </c>
      <c r="E2106" t="s">
        <v>969</v>
      </c>
      <c r="F2106" t="s">
        <v>1934</v>
      </c>
      <c r="G2106" t="s">
        <v>970</v>
      </c>
      <c r="H2106" t="s">
        <v>635</v>
      </c>
      <c r="I2106" t="s">
        <v>43</v>
      </c>
      <c r="N2106">
        <v>52</v>
      </c>
      <c r="O2106">
        <v>2</v>
      </c>
      <c r="P2106">
        <v>0</v>
      </c>
      <c r="Q2106" t="s">
        <v>44</v>
      </c>
      <c r="R2106" t="s">
        <v>44</v>
      </c>
      <c r="S2106" t="s">
        <v>44</v>
      </c>
      <c r="T2106" t="s">
        <v>44</v>
      </c>
      <c r="U2106" t="s">
        <v>44</v>
      </c>
      <c r="V2106">
        <v>25</v>
      </c>
      <c r="W2106" t="s">
        <v>44</v>
      </c>
      <c r="X2106" t="s">
        <v>44</v>
      </c>
      <c r="Y2106">
        <v>25</v>
      </c>
      <c r="Z2106" t="s">
        <v>44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27</v>
      </c>
      <c r="AQ2106">
        <f t="shared" si="74"/>
        <v>27</v>
      </c>
      <c r="AR2106" s="5">
        <f>VLOOKUP(F2106,'[1]Cost Sheet'!$C:$D,2,0)</f>
        <v>31.706666666666667</v>
      </c>
      <c r="AS2106" s="5">
        <f t="shared" si="73"/>
        <v>856.08</v>
      </c>
    </row>
    <row r="2107" spans="1:45" x14ac:dyDescent="0.3">
      <c r="A2107" s="1">
        <v>45900.965277777781</v>
      </c>
      <c r="B2107" t="s">
        <v>1499</v>
      </c>
      <c r="C2107" t="s">
        <v>1500</v>
      </c>
      <c r="D2107" t="s">
        <v>971</v>
      </c>
      <c r="E2107" t="s">
        <v>971</v>
      </c>
      <c r="F2107" t="s">
        <v>1935</v>
      </c>
      <c r="G2107" t="s">
        <v>972</v>
      </c>
      <c r="H2107" t="s">
        <v>635</v>
      </c>
      <c r="I2107" t="s">
        <v>43</v>
      </c>
      <c r="N2107">
        <v>32</v>
      </c>
      <c r="O2107">
        <v>2</v>
      </c>
      <c r="P2107">
        <v>0</v>
      </c>
      <c r="Q2107" t="s">
        <v>44</v>
      </c>
      <c r="R2107" t="s">
        <v>44</v>
      </c>
      <c r="S2107" t="s">
        <v>44</v>
      </c>
      <c r="T2107" t="s">
        <v>44</v>
      </c>
      <c r="U2107" t="s">
        <v>44</v>
      </c>
      <c r="V2107">
        <v>2</v>
      </c>
      <c r="W2107" t="s">
        <v>44</v>
      </c>
      <c r="X2107" t="s">
        <v>44</v>
      </c>
      <c r="Y2107">
        <v>2</v>
      </c>
      <c r="Z2107" t="s">
        <v>44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4</v>
      </c>
      <c r="AQ2107">
        <f t="shared" si="74"/>
        <v>4</v>
      </c>
      <c r="AR2107" s="5">
        <f>VLOOKUP(F2107,'[1]Cost Sheet'!$C:$D,2,0)</f>
        <v>43.71</v>
      </c>
      <c r="AS2107" s="5">
        <f t="shared" si="73"/>
        <v>174.84</v>
      </c>
    </row>
    <row r="2108" spans="1:45" x14ac:dyDescent="0.3">
      <c r="A2108" s="1">
        <v>45900.965277777781</v>
      </c>
      <c r="B2108" t="s">
        <v>1499</v>
      </c>
      <c r="C2108" t="s">
        <v>1500</v>
      </c>
      <c r="D2108" t="s">
        <v>973</v>
      </c>
      <c r="E2108" t="s">
        <v>973</v>
      </c>
      <c r="F2108" t="s">
        <v>1936</v>
      </c>
      <c r="G2108" t="s">
        <v>974</v>
      </c>
      <c r="H2108" t="s">
        <v>635</v>
      </c>
      <c r="I2108" t="s">
        <v>43</v>
      </c>
      <c r="N2108">
        <v>78</v>
      </c>
      <c r="O2108">
        <v>2</v>
      </c>
      <c r="P2108">
        <v>0</v>
      </c>
      <c r="Q2108" t="s">
        <v>44</v>
      </c>
      <c r="R2108" t="s">
        <v>44</v>
      </c>
      <c r="S2108" t="s">
        <v>44</v>
      </c>
      <c r="T2108" t="s">
        <v>44</v>
      </c>
      <c r="U2108" t="s">
        <v>44</v>
      </c>
      <c r="V2108">
        <v>61</v>
      </c>
      <c r="W2108" t="s">
        <v>44</v>
      </c>
      <c r="X2108" t="s">
        <v>44</v>
      </c>
      <c r="Y2108">
        <v>61</v>
      </c>
      <c r="Z2108" t="s">
        <v>44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63</v>
      </c>
      <c r="AQ2108">
        <f t="shared" si="74"/>
        <v>63</v>
      </c>
      <c r="AR2108" s="5">
        <f>VLOOKUP(F2108,'[1]Cost Sheet'!$C:$D,2,0)</f>
        <v>52.11</v>
      </c>
      <c r="AS2108" s="5">
        <f t="shared" si="73"/>
        <v>3282.93</v>
      </c>
    </row>
    <row r="2109" spans="1:45" x14ac:dyDescent="0.3">
      <c r="A2109" s="1">
        <v>45900.965277777781</v>
      </c>
      <c r="B2109" t="s">
        <v>1499</v>
      </c>
      <c r="C2109" t="s">
        <v>1500</v>
      </c>
      <c r="D2109" t="s">
        <v>975</v>
      </c>
      <c r="E2109" t="s">
        <v>975</v>
      </c>
      <c r="F2109" t="s">
        <v>1937</v>
      </c>
      <c r="G2109" t="s">
        <v>976</v>
      </c>
      <c r="H2109" t="s">
        <v>635</v>
      </c>
      <c r="I2109" t="s">
        <v>43</v>
      </c>
      <c r="N2109">
        <v>47</v>
      </c>
      <c r="O2109">
        <v>2</v>
      </c>
      <c r="P2109">
        <v>0</v>
      </c>
      <c r="Q2109" t="s">
        <v>44</v>
      </c>
      <c r="R2109" t="s">
        <v>44</v>
      </c>
      <c r="S2109" t="s">
        <v>44</v>
      </c>
      <c r="T2109">
        <v>2</v>
      </c>
      <c r="U2109" t="s">
        <v>44</v>
      </c>
      <c r="V2109">
        <v>0</v>
      </c>
      <c r="W2109" t="s">
        <v>44</v>
      </c>
      <c r="X2109" t="s">
        <v>44</v>
      </c>
      <c r="Y2109" t="s">
        <v>44</v>
      </c>
      <c r="Z2109" t="s">
        <v>44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2</v>
      </c>
      <c r="AQ2109">
        <f t="shared" si="74"/>
        <v>2</v>
      </c>
      <c r="AR2109" s="5">
        <f>VLOOKUP(F2109,'[1]Cost Sheet'!$C:$D,2,0)</f>
        <v>113.26</v>
      </c>
      <c r="AS2109" s="5">
        <f t="shared" si="73"/>
        <v>226.52</v>
      </c>
    </row>
    <row r="2110" spans="1:45" x14ac:dyDescent="0.3">
      <c r="A2110" s="1">
        <v>45900.965277777781</v>
      </c>
      <c r="B2110" t="s">
        <v>1499</v>
      </c>
      <c r="C2110" t="s">
        <v>1500</v>
      </c>
      <c r="D2110" t="s">
        <v>977</v>
      </c>
      <c r="E2110" t="s">
        <v>977</v>
      </c>
      <c r="F2110" t="s">
        <v>1938</v>
      </c>
      <c r="G2110" t="s">
        <v>978</v>
      </c>
      <c r="H2110" t="s">
        <v>635</v>
      </c>
      <c r="I2110" t="s">
        <v>43</v>
      </c>
      <c r="N2110">
        <v>55</v>
      </c>
      <c r="O2110">
        <v>0</v>
      </c>
      <c r="P2110">
        <v>0</v>
      </c>
      <c r="Q2110" t="s">
        <v>44</v>
      </c>
      <c r="R2110" t="s">
        <v>44</v>
      </c>
      <c r="S2110" t="s">
        <v>44</v>
      </c>
      <c r="T2110" t="s">
        <v>44</v>
      </c>
      <c r="U2110" t="s">
        <v>44</v>
      </c>
      <c r="V2110">
        <v>55</v>
      </c>
      <c r="W2110" t="s">
        <v>44</v>
      </c>
      <c r="X2110" t="s">
        <v>44</v>
      </c>
      <c r="Y2110">
        <v>55</v>
      </c>
      <c r="Z2110" t="s">
        <v>44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55</v>
      </c>
      <c r="AQ2110">
        <f t="shared" si="74"/>
        <v>55</v>
      </c>
      <c r="AR2110" s="5">
        <f>VLOOKUP(F2110,'[1]Cost Sheet'!$C:$D,2,0)</f>
        <v>99.63</v>
      </c>
      <c r="AS2110" s="5">
        <f t="shared" si="73"/>
        <v>5479.65</v>
      </c>
    </row>
    <row r="2111" spans="1:45" x14ac:dyDescent="0.3">
      <c r="A2111" s="1">
        <v>45900.965277777781</v>
      </c>
      <c r="B2111" t="s">
        <v>1499</v>
      </c>
      <c r="C2111" t="s">
        <v>1500</v>
      </c>
      <c r="D2111" t="s">
        <v>979</v>
      </c>
      <c r="E2111" t="s">
        <v>979</v>
      </c>
      <c r="F2111" t="s">
        <v>1939</v>
      </c>
      <c r="G2111" t="s">
        <v>980</v>
      </c>
      <c r="H2111" t="s">
        <v>635</v>
      </c>
      <c r="I2111" t="s">
        <v>43</v>
      </c>
      <c r="N2111">
        <v>36</v>
      </c>
      <c r="O2111">
        <v>0</v>
      </c>
      <c r="P2111">
        <v>0</v>
      </c>
      <c r="Q2111" t="s">
        <v>44</v>
      </c>
      <c r="R2111" t="s">
        <v>44</v>
      </c>
      <c r="S2111" t="s">
        <v>44</v>
      </c>
      <c r="T2111" t="s">
        <v>44</v>
      </c>
      <c r="U2111" t="s">
        <v>44</v>
      </c>
      <c r="V2111">
        <v>36</v>
      </c>
      <c r="W2111" t="s">
        <v>44</v>
      </c>
      <c r="X2111" t="s">
        <v>44</v>
      </c>
      <c r="Y2111">
        <v>36</v>
      </c>
      <c r="Z2111" t="s">
        <v>44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36</v>
      </c>
      <c r="AQ2111">
        <f t="shared" si="74"/>
        <v>36</v>
      </c>
      <c r="AR2111" s="5">
        <f>VLOOKUP(F2111,'[1]Cost Sheet'!$C:$D,2,0)</f>
        <v>67.05</v>
      </c>
      <c r="AS2111" s="5">
        <f t="shared" si="73"/>
        <v>2413.7999999999997</v>
      </c>
    </row>
    <row r="2112" spans="1:45" x14ac:dyDescent="0.3">
      <c r="A2112" s="1">
        <v>45900.965277777781</v>
      </c>
      <c r="B2112" t="s">
        <v>1499</v>
      </c>
      <c r="C2112" t="s">
        <v>1500</v>
      </c>
      <c r="D2112" t="s">
        <v>981</v>
      </c>
      <c r="E2112" t="s">
        <v>981</v>
      </c>
      <c r="F2112" t="s">
        <v>1940</v>
      </c>
      <c r="G2112" t="s">
        <v>982</v>
      </c>
      <c r="H2112" t="s">
        <v>635</v>
      </c>
      <c r="I2112" t="s">
        <v>43</v>
      </c>
      <c r="N2112">
        <v>31</v>
      </c>
      <c r="O2112">
        <v>0</v>
      </c>
      <c r="P2112">
        <v>0</v>
      </c>
      <c r="Q2112" t="s">
        <v>44</v>
      </c>
      <c r="R2112" t="s">
        <v>44</v>
      </c>
      <c r="S2112" t="s">
        <v>44</v>
      </c>
      <c r="T2112" t="s">
        <v>44</v>
      </c>
      <c r="U2112" t="s">
        <v>44</v>
      </c>
      <c r="V2112">
        <v>31</v>
      </c>
      <c r="W2112" t="s">
        <v>44</v>
      </c>
      <c r="X2112" t="s">
        <v>44</v>
      </c>
      <c r="Y2112">
        <v>31</v>
      </c>
      <c r="Z2112" t="s">
        <v>44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31</v>
      </c>
      <c r="AQ2112">
        <f t="shared" si="74"/>
        <v>31</v>
      </c>
      <c r="AR2112" s="5">
        <f>VLOOKUP(F2112,'[1]Cost Sheet'!$C:$D,2,0)</f>
        <v>25.930000000000003</v>
      </c>
      <c r="AS2112" s="5">
        <f t="shared" si="73"/>
        <v>803.83000000000015</v>
      </c>
    </row>
    <row r="2113" spans="1:45" x14ac:dyDescent="0.3">
      <c r="A2113" s="1">
        <v>45900.965277777781</v>
      </c>
      <c r="B2113" t="s">
        <v>1499</v>
      </c>
      <c r="C2113" t="s">
        <v>1500</v>
      </c>
      <c r="D2113" t="s">
        <v>985</v>
      </c>
      <c r="E2113" t="s">
        <v>985</v>
      </c>
      <c r="F2113" t="s">
        <v>1942</v>
      </c>
      <c r="G2113" t="s">
        <v>986</v>
      </c>
      <c r="H2113" t="s">
        <v>635</v>
      </c>
      <c r="I2113" t="s">
        <v>43</v>
      </c>
      <c r="N2113">
        <v>31</v>
      </c>
      <c r="O2113">
        <v>2</v>
      </c>
      <c r="P2113">
        <v>0</v>
      </c>
      <c r="Q2113" t="s">
        <v>44</v>
      </c>
      <c r="R2113" t="s">
        <v>44</v>
      </c>
      <c r="S2113" t="s">
        <v>44</v>
      </c>
      <c r="T2113" t="s">
        <v>44</v>
      </c>
      <c r="U2113" t="s">
        <v>44</v>
      </c>
      <c r="V2113">
        <v>0</v>
      </c>
      <c r="W2113" t="s">
        <v>44</v>
      </c>
      <c r="X2113" t="s">
        <v>44</v>
      </c>
      <c r="Y2113" t="s">
        <v>44</v>
      </c>
      <c r="Z2113" t="s">
        <v>44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2</v>
      </c>
      <c r="AQ2113">
        <f t="shared" si="74"/>
        <v>2</v>
      </c>
      <c r="AR2113" s="5">
        <f>VLOOKUP(F2113,'[1]Cost Sheet'!$C:$D,2,0)</f>
        <v>131.68</v>
      </c>
      <c r="AS2113" s="5">
        <f t="shared" si="73"/>
        <v>263.36</v>
      </c>
    </row>
    <row r="2114" spans="1:45" x14ac:dyDescent="0.3">
      <c r="A2114" s="1">
        <v>45900.965277777781</v>
      </c>
      <c r="B2114" t="s">
        <v>1499</v>
      </c>
      <c r="C2114" t="s">
        <v>1500</v>
      </c>
      <c r="D2114" t="s">
        <v>1381</v>
      </c>
      <c r="E2114" t="s">
        <v>1381</v>
      </c>
      <c r="F2114" t="s">
        <v>2137</v>
      </c>
      <c r="G2114" t="s">
        <v>1382</v>
      </c>
      <c r="H2114" t="s">
        <v>635</v>
      </c>
      <c r="I2114" t="s">
        <v>43</v>
      </c>
      <c r="N2114">
        <v>39</v>
      </c>
      <c r="O2114">
        <v>2</v>
      </c>
      <c r="P2114">
        <v>0</v>
      </c>
      <c r="Q2114" t="s">
        <v>44</v>
      </c>
      <c r="R2114" t="s">
        <v>44</v>
      </c>
      <c r="S2114" t="s">
        <v>44</v>
      </c>
      <c r="T2114" t="s">
        <v>44</v>
      </c>
      <c r="U2114" t="s">
        <v>44</v>
      </c>
      <c r="V2114">
        <v>0</v>
      </c>
      <c r="W2114" t="s">
        <v>44</v>
      </c>
      <c r="X2114" t="s">
        <v>44</v>
      </c>
      <c r="Y2114" t="s">
        <v>44</v>
      </c>
      <c r="Z2114" t="s">
        <v>44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2</v>
      </c>
      <c r="AQ2114">
        <f t="shared" si="74"/>
        <v>2</v>
      </c>
      <c r="AR2114" s="5">
        <f>VLOOKUP(F2114,'[1]Cost Sheet'!$C:$D,2,0)</f>
        <v>53.93</v>
      </c>
      <c r="AS2114" s="5">
        <f t="shared" si="73"/>
        <v>107.86</v>
      </c>
    </row>
    <row r="2115" spans="1:45" x14ac:dyDescent="0.3">
      <c r="A2115" s="1">
        <v>45900.965277777781</v>
      </c>
      <c r="B2115" t="s">
        <v>1499</v>
      </c>
      <c r="C2115" t="s">
        <v>1500</v>
      </c>
      <c r="D2115" t="s">
        <v>987</v>
      </c>
      <c r="E2115" t="s">
        <v>987</v>
      </c>
      <c r="F2115" t="s">
        <v>1943</v>
      </c>
      <c r="G2115" t="s">
        <v>988</v>
      </c>
      <c r="H2115" t="s">
        <v>635</v>
      </c>
      <c r="I2115" t="s">
        <v>43</v>
      </c>
      <c r="N2115">
        <v>23</v>
      </c>
      <c r="O2115">
        <v>0</v>
      </c>
      <c r="P2115">
        <v>0</v>
      </c>
      <c r="Q2115" t="s">
        <v>44</v>
      </c>
      <c r="R2115" t="s">
        <v>44</v>
      </c>
      <c r="S2115" t="s">
        <v>44</v>
      </c>
      <c r="T2115" t="s">
        <v>44</v>
      </c>
      <c r="U2115" t="s">
        <v>44</v>
      </c>
      <c r="V2115">
        <v>6</v>
      </c>
      <c r="W2115" t="s">
        <v>44</v>
      </c>
      <c r="X2115" t="s">
        <v>44</v>
      </c>
      <c r="Y2115">
        <v>6</v>
      </c>
      <c r="Z2115" t="s">
        <v>44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6</v>
      </c>
      <c r="AQ2115">
        <f t="shared" si="74"/>
        <v>6</v>
      </c>
      <c r="AR2115" s="5">
        <f>VLOOKUP(F2115,'[1]Cost Sheet'!$C:$D,2,0)</f>
        <v>67.69</v>
      </c>
      <c r="AS2115" s="5">
        <f t="shared" ref="AS2115:AS2178" si="75">AQ2115*AR2115</f>
        <v>406.14</v>
      </c>
    </row>
    <row r="2116" spans="1:45" x14ac:dyDescent="0.3">
      <c r="A2116" s="1">
        <v>45900.965277777781</v>
      </c>
      <c r="B2116" t="s">
        <v>1499</v>
      </c>
      <c r="C2116" t="s">
        <v>1500</v>
      </c>
      <c r="D2116" t="s">
        <v>989</v>
      </c>
      <c r="E2116" t="s">
        <v>989</v>
      </c>
      <c r="F2116" t="s">
        <v>1944</v>
      </c>
      <c r="G2116" t="s">
        <v>990</v>
      </c>
      <c r="H2116" t="s">
        <v>635</v>
      </c>
      <c r="I2116" t="s">
        <v>43</v>
      </c>
      <c r="N2116">
        <v>48</v>
      </c>
      <c r="O2116">
        <v>0</v>
      </c>
      <c r="P2116">
        <v>0</v>
      </c>
      <c r="Q2116" t="s">
        <v>44</v>
      </c>
      <c r="R2116" t="s">
        <v>44</v>
      </c>
      <c r="S2116" t="s">
        <v>44</v>
      </c>
      <c r="T2116" t="s">
        <v>44</v>
      </c>
      <c r="U2116" t="s">
        <v>44</v>
      </c>
      <c r="V2116">
        <v>48</v>
      </c>
      <c r="W2116" t="s">
        <v>44</v>
      </c>
      <c r="X2116" t="s">
        <v>44</v>
      </c>
      <c r="Y2116">
        <v>48</v>
      </c>
      <c r="Z2116" t="s">
        <v>44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48</v>
      </c>
      <c r="AQ2116">
        <f t="shared" si="74"/>
        <v>48</v>
      </c>
      <c r="AR2116" s="5">
        <f>VLOOKUP(F2116,'[1]Cost Sheet'!$C:$D,2,0)</f>
        <v>61.93</v>
      </c>
      <c r="AS2116" s="5">
        <f t="shared" si="75"/>
        <v>2972.64</v>
      </c>
    </row>
    <row r="2117" spans="1:45" x14ac:dyDescent="0.3">
      <c r="A2117" s="1">
        <v>45900.965277777781</v>
      </c>
      <c r="B2117" t="s">
        <v>1499</v>
      </c>
      <c r="C2117" t="s">
        <v>1500</v>
      </c>
      <c r="D2117" t="s">
        <v>991</v>
      </c>
      <c r="E2117" t="s">
        <v>991</v>
      </c>
      <c r="F2117" t="s">
        <v>1945</v>
      </c>
      <c r="G2117" t="s">
        <v>992</v>
      </c>
      <c r="H2117" t="s">
        <v>635</v>
      </c>
      <c r="I2117" t="s">
        <v>43</v>
      </c>
      <c r="N2117">
        <v>11</v>
      </c>
      <c r="O2117">
        <v>0</v>
      </c>
      <c r="P2117">
        <v>0</v>
      </c>
      <c r="Q2117" t="s">
        <v>44</v>
      </c>
      <c r="R2117" t="s">
        <v>44</v>
      </c>
      <c r="S2117" t="s">
        <v>44</v>
      </c>
      <c r="T2117" t="s">
        <v>44</v>
      </c>
      <c r="U2117" t="s">
        <v>44</v>
      </c>
      <c r="V2117">
        <v>11</v>
      </c>
      <c r="W2117" t="s">
        <v>44</v>
      </c>
      <c r="X2117" t="s">
        <v>44</v>
      </c>
      <c r="Y2117">
        <v>11</v>
      </c>
      <c r="Z2117" t="s">
        <v>44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11</v>
      </c>
      <c r="AQ2117">
        <f t="shared" si="74"/>
        <v>11</v>
      </c>
      <c r="AR2117" s="5">
        <f>VLOOKUP(F2117,'[1]Cost Sheet'!$C:$D,2,0)</f>
        <v>61.45</v>
      </c>
      <c r="AS2117" s="5">
        <f t="shared" si="75"/>
        <v>675.95</v>
      </c>
    </row>
    <row r="2118" spans="1:45" x14ac:dyDescent="0.3">
      <c r="A2118" s="1">
        <v>45900.965277777781</v>
      </c>
      <c r="B2118" t="s">
        <v>1499</v>
      </c>
      <c r="C2118" t="s">
        <v>1500</v>
      </c>
      <c r="D2118" t="s">
        <v>993</v>
      </c>
      <c r="E2118" t="s">
        <v>993</v>
      </c>
      <c r="F2118" t="s">
        <v>1946</v>
      </c>
      <c r="G2118" t="s">
        <v>994</v>
      </c>
      <c r="H2118" t="s">
        <v>635</v>
      </c>
      <c r="I2118" t="s">
        <v>43</v>
      </c>
      <c r="N2118">
        <v>23</v>
      </c>
      <c r="O2118">
        <v>0</v>
      </c>
      <c r="P2118">
        <v>0</v>
      </c>
      <c r="Q2118" t="s">
        <v>44</v>
      </c>
      <c r="R2118" t="s">
        <v>44</v>
      </c>
      <c r="S2118" t="s">
        <v>44</v>
      </c>
      <c r="T2118" t="s">
        <v>44</v>
      </c>
      <c r="U2118" t="s">
        <v>44</v>
      </c>
      <c r="V2118">
        <v>23</v>
      </c>
      <c r="W2118" t="s">
        <v>44</v>
      </c>
      <c r="X2118" t="s">
        <v>44</v>
      </c>
      <c r="Y2118">
        <v>23</v>
      </c>
      <c r="Z2118" t="s">
        <v>44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23</v>
      </c>
      <c r="AQ2118">
        <f t="shared" si="74"/>
        <v>23</v>
      </c>
      <c r="AR2118" s="5">
        <f>VLOOKUP(F2118,'[1]Cost Sheet'!$C:$D,2,0)</f>
        <v>57</v>
      </c>
      <c r="AS2118" s="5">
        <f t="shared" si="75"/>
        <v>1311</v>
      </c>
    </row>
    <row r="2119" spans="1:45" x14ac:dyDescent="0.3">
      <c r="A2119" s="1">
        <v>45900.965277777781</v>
      </c>
      <c r="B2119" t="s">
        <v>1499</v>
      </c>
      <c r="C2119" t="s">
        <v>1500</v>
      </c>
      <c r="D2119" t="s">
        <v>995</v>
      </c>
      <c r="E2119" t="s">
        <v>995</v>
      </c>
      <c r="F2119" t="s">
        <v>1947</v>
      </c>
      <c r="G2119" t="s">
        <v>996</v>
      </c>
      <c r="H2119" t="s">
        <v>635</v>
      </c>
      <c r="I2119" t="s">
        <v>43</v>
      </c>
      <c r="N2119">
        <v>78</v>
      </c>
      <c r="O2119">
        <v>0</v>
      </c>
      <c r="P2119">
        <v>0</v>
      </c>
      <c r="Q2119" t="s">
        <v>44</v>
      </c>
      <c r="R2119" t="s">
        <v>44</v>
      </c>
      <c r="S2119" t="s">
        <v>44</v>
      </c>
      <c r="T2119" t="s">
        <v>44</v>
      </c>
      <c r="U2119" t="s">
        <v>44</v>
      </c>
      <c r="V2119">
        <v>78</v>
      </c>
      <c r="W2119" t="s">
        <v>44</v>
      </c>
      <c r="X2119" t="s">
        <v>44</v>
      </c>
      <c r="Y2119">
        <v>78</v>
      </c>
      <c r="Z2119" t="s">
        <v>44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78</v>
      </c>
      <c r="AQ2119">
        <f t="shared" si="74"/>
        <v>78</v>
      </c>
      <c r="AR2119" s="5">
        <f>VLOOKUP(F2119,'[1]Cost Sheet'!$C:$D,2,0)</f>
        <v>106.31</v>
      </c>
      <c r="AS2119" s="5">
        <f t="shared" si="75"/>
        <v>8292.18</v>
      </c>
    </row>
    <row r="2120" spans="1:45" x14ac:dyDescent="0.3">
      <c r="A2120" s="1">
        <v>45900.965277777781</v>
      </c>
      <c r="B2120" t="s">
        <v>1499</v>
      </c>
      <c r="C2120" t="s">
        <v>1500</v>
      </c>
      <c r="D2120" t="s">
        <v>997</v>
      </c>
      <c r="E2120" t="s">
        <v>997</v>
      </c>
      <c r="F2120" t="s">
        <v>1948</v>
      </c>
      <c r="G2120" t="s">
        <v>998</v>
      </c>
      <c r="H2120" t="s">
        <v>635</v>
      </c>
      <c r="I2120" t="s">
        <v>43</v>
      </c>
      <c r="N2120">
        <v>81</v>
      </c>
      <c r="O2120">
        <v>0</v>
      </c>
      <c r="P2120">
        <v>0</v>
      </c>
      <c r="Q2120" t="s">
        <v>44</v>
      </c>
      <c r="R2120" t="s">
        <v>44</v>
      </c>
      <c r="S2120" t="s">
        <v>44</v>
      </c>
      <c r="T2120" t="s">
        <v>44</v>
      </c>
      <c r="U2120" t="s">
        <v>44</v>
      </c>
      <c r="V2120">
        <v>81</v>
      </c>
      <c r="W2120" t="s">
        <v>44</v>
      </c>
      <c r="X2120" t="s">
        <v>44</v>
      </c>
      <c r="Y2120">
        <v>81</v>
      </c>
      <c r="Z2120" t="s">
        <v>44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81</v>
      </c>
      <c r="AQ2120">
        <f t="shared" si="74"/>
        <v>81</v>
      </c>
      <c r="AR2120" s="5">
        <f>VLOOKUP(F2120,'[1]Cost Sheet'!$C:$D,2,0)</f>
        <v>116.69999999999999</v>
      </c>
      <c r="AS2120" s="5">
        <f t="shared" si="75"/>
        <v>9452.6999999999989</v>
      </c>
    </row>
    <row r="2121" spans="1:45" x14ac:dyDescent="0.3">
      <c r="A2121" s="1">
        <v>45900.965277777781</v>
      </c>
      <c r="B2121" t="s">
        <v>1499</v>
      </c>
      <c r="C2121" t="s">
        <v>1500</v>
      </c>
      <c r="D2121" t="s">
        <v>999</v>
      </c>
      <c r="E2121" t="s">
        <v>999</v>
      </c>
      <c r="F2121" t="s">
        <v>1949</v>
      </c>
      <c r="G2121" t="s">
        <v>1000</v>
      </c>
      <c r="H2121" t="s">
        <v>635</v>
      </c>
      <c r="I2121" t="s">
        <v>43</v>
      </c>
      <c r="N2121">
        <v>19</v>
      </c>
      <c r="O2121">
        <v>0</v>
      </c>
      <c r="P2121">
        <v>0</v>
      </c>
      <c r="Q2121" t="s">
        <v>44</v>
      </c>
      <c r="R2121" t="s">
        <v>44</v>
      </c>
      <c r="S2121" t="s">
        <v>44</v>
      </c>
      <c r="T2121" t="s">
        <v>44</v>
      </c>
      <c r="U2121" t="s">
        <v>44</v>
      </c>
      <c r="V2121">
        <v>19</v>
      </c>
      <c r="W2121" t="s">
        <v>44</v>
      </c>
      <c r="X2121" t="s">
        <v>44</v>
      </c>
      <c r="Y2121">
        <v>19</v>
      </c>
      <c r="Z2121" t="s">
        <v>44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19</v>
      </c>
      <c r="AQ2121">
        <f t="shared" si="74"/>
        <v>19</v>
      </c>
      <c r="AR2121" s="5">
        <f>VLOOKUP(F2121,'[1]Cost Sheet'!$C:$D,2,0)</f>
        <v>106.44999999999999</v>
      </c>
      <c r="AS2121" s="5">
        <f t="shared" si="75"/>
        <v>2022.5499999999997</v>
      </c>
    </row>
    <row r="2122" spans="1:45" x14ac:dyDescent="0.3">
      <c r="A2122" s="1">
        <v>45900.965277777781</v>
      </c>
      <c r="B2122" t="s">
        <v>1499</v>
      </c>
      <c r="C2122" t="s">
        <v>1500</v>
      </c>
      <c r="D2122" t="s">
        <v>1001</v>
      </c>
      <c r="E2122" t="s">
        <v>1001</v>
      </c>
      <c r="F2122" t="s">
        <v>1950</v>
      </c>
      <c r="G2122" t="s">
        <v>1002</v>
      </c>
      <c r="H2122" t="s">
        <v>635</v>
      </c>
      <c r="I2122" t="s">
        <v>43</v>
      </c>
      <c r="N2122">
        <v>55</v>
      </c>
      <c r="O2122">
        <v>0</v>
      </c>
      <c r="P2122">
        <v>0</v>
      </c>
      <c r="Q2122" t="s">
        <v>44</v>
      </c>
      <c r="R2122" t="s">
        <v>44</v>
      </c>
      <c r="S2122" t="s">
        <v>44</v>
      </c>
      <c r="T2122" t="s">
        <v>44</v>
      </c>
      <c r="U2122" t="s">
        <v>44</v>
      </c>
      <c r="V2122">
        <v>55</v>
      </c>
      <c r="W2122" t="s">
        <v>44</v>
      </c>
      <c r="X2122" t="s">
        <v>44</v>
      </c>
      <c r="Y2122">
        <v>55</v>
      </c>
      <c r="Z2122" t="s">
        <v>44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55</v>
      </c>
      <c r="AQ2122">
        <f t="shared" si="74"/>
        <v>55</v>
      </c>
      <c r="AR2122" s="5">
        <f>VLOOKUP(F2122,'[1]Cost Sheet'!$C:$D,2,0)</f>
        <v>152.38000000000002</v>
      </c>
      <c r="AS2122" s="5">
        <f t="shared" si="75"/>
        <v>8380.9000000000015</v>
      </c>
    </row>
    <row r="2123" spans="1:45" x14ac:dyDescent="0.3">
      <c r="A2123" s="1">
        <v>45900.965277777781</v>
      </c>
      <c r="B2123" t="s">
        <v>1499</v>
      </c>
      <c r="C2123" t="s">
        <v>1500</v>
      </c>
      <c r="D2123" t="s">
        <v>1005</v>
      </c>
      <c r="E2123" t="s">
        <v>1005</v>
      </c>
      <c r="F2123" t="s">
        <v>1952</v>
      </c>
      <c r="G2123" t="s">
        <v>1006</v>
      </c>
      <c r="H2123" t="s">
        <v>635</v>
      </c>
      <c r="I2123" t="s">
        <v>43</v>
      </c>
      <c r="N2123">
        <v>33</v>
      </c>
      <c r="O2123">
        <v>0</v>
      </c>
      <c r="P2123">
        <v>0</v>
      </c>
      <c r="Q2123" t="s">
        <v>44</v>
      </c>
      <c r="R2123" t="s">
        <v>44</v>
      </c>
      <c r="S2123" t="s">
        <v>44</v>
      </c>
      <c r="T2123" t="s">
        <v>44</v>
      </c>
      <c r="U2123" t="s">
        <v>44</v>
      </c>
      <c r="V2123">
        <v>33</v>
      </c>
      <c r="W2123" t="s">
        <v>44</v>
      </c>
      <c r="X2123" t="s">
        <v>44</v>
      </c>
      <c r="Y2123">
        <v>33</v>
      </c>
      <c r="Z2123" t="s">
        <v>44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33</v>
      </c>
      <c r="AQ2123">
        <f t="shared" si="74"/>
        <v>33</v>
      </c>
      <c r="AR2123" s="5">
        <f>VLOOKUP(F2123,'[1]Cost Sheet'!$C:$D,2,0)</f>
        <v>28.3</v>
      </c>
      <c r="AS2123" s="5">
        <f t="shared" si="75"/>
        <v>933.9</v>
      </c>
    </row>
    <row r="2124" spans="1:45" x14ac:dyDescent="0.3">
      <c r="A2124" s="1">
        <v>45900.965277777781</v>
      </c>
      <c r="B2124" t="s">
        <v>1499</v>
      </c>
      <c r="C2124" t="s">
        <v>1500</v>
      </c>
      <c r="D2124" t="s">
        <v>1007</v>
      </c>
      <c r="E2124" t="s">
        <v>1007</v>
      </c>
      <c r="F2124" t="s">
        <v>1953</v>
      </c>
      <c r="G2124" t="s">
        <v>1008</v>
      </c>
      <c r="H2124" t="s">
        <v>635</v>
      </c>
      <c r="I2124" t="s">
        <v>43</v>
      </c>
      <c r="N2124">
        <v>83</v>
      </c>
      <c r="O2124">
        <v>2</v>
      </c>
      <c r="P2124">
        <v>0</v>
      </c>
      <c r="Q2124" t="s">
        <v>44</v>
      </c>
      <c r="R2124" t="s">
        <v>44</v>
      </c>
      <c r="S2124" t="s">
        <v>44</v>
      </c>
      <c r="T2124">
        <v>1</v>
      </c>
      <c r="U2124" t="s">
        <v>44</v>
      </c>
      <c r="V2124">
        <v>24</v>
      </c>
      <c r="W2124" t="s">
        <v>44</v>
      </c>
      <c r="X2124" t="s">
        <v>44</v>
      </c>
      <c r="Y2124">
        <v>24</v>
      </c>
      <c r="Z2124" t="s">
        <v>44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26</v>
      </c>
      <c r="AQ2124">
        <f t="shared" si="74"/>
        <v>26</v>
      </c>
      <c r="AR2124" s="5">
        <f>VLOOKUP(F2124,'[1]Cost Sheet'!$C:$D,2,0)</f>
        <v>103.36</v>
      </c>
      <c r="AS2124" s="5">
        <f t="shared" si="75"/>
        <v>2687.36</v>
      </c>
    </row>
    <row r="2125" spans="1:45" x14ac:dyDescent="0.3">
      <c r="A2125" s="1">
        <v>45900.965277777781</v>
      </c>
      <c r="B2125" t="s">
        <v>1499</v>
      </c>
      <c r="C2125" t="s">
        <v>1500</v>
      </c>
      <c r="D2125" t="s">
        <v>1009</v>
      </c>
      <c r="E2125" t="s">
        <v>1009</v>
      </c>
      <c r="F2125" t="s">
        <v>1954</v>
      </c>
      <c r="G2125" t="s">
        <v>1010</v>
      </c>
      <c r="H2125" t="s">
        <v>635</v>
      </c>
      <c r="I2125" t="s">
        <v>43</v>
      </c>
      <c r="N2125">
        <v>39</v>
      </c>
      <c r="O2125">
        <v>0</v>
      </c>
      <c r="P2125">
        <v>0</v>
      </c>
      <c r="Q2125" t="s">
        <v>44</v>
      </c>
      <c r="R2125" t="s">
        <v>44</v>
      </c>
      <c r="S2125" t="s">
        <v>44</v>
      </c>
      <c r="T2125" t="s">
        <v>44</v>
      </c>
      <c r="U2125" t="s">
        <v>44</v>
      </c>
      <c r="V2125">
        <v>39</v>
      </c>
      <c r="W2125" t="s">
        <v>44</v>
      </c>
      <c r="X2125" t="s">
        <v>44</v>
      </c>
      <c r="Y2125">
        <v>39</v>
      </c>
      <c r="Z2125" t="s">
        <v>44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39</v>
      </c>
      <c r="AQ2125">
        <f t="shared" si="74"/>
        <v>39</v>
      </c>
      <c r="AR2125" s="5">
        <f>VLOOKUP(F2125,'[1]Cost Sheet'!$C:$D,2,0)</f>
        <v>50.08</v>
      </c>
      <c r="AS2125" s="5">
        <f t="shared" si="75"/>
        <v>1953.12</v>
      </c>
    </row>
    <row r="2126" spans="1:45" x14ac:dyDescent="0.3">
      <c r="A2126" s="1">
        <v>45900.965277777781</v>
      </c>
      <c r="B2126" t="s">
        <v>1499</v>
      </c>
      <c r="C2126" t="s">
        <v>1500</v>
      </c>
      <c r="D2126" t="s">
        <v>1011</v>
      </c>
      <c r="E2126" t="s">
        <v>1011</v>
      </c>
      <c r="F2126" t="s">
        <v>1955</v>
      </c>
      <c r="G2126" t="s">
        <v>1012</v>
      </c>
      <c r="H2126" t="s">
        <v>635</v>
      </c>
      <c r="I2126" t="s">
        <v>43</v>
      </c>
      <c r="N2126">
        <v>37</v>
      </c>
      <c r="O2126">
        <v>0</v>
      </c>
      <c r="P2126">
        <v>0</v>
      </c>
      <c r="Q2126" t="s">
        <v>44</v>
      </c>
      <c r="R2126" t="s">
        <v>44</v>
      </c>
      <c r="S2126" t="s">
        <v>44</v>
      </c>
      <c r="T2126" t="s">
        <v>44</v>
      </c>
      <c r="U2126" t="s">
        <v>44</v>
      </c>
      <c r="V2126">
        <v>21</v>
      </c>
      <c r="W2126" t="s">
        <v>44</v>
      </c>
      <c r="X2126" t="s">
        <v>44</v>
      </c>
      <c r="Y2126">
        <v>21</v>
      </c>
      <c r="Z2126" t="s">
        <v>44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21</v>
      </c>
      <c r="AQ2126">
        <f t="shared" si="74"/>
        <v>21</v>
      </c>
      <c r="AR2126" s="5">
        <f>VLOOKUP(F2126,'[1]Cost Sheet'!$C:$D,2,0)</f>
        <v>105.05000000000001</v>
      </c>
      <c r="AS2126" s="5">
        <f t="shared" si="75"/>
        <v>2206.0500000000002</v>
      </c>
    </row>
    <row r="2127" spans="1:45" x14ac:dyDescent="0.3">
      <c r="A2127" s="1">
        <v>45900.965277777781</v>
      </c>
      <c r="B2127" t="s">
        <v>1499</v>
      </c>
      <c r="C2127" t="s">
        <v>1500</v>
      </c>
      <c r="D2127" t="s">
        <v>1017</v>
      </c>
      <c r="E2127" t="s">
        <v>1017</v>
      </c>
      <c r="F2127" t="s">
        <v>1958</v>
      </c>
      <c r="G2127" t="s">
        <v>1018</v>
      </c>
      <c r="H2127" t="s">
        <v>635</v>
      </c>
      <c r="I2127" t="s">
        <v>43</v>
      </c>
      <c r="N2127">
        <v>59</v>
      </c>
      <c r="O2127">
        <v>0</v>
      </c>
      <c r="P2127">
        <v>0</v>
      </c>
      <c r="Q2127" t="s">
        <v>44</v>
      </c>
      <c r="R2127" t="s">
        <v>44</v>
      </c>
      <c r="S2127" t="s">
        <v>44</v>
      </c>
      <c r="T2127" t="s">
        <v>44</v>
      </c>
      <c r="U2127" t="s">
        <v>44</v>
      </c>
      <c r="V2127">
        <v>59</v>
      </c>
      <c r="W2127" t="s">
        <v>44</v>
      </c>
      <c r="X2127" t="s">
        <v>44</v>
      </c>
      <c r="Y2127">
        <v>59</v>
      </c>
      <c r="Z2127" t="s">
        <v>44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59</v>
      </c>
      <c r="AQ2127">
        <f t="shared" si="74"/>
        <v>59</v>
      </c>
      <c r="AR2127" s="5">
        <f>VLOOKUP(F2127,'[1]Cost Sheet'!$C:$D,2,0)</f>
        <v>61.997777777777777</v>
      </c>
      <c r="AS2127" s="5">
        <f t="shared" si="75"/>
        <v>3657.8688888888887</v>
      </c>
    </row>
    <row r="2128" spans="1:45" x14ac:dyDescent="0.3">
      <c r="A2128" s="1">
        <v>45900.965277777781</v>
      </c>
      <c r="B2128" t="s">
        <v>1499</v>
      </c>
      <c r="C2128" t="s">
        <v>1500</v>
      </c>
      <c r="D2128" t="s">
        <v>1019</v>
      </c>
      <c r="E2128" t="s">
        <v>1019</v>
      </c>
      <c r="F2128" t="s">
        <v>1959</v>
      </c>
      <c r="G2128" t="s">
        <v>1020</v>
      </c>
      <c r="H2128" t="s">
        <v>635</v>
      </c>
      <c r="I2128" t="s">
        <v>43</v>
      </c>
      <c r="N2128">
        <v>37</v>
      </c>
      <c r="O2128">
        <v>0</v>
      </c>
      <c r="P2128">
        <v>0</v>
      </c>
      <c r="Q2128" t="s">
        <v>44</v>
      </c>
      <c r="R2128" t="s">
        <v>44</v>
      </c>
      <c r="S2128" t="s">
        <v>44</v>
      </c>
      <c r="T2128" t="s">
        <v>44</v>
      </c>
      <c r="U2128" t="s">
        <v>44</v>
      </c>
      <c r="V2128">
        <v>16</v>
      </c>
      <c r="W2128" t="s">
        <v>44</v>
      </c>
      <c r="X2128" t="s">
        <v>44</v>
      </c>
      <c r="Y2128">
        <v>16</v>
      </c>
      <c r="Z2128" t="s">
        <v>44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16</v>
      </c>
      <c r="AQ2128">
        <f t="shared" si="74"/>
        <v>16</v>
      </c>
      <c r="AR2128" s="5">
        <f>VLOOKUP(F2128,'[1]Cost Sheet'!$C:$D,2,0)</f>
        <v>45.474000000000004</v>
      </c>
      <c r="AS2128" s="5">
        <f t="shared" si="75"/>
        <v>727.58400000000006</v>
      </c>
    </row>
    <row r="2129" spans="1:45" x14ac:dyDescent="0.3">
      <c r="A2129" s="1">
        <v>45900.965277777781</v>
      </c>
      <c r="B2129" t="s">
        <v>1499</v>
      </c>
      <c r="C2129" t="s">
        <v>1500</v>
      </c>
      <c r="D2129" t="s">
        <v>1025</v>
      </c>
      <c r="E2129" t="s">
        <v>1025</v>
      </c>
      <c r="F2129" t="s">
        <v>1962</v>
      </c>
      <c r="G2129" t="s">
        <v>1026</v>
      </c>
      <c r="H2129" t="s">
        <v>635</v>
      </c>
      <c r="I2129" t="s">
        <v>43</v>
      </c>
      <c r="N2129">
        <v>30</v>
      </c>
      <c r="O2129">
        <v>0</v>
      </c>
      <c r="P2129">
        <v>0</v>
      </c>
      <c r="Q2129" t="s">
        <v>44</v>
      </c>
      <c r="R2129" t="s">
        <v>44</v>
      </c>
      <c r="S2129" t="s">
        <v>44</v>
      </c>
      <c r="T2129" t="s">
        <v>44</v>
      </c>
      <c r="U2129" t="s">
        <v>44</v>
      </c>
      <c r="V2129">
        <v>30</v>
      </c>
      <c r="W2129" t="s">
        <v>44</v>
      </c>
      <c r="X2129" t="s">
        <v>44</v>
      </c>
      <c r="Y2129">
        <v>30</v>
      </c>
      <c r="Z2129" t="s">
        <v>44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30</v>
      </c>
      <c r="AQ2129">
        <f t="shared" si="74"/>
        <v>30</v>
      </c>
      <c r="AR2129" s="5">
        <f>VLOOKUP(F2129,'[1]Cost Sheet'!$C:$D,2,0)</f>
        <v>50.4</v>
      </c>
      <c r="AS2129" s="5">
        <f t="shared" si="75"/>
        <v>1512</v>
      </c>
    </row>
    <row r="2130" spans="1:45" x14ac:dyDescent="0.3">
      <c r="A2130" s="1">
        <v>45900.965277777781</v>
      </c>
      <c r="B2130" t="s">
        <v>1499</v>
      </c>
      <c r="C2130" t="s">
        <v>1500</v>
      </c>
      <c r="D2130" t="s">
        <v>1027</v>
      </c>
      <c r="E2130" t="s">
        <v>1027</v>
      </c>
      <c r="F2130" t="s">
        <v>1963</v>
      </c>
      <c r="G2130" t="s">
        <v>1028</v>
      </c>
      <c r="H2130" t="s">
        <v>635</v>
      </c>
      <c r="I2130" t="s">
        <v>43</v>
      </c>
      <c r="N2130">
        <v>33</v>
      </c>
      <c r="O2130">
        <v>0</v>
      </c>
      <c r="P2130">
        <v>0</v>
      </c>
      <c r="Q2130" t="s">
        <v>44</v>
      </c>
      <c r="R2130" t="s">
        <v>44</v>
      </c>
      <c r="S2130" t="s">
        <v>44</v>
      </c>
      <c r="T2130" t="s">
        <v>44</v>
      </c>
      <c r="U2130" t="s">
        <v>44</v>
      </c>
      <c r="V2130">
        <v>33</v>
      </c>
      <c r="W2130" t="s">
        <v>44</v>
      </c>
      <c r="X2130" t="s">
        <v>44</v>
      </c>
      <c r="Y2130">
        <v>33</v>
      </c>
      <c r="Z2130" t="s">
        <v>44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33</v>
      </c>
      <c r="AQ2130">
        <f t="shared" si="74"/>
        <v>33</v>
      </c>
      <c r="AR2130" s="5">
        <f>VLOOKUP(F2130,'[1]Cost Sheet'!$C:$D,2,0)</f>
        <v>63.22</v>
      </c>
      <c r="AS2130" s="5">
        <f t="shared" si="75"/>
        <v>2086.2599999999998</v>
      </c>
    </row>
    <row r="2131" spans="1:45" x14ac:dyDescent="0.3">
      <c r="A2131" s="1">
        <v>45900.965277777781</v>
      </c>
      <c r="B2131" t="s">
        <v>1499</v>
      </c>
      <c r="C2131" t="s">
        <v>1500</v>
      </c>
      <c r="D2131" t="s">
        <v>1029</v>
      </c>
      <c r="E2131" t="s">
        <v>1029</v>
      </c>
      <c r="F2131" t="s">
        <v>1964</v>
      </c>
      <c r="G2131" t="s">
        <v>1030</v>
      </c>
      <c r="H2131" t="s">
        <v>635</v>
      </c>
      <c r="I2131" t="s">
        <v>43</v>
      </c>
      <c r="N2131">
        <v>13</v>
      </c>
      <c r="O2131">
        <v>0</v>
      </c>
      <c r="P2131">
        <v>0</v>
      </c>
      <c r="Q2131" t="s">
        <v>44</v>
      </c>
      <c r="R2131" t="s">
        <v>44</v>
      </c>
      <c r="S2131" t="s">
        <v>44</v>
      </c>
      <c r="T2131" t="s">
        <v>44</v>
      </c>
      <c r="U2131" t="s">
        <v>44</v>
      </c>
      <c r="V2131">
        <v>13</v>
      </c>
      <c r="W2131" t="s">
        <v>44</v>
      </c>
      <c r="X2131" t="s">
        <v>44</v>
      </c>
      <c r="Y2131">
        <v>13</v>
      </c>
      <c r="Z2131" t="s">
        <v>44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13</v>
      </c>
      <c r="AQ2131">
        <f t="shared" si="74"/>
        <v>13</v>
      </c>
      <c r="AR2131" s="5">
        <f>VLOOKUP(F2131,'[1]Cost Sheet'!$C:$D,2,0)</f>
        <v>53.64</v>
      </c>
      <c r="AS2131" s="5">
        <f t="shared" si="75"/>
        <v>697.32</v>
      </c>
    </row>
    <row r="2132" spans="1:45" x14ac:dyDescent="0.3">
      <c r="A2132" s="1">
        <v>45900.965277777781</v>
      </c>
      <c r="B2132" t="s">
        <v>1499</v>
      </c>
      <c r="C2132" t="s">
        <v>1500</v>
      </c>
      <c r="D2132" t="s">
        <v>680</v>
      </c>
      <c r="E2132" t="s">
        <v>680</v>
      </c>
      <c r="F2132" t="s">
        <v>1793</v>
      </c>
      <c r="G2132" t="s">
        <v>681</v>
      </c>
      <c r="H2132" t="s">
        <v>635</v>
      </c>
      <c r="I2132" t="s">
        <v>43</v>
      </c>
      <c r="N2132">
        <v>85</v>
      </c>
      <c r="O2132">
        <v>5</v>
      </c>
      <c r="P2132">
        <v>0</v>
      </c>
      <c r="Q2132" t="s">
        <v>44</v>
      </c>
      <c r="R2132" t="s">
        <v>44</v>
      </c>
      <c r="S2132" t="s">
        <v>44</v>
      </c>
      <c r="T2132" t="s">
        <v>44</v>
      </c>
      <c r="U2132" t="s">
        <v>44</v>
      </c>
      <c r="V2132">
        <v>2</v>
      </c>
      <c r="W2132" t="s">
        <v>44</v>
      </c>
      <c r="X2132" t="s">
        <v>44</v>
      </c>
      <c r="Y2132">
        <v>2</v>
      </c>
      <c r="Z2132" t="s">
        <v>44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7</v>
      </c>
      <c r="AQ2132">
        <f t="shared" si="74"/>
        <v>7</v>
      </c>
      <c r="AR2132" s="5">
        <f>VLOOKUP(F2132,'[1]Cost Sheet'!$C:$D,2,0)</f>
        <v>68.577500000000001</v>
      </c>
      <c r="AS2132" s="5">
        <f t="shared" si="75"/>
        <v>480.04250000000002</v>
      </c>
    </row>
    <row r="2133" spans="1:45" x14ac:dyDescent="0.3">
      <c r="A2133" s="1">
        <v>45900.965277777781</v>
      </c>
      <c r="B2133" t="s">
        <v>1499</v>
      </c>
      <c r="C2133" t="s">
        <v>1500</v>
      </c>
      <c r="D2133" t="s">
        <v>1031</v>
      </c>
      <c r="E2133" t="s">
        <v>1031</v>
      </c>
      <c r="F2133" t="s">
        <v>1965</v>
      </c>
      <c r="G2133" t="s">
        <v>1032</v>
      </c>
      <c r="H2133" t="s">
        <v>635</v>
      </c>
      <c r="I2133" t="s">
        <v>43</v>
      </c>
      <c r="N2133">
        <v>85</v>
      </c>
      <c r="O2133">
        <v>4</v>
      </c>
      <c r="P2133">
        <v>0</v>
      </c>
      <c r="Q2133" t="s">
        <v>44</v>
      </c>
      <c r="R2133" t="s">
        <v>44</v>
      </c>
      <c r="S2133" t="s">
        <v>44</v>
      </c>
      <c r="T2133" t="s">
        <v>44</v>
      </c>
      <c r="U2133" t="s">
        <v>44</v>
      </c>
      <c r="V2133">
        <v>34</v>
      </c>
      <c r="W2133" t="s">
        <v>44</v>
      </c>
      <c r="X2133" t="s">
        <v>44</v>
      </c>
      <c r="Y2133">
        <v>34</v>
      </c>
      <c r="Z2133" t="s">
        <v>44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38</v>
      </c>
      <c r="AQ2133">
        <f t="shared" si="74"/>
        <v>38</v>
      </c>
      <c r="AR2133" s="5">
        <f>VLOOKUP(F2133,'[1]Cost Sheet'!$C:$D,2,0)</f>
        <v>64.540000000000006</v>
      </c>
      <c r="AS2133" s="5">
        <f t="shared" si="75"/>
        <v>2452.5200000000004</v>
      </c>
    </row>
    <row r="2134" spans="1:45" x14ac:dyDescent="0.3">
      <c r="A2134" s="1">
        <v>45900.965277777781</v>
      </c>
      <c r="B2134" t="s">
        <v>1499</v>
      </c>
      <c r="C2134" t="s">
        <v>1500</v>
      </c>
      <c r="D2134" t="s">
        <v>1035</v>
      </c>
      <c r="E2134" t="s">
        <v>1035</v>
      </c>
      <c r="F2134" t="s">
        <v>1967</v>
      </c>
      <c r="G2134" t="s">
        <v>1036</v>
      </c>
      <c r="H2134" t="s">
        <v>635</v>
      </c>
      <c r="I2134" t="s">
        <v>43</v>
      </c>
      <c r="N2134">
        <v>39</v>
      </c>
      <c r="O2134">
        <v>4</v>
      </c>
      <c r="P2134">
        <v>0</v>
      </c>
      <c r="Q2134" t="s">
        <v>44</v>
      </c>
      <c r="R2134" t="s">
        <v>44</v>
      </c>
      <c r="S2134" t="s">
        <v>44</v>
      </c>
      <c r="T2134" t="s">
        <v>44</v>
      </c>
      <c r="U2134" t="s">
        <v>44</v>
      </c>
      <c r="V2134">
        <v>12</v>
      </c>
      <c r="W2134" t="s">
        <v>44</v>
      </c>
      <c r="X2134" t="s">
        <v>44</v>
      </c>
      <c r="Y2134">
        <v>12</v>
      </c>
      <c r="Z2134" t="s">
        <v>44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16</v>
      </c>
      <c r="AQ2134">
        <f t="shared" si="74"/>
        <v>16</v>
      </c>
      <c r="AR2134" s="5">
        <f>VLOOKUP(F2134,'[1]Cost Sheet'!$C:$D,2,0)</f>
        <v>114.81</v>
      </c>
      <c r="AS2134" s="5">
        <f t="shared" si="75"/>
        <v>1836.96</v>
      </c>
    </row>
    <row r="2135" spans="1:45" x14ac:dyDescent="0.3">
      <c r="A2135" s="1">
        <v>45900.965277777781</v>
      </c>
      <c r="B2135" t="s">
        <v>1499</v>
      </c>
      <c r="C2135" t="s">
        <v>1500</v>
      </c>
      <c r="D2135" t="s">
        <v>1039</v>
      </c>
      <c r="E2135" t="s">
        <v>1039</v>
      </c>
      <c r="F2135" t="s">
        <v>1969</v>
      </c>
      <c r="G2135" t="s">
        <v>1040</v>
      </c>
      <c r="H2135" t="s">
        <v>635</v>
      </c>
      <c r="I2135" t="s">
        <v>43</v>
      </c>
      <c r="N2135">
        <v>54</v>
      </c>
      <c r="O2135">
        <v>4</v>
      </c>
      <c r="P2135">
        <v>0</v>
      </c>
      <c r="Q2135" t="s">
        <v>44</v>
      </c>
      <c r="R2135" t="s">
        <v>44</v>
      </c>
      <c r="S2135" t="s">
        <v>44</v>
      </c>
      <c r="T2135" t="s">
        <v>44</v>
      </c>
      <c r="U2135" t="s">
        <v>44</v>
      </c>
      <c r="V2135">
        <v>19</v>
      </c>
      <c r="W2135" t="s">
        <v>44</v>
      </c>
      <c r="X2135" t="s">
        <v>44</v>
      </c>
      <c r="Y2135">
        <v>19</v>
      </c>
      <c r="Z2135" t="s">
        <v>44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23</v>
      </c>
      <c r="AQ2135">
        <f t="shared" si="74"/>
        <v>23</v>
      </c>
      <c r="AR2135" s="5">
        <f>VLOOKUP(F2135,'[1]Cost Sheet'!$C:$D,2,0)</f>
        <v>114.80999999999999</v>
      </c>
      <c r="AS2135" s="5">
        <f t="shared" si="75"/>
        <v>2640.6299999999997</v>
      </c>
    </row>
    <row r="2136" spans="1:45" x14ac:dyDescent="0.3">
      <c r="A2136" s="1">
        <v>45900.965277777781</v>
      </c>
      <c r="B2136" t="s">
        <v>1499</v>
      </c>
      <c r="C2136" t="s">
        <v>1500</v>
      </c>
      <c r="D2136" t="s">
        <v>1045</v>
      </c>
      <c r="E2136" t="s">
        <v>1045</v>
      </c>
      <c r="F2136" t="s">
        <v>1972</v>
      </c>
      <c r="G2136" t="s">
        <v>1046</v>
      </c>
      <c r="H2136" t="s">
        <v>635</v>
      </c>
      <c r="I2136" t="s">
        <v>43</v>
      </c>
      <c r="N2136">
        <v>28</v>
      </c>
      <c r="O2136">
        <v>4</v>
      </c>
      <c r="P2136">
        <v>0</v>
      </c>
      <c r="Q2136" t="s">
        <v>44</v>
      </c>
      <c r="R2136" t="s">
        <v>44</v>
      </c>
      <c r="S2136" t="s">
        <v>44</v>
      </c>
      <c r="T2136" t="s">
        <v>44</v>
      </c>
      <c r="U2136" t="s">
        <v>44</v>
      </c>
      <c r="V2136">
        <v>0</v>
      </c>
      <c r="W2136" t="s">
        <v>44</v>
      </c>
      <c r="X2136" t="s">
        <v>44</v>
      </c>
      <c r="Y2136" t="s">
        <v>44</v>
      </c>
      <c r="Z2136" t="s">
        <v>44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4</v>
      </c>
      <c r="AQ2136">
        <f t="shared" si="74"/>
        <v>4</v>
      </c>
      <c r="AR2136" s="5">
        <f>VLOOKUP(F2136,'[1]Cost Sheet'!$C:$D,2,0)</f>
        <v>114.81</v>
      </c>
      <c r="AS2136" s="5">
        <f t="shared" si="75"/>
        <v>459.24</v>
      </c>
    </row>
    <row r="2137" spans="1:45" x14ac:dyDescent="0.3">
      <c r="A2137" s="1">
        <v>45900.965277777781</v>
      </c>
      <c r="B2137" t="s">
        <v>1499</v>
      </c>
      <c r="C2137" t="s">
        <v>1500</v>
      </c>
      <c r="D2137" t="s">
        <v>684</v>
      </c>
      <c r="E2137" t="s">
        <v>684</v>
      </c>
      <c r="F2137" t="s">
        <v>1795</v>
      </c>
      <c r="G2137" t="s">
        <v>685</v>
      </c>
      <c r="H2137" t="s">
        <v>635</v>
      </c>
      <c r="I2137" t="s">
        <v>43</v>
      </c>
      <c r="N2137">
        <v>74</v>
      </c>
      <c r="O2137">
        <v>5</v>
      </c>
      <c r="P2137">
        <v>0</v>
      </c>
      <c r="Q2137" t="s">
        <v>44</v>
      </c>
      <c r="R2137" t="s">
        <v>44</v>
      </c>
      <c r="S2137" t="s">
        <v>44</v>
      </c>
      <c r="T2137" t="s">
        <v>44</v>
      </c>
      <c r="U2137" t="s">
        <v>44</v>
      </c>
      <c r="V2137">
        <v>18</v>
      </c>
      <c r="W2137" t="s">
        <v>44</v>
      </c>
      <c r="X2137" t="s">
        <v>44</v>
      </c>
      <c r="Y2137">
        <v>18</v>
      </c>
      <c r="Z2137" t="s">
        <v>44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23</v>
      </c>
      <c r="AQ2137">
        <f t="shared" si="74"/>
        <v>23</v>
      </c>
      <c r="AR2137" s="5">
        <f>VLOOKUP(F2137,'[1]Cost Sheet'!$C:$D,2,0)</f>
        <v>83.14</v>
      </c>
      <c r="AS2137" s="5">
        <f t="shared" si="75"/>
        <v>1912.22</v>
      </c>
    </row>
    <row r="2138" spans="1:45" x14ac:dyDescent="0.3">
      <c r="A2138" s="1">
        <v>45900.965277777781</v>
      </c>
      <c r="B2138" t="s">
        <v>1499</v>
      </c>
      <c r="C2138" t="s">
        <v>1500</v>
      </c>
      <c r="D2138" t="s">
        <v>1053</v>
      </c>
      <c r="E2138" t="s">
        <v>1053</v>
      </c>
      <c r="F2138" t="s">
        <v>1976</v>
      </c>
      <c r="G2138" t="s">
        <v>1054</v>
      </c>
      <c r="H2138" t="s">
        <v>635</v>
      </c>
      <c r="I2138" t="s">
        <v>43</v>
      </c>
      <c r="N2138">
        <v>59</v>
      </c>
      <c r="O2138">
        <v>5</v>
      </c>
      <c r="P2138">
        <v>0</v>
      </c>
      <c r="Q2138" t="s">
        <v>44</v>
      </c>
      <c r="R2138" t="s">
        <v>44</v>
      </c>
      <c r="S2138" t="s">
        <v>44</v>
      </c>
      <c r="T2138" t="s">
        <v>44</v>
      </c>
      <c r="U2138" t="s">
        <v>44</v>
      </c>
      <c r="V2138">
        <v>0</v>
      </c>
      <c r="W2138" t="s">
        <v>44</v>
      </c>
      <c r="X2138" t="s">
        <v>44</v>
      </c>
      <c r="Y2138" t="s">
        <v>44</v>
      </c>
      <c r="Z2138" t="s">
        <v>44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5</v>
      </c>
      <c r="AQ2138">
        <f t="shared" si="74"/>
        <v>5</v>
      </c>
      <c r="AR2138" s="5">
        <f>VLOOKUP(F2138,'[1]Cost Sheet'!$C:$D,2,0)</f>
        <v>61.98</v>
      </c>
      <c r="AS2138" s="5">
        <f t="shared" si="75"/>
        <v>309.89999999999998</v>
      </c>
    </row>
    <row r="2139" spans="1:45" x14ac:dyDescent="0.3">
      <c r="A2139" s="1">
        <v>45900.965277777781</v>
      </c>
      <c r="B2139" t="s">
        <v>1499</v>
      </c>
      <c r="C2139" t="s">
        <v>1500</v>
      </c>
      <c r="D2139" t="s">
        <v>1073</v>
      </c>
      <c r="E2139" t="s">
        <v>1073</v>
      </c>
      <c r="F2139" t="s">
        <v>1986</v>
      </c>
      <c r="G2139" t="s">
        <v>1074</v>
      </c>
      <c r="H2139" t="s">
        <v>635</v>
      </c>
      <c r="I2139" t="s">
        <v>43</v>
      </c>
      <c r="N2139">
        <v>56</v>
      </c>
      <c r="O2139">
        <v>0</v>
      </c>
      <c r="P2139">
        <v>0</v>
      </c>
      <c r="Q2139" t="s">
        <v>44</v>
      </c>
      <c r="R2139" t="s">
        <v>44</v>
      </c>
      <c r="S2139" t="s">
        <v>44</v>
      </c>
      <c r="T2139" t="s">
        <v>44</v>
      </c>
      <c r="U2139" t="s">
        <v>44</v>
      </c>
      <c r="V2139">
        <v>39</v>
      </c>
      <c r="W2139" t="s">
        <v>44</v>
      </c>
      <c r="X2139" t="s">
        <v>44</v>
      </c>
      <c r="Y2139">
        <v>39</v>
      </c>
      <c r="Z2139" t="s">
        <v>44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39</v>
      </c>
      <c r="AQ2139">
        <f t="shared" si="74"/>
        <v>39</v>
      </c>
      <c r="AR2139" s="5">
        <f>VLOOKUP(F2139,'[1]Cost Sheet'!$C:$D,2,0)</f>
        <v>79.679999999999993</v>
      </c>
      <c r="AS2139" s="5">
        <f t="shared" si="75"/>
        <v>3107.5199999999995</v>
      </c>
    </row>
    <row r="2140" spans="1:45" x14ac:dyDescent="0.3">
      <c r="A2140" s="1">
        <v>45900.965277777781</v>
      </c>
      <c r="B2140" t="s">
        <v>1499</v>
      </c>
      <c r="C2140" t="s">
        <v>1500</v>
      </c>
      <c r="D2140" t="s">
        <v>1075</v>
      </c>
      <c r="E2140" t="s">
        <v>1075</v>
      </c>
      <c r="F2140" t="s">
        <v>1987</v>
      </c>
      <c r="G2140" t="s">
        <v>1076</v>
      </c>
      <c r="H2140" t="s">
        <v>635</v>
      </c>
      <c r="I2140" t="s">
        <v>43</v>
      </c>
      <c r="N2140">
        <v>9</v>
      </c>
      <c r="O2140">
        <v>0</v>
      </c>
      <c r="P2140">
        <v>0</v>
      </c>
      <c r="Q2140" t="s">
        <v>44</v>
      </c>
      <c r="R2140" t="s">
        <v>44</v>
      </c>
      <c r="S2140" t="s">
        <v>44</v>
      </c>
      <c r="T2140" t="s">
        <v>44</v>
      </c>
      <c r="U2140" t="s">
        <v>44</v>
      </c>
      <c r="V2140">
        <v>9</v>
      </c>
      <c r="W2140" t="s">
        <v>44</v>
      </c>
      <c r="X2140" t="s">
        <v>44</v>
      </c>
      <c r="Y2140">
        <v>9</v>
      </c>
      <c r="Z2140" t="s">
        <v>44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9</v>
      </c>
      <c r="AQ2140">
        <f t="shared" ref="AQ2140:AQ2201" si="76">O2140+P2140+V2140+AA2140</f>
        <v>9</v>
      </c>
      <c r="AR2140" s="5">
        <f>VLOOKUP(F2140,'[1]Cost Sheet'!$C:$D,2,0)</f>
        <v>87.9</v>
      </c>
      <c r="AS2140" s="5">
        <f t="shared" si="75"/>
        <v>791.1</v>
      </c>
    </row>
    <row r="2141" spans="1:45" x14ac:dyDescent="0.3">
      <c r="A2141" s="1">
        <v>45900.965277777781</v>
      </c>
      <c r="B2141" t="s">
        <v>1499</v>
      </c>
      <c r="C2141" t="s">
        <v>1500</v>
      </c>
      <c r="D2141" t="s">
        <v>1077</v>
      </c>
      <c r="E2141" t="s">
        <v>1077</v>
      </c>
      <c r="F2141" t="s">
        <v>1988</v>
      </c>
      <c r="G2141" t="s">
        <v>1078</v>
      </c>
      <c r="H2141" t="s">
        <v>635</v>
      </c>
      <c r="I2141" t="s">
        <v>43</v>
      </c>
      <c r="N2141">
        <v>38</v>
      </c>
      <c r="O2141">
        <v>0</v>
      </c>
      <c r="P2141">
        <v>0</v>
      </c>
      <c r="Q2141" t="s">
        <v>44</v>
      </c>
      <c r="R2141" t="s">
        <v>44</v>
      </c>
      <c r="S2141" t="s">
        <v>44</v>
      </c>
      <c r="T2141" t="s">
        <v>44</v>
      </c>
      <c r="U2141" t="s">
        <v>44</v>
      </c>
      <c r="V2141">
        <v>38</v>
      </c>
      <c r="W2141" t="s">
        <v>44</v>
      </c>
      <c r="X2141" t="s">
        <v>44</v>
      </c>
      <c r="Y2141">
        <v>38</v>
      </c>
      <c r="Z2141" t="s">
        <v>44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38</v>
      </c>
      <c r="AQ2141">
        <f t="shared" si="76"/>
        <v>38</v>
      </c>
      <c r="AR2141" s="5">
        <f>VLOOKUP(F2141,'[1]Cost Sheet'!$C:$D,2,0)</f>
        <v>87.9</v>
      </c>
      <c r="AS2141" s="5">
        <f t="shared" si="75"/>
        <v>3340.2000000000003</v>
      </c>
    </row>
    <row r="2142" spans="1:45" x14ac:dyDescent="0.3">
      <c r="A2142" s="1">
        <v>45900.965277777781</v>
      </c>
      <c r="B2142" t="s">
        <v>1499</v>
      </c>
      <c r="C2142" t="s">
        <v>1500</v>
      </c>
      <c r="D2142" t="s">
        <v>1079</v>
      </c>
      <c r="E2142" t="s">
        <v>1079</v>
      </c>
      <c r="F2142" t="s">
        <v>1989</v>
      </c>
      <c r="G2142" t="s">
        <v>1080</v>
      </c>
      <c r="H2142" t="s">
        <v>635</v>
      </c>
      <c r="I2142" t="s">
        <v>43</v>
      </c>
      <c r="N2142">
        <v>45</v>
      </c>
      <c r="O2142">
        <v>0</v>
      </c>
      <c r="P2142">
        <v>0</v>
      </c>
      <c r="Q2142" t="s">
        <v>44</v>
      </c>
      <c r="R2142" t="s">
        <v>44</v>
      </c>
      <c r="S2142" t="s">
        <v>44</v>
      </c>
      <c r="T2142" t="s">
        <v>44</v>
      </c>
      <c r="U2142" t="s">
        <v>44</v>
      </c>
      <c r="V2142">
        <v>45</v>
      </c>
      <c r="W2142" t="s">
        <v>44</v>
      </c>
      <c r="X2142" t="s">
        <v>44</v>
      </c>
      <c r="Y2142">
        <v>45</v>
      </c>
      <c r="Z2142" t="s">
        <v>44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45</v>
      </c>
      <c r="AQ2142">
        <f t="shared" si="76"/>
        <v>45</v>
      </c>
      <c r="AR2142" s="5">
        <f>VLOOKUP(F2142,'[1]Cost Sheet'!$C:$D,2,0)</f>
        <v>87.899999999999991</v>
      </c>
      <c r="AS2142" s="5">
        <f t="shared" si="75"/>
        <v>3955.4999999999995</v>
      </c>
    </row>
    <row r="2143" spans="1:45" x14ac:dyDescent="0.3">
      <c r="A2143" s="1">
        <v>45900.965277777781</v>
      </c>
      <c r="B2143" t="s">
        <v>1499</v>
      </c>
      <c r="C2143" t="s">
        <v>1500</v>
      </c>
      <c r="D2143" t="s">
        <v>1083</v>
      </c>
      <c r="E2143" t="s">
        <v>1083</v>
      </c>
      <c r="F2143" t="s">
        <v>1991</v>
      </c>
      <c r="G2143" t="s">
        <v>1084</v>
      </c>
      <c r="H2143" t="s">
        <v>635</v>
      </c>
      <c r="I2143" t="s">
        <v>43</v>
      </c>
      <c r="N2143">
        <v>7</v>
      </c>
      <c r="O2143">
        <v>0</v>
      </c>
      <c r="P2143">
        <v>0</v>
      </c>
      <c r="Q2143" t="s">
        <v>44</v>
      </c>
      <c r="R2143" t="s">
        <v>44</v>
      </c>
      <c r="S2143" t="s">
        <v>44</v>
      </c>
      <c r="T2143" t="s">
        <v>44</v>
      </c>
      <c r="U2143" t="s">
        <v>44</v>
      </c>
      <c r="V2143">
        <v>7</v>
      </c>
      <c r="W2143" t="s">
        <v>44</v>
      </c>
      <c r="X2143" t="s">
        <v>44</v>
      </c>
      <c r="Y2143">
        <v>7</v>
      </c>
      <c r="Z2143" t="s">
        <v>44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7</v>
      </c>
      <c r="AQ2143">
        <f t="shared" si="76"/>
        <v>7</v>
      </c>
      <c r="AR2143" s="5">
        <f>VLOOKUP(F2143,'[1]Cost Sheet'!$C:$D,2,0)</f>
        <v>94.559999999999988</v>
      </c>
      <c r="AS2143" s="5">
        <f t="shared" si="75"/>
        <v>661.92</v>
      </c>
    </row>
    <row r="2144" spans="1:45" x14ac:dyDescent="0.3">
      <c r="A2144" s="1">
        <v>45900.965277777781</v>
      </c>
      <c r="B2144" t="s">
        <v>1499</v>
      </c>
      <c r="C2144" t="s">
        <v>1500</v>
      </c>
      <c r="D2144" t="s">
        <v>1085</v>
      </c>
      <c r="E2144" t="s">
        <v>1085</v>
      </c>
      <c r="F2144" t="s">
        <v>1992</v>
      </c>
      <c r="G2144" t="s">
        <v>1086</v>
      </c>
      <c r="H2144" t="s">
        <v>635</v>
      </c>
      <c r="I2144" t="s">
        <v>43</v>
      </c>
      <c r="N2144">
        <v>34</v>
      </c>
      <c r="O2144">
        <v>2</v>
      </c>
      <c r="P2144">
        <v>0</v>
      </c>
      <c r="Q2144" t="s">
        <v>44</v>
      </c>
      <c r="R2144" t="s">
        <v>44</v>
      </c>
      <c r="S2144" t="s">
        <v>44</v>
      </c>
      <c r="T2144">
        <v>3</v>
      </c>
      <c r="U2144" t="s">
        <v>44</v>
      </c>
      <c r="V2144">
        <v>0</v>
      </c>
      <c r="W2144" t="s">
        <v>44</v>
      </c>
      <c r="X2144" t="s">
        <v>44</v>
      </c>
      <c r="Y2144" t="s">
        <v>44</v>
      </c>
      <c r="Z2144" t="s">
        <v>44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2</v>
      </c>
      <c r="AQ2144">
        <f t="shared" si="76"/>
        <v>2</v>
      </c>
      <c r="AR2144" s="5">
        <f>VLOOKUP(F2144,'[1]Cost Sheet'!$C:$D,2,0)</f>
        <v>83.794500000000028</v>
      </c>
      <c r="AS2144" s="5">
        <f t="shared" si="75"/>
        <v>167.58900000000006</v>
      </c>
    </row>
    <row r="2145" spans="1:45" x14ac:dyDescent="0.3">
      <c r="A2145" s="1">
        <v>45900.965277777781</v>
      </c>
      <c r="B2145" t="s">
        <v>1499</v>
      </c>
      <c r="C2145" t="s">
        <v>1500</v>
      </c>
      <c r="D2145" t="s">
        <v>1087</v>
      </c>
      <c r="E2145" t="s">
        <v>1087</v>
      </c>
      <c r="F2145" t="s">
        <v>1993</v>
      </c>
      <c r="G2145" t="s">
        <v>1088</v>
      </c>
      <c r="H2145" t="s">
        <v>635</v>
      </c>
      <c r="I2145" t="s">
        <v>43</v>
      </c>
      <c r="N2145">
        <v>42</v>
      </c>
      <c r="O2145">
        <v>2</v>
      </c>
      <c r="P2145">
        <v>0</v>
      </c>
      <c r="Q2145" t="s">
        <v>44</v>
      </c>
      <c r="R2145" t="s">
        <v>44</v>
      </c>
      <c r="S2145" t="s">
        <v>44</v>
      </c>
      <c r="T2145" t="s">
        <v>44</v>
      </c>
      <c r="U2145" t="s">
        <v>44</v>
      </c>
      <c r="V2145">
        <v>0</v>
      </c>
      <c r="W2145" t="s">
        <v>44</v>
      </c>
      <c r="X2145" t="s">
        <v>44</v>
      </c>
      <c r="Y2145" t="s">
        <v>44</v>
      </c>
      <c r="Z2145" t="s">
        <v>44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2</v>
      </c>
      <c r="AQ2145">
        <f t="shared" si="76"/>
        <v>2</v>
      </c>
      <c r="AR2145" s="5">
        <f>VLOOKUP(F2145,'[1]Cost Sheet'!$C:$D,2,0)</f>
        <v>45.74</v>
      </c>
      <c r="AS2145" s="5">
        <f t="shared" si="75"/>
        <v>91.48</v>
      </c>
    </row>
    <row r="2146" spans="1:45" x14ac:dyDescent="0.3">
      <c r="A2146" s="1">
        <v>45900.965277777781</v>
      </c>
      <c r="B2146" t="s">
        <v>1499</v>
      </c>
      <c r="C2146" t="s">
        <v>1500</v>
      </c>
      <c r="D2146" t="s">
        <v>1385</v>
      </c>
      <c r="E2146" t="s">
        <v>1385</v>
      </c>
      <c r="F2146" t="s">
        <v>2139</v>
      </c>
      <c r="G2146" t="s">
        <v>1386</v>
      </c>
      <c r="H2146" t="s">
        <v>635</v>
      </c>
      <c r="I2146" t="s">
        <v>43</v>
      </c>
      <c r="N2146">
        <v>53</v>
      </c>
      <c r="O2146">
        <v>0</v>
      </c>
      <c r="P2146">
        <v>0</v>
      </c>
      <c r="Q2146" t="s">
        <v>44</v>
      </c>
      <c r="R2146" t="s">
        <v>44</v>
      </c>
      <c r="S2146" t="s">
        <v>44</v>
      </c>
      <c r="T2146" t="s">
        <v>44</v>
      </c>
      <c r="U2146" t="s">
        <v>44</v>
      </c>
      <c r="V2146">
        <v>53</v>
      </c>
      <c r="W2146" t="s">
        <v>44</v>
      </c>
      <c r="X2146" t="s">
        <v>44</v>
      </c>
      <c r="Y2146">
        <v>53</v>
      </c>
      <c r="Z2146" t="s">
        <v>44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53</v>
      </c>
      <c r="AQ2146">
        <f t="shared" si="76"/>
        <v>53</v>
      </c>
      <c r="AR2146" s="5">
        <f>VLOOKUP(F2146,'[1]Cost Sheet'!$C:$D,2,0)</f>
        <v>150.74</v>
      </c>
      <c r="AS2146" s="5">
        <f t="shared" si="75"/>
        <v>7989.22</v>
      </c>
    </row>
    <row r="2147" spans="1:45" x14ac:dyDescent="0.3">
      <c r="A2147" s="1">
        <v>45900.965277777781</v>
      </c>
      <c r="B2147" t="s">
        <v>1499</v>
      </c>
      <c r="C2147" t="s">
        <v>1500</v>
      </c>
      <c r="D2147" t="s">
        <v>1091</v>
      </c>
      <c r="E2147" t="s">
        <v>1091</v>
      </c>
      <c r="F2147" t="s">
        <v>1995</v>
      </c>
      <c r="G2147" t="s">
        <v>1092</v>
      </c>
      <c r="H2147" t="s">
        <v>635</v>
      </c>
      <c r="I2147" t="s">
        <v>43</v>
      </c>
      <c r="N2147">
        <v>11</v>
      </c>
      <c r="O2147">
        <v>4</v>
      </c>
      <c r="P2147">
        <v>0</v>
      </c>
      <c r="Q2147" t="s">
        <v>44</v>
      </c>
      <c r="R2147" t="s">
        <v>44</v>
      </c>
      <c r="S2147" t="s">
        <v>44</v>
      </c>
      <c r="T2147" t="s">
        <v>44</v>
      </c>
      <c r="U2147" t="s">
        <v>44</v>
      </c>
      <c r="V2147">
        <v>0</v>
      </c>
      <c r="W2147" t="s">
        <v>44</v>
      </c>
      <c r="X2147" t="s">
        <v>44</v>
      </c>
      <c r="Y2147" t="s">
        <v>44</v>
      </c>
      <c r="Z2147" t="s">
        <v>44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4</v>
      </c>
      <c r="AQ2147">
        <f t="shared" si="76"/>
        <v>4</v>
      </c>
      <c r="AR2147" s="5">
        <f>VLOOKUP(F2147,'[1]Cost Sheet'!$C:$D,2,0)</f>
        <v>61.75</v>
      </c>
      <c r="AS2147" s="5">
        <f t="shared" si="75"/>
        <v>247</v>
      </c>
    </row>
    <row r="2148" spans="1:45" x14ac:dyDescent="0.3">
      <c r="A2148" s="1">
        <v>45900.965277777781</v>
      </c>
      <c r="B2148" t="s">
        <v>1499</v>
      </c>
      <c r="C2148" t="s">
        <v>1500</v>
      </c>
      <c r="D2148" t="s">
        <v>1387</v>
      </c>
      <c r="E2148" t="s">
        <v>1387</v>
      </c>
      <c r="F2148" t="s">
        <v>2140</v>
      </c>
      <c r="G2148" t="s">
        <v>1388</v>
      </c>
      <c r="H2148" t="s">
        <v>635</v>
      </c>
      <c r="I2148" t="s">
        <v>43</v>
      </c>
      <c r="N2148">
        <v>55</v>
      </c>
      <c r="O2148">
        <v>2</v>
      </c>
      <c r="P2148">
        <v>0</v>
      </c>
      <c r="Q2148" t="s">
        <v>44</v>
      </c>
      <c r="R2148" t="s">
        <v>44</v>
      </c>
      <c r="S2148" t="s">
        <v>44</v>
      </c>
      <c r="T2148" t="s">
        <v>44</v>
      </c>
      <c r="U2148" t="s">
        <v>44</v>
      </c>
      <c r="V2148">
        <v>0</v>
      </c>
      <c r="W2148" t="s">
        <v>44</v>
      </c>
      <c r="X2148" t="s">
        <v>44</v>
      </c>
      <c r="Y2148" t="s">
        <v>44</v>
      </c>
      <c r="Z2148" t="s">
        <v>44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2</v>
      </c>
      <c r="AQ2148">
        <f t="shared" si="76"/>
        <v>2</v>
      </c>
      <c r="AR2148" s="5">
        <f>VLOOKUP(F2148,'[1]Cost Sheet'!$C:$D,2,0)</f>
        <v>61.06</v>
      </c>
      <c r="AS2148" s="5">
        <f t="shared" si="75"/>
        <v>122.12</v>
      </c>
    </row>
    <row r="2149" spans="1:45" x14ac:dyDescent="0.3">
      <c r="A2149" s="1">
        <v>45900.965277777781</v>
      </c>
      <c r="B2149" t="s">
        <v>1499</v>
      </c>
      <c r="C2149" t="s">
        <v>1500</v>
      </c>
      <c r="D2149" t="s">
        <v>1095</v>
      </c>
      <c r="E2149" t="s">
        <v>1095</v>
      </c>
      <c r="F2149" t="s">
        <v>1997</v>
      </c>
      <c r="G2149" t="s">
        <v>1096</v>
      </c>
      <c r="H2149" t="s">
        <v>635</v>
      </c>
      <c r="I2149" t="s">
        <v>43</v>
      </c>
      <c r="N2149">
        <v>33</v>
      </c>
      <c r="O2149">
        <v>1</v>
      </c>
      <c r="P2149">
        <v>0</v>
      </c>
      <c r="Q2149" t="s">
        <v>44</v>
      </c>
      <c r="R2149" t="s">
        <v>44</v>
      </c>
      <c r="S2149" t="s">
        <v>44</v>
      </c>
      <c r="T2149" t="s">
        <v>44</v>
      </c>
      <c r="U2149" t="s">
        <v>44</v>
      </c>
      <c r="V2149">
        <v>0</v>
      </c>
      <c r="W2149" t="s">
        <v>44</v>
      </c>
      <c r="X2149" t="s">
        <v>44</v>
      </c>
      <c r="Y2149" t="s">
        <v>44</v>
      </c>
      <c r="Z2149" t="s">
        <v>44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f t="shared" si="76"/>
        <v>1</v>
      </c>
      <c r="AR2149" s="5">
        <f>VLOOKUP(F2149,'[1]Cost Sheet'!$C:$D,2,0)</f>
        <v>50.06</v>
      </c>
      <c r="AS2149" s="5">
        <f t="shared" si="75"/>
        <v>50.06</v>
      </c>
    </row>
    <row r="2150" spans="1:45" x14ac:dyDescent="0.3">
      <c r="A2150" s="1">
        <v>45900.965277777781</v>
      </c>
      <c r="B2150" t="s">
        <v>1499</v>
      </c>
      <c r="C2150" t="s">
        <v>1500</v>
      </c>
      <c r="D2150" t="s">
        <v>1097</v>
      </c>
      <c r="E2150" t="s">
        <v>1097</v>
      </c>
      <c r="F2150" t="s">
        <v>1998</v>
      </c>
      <c r="G2150" t="s">
        <v>1098</v>
      </c>
      <c r="H2150" t="s">
        <v>635</v>
      </c>
      <c r="I2150" t="s">
        <v>43</v>
      </c>
      <c r="N2150">
        <v>7</v>
      </c>
      <c r="O2150">
        <v>0</v>
      </c>
      <c r="P2150">
        <v>0</v>
      </c>
      <c r="Q2150" t="s">
        <v>44</v>
      </c>
      <c r="R2150" t="s">
        <v>44</v>
      </c>
      <c r="S2150" t="s">
        <v>44</v>
      </c>
      <c r="T2150" t="s">
        <v>44</v>
      </c>
      <c r="U2150" t="s">
        <v>44</v>
      </c>
      <c r="V2150">
        <v>7</v>
      </c>
      <c r="W2150" t="s">
        <v>44</v>
      </c>
      <c r="X2150" t="s">
        <v>44</v>
      </c>
      <c r="Y2150">
        <v>7</v>
      </c>
      <c r="Z2150" t="s">
        <v>44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7</v>
      </c>
      <c r="AQ2150">
        <f t="shared" si="76"/>
        <v>7</v>
      </c>
      <c r="AR2150" s="5">
        <f>VLOOKUP(F2150,'[1]Cost Sheet'!$C:$D,2,0)</f>
        <v>90.48</v>
      </c>
      <c r="AS2150" s="5">
        <f t="shared" si="75"/>
        <v>633.36</v>
      </c>
    </row>
    <row r="2151" spans="1:45" x14ac:dyDescent="0.3">
      <c r="A2151" s="1">
        <v>45900.965277777781</v>
      </c>
      <c r="B2151" t="s">
        <v>1499</v>
      </c>
      <c r="C2151" t="s">
        <v>1500</v>
      </c>
      <c r="D2151" t="s">
        <v>692</v>
      </c>
      <c r="E2151" t="s">
        <v>692</v>
      </c>
      <c r="F2151" t="s">
        <v>1799</v>
      </c>
      <c r="G2151" t="s">
        <v>693</v>
      </c>
      <c r="H2151" t="s">
        <v>635</v>
      </c>
      <c r="I2151" t="s">
        <v>43</v>
      </c>
      <c r="J2151">
        <v>120</v>
      </c>
      <c r="K2151">
        <v>19</v>
      </c>
      <c r="L2151">
        <v>10</v>
      </c>
      <c r="M2151">
        <v>11</v>
      </c>
      <c r="N2151">
        <v>61</v>
      </c>
      <c r="O2151">
        <v>2</v>
      </c>
      <c r="P2151">
        <v>0</v>
      </c>
      <c r="Q2151" t="s">
        <v>44</v>
      </c>
      <c r="R2151" t="s">
        <v>44</v>
      </c>
      <c r="S2151" t="s">
        <v>44</v>
      </c>
      <c r="T2151">
        <v>3</v>
      </c>
      <c r="U2151" t="s">
        <v>44</v>
      </c>
      <c r="V2151">
        <v>4</v>
      </c>
      <c r="W2151" t="s">
        <v>44</v>
      </c>
      <c r="X2151" t="s">
        <v>44</v>
      </c>
      <c r="Y2151">
        <v>4</v>
      </c>
      <c r="Z2151" t="s">
        <v>44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6</v>
      </c>
      <c r="AQ2151">
        <f t="shared" si="76"/>
        <v>6</v>
      </c>
      <c r="AR2151" s="5">
        <f>VLOOKUP(F2151,'[1]Cost Sheet'!$C:$D,2,0)</f>
        <v>231.99</v>
      </c>
      <c r="AS2151" s="5">
        <f t="shared" si="75"/>
        <v>1391.94</v>
      </c>
    </row>
    <row r="2152" spans="1:45" x14ac:dyDescent="0.3">
      <c r="A2152" s="1">
        <v>45900.965277777781</v>
      </c>
      <c r="B2152" t="s">
        <v>1499</v>
      </c>
      <c r="C2152" t="s">
        <v>1500</v>
      </c>
      <c r="D2152" t="s">
        <v>1103</v>
      </c>
      <c r="E2152" t="s">
        <v>1103</v>
      </c>
      <c r="F2152" t="s">
        <v>2001</v>
      </c>
      <c r="G2152" t="s">
        <v>1104</v>
      </c>
      <c r="H2152" t="s">
        <v>635</v>
      </c>
      <c r="I2152" t="s">
        <v>43</v>
      </c>
      <c r="J2152">
        <v>25</v>
      </c>
      <c r="K2152">
        <v>19</v>
      </c>
      <c r="L2152">
        <v>10</v>
      </c>
      <c r="M2152">
        <v>11</v>
      </c>
      <c r="N2152">
        <v>64</v>
      </c>
      <c r="O2152">
        <v>2</v>
      </c>
      <c r="P2152">
        <v>0</v>
      </c>
      <c r="Q2152" t="s">
        <v>44</v>
      </c>
      <c r="R2152" t="s">
        <v>44</v>
      </c>
      <c r="S2152" t="s">
        <v>44</v>
      </c>
      <c r="T2152">
        <v>5</v>
      </c>
      <c r="U2152" t="s">
        <v>44</v>
      </c>
      <c r="V2152">
        <v>0</v>
      </c>
      <c r="W2152" t="s">
        <v>44</v>
      </c>
      <c r="X2152" t="s">
        <v>44</v>
      </c>
      <c r="Y2152" t="s">
        <v>44</v>
      </c>
      <c r="Z2152" t="s">
        <v>44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2</v>
      </c>
      <c r="AQ2152">
        <f t="shared" si="76"/>
        <v>2</v>
      </c>
      <c r="AR2152" s="5">
        <f>VLOOKUP(F2152,'[1]Cost Sheet'!$C:$D,2,0)</f>
        <v>76.260909090909081</v>
      </c>
      <c r="AS2152" s="5">
        <f t="shared" si="75"/>
        <v>152.52181818181816</v>
      </c>
    </row>
    <row r="2153" spans="1:45" x14ac:dyDescent="0.3">
      <c r="A2153" s="1">
        <v>45900.965277777781</v>
      </c>
      <c r="B2153" t="s">
        <v>1499</v>
      </c>
      <c r="C2153" t="s">
        <v>1500</v>
      </c>
      <c r="D2153" t="s">
        <v>1396</v>
      </c>
      <c r="E2153" t="s">
        <v>1396</v>
      </c>
      <c r="F2153" t="s">
        <v>2144</v>
      </c>
      <c r="G2153" t="s">
        <v>1397</v>
      </c>
      <c r="H2153" t="s">
        <v>635</v>
      </c>
      <c r="I2153" t="s">
        <v>43</v>
      </c>
      <c r="J2153">
        <v>35</v>
      </c>
      <c r="K2153">
        <v>19</v>
      </c>
      <c r="L2153">
        <v>10</v>
      </c>
      <c r="M2153">
        <v>11</v>
      </c>
      <c r="N2153">
        <v>66</v>
      </c>
      <c r="O2153">
        <v>2</v>
      </c>
      <c r="P2153">
        <v>0</v>
      </c>
      <c r="Q2153" t="s">
        <v>44</v>
      </c>
      <c r="R2153" t="s">
        <v>44</v>
      </c>
      <c r="S2153" t="s">
        <v>44</v>
      </c>
      <c r="T2153">
        <v>3</v>
      </c>
      <c r="U2153" t="s">
        <v>44</v>
      </c>
      <c r="V2153">
        <v>0</v>
      </c>
      <c r="W2153" t="s">
        <v>44</v>
      </c>
      <c r="X2153" t="s">
        <v>44</v>
      </c>
      <c r="Y2153" t="s">
        <v>44</v>
      </c>
      <c r="Z2153" t="s">
        <v>44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2</v>
      </c>
      <c r="AQ2153">
        <f t="shared" si="76"/>
        <v>2</v>
      </c>
      <c r="AR2153" s="5">
        <f>VLOOKUP(F2153,'[1]Cost Sheet'!$C:$D,2,0)</f>
        <v>71.819000000000003</v>
      </c>
      <c r="AS2153" s="5">
        <f t="shared" si="75"/>
        <v>143.63800000000001</v>
      </c>
    </row>
    <row r="2154" spans="1:45" x14ac:dyDescent="0.3">
      <c r="A2154" s="1">
        <v>45900.965277777781</v>
      </c>
      <c r="B2154" t="s">
        <v>1499</v>
      </c>
      <c r="C2154" t="s">
        <v>1500</v>
      </c>
      <c r="D2154" t="s">
        <v>1115</v>
      </c>
      <c r="E2154" t="s">
        <v>1115</v>
      </c>
      <c r="F2154" t="s">
        <v>2007</v>
      </c>
      <c r="G2154" t="s">
        <v>1116</v>
      </c>
      <c r="H2154" t="s">
        <v>635</v>
      </c>
      <c r="I2154" t="s">
        <v>43</v>
      </c>
      <c r="J2154">
        <v>100</v>
      </c>
      <c r="K2154">
        <v>19</v>
      </c>
      <c r="L2154">
        <v>10</v>
      </c>
      <c r="M2154">
        <v>11</v>
      </c>
      <c r="N2154">
        <v>28</v>
      </c>
      <c r="O2154">
        <v>0</v>
      </c>
      <c r="P2154">
        <v>0</v>
      </c>
      <c r="Q2154" t="s">
        <v>44</v>
      </c>
      <c r="R2154" t="s">
        <v>44</v>
      </c>
      <c r="S2154" t="s">
        <v>44</v>
      </c>
      <c r="T2154" t="s">
        <v>44</v>
      </c>
      <c r="U2154" t="s">
        <v>44</v>
      </c>
      <c r="V2154">
        <v>16</v>
      </c>
      <c r="W2154" t="s">
        <v>44</v>
      </c>
      <c r="X2154" t="s">
        <v>44</v>
      </c>
      <c r="Y2154">
        <v>16</v>
      </c>
      <c r="Z2154" t="s">
        <v>44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16</v>
      </c>
      <c r="AQ2154">
        <f t="shared" si="76"/>
        <v>16</v>
      </c>
      <c r="AR2154" s="5">
        <f>VLOOKUP(F2154,'[1]Cost Sheet'!$C:$D,2,0)</f>
        <v>86.699999999999989</v>
      </c>
      <c r="AS2154" s="5">
        <f t="shared" si="75"/>
        <v>1387.1999999999998</v>
      </c>
    </row>
    <row r="2155" spans="1:45" x14ac:dyDescent="0.3">
      <c r="A2155" s="1">
        <v>45900.965277777781</v>
      </c>
      <c r="B2155" t="s">
        <v>1499</v>
      </c>
      <c r="C2155" t="s">
        <v>1500</v>
      </c>
      <c r="D2155" t="s">
        <v>1117</v>
      </c>
      <c r="E2155" t="s">
        <v>1117</v>
      </c>
      <c r="F2155" t="s">
        <v>2008</v>
      </c>
      <c r="G2155" t="s">
        <v>1118</v>
      </c>
      <c r="H2155" t="s">
        <v>635</v>
      </c>
      <c r="I2155" t="s">
        <v>43</v>
      </c>
      <c r="J2155">
        <v>100</v>
      </c>
      <c r="K2155">
        <v>19</v>
      </c>
      <c r="L2155">
        <v>10</v>
      </c>
      <c r="M2155">
        <v>11</v>
      </c>
      <c r="N2155">
        <v>32</v>
      </c>
      <c r="O2155">
        <v>0</v>
      </c>
      <c r="P2155">
        <v>0</v>
      </c>
      <c r="Q2155" t="s">
        <v>44</v>
      </c>
      <c r="R2155" t="s">
        <v>44</v>
      </c>
      <c r="S2155" t="s">
        <v>44</v>
      </c>
      <c r="T2155" t="s">
        <v>44</v>
      </c>
      <c r="U2155" t="s">
        <v>44</v>
      </c>
      <c r="V2155">
        <v>20</v>
      </c>
      <c r="W2155" t="s">
        <v>44</v>
      </c>
      <c r="X2155" t="s">
        <v>44</v>
      </c>
      <c r="Y2155">
        <v>20</v>
      </c>
      <c r="Z2155" t="s">
        <v>44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20</v>
      </c>
      <c r="AQ2155">
        <f t="shared" si="76"/>
        <v>20</v>
      </c>
      <c r="AR2155" s="5">
        <f>VLOOKUP(F2155,'[1]Cost Sheet'!$C:$D,2,0)</f>
        <v>86.7</v>
      </c>
      <c r="AS2155" s="5">
        <f t="shared" si="75"/>
        <v>1734</v>
      </c>
    </row>
    <row r="2156" spans="1:45" x14ac:dyDescent="0.3">
      <c r="A2156" s="1">
        <v>45900.965277777781</v>
      </c>
      <c r="B2156" t="s">
        <v>1499</v>
      </c>
      <c r="C2156" t="s">
        <v>1500</v>
      </c>
      <c r="D2156" t="s">
        <v>1119</v>
      </c>
      <c r="E2156" t="s">
        <v>1119</v>
      </c>
      <c r="F2156" t="s">
        <v>2009</v>
      </c>
      <c r="G2156" t="s">
        <v>1120</v>
      </c>
      <c r="H2156" t="s">
        <v>635</v>
      </c>
      <c r="I2156" t="s">
        <v>43</v>
      </c>
      <c r="J2156">
        <v>100</v>
      </c>
      <c r="K2156">
        <v>19</v>
      </c>
      <c r="L2156">
        <v>10</v>
      </c>
      <c r="M2156">
        <v>11</v>
      </c>
      <c r="N2156">
        <v>25</v>
      </c>
      <c r="O2156">
        <v>0</v>
      </c>
      <c r="P2156">
        <v>0</v>
      </c>
      <c r="Q2156" t="s">
        <v>44</v>
      </c>
      <c r="R2156" t="s">
        <v>44</v>
      </c>
      <c r="S2156" t="s">
        <v>44</v>
      </c>
      <c r="T2156" t="s">
        <v>44</v>
      </c>
      <c r="U2156" t="s">
        <v>44</v>
      </c>
      <c r="V2156">
        <v>13</v>
      </c>
      <c r="W2156" t="s">
        <v>44</v>
      </c>
      <c r="X2156" t="s">
        <v>44</v>
      </c>
      <c r="Y2156">
        <v>13</v>
      </c>
      <c r="Z2156" t="s">
        <v>44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13</v>
      </c>
      <c r="AQ2156">
        <f t="shared" si="76"/>
        <v>13</v>
      </c>
      <c r="AR2156" s="5">
        <f>VLOOKUP(F2156,'[1]Cost Sheet'!$C:$D,2,0)</f>
        <v>86.7</v>
      </c>
      <c r="AS2156" s="5">
        <f t="shared" si="75"/>
        <v>1127.1000000000001</v>
      </c>
    </row>
    <row r="2157" spans="1:45" x14ac:dyDescent="0.3">
      <c r="A2157" s="1">
        <v>45900.965277777781</v>
      </c>
      <c r="B2157" t="s">
        <v>1499</v>
      </c>
      <c r="C2157" t="s">
        <v>1500</v>
      </c>
      <c r="D2157" t="s">
        <v>702</v>
      </c>
      <c r="E2157" t="s">
        <v>702</v>
      </c>
      <c r="F2157" t="s">
        <v>1804</v>
      </c>
      <c r="G2157" t="s">
        <v>703</v>
      </c>
      <c r="H2157" t="s">
        <v>635</v>
      </c>
      <c r="I2157" t="s">
        <v>43</v>
      </c>
      <c r="J2157">
        <v>100</v>
      </c>
      <c r="K2157">
        <v>19</v>
      </c>
      <c r="L2157">
        <v>10</v>
      </c>
      <c r="M2157">
        <v>11</v>
      </c>
      <c r="N2157">
        <v>38</v>
      </c>
      <c r="O2157">
        <v>2</v>
      </c>
      <c r="P2157">
        <v>0</v>
      </c>
      <c r="Q2157" t="s">
        <v>44</v>
      </c>
      <c r="R2157" t="s">
        <v>44</v>
      </c>
      <c r="S2157" t="s">
        <v>44</v>
      </c>
      <c r="T2157" t="s">
        <v>44</v>
      </c>
      <c r="U2157" t="s">
        <v>44</v>
      </c>
      <c r="V2157">
        <v>26</v>
      </c>
      <c r="W2157" t="s">
        <v>44</v>
      </c>
      <c r="X2157" t="s">
        <v>44</v>
      </c>
      <c r="Y2157">
        <v>26</v>
      </c>
      <c r="Z2157" t="s">
        <v>44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28</v>
      </c>
      <c r="AQ2157">
        <f t="shared" si="76"/>
        <v>28</v>
      </c>
      <c r="AR2157" s="5">
        <f>VLOOKUP(F2157,'[1]Cost Sheet'!$C:$D,2,0)</f>
        <v>120.58</v>
      </c>
      <c r="AS2157" s="5">
        <f t="shared" si="75"/>
        <v>3376.24</v>
      </c>
    </row>
    <row r="2158" spans="1:45" x14ac:dyDescent="0.3">
      <c r="A2158" s="1">
        <v>45900.965277777781</v>
      </c>
      <c r="B2158" t="s">
        <v>1499</v>
      </c>
      <c r="C2158" t="s">
        <v>1500</v>
      </c>
      <c r="D2158" t="s">
        <v>704</v>
      </c>
      <c r="E2158" t="s">
        <v>704</v>
      </c>
      <c r="F2158" t="s">
        <v>1805</v>
      </c>
      <c r="G2158" t="s">
        <v>705</v>
      </c>
      <c r="H2158" t="s">
        <v>635</v>
      </c>
      <c r="I2158" t="s">
        <v>43</v>
      </c>
      <c r="J2158">
        <v>100</v>
      </c>
      <c r="K2158">
        <v>19</v>
      </c>
      <c r="L2158">
        <v>10</v>
      </c>
      <c r="M2158">
        <v>11</v>
      </c>
      <c r="N2158">
        <v>27</v>
      </c>
      <c r="O2158">
        <v>0</v>
      </c>
      <c r="P2158">
        <v>0</v>
      </c>
      <c r="Q2158" t="s">
        <v>44</v>
      </c>
      <c r="R2158" t="s">
        <v>44</v>
      </c>
      <c r="S2158" t="s">
        <v>44</v>
      </c>
      <c r="T2158" t="s">
        <v>44</v>
      </c>
      <c r="U2158" t="s">
        <v>44</v>
      </c>
      <c r="V2158">
        <v>4</v>
      </c>
      <c r="W2158" t="s">
        <v>44</v>
      </c>
      <c r="X2158" t="s">
        <v>44</v>
      </c>
      <c r="Y2158">
        <v>4</v>
      </c>
      <c r="Z2158" t="s">
        <v>44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4</v>
      </c>
      <c r="AQ2158">
        <f t="shared" si="76"/>
        <v>4</v>
      </c>
      <c r="AR2158" s="5">
        <f>VLOOKUP(F2158,'[1]Cost Sheet'!$C:$D,2,0)</f>
        <v>79.066666666666677</v>
      </c>
      <c r="AS2158" s="5">
        <f t="shared" si="75"/>
        <v>316.26666666666671</v>
      </c>
    </row>
    <row r="2159" spans="1:45" x14ac:dyDescent="0.3">
      <c r="A2159" s="1">
        <v>45900.965277777781</v>
      </c>
      <c r="B2159" t="s">
        <v>1499</v>
      </c>
      <c r="C2159" t="s">
        <v>1500</v>
      </c>
      <c r="D2159" t="s">
        <v>706</v>
      </c>
      <c r="E2159" t="s">
        <v>706</v>
      </c>
      <c r="F2159" t="s">
        <v>1806</v>
      </c>
      <c r="G2159" t="s">
        <v>707</v>
      </c>
      <c r="H2159" t="s">
        <v>635</v>
      </c>
      <c r="I2159" t="s">
        <v>43</v>
      </c>
      <c r="J2159">
        <v>100</v>
      </c>
      <c r="K2159">
        <v>19</v>
      </c>
      <c r="L2159">
        <v>10</v>
      </c>
      <c r="M2159">
        <v>11</v>
      </c>
      <c r="N2159">
        <v>64</v>
      </c>
      <c r="O2159">
        <v>0</v>
      </c>
      <c r="P2159">
        <v>0</v>
      </c>
      <c r="Q2159" t="s">
        <v>44</v>
      </c>
      <c r="R2159" t="s">
        <v>44</v>
      </c>
      <c r="S2159" t="s">
        <v>44</v>
      </c>
      <c r="T2159" t="s">
        <v>44</v>
      </c>
      <c r="U2159" t="s">
        <v>44</v>
      </c>
      <c r="V2159">
        <v>32</v>
      </c>
      <c r="W2159" t="s">
        <v>44</v>
      </c>
      <c r="X2159" t="s">
        <v>44</v>
      </c>
      <c r="Y2159">
        <v>32</v>
      </c>
      <c r="Z2159" t="s">
        <v>44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32</v>
      </c>
      <c r="AQ2159">
        <f t="shared" si="76"/>
        <v>32</v>
      </c>
      <c r="AR2159" s="5">
        <f>VLOOKUP(F2159,'[1]Cost Sheet'!$C:$D,2,0)</f>
        <v>79.680000000000007</v>
      </c>
      <c r="AS2159" s="5">
        <f t="shared" si="75"/>
        <v>2549.7600000000002</v>
      </c>
    </row>
    <row r="2160" spans="1:45" x14ac:dyDescent="0.3">
      <c r="A2160" s="1">
        <v>45900.965277777781</v>
      </c>
      <c r="B2160" t="s">
        <v>1499</v>
      </c>
      <c r="C2160" t="s">
        <v>1500</v>
      </c>
      <c r="D2160" t="s">
        <v>1121</v>
      </c>
      <c r="E2160" t="s">
        <v>1121</v>
      </c>
      <c r="F2160" t="s">
        <v>2010</v>
      </c>
      <c r="G2160" t="s">
        <v>1122</v>
      </c>
      <c r="H2160" t="s">
        <v>635</v>
      </c>
      <c r="I2160" t="s">
        <v>43</v>
      </c>
      <c r="J2160">
        <v>100</v>
      </c>
      <c r="K2160">
        <v>19</v>
      </c>
      <c r="L2160">
        <v>10</v>
      </c>
      <c r="M2160">
        <v>11</v>
      </c>
      <c r="N2160">
        <v>33</v>
      </c>
      <c r="O2160">
        <v>0</v>
      </c>
      <c r="P2160">
        <v>0</v>
      </c>
      <c r="Q2160" t="s">
        <v>44</v>
      </c>
      <c r="R2160" t="s">
        <v>44</v>
      </c>
      <c r="S2160" t="s">
        <v>44</v>
      </c>
      <c r="T2160" t="s">
        <v>44</v>
      </c>
      <c r="U2160" t="s">
        <v>44</v>
      </c>
      <c r="V2160">
        <v>17</v>
      </c>
      <c r="W2160" t="s">
        <v>44</v>
      </c>
      <c r="X2160" t="s">
        <v>44</v>
      </c>
      <c r="Y2160">
        <v>17</v>
      </c>
      <c r="Z2160" t="s">
        <v>44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17</v>
      </c>
      <c r="AQ2160">
        <f t="shared" si="76"/>
        <v>17</v>
      </c>
      <c r="AR2160" s="5">
        <f>VLOOKUP(F2160,'[1]Cost Sheet'!$C:$D,2,0)</f>
        <v>79.680000000000007</v>
      </c>
      <c r="AS2160" s="5">
        <f t="shared" si="75"/>
        <v>1354.5600000000002</v>
      </c>
    </row>
    <row r="2161" spans="1:45" x14ac:dyDescent="0.3">
      <c r="A2161" s="1">
        <v>45900.965277777781</v>
      </c>
      <c r="B2161" t="s">
        <v>1499</v>
      </c>
      <c r="C2161" t="s">
        <v>1500</v>
      </c>
      <c r="D2161" t="s">
        <v>1125</v>
      </c>
      <c r="E2161" t="s">
        <v>1125</v>
      </c>
      <c r="F2161" t="s">
        <v>2012</v>
      </c>
      <c r="G2161" t="s">
        <v>1126</v>
      </c>
      <c r="H2161" t="s">
        <v>635</v>
      </c>
      <c r="I2161" t="s">
        <v>43</v>
      </c>
      <c r="J2161">
        <v>100</v>
      </c>
      <c r="K2161">
        <v>19</v>
      </c>
      <c r="L2161">
        <v>10</v>
      </c>
      <c r="M2161">
        <v>11</v>
      </c>
      <c r="N2161">
        <v>47</v>
      </c>
      <c r="O2161">
        <v>0</v>
      </c>
      <c r="P2161">
        <v>0</v>
      </c>
      <c r="Q2161" t="s">
        <v>44</v>
      </c>
      <c r="R2161" t="s">
        <v>44</v>
      </c>
      <c r="S2161" t="s">
        <v>44</v>
      </c>
      <c r="T2161" t="s">
        <v>44</v>
      </c>
      <c r="U2161" t="s">
        <v>44</v>
      </c>
      <c r="V2161">
        <v>20</v>
      </c>
      <c r="W2161" t="s">
        <v>44</v>
      </c>
      <c r="X2161" t="s">
        <v>44</v>
      </c>
      <c r="Y2161">
        <v>20</v>
      </c>
      <c r="Z2161" t="s">
        <v>44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20</v>
      </c>
      <c r="AQ2161">
        <f t="shared" si="76"/>
        <v>20</v>
      </c>
      <c r="AR2161" s="5">
        <f>VLOOKUP(F2161,'[1]Cost Sheet'!$C:$D,2,0)</f>
        <v>79.680000000000007</v>
      </c>
      <c r="AS2161" s="5">
        <f t="shared" si="75"/>
        <v>1593.6000000000001</v>
      </c>
    </row>
    <row r="2162" spans="1:45" x14ac:dyDescent="0.3">
      <c r="A2162" s="1">
        <v>45900.965277777781</v>
      </c>
      <c r="B2162" t="s">
        <v>1499</v>
      </c>
      <c r="C2162" t="s">
        <v>1500</v>
      </c>
      <c r="D2162" t="s">
        <v>1127</v>
      </c>
      <c r="E2162" t="s">
        <v>1127</v>
      </c>
      <c r="F2162" t="s">
        <v>2013</v>
      </c>
      <c r="G2162" t="s">
        <v>1128</v>
      </c>
      <c r="H2162" t="s">
        <v>635</v>
      </c>
      <c r="I2162" t="s">
        <v>43</v>
      </c>
      <c r="J2162">
        <v>100</v>
      </c>
      <c r="K2162">
        <v>19</v>
      </c>
      <c r="L2162">
        <v>10</v>
      </c>
      <c r="M2162">
        <v>11</v>
      </c>
      <c r="N2162">
        <v>27</v>
      </c>
      <c r="O2162">
        <v>0</v>
      </c>
      <c r="P2162">
        <v>0</v>
      </c>
      <c r="Q2162" t="s">
        <v>44</v>
      </c>
      <c r="R2162" t="s">
        <v>44</v>
      </c>
      <c r="S2162" t="s">
        <v>44</v>
      </c>
      <c r="T2162" t="s">
        <v>44</v>
      </c>
      <c r="U2162" t="s">
        <v>44</v>
      </c>
      <c r="V2162">
        <v>11</v>
      </c>
      <c r="W2162" t="s">
        <v>44</v>
      </c>
      <c r="X2162" t="s">
        <v>44</v>
      </c>
      <c r="Y2162">
        <v>11</v>
      </c>
      <c r="Z2162" t="s">
        <v>44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11</v>
      </c>
      <c r="AQ2162">
        <f t="shared" si="76"/>
        <v>11</v>
      </c>
      <c r="AR2162" s="5">
        <f>VLOOKUP(F2162,'[1]Cost Sheet'!$C:$D,2,0)</f>
        <v>79.680000000000007</v>
      </c>
      <c r="AS2162" s="5">
        <f t="shared" si="75"/>
        <v>876.48</v>
      </c>
    </row>
    <row r="2163" spans="1:45" x14ac:dyDescent="0.3">
      <c r="A2163" s="1">
        <v>45900.965277777781</v>
      </c>
      <c r="B2163" t="s">
        <v>1499</v>
      </c>
      <c r="C2163" t="s">
        <v>1500</v>
      </c>
      <c r="D2163" t="s">
        <v>1129</v>
      </c>
      <c r="E2163" t="s">
        <v>1129</v>
      </c>
      <c r="F2163" t="s">
        <v>2014</v>
      </c>
      <c r="G2163" t="s">
        <v>1130</v>
      </c>
      <c r="H2163" t="s">
        <v>635</v>
      </c>
      <c r="I2163" t="s">
        <v>43</v>
      </c>
      <c r="J2163">
        <v>100</v>
      </c>
      <c r="K2163">
        <v>19</v>
      </c>
      <c r="L2163">
        <v>10</v>
      </c>
      <c r="M2163">
        <v>11</v>
      </c>
      <c r="N2163">
        <v>43</v>
      </c>
      <c r="O2163">
        <v>0</v>
      </c>
      <c r="P2163">
        <v>0</v>
      </c>
      <c r="Q2163" t="s">
        <v>44</v>
      </c>
      <c r="R2163" t="s">
        <v>44</v>
      </c>
      <c r="S2163" t="s">
        <v>44</v>
      </c>
      <c r="T2163" t="s">
        <v>44</v>
      </c>
      <c r="U2163" t="s">
        <v>44</v>
      </c>
      <c r="V2163">
        <v>15</v>
      </c>
      <c r="W2163" t="s">
        <v>44</v>
      </c>
      <c r="X2163" t="s">
        <v>44</v>
      </c>
      <c r="Y2163">
        <v>15</v>
      </c>
      <c r="Z2163" t="s">
        <v>44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15</v>
      </c>
      <c r="AQ2163">
        <f t="shared" si="76"/>
        <v>15</v>
      </c>
      <c r="AR2163" s="5">
        <f>VLOOKUP(F2163,'[1]Cost Sheet'!$C:$D,2,0)</f>
        <v>79.680000000000007</v>
      </c>
      <c r="AS2163" s="5">
        <f t="shared" si="75"/>
        <v>1195.2</v>
      </c>
    </row>
    <row r="2164" spans="1:45" x14ac:dyDescent="0.3">
      <c r="A2164" s="1">
        <v>45900.965277777781</v>
      </c>
      <c r="B2164" t="s">
        <v>1499</v>
      </c>
      <c r="C2164" t="s">
        <v>1500</v>
      </c>
      <c r="D2164" t="s">
        <v>714</v>
      </c>
      <c r="E2164" t="s">
        <v>714</v>
      </c>
      <c r="F2164" t="s">
        <v>1810</v>
      </c>
      <c r="G2164" t="s">
        <v>715</v>
      </c>
      <c r="H2164" t="s">
        <v>635</v>
      </c>
      <c r="I2164" t="s">
        <v>43</v>
      </c>
      <c r="J2164">
        <v>100</v>
      </c>
      <c r="K2164">
        <v>19</v>
      </c>
      <c r="L2164">
        <v>10</v>
      </c>
      <c r="M2164">
        <v>11</v>
      </c>
      <c r="N2164">
        <v>23</v>
      </c>
      <c r="O2164">
        <v>0</v>
      </c>
      <c r="P2164">
        <v>0</v>
      </c>
      <c r="Q2164" t="s">
        <v>44</v>
      </c>
      <c r="R2164" t="s">
        <v>44</v>
      </c>
      <c r="S2164" t="s">
        <v>44</v>
      </c>
      <c r="T2164" t="s">
        <v>44</v>
      </c>
      <c r="U2164" t="s">
        <v>44</v>
      </c>
      <c r="V2164">
        <v>1</v>
      </c>
      <c r="W2164" t="s">
        <v>44</v>
      </c>
      <c r="X2164" t="s">
        <v>44</v>
      </c>
      <c r="Y2164">
        <v>1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1</v>
      </c>
      <c r="AQ2164">
        <f t="shared" si="76"/>
        <v>1</v>
      </c>
      <c r="AR2164" s="5">
        <f>VLOOKUP(F2164,'[1]Cost Sheet'!$C:$D,2,0)</f>
        <v>79.680000000000007</v>
      </c>
      <c r="AS2164" s="5">
        <f t="shared" si="75"/>
        <v>79.680000000000007</v>
      </c>
    </row>
    <row r="2165" spans="1:45" x14ac:dyDescent="0.3">
      <c r="A2165" s="1">
        <v>45900.965277777781</v>
      </c>
      <c r="B2165" t="s">
        <v>1499</v>
      </c>
      <c r="C2165" t="s">
        <v>1500</v>
      </c>
      <c r="D2165" t="s">
        <v>1133</v>
      </c>
      <c r="E2165" t="s">
        <v>1133</v>
      </c>
      <c r="F2165" t="s">
        <v>2016</v>
      </c>
      <c r="G2165" t="s">
        <v>1134</v>
      </c>
      <c r="H2165" t="s">
        <v>635</v>
      </c>
      <c r="I2165" t="s">
        <v>43</v>
      </c>
      <c r="J2165">
        <v>100</v>
      </c>
      <c r="K2165">
        <v>19</v>
      </c>
      <c r="L2165">
        <v>10</v>
      </c>
      <c r="M2165">
        <v>11</v>
      </c>
      <c r="N2165">
        <v>21</v>
      </c>
      <c r="O2165">
        <v>2</v>
      </c>
      <c r="P2165">
        <v>0</v>
      </c>
      <c r="Q2165" t="s">
        <v>44</v>
      </c>
      <c r="R2165" t="s">
        <v>44</v>
      </c>
      <c r="S2165" t="s">
        <v>44</v>
      </c>
      <c r="T2165" t="s">
        <v>44</v>
      </c>
      <c r="U2165" t="s">
        <v>44</v>
      </c>
      <c r="V2165">
        <v>4</v>
      </c>
      <c r="W2165" t="s">
        <v>44</v>
      </c>
      <c r="X2165" t="s">
        <v>44</v>
      </c>
      <c r="Y2165">
        <v>4</v>
      </c>
      <c r="Z2165" t="s">
        <v>44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6</v>
      </c>
      <c r="AQ2165">
        <f t="shared" si="76"/>
        <v>6</v>
      </c>
      <c r="AR2165" s="5">
        <f>VLOOKUP(F2165,'[1]Cost Sheet'!$C:$D,2,0)</f>
        <v>168.55</v>
      </c>
      <c r="AS2165" s="5">
        <f t="shared" si="75"/>
        <v>1011.3000000000001</v>
      </c>
    </row>
    <row r="2166" spans="1:45" x14ac:dyDescent="0.3">
      <c r="A2166" s="1">
        <v>45900.965277777781</v>
      </c>
      <c r="B2166" t="s">
        <v>1499</v>
      </c>
      <c r="C2166" t="s">
        <v>1500</v>
      </c>
      <c r="D2166" t="s">
        <v>1135</v>
      </c>
      <c r="E2166" t="s">
        <v>1135</v>
      </c>
      <c r="F2166" t="s">
        <v>2017</v>
      </c>
      <c r="G2166" t="s">
        <v>1136</v>
      </c>
      <c r="H2166" t="s">
        <v>635</v>
      </c>
      <c r="I2166" t="s">
        <v>43</v>
      </c>
      <c r="J2166">
        <v>100</v>
      </c>
      <c r="K2166">
        <v>19</v>
      </c>
      <c r="L2166">
        <v>10</v>
      </c>
      <c r="M2166">
        <v>11</v>
      </c>
      <c r="N2166">
        <v>28</v>
      </c>
      <c r="O2166">
        <v>0</v>
      </c>
      <c r="P2166">
        <v>0</v>
      </c>
      <c r="Q2166" t="s">
        <v>44</v>
      </c>
      <c r="R2166" t="s">
        <v>44</v>
      </c>
      <c r="S2166" t="s">
        <v>44</v>
      </c>
      <c r="T2166" t="s">
        <v>44</v>
      </c>
      <c r="U2166" t="s">
        <v>44</v>
      </c>
      <c r="V2166">
        <v>15</v>
      </c>
      <c r="W2166" t="s">
        <v>44</v>
      </c>
      <c r="X2166" t="s">
        <v>44</v>
      </c>
      <c r="Y2166">
        <v>15</v>
      </c>
      <c r="Z2166" t="s">
        <v>44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15</v>
      </c>
      <c r="AQ2166">
        <f t="shared" si="76"/>
        <v>15</v>
      </c>
      <c r="AR2166" s="5">
        <f>VLOOKUP(F2166,'[1]Cost Sheet'!$C:$D,2,0)</f>
        <v>168.55</v>
      </c>
      <c r="AS2166" s="5">
        <f t="shared" si="75"/>
        <v>2528.25</v>
      </c>
    </row>
    <row r="2167" spans="1:45" x14ac:dyDescent="0.3">
      <c r="A2167" s="1">
        <v>45900.965277777781</v>
      </c>
      <c r="B2167" t="s">
        <v>1499</v>
      </c>
      <c r="C2167" t="s">
        <v>1500</v>
      </c>
      <c r="D2167" t="s">
        <v>1137</v>
      </c>
      <c r="E2167" t="s">
        <v>1137</v>
      </c>
      <c r="F2167" t="s">
        <v>2018</v>
      </c>
      <c r="G2167" t="s">
        <v>1138</v>
      </c>
      <c r="H2167" t="s">
        <v>635</v>
      </c>
      <c r="I2167" t="s">
        <v>43</v>
      </c>
      <c r="J2167">
        <v>100</v>
      </c>
      <c r="K2167">
        <v>19</v>
      </c>
      <c r="L2167">
        <v>10</v>
      </c>
      <c r="M2167">
        <v>11</v>
      </c>
      <c r="N2167">
        <v>47</v>
      </c>
      <c r="O2167">
        <v>0</v>
      </c>
      <c r="P2167">
        <v>0</v>
      </c>
      <c r="Q2167" t="s">
        <v>44</v>
      </c>
      <c r="R2167" t="s">
        <v>44</v>
      </c>
      <c r="S2167" t="s">
        <v>44</v>
      </c>
      <c r="T2167" t="s">
        <v>44</v>
      </c>
      <c r="U2167" t="s">
        <v>44</v>
      </c>
      <c r="V2167">
        <v>43</v>
      </c>
      <c r="W2167" t="s">
        <v>44</v>
      </c>
      <c r="X2167" t="s">
        <v>44</v>
      </c>
      <c r="Y2167">
        <v>43</v>
      </c>
      <c r="Z2167" t="s">
        <v>44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43</v>
      </c>
      <c r="AQ2167">
        <f t="shared" si="76"/>
        <v>43</v>
      </c>
      <c r="AR2167" s="5">
        <f>VLOOKUP(F2167,'[1]Cost Sheet'!$C:$D,2,0)</f>
        <v>73.05</v>
      </c>
      <c r="AS2167" s="5">
        <f t="shared" si="75"/>
        <v>3141.15</v>
      </c>
    </row>
    <row r="2168" spans="1:45" x14ac:dyDescent="0.3">
      <c r="A2168" s="1">
        <v>45900.965277777781</v>
      </c>
      <c r="B2168" t="s">
        <v>1499</v>
      </c>
      <c r="C2168" t="s">
        <v>1500</v>
      </c>
      <c r="D2168" t="s">
        <v>1139</v>
      </c>
      <c r="E2168" t="s">
        <v>1139</v>
      </c>
      <c r="F2168" t="s">
        <v>2019</v>
      </c>
      <c r="G2168" t="s">
        <v>1140</v>
      </c>
      <c r="H2168" t="s">
        <v>635</v>
      </c>
      <c r="I2168" t="s">
        <v>43</v>
      </c>
      <c r="J2168">
        <v>100</v>
      </c>
      <c r="K2168">
        <v>19</v>
      </c>
      <c r="L2168">
        <v>10</v>
      </c>
      <c r="M2168">
        <v>11</v>
      </c>
      <c r="N2168">
        <v>33</v>
      </c>
      <c r="O2168">
        <v>0</v>
      </c>
      <c r="P2168">
        <v>0</v>
      </c>
      <c r="Q2168" t="s">
        <v>44</v>
      </c>
      <c r="R2168" t="s">
        <v>44</v>
      </c>
      <c r="S2168" t="s">
        <v>44</v>
      </c>
      <c r="T2168" t="s">
        <v>44</v>
      </c>
      <c r="U2168" t="s">
        <v>44</v>
      </c>
      <c r="V2168">
        <v>29</v>
      </c>
      <c r="W2168" t="s">
        <v>44</v>
      </c>
      <c r="X2168" t="s">
        <v>44</v>
      </c>
      <c r="Y2168">
        <v>29</v>
      </c>
      <c r="Z2168" t="s">
        <v>44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29</v>
      </c>
      <c r="AQ2168">
        <f t="shared" si="76"/>
        <v>29</v>
      </c>
      <c r="AR2168" s="5">
        <f>VLOOKUP(F2168,'[1]Cost Sheet'!$C:$D,2,0)</f>
        <v>73.05</v>
      </c>
      <c r="AS2168" s="5">
        <f t="shared" si="75"/>
        <v>2118.4499999999998</v>
      </c>
    </row>
    <row r="2169" spans="1:45" x14ac:dyDescent="0.3">
      <c r="A2169" s="1">
        <v>45900.965277777781</v>
      </c>
      <c r="B2169" t="s">
        <v>1499</v>
      </c>
      <c r="C2169" t="s">
        <v>1500</v>
      </c>
      <c r="D2169" t="s">
        <v>1141</v>
      </c>
      <c r="E2169" t="s">
        <v>1141</v>
      </c>
      <c r="F2169" t="s">
        <v>2020</v>
      </c>
      <c r="G2169" t="s">
        <v>1142</v>
      </c>
      <c r="H2169" t="s">
        <v>635</v>
      </c>
      <c r="I2169" t="s">
        <v>43</v>
      </c>
      <c r="J2169">
        <v>100</v>
      </c>
      <c r="K2169">
        <v>19</v>
      </c>
      <c r="L2169">
        <v>10</v>
      </c>
      <c r="M2169">
        <v>11</v>
      </c>
      <c r="N2169">
        <v>43</v>
      </c>
      <c r="O2169">
        <v>0</v>
      </c>
      <c r="P2169">
        <v>0</v>
      </c>
      <c r="Q2169" t="s">
        <v>44</v>
      </c>
      <c r="R2169" t="s">
        <v>44</v>
      </c>
      <c r="S2169" t="s">
        <v>44</v>
      </c>
      <c r="T2169" t="s">
        <v>44</v>
      </c>
      <c r="U2169" t="s">
        <v>44</v>
      </c>
      <c r="V2169">
        <v>39</v>
      </c>
      <c r="W2169" t="s">
        <v>44</v>
      </c>
      <c r="X2169" t="s">
        <v>44</v>
      </c>
      <c r="Y2169">
        <v>39</v>
      </c>
      <c r="Z2169" t="s">
        <v>44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39</v>
      </c>
      <c r="AQ2169">
        <f t="shared" si="76"/>
        <v>39</v>
      </c>
      <c r="AR2169" s="5">
        <f>VLOOKUP(F2169,'[1]Cost Sheet'!$C:$D,2,0)</f>
        <v>73.05</v>
      </c>
      <c r="AS2169" s="5">
        <f t="shared" si="75"/>
        <v>2848.95</v>
      </c>
    </row>
    <row r="2170" spans="1:45" x14ac:dyDescent="0.3">
      <c r="A2170" s="1">
        <v>45900.965277777781</v>
      </c>
      <c r="B2170" t="s">
        <v>1499</v>
      </c>
      <c r="C2170" t="s">
        <v>1500</v>
      </c>
      <c r="D2170" t="s">
        <v>1143</v>
      </c>
      <c r="E2170" t="s">
        <v>1143</v>
      </c>
      <c r="F2170" t="s">
        <v>2021</v>
      </c>
      <c r="G2170" t="s">
        <v>1144</v>
      </c>
      <c r="H2170" t="s">
        <v>635</v>
      </c>
      <c r="I2170" t="s">
        <v>43</v>
      </c>
      <c r="J2170">
        <v>100</v>
      </c>
      <c r="K2170">
        <v>19</v>
      </c>
      <c r="L2170">
        <v>10</v>
      </c>
      <c r="M2170">
        <v>11</v>
      </c>
      <c r="N2170">
        <v>38</v>
      </c>
      <c r="O2170">
        <v>0</v>
      </c>
      <c r="P2170">
        <v>0</v>
      </c>
      <c r="Q2170" t="s">
        <v>44</v>
      </c>
      <c r="R2170" t="s">
        <v>44</v>
      </c>
      <c r="S2170" t="s">
        <v>44</v>
      </c>
      <c r="T2170" t="s">
        <v>44</v>
      </c>
      <c r="U2170" t="s">
        <v>44</v>
      </c>
      <c r="V2170">
        <v>34</v>
      </c>
      <c r="W2170" t="s">
        <v>44</v>
      </c>
      <c r="X2170" t="s">
        <v>44</v>
      </c>
      <c r="Y2170">
        <v>34</v>
      </c>
      <c r="Z2170" t="s">
        <v>44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34</v>
      </c>
      <c r="AQ2170">
        <f t="shared" si="76"/>
        <v>34</v>
      </c>
      <c r="AR2170" s="5">
        <f>VLOOKUP(F2170,'[1]Cost Sheet'!$C:$D,2,0)</f>
        <v>73.05</v>
      </c>
      <c r="AS2170" s="5">
        <f t="shared" si="75"/>
        <v>2483.6999999999998</v>
      </c>
    </row>
    <row r="2171" spans="1:45" x14ac:dyDescent="0.3">
      <c r="A2171" s="1">
        <v>45900.965277777781</v>
      </c>
      <c r="B2171" t="s">
        <v>1499</v>
      </c>
      <c r="C2171" t="s">
        <v>1500</v>
      </c>
      <c r="D2171" t="s">
        <v>1147</v>
      </c>
      <c r="E2171" t="s">
        <v>1147</v>
      </c>
      <c r="F2171" t="s">
        <v>2023</v>
      </c>
      <c r="G2171" t="s">
        <v>1148</v>
      </c>
      <c r="H2171" t="s">
        <v>635</v>
      </c>
      <c r="I2171" t="s">
        <v>43</v>
      </c>
      <c r="J2171">
        <v>100</v>
      </c>
      <c r="K2171">
        <v>19</v>
      </c>
      <c r="L2171">
        <v>10</v>
      </c>
      <c r="M2171">
        <v>11</v>
      </c>
      <c r="N2171">
        <v>47</v>
      </c>
      <c r="O2171">
        <v>0</v>
      </c>
      <c r="P2171">
        <v>0</v>
      </c>
      <c r="Q2171" t="s">
        <v>44</v>
      </c>
      <c r="R2171" t="s">
        <v>44</v>
      </c>
      <c r="S2171" t="s">
        <v>44</v>
      </c>
      <c r="T2171" t="s">
        <v>44</v>
      </c>
      <c r="U2171" t="s">
        <v>44</v>
      </c>
      <c r="V2171">
        <v>34</v>
      </c>
      <c r="W2171" t="s">
        <v>44</v>
      </c>
      <c r="X2171" t="s">
        <v>44</v>
      </c>
      <c r="Y2171">
        <v>34</v>
      </c>
      <c r="Z2171" t="s">
        <v>44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34</v>
      </c>
      <c r="AQ2171">
        <f t="shared" si="76"/>
        <v>34</v>
      </c>
      <c r="AR2171" s="5">
        <f>VLOOKUP(F2171,'[1]Cost Sheet'!$C:$D,2,0)</f>
        <v>98.3</v>
      </c>
      <c r="AS2171" s="5">
        <f t="shared" si="75"/>
        <v>3342.2</v>
      </c>
    </row>
    <row r="2172" spans="1:45" x14ac:dyDescent="0.3">
      <c r="A2172" s="1">
        <v>45900.965277777781</v>
      </c>
      <c r="B2172" t="s">
        <v>1499</v>
      </c>
      <c r="C2172" t="s">
        <v>1500</v>
      </c>
      <c r="D2172" t="s">
        <v>1149</v>
      </c>
      <c r="E2172" t="s">
        <v>1149</v>
      </c>
      <c r="F2172" t="s">
        <v>2024</v>
      </c>
      <c r="G2172" t="s">
        <v>1150</v>
      </c>
      <c r="H2172" t="s">
        <v>635</v>
      </c>
      <c r="I2172" t="s">
        <v>43</v>
      </c>
      <c r="J2172">
        <v>100</v>
      </c>
      <c r="K2172">
        <v>19</v>
      </c>
      <c r="L2172">
        <v>10</v>
      </c>
      <c r="M2172">
        <v>11</v>
      </c>
      <c r="N2172">
        <v>104</v>
      </c>
      <c r="O2172">
        <v>0</v>
      </c>
      <c r="P2172">
        <v>0</v>
      </c>
      <c r="Q2172" t="s">
        <v>44</v>
      </c>
      <c r="R2172" t="s">
        <v>44</v>
      </c>
      <c r="S2172" t="s">
        <v>44</v>
      </c>
      <c r="T2172" t="s">
        <v>44</v>
      </c>
      <c r="U2172" t="s">
        <v>44</v>
      </c>
      <c r="V2172">
        <v>86</v>
      </c>
      <c r="W2172" t="s">
        <v>44</v>
      </c>
      <c r="X2172" t="s">
        <v>44</v>
      </c>
      <c r="Y2172">
        <v>86</v>
      </c>
      <c r="Z2172" t="s">
        <v>44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86</v>
      </c>
      <c r="AQ2172">
        <f t="shared" si="76"/>
        <v>86</v>
      </c>
      <c r="AR2172" s="5">
        <f>VLOOKUP(F2172,'[1]Cost Sheet'!$C:$D,2,0)</f>
        <v>98.3</v>
      </c>
      <c r="AS2172" s="5">
        <f t="shared" si="75"/>
        <v>8453.7999999999993</v>
      </c>
    </row>
    <row r="2173" spans="1:45" x14ac:dyDescent="0.3">
      <c r="A2173" s="1">
        <v>45900.965277777781</v>
      </c>
      <c r="B2173" t="s">
        <v>1499</v>
      </c>
      <c r="C2173" t="s">
        <v>1500</v>
      </c>
      <c r="D2173" t="s">
        <v>1153</v>
      </c>
      <c r="E2173" t="s">
        <v>1153</v>
      </c>
      <c r="F2173" t="s">
        <v>2026</v>
      </c>
      <c r="G2173" t="s">
        <v>1154</v>
      </c>
      <c r="H2173" t="s">
        <v>635</v>
      </c>
      <c r="I2173" t="s">
        <v>43</v>
      </c>
      <c r="J2173">
        <v>100</v>
      </c>
      <c r="K2173">
        <v>19</v>
      </c>
      <c r="L2173">
        <v>10</v>
      </c>
      <c r="M2173">
        <v>11</v>
      </c>
      <c r="N2173">
        <v>111</v>
      </c>
      <c r="O2173">
        <v>0</v>
      </c>
      <c r="P2173">
        <v>0</v>
      </c>
      <c r="Q2173" t="s">
        <v>44</v>
      </c>
      <c r="R2173" t="s">
        <v>44</v>
      </c>
      <c r="S2173" t="s">
        <v>44</v>
      </c>
      <c r="T2173" t="s">
        <v>44</v>
      </c>
      <c r="U2173" t="s">
        <v>44</v>
      </c>
      <c r="V2173">
        <v>94</v>
      </c>
      <c r="W2173" t="s">
        <v>44</v>
      </c>
      <c r="X2173" t="s">
        <v>44</v>
      </c>
      <c r="Y2173">
        <v>94</v>
      </c>
      <c r="Z2173" t="s">
        <v>44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94</v>
      </c>
      <c r="AQ2173">
        <f t="shared" si="76"/>
        <v>94</v>
      </c>
      <c r="AR2173" s="5">
        <f>VLOOKUP(F2173,'[1]Cost Sheet'!$C:$D,2,0)</f>
        <v>98.3</v>
      </c>
      <c r="AS2173" s="5">
        <f t="shared" si="75"/>
        <v>9240.1999999999989</v>
      </c>
    </row>
    <row r="2174" spans="1:45" x14ac:dyDescent="0.3">
      <c r="A2174" s="1">
        <v>45900.965277777781</v>
      </c>
      <c r="B2174" t="s">
        <v>1499</v>
      </c>
      <c r="C2174" t="s">
        <v>1500</v>
      </c>
      <c r="D2174" t="s">
        <v>1159</v>
      </c>
      <c r="E2174" t="s">
        <v>1159</v>
      </c>
      <c r="F2174" t="s">
        <v>2029</v>
      </c>
      <c r="G2174" t="s">
        <v>1160</v>
      </c>
      <c r="H2174" t="s">
        <v>635</v>
      </c>
      <c r="I2174" t="s">
        <v>43</v>
      </c>
      <c r="J2174">
        <v>100</v>
      </c>
      <c r="K2174">
        <v>19</v>
      </c>
      <c r="L2174">
        <v>10</v>
      </c>
      <c r="M2174">
        <v>11</v>
      </c>
      <c r="N2174">
        <v>111</v>
      </c>
      <c r="O2174">
        <v>0</v>
      </c>
      <c r="P2174">
        <v>0</v>
      </c>
      <c r="Q2174" t="s">
        <v>44</v>
      </c>
      <c r="R2174" t="s">
        <v>44</v>
      </c>
      <c r="S2174" t="s">
        <v>44</v>
      </c>
      <c r="T2174" t="s">
        <v>44</v>
      </c>
      <c r="U2174" t="s">
        <v>44</v>
      </c>
      <c r="V2174">
        <v>96</v>
      </c>
      <c r="W2174" t="s">
        <v>44</v>
      </c>
      <c r="X2174" t="s">
        <v>44</v>
      </c>
      <c r="Y2174">
        <v>96</v>
      </c>
      <c r="Z2174" t="s">
        <v>44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96</v>
      </c>
      <c r="AQ2174">
        <f t="shared" si="76"/>
        <v>96</v>
      </c>
      <c r="AR2174" s="5">
        <f>VLOOKUP(F2174,'[1]Cost Sheet'!$C:$D,2,0)</f>
        <v>98.3</v>
      </c>
      <c r="AS2174" s="5">
        <f t="shared" si="75"/>
        <v>9436.7999999999993</v>
      </c>
    </row>
    <row r="2175" spans="1:45" x14ac:dyDescent="0.3">
      <c r="A2175" s="1">
        <v>45900.965277777781</v>
      </c>
      <c r="B2175" t="s">
        <v>1499</v>
      </c>
      <c r="C2175" t="s">
        <v>1500</v>
      </c>
      <c r="D2175" t="s">
        <v>1161</v>
      </c>
      <c r="E2175" t="s">
        <v>1161</v>
      </c>
      <c r="F2175" t="s">
        <v>2030</v>
      </c>
      <c r="G2175" t="s">
        <v>1162</v>
      </c>
      <c r="H2175" t="s">
        <v>635</v>
      </c>
      <c r="I2175" t="s">
        <v>43</v>
      </c>
      <c r="J2175">
        <v>100</v>
      </c>
      <c r="K2175">
        <v>19</v>
      </c>
      <c r="L2175">
        <v>10</v>
      </c>
      <c r="M2175">
        <v>11</v>
      </c>
      <c r="N2175">
        <v>110</v>
      </c>
      <c r="O2175">
        <v>0</v>
      </c>
      <c r="P2175">
        <v>0</v>
      </c>
      <c r="Q2175" t="s">
        <v>44</v>
      </c>
      <c r="R2175" t="s">
        <v>44</v>
      </c>
      <c r="S2175" t="s">
        <v>44</v>
      </c>
      <c r="T2175" t="s">
        <v>44</v>
      </c>
      <c r="U2175" t="s">
        <v>44</v>
      </c>
      <c r="V2175">
        <v>95</v>
      </c>
      <c r="W2175" t="s">
        <v>44</v>
      </c>
      <c r="X2175" t="s">
        <v>44</v>
      </c>
      <c r="Y2175">
        <v>95</v>
      </c>
      <c r="Z2175" t="s">
        <v>44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95</v>
      </c>
      <c r="AQ2175">
        <f t="shared" si="76"/>
        <v>95</v>
      </c>
      <c r="AR2175" s="5">
        <f>VLOOKUP(F2175,'[1]Cost Sheet'!$C:$D,2,0)</f>
        <v>98.3</v>
      </c>
      <c r="AS2175" s="5">
        <f t="shared" si="75"/>
        <v>9338.5</v>
      </c>
    </row>
    <row r="2176" spans="1:45" x14ac:dyDescent="0.3">
      <c r="A2176" s="1">
        <v>45900.965277777781</v>
      </c>
      <c r="B2176" t="s">
        <v>1499</v>
      </c>
      <c r="C2176" t="s">
        <v>1500</v>
      </c>
      <c r="D2176" t="s">
        <v>1163</v>
      </c>
      <c r="E2176" t="s">
        <v>1163</v>
      </c>
      <c r="F2176" t="s">
        <v>2031</v>
      </c>
      <c r="G2176" t="s">
        <v>1164</v>
      </c>
      <c r="H2176" t="s">
        <v>635</v>
      </c>
      <c r="I2176" t="s">
        <v>43</v>
      </c>
      <c r="J2176">
        <v>100</v>
      </c>
      <c r="K2176">
        <v>19</v>
      </c>
      <c r="L2176">
        <v>10</v>
      </c>
      <c r="M2176">
        <v>11</v>
      </c>
      <c r="N2176">
        <v>114</v>
      </c>
      <c r="O2176">
        <v>0</v>
      </c>
      <c r="P2176">
        <v>0</v>
      </c>
      <c r="Q2176" t="s">
        <v>44</v>
      </c>
      <c r="R2176" t="s">
        <v>44</v>
      </c>
      <c r="S2176" t="s">
        <v>44</v>
      </c>
      <c r="T2176" t="s">
        <v>44</v>
      </c>
      <c r="U2176" t="s">
        <v>44</v>
      </c>
      <c r="V2176">
        <v>97</v>
      </c>
      <c r="W2176" t="s">
        <v>44</v>
      </c>
      <c r="X2176" t="s">
        <v>44</v>
      </c>
      <c r="Y2176">
        <v>97</v>
      </c>
      <c r="Z2176" t="s">
        <v>44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97</v>
      </c>
      <c r="AQ2176">
        <f t="shared" si="76"/>
        <v>97</v>
      </c>
      <c r="AR2176" s="5">
        <f>VLOOKUP(F2176,'[1]Cost Sheet'!$C:$D,2,0)</f>
        <v>98.3</v>
      </c>
      <c r="AS2176" s="5">
        <f t="shared" si="75"/>
        <v>9535.1</v>
      </c>
    </row>
    <row r="2177" spans="1:45" x14ac:dyDescent="0.3">
      <c r="A2177" s="1">
        <v>45900.965277777781</v>
      </c>
      <c r="B2177" t="s">
        <v>1499</v>
      </c>
      <c r="C2177" t="s">
        <v>1500</v>
      </c>
      <c r="D2177" t="s">
        <v>1165</v>
      </c>
      <c r="E2177" t="s">
        <v>1165</v>
      </c>
      <c r="F2177" t="s">
        <v>2032</v>
      </c>
      <c r="G2177" t="s">
        <v>1166</v>
      </c>
      <c r="H2177" t="s">
        <v>635</v>
      </c>
      <c r="I2177" t="s">
        <v>43</v>
      </c>
      <c r="J2177">
        <v>100</v>
      </c>
      <c r="K2177">
        <v>19</v>
      </c>
      <c r="L2177">
        <v>10</v>
      </c>
      <c r="M2177">
        <v>11</v>
      </c>
      <c r="N2177">
        <v>96</v>
      </c>
      <c r="O2177">
        <v>0</v>
      </c>
      <c r="P2177">
        <v>0</v>
      </c>
      <c r="Q2177" t="s">
        <v>44</v>
      </c>
      <c r="R2177" t="s">
        <v>44</v>
      </c>
      <c r="S2177" t="s">
        <v>44</v>
      </c>
      <c r="T2177" t="s">
        <v>44</v>
      </c>
      <c r="U2177" t="s">
        <v>44</v>
      </c>
      <c r="V2177">
        <v>80</v>
      </c>
      <c r="W2177" t="s">
        <v>44</v>
      </c>
      <c r="X2177" t="s">
        <v>44</v>
      </c>
      <c r="Y2177">
        <v>80</v>
      </c>
      <c r="Z2177" t="s">
        <v>44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80</v>
      </c>
      <c r="AQ2177">
        <f t="shared" si="76"/>
        <v>80</v>
      </c>
      <c r="AR2177" s="5">
        <f>VLOOKUP(F2177,'[1]Cost Sheet'!$C:$D,2,0)</f>
        <v>98.299999999999983</v>
      </c>
      <c r="AS2177" s="5">
        <f t="shared" si="75"/>
        <v>7863.9999999999982</v>
      </c>
    </row>
    <row r="2178" spans="1:45" x14ac:dyDescent="0.3">
      <c r="A2178" s="1">
        <v>45900.965277777781</v>
      </c>
      <c r="B2178" t="s">
        <v>1499</v>
      </c>
      <c r="C2178" t="s">
        <v>1500</v>
      </c>
      <c r="D2178" t="s">
        <v>1169</v>
      </c>
      <c r="E2178" t="s">
        <v>1169</v>
      </c>
      <c r="F2178" t="s">
        <v>2034</v>
      </c>
      <c r="G2178" t="s">
        <v>1170</v>
      </c>
      <c r="H2178" t="s">
        <v>635</v>
      </c>
      <c r="I2178" t="s">
        <v>43</v>
      </c>
      <c r="J2178">
        <v>100</v>
      </c>
      <c r="K2178">
        <v>19</v>
      </c>
      <c r="L2178">
        <v>10</v>
      </c>
      <c r="M2178">
        <v>11</v>
      </c>
      <c r="N2178">
        <v>97</v>
      </c>
      <c r="O2178">
        <v>0</v>
      </c>
      <c r="P2178">
        <v>0</v>
      </c>
      <c r="Q2178" t="s">
        <v>44</v>
      </c>
      <c r="R2178" t="s">
        <v>44</v>
      </c>
      <c r="S2178" t="s">
        <v>44</v>
      </c>
      <c r="T2178" t="s">
        <v>44</v>
      </c>
      <c r="U2178" t="s">
        <v>44</v>
      </c>
      <c r="V2178">
        <v>80</v>
      </c>
      <c r="W2178" t="s">
        <v>44</v>
      </c>
      <c r="X2178" t="s">
        <v>44</v>
      </c>
      <c r="Y2178">
        <v>80</v>
      </c>
      <c r="Z2178" t="s">
        <v>44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80</v>
      </c>
      <c r="AQ2178">
        <f t="shared" si="76"/>
        <v>80</v>
      </c>
      <c r="AR2178" s="5">
        <f>VLOOKUP(F2178,'[1]Cost Sheet'!$C:$D,2,0)</f>
        <v>98.3</v>
      </c>
      <c r="AS2178" s="5">
        <f t="shared" si="75"/>
        <v>7864</v>
      </c>
    </row>
    <row r="2179" spans="1:45" x14ac:dyDescent="0.3">
      <c r="A2179" s="1">
        <v>45900.965277777781</v>
      </c>
      <c r="B2179" t="s">
        <v>1499</v>
      </c>
      <c r="C2179" t="s">
        <v>1500</v>
      </c>
      <c r="D2179" t="s">
        <v>1171</v>
      </c>
      <c r="E2179" t="s">
        <v>1171</v>
      </c>
      <c r="F2179" t="s">
        <v>2035</v>
      </c>
      <c r="G2179" t="s">
        <v>1172</v>
      </c>
      <c r="H2179" t="s">
        <v>635</v>
      </c>
      <c r="I2179" t="s">
        <v>43</v>
      </c>
      <c r="J2179">
        <v>100</v>
      </c>
      <c r="K2179">
        <v>19</v>
      </c>
      <c r="L2179">
        <v>10</v>
      </c>
      <c r="M2179">
        <v>11</v>
      </c>
      <c r="N2179">
        <v>117</v>
      </c>
      <c r="O2179">
        <v>0</v>
      </c>
      <c r="P2179">
        <v>0</v>
      </c>
      <c r="Q2179" t="s">
        <v>44</v>
      </c>
      <c r="R2179" t="s">
        <v>44</v>
      </c>
      <c r="S2179" t="s">
        <v>44</v>
      </c>
      <c r="T2179" t="s">
        <v>44</v>
      </c>
      <c r="U2179" t="s">
        <v>44</v>
      </c>
      <c r="V2179">
        <v>95</v>
      </c>
      <c r="W2179" t="s">
        <v>44</v>
      </c>
      <c r="X2179" t="s">
        <v>44</v>
      </c>
      <c r="Y2179">
        <v>95</v>
      </c>
      <c r="Z2179" t="s">
        <v>44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95</v>
      </c>
      <c r="AQ2179">
        <f t="shared" si="76"/>
        <v>95</v>
      </c>
      <c r="AR2179" s="5">
        <f>VLOOKUP(F2179,'[1]Cost Sheet'!$C:$D,2,0)</f>
        <v>98.3</v>
      </c>
      <c r="AS2179" s="5">
        <f t="shared" ref="AS2179:AS2242" si="77">AQ2179*AR2179</f>
        <v>9338.5</v>
      </c>
    </row>
    <row r="2180" spans="1:45" x14ac:dyDescent="0.3">
      <c r="A2180" s="1">
        <v>45900.965277777781</v>
      </c>
      <c r="B2180" t="s">
        <v>1499</v>
      </c>
      <c r="C2180" t="s">
        <v>1500</v>
      </c>
      <c r="D2180" t="s">
        <v>1173</v>
      </c>
      <c r="E2180" t="s">
        <v>1173</v>
      </c>
      <c r="F2180" t="s">
        <v>2036</v>
      </c>
      <c r="G2180" t="s">
        <v>1174</v>
      </c>
      <c r="H2180" t="s">
        <v>635</v>
      </c>
      <c r="I2180" t="s">
        <v>43</v>
      </c>
      <c r="J2180">
        <v>100</v>
      </c>
      <c r="K2180">
        <v>19</v>
      </c>
      <c r="L2180">
        <v>10</v>
      </c>
      <c r="M2180">
        <v>11</v>
      </c>
      <c r="N2180">
        <v>29</v>
      </c>
      <c r="O2180">
        <v>0</v>
      </c>
      <c r="P2180">
        <v>0</v>
      </c>
      <c r="Q2180" t="s">
        <v>44</v>
      </c>
      <c r="R2180" t="s">
        <v>44</v>
      </c>
      <c r="S2180" t="s">
        <v>44</v>
      </c>
      <c r="T2180" t="s">
        <v>44</v>
      </c>
      <c r="U2180" t="s">
        <v>44</v>
      </c>
      <c r="V2180">
        <v>11</v>
      </c>
      <c r="W2180" t="s">
        <v>44</v>
      </c>
      <c r="X2180" t="s">
        <v>44</v>
      </c>
      <c r="Y2180">
        <v>11</v>
      </c>
      <c r="Z2180" t="s">
        <v>44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11</v>
      </c>
      <c r="AQ2180">
        <f t="shared" si="76"/>
        <v>11</v>
      </c>
      <c r="AR2180" s="5">
        <f>VLOOKUP(F2180,'[1]Cost Sheet'!$C:$D,2,0)</f>
        <v>98.3</v>
      </c>
      <c r="AS2180" s="5">
        <f t="shared" si="77"/>
        <v>1081.3</v>
      </c>
    </row>
    <row r="2181" spans="1:45" x14ac:dyDescent="0.3">
      <c r="A2181" s="1">
        <v>45900.965277777781</v>
      </c>
      <c r="B2181" t="s">
        <v>1499</v>
      </c>
      <c r="C2181" t="s">
        <v>1500</v>
      </c>
      <c r="D2181" t="s">
        <v>1175</v>
      </c>
      <c r="E2181" t="s">
        <v>1175</v>
      </c>
      <c r="F2181" t="s">
        <v>2037</v>
      </c>
      <c r="G2181" t="s">
        <v>1176</v>
      </c>
      <c r="H2181" t="s">
        <v>635</v>
      </c>
      <c r="I2181" t="s">
        <v>43</v>
      </c>
      <c r="J2181">
        <v>100</v>
      </c>
      <c r="K2181">
        <v>19</v>
      </c>
      <c r="L2181">
        <v>10</v>
      </c>
      <c r="M2181">
        <v>11</v>
      </c>
      <c r="N2181">
        <v>21</v>
      </c>
      <c r="O2181">
        <v>0</v>
      </c>
      <c r="P2181">
        <v>0</v>
      </c>
      <c r="Q2181" t="s">
        <v>44</v>
      </c>
      <c r="R2181" t="s">
        <v>44</v>
      </c>
      <c r="S2181" t="s">
        <v>44</v>
      </c>
      <c r="T2181" t="s">
        <v>44</v>
      </c>
      <c r="U2181" t="s">
        <v>44</v>
      </c>
      <c r="V2181">
        <v>1</v>
      </c>
      <c r="W2181" t="s">
        <v>44</v>
      </c>
      <c r="X2181" t="s">
        <v>44</v>
      </c>
      <c r="Y2181">
        <v>1</v>
      </c>
      <c r="Z2181" t="s">
        <v>44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</v>
      </c>
      <c r="AQ2181">
        <f t="shared" si="76"/>
        <v>1</v>
      </c>
      <c r="AR2181" s="5">
        <f>VLOOKUP(F2181,'[1]Cost Sheet'!$C:$D,2,0)</f>
        <v>98.299999999999983</v>
      </c>
      <c r="AS2181" s="5">
        <f t="shared" si="77"/>
        <v>98.299999999999983</v>
      </c>
    </row>
    <row r="2182" spans="1:45" x14ac:dyDescent="0.3">
      <c r="A2182" s="1">
        <v>45900.965277777781</v>
      </c>
      <c r="B2182" t="s">
        <v>1499</v>
      </c>
      <c r="C2182" t="s">
        <v>1500</v>
      </c>
      <c r="D2182" t="s">
        <v>1177</v>
      </c>
      <c r="E2182" t="s">
        <v>1177</v>
      </c>
      <c r="F2182" t="s">
        <v>2038</v>
      </c>
      <c r="G2182" t="s">
        <v>1178</v>
      </c>
      <c r="H2182" t="s">
        <v>635</v>
      </c>
      <c r="I2182" t="s">
        <v>43</v>
      </c>
      <c r="J2182">
        <v>100</v>
      </c>
      <c r="K2182">
        <v>19</v>
      </c>
      <c r="L2182">
        <v>10</v>
      </c>
      <c r="M2182">
        <v>11</v>
      </c>
      <c r="N2182">
        <v>52</v>
      </c>
      <c r="O2182">
        <v>0</v>
      </c>
      <c r="P2182">
        <v>0</v>
      </c>
      <c r="Q2182" t="s">
        <v>44</v>
      </c>
      <c r="R2182" t="s">
        <v>44</v>
      </c>
      <c r="S2182" t="s">
        <v>44</v>
      </c>
      <c r="T2182" t="s">
        <v>44</v>
      </c>
      <c r="U2182" t="s">
        <v>44</v>
      </c>
      <c r="V2182">
        <v>34</v>
      </c>
      <c r="W2182" t="s">
        <v>44</v>
      </c>
      <c r="X2182" t="s">
        <v>44</v>
      </c>
      <c r="Y2182">
        <v>34</v>
      </c>
      <c r="Z2182" t="s">
        <v>44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34</v>
      </c>
      <c r="AQ2182">
        <f t="shared" si="76"/>
        <v>34</v>
      </c>
      <c r="AR2182" s="5">
        <f>VLOOKUP(F2182,'[1]Cost Sheet'!$C:$D,2,0)</f>
        <v>98.299999999999983</v>
      </c>
      <c r="AS2182" s="5">
        <f t="shared" si="77"/>
        <v>3342.1999999999994</v>
      </c>
    </row>
    <row r="2183" spans="1:45" x14ac:dyDescent="0.3">
      <c r="A2183" s="1">
        <v>45900.965277777781</v>
      </c>
      <c r="B2183" t="s">
        <v>1499</v>
      </c>
      <c r="C2183" t="s">
        <v>1500</v>
      </c>
      <c r="D2183" t="s">
        <v>716</v>
      </c>
      <c r="E2183" t="s">
        <v>716</v>
      </c>
      <c r="F2183" t="s">
        <v>1811</v>
      </c>
      <c r="G2183" t="s">
        <v>717</v>
      </c>
      <c r="H2183" t="s">
        <v>635</v>
      </c>
      <c r="I2183" t="s">
        <v>43</v>
      </c>
      <c r="J2183">
        <v>100</v>
      </c>
      <c r="K2183">
        <v>19</v>
      </c>
      <c r="L2183">
        <v>10</v>
      </c>
      <c r="M2183">
        <v>11</v>
      </c>
      <c r="N2183">
        <v>98</v>
      </c>
      <c r="O2183">
        <v>0</v>
      </c>
      <c r="P2183">
        <v>0</v>
      </c>
      <c r="Q2183" t="s">
        <v>44</v>
      </c>
      <c r="R2183" t="s">
        <v>44</v>
      </c>
      <c r="S2183" t="s">
        <v>44</v>
      </c>
      <c r="T2183" t="s">
        <v>44</v>
      </c>
      <c r="U2183" t="s">
        <v>44</v>
      </c>
      <c r="V2183">
        <v>79</v>
      </c>
      <c r="W2183" t="s">
        <v>44</v>
      </c>
      <c r="X2183" t="s">
        <v>44</v>
      </c>
      <c r="Y2183">
        <v>79</v>
      </c>
      <c r="Z2183" t="s">
        <v>44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79</v>
      </c>
      <c r="AQ2183">
        <f t="shared" si="76"/>
        <v>79</v>
      </c>
      <c r="AR2183" s="5">
        <f>VLOOKUP(F2183,'[1]Cost Sheet'!$C:$D,2,0)</f>
        <v>98.3</v>
      </c>
      <c r="AS2183" s="5">
        <f t="shared" si="77"/>
        <v>7765.7</v>
      </c>
    </row>
    <row r="2184" spans="1:45" x14ac:dyDescent="0.3">
      <c r="A2184" s="1">
        <v>45900.965277777781</v>
      </c>
      <c r="B2184" t="s">
        <v>1499</v>
      </c>
      <c r="C2184" t="s">
        <v>1500</v>
      </c>
      <c r="D2184" t="s">
        <v>718</v>
      </c>
      <c r="E2184" t="s">
        <v>718</v>
      </c>
      <c r="F2184" t="s">
        <v>1812</v>
      </c>
      <c r="G2184" t="s">
        <v>719</v>
      </c>
      <c r="H2184" t="s">
        <v>635</v>
      </c>
      <c r="I2184" t="s">
        <v>43</v>
      </c>
      <c r="J2184">
        <v>100</v>
      </c>
      <c r="K2184">
        <v>19</v>
      </c>
      <c r="L2184">
        <v>10</v>
      </c>
      <c r="M2184">
        <v>11</v>
      </c>
      <c r="N2184">
        <v>109</v>
      </c>
      <c r="O2184">
        <v>0</v>
      </c>
      <c r="P2184">
        <v>0</v>
      </c>
      <c r="Q2184" t="s">
        <v>44</v>
      </c>
      <c r="R2184" t="s">
        <v>44</v>
      </c>
      <c r="S2184" t="s">
        <v>44</v>
      </c>
      <c r="T2184" t="s">
        <v>44</v>
      </c>
      <c r="U2184" t="s">
        <v>44</v>
      </c>
      <c r="V2184">
        <v>91</v>
      </c>
      <c r="W2184" t="s">
        <v>44</v>
      </c>
      <c r="X2184" t="s">
        <v>44</v>
      </c>
      <c r="Y2184">
        <v>91</v>
      </c>
      <c r="Z2184" t="s">
        <v>44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91</v>
      </c>
      <c r="AQ2184">
        <f t="shared" si="76"/>
        <v>91</v>
      </c>
      <c r="AR2184" s="5">
        <f>VLOOKUP(F2184,'[1]Cost Sheet'!$C:$D,2,0)</f>
        <v>98.3</v>
      </c>
      <c r="AS2184" s="5">
        <f t="shared" si="77"/>
        <v>8945.2999999999993</v>
      </c>
    </row>
    <row r="2185" spans="1:45" x14ac:dyDescent="0.3">
      <c r="A2185" s="1">
        <v>45900.965277777781</v>
      </c>
      <c r="B2185" t="s">
        <v>1499</v>
      </c>
      <c r="C2185" t="s">
        <v>1500</v>
      </c>
      <c r="D2185" t="s">
        <v>1181</v>
      </c>
      <c r="E2185" t="s">
        <v>1181</v>
      </c>
      <c r="F2185" t="s">
        <v>2040</v>
      </c>
      <c r="G2185" t="s">
        <v>1182</v>
      </c>
      <c r="H2185" t="s">
        <v>635</v>
      </c>
      <c r="I2185" t="s">
        <v>43</v>
      </c>
      <c r="J2185">
        <v>100</v>
      </c>
      <c r="K2185">
        <v>19</v>
      </c>
      <c r="L2185">
        <v>10</v>
      </c>
      <c r="M2185">
        <v>11</v>
      </c>
      <c r="N2185">
        <v>40</v>
      </c>
      <c r="O2185">
        <v>2</v>
      </c>
      <c r="P2185">
        <v>0</v>
      </c>
      <c r="Q2185" t="s">
        <v>44</v>
      </c>
      <c r="R2185" t="s">
        <v>44</v>
      </c>
      <c r="S2185" t="s">
        <v>44</v>
      </c>
      <c r="T2185" t="s">
        <v>44</v>
      </c>
      <c r="U2185" t="s">
        <v>44</v>
      </c>
      <c r="V2185">
        <v>24</v>
      </c>
      <c r="W2185" t="s">
        <v>44</v>
      </c>
      <c r="X2185" t="s">
        <v>44</v>
      </c>
      <c r="Y2185">
        <v>24</v>
      </c>
      <c r="Z2185" t="s">
        <v>44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26</v>
      </c>
      <c r="AQ2185">
        <f t="shared" si="76"/>
        <v>26</v>
      </c>
      <c r="AR2185" s="5">
        <f>VLOOKUP(F2185,'[1]Cost Sheet'!$C:$D,2,0)</f>
        <v>51.74</v>
      </c>
      <c r="AS2185" s="5">
        <f t="shared" si="77"/>
        <v>1345.24</v>
      </c>
    </row>
    <row r="2186" spans="1:45" x14ac:dyDescent="0.3">
      <c r="A2186" s="1">
        <v>45900.965277777781</v>
      </c>
      <c r="B2186" t="s">
        <v>1499</v>
      </c>
      <c r="C2186" t="s">
        <v>1500</v>
      </c>
      <c r="D2186" t="s">
        <v>1183</v>
      </c>
      <c r="E2186" t="s">
        <v>1183</v>
      </c>
      <c r="F2186" t="s">
        <v>2041</v>
      </c>
      <c r="G2186" t="s">
        <v>1184</v>
      </c>
      <c r="H2186" t="s">
        <v>635</v>
      </c>
      <c r="I2186" t="s">
        <v>43</v>
      </c>
      <c r="J2186">
        <v>100</v>
      </c>
      <c r="K2186">
        <v>19</v>
      </c>
      <c r="L2186">
        <v>10</v>
      </c>
      <c r="M2186">
        <v>11</v>
      </c>
      <c r="N2186">
        <v>27</v>
      </c>
      <c r="O2186">
        <v>2</v>
      </c>
      <c r="P2186">
        <v>0</v>
      </c>
      <c r="Q2186" t="s">
        <v>44</v>
      </c>
      <c r="R2186" t="s">
        <v>44</v>
      </c>
      <c r="S2186" t="s">
        <v>44</v>
      </c>
      <c r="T2186" t="s">
        <v>44</v>
      </c>
      <c r="U2186" t="s">
        <v>44</v>
      </c>
      <c r="V2186">
        <v>13</v>
      </c>
      <c r="W2186" t="s">
        <v>44</v>
      </c>
      <c r="X2186" t="s">
        <v>44</v>
      </c>
      <c r="Y2186">
        <v>13</v>
      </c>
      <c r="Z2186" t="s">
        <v>44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15</v>
      </c>
      <c r="AQ2186">
        <f t="shared" si="76"/>
        <v>15</v>
      </c>
      <c r="AR2186" s="5">
        <f>VLOOKUP(F2186,'[1]Cost Sheet'!$C:$D,2,0)</f>
        <v>51.74</v>
      </c>
      <c r="AS2186" s="5">
        <f t="shared" si="77"/>
        <v>776.1</v>
      </c>
    </row>
    <row r="2187" spans="1:45" x14ac:dyDescent="0.3">
      <c r="A2187" s="1">
        <v>45900.965277777781</v>
      </c>
      <c r="B2187" t="s">
        <v>1499</v>
      </c>
      <c r="C2187" t="s">
        <v>1500</v>
      </c>
      <c r="D2187" t="s">
        <v>1185</v>
      </c>
      <c r="E2187" t="s">
        <v>1185</v>
      </c>
      <c r="F2187" t="s">
        <v>2042</v>
      </c>
      <c r="G2187" t="s">
        <v>1186</v>
      </c>
      <c r="H2187" t="s">
        <v>635</v>
      </c>
      <c r="I2187" t="s">
        <v>43</v>
      </c>
      <c r="J2187">
        <v>100</v>
      </c>
      <c r="K2187">
        <v>19</v>
      </c>
      <c r="L2187">
        <v>10</v>
      </c>
      <c r="M2187">
        <v>11</v>
      </c>
      <c r="N2187">
        <v>30</v>
      </c>
      <c r="O2187">
        <v>2</v>
      </c>
      <c r="P2187">
        <v>0</v>
      </c>
      <c r="Q2187" t="s">
        <v>44</v>
      </c>
      <c r="R2187" t="s">
        <v>44</v>
      </c>
      <c r="S2187" t="s">
        <v>44</v>
      </c>
      <c r="T2187" t="s">
        <v>44</v>
      </c>
      <c r="U2187" t="s">
        <v>44</v>
      </c>
      <c r="V2187">
        <v>15</v>
      </c>
      <c r="W2187" t="s">
        <v>44</v>
      </c>
      <c r="X2187" t="s">
        <v>44</v>
      </c>
      <c r="Y2187">
        <v>15</v>
      </c>
      <c r="Z2187" t="s">
        <v>44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17</v>
      </c>
      <c r="AQ2187">
        <f t="shared" si="76"/>
        <v>17</v>
      </c>
      <c r="AR2187" s="5">
        <f>VLOOKUP(F2187,'[1]Cost Sheet'!$C:$D,2,0)</f>
        <v>51.74</v>
      </c>
      <c r="AS2187" s="5">
        <f t="shared" si="77"/>
        <v>879.58</v>
      </c>
    </row>
    <row r="2188" spans="1:45" x14ac:dyDescent="0.3">
      <c r="A2188" s="1">
        <v>45900.965277777781</v>
      </c>
      <c r="B2188" t="s">
        <v>1499</v>
      </c>
      <c r="C2188" t="s">
        <v>1500</v>
      </c>
      <c r="D2188" t="s">
        <v>1187</v>
      </c>
      <c r="E2188" t="s">
        <v>1187</v>
      </c>
      <c r="F2188" t="s">
        <v>2043</v>
      </c>
      <c r="G2188" t="s">
        <v>1188</v>
      </c>
      <c r="H2188" t="s">
        <v>635</v>
      </c>
      <c r="I2188" t="s">
        <v>43</v>
      </c>
      <c r="J2188">
        <v>100</v>
      </c>
      <c r="K2188">
        <v>19</v>
      </c>
      <c r="L2188">
        <v>10</v>
      </c>
      <c r="M2188">
        <v>11</v>
      </c>
      <c r="N2188">
        <v>27</v>
      </c>
      <c r="O2188">
        <v>2</v>
      </c>
      <c r="P2188">
        <v>0</v>
      </c>
      <c r="Q2188" t="s">
        <v>44</v>
      </c>
      <c r="R2188" t="s">
        <v>44</v>
      </c>
      <c r="S2188" t="s">
        <v>44</v>
      </c>
      <c r="T2188" t="s">
        <v>44</v>
      </c>
      <c r="U2188" t="s">
        <v>44</v>
      </c>
      <c r="V2188">
        <v>7</v>
      </c>
      <c r="W2188" t="s">
        <v>44</v>
      </c>
      <c r="X2188" t="s">
        <v>44</v>
      </c>
      <c r="Y2188">
        <v>7</v>
      </c>
      <c r="Z2188" t="s">
        <v>44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9</v>
      </c>
      <c r="AQ2188">
        <f t="shared" si="76"/>
        <v>9</v>
      </c>
      <c r="AR2188" s="5">
        <f>VLOOKUP(F2188,'[1]Cost Sheet'!$C:$D,2,0)</f>
        <v>51.74</v>
      </c>
      <c r="AS2188" s="5">
        <f t="shared" si="77"/>
        <v>465.66</v>
      </c>
    </row>
    <row r="2189" spans="1:45" x14ac:dyDescent="0.3">
      <c r="A2189" s="1">
        <v>45900.965277777781</v>
      </c>
      <c r="B2189" t="s">
        <v>1499</v>
      </c>
      <c r="C2189" t="s">
        <v>1500</v>
      </c>
      <c r="D2189" t="s">
        <v>1191</v>
      </c>
      <c r="E2189" t="s">
        <v>1191</v>
      </c>
      <c r="F2189" t="s">
        <v>2045</v>
      </c>
      <c r="G2189" t="s">
        <v>1192</v>
      </c>
      <c r="H2189" t="s">
        <v>635</v>
      </c>
      <c r="I2189" t="s">
        <v>43</v>
      </c>
      <c r="J2189">
        <v>100</v>
      </c>
      <c r="K2189">
        <v>19</v>
      </c>
      <c r="L2189">
        <v>10</v>
      </c>
      <c r="M2189">
        <v>11</v>
      </c>
      <c r="N2189">
        <v>25</v>
      </c>
      <c r="O2189">
        <v>4</v>
      </c>
      <c r="P2189">
        <v>0</v>
      </c>
      <c r="Q2189" t="s">
        <v>44</v>
      </c>
      <c r="R2189" t="s">
        <v>44</v>
      </c>
      <c r="S2189" t="s">
        <v>44</v>
      </c>
      <c r="T2189" t="s">
        <v>44</v>
      </c>
      <c r="U2189" t="s">
        <v>44</v>
      </c>
      <c r="V2189">
        <v>0</v>
      </c>
      <c r="W2189" t="s">
        <v>44</v>
      </c>
      <c r="X2189" t="s">
        <v>44</v>
      </c>
      <c r="Y2189" t="s">
        <v>44</v>
      </c>
      <c r="Z2189" t="s">
        <v>44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4</v>
      </c>
      <c r="AQ2189">
        <f t="shared" si="76"/>
        <v>4</v>
      </c>
      <c r="AR2189" s="5">
        <f>VLOOKUP(F2189,'[1]Cost Sheet'!$C:$D,2,0)</f>
        <v>113</v>
      </c>
      <c r="AS2189" s="5">
        <f t="shared" si="77"/>
        <v>452</v>
      </c>
    </row>
    <row r="2190" spans="1:45" x14ac:dyDescent="0.3">
      <c r="A2190" s="1">
        <v>45900.965277777781</v>
      </c>
      <c r="B2190" t="s">
        <v>1499</v>
      </c>
      <c r="C2190" t="s">
        <v>1500</v>
      </c>
      <c r="D2190" t="s">
        <v>720</v>
      </c>
      <c r="F2190" t="s">
        <v>1813</v>
      </c>
      <c r="G2190" t="s">
        <v>721</v>
      </c>
      <c r="H2190" t="s">
        <v>130</v>
      </c>
      <c r="I2190" t="s">
        <v>43</v>
      </c>
      <c r="J2190">
        <v>32.020000000000003</v>
      </c>
      <c r="K2190">
        <v>19</v>
      </c>
      <c r="L2190">
        <v>10</v>
      </c>
      <c r="M2190">
        <v>11</v>
      </c>
      <c r="N2190">
        <v>1044</v>
      </c>
      <c r="O2190">
        <v>24</v>
      </c>
      <c r="P2190">
        <v>0</v>
      </c>
      <c r="Q2190" t="s">
        <v>44</v>
      </c>
      <c r="R2190" t="s">
        <v>44</v>
      </c>
      <c r="S2190" t="s">
        <v>44</v>
      </c>
      <c r="T2190" t="s">
        <v>44</v>
      </c>
      <c r="U2190" t="s">
        <v>44</v>
      </c>
      <c r="V2190">
        <v>0</v>
      </c>
      <c r="W2190" t="s">
        <v>44</v>
      </c>
      <c r="X2190" t="s">
        <v>44</v>
      </c>
      <c r="Y2190" t="s">
        <v>44</v>
      </c>
      <c r="Z2190" t="s">
        <v>44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24</v>
      </c>
      <c r="AQ2190">
        <f t="shared" si="76"/>
        <v>24</v>
      </c>
      <c r="AR2190" s="5">
        <f>VLOOKUP(F2190,'[2]SCP_24-25'!$A:$D,4,0)</f>
        <v>96.2</v>
      </c>
      <c r="AS2190" s="5">
        <f t="shared" si="77"/>
        <v>2308.8000000000002</v>
      </c>
    </row>
    <row r="2191" spans="1:45" x14ac:dyDescent="0.3">
      <c r="A2191" s="1">
        <v>45900.965277777781</v>
      </c>
      <c r="B2191" t="s">
        <v>1499</v>
      </c>
      <c r="C2191" t="s">
        <v>1500</v>
      </c>
      <c r="D2191" t="s">
        <v>601</v>
      </c>
      <c r="F2191" t="s">
        <v>1754</v>
      </c>
      <c r="G2191" t="s">
        <v>602</v>
      </c>
      <c r="H2191" t="s">
        <v>130</v>
      </c>
      <c r="I2191" t="s">
        <v>43</v>
      </c>
      <c r="J2191">
        <v>32.020000000000003</v>
      </c>
      <c r="K2191">
        <v>19</v>
      </c>
      <c r="L2191">
        <v>10</v>
      </c>
      <c r="M2191">
        <v>11</v>
      </c>
      <c r="N2191">
        <v>3023</v>
      </c>
      <c r="O2191">
        <v>24</v>
      </c>
      <c r="P2191">
        <v>0</v>
      </c>
      <c r="Q2191" t="s">
        <v>44</v>
      </c>
      <c r="R2191" t="s">
        <v>44</v>
      </c>
      <c r="S2191" t="s">
        <v>44</v>
      </c>
      <c r="T2191" t="s">
        <v>44</v>
      </c>
      <c r="U2191" t="s">
        <v>44</v>
      </c>
      <c r="V2191">
        <v>0</v>
      </c>
      <c r="W2191" t="s">
        <v>44</v>
      </c>
      <c r="X2191" t="s">
        <v>44</v>
      </c>
      <c r="Y2191" t="s">
        <v>44</v>
      </c>
      <c r="Z2191" t="s">
        <v>44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24</v>
      </c>
      <c r="AQ2191">
        <f t="shared" si="76"/>
        <v>24</v>
      </c>
      <c r="AR2191" s="5">
        <f>VLOOKUP(F2191,'[2]SCP_24-25'!$A:$D,4,0)</f>
        <v>96.2</v>
      </c>
      <c r="AS2191" s="5">
        <f t="shared" si="77"/>
        <v>2308.8000000000002</v>
      </c>
    </row>
    <row r="2192" spans="1:45" x14ac:dyDescent="0.3">
      <c r="A2192" s="1">
        <v>45900.965277777781</v>
      </c>
      <c r="B2192" t="s">
        <v>1499</v>
      </c>
      <c r="C2192" t="s">
        <v>1500</v>
      </c>
      <c r="D2192" t="s">
        <v>582</v>
      </c>
      <c r="F2192" t="s">
        <v>1745</v>
      </c>
      <c r="G2192" t="s">
        <v>583</v>
      </c>
      <c r="H2192" t="s">
        <v>130</v>
      </c>
      <c r="I2192" t="s">
        <v>43</v>
      </c>
      <c r="J2192">
        <v>32</v>
      </c>
      <c r="K2192">
        <v>19</v>
      </c>
      <c r="L2192">
        <v>10</v>
      </c>
      <c r="M2192">
        <v>11</v>
      </c>
      <c r="N2192">
        <v>1248</v>
      </c>
      <c r="O2192">
        <v>24</v>
      </c>
      <c r="P2192">
        <v>0</v>
      </c>
      <c r="Q2192" t="s">
        <v>44</v>
      </c>
      <c r="R2192" t="s">
        <v>44</v>
      </c>
      <c r="S2192" t="s">
        <v>44</v>
      </c>
      <c r="T2192" t="s">
        <v>44</v>
      </c>
      <c r="U2192" t="s">
        <v>44</v>
      </c>
      <c r="V2192">
        <v>32</v>
      </c>
      <c r="W2192" t="s">
        <v>44</v>
      </c>
      <c r="X2192" t="s">
        <v>44</v>
      </c>
      <c r="Y2192">
        <v>32</v>
      </c>
      <c r="Z2192" t="s">
        <v>44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56</v>
      </c>
      <c r="AQ2192">
        <f t="shared" si="76"/>
        <v>56</v>
      </c>
      <c r="AR2192" s="5">
        <f>VLOOKUP(F2192,'[2]SCP_24-25'!$A:$D,4,0)</f>
        <v>96.2</v>
      </c>
      <c r="AS2192" s="5">
        <f t="shared" si="77"/>
        <v>5387.2</v>
      </c>
    </row>
    <row r="2193" spans="1:45" x14ac:dyDescent="0.3">
      <c r="A2193" s="1">
        <v>45900.965277777781</v>
      </c>
      <c r="B2193" t="s">
        <v>1499</v>
      </c>
      <c r="C2193" t="s">
        <v>1500</v>
      </c>
      <c r="D2193" t="s">
        <v>542</v>
      </c>
      <c r="F2193" t="s">
        <v>1725</v>
      </c>
      <c r="G2193" t="s">
        <v>543</v>
      </c>
      <c r="H2193" t="s">
        <v>130</v>
      </c>
      <c r="I2193" t="s">
        <v>43</v>
      </c>
      <c r="J2193">
        <v>32.020000000000003</v>
      </c>
      <c r="K2193">
        <v>19</v>
      </c>
      <c r="L2193">
        <v>10</v>
      </c>
      <c r="M2193">
        <v>11</v>
      </c>
      <c r="N2193">
        <v>768</v>
      </c>
      <c r="O2193">
        <v>18</v>
      </c>
      <c r="P2193">
        <v>0</v>
      </c>
      <c r="Q2193" t="s">
        <v>44</v>
      </c>
      <c r="R2193" t="s">
        <v>44</v>
      </c>
      <c r="S2193" t="s">
        <v>44</v>
      </c>
      <c r="T2193" t="s">
        <v>44</v>
      </c>
      <c r="U2193" t="s">
        <v>44</v>
      </c>
      <c r="V2193">
        <v>0</v>
      </c>
      <c r="W2193" t="s">
        <v>44</v>
      </c>
      <c r="X2193" t="s">
        <v>44</v>
      </c>
      <c r="Y2193" t="s">
        <v>44</v>
      </c>
      <c r="Z2193">
        <v>1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18</v>
      </c>
      <c r="AQ2193">
        <f t="shared" si="76"/>
        <v>18</v>
      </c>
      <c r="AR2193" s="5">
        <f>VLOOKUP(F2193,'[2]SCP_24-25'!$A:$D,4,0)</f>
        <v>96.2</v>
      </c>
      <c r="AS2193" s="5">
        <f t="shared" si="77"/>
        <v>1731.6000000000001</v>
      </c>
    </row>
    <row r="2194" spans="1:45" x14ac:dyDescent="0.3">
      <c r="A2194" s="1">
        <v>45900.965277777781</v>
      </c>
      <c r="B2194" t="s">
        <v>1499</v>
      </c>
      <c r="C2194" t="s">
        <v>1500</v>
      </c>
      <c r="D2194" t="s">
        <v>586</v>
      </c>
      <c r="F2194" t="s">
        <v>1747</v>
      </c>
      <c r="G2194" t="s">
        <v>587</v>
      </c>
      <c r="H2194" t="s">
        <v>130</v>
      </c>
      <c r="I2194" t="s">
        <v>43</v>
      </c>
      <c r="J2194">
        <v>32.020000000000003</v>
      </c>
      <c r="K2194">
        <v>19</v>
      </c>
      <c r="L2194">
        <v>10</v>
      </c>
      <c r="M2194">
        <v>11</v>
      </c>
      <c r="N2194">
        <v>1530</v>
      </c>
      <c r="O2194">
        <v>24</v>
      </c>
      <c r="P2194">
        <v>0</v>
      </c>
      <c r="Q2194" t="s">
        <v>44</v>
      </c>
      <c r="R2194" t="s">
        <v>44</v>
      </c>
      <c r="S2194" t="s">
        <v>44</v>
      </c>
      <c r="T2194" t="s">
        <v>44</v>
      </c>
      <c r="U2194" t="s">
        <v>44</v>
      </c>
      <c r="V2194">
        <v>53</v>
      </c>
      <c r="W2194" t="s">
        <v>44</v>
      </c>
      <c r="X2194" t="s">
        <v>44</v>
      </c>
      <c r="Y2194">
        <v>53</v>
      </c>
      <c r="Z2194" t="s">
        <v>44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77</v>
      </c>
      <c r="AQ2194">
        <f t="shared" si="76"/>
        <v>77</v>
      </c>
      <c r="AR2194" s="5">
        <f>VLOOKUP(F2194,'[2]SCP_24-25'!$A:$D,4,0)</f>
        <v>96.2</v>
      </c>
      <c r="AS2194" s="5">
        <f t="shared" si="77"/>
        <v>7407.4000000000005</v>
      </c>
    </row>
    <row r="2195" spans="1:45" x14ac:dyDescent="0.3">
      <c r="A2195" s="1">
        <v>45900.965277777781</v>
      </c>
      <c r="B2195" t="s">
        <v>1499</v>
      </c>
      <c r="C2195" t="s">
        <v>1500</v>
      </c>
      <c r="D2195" t="s">
        <v>592</v>
      </c>
      <c r="F2195" t="s">
        <v>1750</v>
      </c>
      <c r="G2195" t="s">
        <v>593</v>
      </c>
      <c r="H2195" t="s">
        <v>130</v>
      </c>
      <c r="I2195" t="s">
        <v>43</v>
      </c>
      <c r="J2195">
        <v>32.020000000000003</v>
      </c>
      <c r="K2195">
        <v>19</v>
      </c>
      <c r="L2195">
        <v>10</v>
      </c>
      <c r="M2195">
        <v>11</v>
      </c>
      <c r="N2195">
        <v>1920</v>
      </c>
      <c r="O2195">
        <v>24</v>
      </c>
      <c r="P2195">
        <v>0</v>
      </c>
      <c r="Q2195" t="s">
        <v>44</v>
      </c>
      <c r="R2195" t="s">
        <v>44</v>
      </c>
      <c r="S2195" t="s">
        <v>44</v>
      </c>
      <c r="T2195" t="s">
        <v>44</v>
      </c>
      <c r="U2195" t="s">
        <v>44</v>
      </c>
      <c r="V2195">
        <v>0</v>
      </c>
      <c r="W2195" t="s">
        <v>44</v>
      </c>
      <c r="X2195" t="s">
        <v>44</v>
      </c>
      <c r="Y2195" t="s">
        <v>44</v>
      </c>
      <c r="Z2195" t="s">
        <v>44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24</v>
      </c>
      <c r="AQ2195">
        <f t="shared" si="76"/>
        <v>24</v>
      </c>
      <c r="AR2195" s="5">
        <f>VLOOKUP(F2195,'[2]SCP_24-25'!$A:$D,4,0)</f>
        <v>96.2</v>
      </c>
      <c r="AS2195" s="5">
        <f t="shared" si="77"/>
        <v>2308.8000000000002</v>
      </c>
    </row>
    <row r="2196" spans="1:45" x14ac:dyDescent="0.3">
      <c r="A2196" s="1">
        <v>45900.965277777781</v>
      </c>
      <c r="B2196" t="s">
        <v>1499</v>
      </c>
      <c r="C2196" t="s">
        <v>1500</v>
      </c>
      <c r="D2196" t="s">
        <v>1197</v>
      </c>
      <c r="F2196" t="s">
        <v>2048</v>
      </c>
      <c r="G2196" t="s">
        <v>1198</v>
      </c>
      <c r="H2196" t="s">
        <v>130</v>
      </c>
      <c r="I2196" t="s">
        <v>43</v>
      </c>
      <c r="J2196">
        <v>4.2</v>
      </c>
      <c r="K2196">
        <v>19</v>
      </c>
      <c r="L2196">
        <v>10</v>
      </c>
      <c r="M2196">
        <v>11</v>
      </c>
      <c r="N2196">
        <v>84</v>
      </c>
      <c r="O2196">
        <v>0</v>
      </c>
      <c r="P2196">
        <v>0</v>
      </c>
      <c r="Q2196" t="s">
        <v>44</v>
      </c>
      <c r="R2196" t="s">
        <v>44</v>
      </c>
      <c r="S2196" t="s">
        <v>44</v>
      </c>
      <c r="T2196" t="s">
        <v>44</v>
      </c>
      <c r="U2196" t="s">
        <v>44</v>
      </c>
      <c r="V2196">
        <v>68</v>
      </c>
      <c r="W2196" t="s">
        <v>44</v>
      </c>
      <c r="X2196" t="s">
        <v>44</v>
      </c>
      <c r="Y2196">
        <v>68</v>
      </c>
      <c r="Z2196" t="s">
        <v>44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68</v>
      </c>
      <c r="AQ2196">
        <f t="shared" si="76"/>
        <v>68</v>
      </c>
      <c r="AR2196" s="5">
        <f>VLOOKUP(F2196,'[1]Cost Sheet'!$C:$D,2,0)</f>
        <v>96.2</v>
      </c>
      <c r="AS2196" s="5">
        <f t="shared" si="77"/>
        <v>6541.6</v>
      </c>
    </row>
    <row r="2197" spans="1:45" x14ac:dyDescent="0.3">
      <c r="A2197" s="1">
        <v>45900.965277777781</v>
      </c>
      <c r="B2197" t="s">
        <v>1499</v>
      </c>
      <c r="C2197" t="s">
        <v>1500</v>
      </c>
      <c r="D2197" t="s">
        <v>1201</v>
      </c>
      <c r="F2197" t="s">
        <v>2050</v>
      </c>
      <c r="G2197" t="s">
        <v>1202</v>
      </c>
      <c r="H2197" t="s">
        <v>130</v>
      </c>
      <c r="I2197" t="s">
        <v>43</v>
      </c>
      <c r="J2197">
        <v>4.2</v>
      </c>
      <c r="K2197">
        <v>19</v>
      </c>
      <c r="L2197">
        <v>10</v>
      </c>
      <c r="M2197">
        <v>11</v>
      </c>
      <c r="N2197">
        <v>120</v>
      </c>
      <c r="O2197">
        <v>0</v>
      </c>
      <c r="P2197">
        <v>0</v>
      </c>
      <c r="Q2197" t="s">
        <v>44</v>
      </c>
      <c r="R2197" t="s">
        <v>44</v>
      </c>
      <c r="S2197" t="s">
        <v>44</v>
      </c>
      <c r="T2197" t="s">
        <v>44</v>
      </c>
      <c r="U2197" t="s">
        <v>44</v>
      </c>
      <c r="V2197">
        <v>95</v>
      </c>
      <c r="W2197" t="s">
        <v>44</v>
      </c>
      <c r="X2197" t="s">
        <v>44</v>
      </c>
      <c r="Y2197">
        <v>95</v>
      </c>
      <c r="Z2197" t="s">
        <v>44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95</v>
      </c>
      <c r="AQ2197">
        <f t="shared" si="76"/>
        <v>95</v>
      </c>
      <c r="AR2197" s="5">
        <f>VLOOKUP(F2197,'[1]Cost Sheet'!$C:$D,2,0)</f>
        <v>96.2</v>
      </c>
      <c r="AS2197" s="5">
        <f t="shared" si="77"/>
        <v>9139</v>
      </c>
    </row>
    <row r="2198" spans="1:45" x14ac:dyDescent="0.3">
      <c r="A2198" s="1">
        <v>45900.965277777781</v>
      </c>
      <c r="B2198" t="s">
        <v>1499</v>
      </c>
      <c r="C2198" t="s">
        <v>1500</v>
      </c>
      <c r="D2198" t="s">
        <v>1203</v>
      </c>
      <c r="F2198" t="s">
        <v>2051</v>
      </c>
      <c r="G2198" t="s">
        <v>1204</v>
      </c>
      <c r="H2198" t="s">
        <v>66</v>
      </c>
      <c r="I2198" t="s">
        <v>43</v>
      </c>
      <c r="J2198">
        <v>100</v>
      </c>
      <c r="K2198">
        <v>19</v>
      </c>
      <c r="L2198">
        <v>10</v>
      </c>
      <c r="M2198">
        <v>11</v>
      </c>
      <c r="N2198">
        <v>91</v>
      </c>
      <c r="O2198">
        <v>2</v>
      </c>
      <c r="P2198">
        <v>0</v>
      </c>
      <c r="Q2198" t="s">
        <v>44</v>
      </c>
      <c r="R2198" t="s">
        <v>44</v>
      </c>
      <c r="S2198" t="s">
        <v>44</v>
      </c>
      <c r="T2198" t="s">
        <v>44</v>
      </c>
      <c r="U2198" t="s">
        <v>44</v>
      </c>
      <c r="V2198">
        <v>47</v>
      </c>
      <c r="W2198" t="s">
        <v>44</v>
      </c>
      <c r="X2198" t="s">
        <v>44</v>
      </c>
      <c r="Y2198">
        <v>47</v>
      </c>
      <c r="Z2198" t="s">
        <v>44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49</v>
      </c>
      <c r="AQ2198">
        <f t="shared" si="76"/>
        <v>49</v>
      </c>
      <c r="AR2198" s="5">
        <f>VLOOKUP(F2198,'[1]Cost Sheet'!$C:$D,2,0)</f>
        <v>34.880000000000003</v>
      </c>
      <c r="AS2198" s="5">
        <f t="shared" si="77"/>
        <v>1709.1200000000001</v>
      </c>
    </row>
    <row r="2199" spans="1:45" x14ac:dyDescent="0.3">
      <c r="A2199" s="1">
        <v>45900.965277777781</v>
      </c>
      <c r="B2199" t="s">
        <v>1499</v>
      </c>
      <c r="C2199" t="s">
        <v>1500</v>
      </c>
      <c r="D2199" t="s">
        <v>724</v>
      </c>
      <c r="F2199" t="s">
        <v>1815</v>
      </c>
      <c r="G2199" t="s">
        <v>725</v>
      </c>
      <c r="H2199" t="s">
        <v>66</v>
      </c>
      <c r="I2199" t="s">
        <v>43</v>
      </c>
      <c r="J2199">
        <v>121</v>
      </c>
      <c r="K2199">
        <v>19</v>
      </c>
      <c r="L2199">
        <v>10</v>
      </c>
      <c r="M2199">
        <v>11</v>
      </c>
      <c r="N2199">
        <v>11</v>
      </c>
      <c r="O2199">
        <v>0</v>
      </c>
      <c r="P2199">
        <v>0</v>
      </c>
      <c r="Q2199" t="s">
        <v>44</v>
      </c>
      <c r="R2199" t="s">
        <v>44</v>
      </c>
      <c r="S2199" t="s">
        <v>44</v>
      </c>
      <c r="T2199" t="s">
        <v>44</v>
      </c>
      <c r="U2199" t="s">
        <v>44</v>
      </c>
      <c r="V2199">
        <v>11</v>
      </c>
      <c r="W2199" t="s">
        <v>44</v>
      </c>
      <c r="X2199" t="s">
        <v>44</v>
      </c>
      <c r="Y2199">
        <v>11</v>
      </c>
      <c r="Z2199" t="s">
        <v>44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11</v>
      </c>
      <c r="AQ2199">
        <f t="shared" si="76"/>
        <v>11</v>
      </c>
      <c r="AR2199" s="5">
        <f>VLOOKUP(F2199,'[1]Cost Sheet'!$C:$D,2,0)</f>
        <v>38.68</v>
      </c>
      <c r="AS2199" s="5">
        <f t="shared" si="77"/>
        <v>425.48</v>
      </c>
    </row>
    <row r="2200" spans="1:45" x14ac:dyDescent="0.3">
      <c r="A2200" s="1">
        <v>45900.965277777781</v>
      </c>
      <c r="B2200" t="s">
        <v>1499</v>
      </c>
      <c r="C2200" t="s">
        <v>1500</v>
      </c>
      <c r="D2200" t="s">
        <v>728</v>
      </c>
      <c r="F2200" t="s">
        <v>1817</v>
      </c>
      <c r="G2200" t="s">
        <v>729</v>
      </c>
      <c r="H2200" t="s">
        <v>66</v>
      </c>
      <c r="I2200" t="s">
        <v>43</v>
      </c>
      <c r="J2200">
        <v>130</v>
      </c>
      <c r="K2200">
        <v>19</v>
      </c>
      <c r="L2200">
        <v>10</v>
      </c>
      <c r="M2200">
        <v>11</v>
      </c>
      <c r="N2200">
        <v>77</v>
      </c>
      <c r="O2200">
        <v>0</v>
      </c>
      <c r="P2200">
        <v>0</v>
      </c>
      <c r="Q2200" t="s">
        <v>44</v>
      </c>
      <c r="R2200" t="s">
        <v>44</v>
      </c>
      <c r="S2200" t="s">
        <v>44</v>
      </c>
      <c r="T2200" t="s">
        <v>44</v>
      </c>
      <c r="U2200" t="s">
        <v>44</v>
      </c>
      <c r="V2200">
        <v>77</v>
      </c>
      <c r="W2200" t="s">
        <v>44</v>
      </c>
      <c r="X2200" t="s">
        <v>44</v>
      </c>
      <c r="Y2200">
        <v>77</v>
      </c>
      <c r="Z2200" t="s">
        <v>44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77</v>
      </c>
      <c r="AQ2200">
        <f t="shared" si="76"/>
        <v>77</v>
      </c>
      <c r="AR2200" s="5">
        <f>VLOOKUP(F2200,'[1]Cost Sheet'!$C:$D,2,0)</f>
        <v>35.085999999999999</v>
      </c>
      <c r="AS2200" s="5">
        <f t="shared" si="77"/>
        <v>2701.6219999999998</v>
      </c>
    </row>
    <row r="2201" spans="1:45" x14ac:dyDescent="0.3">
      <c r="A2201" s="1">
        <v>45900.965277777781</v>
      </c>
      <c r="B2201" t="s">
        <v>1499</v>
      </c>
      <c r="C2201" t="s">
        <v>1500</v>
      </c>
      <c r="D2201" t="s">
        <v>1211</v>
      </c>
      <c r="F2201" t="s">
        <v>2055</v>
      </c>
      <c r="G2201" t="s">
        <v>1212</v>
      </c>
      <c r="H2201" t="s">
        <v>103</v>
      </c>
      <c r="I2201" t="s">
        <v>43</v>
      </c>
      <c r="J2201">
        <v>237</v>
      </c>
      <c r="K2201">
        <v>19</v>
      </c>
      <c r="L2201">
        <v>10</v>
      </c>
      <c r="M2201">
        <v>11</v>
      </c>
      <c r="N2201">
        <v>43</v>
      </c>
      <c r="O2201">
        <v>0</v>
      </c>
      <c r="P2201">
        <v>0</v>
      </c>
      <c r="Q2201" t="s">
        <v>44</v>
      </c>
      <c r="R2201" t="s">
        <v>44</v>
      </c>
      <c r="S2201" t="s">
        <v>44</v>
      </c>
      <c r="T2201" t="s">
        <v>44</v>
      </c>
      <c r="U2201" t="s">
        <v>44</v>
      </c>
      <c r="V2201">
        <v>43</v>
      </c>
      <c r="W2201" t="s">
        <v>44</v>
      </c>
      <c r="X2201" t="s">
        <v>44</v>
      </c>
      <c r="Y2201">
        <v>43</v>
      </c>
      <c r="Z2201" t="s">
        <v>44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43</v>
      </c>
      <c r="AQ2201">
        <f t="shared" si="76"/>
        <v>43</v>
      </c>
      <c r="AR2201" s="5">
        <f>VLOOKUP(F2201,'[1]Cost Sheet'!$C:$D,2,0)</f>
        <v>75.010000000000005</v>
      </c>
      <c r="AS2201" s="5">
        <f t="shared" si="77"/>
        <v>3225.4300000000003</v>
      </c>
    </row>
    <row r="2202" spans="1:45" x14ac:dyDescent="0.3">
      <c r="A2202" s="1">
        <v>45900.965277777781</v>
      </c>
      <c r="B2202" t="s">
        <v>1499</v>
      </c>
      <c r="C2202" t="s">
        <v>1500</v>
      </c>
      <c r="D2202" t="s">
        <v>1213</v>
      </c>
      <c r="F2202" t="s">
        <v>2056</v>
      </c>
      <c r="G2202" t="s">
        <v>1214</v>
      </c>
      <c r="H2202" t="s">
        <v>66</v>
      </c>
      <c r="I2202" t="s">
        <v>43</v>
      </c>
      <c r="J2202">
        <v>206</v>
      </c>
      <c r="K2202">
        <v>19</v>
      </c>
      <c r="L2202">
        <v>10</v>
      </c>
      <c r="M2202">
        <v>11</v>
      </c>
      <c r="N2202">
        <v>47</v>
      </c>
      <c r="O2202">
        <v>0</v>
      </c>
      <c r="P2202">
        <v>0</v>
      </c>
      <c r="Q2202" t="s">
        <v>44</v>
      </c>
      <c r="R2202" t="s">
        <v>44</v>
      </c>
      <c r="S2202" t="s">
        <v>44</v>
      </c>
      <c r="T2202" t="s">
        <v>44</v>
      </c>
      <c r="U2202" t="s">
        <v>44</v>
      </c>
      <c r="V2202">
        <v>47</v>
      </c>
      <c r="W2202" t="s">
        <v>44</v>
      </c>
      <c r="X2202" t="s">
        <v>44</v>
      </c>
      <c r="Y2202">
        <v>47</v>
      </c>
      <c r="Z2202" t="s">
        <v>44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47</v>
      </c>
      <c r="AQ2202">
        <f t="shared" ref="AQ2202:AQ2264" si="78">O2202+P2202+V2202+AA2202</f>
        <v>47</v>
      </c>
      <c r="AR2202" s="5">
        <f>VLOOKUP(F2202,'[1]Cost Sheet'!$C:$D,2,0)</f>
        <v>61.72</v>
      </c>
      <c r="AS2202" s="5">
        <f t="shared" si="77"/>
        <v>2900.84</v>
      </c>
    </row>
    <row r="2203" spans="1:45" x14ac:dyDescent="0.3">
      <c r="A2203" s="1">
        <v>45900.965277777781</v>
      </c>
      <c r="B2203" t="s">
        <v>1499</v>
      </c>
      <c r="C2203" t="s">
        <v>1500</v>
      </c>
      <c r="D2203" t="s">
        <v>1215</v>
      </c>
      <c r="F2203" t="s">
        <v>2057</v>
      </c>
      <c r="G2203" t="s">
        <v>1216</v>
      </c>
      <c r="H2203" t="s">
        <v>66</v>
      </c>
      <c r="I2203" t="s">
        <v>43</v>
      </c>
      <c r="J2203">
        <v>195</v>
      </c>
      <c r="K2203">
        <v>19</v>
      </c>
      <c r="L2203">
        <v>10</v>
      </c>
      <c r="M2203">
        <v>11</v>
      </c>
      <c r="N2203">
        <v>11</v>
      </c>
      <c r="O2203">
        <v>0</v>
      </c>
      <c r="P2203">
        <v>0</v>
      </c>
      <c r="Q2203" t="s">
        <v>44</v>
      </c>
      <c r="R2203" t="s">
        <v>44</v>
      </c>
      <c r="S2203" t="s">
        <v>44</v>
      </c>
      <c r="T2203" t="s">
        <v>44</v>
      </c>
      <c r="U2203" t="s">
        <v>44</v>
      </c>
      <c r="V2203">
        <v>11</v>
      </c>
      <c r="W2203" t="s">
        <v>44</v>
      </c>
      <c r="X2203" t="s">
        <v>44</v>
      </c>
      <c r="Y2203">
        <v>11</v>
      </c>
      <c r="Z2203" t="s">
        <v>44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11</v>
      </c>
      <c r="AQ2203">
        <f t="shared" si="78"/>
        <v>11</v>
      </c>
      <c r="AR2203" s="5">
        <f>VLOOKUP(F2203,'[1]Cost Sheet'!$C:$D,2,0)</f>
        <v>66.899999999999991</v>
      </c>
      <c r="AS2203" s="5">
        <f t="shared" si="77"/>
        <v>735.89999999999986</v>
      </c>
    </row>
    <row r="2204" spans="1:45" x14ac:dyDescent="0.3">
      <c r="A2204" s="1">
        <v>45900.965277777781</v>
      </c>
      <c r="B2204" t="s">
        <v>1499</v>
      </c>
      <c r="C2204" t="s">
        <v>1500</v>
      </c>
      <c r="D2204" t="s">
        <v>730</v>
      </c>
      <c r="F2204" t="s">
        <v>1818</v>
      </c>
      <c r="G2204" t="s">
        <v>731</v>
      </c>
      <c r="H2204" t="s">
        <v>66</v>
      </c>
      <c r="I2204" t="s">
        <v>43</v>
      </c>
      <c r="J2204">
        <v>205</v>
      </c>
      <c r="K2204">
        <v>19</v>
      </c>
      <c r="L2204">
        <v>10</v>
      </c>
      <c r="M2204">
        <v>11</v>
      </c>
      <c r="N2204">
        <v>15</v>
      </c>
      <c r="O2204">
        <v>0</v>
      </c>
      <c r="P2204">
        <v>0</v>
      </c>
      <c r="Q2204" t="s">
        <v>44</v>
      </c>
      <c r="R2204" t="s">
        <v>44</v>
      </c>
      <c r="S2204" t="s">
        <v>44</v>
      </c>
      <c r="T2204" t="s">
        <v>44</v>
      </c>
      <c r="U2204" t="s">
        <v>44</v>
      </c>
      <c r="V2204">
        <v>15</v>
      </c>
      <c r="W2204" t="s">
        <v>44</v>
      </c>
      <c r="X2204" t="s">
        <v>44</v>
      </c>
      <c r="Y2204">
        <v>15</v>
      </c>
      <c r="Z2204" t="s">
        <v>44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15</v>
      </c>
      <c r="AQ2204">
        <f t="shared" si="78"/>
        <v>15</v>
      </c>
      <c r="AR2204" s="5">
        <f>VLOOKUP(F2204,'[1]Cost Sheet'!$C:$D,2,0)</f>
        <v>61.48</v>
      </c>
      <c r="AS2204" s="5">
        <f t="shared" si="77"/>
        <v>922.19999999999993</v>
      </c>
    </row>
    <row r="2205" spans="1:45" x14ac:dyDescent="0.3">
      <c r="A2205" s="1">
        <v>45900.965277777781</v>
      </c>
      <c r="B2205" t="s">
        <v>1499</v>
      </c>
      <c r="C2205" t="s">
        <v>1500</v>
      </c>
      <c r="D2205" t="s">
        <v>1217</v>
      </c>
      <c r="F2205" t="s">
        <v>2058</v>
      </c>
      <c r="G2205" t="s">
        <v>1218</v>
      </c>
      <c r="H2205" t="s">
        <v>66</v>
      </c>
      <c r="I2205" t="s">
        <v>43</v>
      </c>
      <c r="J2205">
        <v>200</v>
      </c>
      <c r="K2205">
        <v>19</v>
      </c>
      <c r="L2205">
        <v>10</v>
      </c>
      <c r="M2205">
        <v>11</v>
      </c>
      <c r="N2205">
        <v>1</v>
      </c>
      <c r="O2205">
        <v>0</v>
      </c>
      <c r="P2205">
        <v>0</v>
      </c>
      <c r="Q2205" t="s">
        <v>44</v>
      </c>
      <c r="R2205" t="s">
        <v>44</v>
      </c>
      <c r="S2205" t="s">
        <v>44</v>
      </c>
      <c r="T2205" t="s">
        <v>44</v>
      </c>
      <c r="U2205" t="s">
        <v>44</v>
      </c>
      <c r="V2205">
        <v>1</v>
      </c>
      <c r="W2205" t="s">
        <v>44</v>
      </c>
      <c r="X2205" t="s">
        <v>44</v>
      </c>
      <c r="Y2205">
        <v>1</v>
      </c>
      <c r="Z2205" t="s">
        <v>44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f t="shared" si="78"/>
        <v>1</v>
      </c>
      <c r="AR2205" s="5">
        <f>VLOOKUP(F2205,'[1]Cost Sheet'!$C:$D,2,0)</f>
        <v>62.99</v>
      </c>
      <c r="AS2205" s="5">
        <f t="shared" si="77"/>
        <v>62.99</v>
      </c>
    </row>
    <row r="2206" spans="1:45" x14ac:dyDescent="0.3">
      <c r="A2206" s="1">
        <v>45900.965277777781</v>
      </c>
      <c r="B2206" t="s">
        <v>1499</v>
      </c>
      <c r="C2206" t="s">
        <v>1500</v>
      </c>
      <c r="D2206" t="s">
        <v>1434</v>
      </c>
      <c r="F2206" t="s">
        <v>2163</v>
      </c>
      <c r="G2206" t="s">
        <v>1435</v>
      </c>
      <c r="H2206" t="s">
        <v>66</v>
      </c>
      <c r="I2206" t="s">
        <v>43</v>
      </c>
      <c r="J2206">
        <v>150</v>
      </c>
      <c r="K2206">
        <v>19</v>
      </c>
      <c r="L2206">
        <v>10</v>
      </c>
      <c r="M2206">
        <v>11</v>
      </c>
      <c r="N2206">
        <v>1</v>
      </c>
      <c r="O2206">
        <v>0</v>
      </c>
      <c r="P2206">
        <v>0</v>
      </c>
      <c r="Q2206" t="s">
        <v>44</v>
      </c>
      <c r="R2206" t="s">
        <v>44</v>
      </c>
      <c r="S2206" t="s">
        <v>44</v>
      </c>
      <c r="T2206" t="s">
        <v>44</v>
      </c>
      <c r="U2206" t="s">
        <v>44</v>
      </c>
      <c r="V2206">
        <v>1</v>
      </c>
      <c r="W2206" t="s">
        <v>44</v>
      </c>
      <c r="X2206" t="s">
        <v>44</v>
      </c>
      <c r="Y2206">
        <v>1</v>
      </c>
      <c r="Z2206" t="s">
        <v>44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</v>
      </c>
      <c r="AQ2206">
        <f t="shared" si="78"/>
        <v>1</v>
      </c>
      <c r="AR2206" s="5">
        <f>VLOOKUP(F2206,'[1]Cost Sheet'!$C:$D,2,0)</f>
        <v>40.29</v>
      </c>
      <c r="AS2206" s="5">
        <f t="shared" si="77"/>
        <v>40.29</v>
      </c>
    </row>
    <row r="2207" spans="1:45" x14ac:dyDescent="0.3">
      <c r="A2207" s="1">
        <v>45900.965277777781</v>
      </c>
      <c r="B2207" t="s">
        <v>1499</v>
      </c>
      <c r="C2207" t="s">
        <v>1500</v>
      </c>
      <c r="D2207" t="s">
        <v>1436</v>
      </c>
      <c r="F2207" t="s">
        <v>2164</v>
      </c>
      <c r="G2207" t="s">
        <v>1437</v>
      </c>
      <c r="H2207" t="s">
        <v>103</v>
      </c>
      <c r="I2207" t="s">
        <v>43</v>
      </c>
      <c r="J2207">
        <v>199</v>
      </c>
      <c r="K2207">
        <v>19</v>
      </c>
      <c r="L2207">
        <v>10</v>
      </c>
      <c r="M2207">
        <v>11</v>
      </c>
      <c r="N2207">
        <v>5</v>
      </c>
      <c r="O2207">
        <v>0</v>
      </c>
      <c r="P2207">
        <v>0</v>
      </c>
      <c r="Q2207" t="s">
        <v>44</v>
      </c>
      <c r="R2207" t="s">
        <v>44</v>
      </c>
      <c r="S2207" t="s">
        <v>44</v>
      </c>
      <c r="T2207" t="s">
        <v>44</v>
      </c>
      <c r="U2207" t="s">
        <v>44</v>
      </c>
      <c r="V2207">
        <v>5</v>
      </c>
      <c r="W2207" t="s">
        <v>44</v>
      </c>
      <c r="X2207" t="s">
        <v>44</v>
      </c>
      <c r="Y2207">
        <v>5</v>
      </c>
      <c r="Z2207" t="s">
        <v>44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5</v>
      </c>
      <c r="AQ2207">
        <f t="shared" si="78"/>
        <v>5</v>
      </c>
      <c r="AR2207" s="5">
        <f>VLOOKUP(F2207,'[1]Cost Sheet'!$C:$D,2,0)</f>
        <v>85.41</v>
      </c>
      <c r="AS2207" s="5">
        <f t="shared" si="77"/>
        <v>427.04999999999995</v>
      </c>
    </row>
    <row r="2208" spans="1:45" x14ac:dyDescent="0.3">
      <c r="A2208" s="1">
        <v>45900.965277777781</v>
      </c>
      <c r="B2208" t="s">
        <v>1499</v>
      </c>
      <c r="C2208" t="s">
        <v>1500</v>
      </c>
      <c r="D2208" t="s">
        <v>1221</v>
      </c>
      <c r="F2208" t="s">
        <v>2060</v>
      </c>
      <c r="G2208" t="s">
        <v>1222</v>
      </c>
      <c r="H2208" t="s">
        <v>103</v>
      </c>
      <c r="I2208" t="s">
        <v>43</v>
      </c>
      <c r="J2208">
        <v>150</v>
      </c>
      <c r="K2208">
        <v>19</v>
      </c>
      <c r="L2208">
        <v>10</v>
      </c>
      <c r="M2208">
        <v>11</v>
      </c>
      <c r="N2208">
        <v>19</v>
      </c>
      <c r="O2208">
        <v>0</v>
      </c>
      <c r="P2208">
        <v>0</v>
      </c>
      <c r="Q2208" t="s">
        <v>44</v>
      </c>
      <c r="R2208" t="s">
        <v>44</v>
      </c>
      <c r="S2208" t="s">
        <v>44</v>
      </c>
      <c r="T2208" t="s">
        <v>44</v>
      </c>
      <c r="U2208" t="s">
        <v>44</v>
      </c>
      <c r="V2208">
        <v>19</v>
      </c>
      <c r="W2208" t="s">
        <v>44</v>
      </c>
      <c r="X2208" t="s">
        <v>44</v>
      </c>
      <c r="Y2208">
        <v>19</v>
      </c>
      <c r="Z2208" t="s">
        <v>44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19</v>
      </c>
      <c r="AQ2208">
        <f t="shared" si="78"/>
        <v>19</v>
      </c>
      <c r="AR2208" s="5">
        <f>VLOOKUP(F2208,'[1]Cost Sheet'!$C:$D,2,0)</f>
        <v>45.01</v>
      </c>
      <c r="AS2208" s="5">
        <f t="shared" si="77"/>
        <v>855.18999999999994</v>
      </c>
    </row>
    <row r="2209" spans="1:45" x14ac:dyDescent="0.3">
      <c r="A2209" s="1">
        <v>45900.965277777781</v>
      </c>
      <c r="B2209" t="s">
        <v>1499</v>
      </c>
      <c r="C2209" t="s">
        <v>1500</v>
      </c>
      <c r="D2209" t="s">
        <v>1440</v>
      </c>
      <c r="F2209" t="s">
        <v>2166</v>
      </c>
      <c r="G2209" t="s">
        <v>1441</v>
      </c>
      <c r="H2209" t="s">
        <v>66</v>
      </c>
      <c r="I2209" t="s">
        <v>43</v>
      </c>
      <c r="J2209">
        <v>150</v>
      </c>
      <c r="K2209">
        <v>19</v>
      </c>
      <c r="L2209">
        <v>10</v>
      </c>
      <c r="M2209">
        <v>11</v>
      </c>
      <c r="N2209">
        <v>19</v>
      </c>
      <c r="O2209">
        <v>0</v>
      </c>
      <c r="P2209">
        <v>0</v>
      </c>
      <c r="Q2209" t="s">
        <v>44</v>
      </c>
      <c r="R2209" t="s">
        <v>44</v>
      </c>
      <c r="S2209" t="s">
        <v>44</v>
      </c>
      <c r="T2209" t="s">
        <v>44</v>
      </c>
      <c r="U2209" t="s">
        <v>44</v>
      </c>
      <c r="V2209">
        <v>19</v>
      </c>
      <c r="W2209" t="s">
        <v>44</v>
      </c>
      <c r="X2209" t="s">
        <v>44</v>
      </c>
      <c r="Y2209">
        <v>19</v>
      </c>
      <c r="Z2209" t="s">
        <v>44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19</v>
      </c>
      <c r="AQ2209">
        <f t="shared" si="78"/>
        <v>19</v>
      </c>
      <c r="AR2209" s="5">
        <f>VLOOKUP(F2209,'[1]Cost Sheet'!$C:$D,2,0)</f>
        <v>48.72</v>
      </c>
      <c r="AS2209" s="5">
        <f t="shared" si="77"/>
        <v>925.68</v>
      </c>
    </row>
    <row r="2210" spans="1:45" x14ac:dyDescent="0.3">
      <c r="A2210" s="1">
        <v>45900.965277777781</v>
      </c>
      <c r="B2210" t="s">
        <v>1499</v>
      </c>
      <c r="C2210" t="s">
        <v>1500</v>
      </c>
      <c r="D2210" t="s">
        <v>1223</v>
      </c>
      <c r="F2210" t="s">
        <v>2061</v>
      </c>
      <c r="G2210" t="s">
        <v>1224</v>
      </c>
      <c r="H2210" t="s">
        <v>66</v>
      </c>
      <c r="I2210" t="s">
        <v>43</v>
      </c>
      <c r="J2210">
        <v>50</v>
      </c>
      <c r="K2210">
        <v>19</v>
      </c>
      <c r="L2210">
        <v>10</v>
      </c>
      <c r="M2210">
        <v>11</v>
      </c>
      <c r="N2210">
        <v>72</v>
      </c>
      <c r="O2210">
        <v>0</v>
      </c>
      <c r="P2210">
        <v>0</v>
      </c>
      <c r="Q2210" t="s">
        <v>44</v>
      </c>
      <c r="R2210" t="s">
        <v>44</v>
      </c>
      <c r="S2210" t="s">
        <v>44</v>
      </c>
      <c r="T2210" t="s">
        <v>44</v>
      </c>
      <c r="U2210" t="s">
        <v>44</v>
      </c>
      <c r="V2210">
        <v>72</v>
      </c>
      <c r="W2210" t="s">
        <v>44</v>
      </c>
      <c r="X2210" t="s">
        <v>44</v>
      </c>
      <c r="Y2210">
        <v>72</v>
      </c>
      <c r="Z2210" t="s">
        <v>44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72</v>
      </c>
      <c r="AQ2210">
        <f t="shared" si="78"/>
        <v>72</v>
      </c>
      <c r="AR2210" s="5">
        <f>VLOOKUP(F2210,'[1]Cost Sheet'!$C:$D,2,0)</f>
        <v>23.39</v>
      </c>
      <c r="AS2210" s="5">
        <f t="shared" si="77"/>
        <v>1684.08</v>
      </c>
    </row>
    <row r="2211" spans="1:45" x14ac:dyDescent="0.3">
      <c r="A2211" s="1">
        <v>45900.965277777781</v>
      </c>
      <c r="B2211" t="s">
        <v>1499</v>
      </c>
      <c r="C2211" t="s">
        <v>1500</v>
      </c>
      <c r="D2211" t="s">
        <v>1444</v>
      </c>
      <c r="F2211" t="s">
        <v>2168</v>
      </c>
      <c r="G2211" t="s">
        <v>1445</v>
      </c>
      <c r="H2211" t="s">
        <v>66</v>
      </c>
      <c r="I2211" t="s">
        <v>43</v>
      </c>
      <c r="J2211">
        <v>50</v>
      </c>
      <c r="K2211">
        <v>19</v>
      </c>
      <c r="L2211">
        <v>10</v>
      </c>
      <c r="M2211">
        <v>11</v>
      </c>
      <c r="N2211">
        <v>1</v>
      </c>
      <c r="O2211">
        <v>0</v>
      </c>
      <c r="P2211">
        <v>0</v>
      </c>
      <c r="Q2211" t="s">
        <v>44</v>
      </c>
      <c r="R2211" t="s">
        <v>44</v>
      </c>
      <c r="S2211" t="s">
        <v>44</v>
      </c>
      <c r="T2211" t="s">
        <v>44</v>
      </c>
      <c r="U2211" t="s">
        <v>44</v>
      </c>
      <c r="V2211">
        <v>1</v>
      </c>
      <c r="W2211" t="s">
        <v>44</v>
      </c>
      <c r="X2211" t="s">
        <v>44</v>
      </c>
      <c r="Y2211">
        <v>1</v>
      </c>
      <c r="Z2211" t="s">
        <v>44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1</v>
      </c>
      <c r="AQ2211">
        <f t="shared" si="78"/>
        <v>1</v>
      </c>
      <c r="AR2211" s="5">
        <f>VLOOKUP(F2211,'[1]Cost Sheet'!$C:$D,2,0)</f>
        <v>26.96</v>
      </c>
      <c r="AS2211" s="5">
        <f t="shared" si="77"/>
        <v>26.96</v>
      </c>
    </row>
    <row r="2212" spans="1:45" x14ac:dyDescent="0.3">
      <c r="A2212" s="1">
        <v>45900.965277777781</v>
      </c>
      <c r="B2212" t="s">
        <v>1499</v>
      </c>
      <c r="C2212" t="s">
        <v>1500</v>
      </c>
      <c r="D2212" t="s">
        <v>1446</v>
      </c>
      <c r="F2212" t="s">
        <v>2169</v>
      </c>
      <c r="G2212" t="s">
        <v>1447</v>
      </c>
      <c r="H2212" t="s">
        <v>66</v>
      </c>
      <c r="I2212" t="s">
        <v>43</v>
      </c>
      <c r="J2212">
        <v>50</v>
      </c>
      <c r="K2212">
        <v>19</v>
      </c>
      <c r="L2212">
        <v>10</v>
      </c>
      <c r="M2212">
        <v>11</v>
      </c>
      <c r="N2212">
        <v>1</v>
      </c>
      <c r="O2212">
        <v>0</v>
      </c>
      <c r="P2212">
        <v>0</v>
      </c>
      <c r="Q2212" t="s">
        <v>44</v>
      </c>
      <c r="R2212" t="s">
        <v>44</v>
      </c>
      <c r="S2212" t="s">
        <v>44</v>
      </c>
      <c r="T2212" t="s">
        <v>44</v>
      </c>
      <c r="U2212" t="s">
        <v>44</v>
      </c>
      <c r="V2212">
        <v>1</v>
      </c>
      <c r="W2212" t="s">
        <v>44</v>
      </c>
      <c r="X2212" t="s">
        <v>44</v>
      </c>
      <c r="Y2212">
        <v>1</v>
      </c>
      <c r="Z2212" t="s">
        <v>44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1</v>
      </c>
      <c r="AQ2212">
        <f t="shared" si="78"/>
        <v>1</v>
      </c>
      <c r="AR2212" s="5">
        <f>VLOOKUP(F2212,'[1]Cost Sheet'!$C:$D,2,0)</f>
        <v>23.39</v>
      </c>
      <c r="AS2212" s="5">
        <f t="shared" si="77"/>
        <v>23.39</v>
      </c>
    </row>
    <row r="2213" spans="1:45" x14ac:dyDescent="0.3">
      <c r="A2213" s="1">
        <v>45900.965277777781</v>
      </c>
      <c r="B2213" t="s">
        <v>1499</v>
      </c>
      <c r="C2213" t="s">
        <v>1500</v>
      </c>
      <c r="D2213" t="s">
        <v>1233</v>
      </c>
      <c r="F2213" t="s">
        <v>2066</v>
      </c>
      <c r="G2213" t="s">
        <v>1234</v>
      </c>
      <c r="H2213" t="s">
        <v>130</v>
      </c>
      <c r="I2213" t="s">
        <v>43</v>
      </c>
      <c r="J2213">
        <v>4.2</v>
      </c>
      <c r="K2213">
        <v>19</v>
      </c>
      <c r="L2213">
        <v>10</v>
      </c>
      <c r="M2213">
        <v>11</v>
      </c>
      <c r="N2213">
        <v>61</v>
      </c>
      <c r="O2213">
        <v>0</v>
      </c>
      <c r="P2213">
        <v>0</v>
      </c>
      <c r="Q2213" t="s">
        <v>44</v>
      </c>
      <c r="R2213" t="s">
        <v>44</v>
      </c>
      <c r="S2213" t="s">
        <v>44</v>
      </c>
      <c r="T2213" t="s">
        <v>44</v>
      </c>
      <c r="U2213" t="s">
        <v>44</v>
      </c>
      <c r="V2213">
        <v>31</v>
      </c>
      <c r="W2213" t="s">
        <v>44</v>
      </c>
      <c r="X2213" t="s">
        <v>44</v>
      </c>
      <c r="Y2213">
        <v>31</v>
      </c>
      <c r="Z2213" t="s">
        <v>44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31</v>
      </c>
      <c r="AQ2213">
        <f t="shared" si="78"/>
        <v>31</v>
      </c>
      <c r="AR2213" s="5">
        <f>VLOOKUP(F2213,'[1]Cost Sheet'!$C:$D,2,0)</f>
        <v>96.2</v>
      </c>
      <c r="AS2213" s="5">
        <f t="shared" si="77"/>
        <v>2982.2000000000003</v>
      </c>
    </row>
    <row r="2214" spans="1:45" x14ac:dyDescent="0.3">
      <c r="A2214" s="1">
        <v>45900.965277777781</v>
      </c>
      <c r="B2214" t="s">
        <v>1499</v>
      </c>
      <c r="C2214" t="s">
        <v>1500</v>
      </c>
      <c r="D2214" t="s">
        <v>1235</v>
      </c>
      <c r="F2214" t="s">
        <v>2067</v>
      </c>
      <c r="G2214" t="s">
        <v>1236</v>
      </c>
      <c r="H2214" t="s">
        <v>130</v>
      </c>
      <c r="I2214" t="s">
        <v>43</v>
      </c>
      <c r="J2214">
        <v>4.2</v>
      </c>
      <c r="K2214">
        <v>19</v>
      </c>
      <c r="L2214">
        <v>10</v>
      </c>
      <c r="M2214">
        <v>11</v>
      </c>
      <c r="N2214">
        <v>45</v>
      </c>
      <c r="O2214">
        <v>0</v>
      </c>
      <c r="P2214">
        <v>0</v>
      </c>
      <c r="Q2214" t="s">
        <v>44</v>
      </c>
      <c r="R2214" t="s">
        <v>44</v>
      </c>
      <c r="S2214" t="s">
        <v>44</v>
      </c>
      <c r="T2214" t="s">
        <v>44</v>
      </c>
      <c r="U2214" t="s">
        <v>44</v>
      </c>
      <c r="V2214">
        <v>10</v>
      </c>
      <c r="W2214" t="s">
        <v>44</v>
      </c>
      <c r="X2214" t="s">
        <v>44</v>
      </c>
      <c r="Y2214">
        <v>10</v>
      </c>
      <c r="Z2214" t="s">
        <v>44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10</v>
      </c>
      <c r="AQ2214">
        <f t="shared" si="78"/>
        <v>10</v>
      </c>
      <c r="AR2214" s="5">
        <f>VLOOKUP(F2214,'[1]Cost Sheet'!$C:$D,2,0)</f>
        <v>96.2</v>
      </c>
      <c r="AS2214" s="5">
        <f t="shared" si="77"/>
        <v>962</v>
      </c>
    </row>
    <row r="2215" spans="1:45" x14ac:dyDescent="0.3">
      <c r="A2215" s="1">
        <v>45900.965277777781</v>
      </c>
      <c r="B2215" t="s">
        <v>1499</v>
      </c>
      <c r="C2215" t="s">
        <v>1500</v>
      </c>
      <c r="D2215" t="s">
        <v>734</v>
      </c>
      <c r="F2215" t="s">
        <v>1820</v>
      </c>
      <c r="G2215" t="s">
        <v>735</v>
      </c>
      <c r="H2215" t="s">
        <v>130</v>
      </c>
      <c r="I2215" t="s">
        <v>43</v>
      </c>
      <c r="J2215">
        <v>4</v>
      </c>
      <c r="K2215">
        <v>19</v>
      </c>
      <c r="L2215">
        <v>10</v>
      </c>
      <c r="M2215">
        <v>11</v>
      </c>
      <c r="N2215">
        <v>42</v>
      </c>
      <c r="O2215">
        <v>0</v>
      </c>
      <c r="P2215">
        <v>0</v>
      </c>
      <c r="Q2215" t="s">
        <v>44</v>
      </c>
      <c r="R2215" t="s">
        <v>44</v>
      </c>
      <c r="S2215" t="s">
        <v>44</v>
      </c>
      <c r="T2215" t="s">
        <v>44</v>
      </c>
      <c r="U2215" t="s">
        <v>44</v>
      </c>
      <c r="V2215">
        <v>42</v>
      </c>
      <c r="W2215" t="s">
        <v>44</v>
      </c>
      <c r="X2215" t="s">
        <v>44</v>
      </c>
      <c r="Y2215">
        <v>42</v>
      </c>
      <c r="Z2215" t="s">
        <v>44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42</v>
      </c>
      <c r="AQ2215">
        <f t="shared" si="78"/>
        <v>42</v>
      </c>
      <c r="AR2215" s="5">
        <f>VLOOKUP(F2215,'[1]Cost Sheet'!$C:$D,2,0)</f>
        <v>129.18</v>
      </c>
      <c r="AS2215" s="5">
        <f t="shared" si="77"/>
        <v>5425.56</v>
      </c>
    </row>
    <row r="2216" spans="1:45" x14ac:dyDescent="0.3">
      <c r="A2216" s="1">
        <v>45900.965277777781</v>
      </c>
      <c r="B2216" t="s">
        <v>1499</v>
      </c>
      <c r="C2216" t="s">
        <v>1500</v>
      </c>
      <c r="D2216" t="s">
        <v>736</v>
      </c>
      <c r="F2216" t="s">
        <v>1821</v>
      </c>
      <c r="G2216" t="s">
        <v>737</v>
      </c>
      <c r="H2216" t="s">
        <v>130</v>
      </c>
      <c r="I2216" t="s">
        <v>43</v>
      </c>
      <c r="J2216">
        <v>4</v>
      </c>
      <c r="K2216">
        <v>19</v>
      </c>
      <c r="L2216">
        <v>10</v>
      </c>
      <c r="M2216">
        <v>11</v>
      </c>
      <c r="N2216">
        <v>29</v>
      </c>
      <c r="O2216">
        <v>0</v>
      </c>
      <c r="P2216">
        <v>0</v>
      </c>
      <c r="Q2216" t="s">
        <v>44</v>
      </c>
      <c r="R2216" t="s">
        <v>44</v>
      </c>
      <c r="S2216" t="s">
        <v>44</v>
      </c>
      <c r="T2216" t="s">
        <v>44</v>
      </c>
      <c r="U2216" t="s">
        <v>44</v>
      </c>
      <c r="V2216">
        <v>29</v>
      </c>
      <c r="W2216" t="s">
        <v>44</v>
      </c>
      <c r="X2216" t="s">
        <v>44</v>
      </c>
      <c r="Y2216">
        <v>29</v>
      </c>
      <c r="Z2216" t="s">
        <v>44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29</v>
      </c>
      <c r="AQ2216">
        <f t="shared" si="78"/>
        <v>29</v>
      </c>
      <c r="AR2216" s="5">
        <f>VLOOKUP(F2216,'[1]Cost Sheet'!$C:$D,2,0)</f>
        <v>129.18</v>
      </c>
      <c r="AS2216" s="5">
        <f t="shared" si="77"/>
        <v>3746.2200000000003</v>
      </c>
    </row>
    <row r="2217" spans="1:45" x14ac:dyDescent="0.3">
      <c r="A2217" s="1">
        <v>45900.965277777781</v>
      </c>
      <c r="B2217" t="s">
        <v>1499</v>
      </c>
      <c r="C2217" t="s">
        <v>1500</v>
      </c>
      <c r="D2217" t="s">
        <v>738</v>
      </c>
      <c r="F2217" t="s">
        <v>1822</v>
      </c>
      <c r="G2217" t="s">
        <v>739</v>
      </c>
      <c r="H2217" t="s">
        <v>130</v>
      </c>
      <c r="I2217" t="s">
        <v>43</v>
      </c>
      <c r="J2217">
        <v>4</v>
      </c>
      <c r="K2217">
        <v>19</v>
      </c>
      <c r="L2217">
        <v>10</v>
      </c>
      <c r="M2217">
        <v>11</v>
      </c>
      <c r="N2217">
        <v>81</v>
      </c>
      <c r="O2217">
        <v>0</v>
      </c>
      <c r="P2217">
        <v>0</v>
      </c>
      <c r="Q2217" t="s">
        <v>44</v>
      </c>
      <c r="R2217" t="s">
        <v>44</v>
      </c>
      <c r="S2217" t="s">
        <v>44</v>
      </c>
      <c r="T2217" t="s">
        <v>44</v>
      </c>
      <c r="U2217" t="s">
        <v>44</v>
      </c>
      <c r="V2217">
        <v>81</v>
      </c>
      <c r="W2217" t="s">
        <v>44</v>
      </c>
      <c r="X2217" t="s">
        <v>44</v>
      </c>
      <c r="Y2217">
        <v>81</v>
      </c>
      <c r="Z2217" t="s">
        <v>44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81</v>
      </c>
      <c r="AQ2217">
        <f t="shared" si="78"/>
        <v>81</v>
      </c>
      <c r="AR2217" s="5">
        <f>VLOOKUP(F2217,'[1]Cost Sheet'!$C:$D,2,0)</f>
        <v>129.18</v>
      </c>
      <c r="AS2217" s="5">
        <f t="shared" si="77"/>
        <v>10463.58</v>
      </c>
    </row>
    <row r="2218" spans="1:45" x14ac:dyDescent="0.3">
      <c r="A2218" s="1">
        <v>45900.965277777781</v>
      </c>
      <c r="B2218" t="s">
        <v>1499</v>
      </c>
      <c r="C2218" t="s">
        <v>1500</v>
      </c>
      <c r="D2218" t="s">
        <v>1448</v>
      </c>
      <c r="F2218" t="s">
        <v>2170</v>
      </c>
      <c r="G2218" t="s">
        <v>1449</v>
      </c>
      <c r="H2218" t="s">
        <v>66</v>
      </c>
      <c r="I2218" t="s">
        <v>43</v>
      </c>
      <c r="J2218">
        <v>100</v>
      </c>
      <c r="K2218">
        <v>19</v>
      </c>
      <c r="L2218">
        <v>10</v>
      </c>
      <c r="M2218">
        <v>11</v>
      </c>
      <c r="N2218">
        <v>129</v>
      </c>
      <c r="O2218">
        <v>2</v>
      </c>
      <c r="P2218">
        <v>0</v>
      </c>
      <c r="Q2218" t="s">
        <v>44</v>
      </c>
      <c r="R2218" t="s">
        <v>44</v>
      </c>
      <c r="S2218" t="s">
        <v>44</v>
      </c>
      <c r="T2218" t="s">
        <v>44</v>
      </c>
      <c r="U2218" t="s">
        <v>44</v>
      </c>
      <c r="V2218">
        <v>90</v>
      </c>
      <c r="W2218" t="s">
        <v>44</v>
      </c>
      <c r="X2218" t="s">
        <v>44</v>
      </c>
      <c r="Y2218">
        <v>90</v>
      </c>
      <c r="Z2218" t="s">
        <v>44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92</v>
      </c>
      <c r="AQ2218">
        <f t="shared" si="78"/>
        <v>92</v>
      </c>
      <c r="AR2218" s="5">
        <f>VLOOKUP(F2218,'[1]Cost Sheet'!$C:$D,2,0)</f>
        <v>54.699999999999996</v>
      </c>
      <c r="AS2218" s="5">
        <f t="shared" si="77"/>
        <v>5032.3999999999996</v>
      </c>
    </row>
    <row r="2219" spans="1:45" x14ac:dyDescent="0.3">
      <c r="A2219" s="1">
        <v>45900.965277777781</v>
      </c>
      <c r="B2219" t="s">
        <v>1499</v>
      </c>
      <c r="C2219" t="s">
        <v>1500</v>
      </c>
      <c r="D2219" t="s">
        <v>744</v>
      </c>
      <c r="F2219" t="s">
        <v>1825</v>
      </c>
      <c r="G2219" t="s">
        <v>745</v>
      </c>
      <c r="H2219" t="s">
        <v>66</v>
      </c>
      <c r="I2219" t="s">
        <v>43</v>
      </c>
      <c r="J2219">
        <v>400</v>
      </c>
      <c r="K2219">
        <v>19</v>
      </c>
      <c r="L2219">
        <v>10</v>
      </c>
      <c r="M2219">
        <v>11</v>
      </c>
      <c r="N2219">
        <v>109</v>
      </c>
      <c r="O2219">
        <v>2</v>
      </c>
      <c r="P2219">
        <v>0</v>
      </c>
      <c r="Q2219" t="s">
        <v>44</v>
      </c>
      <c r="R2219" t="s">
        <v>44</v>
      </c>
      <c r="S2219" t="s">
        <v>44</v>
      </c>
      <c r="T2219" t="s">
        <v>44</v>
      </c>
      <c r="U2219" t="s">
        <v>44</v>
      </c>
      <c r="V2219">
        <v>79</v>
      </c>
      <c r="W2219" t="s">
        <v>44</v>
      </c>
      <c r="X2219" t="s">
        <v>44</v>
      </c>
      <c r="Y2219">
        <v>79</v>
      </c>
      <c r="Z2219" t="s">
        <v>44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81</v>
      </c>
      <c r="AQ2219">
        <f t="shared" si="78"/>
        <v>81</v>
      </c>
      <c r="AR2219" s="5">
        <f>VLOOKUP(F2219,'[1]Cost Sheet'!$C:$D,2,0)</f>
        <v>79.760000000000005</v>
      </c>
      <c r="AS2219" s="5">
        <f t="shared" si="77"/>
        <v>6460.56</v>
      </c>
    </row>
    <row r="2220" spans="1:45" x14ac:dyDescent="0.3">
      <c r="A2220" s="1">
        <v>45900.965277777781</v>
      </c>
      <c r="B2220" t="s">
        <v>1499</v>
      </c>
      <c r="C2220" t="s">
        <v>1500</v>
      </c>
      <c r="D2220" t="s">
        <v>746</v>
      </c>
      <c r="F2220" t="s">
        <v>1826</v>
      </c>
      <c r="G2220" t="s">
        <v>747</v>
      </c>
      <c r="H2220" t="s">
        <v>66</v>
      </c>
      <c r="I2220" t="s">
        <v>43</v>
      </c>
      <c r="J2220">
        <v>400</v>
      </c>
      <c r="K2220">
        <v>19</v>
      </c>
      <c r="L2220">
        <v>10</v>
      </c>
      <c r="M2220">
        <v>11</v>
      </c>
      <c r="N2220">
        <v>117</v>
      </c>
      <c r="O2220">
        <v>2</v>
      </c>
      <c r="P2220">
        <v>0</v>
      </c>
      <c r="Q2220" t="s">
        <v>44</v>
      </c>
      <c r="R2220" t="s">
        <v>44</v>
      </c>
      <c r="S2220" t="s">
        <v>44</v>
      </c>
      <c r="T2220" t="s">
        <v>44</v>
      </c>
      <c r="U2220" t="s">
        <v>44</v>
      </c>
      <c r="V2220">
        <v>72</v>
      </c>
      <c r="W2220" t="s">
        <v>44</v>
      </c>
      <c r="X2220" t="s">
        <v>44</v>
      </c>
      <c r="Y2220">
        <v>72</v>
      </c>
      <c r="Z2220" t="s">
        <v>44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74</v>
      </c>
      <c r="AQ2220">
        <f t="shared" si="78"/>
        <v>74</v>
      </c>
      <c r="AR2220" s="5">
        <f>VLOOKUP(F2220,'[1]Cost Sheet'!$C:$D,2,0)</f>
        <v>91.35</v>
      </c>
      <c r="AS2220" s="5">
        <f t="shared" si="77"/>
        <v>6759.9</v>
      </c>
    </row>
    <row r="2221" spans="1:45" x14ac:dyDescent="0.3">
      <c r="A2221" s="1">
        <v>45900.965277777781</v>
      </c>
      <c r="B2221" t="s">
        <v>1499</v>
      </c>
      <c r="C2221" t="s">
        <v>1500</v>
      </c>
      <c r="D2221" t="s">
        <v>748</v>
      </c>
      <c r="F2221" t="s">
        <v>1827</v>
      </c>
      <c r="G2221" t="s">
        <v>749</v>
      </c>
      <c r="H2221" t="s">
        <v>66</v>
      </c>
      <c r="I2221" t="s">
        <v>43</v>
      </c>
      <c r="J2221">
        <v>30</v>
      </c>
      <c r="K2221">
        <v>19</v>
      </c>
      <c r="L2221">
        <v>10</v>
      </c>
      <c r="M2221">
        <v>11</v>
      </c>
      <c r="N2221">
        <v>13</v>
      </c>
      <c r="O2221">
        <v>2</v>
      </c>
      <c r="P2221">
        <v>0</v>
      </c>
      <c r="Q2221" t="s">
        <v>44</v>
      </c>
      <c r="R2221" t="s">
        <v>44</v>
      </c>
      <c r="S2221" t="s">
        <v>44</v>
      </c>
      <c r="T2221" t="s">
        <v>44</v>
      </c>
      <c r="U2221" t="s">
        <v>44</v>
      </c>
      <c r="V2221">
        <v>3</v>
      </c>
      <c r="W2221" t="s">
        <v>44</v>
      </c>
      <c r="X2221" t="s">
        <v>44</v>
      </c>
      <c r="Y2221">
        <v>3</v>
      </c>
      <c r="Z2221" t="s">
        <v>44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5</v>
      </c>
      <c r="AQ2221">
        <f t="shared" si="78"/>
        <v>5</v>
      </c>
      <c r="AR2221" s="5">
        <f>VLOOKUP(F2221,'[1]Cost Sheet'!$C:$D,2,0)</f>
        <v>114.81</v>
      </c>
      <c r="AS2221" s="5">
        <f t="shared" si="77"/>
        <v>574.04999999999995</v>
      </c>
    </row>
    <row r="2222" spans="1:45" x14ac:dyDescent="0.3">
      <c r="A2222" s="1">
        <v>45900.965277777781</v>
      </c>
      <c r="B2222" t="s">
        <v>1499</v>
      </c>
      <c r="C2222" t="s">
        <v>1500</v>
      </c>
      <c r="D2222" t="s">
        <v>1451</v>
      </c>
      <c r="F2222" t="s">
        <v>2172</v>
      </c>
      <c r="G2222" t="s">
        <v>123</v>
      </c>
      <c r="H2222" t="s">
        <v>66</v>
      </c>
      <c r="I2222" t="s">
        <v>43</v>
      </c>
      <c r="J2222">
        <v>50</v>
      </c>
      <c r="K2222">
        <v>19</v>
      </c>
      <c r="L2222">
        <v>11</v>
      </c>
      <c r="M2222">
        <v>10</v>
      </c>
      <c r="N2222">
        <v>1</v>
      </c>
      <c r="O2222">
        <v>0</v>
      </c>
      <c r="P2222">
        <v>0</v>
      </c>
      <c r="Q2222" t="s">
        <v>44</v>
      </c>
      <c r="R2222" t="s">
        <v>44</v>
      </c>
      <c r="S2222" t="s">
        <v>44</v>
      </c>
      <c r="T2222" t="s">
        <v>44</v>
      </c>
      <c r="U2222" t="s">
        <v>44</v>
      </c>
      <c r="V2222">
        <v>1</v>
      </c>
      <c r="W2222" t="s">
        <v>44</v>
      </c>
      <c r="X2222" t="s">
        <v>44</v>
      </c>
      <c r="Y2222">
        <v>1</v>
      </c>
      <c r="Z2222" t="s">
        <v>44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Q2222">
        <f t="shared" si="78"/>
        <v>1</v>
      </c>
      <c r="AR2222" s="5">
        <f>VLOOKUP(F2222,'[1]Cost Sheet'!$C:$D,2,0)</f>
        <v>55.05</v>
      </c>
      <c r="AS2222" s="5">
        <f t="shared" si="77"/>
        <v>55.05</v>
      </c>
    </row>
    <row r="2223" spans="1:45" x14ac:dyDescent="0.3">
      <c r="A2223" s="1">
        <v>45900.965277777781</v>
      </c>
      <c r="B2223" t="s">
        <v>1499</v>
      </c>
      <c r="C2223" t="s">
        <v>1500</v>
      </c>
      <c r="D2223" t="s">
        <v>1454</v>
      </c>
      <c r="E2223" t="s">
        <v>1250</v>
      </c>
      <c r="F2223" t="s">
        <v>2174</v>
      </c>
      <c r="G2223" t="s">
        <v>1455</v>
      </c>
      <c r="H2223" t="s">
        <v>120</v>
      </c>
      <c r="I2223" t="s">
        <v>415</v>
      </c>
      <c r="J2223">
        <v>100</v>
      </c>
      <c r="K2223">
        <v>19</v>
      </c>
      <c r="L2223">
        <v>10</v>
      </c>
      <c r="M2223">
        <v>11</v>
      </c>
      <c r="N2223">
        <v>165</v>
      </c>
      <c r="O2223">
        <v>0</v>
      </c>
      <c r="P2223">
        <v>0</v>
      </c>
      <c r="Q2223" t="s">
        <v>44</v>
      </c>
      <c r="R2223" t="s">
        <v>44</v>
      </c>
      <c r="S2223" t="s">
        <v>44</v>
      </c>
      <c r="T2223" t="s">
        <v>44</v>
      </c>
      <c r="U2223" t="s">
        <v>44</v>
      </c>
      <c r="V2223">
        <v>83</v>
      </c>
      <c r="W2223" t="s">
        <v>44</v>
      </c>
      <c r="X2223" t="s">
        <v>44</v>
      </c>
      <c r="Y2223">
        <v>83</v>
      </c>
      <c r="Z2223" t="s">
        <v>44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83</v>
      </c>
      <c r="AQ2223">
        <f t="shared" si="78"/>
        <v>83</v>
      </c>
      <c r="AR2223" s="5">
        <f>VLOOKUP(F2223,'[2]SCP_24-25'!$A:$D,4,0)</f>
        <v>70</v>
      </c>
      <c r="AS2223" s="5">
        <f t="shared" si="77"/>
        <v>5810</v>
      </c>
    </row>
    <row r="2224" spans="1:45" x14ac:dyDescent="0.3">
      <c r="A2224" s="1">
        <v>45900.965277777781</v>
      </c>
      <c r="B2224" t="s">
        <v>1499</v>
      </c>
      <c r="C2224" t="s">
        <v>1500</v>
      </c>
      <c r="D2224" t="s">
        <v>1258</v>
      </c>
      <c r="F2224" t="s">
        <v>2080</v>
      </c>
      <c r="G2224" t="s">
        <v>1259</v>
      </c>
      <c r="H2224" t="s">
        <v>66</v>
      </c>
      <c r="I2224" t="s">
        <v>415</v>
      </c>
      <c r="J2224">
        <v>95</v>
      </c>
      <c r="K2224">
        <v>19</v>
      </c>
      <c r="L2224">
        <v>10</v>
      </c>
      <c r="M2224">
        <v>11</v>
      </c>
      <c r="N2224">
        <v>586</v>
      </c>
      <c r="O2224">
        <v>0</v>
      </c>
      <c r="P2224">
        <v>0</v>
      </c>
      <c r="Q2224" t="s">
        <v>44</v>
      </c>
      <c r="R2224" t="s">
        <v>44</v>
      </c>
      <c r="S2224" t="s">
        <v>44</v>
      </c>
      <c r="T2224" t="s">
        <v>44</v>
      </c>
      <c r="U2224" t="s">
        <v>44</v>
      </c>
      <c r="V2224">
        <v>18</v>
      </c>
      <c r="W2224" t="s">
        <v>44</v>
      </c>
      <c r="X2224" t="s">
        <v>44</v>
      </c>
      <c r="Y2224">
        <v>18</v>
      </c>
      <c r="Z2224" t="s">
        <v>44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18</v>
      </c>
      <c r="AQ2224">
        <f t="shared" si="78"/>
        <v>18</v>
      </c>
      <c r="AR2224" s="5">
        <f>VLOOKUP(F2224,'[2]SCP_24-25'!$A:$D,4,0)</f>
        <v>174.51</v>
      </c>
      <c r="AS2224" s="5">
        <f t="shared" si="77"/>
        <v>3141.18</v>
      </c>
    </row>
    <row r="2225" spans="1:45" x14ac:dyDescent="0.3">
      <c r="A2225" s="1">
        <v>45900.965277777781</v>
      </c>
      <c r="B2225" t="s">
        <v>1499</v>
      </c>
      <c r="C2225" t="s">
        <v>1500</v>
      </c>
      <c r="D2225" t="s">
        <v>1262</v>
      </c>
      <c r="F2225" t="s">
        <v>2082</v>
      </c>
      <c r="G2225" t="s">
        <v>1263</v>
      </c>
      <c r="H2225" t="s">
        <v>103</v>
      </c>
      <c r="I2225" t="s">
        <v>415</v>
      </c>
      <c r="J2225">
        <v>950</v>
      </c>
      <c r="K2225">
        <v>19</v>
      </c>
      <c r="L2225">
        <v>10</v>
      </c>
      <c r="M2225">
        <v>11</v>
      </c>
      <c r="N2225">
        <v>266</v>
      </c>
      <c r="O2225">
        <v>0</v>
      </c>
      <c r="P2225">
        <v>0</v>
      </c>
      <c r="Q2225" t="s">
        <v>44</v>
      </c>
      <c r="R2225" t="s">
        <v>44</v>
      </c>
      <c r="S2225" t="s">
        <v>44</v>
      </c>
      <c r="T2225" t="s">
        <v>44</v>
      </c>
      <c r="U2225" t="s">
        <v>44</v>
      </c>
      <c r="V2225">
        <v>1</v>
      </c>
      <c r="W2225" t="s">
        <v>44</v>
      </c>
      <c r="X2225" t="s">
        <v>44</v>
      </c>
      <c r="Y2225">
        <v>1</v>
      </c>
      <c r="Z2225" t="s">
        <v>44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1</v>
      </c>
      <c r="AQ2225">
        <f t="shared" si="78"/>
        <v>1</v>
      </c>
      <c r="AR2225" s="5">
        <f>VLOOKUP(F2225,'[2]SCP_24-25'!$A:$D,4,0)</f>
        <v>373.12</v>
      </c>
      <c r="AS2225" s="5">
        <f t="shared" si="77"/>
        <v>373.12</v>
      </c>
    </row>
    <row r="2226" spans="1:45" x14ac:dyDescent="0.3">
      <c r="A2226" s="1">
        <v>45900.965277777781</v>
      </c>
      <c r="B2226" t="s">
        <v>1499</v>
      </c>
      <c r="C2226" t="s">
        <v>1500</v>
      </c>
      <c r="D2226" t="s">
        <v>756</v>
      </c>
      <c r="F2226" t="s">
        <v>1831</v>
      </c>
      <c r="G2226" t="s">
        <v>757</v>
      </c>
      <c r="H2226" t="s">
        <v>103</v>
      </c>
      <c r="I2226" t="s">
        <v>415</v>
      </c>
      <c r="J2226">
        <v>450</v>
      </c>
      <c r="K2226">
        <v>19</v>
      </c>
      <c r="L2226">
        <v>10</v>
      </c>
      <c r="M2226">
        <v>11</v>
      </c>
      <c r="N2226">
        <v>351</v>
      </c>
      <c r="O2226">
        <v>0</v>
      </c>
      <c r="P2226">
        <v>0</v>
      </c>
      <c r="Q2226" t="s">
        <v>44</v>
      </c>
      <c r="R2226" t="s">
        <v>44</v>
      </c>
      <c r="S2226" t="s">
        <v>44</v>
      </c>
      <c r="T2226" t="s">
        <v>44</v>
      </c>
      <c r="U2226" t="s">
        <v>44</v>
      </c>
      <c r="V2226">
        <v>80</v>
      </c>
      <c r="W2226" t="s">
        <v>44</v>
      </c>
      <c r="X2226" t="s">
        <v>44</v>
      </c>
      <c r="Y2226">
        <v>80</v>
      </c>
      <c r="Z2226" t="s">
        <v>44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80</v>
      </c>
      <c r="AQ2226">
        <f t="shared" si="78"/>
        <v>80</v>
      </c>
      <c r="AR2226" s="5">
        <f>VLOOKUP(F2226,'[2]SCP_24-25'!$A:$D,4,0)</f>
        <v>133.82</v>
      </c>
      <c r="AS2226" s="5">
        <f t="shared" si="77"/>
        <v>10705.599999999999</v>
      </c>
    </row>
    <row r="2227" spans="1:45" x14ac:dyDescent="0.3">
      <c r="A2227" s="1">
        <v>45900.965277777781</v>
      </c>
      <c r="B2227" t="s">
        <v>1499</v>
      </c>
      <c r="C2227" t="s">
        <v>1500</v>
      </c>
      <c r="D2227" t="s">
        <v>1264</v>
      </c>
      <c r="F2227" t="s">
        <v>2083</v>
      </c>
      <c r="G2227" t="s">
        <v>123</v>
      </c>
      <c r="H2227" t="s">
        <v>66</v>
      </c>
      <c r="I2227" t="s">
        <v>415</v>
      </c>
      <c r="J2227">
        <v>40</v>
      </c>
      <c r="K2227">
        <v>19</v>
      </c>
      <c r="L2227">
        <v>10</v>
      </c>
      <c r="M2227">
        <v>11</v>
      </c>
      <c r="N2227">
        <v>36</v>
      </c>
      <c r="O2227">
        <v>0</v>
      </c>
      <c r="P2227">
        <v>0</v>
      </c>
      <c r="Q2227" t="s">
        <v>44</v>
      </c>
      <c r="R2227" t="s">
        <v>44</v>
      </c>
      <c r="S2227" t="s">
        <v>44</v>
      </c>
      <c r="T2227" t="s">
        <v>44</v>
      </c>
      <c r="U2227" t="s">
        <v>44</v>
      </c>
      <c r="V2227">
        <v>36</v>
      </c>
      <c r="W2227" t="s">
        <v>44</v>
      </c>
      <c r="X2227" t="s">
        <v>44</v>
      </c>
      <c r="Y2227">
        <v>36</v>
      </c>
      <c r="Z2227" t="s">
        <v>44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36</v>
      </c>
      <c r="AQ2227">
        <f t="shared" si="78"/>
        <v>36</v>
      </c>
      <c r="AR2227" s="5">
        <f>VLOOKUP(F2227,'[1]Cost Sheet'!$C:$D,2,0)</f>
        <v>87.59</v>
      </c>
      <c r="AS2227" s="5">
        <f t="shared" si="77"/>
        <v>3153.2400000000002</v>
      </c>
    </row>
    <row r="2228" spans="1:45" x14ac:dyDescent="0.3">
      <c r="A2228" s="1">
        <v>45900.965277777781</v>
      </c>
      <c r="B2228" t="s">
        <v>1499</v>
      </c>
      <c r="C2228" t="s">
        <v>1500</v>
      </c>
      <c r="D2228" t="s">
        <v>1265</v>
      </c>
      <c r="F2228" t="s">
        <v>2084</v>
      </c>
      <c r="G2228" t="s">
        <v>123</v>
      </c>
      <c r="H2228" t="s">
        <v>66</v>
      </c>
      <c r="I2228" t="s">
        <v>415</v>
      </c>
      <c r="J2228">
        <v>50</v>
      </c>
      <c r="K2228">
        <v>19</v>
      </c>
      <c r="L2228">
        <v>10</v>
      </c>
      <c r="M2228">
        <v>11</v>
      </c>
      <c r="N2228">
        <v>24</v>
      </c>
      <c r="O2228">
        <v>0</v>
      </c>
      <c r="P2228">
        <v>0</v>
      </c>
      <c r="Q2228" t="s">
        <v>44</v>
      </c>
      <c r="R2228" t="s">
        <v>44</v>
      </c>
      <c r="S2228" t="s">
        <v>44</v>
      </c>
      <c r="T2228" t="s">
        <v>44</v>
      </c>
      <c r="U2228" t="s">
        <v>44</v>
      </c>
      <c r="V2228">
        <v>24</v>
      </c>
      <c r="W2228" t="s">
        <v>44</v>
      </c>
      <c r="X2228" t="s">
        <v>44</v>
      </c>
      <c r="Y2228">
        <v>24</v>
      </c>
      <c r="Z2228" t="s">
        <v>44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24</v>
      </c>
      <c r="AQ2228">
        <f t="shared" si="78"/>
        <v>24</v>
      </c>
      <c r="AR2228" s="5">
        <f>VLOOKUP(F2228,'[1]Cost Sheet'!$C:$D,2,0)</f>
        <v>84.2</v>
      </c>
      <c r="AS2228" s="5">
        <f t="shared" si="77"/>
        <v>2020.8000000000002</v>
      </c>
    </row>
    <row r="2229" spans="1:45" x14ac:dyDescent="0.3">
      <c r="A2229" s="1">
        <v>45900.965277777781</v>
      </c>
      <c r="B2229" t="s">
        <v>1499</v>
      </c>
      <c r="C2229" t="s">
        <v>1500</v>
      </c>
      <c r="D2229" t="s">
        <v>1459</v>
      </c>
      <c r="F2229" t="s">
        <v>2178</v>
      </c>
      <c r="G2229" t="s">
        <v>123</v>
      </c>
      <c r="H2229" t="s">
        <v>66</v>
      </c>
      <c r="I2229" t="s">
        <v>415</v>
      </c>
      <c r="J2229">
        <v>50</v>
      </c>
      <c r="K2229">
        <v>19</v>
      </c>
      <c r="L2229">
        <v>10</v>
      </c>
      <c r="M2229">
        <v>11</v>
      </c>
      <c r="N2229">
        <v>5</v>
      </c>
      <c r="O2229">
        <v>0</v>
      </c>
      <c r="P2229">
        <v>0</v>
      </c>
      <c r="Q2229" t="s">
        <v>44</v>
      </c>
      <c r="R2229" t="s">
        <v>44</v>
      </c>
      <c r="S2229" t="s">
        <v>44</v>
      </c>
      <c r="T2229" t="s">
        <v>44</v>
      </c>
      <c r="U2229" t="s">
        <v>44</v>
      </c>
      <c r="V2229">
        <v>5</v>
      </c>
      <c r="W2229" t="s">
        <v>44</v>
      </c>
      <c r="X2229" t="s">
        <v>44</v>
      </c>
      <c r="Y2229">
        <v>5</v>
      </c>
      <c r="Z2229" t="s">
        <v>44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5</v>
      </c>
      <c r="AQ2229">
        <f t="shared" si="78"/>
        <v>5</v>
      </c>
      <c r="AR2229" s="5">
        <f>VLOOKUP(F2229,'[1]Cost Sheet'!$C:$D,2,0)</f>
        <v>91.25</v>
      </c>
      <c r="AS2229" s="5">
        <f t="shared" si="77"/>
        <v>456.25</v>
      </c>
    </row>
    <row r="2230" spans="1:45" x14ac:dyDescent="0.3">
      <c r="A2230" s="1">
        <v>45900.965277777781</v>
      </c>
      <c r="B2230" t="s">
        <v>1499</v>
      </c>
      <c r="C2230" t="s">
        <v>1500</v>
      </c>
      <c r="D2230" t="s">
        <v>1460</v>
      </c>
      <c r="F2230" t="s">
        <v>2179</v>
      </c>
      <c r="G2230" t="s">
        <v>1461</v>
      </c>
      <c r="H2230" t="s">
        <v>120</v>
      </c>
      <c r="I2230" t="s">
        <v>43</v>
      </c>
      <c r="J2230">
        <v>100</v>
      </c>
      <c r="K2230">
        <v>19</v>
      </c>
      <c r="L2230">
        <v>11</v>
      </c>
      <c r="M2230">
        <v>10</v>
      </c>
      <c r="N2230">
        <v>1000</v>
      </c>
      <c r="O2230">
        <v>0</v>
      </c>
      <c r="P2230">
        <v>0</v>
      </c>
      <c r="Q2230" t="s">
        <v>44</v>
      </c>
      <c r="R2230" t="s">
        <v>44</v>
      </c>
      <c r="S2230" t="s">
        <v>44</v>
      </c>
      <c r="T2230" t="s">
        <v>44</v>
      </c>
      <c r="U2230" t="s">
        <v>44</v>
      </c>
      <c r="V2230">
        <v>50</v>
      </c>
      <c r="W2230" t="s">
        <v>44</v>
      </c>
      <c r="X2230" t="s">
        <v>44</v>
      </c>
      <c r="Y2230">
        <v>50</v>
      </c>
      <c r="Z2230" t="s">
        <v>44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50</v>
      </c>
      <c r="AQ2230">
        <f t="shared" si="78"/>
        <v>50</v>
      </c>
      <c r="AR2230" s="5">
        <f>VLOOKUP(F2230,'[2]SCP_24-25'!$A:$D,4,0)</f>
        <v>24</v>
      </c>
      <c r="AS2230" s="5">
        <f t="shared" si="77"/>
        <v>1200</v>
      </c>
    </row>
    <row r="2231" spans="1:45" x14ac:dyDescent="0.3">
      <c r="A2231" s="1">
        <v>45900.965277777781</v>
      </c>
      <c r="B2231" t="s">
        <v>1499</v>
      </c>
      <c r="C2231" t="s">
        <v>1500</v>
      </c>
      <c r="D2231" t="s">
        <v>143</v>
      </c>
      <c r="F2231" t="s">
        <v>1549</v>
      </c>
      <c r="G2231" t="s">
        <v>144</v>
      </c>
      <c r="H2231" t="s">
        <v>103</v>
      </c>
      <c r="I2231" t="s">
        <v>43</v>
      </c>
      <c r="J2231">
        <v>122</v>
      </c>
      <c r="K2231">
        <v>19</v>
      </c>
      <c r="L2231">
        <v>9.5</v>
      </c>
      <c r="M2231">
        <v>11</v>
      </c>
      <c r="N2231">
        <v>3614</v>
      </c>
      <c r="O2231">
        <v>216</v>
      </c>
      <c r="P2231">
        <v>0</v>
      </c>
      <c r="Q2231" t="s">
        <v>44</v>
      </c>
      <c r="R2231" t="s">
        <v>44</v>
      </c>
      <c r="S2231" t="s">
        <v>44</v>
      </c>
      <c r="T2231">
        <v>54</v>
      </c>
      <c r="U2231" t="s">
        <v>44</v>
      </c>
      <c r="V2231">
        <v>943</v>
      </c>
      <c r="W2231" t="s">
        <v>44</v>
      </c>
      <c r="X2231" t="s">
        <v>44</v>
      </c>
      <c r="Y2231">
        <v>943</v>
      </c>
      <c r="Z2231" t="s">
        <v>44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 s="2">
        <v>1159</v>
      </c>
      <c r="AQ2231">
        <f t="shared" si="78"/>
        <v>1159</v>
      </c>
      <c r="AR2231" s="5">
        <f>VLOOKUP(F2231,'[2]SCP_24-25'!$A:$D,4,0)</f>
        <v>100.66</v>
      </c>
      <c r="AS2231" s="5">
        <f t="shared" si="77"/>
        <v>116664.94</v>
      </c>
    </row>
    <row r="2232" spans="1:45" x14ac:dyDescent="0.3">
      <c r="A2232" s="1">
        <v>45900.965277777781</v>
      </c>
      <c r="B2232" t="s">
        <v>1499</v>
      </c>
      <c r="C2232" t="s">
        <v>1500</v>
      </c>
      <c r="D2232" t="s">
        <v>153</v>
      </c>
      <c r="F2232" t="s">
        <v>1554</v>
      </c>
      <c r="G2232" t="s">
        <v>154</v>
      </c>
      <c r="H2232" t="s">
        <v>66</v>
      </c>
      <c r="I2232" t="s">
        <v>43</v>
      </c>
      <c r="J2232">
        <v>92.91</v>
      </c>
      <c r="K2232">
        <v>19</v>
      </c>
      <c r="L2232">
        <v>9.5</v>
      </c>
      <c r="M2232">
        <v>11</v>
      </c>
      <c r="N2232">
        <v>1646</v>
      </c>
      <c r="O2232">
        <v>72</v>
      </c>
      <c r="P2232">
        <v>0</v>
      </c>
      <c r="Q2232" t="s">
        <v>44</v>
      </c>
      <c r="R2232" t="s">
        <v>44</v>
      </c>
      <c r="S2232" t="s">
        <v>44</v>
      </c>
      <c r="T2232" t="s">
        <v>44</v>
      </c>
      <c r="U2232" t="s">
        <v>44</v>
      </c>
      <c r="V2232">
        <v>316</v>
      </c>
      <c r="W2232" t="s">
        <v>44</v>
      </c>
      <c r="X2232" t="s">
        <v>44</v>
      </c>
      <c r="Y2232">
        <v>316</v>
      </c>
      <c r="Z2232" t="s">
        <v>44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388</v>
      </c>
      <c r="AQ2232">
        <f t="shared" si="78"/>
        <v>388</v>
      </c>
      <c r="AR2232" s="5">
        <f>VLOOKUP(F2232,'[2]SCP_24-25'!$A:$D,4,0)</f>
        <v>41.09</v>
      </c>
      <c r="AS2232" s="5">
        <f t="shared" si="77"/>
        <v>15942.920000000002</v>
      </c>
    </row>
    <row r="2233" spans="1:45" x14ac:dyDescent="0.3">
      <c r="A2233" s="1">
        <v>45900.965277777781</v>
      </c>
      <c r="B2233" t="s">
        <v>1499</v>
      </c>
      <c r="C2233" t="s">
        <v>1500</v>
      </c>
      <c r="D2233" t="s">
        <v>157</v>
      </c>
      <c r="F2233" t="s">
        <v>1556</v>
      </c>
      <c r="G2233" t="s">
        <v>158</v>
      </c>
      <c r="H2233" t="s">
        <v>66</v>
      </c>
      <c r="I2233" t="s">
        <v>43</v>
      </c>
      <c r="J2233">
        <v>116</v>
      </c>
      <c r="K2233">
        <v>19</v>
      </c>
      <c r="L2233">
        <v>9.5</v>
      </c>
      <c r="M2233">
        <v>11</v>
      </c>
      <c r="N2233">
        <v>1864</v>
      </c>
      <c r="O2233">
        <v>0</v>
      </c>
      <c r="P2233">
        <v>0</v>
      </c>
      <c r="Q2233" t="s">
        <v>44</v>
      </c>
      <c r="R2233" t="s">
        <v>44</v>
      </c>
      <c r="S2233" t="s">
        <v>44</v>
      </c>
      <c r="T2233">
        <v>60</v>
      </c>
      <c r="U2233" t="s">
        <v>44</v>
      </c>
      <c r="V2233">
        <v>868</v>
      </c>
      <c r="W2233" t="s">
        <v>44</v>
      </c>
      <c r="X2233" t="s">
        <v>44</v>
      </c>
      <c r="Y2233">
        <v>868</v>
      </c>
      <c r="Z2233" t="s">
        <v>44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868</v>
      </c>
      <c r="AQ2233">
        <f t="shared" si="78"/>
        <v>868</v>
      </c>
      <c r="AR2233" s="5">
        <f>VLOOKUP(F2233,'[2]SCP_24-25'!$A:$D,4,0)</f>
        <v>37.17</v>
      </c>
      <c r="AS2233" s="5">
        <f t="shared" si="77"/>
        <v>32263.56</v>
      </c>
    </row>
    <row r="2234" spans="1:45" x14ac:dyDescent="0.3">
      <c r="A2234" s="1">
        <v>45900.965277777781</v>
      </c>
      <c r="B2234" t="s">
        <v>1499</v>
      </c>
      <c r="C2234" t="s">
        <v>1500</v>
      </c>
      <c r="D2234" t="s">
        <v>159</v>
      </c>
      <c r="F2234" t="s">
        <v>1557</v>
      </c>
      <c r="G2234" t="s">
        <v>160</v>
      </c>
      <c r="H2234" t="s">
        <v>66</v>
      </c>
      <c r="I2234" t="s">
        <v>43</v>
      </c>
      <c r="J2234">
        <v>73.209999999999994</v>
      </c>
      <c r="K2234">
        <v>19</v>
      </c>
      <c r="L2234">
        <v>9.5</v>
      </c>
      <c r="M2234">
        <v>11</v>
      </c>
      <c r="N2234">
        <v>1200</v>
      </c>
      <c r="O2234">
        <v>18</v>
      </c>
      <c r="P2234">
        <v>0</v>
      </c>
      <c r="Q2234" t="s">
        <v>44</v>
      </c>
      <c r="R2234" t="s">
        <v>44</v>
      </c>
      <c r="S2234" t="s">
        <v>44</v>
      </c>
      <c r="T2234" t="s">
        <v>44</v>
      </c>
      <c r="U2234" t="s">
        <v>44</v>
      </c>
      <c r="V2234">
        <v>596</v>
      </c>
      <c r="W2234" t="s">
        <v>44</v>
      </c>
      <c r="X2234" t="s">
        <v>44</v>
      </c>
      <c r="Y2234">
        <v>596</v>
      </c>
      <c r="Z2234" t="s">
        <v>44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614</v>
      </c>
      <c r="AQ2234">
        <f t="shared" si="78"/>
        <v>614</v>
      </c>
      <c r="AR2234" s="5">
        <f>VLOOKUP(F2234,'[2]SCP_24-25'!$A:$D,4,0)</f>
        <v>40.090000000000003</v>
      </c>
      <c r="AS2234" s="5">
        <f t="shared" si="77"/>
        <v>24615.260000000002</v>
      </c>
    </row>
    <row r="2235" spans="1:45" x14ac:dyDescent="0.3">
      <c r="A2235" s="1">
        <v>45900.965277777781</v>
      </c>
      <c r="B2235" t="s">
        <v>1499</v>
      </c>
      <c r="C2235" t="s">
        <v>1500</v>
      </c>
      <c r="D2235" t="s">
        <v>167</v>
      </c>
      <c r="F2235" t="s">
        <v>1561</v>
      </c>
      <c r="G2235" t="s">
        <v>168</v>
      </c>
      <c r="H2235" t="s">
        <v>103</v>
      </c>
      <c r="I2235" t="s">
        <v>43</v>
      </c>
      <c r="J2235">
        <v>228.22</v>
      </c>
      <c r="K2235">
        <v>19</v>
      </c>
      <c r="L2235">
        <v>11</v>
      </c>
      <c r="M2235">
        <v>9.5</v>
      </c>
      <c r="N2235">
        <v>1742</v>
      </c>
      <c r="O2235">
        <v>0</v>
      </c>
      <c r="P2235">
        <v>0</v>
      </c>
      <c r="Q2235" t="s">
        <v>44</v>
      </c>
      <c r="R2235" t="s">
        <v>44</v>
      </c>
      <c r="S2235" t="s">
        <v>44</v>
      </c>
      <c r="T2235" t="s">
        <v>44</v>
      </c>
      <c r="U2235" t="s">
        <v>44</v>
      </c>
      <c r="V2235">
        <v>860</v>
      </c>
      <c r="W2235" t="s">
        <v>44</v>
      </c>
      <c r="X2235" t="s">
        <v>44</v>
      </c>
      <c r="Y2235">
        <v>860</v>
      </c>
      <c r="Z2235" t="s">
        <v>44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860</v>
      </c>
      <c r="AQ2235">
        <f t="shared" si="78"/>
        <v>860</v>
      </c>
      <c r="AR2235" s="5">
        <f>VLOOKUP(F2235,'[2]SCP_24-25'!$A:$D,4,0)</f>
        <v>75.010000000000005</v>
      </c>
      <c r="AS2235" s="5">
        <f t="shared" si="77"/>
        <v>64508.600000000006</v>
      </c>
    </row>
    <row r="2236" spans="1:45" x14ac:dyDescent="0.3">
      <c r="A2236" s="1">
        <v>45900.965277777781</v>
      </c>
      <c r="B2236" t="s">
        <v>1499</v>
      </c>
      <c r="C2236" t="s">
        <v>1500</v>
      </c>
      <c r="D2236" t="s">
        <v>195</v>
      </c>
      <c r="F2236" t="s">
        <v>1575</v>
      </c>
      <c r="G2236" t="s">
        <v>196</v>
      </c>
      <c r="H2236" t="s">
        <v>66</v>
      </c>
      <c r="I2236" t="s">
        <v>43</v>
      </c>
      <c r="J2236">
        <v>82</v>
      </c>
      <c r="K2236">
        <v>19</v>
      </c>
      <c r="L2236">
        <v>9.5</v>
      </c>
      <c r="M2236">
        <v>11</v>
      </c>
      <c r="N2236">
        <v>1427</v>
      </c>
      <c r="O2236">
        <v>0</v>
      </c>
      <c r="P2236">
        <v>0</v>
      </c>
      <c r="Q2236">
        <v>1</v>
      </c>
      <c r="R2236" t="s">
        <v>44</v>
      </c>
      <c r="S2236" t="s">
        <v>44</v>
      </c>
      <c r="T2236" t="s">
        <v>44</v>
      </c>
      <c r="U2236" t="s">
        <v>44</v>
      </c>
      <c r="V2236">
        <v>795</v>
      </c>
      <c r="W2236" t="s">
        <v>44</v>
      </c>
      <c r="X2236" t="s">
        <v>44</v>
      </c>
      <c r="Y2236">
        <v>795</v>
      </c>
      <c r="Z2236" t="s">
        <v>44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795</v>
      </c>
      <c r="AQ2236">
        <f t="shared" si="78"/>
        <v>795</v>
      </c>
      <c r="AR2236" s="5">
        <f>VLOOKUP(F2236,'[2]SCP_24-25'!$A:$D,4,0)</f>
        <v>99.42</v>
      </c>
      <c r="AS2236" s="5">
        <f t="shared" si="77"/>
        <v>79038.899999999994</v>
      </c>
    </row>
    <row r="2237" spans="1:45" x14ac:dyDescent="0.3">
      <c r="A2237" s="1">
        <v>45900.965277777781</v>
      </c>
      <c r="B2237" t="s">
        <v>1499</v>
      </c>
      <c r="C2237" t="s">
        <v>1500</v>
      </c>
      <c r="D2237" t="s">
        <v>218</v>
      </c>
      <c r="F2237" t="s">
        <v>1584</v>
      </c>
      <c r="G2237" t="s">
        <v>219</v>
      </c>
      <c r="H2237" t="s">
        <v>66</v>
      </c>
      <c r="I2237" t="s">
        <v>43</v>
      </c>
      <c r="J2237">
        <v>133</v>
      </c>
      <c r="K2237">
        <v>19</v>
      </c>
      <c r="L2237">
        <v>10</v>
      </c>
      <c r="M2237">
        <v>11</v>
      </c>
      <c r="N2237">
        <v>2016</v>
      </c>
      <c r="O2237">
        <v>0</v>
      </c>
      <c r="P2237">
        <v>0</v>
      </c>
      <c r="Q2237">
        <v>16</v>
      </c>
      <c r="R2237" t="s">
        <v>44</v>
      </c>
      <c r="S2237" t="s">
        <v>44</v>
      </c>
      <c r="T2237" t="s">
        <v>44</v>
      </c>
      <c r="U2237" t="s">
        <v>44</v>
      </c>
      <c r="V2237">
        <v>939</v>
      </c>
      <c r="W2237" t="s">
        <v>44</v>
      </c>
      <c r="X2237" t="s">
        <v>44</v>
      </c>
      <c r="Y2237">
        <v>939</v>
      </c>
      <c r="Z2237" t="s">
        <v>44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939</v>
      </c>
      <c r="AQ2237">
        <f t="shared" si="78"/>
        <v>939</v>
      </c>
      <c r="AR2237" s="5">
        <f>VLOOKUP(F2237,'[2]SCP_24-25'!$A:$D,4,0)</f>
        <v>32.03</v>
      </c>
      <c r="AS2237" s="5">
        <f t="shared" si="77"/>
        <v>30076.170000000002</v>
      </c>
    </row>
    <row r="2238" spans="1:45" x14ac:dyDescent="0.3">
      <c r="A2238" s="1">
        <v>45900.965277777781</v>
      </c>
      <c r="B2238" t="s">
        <v>1499</v>
      </c>
      <c r="C2238" t="s">
        <v>1500</v>
      </c>
      <c r="D2238" t="s">
        <v>222</v>
      </c>
      <c r="F2238" t="s">
        <v>1586</v>
      </c>
      <c r="G2238" t="s">
        <v>223</v>
      </c>
      <c r="H2238" t="s">
        <v>66</v>
      </c>
      <c r="I2238" t="s">
        <v>43</v>
      </c>
      <c r="J2238">
        <v>91</v>
      </c>
      <c r="K2238">
        <v>19</v>
      </c>
      <c r="L2238">
        <v>10</v>
      </c>
      <c r="M2238">
        <v>11</v>
      </c>
      <c r="N2238">
        <v>664</v>
      </c>
      <c r="O2238">
        <v>0</v>
      </c>
      <c r="P2238">
        <v>0</v>
      </c>
      <c r="Q2238" t="s">
        <v>44</v>
      </c>
      <c r="R2238" t="s">
        <v>44</v>
      </c>
      <c r="S2238" t="s">
        <v>44</v>
      </c>
      <c r="T2238" t="s">
        <v>44</v>
      </c>
      <c r="U2238" t="s">
        <v>44</v>
      </c>
      <c r="V2238">
        <v>401</v>
      </c>
      <c r="W2238" t="s">
        <v>44</v>
      </c>
      <c r="X2238" t="s">
        <v>44</v>
      </c>
      <c r="Y2238">
        <v>401</v>
      </c>
      <c r="Z2238" t="s">
        <v>44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401</v>
      </c>
      <c r="AQ2238">
        <f t="shared" si="78"/>
        <v>401</v>
      </c>
      <c r="AR2238" s="5">
        <f>VLOOKUP(F2238,'[2]SCP_24-25'!$A:$D,4,0)</f>
        <v>60.73</v>
      </c>
      <c r="AS2238" s="5">
        <f t="shared" si="77"/>
        <v>24352.73</v>
      </c>
    </row>
    <row r="2239" spans="1:45" x14ac:dyDescent="0.3">
      <c r="A2239" s="1">
        <v>45900.965277777781</v>
      </c>
      <c r="B2239" t="s">
        <v>1499</v>
      </c>
      <c r="C2239" t="s">
        <v>1500</v>
      </c>
      <c r="D2239" t="s">
        <v>228</v>
      </c>
      <c r="F2239" t="s">
        <v>1589</v>
      </c>
      <c r="G2239" t="s">
        <v>229</v>
      </c>
      <c r="H2239" t="s">
        <v>66</v>
      </c>
      <c r="I2239" t="s">
        <v>43</v>
      </c>
      <c r="J2239">
        <v>79</v>
      </c>
      <c r="K2239">
        <v>19</v>
      </c>
      <c r="L2239">
        <v>10</v>
      </c>
      <c r="M2239">
        <v>11</v>
      </c>
      <c r="N2239">
        <v>985</v>
      </c>
      <c r="O2239">
        <v>0</v>
      </c>
      <c r="P2239">
        <v>0</v>
      </c>
      <c r="Q2239" t="s">
        <v>44</v>
      </c>
      <c r="R2239" t="s">
        <v>44</v>
      </c>
      <c r="S2239" t="s">
        <v>44</v>
      </c>
      <c r="T2239" t="s">
        <v>44</v>
      </c>
      <c r="U2239" t="s">
        <v>44</v>
      </c>
      <c r="V2239">
        <v>447</v>
      </c>
      <c r="W2239" t="s">
        <v>44</v>
      </c>
      <c r="X2239" t="s">
        <v>44</v>
      </c>
      <c r="Y2239">
        <v>447</v>
      </c>
      <c r="Z2239" t="s">
        <v>44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447</v>
      </c>
      <c r="AQ2239">
        <f t="shared" si="78"/>
        <v>447</v>
      </c>
      <c r="AR2239" s="5">
        <f>VLOOKUP(F2239,'[2]SCP_24-25'!$A:$D,4,0)</f>
        <v>69.61</v>
      </c>
      <c r="AS2239" s="5">
        <f t="shared" si="77"/>
        <v>31115.67</v>
      </c>
    </row>
    <row r="2240" spans="1:45" x14ac:dyDescent="0.3">
      <c r="A2240" s="1">
        <v>45900.965277777781</v>
      </c>
      <c r="B2240" t="s">
        <v>1499</v>
      </c>
      <c r="C2240" t="s">
        <v>1500</v>
      </c>
      <c r="D2240" t="s">
        <v>237</v>
      </c>
      <c r="F2240" t="s">
        <v>1593</v>
      </c>
      <c r="G2240" t="s">
        <v>238</v>
      </c>
      <c r="H2240" t="s">
        <v>66</v>
      </c>
      <c r="I2240" t="s">
        <v>43</v>
      </c>
      <c r="J2240">
        <v>90</v>
      </c>
      <c r="K2240">
        <v>19</v>
      </c>
      <c r="L2240">
        <v>9.5</v>
      </c>
      <c r="M2240">
        <v>11</v>
      </c>
      <c r="N2240">
        <v>312</v>
      </c>
      <c r="O2240">
        <v>0</v>
      </c>
      <c r="P2240">
        <v>0</v>
      </c>
      <c r="Q2240" t="s">
        <v>44</v>
      </c>
      <c r="R2240" t="s">
        <v>44</v>
      </c>
      <c r="S2240" t="s">
        <v>44</v>
      </c>
      <c r="T2240" t="s">
        <v>44</v>
      </c>
      <c r="U2240" t="s">
        <v>44</v>
      </c>
      <c r="V2240">
        <v>264</v>
      </c>
      <c r="W2240" t="s">
        <v>44</v>
      </c>
      <c r="X2240" t="s">
        <v>44</v>
      </c>
      <c r="Y2240">
        <v>264</v>
      </c>
      <c r="Z2240" t="s">
        <v>44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264</v>
      </c>
      <c r="AQ2240">
        <f t="shared" si="78"/>
        <v>264</v>
      </c>
      <c r="AR2240" s="5">
        <f>VLOOKUP(F2240,'[2]SCP_24-25'!$A:$D,4,0)</f>
        <v>60</v>
      </c>
      <c r="AS2240" s="5">
        <f t="shared" si="77"/>
        <v>15840</v>
      </c>
    </row>
    <row r="2241" spans="1:45" x14ac:dyDescent="0.3">
      <c r="A2241" s="1">
        <v>45900.965277777781</v>
      </c>
      <c r="B2241" t="s">
        <v>1499</v>
      </c>
      <c r="C2241" t="s">
        <v>1500</v>
      </c>
      <c r="D2241" t="s">
        <v>245</v>
      </c>
      <c r="E2241" t="s">
        <v>246</v>
      </c>
      <c r="F2241" t="s">
        <v>1596</v>
      </c>
      <c r="G2241" t="s">
        <v>247</v>
      </c>
      <c r="H2241" t="s">
        <v>66</v>
      </c>
      <c r="I2241" t="s">
        <v>43</v>
      </c>
      <c r="J2241">
        <v>35</v>
      </c>
      <c r="K2241">
        <v>19</v>
      </c>
      <c r="L2241">
        <v>11</v>
      </c>
      <c r="M2241">
        <v>9.5</v>
      </c>
      <c r="N2241">
        <v>601</v>
      </c>
      <c r="O2241">
        <v>0</v>
      </c>
      <c r="P2241">
        <v>0</v>
      </c>
      <c r="Q2241" t="s">
        <v>44</v>
      </c>
      <c r="R2241" t="s">
        <v>44</v>
      </c>
      <c r="S2241" t="s">
        <v>44</v>
      </c>
      <c r="T2241" t="s">
        <v>44</v>
      </c>
      <c r="U2241" t="s">
        <v>44</v>
      </c>
      <c r="V2241">
        <v>311</v>
      </c>
      <c r="W2241" t="s">
        <v>44</v>
      </c>
      <c r="X2241" t="s">
        <v>44</v>
      </c>
      <c r="Y2241">
        <v>311</v>
      </c>
      <c r="Z2241" t="s">
        <v>44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311</v>
      </c>
      <c r="AQ2241">
        <f t="shared" si="78"/>
        <v>311</v>
      </c>
      <c r="AR2241" s="5">
        <f>VLOOKUP(F2241,'[2]SCP_24-25'!$A:$D,4,0)</f>
        <v>26.27</v>
      </c>
      <c r="AS2241" s="5">
        <f t="shared" si="77"/>
        <v>8169.97</v>
      </c>
    </row>
    <row r="2242" spans="1:45" x14ac:dyDescent="0.3">
      <c r="A2242" s="1">
        <v>45900.965277777781</v>
      </c>
      <c r="B2242" t="s">
        <v>1499</v>
      </c>
      <c r="C2242" t="s">
        <v>1500</v>
      </c>
      <c r="D2242" t="s">
        <v>251</v>
      </c>
      <c r="E2242" t="s">
        <v>252</v>
      </c>
      <c r="F2242" t="s">
        <v>1598</v>
      </c>
      <c r="G2242" t="s">
        <v>253</v>
      </c>
      <c r="H2242" t="s">
        <v>66</v>
      </c>
      <c r="I2242" t="s">
        <v>43</v>
      </c>
      <c r="J2242">
        <v>35</v>
      </c>
      <c r="K2242">
        <v>19</v>
      </c>
      <c r="L2242">
        <v>11</v>
      </c>
      <c r="M2242">
        <v>9.5</v>
      </c>
      <c r="N2242">
        <v>1000</v>
      </c>
      <c r="O2242">
        <v>0</v>
      </c>
      <c r="P2242">
        <v>0</v>
      </c>
      <c r="Q2242" t="s">
        <v>44</v>
      </c>
      <c r="R2242" t="s">
        <v>44</v>
      </c>
      <c r="S2242" t="s">
        <v>44</v>
      </c>
      <c r="T2242" t="s">
        <v>44</v>
      </c>
      <c r="U2242" t="s">
        <v>44</v>
      </c>
      <c r="V2242">
        <v>277</v>
      </c>
      <c r="W2242" t="s">
        <v>44</v>
      </c>
      <c r="X2242" t="s">
        <v>44</v>
      </c>
      <c r="Y2242">
        <v>277</v>
      </c>
      <c r="Z2242" t="s">
        <v>44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277</v>
      </c>
      <c r="AQ2242">
        <f t="shared" si="78"/>
        <v>277</v>
      </c>
      <c r="AR2242" s="5">
        <f>VLOOKUP(F2242,'[2]SCP_24-25'!$A:$D,4,0)</f>
        <v>28.82</v>
      </c>
      <c r="AS2242" s="5">
        <f t="shared" si="77"/>
        <v>7983.14</v>
      </c>
    </row>
    <row r="2243" spans="1:45" x14ac:dyDescent="0.3">
      <c r="A2243" s="1">
        <v>45900.965277777781</v>
      </c>
      <c r="B2243" t="s">
        <v>1499</v>
      </c>
      <c r="C2243" t="s">
        <v>1500</v>
      </c>
      <c r="D2243" t="s">
        <v>257</v>
      </c>
      <c r="E2243" t="s">
        <v>258</v>
      </c>
      <c r="F2243" t="s">
        <v>1600</v>
      </c>
      <c r="G2243" t="s">
        <v>259</v>
      </c>
      <c r="H2243" t="s">
        <v>66</v>
      </c>
      <c r="I2243" t="s">
        <v>43</v>
      </c>
      <c r="J2243">
        <v>200</v>
      </c>
      <c r="K2243">
        <v>19</v>
      </c>
      <c r="L2243">
        <v>11</v>
      </c>
      <c r="M2243">
        <v>9.5</v>
      </c>
      <c r="N2243">
        <v>1888</v>
      </c>
      <c r="O2243">
        <v>0</v>
      </c>
      <c r="P2243">
        <v>0</v>
      </c>
      <c r="Q2243" t="s">
        <v>44</v>
      </c>
      <c r="R2243" t="s">
        <v>44</v>
      </c>
      <c r="S2243" t="s">
        <v>44</v>
      </c>
      <c r="T2243" t="s">
        <v>44</v>
      </c>
      <c r="U2243" t="s">
        <v>44</v>
      </c>
      <c r="V2243">
        <v>576</v>
      </c>
      <c r="W2243" t="s">
        <v>44</v>
      </c>
      <c r="X2243" t="s">
        <v>44</v>
      </c>
      <c r="Y2243">
        <v>576</v>
      </c>
      <c r="Z2243" t="s">
        <v>44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576</v>
      </c>
      <c r="AQ2243">
        <f t="shared" si="78"/>
        <v>576</v>
      </c>
      <c r="AR2243" s="5">
        <f>VLOOKUP(F2243,'[2]SCP_24-25'!$A:$D,4,0)</f>
        <v>62.99</v>
      </c>
      <c r="AS2243" s="5">
        <f t="shared" ref="AS2243:AS2306" si="79">AQ2243*AR2243</f>
        <v>36282.239999999998</v>
      </c>
    </row>
    <row r="2244" spans="1:45" x14ac:dyDescent="0.3">
      <c r="A2244" s="1">
        <v>45900.965277777781</v>
      </c>
      <c r="B2244" t="s">
        <v>1499</v>
      </c>
      <c r="C2244" t="s">
        <v>1500</v>
      </c>
      <c r="D2244" t="s">
        <v>269</v>
      </c>
      <c r="E2244" t="s">
        <v>270</v>
      </c>
      <c r="F2244" t="s">
        <v>1604</v>
      </c>
      <c r="G2244" t="s">
        <v>271</v>
      </c>
      <c r="H2244" t="s">
        <v>66</v>
      </c>
      <c r="I2244" t="s">
        <v>43</v>
      </c>
      <c r="J2244">
        <v>90</v>
      </c>
      <c r="K2244">
        <v>19</v>
      </c>
      <c r="L2244">
        <v>11</v>
      </c>
      <c r="M2244">
        <v>9.5</v>
      </c>
      <c r="N2244">
        <v>288</v>
      </c>
      <c r="O2244">
        <v>3</v>
      </c>
      <c r="P2244">
        <v>0</v>
      </c>
      <c r="Q2244" t="s">
        <v>44</v>
      </c>
      <c r="R2244" t="s">
        <v>44</v>
      </c>
      <c r="S2244" t="s">
        <v>44</v>
      </c>
      <c r="T2244" t="s">
        <v>44</v>
      </c>
      <c r="U2244" t="s">
        <v>44</v>
      </c>
      <c r="V2244">
        <v>111</v>
      </c>
      <c r="W2244" t="s">
        <v>44</v>
      </c>
      <c r="X2244" t="s">
        <v>44</v>
      </c>
      <c r="Y2244">
        <v>111</v>
      </c>
      <c r="Z2244" t="s">
        <v>44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114</v>
      </c>
      <c r="AQ2244">
        <f t="shared" si="78"/>
        <v>114</v>
      </c>
      <c r="AR2244" s="5">
        <f>VLOOKUP(F2244,'[2]SCP_24-25'!$A:$D,4,0)</f>
        <v>52.11</v>
      </c>
      <c r="AS2244" s="5">
        <f t="shared" si="79"/>
        <v>5940.54</v>
      </c>
    </row>
    <row r="2245" spans="1:45" x14ac:dyDescent="0.3">
      <c r="A2245" s="1">
        <v>45900.965277777781</v>
      </c>
      <c r="B2245" t="s">
        <v>1499</v>
      </c>
      <c r="C2245" t="s">
        <v>1500</v>
      </c>
      <c r="D2245" t="s">
        <v>280</v>
      </c>
      <c r="E2245" t="s">
        <v>281</v>
      </c>
      <c r="F2245" t="s">
        <v>1608</v>
      </c>
      <c r="G2245" t="s">
        <v>282</v>
      </c>
      <c r="H2245" t="s">
        <v>103</v>
      </c>
      <c r="I2245" t="s">
        <v>43</v>
      </c>
      <c r="J2245">
        <v>199</v>
      </c>
      <c r="K2245">
        <v>19</v>
      </c>
      <c r="L2245">
        <v>9.5</v>
      </c>
      <c r="M2245">
        <v>11</v>
      </c>
      <c r="N2245">
        <v>8199</v>
      </c>
      <c r="O2245">
        <v>55</v>
      </c>
      <c r="P2245">
        <v>0</v>
      </c>
      <c r="Q2245">
        <v>1</v>
      </c>
      <c r="R2245" t="s">
        <v>44</v>
      </c>
      <c r="S2245" t="s">
        <v>44</v>
      </c>
      <c r="T2245" t="s">
        <v>44</v>
      </c>
      <c r="U2245" t="s">
        <v>44</v>
      </c>
      <c r="V2245">
        <v>781</v>
      </c>
      <c r="W2245" t="s">
        <v>44</v>
      </c>
      <c r="X2245" t="s">
        <v>44</v>
      </c>
      <c r="Y2245">
        <v>781</v>
      </c>
      <c r="Z2245" t="s">
        <v>44</v>
      </c>
      <c r="AA2245">
        <v>114</v>
      </c>
      <c r="AB2245">
        <v>0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950</v>
      </c>
      <c r="AQ2245">
        <f t="shared" si="78"/>
        <v>950</v>
      </c>
      <c r="AR2245" s="5">
        <f>VLOOKUP(F2245,'[2]SCP_24-25'!$A:$D,4,0)</f>
        <v>85.41</v>
      </c>
      <c r="AS2245" s="5">
        <f t="shared" si="79"/>
        <v>81139.5</v>
      </c>
    </row>
    <row r="2246" spans="1:45" x14ac:dyDescent="0.3">
      <c r="A2246" s="1">
        <v>45900.965277777781</v>
      </c>
      <c r="B2246" t="s">
        <v>1499</v>
      </c>
      <c r="C2246" t="s">
        <v>1500</v>
      </c>
      <c r="D2246" t="s">
        <v>286</v>
      </c>
      <c r="E2246" t="s">
        <v>287</v>
      </c>
      <c r="F2246" t="s">
        <v>1610</v>
      </c>
      <c r="G2246" t="s">
        <v>288</v>
      </c>
      <c r="H2246" t="s">
        <v>66</v>
      </c>
      <c r="I2246" t="s">
        <v>43</v>
      </c>
      <c r="J2246">
        <v>122.02</v>
      </c>
      <c r="K2246">
        <v>19</v>
      </c>
      <c r="L2246">
        <v>9.5</v>
      </c>
      <c r="M2246">
        <v>11</v>
      </c>
      <c r="N2246">
        <v>750</v>
      </c>
      <c r="O2246">
        <v>0</v>
      </c>
      <c r="P2246">
        <v>0</v>
      </c>
      <c r="Q2246" t="s">
        <v>44</v>
      </c>
      <c r="R2246" t="s">
        <v>44</v>
      </c>
      <c r="S2246" t="s">
        <v>44</v>
      </c>
      <c r="T2246" t="s">
        <v>44</v>
      </c>
      <c r="U2246" t="s">
        <v>44</v>
      </c>
      <c r="V2246">
        <v>517</v>
      </c>
      <c r="W2246" t="s">
        <v>44</v>
      </c>
      <c r="X2246" t="s">
        <v>44</v>
      </c>
      <c r="Y2246">
        <v>517</v>
      </c>
      <c r="Z2246" t="s">
        <v>44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517</v>
      </c>
      <c r="AQ2246">
        <f t="shared" si="78"/>
        <v>517</v>
      </c>
      <c r="AR2246" s="5">
        <f>VLOOKUP(F2246,'[2]SCP_24-25'!$A:$D,4,0)</f>
        <v>79.260000000000005</v>
      </c>
      <c r="AS2246" s="5">
        <f t="shared" si="79"/>
        <v>40977.420000000006</v>
      </c>
    </row>
    <row r="2247" spans="1:45" x14ac:dyDescent="0.3">
      <c r="A2247" s="1">
        <v>45900.965277777781</v>
      </c>
      <c r="B2247" t="s">
        <v>1499</v>
      </c>
      <c r="C2247" t="s">
        <v>1500</v>
      </c>
      <c r="D2247" t="s">
        <v>289</v>
      </c>
      <c r="E2247" t="s">
        <v>290</v>
      </c>
      <c r="F2247" t="s">
        <v>1611</v>
      </c>
      <c r="G2247" t="s">
        <v>291</v>
      </c>
      <c r="H2247" t="s">
        <v>103</v>
      </c>
      <c r="I2247" t="s">
        <v>43</v>
      </c>
      <c r="J2247">
        <v>138.99</v>
      </c>
      <c r="K2247">
        <v>19</v>
      </c>
      <c r="L2247">
        <v>9.5</v>
      </c>
      <c r="M2247">
        <v>11</v>
      </c>
      <c r="N2247">
        <v>993</v>
      </c>
      <c r="O2247">
        <v>0</v>
      </c>
      <c r="P2247">
        <v>0</v>
      </c>
      <c r="Q2247" t="s">
        <v>44</v>
      </c>
      <c r="R2247" t="s">
        <v>44</v>
      </c>
      <c r="S2247" t="s">
        <v>44</v>
      </c>
      <c r="T2247" t="s">
        <v>44</v>
      </c>
      <c r="U2247" t="s">
        <v>44</v>
      </c>
      <c r="V2247">
        <v>635</v>
      </c>
      <c r="W2247" t="s">
        <v>44</v>
      </c>
      <c r="X2247" t="s">
        <v>44</v>
      </c>
      <c r="Y2247">
        <v>635</v>
      </c>
      <c r="Z2247" t="s">
        <v>44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635</v>
      </c>
      <c r="AQ2247">
        <f t="shared" si="78"/>
        <v>635</v>
      </c>
      <c r="AR2247" s="5">
        <f>VLOOKUP(F2247,'[2]SCP_24-25'!$A:$D,4,0)</f>
        <v>99.63</v>
      </c>
      <c r="AS2247" s="5">
        <f t="shared" si="79"/>
        <v>63265.049999999996</v>
      </c>
    </row>
    <row r="2248" spans="1:45" x14ac:dyDescent="0.3">
      <c r="A2248" s="1">
        <v>45900.965277777781</v>
      </c>
      <c r="B2248" t="s">
        <v>1499</v>
      </c>
      <c r="C2248" t="s">
        <v>1500</v>
      </c>
      <c r="D2248" t="s">
        <v>317</v>
      </c>
      <c r="E2248" t="s">
        <v>318</v>
      </c>
      <c r="F2248" t="s">
        <v>1622</v>
      </c>
      <c r="G2248" t="s">
        <v>319</v>
      </c>
      <c r="H2248" t="s">
        <v>66</v>
      </c>
      <c r="I2248" t="s">
        <v>43</v>
      </c>
      <c r="J2248">
        <v>170</v>
      </c>
      <c r="K2248">
        <v>19</v>
      </c>
      <c r="L2248">
        <v>11</v>
      </c>
      <c r="M2248">
        <v>9.5</v>
      </c>
      <c r="N2248">
        <v>1536</v>
      </c>
      <c r="O2248">
        <v>0</v>
      </c>
      <c r="P2248">
        <v>0</v>
      </c>
      <c r="Q2248" t="s">
        <v>44</v>
      </c>
      <c r="R2248" t="s">
        <v>44</v>
      </c>
      <c r="S2248" t="s">
        <v>44</v>
      </c>
      <c r="T2248" t="s">
        <v>44</v>
      </c>
      <c r="U2248" t="s">
        <v>44</v>
      </c>
      <c r="V2248">
        <v>900</v>
      </c>
      <c r="W2248" t="s">
        <v>44</v>
      </c>
      <c r="X2248" t="s">
        <v>44</v>
      </c>
      <c r="Y2248">
        <v>900</v>
      </c>
      <c r="Z2248" t="s">
        <v>44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12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900</v>
      </c>
      <c r="AQ2248">
        <f t="shared" si="78"/>
        <v>900</v>
      </c>
      <c r="AR2248" s="5">
        <f>VLOOKUP(F2248,'[2]SCP_24-25'!$A:$D,4,0)</f>
        <v>67.69</v>
      </c>
      <c r="AS2248" s="5">
        <f t="shared" si="79"/>
        <v>60921</v>
      </c>
    </row>
    <row r="2249" spans="1:45" x14ac:dyDescent="0.3">
      <c r="A2249" s="1">
        <v>45900.965277777781</v>
      </c>
      <c r="B2249" t="s">
        <v>1499</v>
      </c>
      <c r="C2249" t="s">
        <v>1500</v>
      </c>
      <c r="D2249" t="s">
        <v>45</v>
      </c>
      <c r="E2249" t="s">
        <v>46</v>
      </c>
      <c r="F2249" t="s">
        <v>1514</v>
      </c>
      <c r="G2249" t="s">
        <v>47</v>
      </c>
      <c r="H2249" t="s">
        <v>42</v>
      </c>
      <c r="I2249" t="s">
        <v>43</v>
      </c>
      <c r="J2249">
        <v>180</v>
      </c>
      <c r="K2249">
        <v>19</v>
      </c>
      <c r="L2249">
        <v>9.5</v>
      </c>
      <c r="M2249">
        <v>11</v>
      </c>
      <c r="N2249">
        <v>576</v>
      </c>
      <c r="O2249">
        <v>0</v>
      </c>
      <c r="P2249">
        <v>0</v>
      </c>
      <c r="Q2249" t="s">
        <v>44</v>
      </c>
      <c r="R2249" t="s">
        <v>44</v>
      </c>
      <c r="S2249" t="s">
        <v>44</v>
      </c>
      <c r="T2249" t="s">
        <v>44</v>
      </c>
      <c r="U2249" t="s">
        <v>44</v>
      </c>
      <c r="V2249">
        <v>544</v>
      </c>
      <c r="W2249" t="s">
        <v>44</v>
      </c>
      <c r="X2249" t="s">
        <v>44</v>
      </c>
      <c r="Y2249">
        <v>544</v>
      </c>
      <c r="Z2249" t="s">
        <v>44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544</v>
      </c>
      <c r="AQ2249">
        <f t="shared" si="78"/>
        <v>544</v>
      </c>
      <c r="AR2249" s="5">
        <f>VLOOKUP(F2249,'[2]SCP_24-25'!$A:$D,4,0)</f>
        <v>61.45</v>
      </c>
      <c r="AS2249" s="5">
        <f t="shared" si="79"/>
        <v>33428.800000000003</v>
      </c>
    </row>
    <row r="2250" spans="1:45" x14ac:dyDescent="0.3">
      <c r="A2250" s="1">
        <v>45900.965277777781</v>
      </c>
      <c r="B2250" t="s">
        <v>1499</v>
      </c>
      <c r="C2250" t="s">
        <v>1500</v>
      </c>
      <c r="D2250" t="s">
        <v>57</v>
      </c>
      <c r="E2250" t="s">
        <v>58</v>
      </c>
      <c r="F2250" t="s">
        <v>1518</v>
      </c>
      <c r="G2250" t="s">
        <v>59</v>
      </c>
      <c r="H2250" t="s">
        <v>42</v>
      </c>
      <c r="I2250" t="s">
        <v>43</v>
      </c>
      <c r="J2250">
        <v>200</v>
      </c>
      <c r="K2250">
        <v>19</v>
      </c>
      <c r="L2250">
        <v>9.5</v>
      </c>
      <c r="M2250">
        <v>11</v>
      </c>
      <c r="N2250">
        <v>513</v>
      </c>
      <c r="O2250">
        <v>0</v>
      </c>
      <c r="P2250">
        <v>0</v>
      </c>
      <c r="Q2250" t="s">
        <v>44</v>
      </c>
      <c r="R2250" t="s">
        <v>44</v>
      </c>
      <c r="S2250" t="s">
        <v>44</v>
      </c>
      <c r="T2250" t="s">
        <v>44</v>
      </c>
      <c r="U2250" t="s">
        <v>44</v>
      </c>
      <c r="V2250">
        <v>504</v>
      </c>
      <c r="W2250" t="s">
        <v>44</v>
      </c>
      <c r="X2250" t="s">
        <v>44</v>
      </c>
      <c r="Y2250">
        <v>504</v>
      </c>
      <c r="Z2250" t="s">
        <v>44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504</v>
      </c>
      <c r="AQ2250">
        <f t="shared" si="78"/>
        <v>504</v>
      </c>
      <c r="AR2250" s="5">
        <f>VLOOKUP(F2250,'[2]SCP_24-25'!$A:$D,4,0)</f>
        <v>106.44999999999999</v>
      </c>
      <c r="AS2250" s="5">
        <f t="shared" si="79"/>
        <v>53650.799999999996</v>
      </c>
    </row>
    <row r="2251" spans="1:45" x14ac:dyDescent="0.3">
      <c r="A2251" s="1">
        <v>45900.965277777781</v>
      </c>
      <c r="B2251" t="s">
        <v>1499</v>
      </c>
      <c r="C2251" t="s">
        <v>1500</v>
      </c>
      <c r="D2251" t="s">
        <v>67</v>
      </c>
      <c r="E2251" t="s">
        <v>68</v>
      </c>
      <c r="F2251" t="s">
        <v>1521</v>
      </c>
      <c r="G2251" t="s">
        <v>69</v>
      </c>
      <c r="H2251" t="s">
        <v>66</v>
      </c>
      <c r="I2251" t="s">
        <v>43</v>
      </c>
      <c r="J2251">
        <v>110</v>
      </c>
      <c r="K2251">
        <v>19</v>
      </c>
      <c r="L2251">
        <v>9.5</v>
      </c>
      <c r="M2251">
        <v>11</v>
      </c>
      <c r="N2251">
        <v>17203</v>
      </c>
      <c r="O2251">
        <v>88</v>
      </c>
      <c r="P2251">
        <v>0</v>
      </c>
      <c r="Q2251" t="s">
        <v>44</v>
      </c>
      <c r="R2251" t="s">
        <v>44</v>
      </c>
      <c r="S2251" t="s">
        <v>44</v>
      </c>
      <c r="T2251">
        <v>60</v>
      </c>
      <c r="U2251" t="s">
        <v>44</v>
      </c>
      <c r="V2251">
        <v>966</v>
      </c>
      <c r="W2251" t="s">
        <v>44</v>
      </c>
      <c r="X2251" t="s">
        <v>44</v>
      </c>
      <c r="Y2251">
        <v>966</v>
      </c>
      <c r="Z2251" t="s">
        <v>44</v>
      </c>
      <c r="AA2251">
        <v>109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 s="2">
        <v>1163</v>
      </c>
      <c r="AQ2251">
        <f t="shared" si="78"/>
        <v>1163</v>
      </c>
      <c r="AR2251" s="5">
        <f>VLOOKUP(F2251,'[2]SCP_24-25'!$A:$D,4,0)</f>
        <v>53.91</v>
      </c>
      <c r="AS2251" s="5">
        <f t="shared" si="79"/>
        <v>62697.329999999994</v>
      </c>
    </row>
    <row r="2252" spans="1:45" x14ac:dyDescent="0.3">
      <c r="A2252" s="1">
        <v>45900.965277777781</v>
      </c>
      <c r="B2252" t="s">
        <v>1499</v>
      </c>
      <c r="C2252" t="s">
        <v>1500</v>
      </c>
      <c r="D2252" t="s">
        <v>91</v>
      </c>
      <c r="E2252" t="s">
        <v>92</v>
      </c>
      <c r="F2252" t="s">
        <v>1529</v>
      </c>
      <c r="G2252" t="s">
        <v>93</v>
      </c>
      <c r="H2252" t="s">
        <v>66</v>
      </c>
      <c r="I2252" t="s">
        <v>43</v>
      </c>
      <c r="J2252">
        <v>150</v>
      </c>
      <c r="K2252">
        <v>19</v>
      </c>
      <c r="L2252">
        <v>9.5</v>
      </c>
      <c r="M2252">
        <v>11</v>
      </c>
      <c r="N2252">
        <v>1682</v>
      </c>
      <c r="O2252">
        <v>0</v>
      </c>
      <c r="P2252">
        <v>0</v>
      </c>
      <c r="Q2252" t="s">
        <v>44</v>
      </c>
      <c r="R2252" t="s">
        <v>44</v>
      </c>
      <c r="S2252" t="s">
        <v>44</v>
      </c>
      <c r="T2252" t="s">
        <v>44</v>
      </c>
      <c r="U2252" t="s">
        <v>44</v>
      </c>
      <c r="V2252">
        <v>686</v>
      </c>
      <c r="W2252" t="s">
        <v>44</v>
      </c>
      <c r="X2252" t="s">
        <v>44</v>
      </c>
      <c r="Y2252">
        <v>686</v>
      </c>
      <c r="Z2252" t="s">
        <v>44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686</v>
      </c>
      <c r="AQ2252">
        <f t="shared" si="78"/>
        <v>686</v>
      </c>
      <c r="AR2252" s="5">
        <f>VLOOKUP(F2252,'[2]SCP_24-25'!$A:$D,4,0)</f>
        <v>96.77</v>
      </c>
      <c r="AS2252" s="5">
        <f t="shared" si="79"/>
        <v>66384.22</v>
      </c>
    </row>
    <row r="2253" spans="1:45" x14ac:dyDescent="0.3">
      <c r="A2253" s="1">
        <v>45900.965277777781</v>
      </c>
      <c r="B2253" t="s">
        <v>1499</v>
      </c>
      <c r="C2253" t="s">
        <v>1500</v>
      </c>
      <c r="D2253" t="s">
        <v>104</v>
      </c>
      <c r="E2253" t="s">
        <v>105</v>
      </c>
      <c r="F2253" t="s">
        <v>1533</v>
      </c>
      <c r="G2253" t="s">
        <v>106</v>
      </c>
      <c r="H2253" t="s">
        <v>103</v>
      </c>
      <c r="I2253" t="s">
        <v>43</v>
      </c>
      <c r="J2253">
        <v>250</v>
      </c>
      <c r="K2253">
        <v>19</v>
      </c>
      <c r="L2253">
        <v>10</v>
      </c>
      <c r="M2253">
        <v>11</v>
      </c>
      <c r="N2253">
        <v>10902</v>
      </c>
      <c r="O2253">
        <v>102</v>
      </c>
      <c r="P2253">
        <v>0</v>
      </c>
      <c r="Q2253">
        <v>1</v>
      </c>
      <c r="R2253" t="s">
        <v>44</v>
      </c>
      <c r="S2253" t="s">
        <v>44</v>
      </c>
      <c r="T2253">
        <v>36</v>
      </c>
      <c r="U2253" t="s">
        <v>44</v>
      </c>
      <c r="V2253">
        <v>328</v>
      </c>
      <c r="W2253" t="s">
        <v>44</v>
      </c>
      <c r="X2253" t="s">
        <v>44</v>
      </c>
      <c r="Y2253">
        <v>328</v>
      </c>
      <c r="Z2253" t="s">
        <v>44</v>
      </c>
      <c r="AA2253">
        <v>48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478</v>
      </c>
      <c r="AQ2253">
        <f t="shared" si="78"/>
        <v>478</v>
      </c>
      <c r="AR2253" s="5">
        <f>VLOOKUP(F2253,'[2]SCP_24-25'!$A:$D,4,0)</f>
        <v>49.06</v>
      </c>
      <c r="AS2253" s="5">
        <f t="shared" si="79"/>
        <v>23450.68</v>
      </c>
    </row>
    <row r="2254" spans="1:45" x14ac:dyDescent="0.3">
      <c r="A2254" s="1">
        <v>45900.965277777781</v>
      </c>
      <c r="B2254" t="s">
        <v>1499</v>
      </c>
      <c r="C2254" t="s">
        <v>1500</v>
      </c>
      <c r="D2254" t="s">
        <v>107</v>
      </c>
      <c r="E2254" t="s">
        <v>108</v>
      </c>
      <c r="F2254" t="s">
        <v>1534</v>
      </c>
      <c r="G2254" t="s">
        <v>109</v>
      </c>
      <c r="H2254" t="s">
        <v>103</v>
      </c>
      <c r="I2254" t="s">
        <v>43</v>
      </c>
      <c r="J2254">
        <v>130</v>
      </c>
      <c r="K2254">
        <v>19</v>
      </c>
      <c r="L2254">
        <v>10</v>
      </c>
      <c r="M2254">
        <v>11</v>
      </c>
      <c r="N2254">
        <v>6609</v>
      </c>
      <c r="O2254">
        <v>60</v>
      </c>
      <c r="P2254">
        <v>0</v>
      </c>
      <c r="Q2254" t="s">
        <v>44</v>
      </c>
      <c r="R2254" t="s">
        <v>44</v>
      </c>
      <c r="S2254" t="s">
        <v>44</v>
      </c>
      <c r="T2254">
        <v>108</v>
      </c>
      <c r="U2254" t="s">
        <v>44</v>
      </c>
      <c r="V2254">
        <v>953</v>
      </c>
      <c r="W2254" t="s">
        <v>44</v>
      </c>
      <c r="X2254" t="s">
        <v>44</v>
      </c>
      <c r="Y2254">
        <v>953</v>
      </c>
      <c r="Z2254" t="s">
        <v>44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 s="2">
        <v>1013</v>
      </c>
      <c r="AQ2254">
        <f t="shared" si="78"/>
        <v>1013</v>
      </c>
      <c r="AR2254" s="5">
        <f>VLOOKUP(F2254,'[2]SCP_24-25'!$A:$D,4,0)</f>
        <v>61.997777777777777</v>
      </c>
      <c r="AS2254" s="5">
        <f t="shared" si="79"/>
        <v>62803.748888888891</v>
      </c>
    </row>
    <row r="2255" spans="1:45" x14ac:dyDescent="0.3">
      <c r="A2255" s="1">
        <v>45900.965277777781</v>
      </c>
      <c r="B2255" t="s">
        <v>1499</v>
      </c>
      <c r="C2255" t="s">
        <v>1500</v>
      </c>
      <c r="D2255" t="s">
        <v>110</v>
      </c>
      <c r="E2255" t="s">
        <v>111</v>
      </c>
      <c r="F2255" t="s">
        <v>1535</v>
      </c>
      <c r="G2255" t="s">
        <v>112</v>
      </c>
      <c r="H2255" t="s">
        <v>66</v>
      </c>
      <c r="I2255" t="s">
        <v>43</v>
      </c>
      <c r="J2255">
        <v>50</v>
      </c>
      <c r="K2255">
        <v>19</v>
      </c>
      <c r="L2255">
        <v>10</v>
      </c>
      <c r="M2255">
        <v>11</v>
      </c>
      <c r="N2255">
        <v>1536</v>
      </c>
      <c r="O2255">
        <v>0</v>
      </c>
      <c r="P2255">
        <v>0</v>
      </c>
      <c r="Q2255">
        <v>5</v>
      </c>
      <c r="R2255" t="s">
        <v>44</v>
      </c>
      <c r="S2255" t="s">
        <v>44</v>
      </c>
      <c r="T2255" t="s">
        <v>44</v>
      </c>
      <c r="U2255" t="s">
        <v>44</v>
      </c>
      <c r="V2255">
        <v>268</v>
      </c>
      <c r="W2255" t="s">
        <v>44</v>
      </c>
      <c r="X2255" t="s">
        <v>44</v>
      </c>
      <c r="Y2255">
        <v>268</v>
      </c>
      <c r="Z2255" t="s">
        <v>44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268</v>
      </c>
      <c r="AQ2255">
        <f t="shared" si="78"/>
        <v>268</v>
      </c>
      <c r="AR2255" s="5">
        <f>VLOOKUP(F2255,'[2]SCP_24-25'!$A:$D,4,0)</f>
        <v>45.474000000000004</v>
      </c>
      <c r="AS2255" s="5">
        <f t="shared" si="79"/>
        <v>12187.032000000001</v>
      </c>
    </row>
    <row r="2256" spans="1:45" x14ac:dyDescent="0.3">
      <c r="A2256" s="1">
        <v>45900.965277777781</v>
      </c>
      <c r="B2256" t="s">
        <v>1499</v>
      </c>
      <c r="C2256" t="s">
        <v>1500</v>
      </c>
      <c r="D2256" t="s">
        <v>895</v>
      </c>
      <c r="E2256" t="s">
        <v>332</v>
      </c>
      <c r="F2256" t="s">
        <v>1898</v>
      </c>
      <c r="G2256" t="s">
        <v>896</v>
      </c>
      <c r="H2256" t="s">
        <v>130</v>
      </c>
      <c r="I2256" t="s">
        <v>43</v>
      </c>
      <c r="J2256">
        <v>12.92</v>
      </c>
      <c r="K2256">
        <v>19</v>
      </c>
      <c r="L2256">
        <v>10</v>
      </c>
      <c r="M2256">
        <v>11</v>
      </c>
      <c r="N2256">
        <v>561</v>
      </c>
      <c r="O2256">
        <v>0</v>
      </c>
      <c r="P2256">
        <v>0</v>
      </c>
      <c r="Q2256" t="s">
        <v>44</v>
      </c>
      <c r="R2256" t="s">
        <v>44</v>
      </c>
      <c r="S2256" t="s">
        <v>44</v>
      </c>
      <c r="T2256" t="s">
        <v>44</v>
      </c>
      <c r="U2256" t="s">
        <v>44</v>
      </c>
      <c r="V2256">
        <v>550</v>
      </c>
      <c r="W2256" t="s">
        <v>44</v>
      </c>
      <c r="X2256" t="s">
        <v>44</v>
      </c>
      <c r="Y2256">
        <v>550</v>
      </c>
      <c r="Z2256" t="s">
        <v>44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550</v>
      </c>
      <c r="AQ2256">
        <f t="shared" si="78"/>
        <v>550</v>
      </c>
      <c r="AR2256" s="5">
        <f>VLOOKUP(F2256,'[2]SCP_24-25'!$A:$D,4,0)</f>
        <v>50.4</v>
      </c>
      <c r="AS2256" s="5">
        <f t="shared" si="79"/>
        <v>27720</v>
      </c>
    </row>
    <row r="2257" spans="1:45" x14ac:dyDescent="0.3">
      <c r="A2257" s="1">
        <v>45900.965277777781</v>
      </c>
      <c r="B2257" t="s">
        <v>1499</v>
      </c>
      <c r="C2257" t="s">
        <v>1500</v>
      </c>
      <c r="D2257" t="s">
        <v>516</v>
      </c>
      <c r="E2257" t="s">
        <v>332</v>
      </c>
      <c r="F2257" t="s">
        <v>1712</v>
      </c>
      <c r="G2257" t="s">
        <v>517</v>
      </c>
      <c r="H2257" t="s">
        <v>130</v>
      </c>
      <c r="I2257" t="s">
        <v>43</v>
      </c>
      <c r="J2257">
        <v>12.92</v>
      </c>
      <c r="K2257">
        <v>19</v>
      </c>
      <c r="L2257">
        <v>10</v>
      </c>
      <c r="M2257">
        <v>11</v>
      </c>
      <c r="N2257">
        <v>432</v>
      </c>
      <c r="O2257">
        <v>0</v>
      </c>
      <c r="P2257">
        <v>0</v>
      </c>
      <c r="Q2257" t="s">
        <v>44</v>
      </c>
      <c r="R2257" t="s">
        <v>44</v>
      </c>
      <c r="S2257" t="s">
        <v>44</v>
      </c>
      <c r="T2257" t="s">
        <v>44</v>
      </c>
      <c r="U2257" t="s">
        <v>44</v>
      </c>
      <c r="V2257">
        <v>412</v>
      </c>
      <c r="W2257" t="s">
        <v>44</v>
      </c>
      <c r="X2257" t="s">
        <v>44</v>
      </c>
      <c r="Y2257">
        <v>412</v>
      </c>
      <c r="Z2257" t="s">
        <v>44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412</v>
      </c>
      <c r="AQ2257">
        <f t="shared" si="78"/>
        <v>412</v>
      </c>
      <c r="AR2257" s="5">
        <f>VLOOKUP(F2257,'[2]SCP_24-25'!$A:$D,4,0)</f>
        <v>53.64</v>
      </c>
      <c r="AS2257" s="5">
        <f t="shared" si="79"/>
        <v>22099.68</v>
      </c>
    </row>
    <row r="2258" spans="1:45" x14ac:dyDescent="0.3">
      <c r="A2258" s="1">
        <v>45900.965277777781</v>
      </c>
      <c r="B2258" t="s">
        <v>1499</v>
      </c>
      <c r="C2258" t="s">
        <v>1500</v>
      </c>
      <c r="D2258" t="s">
        <v>342</v>
      </c>
      <c r="E2258" t="s">
        <v>338</v>
      </c>
      <c r="F2258" t="s">
        <v>1631</v>
      </c>
      <c r="G2258" t="s">
        <v>343</v>
      </c>
      <c r="H2258" t="s">
        <v>130</v>
      </c>
      <c r="I2258" t="s">
        <v>43</v>
      </c>
      <c r="J2258">
        <v>48</v>
      </c>
      <c r="K2258">
        <v>19</v>
      </c>
      <c r="L2258">
        <v>10</v>
      </c>
      <c r="M2258">
        <v>11</v>
      </c>
      <c r="N2258">
        <v>1110</v>
      </c>
      <c r="O2258">
        <v>18</v>
      </c>
      <c r="P2258">
        <v>0</v>
      </c>
      <c r="Q2258" t="s">
        <v>44</v>
      </c>
      <c r="R2258" t="s">
        <v>44</v>
      </c>
      <c r="S2258" t="s">
        <v>44</v>
      </c>
      <c r="T2258">
        <v>6</v>
      </c>
      <c r="U2258" t="s">
        <v>44</v>
      </c>
      <c r="V2258">
        <v>167</v>
      </c>
      <c r="W2258" t="s">
        <v>44</v>
      </c>
      <c r="X2258" t="s">
        <v>44</v>
      </c>
      <c r="Y2258">
        <v>167</v>
      </c>
      <c r="Z2258" t="s">
        <v>44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185</v>
      </c>
      <c r="AQ2258">
        <f t="shared" si="78"/>
        <v>185</v>
      </c>
      <c r="AR2258" s="5">
        <f>VLOOKUP(F2258,'[2]SCP_24-25'!$A:$D,4,0)</f>
        <v>64.540000000000006</v>
      </c>
      <c r="AS2258" s="5">
        <f t="shared" si="79"/>
        <v>11939.900000000001</v>
      </c>
    </row>
    <row r="2259" spans="1:45" x14ac:dyDescent="0.3">
      <c r="A2259" s="1">
        <v>45900.965277777781</v>
      </c>
      <c r="B2259" t="s">
        <v>1499</v>
      </c>
      <c r="C2259" t="s">
        <v>1500</v>
      </c>
      <c r="D2259" t="s">
        <v>349</v>
      </c>
      <c r="E2259" t="s">
        <v>345</v>
      </c>
      <c r="F2259" t="s">
        <v>1634</v>
      </c>
      <c r="G2259" t="s">
        <v>350</v>
      </c>
      <c r="H2259" t="s">
        <v>130</v>
      </c>
      <c r="I2259" t="s">
        <v>43</v>
      </c>
      <c r="J2259">
        <v>112.62</v>
      </c>
      <c r="K2259">
        <v>19</v>
      </c>
      <c r="L2259">
        <v>10</v>
      </c>
      <c r="M2259">
        <v>11</v>
      </c>
      <c r="N2259">
        <v>2796</v>
      </c>
      <c r="O2259">
        <v>30</v>
      </c>
      <c r="P2259">
        <v>0</v>
      </c>
      <c r="Q2259" t="s">
        <v>44</v>
      </c>
      <c r="R2259" t="s">
        <v>44</v>
      </c>
      <c r="S2259" t="s">
        <v>44</v>
      </c>
      <c r="T2259" t="s">
        <v>44</v>
      </c>
      <c r="U2259" t="s">
        <v>44</v>
      </c>
      <c r="V2259">
        <v>965</v>
      </c>
      <c r="W2259" t="s">
        <v>44</v>
      </c>
      <c r="X2259" t="s">
        <v>44</v>
      </c>
      <c r="Y2259">
        <v>965</v>
      </c>
      <c r="Z2259" t="s">
        <v>44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6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995</v>
      </c>
      <c r="AQ2259">
        <f t="shared" si="78"/>
        <v>995</v>
      </c>
      <c r="AR2259" s="5">
        <f>VLOOKUP(F2259,'[2]SCP_24-25'!$A:$D,4,0)</f>
        <v>114.80999999999999</v>
      </c>
      <c r="AS2259" s="5">
        <f t="shared" si="79"/>
        <v>114235.94999999998</v>
      </c>
    </row>
    <row r="2260" spans="1:45" x14ac:dyDescent="0.3">
      <c r="A2260" s="1">
        <v>45900.965277777781</v>
      </c>
      <c r="B2260" t="s">
        <v>1499</v>
      </c>
      <c r="C2260" t="s">
        <v>1500</v>
      </c>
      <c r="D2260" t="s">
        <v>351</v>
      </c>
      <c r="E2260" t="s">
        <v>345</v>
      </c>
      <c r="F2260" t="s">
        <v>1635</v>
      </c>
      <c r="G2260" t="s">
        <v>352</v>
      </c>
      <c r="H2260" t="s">
        <v>130</v>
      </c>
      <c r="I2260" t="s">
        <v>43</v>
      </c>
      <c r="J2260">
        <v>112.62</v>
      </c>
      <c r="K2260">
        <v>19</v>
      </c>
      <c r="L2260">
        <v>10</v>
      </c>
      <c r="M2260">
        <v>11</v>
      </c>
      <c r="N2260">
        <v>780</v>
      </c>
      <c r="O2260">
        <v>26</v>
      </c>
      <c r="P2260">
        <v>0</v>
      </c>
      <c r="Q2260" t="s">
        <v>44</v>
      </c>
      <c r="R2260" t="s">
        <v>44</v>
      </c>
      <c r="S2260" t="s">
        <v>44</v>
      </c>
      <c r="T2260" t="s">
        <v>44</v>
      </c>
      <c r="U2260" t="s">
        <v>44</v>
      </c>
      <c r="V2260">
        <v>355</v>
      </c>
      <c r="W2260" t="s">
        <v>44</v>
      </c>
      <c r="X2260" t="s">
        <v>44</v>
      </c>
      <c r="Y2260">
        <v>355</v>
      </c>
      <c r="Z2260" t="s">
        <v>44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381</v>
      </c>
      <c r="AQ2260">
        <f t="shared" si="78"/>
        <v>381</v>
      </c>
      <c r="AR2260" s="5">
        <f>VLOOKUP(F2260,'[2]SCP_24-25'!$A:$D,4,0)</f>
        <v>114.81</v>
      </c>
      <c r="AS2260" s="5">
        <f t="shared" si="79"/>
        <v>43742.61</v>
      </c>
    </row>
    <row r="2261" spans="1:45" x14ac:dyDescent="0.3">
      <c r="A2261" s="1">
        <v>45900.965277777781</v>
      </c>
      <c r="B2261" t="s">
        <v>1499</v>
      </c>
      <c r="C2261" t="s">
        <v>1500</v>
      </c>
      <c r="D2261" t="s">
        <v>353</v>
      </c>
      <c r="E2261" t="s">
        <v>345</v>
      </c>
      <c r="F2261" t="s">
        <v>1636</v>
      </c>
      <c r="G2261" t="s">
        <v>354</v>
      </c>
      <c r="H2261" t="s">
        <v>130</v>
      </c>
      <c r="I2261" t="s">
        <v>43</v>
      </c>
      <c r="J2261">
        <v>112.62</v>
      </c>
      <c r="K2261">
        <v>19</v>
      </c>
      <c r="L2261">
        <v>10</v>
      </c>
      <c r="M2261">
        <v>11</v>
      </c>
      <c r="N2261">
        <v>924</v>
      </c>
      <c r="O2261">
        <v>48</v>
      </c>
      <c r="P2261">
        <v>0</v>
      </c>
      <c r="Q2261" t="s">
        <v>44</v>
      </c>
      <c r="R2261" t="s">
        <v>44</v>
      </c>
      <c r="S2261" t="s">
        <v>44</v>
      </c>
      <c r="T2261" t="s">
        <v>44</v>
      </c>
      <c r="U2261" t="s">
        <v>44</v>
      </c>
      <c r="V2261">
        <v>275</v>
      </c>
      <c r="W2261" t="s">
        <v>44</v>
      </c>
      <c r="X2261" t="s">
        <v>44</v>
      </c>
      <c r="Y2261">
        <v>275</v>
      </c>
      <c r="Z2261" t="s">
        <v>44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323</v>
      </c>
      <c r="AQ2261">
        <f t="shared" si="78"/>
        <v>323</v>
      </c>
      <c r="AR2261" s="5">
        <f>VLOOKUP(F2261,'[2]SCP_24-25'!$A:$D,4,0)</f>
        <v>114.81</v>
      </c>
      <c r="AS2261" s="5">
        <f t="shared" si="79"/>
        <v>37083.629999999997</v>
      </c>
    </row>
    <row r="2262" spans="1:45" x14ac:dyDescent="0.3">
      <c r="A2262" s="1">
        <v>45900.965277777781</v>
      </c>
      <c r="B2262" t="s">
        <v>1499</v>
      </c>
      <c r="C2262" t="s">
        <v>1500</v>
      </c>
      <c r="D2262" t="s">
        <v>362</v>
      </c>
      <c r="E2262" t="s">
        <v>356</v>
      </c>
      <c r="F2262" t="s">
        <v>1640</v>
      </c>
      <c r="G2262" t="s">
        <v>363</v>
      </c>
      <c r="H2262" t="s">
        <v>130</v>
      </c>
      <c r="I2262" t="s">
        <v>43</v>
      </c>
      <c r="J2262">
        <v>81.42</v>
      </c>
      <c r="K2262">
        <v>19</v>
      </c>
      <c r="L2262">
        <v>10</v>
      </c>
      <c r="M2262">
        <v>11</v>
      </c>
      <c r="N2262">
        <v>1008</v>
      </c>
      <c r="O2262">
        <v>78</v>
      </c>
      <c r="P2262">
        <v>0</v>
      </c>
      <c r="Q2262" t="s">
        <v>44</v>
      </c>
      <c r="R2262" t="s">
        <v>44</v>
      </c>
      <c r="S2262" t="s">
        <v>44</v>
      </c>
      <c r="T2262" t="s">
        <v>44</v>
      </c>
      <c r="U2262" t="s">
        <v>44</v>
      </c>
      <c r="V2262">
        <v>322</v>
      </c>
      <c r="W2262" t="s">
        <v>44</v>
      </c>
      <c r="X2262" t="s">
        <v>44</v>
      </c>
      <c r="Y2262">
        <v>322</v>
      </c>
      <c r="Z2262" t="s">
        <v>44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400</v>
      </c>
      <c r="AQ2262">
        <f t="shared" si="78"/>
        <v>400</v>
      </c>
      <c r="AR2262" s="5">
        <f>VLOOKUP(F2262,'[2]SCP_24-25'!$A:$D,4,0)</f>
        <v>83.14</v>
      </c>
      <c r="AS2262" s="5">
        <f t="shared" si="79"/>
        <v>33256</v>
      </c>
    </row>
    <row r="2263" spans="1:45" x14ac:dyDescent="0.3">
      <c r="A2263" s="1">
        <v>45900.965277777781</v>
      </c>
      <c r="B2263" t="s">
        <v>1499</v>
      </c>
      <c r="C2263" t="s">
        <v>1500</v>
      </c>
      <c r="D2263" t="s">
        <v>367</v>
      </c>
      <c r="E2263" t="s">
        <v>368</v>
      </c>
      <c r="F2263" t="s">
        <v>1642</v>
      </c>
      <c r="G2263" t="s">
        <v>369</v>
      </c>
      <c r="H2263" t="s">
        <v>130</v>
      </c>
      <c r="I2263" t="s">
        <v>43</v>
      </c>
      <c r="J2263">
        <v>24.02</v>
      </c>
      <c r="K2263">
        <v>19</v>
      </c>
      <c r="L2263">
        <v>10</v>
      </c>
      <c r="M2263">
        <v>11</v>
      </c>
      <c r="N2263">
        <v>841</v>
      </c>
      <c r="O2263">
        <v>0</v>
      </c>
      <c r="P2263">
        <v>0</v>
      </c>
      <c r="Q2263" t="s">
        <v>44</v>
      </c>
      <c r="R2263" t="s">
        <v>44</v>
      </c>
      <c r="S2263" t="s">
        <v>44</v>
      </c>
      <c r="T2263" t="s">
        <v>44</v>
      </c>
      <c r="U2263" t="s">
        <v>44</v>
      </c>
      <c r="V2263">
        <v>405</v>
      </c>
      <c r="W2263" t="s">
        <v>44</v>
      </c>
      <c r="X2263" t="s">
        <v>44</v>
      </c>
      <c r="Y2263">
        <v>405</v>
      </c>
      <c r="Z2263" t="s">
        <v>44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405</v>
      </c>
      <c r="AQ2263">
        <f t="shared" si="78"/>
        <v>405</v>
      </c>
      <c r="AR2263" s="5">
        <f>VLOOKUP(F2263,'[2]SCP_24-25'!$A:$D,4,0)</f>
        <v>77.84</v>
      </c>
      <c r="AS2263" s="5">
        <f t="shared" si="79"/>
        <v>31525.200000000001</v>
      </c>
    </row>
    <row r="2264" spans="1:45" x14ac:dyDescent="0.3">
      <c r="A2264" s="1">
        <v>45900.965277777781</v>
      </c>
      <c r="B2264" t="s">
        <v>1499</v>
      </c>
      <c r="C2264" t="s">
        <v>1500</v>
      </c>
      <c r="D2264" t="s">
        <v>372</v>
      </c>
      <c r="E2264" t="s">
        <v>368</v>
      </c>
      <c r="F2264" t="s">
        <v>1644</v>
      </c>
      <c r="G2264" t="s">
        <v>373</v>
      </c>
      <c r="H2264" t="s">
        <v>130</v>
      </c>
      <c r="I2264" t="s">
        <v>43</v>
      </c>
      <c r="J2264">
        <v>24.02</v>
      </c>
      <c r="K2264">
        <v>19</v>
      </c>
      <c r="L2264">
        <v>10</v>
      </c>
      <c r="M2264">
        <v>11</v>
      </c>
      <c r="N2264">
        <v>1977</v>
      </c>
      <c r="O2264">
        <v>36</v>
      </c>
      <c r="P2264">
        <v>0</v>
      </c>
      <c r="Q2264" t="s">
        <v>44</v>
      </c>
      <c r="R2264" t="s">
        <v>44</v>
      </c>
      <c r="S2264" t="s">
        <v>44</v>
      </c>
      <c r="T2264" t="s">
        <v>44</v>
      </c>
      <c r="U2264" t="s">
        <v>44</v>
      </c>
      <c r="V2264">
        <v>656</v>
      </c>
      <c r="W2264" t="s">
        <v>44</v>
      </c>
      <c r="X2264" t="s">
        <v>44</v>
      </c>
      <c r="Y2264">
        <v>656</v>
      </c>
      <c r="Z2264" t="s">
        <v>44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692</v>
      </c>
      <c r="AQ2264">
        <f t="shared" si="78"/>
        <v>692</v>
      </c>
      <c r="AR2264" s="5">
        <f>VLOOKUP(F2264,'[2]SCP_24-25'!$A:$D,4,0)</f>
        <v>78.575999999999993</v>
      </c>
      <c r="AS2264" s="5">
        <f t="shared" si="79"/>
        <v>54374.591999999997</v>
      </c>
    </row>
    <row r="2265" spans="1:45" x14ac:dyDescent="0.3">
      <c r="A2265" s="1">
        <v>45900.965277777781</v>
      </c>
      <c r="B2265" t="s">
        <v>1499</v>
      </c>
      <c r="C2265" t="s">
        <v>1500</v>
      </c>
      <c r="D2265" t="s">
        <v>376</v>
      </c>
      <c r="E2265" t="s">
        <v>368</v>
      </c>
      <c r="F2265" t="s">
        <v>1646</v>
      </c>
      <c r="G2265" t="s">
        <v>377</v>
      </c>
      <c r="H2265" t="s">
        <v>130</v>
      </c>
      <c r="I2265" t="s">
        <v>43</v>
      </c>
      <c r="J2265">
        <v>24.02</v>
      </c>
      <c r="K2265">
        <v>19</v>
      </c>
      <c r="L2265">
        <v>10</v>
      </c>
      <c r="M2265">
        <v>11</v>
      </c>
      <c r="N2265">
        <v>1367</v>
      </c>
      <c r="O2265">
        <v>12</v>
      </c>
      <c r="P2265">
        <v>0</v>
      </c>
      <c r="Q2265" t="s">
        <v>44</v>
      </c>
      <c r="R2265" t="s">
        <v>44</v>
      </c>
      <c r="S2265" t="s">
        <v>44</v>
      </c>
      <c r="T2265" t="s">
        <v>44</v>
      </c>
      <c r="U2265" t="s">
        <v>44</v>
      </c>
      <c r="V2265">
        <v>682</v>
      </c>
      <c r="W2265" t="s">
        <v>44</v>
      </c>
      <c r="X2265" t="s">
        <v>44</v>
      </c>
      <c r="Y2265">
        <v>682</v>
      </c>
      <c r="Z2265" t="s">
        <v>44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694</v>
      </c>
      <c r="AQ2265">
        <f t="shared" ref="AQ2265:AQ2328" si="80">O2265+P2265+V2265+AA2265</f>
        <v>694</v>
      </c>
      <c r="AR2265" s="5">
        <f>VLOOKUP(F2265,'[2]SCP_24-25'!$A:$D,4,0)</f>
        <v>78.760000000000005</v>
      </c>
      <c r="AS2265" s="5">
        <f t="shared" si="79"/>
        <v>54659.44</v>
      </c>
    </row>
    <row r="2266" spans="1:45" x14ac:dyDescent="0.3">
      <c r="A2266" s="1">
        <v>45900.965277777781</v>
      </c>
      <c r="B2266" t="s">
        <v>1499</v>
      </c>
      <c r="C2266" t="s">
        <v>1500</v>
      </c>
      <c r="D2266" t="s">
        <v>378</v>
      </c>
      <c r="E2266" t="s">
        <v>368</v>
      </c>
      <c r="F2266" t="s">
        <v>1647</v>
      </c>
      <c r="G2266" t="s">
        <v>379</v>
      </c>
      <c r="H2266" t="s">
        <v>130</v>
      </c>
      <c r="I2266" t="s">
        <v>43</v>
      </c>
      <c r="J2266">
        <v>24</v>
      </c>
      <c r="K2266">
        <v>19</v>
      </c>
      <c r="L2266">
        <v>10</v>
      </c>
      <c r="M2266">
        <v>11</v>
      </c>
      <c r="N2266">
        <v>777</v>
      </c>
      <c r="O2266">
        <v>0</v>
      </c>
      <c r="P2266">
        <v>0</v>
      </c>
      <c r="Q2266" t="s">
        <v>44</v>
      </c>
      <c r="R2266" t="s">
        <v>44</v>
      </c>
      <c r="S2266" t="s">
        <v>44</v>
      </c>
      <c r="T2266" t="s">
        <v>44</v>
      </c>
      <c r="U2266" t="s">
        <v>44</v>
      </c>
      <c r="V2266">
        <v>666</v>
      </c>
      <c r="W2266" t="s">
        <v>44</v>
      </c>
      <c r="X2266" t="s">
        <v>44</v>
      </c>
      <c r="Y2266">
        <v>666</v>
      </c>
      <c r="Z2266" t="s">
        <v>44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666</v>
      </c>
      <c r="AQ2266">
        <f t="shared" si="80"/>
        <v>666</v>
      </c>
      <c r="AR2266" s="5">
        <f>VLOOKUP(F2266,'[2]SCP_24-25'!$A:$D,4,0)</f>
        <v>79.066666666666677</v>
      </c>
      <c r="AS2266" s="5">
        <f t="shared" si="79"/>
        <v>52658.400000000009</v>
      </c>
    </row>
    <row r="2267" spans="1:45" x14ac:dyDescent="0.3">
      <c r="A2267" s="1">
        <v>45900.965277777781</v>
      </c>
      <c r="B2267" t="s">
        <v>1499</v>
      </c>
      <c r="C2267" t="s">
        <v>1500</v>
      </c>
      <c r="D2267" t="s">
        <v>382</v>
      </c>
      <c r="E2267" t="s">
        <v>368</v>
      </c>
      <c r="F2267" t="s">
        <v>1649</v>
      </c>
      <c r="G2267" t="s">
        <v>383</v>
      </c>
      <c r="H2267" t="s">
        <v>130</v>
      </c>
      <c r="I2267" t="s">
        <v>43</v>
      </c>
      <c r="J2267">
        <v>24.02</v>
      </c>
      <c r="K2267">
        <v>19</v>
      </c>
      <c r="L2267">
        <v>10</v>
      </c>
      <c r="M2267">
        <v>11</v>
      </c>
      <c r="N2267">
        <v>1317</v>
      </c>
      <c r="O2267">
        <v>18</v>
      </c>
      <c r="P2267">
        <v>0</v>
      </c>
      <c r="Q2267" t="s">
        <v>44</v>
      </c>
      <c r="R2267" t="s">
        <v>44</v>
      </c>
      <c r="S2267" t="s">
        <v>44</v>
      </c>
      <c r="T2267" t="s">
        <v>44</v>
      </c>
      <c r="U2267" t="s">
        <v>44</v>
      </c>
      <c r="V2267">
        <v>742</v>
      </c>
      <c r="W2267" t="s">
        <v>44</v>
      </c>
      <c r="X2267" t="s">
        <v>44</v>
      </c>
      <c r="Y2267">
        <v>742</v>
      </c>
      <c r="Z2267" t="s">
        <v>44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760</v>
      </c>
      <c r="AQ2267">
        <f t="shared" si="80"/>
        <v>760</v>
      </c>
      <c r="AR2267" s="5">
        <f>VLOOKUP(F2267,'[2]SCP_24-25'!$A:$D,4,0)</f>
        <v>77.84</v>
      </c>
      <c r="AS2267" s="5">
        <f t="shared" si="79"/>
        <v>59158.400000000001</v>
      </c>
    </row>
    <row r="2268" spans="1:45" x14ac:dyDescent="0.3">
      <c r="A2268" s="1">
        <v>45900.965277777781</v>
      </c>
      <c r="B2268" t="s">
        <v>1499</v>
      </c>
      <c r="C2268" t="s">
        <v>1500</v>
      </c>
      <c r="D2268" t="s">
        <v>386</v>
      </c>
      <c r="E2268" t="s">
        <v>368</v>
      </c>
      <c r="F2268" t="s">
        <v>1651</v>
      </c>
      <c r="G2268" t="s">
        <v>387</v>
      </c>
      <c r="H2268" t="s">
        <v>130</v>
      </c>
      <c r="I2268" t="s">
        <v>43</v>
      </c>
      <c r="J2268">
        <v>24.02</v>
      </c>
      <c r="K2268">
        <v>19</v>
      </c>
      <c r="L2268">
        <v>10</v>
      </c>
      <c r="M2268">
        <v>11</v>
      </c>
      <c r="N2268">
        <v>950</v>
      </c>
      <c r="O2268">
        <v>12</v>
      </c>
      <c r="P2268">
        <v>0</v>
      </c>
      <c r="Q2268" t="s">
        <v>44</v>
      </c>
      <c r="R2268" t="s">
        <v>44</v>
      </c>
      <c r="S2268" t="s">
        <v>44</v>
      </c>
      <c r="T2268" t="s">
        <v>44</v>
      </c>
      <c r="U2268" t="s">
        <v>44</v>
      </c>
      <c r="V2268">
        <v>172</v>
      </c>
      <c r="W2268" t="s">
        <v>44</v>
      </c>
      <c r="X2268" t="s">
        <v>44</v>
      </c>
      <c r="Y2268">
        <v>172</v>
      </c>
      <c r="Z2268" t="s">
        <v>44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184</v>
      </c>
      <c r="AQ2268">
        <f t="shared" si="80"/>
        <v>184</v>
      </c>
      <c r="AR2268" s="5">
        <f>VLOOKUP(F2268,'[2]SCP_24-25'!$A:$D,4,0)</f>
        <v>77.84</v>
      </c>
      <c r="AS2268" s="5">
        <f t="shared" si="79"/>
        <v>14322.560000000001</v>
      </c>
    </row>
    <row r="2269" spans="1:45" x14ac:dyDescent="0.3">
      <c r="A2269" s="1">
        <v>45900.965277777781</v>
      </c>
      <c r="B2269" t="s">
        <v>1499</v>
      </c>
      <c r="C2269" t="s">
        <v>1500</v>
      </c>
      <c r="D2269" t="s">
        <v>390</v>
      </c>
      <c r="E2269" t="s">
        <v>368</v>
      </c>
      <c r="F2269" t="s">
        <v>1653</v>
      </c>
      <c r="G2269" t="s">
        <v>391</v>
      </c>
      <c r="H2269" t="s">
        <v>130</v>
      </c>
      <c r="I2269" t="s">
        <v>43</v>
      </c>
      <c r="J2269">
        <v>24.02</v>
      </c>
      <c r="K2269">
        <v>19</v>
      </c>
      <c r="L2269">
        <v>10</v>
      </c>
      <c r="M2269">
        <v>11</v>
      </c>
      <c r="N2269">
        <v>995</v>
      </c>
      <c r="O2269">
        <v>0</v>
      </c>
      <c r="P2269">
        <v>0</v>
      </c>
      <c r="Q2269" t="s">
        <v>44</v>
      </c>
      <c r="R2269" t="s">
        <v>44</v>
      </c>
      <c r="S2269" t="s">
        <v>44</v>
      </c>
      <c r="T2269" t="s">
        <v>44</v>
      </c>
      <c r="U2269" t="s">
        <v>44</v>
      </c>
      <c r="V2269">
        <v>173</v>
      </c>
      <c r="W2269" t="s">
        <v>44</v>
      </c>
      <c r="X2269" t="s">
        <v>44</v>
      </c>
      <c r="Y2269">
        <v>173</v>
      </c>
      <c r="Z2269" t="s">
        <v>44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173</v>
      </c>
      <c r="AQ2269">
        <f t="shared" si="80"/>
        <v>173</v>
      </c>
      <c r="AR2269" s="5">
        <f>VLOOKUP(F2269,'[2]SCP_24-25'!$A:$D,4,0)</f>
        <v>77.84</v>
      </c>
      <c r="AS2269" s="5">
        <f t="shared" si="79"/>
        <v>13466.32</v>
      </c>
    </row>
    <row r="2270" spans="1:45" x14ac:dyDescent="0.3">
      <c r="A2270" s="1">
        <v>45900.965277777781</v>
      </c>
      <c r="B2270" t="s">
        <v>1499</v>
      </c>
      <c r="C2270" t="s">
        <v>1500</v>
      </c>
      <c r="D2270" t="s">
        <v>397</v>
      </c>
      <c r="E2270" t="s">
        <v>395</v>
      </c>
      <c r="F2270" t="s">
        <v>1656</v>
      </c>
      <c r="G2270" t="s">
        <v>398</v>
      </c>
      <c r="H2270" t="s">
        <v>130</v>
      </c>
      <c r="I2270" t="s">
        <v>43</v>
      </c>
      <c r="J2270">
        <v>24.22</v>
      </c>
      <c r="K2270">
        <v>19</v>
      </c>
      <c r="L2270">
        <v>10</v>
      </c>
      <c r="M2270">
        <v>11</v>
      </c>
      <c r="N2270">
        <v>454</v>
      </c>
      <c r="O2270">
        <v>0</v>
      </c>
      <c r="P2270">
        <v>0</v>
      </c>
      <c r="Q2270" t="s">
        <v>44</v>
      </c>
      <c r="R2270" t="s">
        <v>44</v>
      </c>
      <c r="S2270" t="s">
        <v>44</v>
      </c>
      <c r="T2270" t="s">
        <v>44</v>
      </c>
      <c r="U2270" t="s">
        <v>44</v>
      </c>
      <c r="V2270">
        <v>321</v>
      </c>
      <c r="W2270" t="s">
        <v>44</v>
      </c>
      <c r="X2270" t="s">
        <v>44</v>
      </c>
      <c r="Y2270">
        <v>321</v>
      </c>
      <c r="Z2270" t="s">
        <v>44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321</v>
      </c>
      <c r="AQ2270">
        <f t="shared" si="80"/>
        <v>321</v>
      </c>
      <c r="AR2270" s="5">
        <f>VLOOKUP(F2270,'[2]SCP_24-25'!$A:$D,4,0)</f>
        <v>87.9</v>
      </c>
      <c r="AS2270" s="5">
        <f t="shared" si="79"/>
        <v>28215.9</v>
      </c>
    </row>
    <row r="2271" spans="1:45" x14ac:dyDescent="0.3">
      <c r="A2271" s="1">
        <v>45900.965277777781</v>
      </c>
      <c r="B2271" t="s">
        <v>1499</v>
      </c>
      <c r="C2271" t="s">
        <v>1500</v>
      </c>
      <c r="D2271" t="s">
        <v>1377</v>
      </c>
      <c r="F2271" t="s">
        <v>2135</v>
      </c>
      <c r="G2271" t="s">
        <v>1378</v>
      </c>
      <c r="H2271" t="s">
        <v>66</v>
      </c>
      <c r="I2271" t="s">
        <v>43</v>
      </c>
      <c r="J2271">
        <v>20</v>
      </c>
      <c r="K2271">
        <v>19</v>
      </c>
      <c r="L2271">
        <v>11</v>
      </c>
      <c r="M2271">
        <v>10</v>
      </c>
      <c r="N2271">
        <v>555</v>
      </c>
      <c r="O2271">
        <v>0</v>
      </c>
      <c r="P2271">
        <v>0</v>
      </c>
      <c r="Q2271" t="s">
        <v>44</v>
      </c>
      <c r="R2271" t="s">
        <v>44</v>
      </c>
      <c r="S2271" t="s">
        <v>44</v>
      </c>
      <c r="T2271" t="s">
        <v>44</v>
      </c>
      <c r="U2271" t="s">
        <v>44</v>
      </c>
      <c r="V2271">
        <v>555</v>
      </c>
      <c r="W2271" t="s">
        <v>44</v>
      </c>
      <c r="X2271" t="s">
        <v>44</v>
      </c>
      <c r="Y2271">
        <v>555</v>
      </c>
      <c r="Z2271" t="s">
        <v>44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555</v>
      </c>
      <c r="AQ2271">
        <f t="shared" si="80"/>
        <v>555</v>
      </c>
      <c r="AR2271" s="5">
        <f>VLOOKUP(F2271,'[1]Cost Sheet'!$C:$D,2,0)</f>
        <v>39</v>
      </c>
      <c r="AS2271" s="5">
        <f t="shared" si="79"/>
        <v>21645</v>
      </c>
    </row>
    <row r="2272" spans="1:45" x14ac:dyDescent="0.3">
      <c r="A2272" s="1">
        <v>45900.965277777781</v>
      </c>
      <c r="B2272" t="s">
        <v>1499</v>
      </c>
      <c r="C2272" t="s">
        <v>1500</v>
      </c>
      <c r="D2272" t="s">
        <v>785</v>
      </c>
      <c r="F2272" t="s">
        <v>1844</v>
      </c>
      <c r="G2272" t="s">
        <v>786</v>
      </c>
      <c r="H2272" t="s">
        <v>66</v>
      </c>
      <c r="I2272" t="s">
        <v>43</v>
      </c>
      <c r="J2272">
        <v>61.92</v>
      </c>
      <c r="K2272">
        <v>19</v>
      </c>
      <c r="L2272">
        <v>10</v>
      </c>
      <c r="M2272">
        <v>11</v>
      </c>
      <c r="N2272">
        <v>1115</v>
      </c>
      <c r="O2272">
        <v>0</v>
      </c>
      <c r="P2272">
        <v>0</v>
      </c>
      <c r="Q2272" t="s">
        <v>44</v>
      </c>
      <c r="R2272" t="s">
        <v>44</v>
      </c>
      <c r="S2272" t="s">
        <v>44</v>
      </c>
      <c r="T2272" t="s">
        <v>44</v>
      </c>
      <c r="U2272" t="s">
        <v>44</v>
      </c>
      <c r="V2272">
        <v>869</v>
      </c>
      <c r="W2272" t="s">
        <v>44</v>
      </c>
      <c r="X2272" t="s">
        <v>44</v>
      </c>
      <c r="Y2272">
        <v>869</v>
      </c>
      <c r="Z2272" t="s">
        <v>44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869</v>
      </c>
      <c r="AQ2272">
        <f t="shared" si="80"/>
        <v>869</v>
      </c>
      <c r="AR2272" s="5">
        <f>VLOOKUP(F2272,'[2]SCP_24-25'!$A:$D,4,0)</f>
        <v>23.39</v>
      </c>
      <c r="AS2272" s="5">
        <f t="shared" si="79"/>
        <v>20325.91</v>
      </c>
    </row>
    <row r="2273" spans="1:45" x14ac:dyDescent="0.3">
      <c r="A2273" s="1">
        <v>45900.965277777781</v>
      </c>
      <c r="B2273" t="s">
        <v>1499</v>
      </c>
      <c r="C2273" t="s">
        <v>1500</v>
      </c>
      <c r="D2273" t="s">
        <v>124</v>
      </c>
      <c r="F2273" t="s">
        <v>1540</v>
      </c>
      <c r="G2273" t="s">
        <v>125</v>
      </c>
      <c r="H2273" t="s">
        <v>66</v>
      </c>
      <c r="I2273" t="s">
        <v>43</v>
      </c>
      <c r="J2273">
        <v>90.08</v>
      </c>
      <c r="K2273">
        <v>19</v>
      </c>
      <c r="L2273">
        <v>11</v>
      </c>
      <c r="M2273">
        <v>10</v>
      </c>
      <c r="N2273">
        <v>3024</v>
      </c>
      <c r="O2273">
        <v>360</v>
      </c>
      <c r="P2273">
        <v>0</v>
      </c>
      <c r="Q2273" t="s">
        <v>44</v>
      </c>
      <c r="R2273" t="s">
        <v>44</v>
      </c>
      <c r="S2273" t="s">
        <v>44</v>
      </c>
      <c r="T2273">
        <v>12</v>
      </c>
      <c r="U2273" t="s">
        <v>44</v>
      </c>
      <c r="V2273">
        <v>538</v>
      </c>
      <c r="W2273" t="s">
        <v>44</v>
      </c>
      <c r="X2273" t="s">
        <v>44</v>
      </c>
      <c r="Y2273">
        <v>538</v>
      </c>
      <c r="Z2273" t="s">
        <v>44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898</v>
      </c>
      <c r="AQ2273">
        <f t="shared" si="80"/>
        <v>898</v>
      </c>
      <c r="AR2273" s="5">
        <f>VLOOKUP(F2273,'[2]SCP_24-25'!$A:$D,4,0)</f>
        <v>45.74</v>
      </c>
      <c r="AS2273" s="5">
        <f t="shared" si="79"/>
        <v>41074.520000000004</v>
      </c>
    </row>
    <row r="2274" spans="1:45" x14ac:dyDescent="0.3">
      <c r="A2274" s="1">
        <v>45900.965277777781</v>
      </c>
      <c r="B2274" t="s">
        <v>1499</v>
      </c>
      <c r="C2274" t="s">
        <v>1500</v>
      </c>
      <c r="D2274" t="s">
        <v>562</v>
      </c>
      <c r="F2274" t="s">
        <v>1735</v>
      </c>
      <c r="G2274" t="s">
        <v>563</v>
      </c>
      <c r="H2274" t="s">
        <v>66</v>
      </c>
      <c r="I2274" t="s">
        <v>43</v>
      </c>
      <c r="J2274">
        <v>44.99</v>
      </c>
      <c r="K2274">
        <v>19</v>
      </c>
      <c r="L2274">
        <v>11</v>
      </c>
      <c r="M2274">
        <v>10</v>
      </c>
      <c r="N2274">
        <v>1708</v>
      </c>
      <c r="O2274">
        <v>0</v>
      </c>
      <c r="P2274">
        <v>0</v>
      </c>
      <c r="Q2274" t="s">
        <v>44</v>
      </c>
      <c r="R2274" t="s">
        <v>44</v>
      </c>
      <c r="S2274" t="s">
        <v>44</v>
      </c>
      <c r="T2274" t="s">
        <v>44</v>
      </c>
      <c r="U2274" t="s">
        <v>44</v>
      </c>
      <c r="V2274">
        <v>614</v>
      </c>
      <c r="W2274" t="s">
        <v>44</v>
      </c>
      <c r="X2274" t="s">
        <v>44</v>
      </c>
      <c r="Y2274">
        <v>614</v>
      </c>
      <c r="Z2274" t="s">
        <v>44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614</v>
      </c>
      <c r="AQ2274">
        <f t="shared" si="80"/>
        <v>614</v>
      </c>
      <c r="AR2274" s="5">
        <f>VLOOKUP(F2274,'[2]SCP_24-25'!$A:$D,4,0)</f>
        <v>40.44</v>
      </c>
      <c r="AS2274" s="5">
        <f t="shared" si="79"/>
        <v>24830.16</v>
      </c>
    </row>
    <row r="2275" spans="1:45" x14ac:dyDescent="0.3">
      <c r="A2275" s="1">
        <v>45900.965277777781</v>
      </c>
      <c r="B2275" t="s">
        <v>1499</v>
      </c>
      <c r="C2275" t="s">
        <v>1500</v>
      </c>
      <c r="D2275" t="s">
        <v>126</v>
      </c>
      <c r="F2275" t="s">
        <v>1541</v>
      </c>
      <c r="G2275" t="s">
        <v>127</v>
      </c>
      <c r="H2275" t="s">
        <v>42</v>
      </c>
      <c r="I2275" t="s">
        <v>43</v>
      </c>
      <c r="J2275">
        <v>51</v>
      </c>
      <c r="K2275">
        <v>19</v>
      </c>
      <c r="L2275">
        <v>11</v>
      </c>
      <c r="M2275">
        <v>9.5</v>
      </c>
      <c r="N2275">
        <v>970</v>
      </c>
      <c r="O2275">
        <v>36</v>
      </c>
      <c r="P2275">
        <v>0</v>
      </c>
      <c r="Q2275" t="s">
        <v>44</v>
      </c>
      <c r="R2275" t="s">
        <v>44</v>
      </c>
      <c r="S2275" t="s">
        <v>44</v>
      </c>
      <c r="T2275" t="s">
        <v>44</v>
      </c>
      <c r="U2275" t="s">
        <v>44</v>
      </c>
      <c r="V2275">
        <v>817</v>
      </c>
      <c r="W2275" t="s">
        <v>44</v>
      </c>
      <c r="X2275" t="s">
        <v>44</v>
      </c>
      <c r="Y2275">
        <v>817</v>
      </c>
      <c r="Z2275" t="s">
        <v>44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853</v>
      </c>
      <c r="AQ2275">
        <f t="shared" si="80"/>
        <v>853</v>
      </c>
      <c r="AR2275" s="5">
        <f>VLOOKUP(F2275,'[2]SCP_24-25'!$A:$D,4,0)</f>
        <v>150.74</v>
      </c>
      <c r="AS2275" s="5">
        <f t="shared" si="79"/>
        <v>128581.22</v>
      </c>
    </row>
    <row r="2276" spans="1:45" x14ac:dyDescent="0.3">
      <c r="A2276" s="1">
        <v>45900.965277777781</v>
      </c>
      <c r="B2276" t="s">
        <v>1499</v>
      </c>
      <c r="C2276" t="s">
        <v>1500</v>
      </c>
      <c r="D2276" t="s">
        <v>401</v>
      </c>
      <c r="F2276" t="s">
        <v>1658</v>
      </c>
      <c r="G2276" t="s">
        <v>402</v>
      </c>
      <c r="H2276" t="s">
        <v>66</v>
      </c>
      <c r="I2276" t="s">
        <v>43</v>
      </c>
      <c r="J2276">
        <v>59.02</v>
      </c>
      <c r="K2276">
        <v>19</v>
      </c>
      <c r="L2276">
        <v>11</v>
      </c>
      <c r="M2276">
        <v>10</v>
      </c>
      <c r="N2276">
        <v>5873</v>
      </c>
      <c r="O2276">
        <v>0</v>
      </c>
      <c r="P2276">
        <v>0</v>
      </c>
      <c r="Q2276" t="s">
        <v>44</v>
      </c>
      <c r="R2276" t="s">
        <v>44</v>
      </c>
      <c r="S2276" t="s">
        <v>44</v>
      </c>
      <c r="T2276">
        <v>48</v>
      </c>
      <c r="U2276" t="s">
        <v>44</v>
      </c>
      <c r="V2276">
        <v>948</v>
      </c>
      <c r="W2276">
        <v>766</v>
      </c>
      <c r="X2276" t="s">
        <v>44</v>
      </c>
      <c r="Y2276">
        <v>948</v>
      </c>
      <c r="Z2276" t="s">
        <v>44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24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948</v>
      </c>
      <c r="AQ2276">
        <f t="shared" si="80"/>
        <v>948</v>
      </c>
      <c r="AR2276" s="5">
        <f>VLOOKUP(F2276,'[2]SCP_24-25'!$A:$D,4,0)</f>
        <v>61.06</v>
      </c>
      <c r="AS2276" s="5">
        <f t="shared" si="79"/>
        <v>57884.880000000005</v>
      </c>
    </row>
    <row r="2277" spans="1:45" x14ac:dyDescent="0.3">
      <c r="A2277" s="1">
        <v>45900.965277777781</v>
      </c>
      <c r="B2277" t="s">
        <v>1499</v>
      </c>
      <c r="C2277" t="s">
        <v>1500</v>
      </c>
      <c r="D2277" t="s">
        <v>481</v>
      </c>
      <c r="F2277" t="s">
        <v>1695</v>
      </c>
      <c r="G2277" t="s">
        <v>482</v>
      </c>
      <c r="H2277" t="s">
        <v>103</v>
      </c>
      <c r="I2277" t="s">
        <v>43</v>
      </c>
      <c r="J2277">
        <v>236</v>
      </c>
      <c r="K2277">
        <v>19</v>
      </c>
      <c r="L2277">
        <v>10</v>
      </c>
      <c r="M2277">
        <v>11</v>
      </c>
      <c r="N2277">
        <v>1906</v>
      </c>
      <c r="O2277">
        <v>0</v>
      </c>
      <c r="P2277">
        <v>0</v>
      </c>
      <c r="Q2277" t="s">
        <v>44</v>
      </c>
      <c r="R2277" t="s">
        <v>44</v>
      </c>
      <c r="S2277" t="s">
        <v>44</v>
      </c>
      <c r="T2277">
        <v>18</v>
      </c>
      <c r="U2277" t="s">
        <v>44</v>
      </c>
      <c r="V2277">
        <v>840</v>
      </c>
      <c r="W2277" t="s">
        <v>44</v>
      </c>
      <c r="X2277" t="s">
        <v>44</v>
      </c>
      <c r="Y2277">
        <v>840</v>
      </c>
      <c r="Z2277" t="s">
        <v>44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840</v>
      </c>
      <c r="AQ2277">
        <f t="shared" si="80"/>
        <v>840</v>
      </c>
      <c r="AR2277" s="5">
        <f>VLOOKUP(F2277,'[2]SCP_24-25'!$A:$D,4,0)</f>
        <v>60.9</v>
      </c>
      <c r="AS2277" s="5">
        <f t="shared" si="79"/>
        <v>51156</v>
      </c>
    </row>
    <row r="2278" spans="1:45" x14ac:dyDescent="0.3">
      <c r="A2278" s="1">
        <v>45900.965277777781</v>
      </c>
      <c r="B2278" t="s">
        <v>1499</v>
      </c>
      <c r="C2278" t="s">
        <v>1500</v>
      </c>
      <c r="D2278" t="s">
        <v>564</v>
      </c>
      <c r="F2278" t="s">
        <v>1736</v>
      </c>
      <c r="G2278" t="s">
        <v>565</v>
      </c>
      <c r="H2278" t="s">
        <v>103</v>
      </c>
      <c r="I2278" t="s">
        <v>43</v>
      </c>
      <c r="J2278">
        <v>236.02</v>
      </c>
      <c r="K2278">
        <v>19</v>
      </c>
      <c r="L2278">
        <v>10</v>
      </c>
      <c r="M2278">
        <v>11</v>
      </c>
      <c r="N2278">
        <v>1242</v>
      </c>
      <c r="O2278">
        <v>6</v>
      </c>
      <c r="P2278">
        <v>0</v>
      </c>
      <c r="Q2278" t="s">
        <v>44</v>
      </c>
      <c r="R2278" t="s">
        <v>44</v>
      </c>
      <c r="S2278" t="s">
        <v>44</v>
      </c>
      <c r="T2278">
        <v>18</v>
      </c>
      <c r="U2278" t="s">
        <v>44</v>
      </c>
      <c r="V2278">
        <v>227</v>
      </c>
      <c r="W2278" t="s">
        <v>44</v>
      </c>
      <c r="X2278" t="s">
        <v>44</v>
      </c>
      <c r="Y2278">
        <v>227</v>
      </c>
      <c r="Z2278" t="s">
        <v>44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233</v>
      </c>
      <c r="AQ2278">
        <f t="shared" si="80"/>
        <v>233</v>
      </c>
      <c r="AR2278" s="5">
        <f>VLOOKUP(F2278,'[2]SCP_24-25'!$A:$D,4,0)</f>
        <v>59.82</v>
      </c>
      <c r="AS2278" s="5">
        <f t="shared" si="79"/>
        <v>13938.06</v>
      </c>
    </row>
    <row r="2279" spans="1:45" x14ac:dyDescent="0.3">
      <c r="A2279" s="1">
        <v>45900.965277777781</v>
      </c>
      <c r="B2279" t="s">
        <v>1499</v>
      </c>
      <c r="C2279" t="s">
        <v>1500</v>
      </c>
      <c r="D2279" t="s">
        <v>793</v>
      </c>
      <c r="F2279" t="s">
        <v>1848</v>
      </c>
      <c r="G2279" t="s">
        <v>794</v>
      </c>
      <c r="H2279" t="s">
        <v>120</v>
      </c>
      <c r="I2279" t="s">
        <v>43</v>
      </c>
      <c r="J2279">
        <v>10</v>
      </c>
      <c r="K2279">
        <v>19</v>
      </c>
      <c r="L2279">
        <v>11</v>
      </c>
      <c r="M2279">
        <v>10</v>
      </c>
      <c r="N2279">
        <v>3698</v>
      </c>
      <c r="O2279">
        <v>0</v>
      </c>
      <c r="P2279">
        <v>0</v>
      </c>
      <c r="Q2279" t="s">
        <v>44</v>
      </c>
      <c r="R2279" t="s">
        <v>44</v>
      </c>
      <c r="S2279" t="s">
        <v>44</v>
      </c>
      <c r="T2279" t="s">
        <v>44</v>
      </c>
      <c r="U2279" t="s">
        <v>44</v>
      </c>
      <c r="V2279">
        <v>698</v>
      </c>
      <c r="W2279" t="s">
        <v>44</v>
      </c>
      <c r="X2279" t="s">
        <v>44</v>
      </c>
      <c r="Y2279">
        <v>698</v>
      </c>
      <c r="Z2279" t="s">
        <v>44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698</v>
      </c>
      <c r="AQ2279">
        <f t="shared" si="80"/>
        <v>698</v>
      </c>
      <c r="AR2279" s="5">
        <f>VLOOKUP(F2279,'[2]SCP_24-25'!$A:$D,4,0)</f>
        <v>7.1</v>
      </c>
      <c r="AS2279" s="5">
        <f t="shared" si="79"/>
        <v>4955.8</v>
      </c>
    </row>
    <row r="2280" spans="1:45" x14ac:dyDescent="0.3">
      <c r="A2280" s="1">
        <v>45900.965277777781</v>
      </c>
      <c r="B2280" t="s">
        <v>1499</v>
      </c>
      <c r="C2280" t="s">
        <v>1500</v>
      </c>
      <c r="D2280" t="s">
        <v>945</v>
      </c>
      <c r="E2280" t="s">
        <v>945</v>
      </c>
      <c r="F2280" t="s">
        <v>1922</v>
      </c>
      <c r="G2280" t="s">
        <v>946</v>
      </c>
      <c r="H2280" t="s">
        <v>635</v>
      </c>
      <c r="I2280" t="s">
        <v>43</v>
      </c>
      <c r="N2280">
        <v>148</v>
      </c>
      <c r="O2280">
        <v>2</v>
      </c>
      <c r="P2280">
        <v>0</v>
      </c>
      <c r="Q2280" t="s">
        <v>44</v>
      </c>
      <c r="R2280" t="s">
        <v>44</v>
      </c>
      <c r="S2280" t="s">
        <v>44</v>
      </c>
      <c r="T2280" t="s">
        <v>44</v>
      </c>
      <c r="U2280" t="s">
        <v>44</v>
      </c>
      <c r="V2280">
        <v>128</v>
      </c>
      <c r="W2280" t="s">
        <v>44</v>
      </c>
      <c r="X2280" t="s">
        <v>44</v>
      </c>
      <c r="Y2280">
        <v>128</v>
      </c>
      <c r="Z2280" t="s">
        <v>44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130</v>
      </c>
      <c r="AQ2280">
        <f t="shared" si="80"/>
        <v>130</v>
      </c>
      <c r="AR2280" s="5">
        <f>VLOOKUP(F2280,'[1]Cost Sheet'!$C:$D,2,0)</f>
        <v>63.65</v>
      </c>
      <c r="AS2280" s="5">
        <f t="shared" si="79"/>
        <v>8274.5</v>
      </c>
    </row>
    <row r="2281" spans="1:45" x14ac:dyDescent="0.3">
      <c r="A2281" s="1">
        <v>45900.965277777781</v>
      </c>
      <c r="B2281" t="s">
        <v>1499</v>
      </c>
      <c r="C2281" t="s">
        <v>1500</v>
      </c>
      <c r="D2281" t="s">
        <v>650</v>
      </c>
      <c r="E2281" t="s">
        <v>650</v>
      </c>
      <c r="F2281" t="s">
        <v>1778</v>
      </c>
      <c r="G2281" t="s">
        <v>651</v>
      </c>
      <c r="H2281" t="s">
        <v>635</v>
      </c>
      <c r="I2281" t="s">
        <v>43</v>
      </c>
      <c r="N2281">
        <v>154</v>
      </c>
      <c r="O2281">
        <v>2</v>
      </c>
      <c r="P2281">
        <v>0</v>
      </c>
      <c r="Q2281" t="s">
        <v>44</v>
      </c>
      <c r="R2281" t="s">
        <v>44</v>
      </c>
      <c r="S2281" t="s">
        <v>44</v>
      </c>
      <c r="T2281" t="s">
        <v>44</v>
      </c>
      <c r="U2281" t="s">
        <v>44</v>
      </c>
      <c r="V2281">
        <v>134</v>
      </c>
      <c r="W2281" t="s">
        <v>44</v>
      </c>
      <c r="X2281" t="s">
        <v>44</v>
      </c>
      <c r="Y2281">
        <v>134</v>
      </c>
      <c r="Z2281" t="s">
        <v>44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136</v>
      </c>
      <c r="AQ2281">
        <f t="shared" si="80"/>
        <v>136</v>
      </c>
      <c r="AR2281" s="5">
        <f>VLOOKUP(F2281,'[1]Cost Sheet'!$C:$D,2,0)</f>
        <v>75.27</v>
      </c>
      <c r="AS2281" s="5">
        <f t="shared" si="79"/>
        <v>10236.719999999999</v>
      </c>
    </row>
    <row r="2282" spans="1:45" x14ac:dyDescent="0.3">
      <c r="A2282" s="1">
        <v>45900.965277777781</v>
      </c>
      <c r="B2282" t="s">
        <v>1499</v>
      </c>
      <c r="C2282" t="s">
        <v>1500</v>
      </c>
      <c r="D2282" t="s">
        <v>947</v>
      </c>
      <c r="E2282" t="s">
        <v>947</v>
      </c>
      <c r="F2282" t="s">
        <v>1923</v>
      </c>
      <c r="G2282" t="s">
        <v>948</v>
      </c>
      <c r="H2282" t="s">
        <v>635</v>
      </c>
      <c r="I2282" t="s">
        <v>43</v>
      </c>
      <c r="N2282">
        <v>175</v>
      </c>
      <c r="O2282">
        <v>0</v>
      </c>
      <c r="P2282">
        <v>0</v>
      </c>
      <c r="Q2282" t="s">
        <v>44</v>
      </c>
      <c r="R2282" t="s">
        <v>44</v>
      </c>
      <c r="S2282" t="s">
        <v>44</v>
      </c>
      <c r="T2282" t="s">
        <v>44</v>
      </c>
      <c r="U2282" t="s">
        <v>44</v>
      </c>
      <c r="V2282">
        <v>168</v>
      </c>
      <c r="W2282" t="s">
        <v>44</v>
      </c>
      <c r="X2282" t="s">
        <v>44</v>
      </c>
      <c r="Y2282">
        <v>168</v>
      </c>
      <c r="Z2282" t="s">
        <v>44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168</v>
      </c>
      <c r="AQ2282">
        <f t="shared" si="80"/>
        <v>168</v>
      </c>
      <c r="AR2282" s="5">
        <f>VLOOKUP(F2282,'[1]Cost Sheet'!$C:$D,2,0)</f>
        <v>50.46</v>
      </c>
      <c r="AS2282" s="5">
        <f t="shared" si="79"/>
        <v>8477.2800000000007</v>
      </c>
    </row>
    <row r="2283" spans="1:45" x14ac:dyDescent="0.3">
      <c r="A2283" s="1">
        <v>45900.965277777781</v>
      </c>
      <c r="B2283" t="s">
        <v>1499</v>
      </c>
      <c r="C2283" t="s">
        <v>1500</v>
      </c>
      <c r="D2283" t="s">
        <v>654</v>
      </c>
      <c r="E2283" t="s">
        <v>654</v>
      </c>
      <c r="F2283" t="s">
        <v>1780</v>
      </c>
      <c r="G2283" t="s">
        <v>655</v>
      </c>
      <c r="H2283" t="s">
        <v>635</v>
      </c>
      <c r="I2283" t="s">
        <v>43</v>
      </c>
      <c r="N2283">
        <v>125</v>
      </c>
      <c r="O2283">
        <v>0</v>
      </c>
      <c r="P2283">
        <v>0</v>
      </c>
      <c r="Q2283" t="s">
        <v>44</v>
      </c>
      <c r="R2283" t="s">
        <v>44</v>
      </c>
      <c r="S2283" t="s">
        <v>44</v>
      </c>
      <c r="T2283" t="s">
        <v>44</v>
      </c>
      <c r="U2283" t="s">
        <v>44</v>
      </c>
      <c r="V2283">
        <v>114</v>
      </c>
      <c r="W2283" t="s">
        <v>44</v>
      </c>
      <c r="X2283" t="s">
        <v>44</v>
      </c>
      <c r="Y2283">
        <v>114</v>
      </c>
      <c r="Z2283" t="s">
        <v>44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114</v>
      </c>
      <c r="AQ2283">
        <f t="shared" si="80"/>
        <v>114</v>
      </c>
      <c r="AR2283" s="5">
        <f>VLOOKUP(F2283,'[1]Cost Sheet'!$C:$D,2,0)</f>
        <v>63.26</v>
      </c>
      <c r="AS2283" s="5">
        <f t="shared" si="79"/>
        <v>7211.6399999999994</v>
      </c>
    </row>
    <row r="2284" spans="1:45" x14ac:dyDescent="0.3">
      <c r="A2284" s="1">
        <v>45900.965277777781</v>
      </c>
      <c r="B2284" t="s">
        <v>1499</v>
      </c>
      <c r="C2284" t="s">
        <v>1500</v>
      </c>
      <c r="D2284" t="s">
        <v>676</v>
      </c>
      <c r="E2284" t="s">
        <v>676</v>
      </c>
      <c r="F2284" t="s">
        <v>1791</v>
      </c>
      <c r="G2284" t="s">
        <v>677</v>
      </c>
      <c r="H2284" t="s">
        <v>635</v>
      </c>
      <c r="I2284" t="s">
        <v>43</v>
      </c>
      <c r="N2284">
        <v>176</v>
      </c>
      <c r="O2284">
        <v>0</v>
      </c>
      <c r="P2284">
        <v>0</v>
      </c>
      <c r="Q2284" t="s">
        <v>44</v>
      </c>
      <c r="R2284" t="s">
        <v>44</v>
      </c>
      <c r="S2284" t="s">
        <v>44</v>
      </c>
      <c r="T2284" t="s">
        <v>44</v>
      </c>
      <c r="U2284" t="s">
        <v>44</v>
      </c>
      <c r="V2284">
        <v>176</v>
      </c>
      <c r="W2284" t="s">
        <v>44</v>
      </c>
      <c r="X2284" t="s">
        <v>44</v>
      </c>
      <c r="Y2284">
        <v>176</v>
      </c>
      <c r="Z2284" t="s">
        <v>44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176</v>
      </c>
      <c r="AQ2284">
        <f t="shared" si="80"/>
        <v>176</v>
      </c>
      <c r="AR2284" s="5">
        <f>VLOOKUP(F2284,'[1]Cost Sheet'!$C:$D,2,0)</f>
        <v>79.260000000000005</v>
      </c>
      <c r="AS2284" s="5">
        <f t="shared" si="79"/>
        <v>13949.76</v>
      </c>
    </row>
    <row r="2285" spans="1:45" x14ac:dyDescent="0.3">
      <c r="A2285" s="1">
        <v>45900.965277777781</v>
      </c>
      <c r="B2285" t="s">
        <v>1499</v>
      </c>
      <c r="C2285" t="s">
        <v>1500</v>
      </c>
      <c r="D2285" t="s">
        <v>1003</v>
      </c>
      <c r="E2285" t="s">
        <v>1003</v>
      </c>
      <c r="F2285" t="s">
        <v>1951</v>
      </c>
      <c r="G2285" t="s">
        <v>1004</v>
      </c>
      <c r="H2285" t="s">
        <v>635</v>
      </c>
      <c r="I2285" t="s">
        <v>43</v>
      </c>
      <c r="N2285">
        <v>143</v>
      </c>
      <c r="O2285">
        <v>0</v>
      </c>
      <c r="P2285">
        <v>0</v>
      </c>
      <c r="Q2285" t="s">
        <v>44</v>
      </c>
      <c r="R2285" t="s">
        <v>44</v>
      </c>
      <c r="S2285" t="s">
        <v>44</v>
      </c>
      <c r="T2285" t="s">
        <v>44</v>
      </c>
      <c r="U2285" t="s">
        <v>44</v>
      </c>
      <c r="V2285">
        <v>143</v>
      </c>
      <c r="W2285" t="s">
        <v>44</v>
      </c>
      <c r="X2285" t="s">
        <v>44</v>
      </c>
      <c r="Y2285">
        <v>143</v>
      </c>
      <c r="Z2285" t="s">
        <v>44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143</v>
      </c>
      <c r="AQ2285">
        <f t="shared" si="80"/>
        <v>143</v>
      </c>
      <c r="AR2285" s="5">
        <f>VLOOKUP(F2285,'[1]Cost Sheet'!$C:$D,2,0)</f>
        <v>36.78</v>
      </c>
      <c r="AS2285" s="5">
        <f t="shared" si="79"/>
        <v>5259.54</v>
      </c>
    </row>
    <row r="2286" spans="1:45" x14ac:dyDescent="0.3">
      <c r="A2286" s="1">
        <v>45900.965277777781</v>
      </c>
      <c r="B2286" t="s">
        <v>1499</v>
      </c>
      <c r="C2286" t="s">
        <v>1500</v>
      </c>
      <c r="D2286" t="s">
        <v>1089</v>
      </c>
      <c r="E2286" t="s">
        <v>1089</v>
      </c>
      <c r="F2286" t="s">
        <v>1994</v>
      </c>
      <c r="G2286" t="s">
        <v>1090</v>
      </c>
      <c r="H2286" t="s">
        <v>635</v>
      </c>
      <c r="I2286" t="s">
        <v>43</v>
      </c>
      <c r="N2286">
        <v>151</v>
      </c>
      <c r="O2286">
        <v>0</v>
      </c>
      <c r="P2286">
        <v>0</v>
      </c>
      <c r="Q2286" t="s">
        <v>44</v>
      </c>
      <c r="R2286" t="s">
        <v>44</v>
      </c>
      <c r="S2286" t="s">
        <v>44</v>
      </c>
      <c r="T2286" t="s">
        <v>44</v>
      </c>
      <c r="U2286" t="s">
        <v>44</v>
      </c>
      <c r="V2286">
        <v>151</v>
      </c>
      <c r="W2286" t="s">
        <v>44</v>
      </c>
      <c r="X2286" t="s">
        <v>44</v>
      </c>
      <c r="Y2286">
        <v>151</v>
      </c>
      <c r="Z2286" t="s">
        <v>44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151</v>
      </c>
      <c r="AQ2286">
        <f t="shared" si="80"/>
        <v>151</v>
      </c>
      <c r="AR2286" s="5">
        <f>VLOOKUP(F2286,'[1]Cost Sheet'!$C:$D,2,0)</f>
        <v>40.44</v>
      </c>
      <c r="AS2286" s="5">
        <f t="shared" si="79"/>
        <v>6106.44</v>
      </c>
    </row>
    <row r="2287" spans="1:45" x14ac:dyDescent="0.3">
      <c r="A2287" s="1">
        <v>45900.965277777781</v>
      </c>
      <c r="B2287" t="s">
        <v>1499</v>
      </c>
      <c r="C2287" t="s">
        <v>1500</v>
      </c>
      <c r="D2287" t="s">
        <v>1099</v>
      </c>
      <c r="E2287" t="s">
        <v>1099</v>
      </c>
      <c r="F2287" t="s">
        <v>1999</v>
      </c>
      <c r="G2287" t="s">
        <v>1100</v>
      </c>
      <c r="H2287" t="s">
        <v>635</v>
      </c>
      <c r="I2287" t="s">
        <v>43</v>
      </c>
      <c r="J2287">
        <v>15</v>
      </c>
      <c r="K2287">
        <v>19</v>
      </c>
      <c r="L2287">
        <v>10</v>
      </c>
      <c r="M2287">
        <v>11</v>
      </c>
      <c r="N2287">
        <v>159</v>
      </c>
      <c r="O2287">
        <v>0</v>
      </c>
      <c r="P2287">
        <v>0</v>
      </c>
      <c r="Q2287" t="s">
        <v>44</v>
      </c>
      <c r="R2287" t="s">
        <v>44</v>
      </c>
      <c r="S2287" t="s">
        <v>44</v>
      </c>
      <c r="T2287" t="s">
        <v>44</v>
      </c>
      <c r="U2287" t="s">
        <v>44</v>
      </c>
      <c r="V2287">
        <v>159</v>
      </c>
      <c r="W2287" t="s">
        <v>44</v>
      </c>
      <c r="X2287" t="s">
        <v>44</v>
      </c>
      <c r="Y2287">
        <v>159</v>
      </c>
      <c r="Z2287" t="s">
        <v>44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159</v>
      </c>
      <c r="AQ2287">
        <f t="shared" si="80"/>
        <v>159</v>
      </c>
      <c r="AR2287" s="5">
        <f>VLOOKUP(F2287,'[1]Cost Sheet'!$C:$D,2,0)</f>
        <v>37.46</v>
      </c>
      <c r="AS2287" s="5">
        <f t="shared" si="79"/>
        <v>5956.14</v>
      </c>
    </row>
    <row r="2288" spans="1:45" x14ac:dyDescent="0.3">
      <c r="A2288" s="1">
        <v>45900.965277777781</v>
      </c>
      <c r="B2288" t="s">
        <v>1499</v>
      </c>
      <c r="C2288" t="s">
        <v>1500</v>
      </c>
      <c r="D2288" t="s">
        <v>694</v>
      </c>
      <c r="E2288" t="s">
        <v>694</v>
      </c>
      <c r="F2288" t="s">
        <v>1800</v>
      </c>
      <c r="G2288" t="s">
        <v>695</v>
      </c>
      <c r="H2288" t="s">
        <v>635</v>
      </c>
      <c r="I2288" t="s">
        <v>43</v>
      </c>
      <c r="J2288">
        <v>15</v>
      </c>
      <c r="K2288">
        <v>19</v>
      </c>
      <c r="L2288">
        <v>10</v>
      </c>
      <c r="M2288">
        <v>11</v>
      </c>
      <c r="N2288">
        <v>119</v>
      </c>
      <c r="O2288">
        <v>0</v>
      </c>
      <c r="P2288">
        <v>0</v>
      </c>
      <c r="Q2288" t="s">
        <v>44</v>
      </c>
      <c r="R2288" t="s">
        <v>44</v>
      </c>
      <c r="S2288" t="s">
        <v>44</v>
      </c>
      <c r="T2288" t="s">
        <v>44</v>
      </c>
      <c r="U2288" t="s">
        <v>44</v>
      </c>
      <c r="V2288">
        <v>119</v>
      </c>
      <c r="W2288" t="s">
        <v>44</v>
      </c>
      <c r="X2288" t="s">
        <v>44</v>
      </c>
      <c r="Y2288">
        <v>119</v>
      </c>
      <c r="Z2288" t="s">
        <v>44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119</v>
      </c>
      <c r="AQ2288">
        <f t="shared" si="80"/>
        <v>119</v>
      </c>
      <c r="AR2288" s="5">
        <f>VLOOKUP(F2288,'[1]Cost Sheet'!$C:$D,2,0)</f>
        <v>28.199999999999996</v>
      </c>
      <c r="AS2288" s="5">
        <f t="shared" si="79"/>
        <v>3355.7999999999993</v>
      </c>
    </row>
    <row r="2289" spans="1:45" x14ac:dyDescent="0.3">
      <c r="A2289" s="1">
        <v>45900.965277777781</v>
      </c>
      <c r="B2289" t="s">
        <v>1499</v>
      </c>
      <c r="C2289" t="s">
        <v>1500</v>
      </c>
      <c r="D2289" t="s">
        <v>696</v>
      </c>
      <c r="E2289" t="s">
        <v>696</v>
      </c>
      <c r="F2289" t="s">
        <v>1801</v>
      </c>
      <c r="G2289" t="s">
        <v>697</v>
      </c>
      <c r="H2289" t="s">
        <v>635</v>
      </c>
      <c r="I2289" t="s">
        <v>43</v>
      </c>
      <c r="J2289">
        <v>15</v>
      </c>
      <c r="K2289">
        <v>19</v>
      </c>
      <c r="L2289">
        <v>10</v>
      </c>
      <c r="M2289">
        <v>11</v>
      </c>
      <c r="N2289">
        <v>165</v>
      </c>
      <c r="O2289">
        <v>0</v>
      </c>
      <c r="P2289">
        <v>0</v>
      </c>
      <c r="Q2289" t="s">
        <v>44</v>
      </c>
      <c r="R2289" t="s">
        <v>44</v>
      </c>
      <c r="S2289" t="s">
        <v>44</v>
      </c>
      <c r="T2289" t="s">
        <v>44</v>
      </c>
      <c r="U2289" t="s">
        <v>44</v>
      </c>
      <c r="V2289">
        <v>165</v>
      </c>
      <c r="W2289" t="s">
        <v>44</v>
      </c>
      <c r="X2289" t="s">
        <v>44</v>
      </c>
      <c r="Y2289">
        <v>165</v>
      </c>
      <c r="Z2289" t="s">
        <v>44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165</v>
      </c>
      <c r="AQ2289">
        <f t="shared" si="80"/>
        <v>165</v>
      </c>
      <c r="AR2289" s="5">
        <f>VLOOKUP(F2289,'[1]Cost Sheet'!$C:$D,2,0)</f>
        <v>29.02</v>
      </c>
      <c r="AS2289" s="5">
        <f t="shared" si="79"/>
        <v>4788.3</v>
      </c>
    </row>
    <row r="2290" spans="1:45" x14ac:dyDescent="0.3">
      <c r="A2290" s="1">
        <v>45900.965277777781</v>
      </c>
      <c r="B2290" t="s">
        <v>1499</v>
      </c>
      <c r="C2290" t="s">
        <v>1500</v>
      </c>
      <c r="D2290" t="s">
        <v>698</v>
      </c>
      <c r="E2290" t="s">
        <v>698</v>
      </c>
      <c r="F2290" t="s">
        <v>1802</v>
      </c>
      <c r="G2290" t="s">
        <v>699</v>
      </c>
      <c r="H2290" t="s">
        <v>635</v>
      </c>
      <c r="I2290" t="s">
        <v>43</v>
      </c>
      <c r="J2290">
        <v>15</v>
      </c>
      <c r="K2290">
        <v>19</v>
      </c>
      <c r="L2290">
        <v>10</v>
      </c>
      <c r="M2290">
        <v>11</v>
      </c>
      <c r="N2290">
        <v>126</v>
      </c>
      <c r="O2290">
        <v>0</v>
      </c>
      <c r="P2290">
        <v>0</v>
      </c>
      <c r="Q2290" t="s">
        <v>44</v>
      </c>
      <c r="R2290" t="s">
        <v>44</v>
      </c>
      <c r="S2290" t="s">
        <v>44</v>
      </c>
      <c r="T2290" t="s">
        <v>44</v>
      </c>
      <c r="U2290" t="s">
        <v>44</v>
      </c>
      <c r="V2290">
        <v>126</v>
      </c>
      <c r="W2290" t="s">
        <v>44</v>
      </c>
      <c r="X2290" t="s">
        <v>44</v>
      </c>
      <c r="Y2290">
        <v>126</v>
      </c>
      <c r="Z2290" t="s">
        <v>44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126</v>
      </c>
      <c r="AQ2290">
        <f t="shared" si="80"/>
        <v>126</v>
      </c>
      <c r="AR2290" s="5">
        <f>VLOOKUP(F2290,'[1]Cost Sheet'!$C:$D,2,0)</f>
        <v>34.455294117647057</v>
      </c>
      <c r="AS2290" s="5">
        <f t="shared" si="79"/>
        <v>4341.3670588235291</v>
      </c>
    </row>
    <row r="2291" spans="1:45" x14ac:dyDescent="0.3">
      <c r="A2291" s="1">
        <v>45900.965277777781</v>
      </c>
      <c r="B2291" t="s">
        <v>1499</v>
      </c>
      <c r="C2291" t="s">
        <v>1500</v>
      </c>
      <c r="D2291" t="s">
        <v>1109</v>
      </c>
      <c r="F2291" t="s">
        <v>2004</v>
      </c>
      <c r="G2291" t="s">
        <v>1110</v>
      </c>
      <c r="H2291" t="s">
        <v>66</v>
      </c>
      <c r="I2291" t="s">
        <v>43</v>
      </c>
      <c r="J2291">
        <v>111</v>
      </c>
      <c r="K2291">
        <v>19</v>
      </c>
      <c r="L2291">
        <v>11</v>
      </c>
      <c r="M2291">
        <v>10</v>
      </c>
      <c r="N2291">
        <v>1322</v>
      </c>
      <c r="O2291">
        <v>0</v>
      </c>
      <c r="P2291">
        <v>0</v>
      </c>
      <c r="Q2291" t="s">
        <v>44</v>
      </c>
      <c r="R2291" t="s">
        <v>44</v>
      </c>
      <c r="S2291" t="s">
        <v>44</v>
      </c>
      <c r="T2291" t="s">
        <v>44</v>
      </c>
      <c r="U2291" t="s">
        <v>44</v>
      </c>
      <c r="V2291">
        <v>997</v>
      </c>
      <c r="W2291" t="s">
        <v>44</v>
      </c>
      <c r="X2291" t="s">
        <v>44</v>
      </c>
      <c r="Y2291">
        <v>997</v>
      </c>
      <c r="Z2291" t="s">
        <v>44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997</v>
      </c>
      <c r="AQ2291">
        <f t="shared" si="80"/>
        <v>997</v>
      </c>
      <c r="AR2291" s="5">
        <f>VLOOKUP(F2291,'[2]SCP_24-25'!$A:$D,4,0)</f>
        <v>424.71</v>
      </c>
      <c r="AS2291" s="5">
        <f t="shared" si="79"/>
        <v>423435.87</v>
      </c>
    </row>
    <row r="2292" spans="1:45" x14ac:dyDescent="0.3">
      <c r="A2292" s="1">
        <v>45900.965277777781</v>
      </c>
      <c r="B2292" t="s">
        <v>1499</v>
      </c>
      <c r="C2292" t="s">
        <v>1500</v>
      </c>
      <c r="D2292" t="s">
        <v>1111</v>
      </c>
      <c r="F2292" t="s">
        <v>2005</v>
      </c>
      <c r="G2292" t="s">
        <v>1112</v>
      </c>
      <c r="H2292" t="s">
        <v>120</v>
      </c>
      <c r="I2292" t="s">
        <v>43</v>
      </c>
      <c r="J2292">
        <v>50</v>
      </c>
      <c r="K2292">
        <v>19</v>
      </c>
      <c r="L2292">
        <v>10</v>
      </c>
      <c r="M2292">
        <v>11</v>
      </c>
      <c r="N2292">
        <v>1685</v>
      </c>
      <c r="O2292">
        <v>10</v>
      </c>
      <c r="P2292">
        <v>0</v>
      </c>
      <c r="Q2292" t="s">
        <v>44</v>
      </c>
      <c r="R2292" t="s">
        <v>44</v>
      </c>
      <c r="S2292" t="s">
        <v>44</v>
      </c>
      <c r="T2292" t="s">
        <v>44</v>
      </c>
      <c r="U2292" t="s">
        <v>44</v>
      </c>
      <c r="V2292">
        <v>600</v>
      </c>
      <c r="W2292" t="s">
        <v>44</v>
      </c>
      <c r="X2292" t="s">
        <v>44</v>
      </c>
      <c r="Y2292">
        <v>600</v>
      </c>
      <c r="Z2292" t="s">
        <v>44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610</v>
      </c>
      <c r="AQ2292">
        <f t="shared" si="80"/>
        <v>610</v>
      </c>
      <c r="AR2292" s="5">
        <f>VLOOKUP(F2292,'[2]SCP_24-25'!$A:$D,4,0)</f>
        <v>120</v>
      </c>
      <c r="AS2292" s="5">
        <f t="shared" si="79"/>
        <v>73200</v>
      </c>
    </row>
    <row r="2293" spans="1:45" x14ac:dyDescent="0.3">
      <c r="A2293" s="1">
        <v>45900.965277777781</v>
      </c>
      <c r="B2293" t="s">
        <v>1499</v>
      </c>
      <c r="C2293" t="s">
        <v>1500</v>
      </c>
      <c r="D2293" t="s">
        <v>444</v>
      </c>
      <c r="E2293" t="s">
        <v>445</v>
      </c>
      <c r="F2293" t="s">
        <v>1677</v>
      </c>
      <c r="G2293" t="s">
        <v>446</v>
      </c>
      <c r="H2293" t="s">
        <v>130</v>
      </c>
      <c r="I2293" t="s">
        <v>43</v>
      </c>
      <c r="J2293">
        <v>60.02</v>
      </c>
      <c r="K2293">
        <v>19</v>
      </c>
      <c r="L2293">
        <v>10</v>
      </c>
      <c r="M2293">
        <v>11</v>
      </c>
      <c r="N2293">
        <v>879</v>
      </c>
      <c r="O2293">
        <v>0</v>
      </c>
      <c r="P2293">
        <v>0</v>
      </c>
      <c r="Q2293" t="s">
        <v>44</v>
      </c>
      <c r="R2293" t="s">
        <v>44</v>
      </c>
      <c r="S2293" t="s">
        <v>44</v>
      </c>
      <c r="T2293" t="s">
        <v>44</v>
      </c>
      <c r="U2293" t="s">
        <v>44</v>
      </c>
      <c r="V2293">
        <v>784</v>
      </c>
      <c r="W2293" t="s">
        <v>44</v>
      </c>
      <c r="X2293" t="s">
        <v>44</v>
      </c>
      <c r="Y2293">
        <v>784</v>
      </c>
      <c r="Z2293" t="s">
        <v>44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784</v>
      </c>
      <c r="AQ2293">
        <f t="shared" si="80"/>
        <v>784</v>
      </c>
      <c r="AR2293" s="5">
        <f>VLOOKUP(F2293,'[2]SCP_24-25'!$A:$D,4,0)</f>
        <v>86.7</v>
      </c>
      <c r="AS2293" s="5">
        <f t="shared" si="79"/>
        <v>67972.800000000003</v>
      </c>
    </row>
    <row r="2294" spans="1:45" x14ac:dyDescent="0.3">
      <c r="A2294" s="1">
        <v>45900.965277777781</v>
      </c>
      <c r="B2294" t="s">
        <v>1499</v>
      </c>
      <c r="C2294" t="s">
        <v>1500</v>
      </c>
      <c r="D2294" t="s">
        <v>524</v>
      </c>
      <c r="E2294" t="s">
        <v>445</v>
      </c>
      <c r="F2294" t="s">
        <v>1716</v>
      </c>
      <c r="G2294" t="s">
        <v>525</v>
      </c>
      <c r="H2294" t="s">
        <v>130</v>
      </c>
      <c r="I2294" t="s">
        <v>43</v>
      </c>
      <c r="J2294">
        <v>60.02</v>
      </c>
      <c r="K2294">
        <v>19</v>
      </c>
      <c r="L2294">
        <v>10</v>
      </c>
      <c r="M2294">
        <v>11</v>
      </c>
      <c r="N2294">
        <v>428</v>
      </c>
      <c r="O2294">
        <v>0</v>
      </c>
      <c r="P2294">
        <v>0</v>
      </c>
      <c r="Q2294" t="s">
        <v>44</v>
      </c>
      <c r="R2294" t="s">
        <v>44</v>
      </c>
      <c r="S2294" t="s">
        <v>44</v>
      </c>
      <c r="T2294" t="s">
        <v>44</v>
      </c>
      <c r="U2294" t="s">
        <v>44</v>
      </c>
      <c r="V2294">
        <v>206</v>
      </c>
      <c r="W2294" t="s">
        <v>44</v>
      </c>
      <c r="X2294" t="s">
        <v>44</v>
      </c>
      <c r="Y2294">
        <v>206</v>
      </c>
      <c r="Z2294" t="s">
        <v>44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206</v>
      </c>
      <c r="AQ2294">
        <f t="shared" si="80"/>
        <v>206</v>
      </c>
      <c r="AR2294" s="5">
        <f>VLOOKUP(F2294,'[2]SCP_24-25'!$A:$D,4,0)</f>
        <v>86.7</v>
      </c>
      <c r="AS2294" s="5">
        <f t="shared" si="79"/>
        <v>17860.2</v>
      </c>
    </row>
    <row r="2295" spans="1:45" x14ac:dyDescent="0.3">
      <c r="A2295" s="1">
        <v>45900.965277777781</v>
      </c>
      <c r="B2295" t="s">
        <v>1499</v>
      </c>
      <c r="C2295" t="s">
        <v>1500</v>
      </c>
      <c r="D2295" t="s">
        <v>594</v>
      </c>
      <c r="E2295" t="s">
        <v>595</v>
      </c>
      <c r="F2295" t="s">
        <v>1751</v>
      </c>
      <c r="G2295" t="s">
        <v>596</v>
      </c>
      <c r="H2295" t="s">
        <v>130</v>
      </c>
      <c r="I2295" t="s">
        <v>43</v>
      </c>
      <c r="J2295">
        <v>60.02</v>
      </c>
      <c r="K2295">
        <v>19</v>
      </c>
      <c r="L2295">
        <v>10</v>
      </c>
      <c r="M2295">
        <v>11</v>
      </c>
      <c r="N2295">
        <v>523</v>
      </c>
      <c r="O2295">
        <v>42</v>
      </c>
      <c r="P2295">
        <v>0</v>
      </c>
      <c r="Q2295" t="s">
        <v>44</v>
      </c>
      <c r="R2295" t="s">
        <v>44</v>
      </c>
      <c r="S2295" t="s">
        <v>44</v>
      </c>
      <c r="T2295" t="s">
        <v>44</v>
      </c>
      <c r="U2295" t="s">
        <v>44</v>
      </c>
      <c r="V2295">
        <v>189</v>
      </c>
      <c r="W2295" t="s">
        <v>44</v>
      </c>
      <c r="X2295" t="s">
        <v>44</v>
      </c>
      <c r="Y2295">
        <v>189</v>
      </c>
      <c r="Z2295" t="s">
        <v>44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231</v>
      </c>
      <c r="AQ2295">
        <f t="shared" si="80"/>
        <v>231</v>
      </c>
      <c r="AR2295" s="5">
        <f>VLOOKUP(F2295,'[2]SCP_24-25'!$A:$D,4,0)</f>
        <v>120.58</v>
      </c>
      <c r="AS2295" s="5">
        <f t="shared" si="79"/>
        <v>27853.98</v>
      </c>
    </row>
    <row r="2296" spans="1:45" x14ac:dyDescent="0.3">
      <c r="A2296" s="1">
        <v>45900.965277777781</v>
      </c>
      <c r="B2296" t="s">
        <v>1499</v>
      </c>
      <c r="C2296" t="s">
        <v>1500</v>
      </c>
      <c r="D2296" t="s">
        <v>599</v>
      </c>
      <c r="F2296" t="s">
        <v>1753</v>
      </c>
      <c r="G2296" t="s">
        <v>600</v>
      </c>
      <c r="H2296" t="s">
        <v>130</v>
      </c>
      <c r="I2296" t="s">
        <v>43</v>
      </c>
      <c r="J2296">
        <v>24.02</v>
      </c>
      <c r="K2296">
        <v>19</v>
      </c>
      <c r="L2296">
        <v>10</v>
      </c>
      <c r="M2296">
        <v>11</v>
      </c>
      <c r="N2296">
        <v>936</v>
      </c>
      <c r="O2296">
        <v>0</v>
      </c>
      <c r="P2296">
        <v>0</v>
      </c>
      <c r="Q2296" t="s">
        <v>44</v>
      </c>
      <c r="R2296" t="s">
        <v>44</v>
      </c>
      <c r="S2296" t="s">
        <v>44</v>
      </c>
      <c r="T2296" t="s">
        <v>44</v>
      </c>
      <c r="U2296" t="s">
        <v>44</v>
      </c>
      <c r="V2296">
        <v>738</v>
      </c>
      <c r="W2296" t="s">
        <v>44</v>
      </c>
      <c r="X2296" t="s">
        <v>44</v>
      </c>
      <c r="Y2296">
        <v>738</v>
      </c>
      <c r="Z2296" t="s">
        <v>44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738</v>
      </c>
      <c r="AQ2296">
        <f t="shared" si="80"/>
        <v>738</v>
      </c>
      <c r="AR2296" s="5">
        <f>VLOOKUP(F2296,'[2]SCP_24-25'!$A:$D,4,0)</f>
        <v>79.680000000000007</v>
      </c>
      <c r="AS2296" s="5">
        <f t="shared" si="79"/>
        <v>58803.840000000004</v>
      </c>
    </row>
    <row r="2297" spans="1:45" x14ac:dyDescent="0.3">
      <c r="A2297" s="1">
        <v>45900.965277777781</v>
      </c>
      <c r="B2297" t="s">
        <v>1499</v>
      </c>
      <c r="C2297" t="s">
        <v>1500</v>
      </c>
      <c r="D2297" t="s">
        <v>449</v>
      </c>
      <c r="F2297" t="s">
        <v>1679</v>
      </c>
      <c r="G2297" t="s">
        <v>450</v>
      </c>
      <c r="H2297" t="s">
        <v>130</v>
      </c>
      <c r="I2297" t="s">
        <v>43</v>
      </c>
      <c r="J2297">
        <v>125</v>
      </c>
      <c r="K2297">
        <v>19</v>
      </c>
      <c r="L2297">
        <v>10</v>
      </c>
      <c r="M2297">
        <v>11</v>
      </c>
      <c r="N2297">
        <v>448</v>
      </c>
      <c r="O2297">
        <v>0</v>
      </c>
      <c r="P2297">
        <v>0</v>
      </c>
      <c r="Q2297" t="s">
        <v>44</v>
      </c>
      <c r="R2297" t="s">
        <v>44</v>
      </c>
      <c r="S2297" t="s">
        <v>44</v>
      </c>
      <c r="T2297" t="s">
        <v>44</v>
      </c>
      <c r="U2297" t="s">
        <v>44</v>
      </c>
      <c r="V2297">
        <v>325</v>
      </c>
      <c r="W2297" t="s">
        <v>44</v>
      </c>
      <c r="X2297" t="s">
        <v>44</v>
      </c>
      <c r="Y2297">
        <v>325</v>
      </c>
      <c r="Z2297" t="s">
        <v>44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325</v>
      </c>
      <c r="AQ2297">
        <f t="shared" si="80"/>
        <v>325</v>
      </c>
      <c r="AR2297" s="5">
        <f>VLOOKUP(F2297,'[2]SCP_24-25'!$A:$D,4,0)</f>
        <v>168.55</v>
      </c>
      <c r="AS2297" s="5">
        <f t="shared" si="79"/>
        <v>54778.750000000007</v>
      </c>
    </row>
    <row r="2298" spans="1:45" x14ac:dyDescent="0.3">
      <c r="A2298" s="1">
        <v>45900.965277777781</v>
      </c>
      <c r="B2298" t="s">
        <v>1499</v>
      </c>
      <c r="C2298" t="s">
        <v>1500</v>
      </c>
      <c r="D2298" t="s">
        <v>530</v>
      </c>
      <c r="F2298" t="s">
        <v>1719</v>
      </c>
      <c r="G2298" t="s">
        <v>531</v>
      </c>
      <c r="H2298" t="s">
        <v>130</v>
      </c>
      <c r="I2298" t="s">
        <v>43</v>
      </c>
      <c r="J2298">
        <v>38.020000000000003</v>
      </c>
      <c r="K2298">
        <v>19</v>
      </c>
      <c r="L2298">
        <v>10</v>
      </c>
      <c r="M2298">
        <v>11</v>
      </c>
      <c r="N2298">
        <v>1008</v>
      </c>
      <c r="O2298">
        <v>0</v>
      </c>
      <c r="P2298">
        <v>0</v>
      </c>
      <c r="Q2298" t="s">
        <v>44</v>
      </c>
      <c r="R2298" t="s">
        <v>44</v>
      </c>
      <c r="S2298" t="s">
        <v>44</v>
      </c>
      <c r="T2298" t="s">
        <v>44</v>
      </c>
      <c r="U2298" t="s">
        <v>44</v>
      </c>
      <c r="V2298">
        <v>929</v>
      </c>
      <c r="W2298" t="s">
        <v>44</v>
      </c>
      <c r="X2298" t="s">
        <v>44</v>
      </c>
      <c r="Y2298">
        <v>929</v>
      </c>
      <c r="Z2298" t="s">
        <v>44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929</v>
      </c>
      <c r="AQ2298">
        <f t="shared" si="80"/>
        <v>929</v>
      </c>
      <c r="AR2298" s="5">
        <f>VLOOKUP(F2298,'[2]SCP_24-25'!$A:$D,4,0)</f>
        <v>73.05</v>
      </c>
      <c r="AS2298" s="5">
        <f t="shared" si="79"/>
        <v>67863.45</v>
      </c>
    </row>
    <row r="2299" spans="1:45" x14ac:dyDescent="0.3">
      <c r="A2299" s="1">
        <v>45900.965277777781</v>
      </c>
      <c r="B2299" t="s">
        <v>1499</v>
      </c>
      <c r="C2299" t="s">
        <v>1500</v>
      </c>
      <c r="D2299" t="s">
        <v>1113</v>
      </c>
      <c r="F2299" t="s">
        <v>2006</v>
      </c>
      <c r="G2299" t="s">
        <v>1114</v>
      </c>
      <c r="H2299" t="s">
        <v>130</v>
      </c>
      <c r="I2299" t="s">
        <v>43</v>
      </c>
      <c r="J2299">
        <v>40.020000000000003</v>
      </c>
      <c r="K2299">
        <v>19</v>
      </c>
      <c r="L2299">
        <v>10</v>
      </c>
      <c r="M2299">
        <v>11</v>
      </c>
      <c r="N2299">
        <v>3170</v>
      </c>
      <c r="O2299">
        <v>0</v>
      </c>
      <c r="P2299">
        <v>0</v>
      </c>
      <c r="Q2299" t="s">
        <v>44</v>
      </c>
      <c r="R2299" t="s">
        <v>44</v>
      </c>
      <c r="S2299" t="s">
        <v>44</v>
      </c>
      <c r="T2299" t="s">
        <v>44</v>
      </c>
      <c r="U2299" t="s">
        <v>44</v>
      </c>
      <c r="V2299">
        <v>961</v>
      </c>
      <c r="W2299" t="s">
        <v>44</v>
      </c>
      <c r="X2299" t="s">
        <v>44</v>
      </c>
      <c r="Y2299">
        <v>961</v>
      </c>
      <c r="Z2299" t="s">
        <v>44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961</v>
      </c>
      <c r="AQ2299">
        <f t="shared" si="80"/>
        <v>961</v>
      </c>
      <c r="AR2299" s="5">
        <f>VLOOKUP(F2299,'[2]SCP_24-25'!$A:$D,4,0)</f>
        <v>98.3</v>
      </c>
      <c r="AS2299" s="5">
        <f t="shared" si="79"/>
        <v>94466.3</v>
      </c>
    </row>
    <row r="2300" spans="1:45" x14ac:dyDescent="0.3">
      <c r="A2300" s="1">
        <v>45900.965277777781</v>
      </c>
      <c r="B2300" t="s">
        <v>1499</v>
      </c>
      <c r="C2300" t="s">
        <v>1500</v>
      </c>
      <c r="D2300" t="s">
        <v>597</v>
      </c>
      <c r="F2300" t="s">
        <v>1752</v>
      </c>
      <c r="G2300" t="s">
        <v>598</v>
      </c>
      <c r="H2300" t="s">
        <v>130</v>
      </c>
      <c r="I2300" t="s">
        <v>43</v>
      </c>
      <c r="J2300">
        <v>40</v>
      </c>
      <c r="K2300">
        <v>19</v>
      </c>
      <c r="L2300">
        <v>10</v>
      </c>
      <c r="M2300">
        <v>11</v>
      </c>
      <c r="N2300">
        <v>1521</v>
      </c>
      <c r="O2300">
        <v>18</v>
      </c>
      <c r="P2300">
        <v>0</v>
      </c>
      <c r="Q2300" t="s">
        <v>44</v>
      </c>
      <c r="R2300" t="s">
        <v>44</v>
      </c>
      <c r="S2300" t="s">
        <v>44</v>
      </c>
      <c r="T2300" t="s">
        <v>44</v>
      </c>
      <c r="U2300" t="s">
        <v>44</v>
      </c>
      <c r="V2300">
        <v>924</v>
      </c>
      <c r="W2300" t="s">
        <v>44</v>
      </c>
      <c r="X2300" t="s">
        <v>44</v>
      </c>
      <c r="Y2300">
        <v>924</v>
      </c>
      <c r="Z2300" t="s">
        <v>44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942</v>
      </c>
      <c r="AQ2300">
        <f t="shared" si="80"/>
        <v>942</v>
      </c>
      <c r="AR2300" s="5">
        <f>VLOOKUP(F2300,'[2]SCP_24-25'!$A:$D,4,0)</f>
        <v>98.3</v>
      </c>
      <c r="AS2300" s="5">
        <f t="shared" si="79"/>
        <v>92598.599999999991</v>
      </c>
    </row>
    <row r="2301" spans="1:45" x14ac:dyDescent="0.3">
      <c r="A2301" s="1">
        <v>45900.965277777781</v>
      </c>
      <c r="B2301" t="s">
        <v>1499</v>
      </c>
      <c r="C2301" t="s">
        <v>1500</v>
      </c>
      <c r="D2301" t="s">
        <v>572</v>
      </c>
      <c r="F2301" t="s">
        <v>1740</v>
      </c>
      <c r="G2301" t="s">
        <v>573</v>
      </c>
      <c r="H2301" t="s">
        <v>130</v>
      </c>
      <c r="I2301" t="s">
        <v>43</v>
      </c>
      <c r="J2301">
        <v>40.020000000000003</v>
      </c>
      <c r="K2301">
        <v>19</v>
      </c>
      <c r="L2301">
        <v>10</v>
      </c>
      <c r="M2301">
        <v>11</v>
      </c>
      <c r="N2301">
        <v>1084</v>
      </c>
      <c r="O2301">
        <v>24</v>
      </c>
      <c r="P2301">
        <v>0</v>
      </c>
      <c r="Q2301" t="s">
        <v>44</v>
      </c>
      <c r="R2301" t="s">
        <v>44</v>
      </c>
      <c r="S2301" t="s">
        <v>44</v>
      </c>
      <c r="T2301" t="s">
        <v>44</v>
      </c>
      <c r="U2301" t="s">
        <v>44</v>
      </c>
      <c r="V2301">
        <v>229</v>
      </c>
      <c r="W2301" t="s">
        <v>44</v>
      </c>
      <c r="X2301" t="s">
        <v>44</v>
      </c>
      <c r="Y2301">
        <v>229</v>
      </c>
      <c r="Z2301" t="s">
        <v>44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253</v>
      </c>
      <c r="AQ2301">
        <f t="shared" si="80"/>
        <v>253</v>
      </c>
      <c r="AR2301" s="5">
        <f>VLOOKUP(F2301,'[2]SCP_24-25'!$A:$D,4,0)</f>
        <v>98.3</v>
      </c>
      <c r="AS2301" s="5">
        <f t="shared" si="79"/>
        <v>24869.899999999998</v>
      </c>
    </row>
    <row r="2302" spans="1:45" x14ac:dyDescent="0.3">
      <c r="A2302" s="1">
        <v>45900.965277777781</v>
      </c>
      <c r="B2302" t="s">
        <v>1499</v>
      </c>
      <c r="C2302" t="s">
        <v>1500</v>
      </c>
      <c r="D2302" t="s">
        <v>574</v>
      </c>
      <c r="F2302" t="s">
        <v>1741</v>
      </c>
      <c r="G2302" t="s">
        <v>575</v>
      </c>
      <c r="H2302" t="s">
        <v>130</v>
      </c>
      <c r="I2302" t="s">
        <v>43</v>
      </c>
      <c r="J2302">
        <v>40.020000000000003</v>
      </c>
      <c r="K2302">
        <v>19</v>
      </c>
      <c r="L2302">
        <v>10</v>
      </c>
      <c r="M2302">
        <v>11</v>
      </c>
      <c r="N2302">
        <v>2700</v>
      </c>
      <c r="O2302">
        <v>24</v>
      </c>
      <c r="P2302">
        <v>0</v>
      </c>
      <c r="Q2302" t="s">
        <v>44</v>
      </c>
      <c r="R2302" t="s">
        <v>44</v>
      </c>
      <c r="S2302" t="s">
        <v>44</v>
      </c>
      <c r="T2302" t="s">
        <v>44</v>
      </c>
      <c r="U2302" t="s">
        <v>44</v>
      </c>
      <c r="V2302">
        <v>897</v>
      </c>
      <c r="W2302" t="s">
        <v>44</v>
      </c>
      <c r="X2302" t="s">
        <v>44</v>
      </c>
      <c r="Y2302">
        <v>897</v>
      </c>
      <c r="Z2302" t="s">
        <v>44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921</v>
      </c>
      <c r="AQ2302">
        <f t="shared" si="80"/>
        <v>921</v>
      </c>
      <c r="AR2302" s="5">
        <f>VLOOKUP(F2302,'[2]SCP_24-25'!$A:$D,4,0)</f>
        <v>98.3</v>
      </c>
      <c r="AS2302" s="5">
        <f t="shared" si="79"/>
        <v>90534.3</v>
      </c>
    </row>
    <row r="2303" spans="1:45" x14ac:dyDescent="0.3">
      <c r="A2303" s="1">
        <v>45900.965277777781</v>
      </c>
      <c r="B2303" t="s">
        <v>1499</v>
      </c>
      <c r="C2303" t="s">
        <v>1500</v>
      </c>
      <c r="D2303" t="s">
        <v>607</v>
      </c>
      <c r="F2303" t="s">
        <v>1757</v>
      </c>
      <c r="G2303" t="s">
        <v>608</v>
      </c>
      <c r="H2303" t="s">
        <v>130</v>
      </c>
      <c r="I2303" t="s">
        <v>43</v>
      </c>
      <c r="J2303">
        <v>40.020000000000003</v>
      </c>
      <c r="K2303">
        <v>19</v>
      </c>
      <c r="L2303">
        <v>10</v>
      </c>
      <c r="M2303">
        <v>11</v>
      </c>
      <c r="N2303">
        <v>1660</v>
      </c>
      <c r="O2303">
        <v>12</v>
      </c>
      <c r="P2303">
        <v>0</v>
      </c>
      <c r="Q2303" t="s">
        <v>44</v>
      </c>
      <c r="R2303" t="s">
        <v>44</v>
      </c>
      <c r="S2303" t="s">
        <v>44</v>
      </c>
      <c r="T2303" t="s">
        <v>44</v>
      </c>
      <c r="U2303" t="s">
        <v>44</v>
      </c>
      <c r="V2303">
        <v>751</v>
      </c>
      <c r="W2303" t="s">
        <v>44</v>
      </c>
      <c r="X2303" t="s">
        <v>44</v>
      </c>
      <c r="Y2303">
        <v>751</v>
      </c>
      <c r="Z2303" t="s">
        <v>44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763</v>
      </c>
      <c r="AQ2303">
        <f t="shared" si="80"/>
        <v>763</v>
      </c>
      <c r="AR2303" s="5">
        <f>VLOOKUP(F2303,'[2]SCP_24-25'!$A:$D,4,0)</f>
        <v>98.3</v>
      </c>
      <c r="AS2303" s="5">
        <f t="shared" si="79"/>
        <v>75002.899999999994</v>
      </c>
    </row>
    <row r="2304" spans="1:45" x14ac:dyDescent="0.3">
      <c r="A2304" s="1">
        <v>45900.965277777781</v>
      </c>
      <c r="B2304" t="s">
        <v>1499</v>
      </c>
      <c r="C2304" t="s">
        <v>1500</v>
      </c>
      <c r="D2304" t="s">
        <v>534</v>
      </c>
      <c r="F2304" t="s">
        <v>1721</v>
      </c>
      <c r="G2304" t="s">
        <v>535</v>
      </c>
      <c r="H2304" t="s">
        <v>130</v>
      </c>
      <c r="I2304" t="s">
        <v>43</v>
      </c>
      <c r="J2304">
        <v>40.020000000000003</v>
      </c>
      <c r="K2304">
        <v>19</v>
      </c>
      <c r="L2304">
        <v>10</v>
      </c>
      <c r="M2304">
        <v>11</v>
      </c>
      <c r="N2304">
        <v>1824</v>
      </c>
      <c r="O2304">
        <v>48</v>
      </c>
      <c r="P2304">
        <v>0</v>
      </c>
      <c r="Q2304" t="s">
        <v>44</v>
      </c>
      <c r="R2304" t="s">
        <v>44</v>
      </c>
      <c r="S2304" t="s">
        <v>44</v>
      </c>
      <c r="T2304">
        <v>192</v>
      </c>
      <c r="U2304" t="s">
        <v>44</v>
      </c>
      <c r="V2304">
        <v>422</v>
      </c>
      <c r="W2304" t="s">
        <v>44</v>
      </c>
      <c r="X2304" t="s">
        <v>44</v>
      </c>
      <c r="Y2304">
        <v>422</v>
      </c>
      <c r="Z2304" t="s">
        <v>44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470</v>
      </c>
      <c r="AQ2304">
        <f t="shared" si="80"/>
        <v>470</v>
      </c>
      <c r="AR2304" s="5">
        <f>VLOOKUP(F2304,'[2]SCP_24-25'!$A:$D,4,0)</f>
        <v>98.3</v>
      </c>
      <c r="AS2304" s="5">
        <f t="shared" si="79"/>
        <v>46201</v>
      </c>
    </row>
    <row r="2305" spans="1:45" x14ac:dyDescent="0.3">
      <c r="A2305" s="1">
        <v>45900.965277777781</v>
      </c>
      <c r="B2305" t="s">
        <v>1499</v>
      </c>
      <c r="C2305" t="s">
        <v>1500</v>
      </c>
      <c r="D2305" t="s">
        <v>455</v>
      </c>
      <c r="F2305" t="s">
        <v>1682</v>
      </c>
      <c r="G2305" t="s">
        <v>456</v>
      </c>
      <c r="H2305" t="s">
        <v>130</v>
      </c>
      <c r="I2305" t="s">
        <v>43</v>
      </c>
      <c r="J2305">
        <v>40.020000000000003</v>
      </c>
      <c r="K2305">
        <v>19</v>
      </c>
      <c r="L2305">
        <v>10</v>
      </c>
      <c r="M2305">
        <v>11</v>
      </c>
      <c r="N2305">
        <v>748</v>
      </c>
      <c r="O2305">
        <v>0</v>
      </c>
      <c r="P2305">
        <v>0</v>
      </c>
      <c r="Q2305" t="s">
        <v>44</v>
      </c>
      <c r="R2305" t="s">
        <v>44</v>
      </c>
      <c r="S2305" t="s">
        <v>44</v>
      </c>
      <c r="T2305" t="s">
        <v>44</v>
      </c>
      <c r="U2305" t="s">
        <v>44</v>
      </c>
      <c r="V2305">
        <v>587</v>
      </c>
      <c r="W2305" t="s">
        <v>44</v>
      </c>
      <c r="X2305" t="s">
        <v>44</v>
      </c>
      <c r="Y2305">
        <v>587</v>
      </c>
      <c r="Z2305" t="s">
        <v>44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587</v>
      </c>
      <c r="AQ2305">
        <f t="shared" si="80"/>
        <v>587</v>
      </c>
      <c r="AR2305" s="5">
        <f>VLOOKUP(F2305,'[2]SCP_24-25'!$A:$D,4,0)</f>
        <v>98.299999999999983</v>
      </c>
      <c r="AS2305" s="5">
        <f t="shared" si="79"/>
        <v>57702.099999999991</v>
      </c>
    </row>
    <row r="2306" spans="1:45" x14ac:dyDescent="0.3">
      <c r="A2306" s="1">
        <v>45900.965277777781</v>
      </c>
      <c r="B2306" t="s">
        <v>1499</v>
      </c>
      <c r="C2306" t="s">
        <v>1500</v>
      </c>
      <c r="D2306" t="s">
        <v>536</v>
      </c>
      <c r="F2306" t="s">
        <v>1722</v>
      </c>
      <c r="G2306" t="s">
        <v>537</v>
      </c>
      <c r="H2306" t="s">
        <v>130</v>
      </c>
      <c r="I2306" t="s">
        <v>43</v>
      </c>
      <c r="J2306">
        <v>40.020000000000003</v>
      </c>
      <c r="K2306">
        <v>19</v>
      </c>
      <c r="L2306">
        <v>10</v>
      </c>
      <c r="M2306">
        <v>11</v>
      </c>
      <c r="N2306">
        <v>656</v>
      </c>
      <c r="O2306">
        <v>0</v>
      </c>
      <c r="P2306">
        <v>0</v>
      </c>
      <c r="Q2306" t="s">
        <v>44</v>
      </c>
      <c r="R2306" t="s">
        <v>44</v>
      </c>
      <c r="S2306" t="s">
        <v>44</v>
      </c>
      <c r="T2306" t="s">
        <v>44</v>
      </c>
      <c r="U2306" t="s">
        <v>44</v>
      </c>
      <c r="V2306">
        <v>362</v>
      </c>
      <c r="W2306" t="s">
        <v>44</v>
      </c>
      <c r="X2306" t="s">
        <v>44</v>
      </c>
      <c r="Y2306">
        <v>362</v>
      </c>
      <c r="Z2306" t="s">
        <v>44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362</v>
      </c>
      <c r="AQ2306">
        <f t="shared" si="80"/>
        <v>362</v>
      </c>
      <c r="AR2306" s="5">
        <f>VLOOKUP(F2306,'[2]SCP_24-25'!$A:$D,4,0)</f>
        <v>98.3</v>
      </c>
      <c r="AS2306" s="5">
        <f t="shared" si="79"/>
        <v>35584.6</v>
      </c>
    </row>
    <row r="2307" spans="1:45" x14ac:dyDescent="0.3">
      <c r="A2307" s="1">
        <v>45900.965277777781</v>
      </c>
      <c r="B2307" t="s">
        <v>1499</v>
      </c>
      <c r="C2307" t="s">
        <v>1500</v>
      </c>
      <c r="D2307" t="s">
        <v>491</v>
      </c>
      <c r="F2307" t="s">
        <v>1700</v>
      </c>
      <c r="G2307" t="s">
        <v>492</v>
      </c>
      <c r="H2307" t="s">
        <v>130</v>
      </c>
      <c r="I2307" t="s">
        <v>43</v>
      </c>
      <c r="J2307">
        <v>40.020000000000003</v>
      </c>
      <c r="K2307">
        <v>19</v>
      </c>
      <c r="L2307">
        <v>10</v>
      </c>
      <c r="M2307">
        <v>11</v>
      </c>
      <c r="N2307">
        <v>682</v>
      </c>
      <c r="O2307">
        <v>12</v>
      </c>
      <c r="P2307">
        <v>0</v>
      </c>
      <c r="Q2307" t="s">
        <v>44</v>
      </c>
      <c r="R2307" t="s">
        <v>44</v>
      </c>
      <c r="S2307" t="s">
        <v>44</v>
      </c>
      <c r="T2307" t="s">
        <v>44</v>
      </c>
      <c r="U2307" t="s">
        <v>44</v>
      </c>
      <c r="V2307">
        <v>382</v>
      </c>
      <c r="W2307" t="s">
        <v>44</v>
      </c>
      <c r="X2307" t="s">
        <v>44</v>
      </c>
      <c r="Y2307">
        <v>382</v>
      </c>
      <c r="Z2307" t="s">
        <v>44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394</v>
      </c>
      <c r="AQ2307">
        <f t="shared" si="80"/>
        <v>394</v>
      </c>
      <c r="AR2307" s="5">
        <f>VLOOKUP(F2307,'[2]SCP_24-25'!$A:$D,4,0)</f>
        <v>98.3</v>
      </c>
      <c r="AS2307" s="5">
        <f t="shared" ref="AS2307:AS2370" si="81">AQ2307*AR2307</f>
        <v>38730.199999999997</v>
      </c>
    </row>
    <row r="2308" spans="1:45" x14ac:dyDescent="0.3">
      <c r="A2308" s="1">
        <v>45900.965277777781</v>
      </c>
      <c r="B2308" t="s">
        <v>1499</v>
      </c>
      <c r="C2308" t="s">
        <v>1500</v>
      </c>
      <c r="D2308" t="s">
        <v>576</v>
      </c>
      <c r="F2308" t="s">
        <v>1742</v>
      </c>
      <c r="G2308" t="s">
        <v>577</v>
      </c>
      <c r="H2308" t="s">
        <v>130</v>
      </c>
      <c r="I2308" t="s">
        <v>43</v>
      </c>
      <c r="J2308">
        <v>40.020000000000003</v>
      </c>
      <c r="K2308">
        <v>19</v>
      </c>
      <c r="L2308">
        <v>10</v>
      </c>
      <c r="M2308">
        <v>11</v>
      </c>
      <c r="N2308">
        <v>1056</v>
      </c>
      <c r="O2308">
        <v>12</v>
      </c>
      <c r="P2308">
        <v>0</v>
      </c>
      <c r="Q2308" t="s">
        <v>44</v>
      </c>
      <c r="R2308" t="s">
        <v>44</v>
      </c>
      <c r="S2308" t="s">
        <v>44</v>
      </c>
      <c r="T2308" t="s">
        <v>44</v>
      </c>
      <c r="U2308" t="s">
        <v>44</v>
      </c>
      <c r="V2308">
        <v>810</v>
      </c>
      <c r="W2308" t="s">
        <v>44</v>
      </c>
      <c r="X2308" t="s">
        <v>44</v>
      </c>
      <c r="Y2308">
        <v>810</v>
      </c>
      <c r="Z2308" t="s">
        <v>44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822</v>
      </c>
      <c r="AQ2308">
        <f t="shared" si="80"/>
        <v>822</v>
      </c>
      <c r="AR2308" s="5">
        <f>VLOOKUP(F2308,'[2]SCP_24-25'!$A:$D,4,0)</f>
        <v>98.3</v>
      </c>
      <c r="AS2308" s="5">
        <f t="shared" si="81"/>
        <v>80802.599999999991</v>
      </c>
    </row>
    <row r="2309" spans="1:45" x14ac:dyDescent="0.3">
      <c r="A2309" s="1">
        <v>45900.965277777781</v>
      </c>
      <c r="B2309" t="s">
        <v>1499</v>
      </c>
      <c r="C2309" t="s">
        <v>1500</v>
      </c>
      <c r="D2309" t="s">
        <v>538</v>
      </c>
      <c r="F2309" t="s">
        <v>1723</v>
      </c>
      <c r="G2309" t="s">
        <v>539</v>
      </c>
      <c r="H2309" t="s">
        <v>130</v>
      </c>
      <c r="I2309" t="s">
        <v>43</v>
      </c>
      <c r="J2309">
        <v>40.020000000000003</v>
      </c>
      <c r="K2309">
        <v>19</v>
      </c>
      <c r="L2309">
        <v>10</v>
      </c>
      <c r="M2309">
        <v>11</v>
      </c>
      <c r="N2309">
        <v>1578</v>
      </c>
      <c r="O2309">
        <v>24</v>
      </c>
      <c r="P2309">
        <v>0</v>
      </c>
      <c r="Q2309" t="s">
        <v>44</v>
      </c>
      <c r="R2309" t="s">
        <v>44</v>
      </c>
      <c r="S2309" t="s">
        <v>44</v>
      </c>
      <c r="T2309" t="s">
        <v>44</v>
      </c>
      <c r="U2309" t="s">
        <v>44</v>
      </c>
      <c r="V2309">
        <v>644</v>
      </c>
      <c r="W2309" t="s">
        <v>44</v>
      </c>
      <c r="X2309" t="s">
        <v>44</v>
      </c>
      <c r="Y2309">
        <v>644</v>
      </c>
      <c r="Z2309" t="s">
        <v>44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6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668</v>
      </c>
      <c r="AQ2309">
        <f t="shared" si="80"/>
        <v>668</v>
      </c>
      <c r="AR2309" s="5">
        <f>VLOOKUP(F2309,'[2]SCP_24-25'!$A:$D,4,0)</f>
        <v>98.3</v>
      </c>
      <c r="AS2309" s="5">
        <f t="shared" si="81"/>
        <v>65664.399999999994</v>
      </c>
    </row>
    <row r="2310" spans="1:45" x14ac:dyDescent="0.3">
      <c r="A2310" s="1">
        <v>45900.965277777781</v>
      </c>
      <c r="B2310" t="s">
        <v>1499</v>
      </c>
      <c r="C2310" t="s">
        <v>1500</v>
      </c>
      <c r="D2310" t="s">
        <v>578</v>
      </c>
      <c r="F2310" t="s">
        <v>1743</v>
      </c>
      <c r="G2310" t="s">
        <v>579</v>
      </c>
      <c r="H2310" t="s">
        <v>130</v>
      </c>
      <c r="I2310" t="s">
        <v>43</v>
      </c>
      <c r="J2310">
        <v>40.020000000000003</v>
      </c>
      <c r="K2310">
        <v>19</v>
      </c>
      <c r="L2310">
        <v>10</v>
      </c>
      <c r="M2310">
        <v>11</v>
      </c>
      <c r="N2310">
        <v>576</v>
      </c>
      <c r="O2310">
        <v>0</v>
      </c>
      <c r="P2310">
        <v>0</v>
      </c>
      <c r="Q2310" t="s">
        <v>44</v>
      </c>
      <c r="R2310" t="s">
        <v>44</v>
      </c>
      <c r="S2310" t="s">
        <v>44</v>
      </c>
      <c r="T2310" t="s">
        <v>44</v>
      </c>
      <c r="U2310" t="s">
        <v>44</v>
      </c>
      <c r="V2310">
        <v>320</v>
      </c>
      <c r="W2310" t="s">
        <v>44</v>
      </c>
      <c r="X2310" t="s">
        <v>44</v>
      </c>
      <c r="Y2310">
        <v>320</v>
      </c>
      <c r="Z2310" t="s">
        <v>44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320</v>
      </c>
      <c r="AQ2310">
        <f t="shared" si="80"/>
        <v>320</v>
      </c>
      <c r="AR2310" s="5">
        <f>VLOOKUP(F2310,'[2]SCP_24-25'!$A:$D,4,0)</f>
        <v>98.3</v>
      </c>
      <c r="AS2310" s="5">
        <f t="shared" si="81"/>
        <v>31456</v>
      </c>
    </row>
    <row r="2311" spans="1:45" x14ac:dyDescent="0.3">
      <c r="A2311" s="1">
        <v>45900.965277777781</v>
      </c>
      <c r="B2311" t="s">
        <v>1499</v>
      </c>
      <c r="C2311" t="s">
        <v>1500</v>
      </c>
      <c r="D2311" t="s">
        <v>580</v>
      </c>
      <c r="F2311" t="s">
        <v>1744</v>
      </c>
      <c r="G2311" t="s">
        <v>581</v>
      </c>
      <c r="H2311" t="s">
        <v>130</v>
      </c>
      <c r="I2311" t="s">
        <v>43</v>
      </c>
      <c r="J2311">
        <v>40.020000000000003</v>
      </c>
      <c r="K2311">
        <v>19</v>
      </c>
      <c r="L2311">
        <v>10</v>
      </c>
      <c r="M2311">
        <v>11</v>
      </c>
      <c r="N2311">
        <v>1981</v>
      </c>
      <c r="O2311">
        <v>12</v>
      </c>
      <c r="P2311">
        <v>0</v>
      </c>
      <c r="Q2311" t="s">
        <v>44</v>
      </c>
      <c r="R2311" t="s">
        <v>44</v>
      </c>
      <c r="S2311" t="s">
        <v>44</v>
      </c>
      <c r="T2311" t="s">
        <v>44</v>
      </c>
      <c r="U2311" t="s">
        <v>44</v>
      </c>
      <c r="V2311">
        <v>964</v>
      </c>
      <c r="W2311" t="s">
        <v>44</v>
      </c>
      <c r="X2311" t="s">
        <v>44</v>
      </c>
      <c r="Y2311">
        <v>964</v>
      </c>
      <c r="Z2311" t="s">
        <v>44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976</v>
      </c>
      <c r="AQ2311">
        <f t="shared" si="80"/>
        <v>976</v>
      </c>
      <c r="AR2311" s="5">
        <f>VLOOKUP(F2311,'[2]SCP_24-25'!$A:$D,4,0)</f>
        <v>98.3</v>
      </c>
      <c r="AS2311" s="5">
        <f t="shared" si="81"/>
        <v>95940.800000000003</v>
      </c>
    </row>
    <row r="2312" spans="1:45" x14ac:dyDescent="0.3">
      <c r="A2312" s="1">
        <v>45900.965277777781</v>
      </c>
      <c r="B2312" t="s">
        <v>1499</v>
      </c>
      <c r="C2312" t="s">
        <v>1500</v>
      </c>
      <c r="D2312" t="s">
        <v>609</v>
      </c>
      <c r="F2312" t="s">
        <v>1758</v>
      </c>
      <c r="G2312" t="s">
        <v>610</v>
      </c>
      <c r="H2312" t="s">
        <v>130</v>
      </c>
      <c r="I2312" t="s">
        <v>43</v>
      </c>
      <c r="J2312">
        <v>40.020000000000003</v>
      </c>
      <c r="K2312">
        <v>19</v>
      </c>
      <c r="L2312">
        <v>10</v>
      </c>
      <c r="M2312">
        <v>11</v>
      </c>
      <c r="N2312">
        <v>1344</v>
      </c>
      <c r="O2312">
        <v>18</v>
      </c>
      <c r="P2312">
        <v>0</v>
      </c>
      <c r="Q2312" t="s">
        <v>44</v>
      </c>
      <c r="R2312" t="s">
        <v>44</v>
      </c>
      <c r="S2312" t="s">
        <v>44</v>
      </c>
      <c r="T2312" t="s">
        <v>44</v>
      </c>
      <c r="U2312" t="s">
        <v>44</v>
      </c>
      <c r="V2312">
        <v>320</v>
      </c>
      <c r="W2312" t="s">
        <v>44</v>
      </c>
      <c r="X2312" t="s">
        <v>44</v>
      </c>
      <c r="Y2312">
        <v>320</v>
      </c>
      <c r="Z2312" t="s">
        <v>44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338</v>
      </c>
      <c r="AQ2312">
        <f t="shared" si="80"/>
        <v>338</v>
      </c>
      <c r="AR2312" s="5">
        <f>VLOOKUP(F2312,'[2]SCP_24-25'!$A:$D,4,0)</f>
        <v>98.3</v>
      </c>
      <c r="AS2312" s="5">
        <f t="shared" si="81"/>
        <v>33225.4</v>
      </c>
    </row>
    <row r="2313" spans="1:45" x14ac:dyDescent="0.3">
      <c r="A2313" s="1">
        <v>45900.965277777781</v>
      </c>
      <c r="B2313" t="s">
        <v>1499</v>
      </c>
      <c r="C2313" t="s">
        <v>1500</v>
      </c>
      <c r="D2313" t="s">
        <v>420</v>
      </c>
      <c r="F2313" t="s">
        <v>1667</v>
      </c>
      <c r="G2313" t="s">
        <v>421</v>
      </c>
      <c r="H2313" t="s">
        <v>130</v>
      </c>
      <c r="I2313" t="s">
        <v>43</v>
      </c>
      <c r="J2313">
        <v>40.020000000000003</v>
      </c>
      <c r="K2313">
        <v>19</v>
      </c>
      <c r="L2313">
        <v>10</v>
      </c>
      <c r="M2313">
        <v>11</v>
      </c>
      <c r="N2313">
        <v>576</v>
      </c>
      <c r="O2313">
        <v>18</v>
      </c>
      <c r="P2313">
        <v>0</v>
      </c>
      <c r="Q2313" t="s">
        <v>44</v>
      </c>
      <c r="R2313" t="s">
        <v>44</v>
      </c>
      <c r="S2313" t="s">
        <v>44</v>
      </c>
      <c r="T2313" t="s">
        <v>44</v>
      </c>
      <c r="U2313" t="s">
        <v>44</v>
      </c>
      <c r="V2313">
        <v>125</v>
      </c>
      <c r="W2313" t="s">
        <v>44</v>
      </c>
      <c r="X2313" t="s">
        <v>44</v>
      </c>
      <c r="Y2313">
        <v>125</v>
      </c>
      <c r="Z2313" t="s">
        <v>44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143</v>
      </c>
      <c r="AQ2313">
        <f t="shared" si="80"/>
        <v>143</v>
      </c>
      <c r="AR2313" s="5">
        <f>VLOOKUP(F2313,'[2]SCP_24-25'!$A:$D,4,0)</f>
        <v>98.3</v>
      </c>
      <c r="AS2313" s="5">
        <f t="shared" si="81"/>
        <v>14056.9</v>
      </c>
    </row>
    <row r="2314" spans="1:45" x14ac:dyDescent="0.3">
      <c r="A2314" s="1">
        <v>45900.965277777781</v>
      </c>
      <c r="B2314" t="s">
        <v>1499</v>
      </c>
      <c r="C2314" t="s">
        <v>1500</v>
      </c>
      <c r="D2314" t="s">
        <v>590</v>
      </c>
      <c r="F2314" t="s">
        <v>1749</v>
      </c>
      <c r="G2314" t="s">
        <v>591</v>
      </c>
      <c r="H2314" t="s">
        <v>130</v>
      </c>
      <c r="I2314" t="s">
        <v>43</v>
      </c>
      <c r="J2314">
        <v>53.02</v>
      </c>
      <c r="K2314">
        <v>19</v>
      </c>
      <c r="L2314">
        <v>10</v>
      </c>
      <c r="M2314">
        <v>11</v>
      </c>
      <c r="N2314">
        <v>746</v>
      </c>
      <c r="O2314">
        <v>0</v>
      </c>
      <c r="P2314">
        <v>0</v>
      </c>
      <c r="Q2314" t="s">
        <v>44</v>
      </c>
      <c r="R2314" t="s">
        <v>44</v>
      </c>
      <c r="S2314" t="s">
        <v>44</v>
      </c>
      <c r="T2314" t="s">
        <v>44</v>
      </c>
      <c r="U2314" t="s">
        <v>44</v>
      </c>
      <c r="V2314">
        <v>564</v>
      </c>
      <c r="W2314" t="s">
        <v>44</v>
      </c>
      <c r="X2314" t="s">
        <v>44</v>
      </c>
      <c r="Y2314">
        <v>564</v>
      </c>
      <c r="Z2314" t="s">
        <v>44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564</v>
      </c>
      <c r="AQ2314">
        <f t="shared" si="80"/>
        <v>564</v>
      </c>
      <c r="AR2314" s="5">
        <f>VLOOKUP(F2314,'[2]SCP_24-25'!$A:$D,4,0)</f>
        <v>51.74</v>
      </c>
      <c r="AS2314" s="5">
        <f t="shared" si="81"/>
        <v>29181.360000000001</v>
      </c>
    </row>
    <row r="2315" spans="1:45" x14ac:dyDescent="0.3">
      <c r="A2315" s="1">
        <v>45900.965277777781</v>
      </c>
      <c r="B2315" t="s">
        <v>1499</v>
      </c>
      <c r="C2315" t="s">
        <v>1500</v>
      </c>
      <c r="D2315" t="s">
        <v>497</v>
      </c>
      <c r="F2315" t="s">
        <v>1703</v>
      </c>
      <c r="G2315" t="s">
        <v>498</v>
      </c>
      <c r="H2315" t="s">
        <v>130</v>
      </c>
      <c r="I2315" t="s">
        <v>43</v>
      </c>
      <c r="J2315">
        <v>53</v>
      </c>
      <c r="K2315">
        <v>19</v>
      </c>
      <c r="L2315">
        <v>10</v>
      </c>
      <c r="M2315">
        <v>11</v>
      </c>
      <c r="N2315">
        <v>672</v>
      </c>
      <c r="O2315">
        <v>0</v>
      </c>
      <c r="P2315">
        <v>0</v>
      </c>
      <c r="Q2315" t="s">
        <v>44</v>
      </c>
      <c r="R2315" t="s">
        <v>44</v>
      </c>
      <c r="S2315" t="s">
        <v>44</v>
      </c>
      <c r="T2315" t="s">
        <v>44</v>
      </c>
      <c r="U2315" t="s">
        <v>44</v>
      </c>
      <c r="V2315">
        <v>274</v>
      </c>
      <c r="W2315" t="s">
        <v>44</v>
      </c>
      <c r="X2315" t="s">
        <v>44</v>
      </c>
      <c r="Y2315">
        <v>274</v>
      </c>
      <c r="Z2315" t="s">
        <v>44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274</v>
      </c>
      <c r="AQ2315">
        <f t="shared" si="80"/>
        <v>274</v>
      </c>
      <c r="AR2315" s="5">
        <f>VLOOKUP(F2315,'[2]SCP_24-25'!$A:$D,4,0)</f>
        <v>51.74</v>
      </c>
      <c r="AS2315" s="5">
        <f t="shared" si="81"/>
        <v>14176.76</v>
      </c>
    </row>
    <row r="2316" spans="1:45" x14ac:dyDescent="0.3">
      <c r="A2316" s="1">
        <v>45900.965277777781</v>
      </c>
      <c r="B2316" t="s">
        <v>1499</v>
      </c>
      <c r="C2316" t="s">
        <v>1500</v>
      </c>
      <c r="D2316" t="s">
        <v>540</v>
      </c>
      <c r="F2316" t="s">
        <v>1724</v>
      </c>
      <c r="G2316" t="s">
        <v>541</v>
      </c>
      <c r="H2316" t="s">
        <v>130</v>
      </c>
      <c r="I2316" t="s">
        <v>43</v>
      </c>
      <c r="J2316">
        <v>53</v>
      </c>
      <c r="K2316">
        <v>19</v>
      </c>
      <c r="L2316">
        <v>10</v>
      </c>
      <c r="M2316">
        <v>11</v>
      </c>
      <c r="N2316">
        <v>671</v>
      </c>
      <c r="O2316">
        <v>0</v>
      </c>
      <c r="P2316">
        <v>0</v>
      </c>
      <c r="Q2316" t="s">
        <v>44</v>
      </c>
      <c r="R2316" t="s">
        <v>44</v>
      </c>
      <c r="S2316" t="s">
        <v>44</v>
      </c>
      <c r="T2316" t="s">
        <v>44</v>
      </c>
      <c r="U2316" t="s">
        <v>44</v>
      </c>
      <c r="V2316">
        <v>606</v>
      </c>
      <c r="W2316" t="s">
        <v>44</v>
      </c>
      <c r="X2316" t="s">
        <v>44</v>
      </c>
      <c r="Y2316">
        <v>606</v>
      </c>
      <c r="Z2316" t="s">
        <v>44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606</v>
      </c>
      <c r="AQ2316">
        <f t="shared" si="80"/>
        <v>606</v>
      </c>
      <c r="AR2316" s="5">
        <f>VLOOKUP(F2316,'[2]SCP_24-25'!$A:$D,4,0)</f>
        <v>51.74</v>
      </c>
      <c r="AS2316" s="5">
        <f t="shared" si="81"/>
        <v>31354.440000000002</v>
      </c>
    </row>
    <row r="2317" spans="1:45" x14ac:dyDescent="0.3">
      <c r="A2317" s="1">
        <v>45900.965277777781</v>
      </c>
      <c r="B2317" t="s">
        <v>1499</v>
      </c>
      <c r="C2317" t="s">
        <v>1500</v>
      </c>
      <c r="D2317" t="s">
        <v>1145</v>
      </c>
      <c r="E2317" t="s">
        <v>1145</v>
      </c>
      <c r="F2317" t="s">
        <v>2022</v>
      </c>
      <c r="G2317" t="s">
        <v>1146</v>
      </c>
      <c r="H2317" t="s">
        <v>635</v>
      </c>
      <c r="I2317" t="s">
        <v>43</v>
      </c>
      <c r="J2317">
        <v>100</v>
      </c>
      <c r="K2317">
        <v>19</v>
      </c>
      <c r="L2317">
        <v>10</v>
      </c>
      <c r="M2317">
        <v>11</v>
      </c>
      <c r="N2317">
        <v>148</v>
      </c>
      <c r="O2317">
        <v>0</v>
      </c>
      <c r="P2317">
        <v>0</v>
      </c>
      <c r="Q2317" t="s">
        <v>44</v>
      </c>
      <c r="R2317" t="s">
        <v>44</v>
      </c>
      <c r="S2317" t="s">
        <v>44</v>
      </c>
      <c r="T2317" t="s">
        <v>44</v>
      </c>
      <c r="U2317" t="s">
        <v>44</v>
      </c>
      <c r="V2317">
        <v>133</v>
      </c>
      <c r="W2317" t="s">
        <v>44</v>
      </c>
      <c r="X2317" t="s">
        <v>44</v>
      </c>
      <c r="Y2317">
        <v>133</v>
      </c>
      <c r="Z2317" t="s">
        <v>44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133</v>
      </c>
      <c r="AQ2317">
        <f t="shared" si="80"/>
        <v>133</v>
      </c>
      <c r="AR2317" s="5">
        <f>VLOOKUP(F2317,'[1]Cost Sheet'!$C:$D,2,0)</f>
        <v>98.3</v>
      </c>
      <c r="AS2317" s="5">
        <f t="shared" si="81"/>
        <v>13073.9</v>
      </c>
    </row>
    <row r="2318" spans="1:45" x14ac:dyDescent="0.3">
      <c r="A2318" s="1">
        <v>45900.965277777781</v>
      </c>
      <c r="B2318" t="s">
        <v>1499</v>
      </c>
      <c r="C2318" t="s">
        <v>1500</v>
      </c>
      <c r="D2318" t="s">
        <v>1151</v>
      </c>
      <c r="E2318" t="s">
        <v>1151</v>
      </c>
      <c r="F2318" t="s">
        <v>2025</v>
      </c>
      <c r="G2318" t="s">
        <v>1152</v>
      </c>
      <c r="H2318" t="s">
        <v>635</v>
      </c>
      <c r="I2318" t="s">
        <v>43</v>
      </c>
      <c r="J2318">
        <v>100</v>
      </c>
      <c r="K2318">
        <v>19</v>
      </c>
      <c r="L2318">
        <v>10</v>
      </c>
      <c r="M2318">
        <v>11</v>
      </c>
      <c r="N2318">
        <v>140</v>
      </c>
      <c r="O2318">
        <v>0</v>
      </c>
      <c r="P2318">
        <v>0</v>
      </c>
      <c r="Q2318" t="s">
        <v>44</v>
      </c>
      <c r="R2318" t="s">
        <v>44</v>
      </c>
      <c r="S2318" t="s">
        <v>44</v>
      </c>
      <c r="T2318" t="s">
        <v>44</v>
      </c>
      <c r="U2318" t="s">
        <v>44</v>
      </c>
      <c r="V2318">
        <v>124</v>
      </c>
      <c r="W2318" t="s">
        <v>44</v>
      </c>
      <c r="X2318" t="s">
        <v>44</v>
      </c>
      <c r="Y2318">
        <v>124</v>
      </c>
      <c r="Z2318" t="s">
        <v>44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124</v>
      </c>
      <c r="AQ2318">
        <f t="shared" si="80"/>
        <v>124</v>
      </c>
      <c r="AR2318" s="5">
        <f>VLOOKUP(F2318,'[1]Cost Sheet'!$C:$D,2,0)</f>
        <v>98.3</v>
      </c>
      <c r="AS2318" s="5">
        <f t="shared" si="81"/>
        <v>12189.199999999999</v>
      </c>
    </row>
    <row r="2319" spans="1:45" x14ac:dyDescent="0.3">
      <c r="A2319" s="1">
        <v>45900.965277777781</v>
      </c>
      <c r="B2319" t="s">
        <v>1499</v>
      </c>
      <c r="C2319" t="s">
        <v>1500</v>
      </c>
      <c r="D2319" t="s">
        <v>1155</v>
      </c>
      <c r="E2319" t="s">
        <v>1155</v>
      </c>
      <c r="F2319" t="s">
        <v>2027</v>
      </c>
      <c r="G2319" t="s">
        <v>1156</v>
      </c>
      <c r="H2319" t="s">
        <v>635</v>
      </c>
      <c r="I2319" t="s">
        <v>43</v>
      </c>
      <c r="J2319">
        <v>100</v>
      </c>
      <c r="K2319">
        <v>19</v>
      </c>
      <c r="L2319">
        <v>10</v>
      </c>
      <c r="M2319">
        <v>11</v>
      </c>
      <c r="N2319">
        <v>146</v>
      </c>
      <c r="O2319">
        <v>0</v>
      </c>
      <c r="P2319">
        <v>0</v>
      </c>
      <c r="Q2319" t="s">
        <v>44</v>
      </c>
      <c r="R2319" t="s">
        <v>44</v>
      </c>
      <c r="S2319" t="s">
        <v>44</v>
      </c>
      <c r="T2319" t="s">
        <v>44</v>
      </c>
      <c r="U2319" t="s">
        <v>44</v>
      </c>
      <c r="V2319">
        <v>123</v>
      </c>
      <c r="W2319" t="s">
        <v>44</v>
      </c>
      <c r="X2319" t="s">
        <v>44</v>
      </c>
      <c r="Y2319">
        <v>123</v>
      </c>
      <c r="Z2319" t="s">
        <v>44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123</v>
      </c>
      <c r="AQ2319">
        <f t="shared" si="80"/>
        <v>123</v>
      </c>
      <c r="AR2319" s="5">
        <f>VLOOKUP(F2319,'[1]Cost Sheet'!$C:$D,2,0)</f>
        <v>98.3</v>
      </c>
      <c r="AS2319" s="5">
        <f t="shared" si="81"/>
        <v>12090.9</v>
      </c>
    </row>
    <row r="2320" spans="1:45" x14ac:dyDescent="0.3">
      <c r="A2320" s="1">
        <v>45900.965277777781</v>
      </c>
      <c r="B2320" t="s">
        <v>1499</v>
      </c>
      <c r="C2320" t="s">
        <v>1500</v>
      </c>
      <c r="D2320" t="s">
        <v>1157</v>
      </c>
      <c r="E2320" t="s">
        <v>1157</v>
      </c>
      <c r="F2320" t="s">
        <v>2028</v>
      </c>
      <c r="G2320" t="s">
        <v>1158</v>
      </c>
      <c r="H2320" t="s">
        <v>635</v>
      </c>
      <c r="I2320" t="s">
        <v>43</v>
      </c>
      <c r="J2320">
        <v>100</v>
      </c>
      <c r="K2320">
        <v>19</v>
      </c>
      <c r="L2320">
        <v>10</v>
      </c>
      <c r="M2320">
        <v>11</v>
      </c>
      <c r="N2320">
        <v>115</v>
      </c>
      <c r="O2320">
        <v>0</v>
      </c>
      <c r="P2320">
        <v>0</v>
      </c>
      <c r="Q2320" t="s">
        <v>44</v>
      </c>
      <c r="R2320" t="s">
        <v>44</v>
      </c>
      <c r="S2320" t="s">
        <v>44</v>
      </c>
      <c r="T2320" t="s">
        <v>44</v>
      </c>
      <c r="U2320" t="s">
        <v>44</v>
      </c>
      <c r="V2320">
        <v>101</v>
      </c>
      <c r="W2320" t="s">
        <v>44</v>
      </c>
      <c r="X2320" t="s">
        <v>44</v>
      </c>
      <c r="Y2320">
        <v>101</v>
      </c>
      <c r="Z2320" t="s">
        <v>44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101</v>
      </c>
      <c r="AQ2320">
        <f t="shared" si="80"/>
        <v>101</v>
      </c>
      <c r="AR2320" s="5">
        <f>VLOOKUP(F2320,'[1]Cost Sheet'!$C:$D,2,0)</f>
        <v>98.299999999999983</v>
      </c>
      <c r="AS2320" s="5">
        <f t="shared" si="81"/>
        <v>9928.2999999999975</v>
      </c>
    </row>
    <row r="2321" spans="1:45" x14ac:dyDescent="0.3">
      <c r="A2321" s="1">
        <v>45900.965277777781</v>
      </c>
      <c r="B2321" t="s">
        <v>1499</v>
      </c>
      <c r="C2321" t="s">
        <v>1500</v>
      </c>
      <c r="D2321" t="s">
        <v>1167</v>
      </c>
      <c r="E2321" t="s">
        <v>1167</v>
      </c>
      <c r="F2321" t="s">
        <v>2033</v>
      </c>
      <c r="G2321" t="s">
        <v>1168</v>
      </c>
      <c r="H2321" t="s">
        <v>635</v>
      </c>
      <c r="I2321" t="s">
        <v>43</v>
      </c>
      <c r="J2321">
        <v>100</v>
      </c>
      <c r="K2321">
        <v>19</v>
      </c>
      <c r="L2321">
        <v>10</v>
      </c>
      <c r="M2321">
        <v>11</v>
      </c>
      <c r="N2321">
        <v>156</v>
      </c>
      <c r="O2321">
        <v>0</v>
      </c>
      <c r="P2321">
        <v>0</v>
      </c>
      <c r="Q2321" t="s">
        <v>44</v>
      </c>
      <c r="R2321" t="s">
        <v>44</v>
      </c>
      <c r="S2321" t="s">
        <v>44</v>
      </c>
      <c r="T2321" t="s">
        <v>44</v>
      </c>
      <c r="U2321" t="s">
        <v>44</v>
      </c>
      <c r="V2321">
        <v>138</v>
      </c>
      <c r="W2321" t="s">
        <v>44</v>
      </c>
      <c r="X2321" t="s">
        <v>44</v>
      </c>
      <c r="Y2321">
        <v>138</v>
      </c>
      <c r="Z2321" t="s">
        <v>44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138</v>
      </c>
      <c r="AQ2321">
        <f t="shared" si="80"/>
        <v>138</v>
      </c>
      <c r="AR2321" s="5">
        <f>VLOOKUP(F2321,'[1]Cost Sheet'!$C:$D,2,0)</f>
        <v>98.3</v>
      </c>
      <c r="AS2321" s="5">
        <f t="shared" si="81"/>
        <v>13565.4</v>
      </c>
    </row>
    <row r="2322" spans="1:45" x14ac:dyDescent="0.3">
      <c r="A2322" s="1">
        <v>45900.965277777781</v>
      </c>
      <c r="B2322" t="s">
        <v>1499</v>
      </c>
      <c r="C2322" t="s">
        <v>1500</v>
      </c>
      <c r="D2322" t="s">
        <v>1179</v>
      </c>
      <c r="E2322" t="s">
        <v>1179</v>
      </c>
      <c r="F2322" t="s">
        <v>2039</v>
      </c>
      <c r="G2322" t="s">
        <v>1180</v>
      </c>
      <c r="H2322" t="s">
        <v>635</v>
      </c>
      <c r="I2322" t="s">
        <v>43</v>
      </c>
      <c r="J2322">
        <v>100</v>
      </c>
      <c r="K2322">
        <v>19</v>
      </c>
      <c r="L2322">
        <v>10</v>
      </c>
      <c r="M2322">
        <v>11</v>
      </c>
      <c r="N2322">
        <v>131</v>
      </c>
      <c r="O2322">
        <v>0</v>
      </c>
      <c r="P2322">
        <v>0</v>
      </c>
      <c r="Q2322" t="s">
        <v>44</v>
      </c>
      <c r="R2322" t="s">
        <v>44</v>
      </c>
      <c r="S2322" t="s">
        <v>44</v>
      </c>
      <c r="T2322" t="s">
        <v>44</v>
      </c>
      <c r="U2322" t="s">
        <v>44</v>
      </c>
      <c r="V2322">
        <v>116</v>
      </c>
      <c r="W2322" t="s">
        <v>44</v>
      </c>
      <c r="X2322" t="s">
        <v>44</v>
      </c>
      <c r="Y2322">
        <v>116</v>
      </c>
      <c r="Z2322" t="s">
        <v>44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116</v>
      </c>
      <c r="AQ2322">
        <f t="shared" si="80"/>
        <v>116</v>
      </c>
      <c r="AR2322" s="5">
        <f>VLOOKUP(F2322,'[1]Cost Sheet'!$C:$D,2,0)</f>
        <v>98.3</v>
      </c>
      <c r="AS2322" s="5">
        <f t="shared" si="81"/>
        <v>11402.8</v>
      </c>
    </row>
    <row r="2323" spans="1:45" x14ac:dyDescent="0.3">
      <c r="A2323" s="1">
        <v>45900.965277777781</v>
      </c>
      <c r="B2323" t="s">
        <v>1499</v>
      </c>
      <c r="C2323" t="s">
        <v>1500</v>
      </c>
      <c r="D2323" t="s">
        <v>1193</v>
      </c>
      <c r="F2323" t="s">
        <v>2046</v>
      </c>
      <c r="G2323" t="s">
        <v>1194</v>
      </c>
      <c r="H2323" t="s">
        <v>130</v>
      </c>
      <c r="I2323" t="s">
        <v>43</v>
      </c>
      <c r="J2323">
        <v>32</v>
      </c>
      <c r="K2323">
        <v>19</v>
      </c>
      <c r="L2323">
        <v>10</v>
      </c>
      <c r="M2323">
        <v>11</v>
      </c>
      <c r="N2323">
        <v>1536</v>
      </c>
      <c r="O2323">
        <v>24</v>
      </c>
      <c r="P2323">
        <v>0</v>
      </c>
      <c r="Q2323" t="s">
        <v>44</v>
      </c>
      <c r="R2323" t="s">
        <v>44</v>
      </c>
      <c r="S2323" t="s">
        <v>44</v>
      </c>
      <c r="T2323" t="s">
        <v>44</v>
      </c>
      <c r="U2323" t="s">
        <v>44</v>
      </c>
      <c r="V2323">
        <v>480</v>
      </c>
      <c r="W2323" t="s">
        <v>44</v>
      </c>
      <c r="X2323" t="s">
        <v>44</v>
      </c>
      <c r="Y2323">
        <v>480</v>
      </c>
      <c r="Z2323" t="s">
        <v>44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504</v>
      </c>
      <c r="AQ2323">
        <f t="shared" si="80"/>
        <v>504</v>
      </c>
      <c r="AR2323" s="5">
        <f>VLOOKUP(F2323,'[2]SCP_24-25'!$A:$D,4,0)</f>
        <v>96.2</v>
      </c>
      <c r="AS2323" s="5">
        <f t="shared" si="81"/>
        <v>48484.800000000003</v>
      </c>
    </row>
    <row r="2324" spans="1:45" x14ac:dyDescent="0.3">
      <c r="A2324" s="1">
        <v>45900.965277777781</v>
      </c>
      <c r="B2324" t="s">
        <v>1499</v>
      </c>
      <c r="C2324" t="s">
        <v>1500</v>
      </c>
      <c r="D2324" t="s">
        <v>499</v>
      </c>
      <c r="F2324" t="s">
        <v>1704</v>
      </c>
      <c r="G2324" t="s">
        <v>500</v>
      </c>
      <c r="H2324" t="s">
        <v>130</v>
      </c>
      <c r="I2324" t="s">
        <v>43</v>
      </c>
      <c r="J2324">
        <v>71.02</v>
      </c>
      <c r="K2324">
        <v>19</v>
      </c>
      <c r="L2324">
        <v>10</v>
      </c>
      <c r="M2324">
        <v>11</v>
      </c>
      <c r="N2324">
        <v>1662</v>
      </c>
      <c r="O2324">
        <v>0</v>
      </c>
      <c r="P2324">
        <v>0</v>
      </c>
      <c r="Q2324" t="s">
        <v>44</v>
      </c>
      <c r="R2324">
        <v>1000</v>
      </c>
      <c r="S2324" t="s">
        <v>44</v>
      </c>
      <c r="T2324" t="s">
        <v>44</v>
      </c>
      <c r="U2324" t="s">
        <v>44</v>
      </c>
      <c r="V2324">
        <v>200</v>
      </c>
      <c r="W2324" t="s">
        <v>44</v>
      </c>
      <c r="X2324" t="s">
        <v>44</v>
      </c>
      <c r="Y2324">
        <v>200</v>
      </c>
      <c r="Z2324" t="s">
        <v>44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200</v>
      </c>
      <c r="AQ2324">
        <f t="shared" si="80"/>
        <v>200</v>
      </c>
      <c r="AR2324" s="5">
        <f>VLOOKUP(F2324,'[2]SCP_24-25'!$A:$D,4,0)</f>
        <v>129.18</v>
      </c>
      <c r="AS2324" s="5">
        <f t="shared" si="81"/>
        <v>25836</v>
      </c>
    </row>
    <row r="2325" spans="1:45" x14ac:dyDescent="0.3">
      <c r="A2325" s="1">
        <v>45900.965277777781</v>
      </c>
      <c r="B2325" t="s">
        <v>1499</v>
      </c>
      <c r="C2325" t="s">
        <v>1500</v>
      </c>
      <c r="D2325" t="s">
        <v>501</v>
      </c>
      <c r="F2325" t="s">
        <v>1705</v>
      </c>
      <c r="G2325" t="s">
        <v>502</v>
      </c>
      <c r="H2325" t="s">
        <v>130</v>
      </c>
      <c r="I2325" t="s">
        <v>43</v>
      </c>
      <c r="J2325">
        <v>71</v>
      </c>
      <c r="K2325">
        <v>19</v>
      </c>
      <c r="L2325">
        <v>10</v>
      </c>
      <c r="M2325">
        <v>11</v>
      </c>
      <c r="N2325">
        <v>2132</v>
      </c>
      <c r="O2325">
        <v>0</v>
      </c>
      <c r="P2325">
        <v>0</v>
      </c>
      <c r="Q2325" t="s">
        <v>44</v>
      </c>
      <c r="R2325">
        <v>1600</v>
      </c>
      <c r="S2325" t="s">
        <v>44</v>
      </c>
      <c r="T2325" t="s">
        <v>44</v>
      </c>
      <c r="U2325" t="s">
        <v>44</v>
      </c>
      <c r="V2325">
        <v>519</v>
      </c>
      <c r="W2325" t="s">
        <v>44</v>
      </c>
      <c r="X2325" t="s">
        <v>44</v>
      </c>
      <c r="Y2325">
        <v>519</v>
      </c>
      <c r="Z2325" t="s">
        <v>44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519</v>
      </c>
      <c r="AQ2325">
        <f t="shared" si="80"/>
        <v>519</v>
      </c>
      <c r="AR2325" s="5">
        <f>VLOOKUP(F2325,'[2]SCP_24-25'!$A:$D,4,0)</f>
        <v>129.18</v>
      </c>
      <c r="AS2325" s="5">
        <f t="shared" si="81"/>
        <v>67044.42</v>
      </c>
    </row>
    <row r="2326" spans="1:45" x14ac:dyDescent="0.3">
      <c r="A2326" s="1">
        <v>45900.965277777781</v>
      </c>
      <c r="B2326" t="s">
        <v>1499</v>
      </c>
      <c r="C2326" t="s">
        <v>1500</v>
      </c>
      <c r="D2326" t="s">
        <v>603</v>
      </c>
      <c r="F2326" t="s">
        <v>1755</v>
      </c>
      <c r="G2326" t="s">
        <v>604</v>
      </c>
      <c r="H2326" t="s">
        <v>130</v>
      </c>
      <c r="I2326" t="s">
        <v>43</v>
      </c>
      <c r="J2326">
        <v>71.02</v>
      </c>
      <c r="K2326">
        <v>19</v>
      </c>
      <c r="L2326">
        <v>10</v>
      </c>
      <c r="M2326">
        <v>11</v>
      </c>
      <c r="N2326">
        <v>2550</v>
      </c>
      <c r="O2326">
        <v>12</v>
      </c>
      <c r="P2326">
        <v>0</v>
      </c>
      <c r="Q2326" t="s">
        <v>44</v>
      </c>
      <c r="R2326">
        <v>1800</v>
      </c>
      <c r="S2326" t="s">
        <v>44</v>
      </c>
      <c r="T2326" t="s">
        <v>44</v>
      </c>
      <c r="U2326" t="s">
        <v>44</v>
      </c>
      <c r="V2326">
        <v>414</v>
      </c>
      <c r="W2326" t="s">
        <v>44</v>
      </c>
      <c r="X2326" t="s">
        <v>44</v>
      </c>
      <c r="Y2326">
        <v>414</v>
      </c>
      <c r="Z2326" t="s">
        <v>44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426</v>
      </c>
      <c r="AQ2326">
        <f t="shared" si="80"/>
        <v>426</v>
      </c>
      <c r="AR2326" s="5">
        <f>VLOOKUP(F2326,'[2]SCP_24-25'!$A:$D,4,0)</f>
        <v>129.18</v>
      </c>
      <c r="AS2326" s="5">
        <f t="shared" si="81"/>
        <v>55030.68</v>
      </c>
    </row>
    <row r="2327" spans="1:45" x14ac:dyDescent="0.3">
      <c r="A2327" s="1">
        <v>45900.965277777781</v>
      </c>
      <c r="B2327" t="s">
        <v>1499</v>
      </c>
      <c r="C2327" t="s">
        <v>1500</v>
      </c>
      <c r="D2327" t="s">
        <v>548</v>
      </c>
      <c r="F2327" t="s">
        <v>1728</v>
      </c>
      <c r="G2327" t="s">
        <v>549</v>
      </c>
      <c r="H2327" t="s">
        <v>130</v>
      </c>
      <c r="I2327" t="s">
        <v>43</v>
      </c>
      <c r="J2327">
        <v>63.02</v>
      </c>
      <c r="K2327">
        <v>19</v>
      </c>
      <c r="L2327">
        <v>10</v>
      </c>
      <c r="M2327">
        <v>11</v>
      </c>
      <c r="N2327">
        <v>806</v>
      </c>
      <c r="O2327">
        <v>6</v>
      </c>
      <c r="P2327">
        <v>0</v>
      </c>
      <c r="Q2327" t="s">
        <v>44</v>
      </c>
      <c r="R2327" t="s">
        <v>44</v>
      </c>
      <c r="S2327" t="s">
        <v>44</v>
      </c>
      <c r="T2327" t="s">
        <v>44</v>
      </c>
      <c r="U2327" t="s">
        <v>44</v>
      </c>
      <c r="V2327">
        <v>312</v>
      </c>
      <c r="W2327" t="s">
        <v>44</v>
      </c>
      <c r="X2327" t="s">
        <v>44</v>
      </c>
      <c r="Y2327">
        <v>312</v>
      </c>
      <c r="Z2327" t="s">
        <v>44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318</v>
      </c>
      <c r="AQ2327">
        <f t="shared" si="80"/>
        <v>318</v>
      </c>
      <c r="AR2327" s="5">
        <f>VLOOKUP(F2327,'[2]SCP_24-25'!$A:$D,4,0)</f>
        <v>91.39</v>
      </c>
      <c r="AS2327" s="5">
        <f t="shared" si="81"/>
        <v>29062.02</v>
      </c>
    </row>
    <row r="2328" spans="1:45" x14ac:dyDescent="0.3">
      <c r="A2328" s="1">
        <v>45900.965277777781</v>
      </c>
      <c r="B2328" t="s">
        <v>1499</v>
      </c>
      <c r="C2328" t="s">
        <v>1500</v>
      </c>
      <c r="D2328" t="s">
        <v>803</v>
      </c>
      <c r="F2328" t="s">
        <v>1853</v>
      </c>
      <c r="G2328" t="s">
        <v>804</v>
      </c>
      <c r="H2328" t="s">
        <v>130</v>
      </c>
      <c r="I2328" t="s">
        <v>43</v>
      </c>
      <c r="J2328">
        <v>63.02</v>
      </c>
      <c r="K2328">
        <v>19</v>
      </c>
      <c r="L2328">
        <v>10</v>
      </c>
      <c r="M2328">
        <v>11</v>
      </c>
      <c r="N2328">
        <v>2016</v>
      </c>
      <c r="O2328">
        <v>18</v>
      </c>
      <c r="P2328">
        <v>0</v>
      </c>
      <c r="Q2328" t="s">
        <v>44</v>
      </c>
      <c r="R2328" t="s">
        <v>44</v>
      </c>
      <c r="S2328" t="s">
        <v>44</v>
      </c>
      <c r="T2328" t="s">
        <v>44</v>
      </c>
      <c r="U2328" t="s">
        <v>44</v>
      </c>
      <c r="V2328">
        <v>974</v>
      </c>
      <c r="W2328" t="s">
        <v>44</v>
      </c>
      <c r="X2328" t="s">
        <v>44</v>
      </c>
      <c r="Y2328">
        <v>974</v>
      </c>
      <c r="Z2328" t="s">
        <v>44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992</v>
      </c>
      <c r="AQ2328">
        <f t="shared" si="80"/>
        <v>992</v>
      </c>
      <c r="AR2328" s="5">
        <f>VLOOKUP(F2328,'[2]SCP_24-25'!$A:$D,4,0)</f>
        <v>91.39</v>
      </c>
      <c r="AS2328" s="5">
        <f t="shared" si="81"/>
        <v>90658.880000000005</v>
      </c>
    </row>
    <row r="2329" spans="1:45" x14ac:dyDescent="0.3">
      <c r="A2329" s="1">
        <v>45900.965277777781</v>
      </c>
      <c r="B2329" t="s">
        <v>1499</v>
      </c>
      <c r="C2329" t="s">
        <v>1500</v>
      </c>
      <c r="D2329" t="s">
        <v>1205</v>
      </c>
      <c r="F2329" t="s">
        <v>2052</v>
      </c>
      <c r="G2329" t="s">
        <v>1206</v>
      </c>
      <c r="H2329" t="s">
        <v>66</v>
      </c>
      <c r="I2329" t="s">
        <v>43</v>
      </c>
      <c r="J2329">
        <v>30</v>
      </c>
      <c r="K2329">
        <v>19</v>
      </c>
      <c r="L2329">
        <v>10</v>
      </c>
      <c r="M2329">
        <v>11</v>
      </c>
      <c r="N2329">
        <v>261</v>
      </c>
      <c r="O2329">
        <v>0</v>
      </c>
      <c r="P2329">
        <v>0</v>
      </c>
      <c r="Q2329" t="s">
        <v>44</v>
      </c>
      <c r="R2329" t="s">
        <v>44</v>
      </c>
      <c r="S2329" t="s">
        <v>44</v>
      </c>
      <c r="T2329" t="s">
        <v>44</v>
      </c>
      <c r="U2329" t="s">
        <v>44</v>
      </c>
      <c r="V2329">
        <v>261</v>
      </c>
      <c r="W2329" t="s">
        <v>44</v>
      </c>
      <c r="X2329" t="s">
        <v>44</v>
      </c>
      <c r="Y2329">
        <v>261</v>
      </c>
      <c r="Z2329" t="s">
        <v>44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261</v>
      </c>
      <c r="AQ2329">
        <f t="shared" ref="AQ2329:AQ2392" si="82">O2329+P2329+V2329+AA2329</f>
        <v>261</v>
      </c>
      <c r="AR2329" s="5">
        <f>VLOOKUP(F2329,'[1]Cost Sheet'!$C:$D,2,0)</f>
        <v>71.81</v>
      </c>
      <c r="AS2329" s="5">
        <f t="shared" si="81"/>
        <v>18742.41</v>
      </c>
    </row>
    <row r="2330" spans="1:45" x14ac:dyDescent="0.3">
      <c r="A2330" s="1">
        <v>45900.965277777781</v>
      </c>
      <c r="B2330" t="s">
        <v>1499</v>
      </c>
      <c r="C2330" t="s">
        <v>1500</v>
      </c>
      <c r="D2330" t="s">
        <v>1207</v>
      </c>
      <c r="F2330" t="s">
        <v>2053</v>
      </c>
      <c r="G2330" t="s">
        <v>1208</v>
      </c>
      <c r="H2330" t="s">
        <v>66</v>
      </c>
      <c r="I2330" t="s">
        <v>43</v>
      </c>
      <c r="J2330">
        <v>30</v>
      </c>
      <c r="K2330">
        <v>19</v>
      </c>
      <c r="L2330">
        <v>10</v>
      </c>
      <c r="M2330">
        <v>11</v>
      </c>
      <c r="N2330">
        <v>161</v>
      </c>
      <c r="O2330">
        <v>0</v>
      </c>
      <c r="P2330">
        <v>0</v>
      </c>
      <c r="Q2330" t="s">
        <v>44</v>
      </c>
      <c r="R2330" t="s">
        <v>44</v>
      </c>
      <c r="S2330" t="s">
        <v>44</v>
      </c>
      <c r="T2330" t="s">
        <v>44</v>
      </c>
      <c r="U2330" t="s">
        <v>44</v>
      </c>
      <c r="V2330">
        <v>161</v>
      </c>
      <c r="W2330" t="s">
        <v>44</v>
      </c>
      <c r="X2330" t="s">
        <v>44</v>
      </c>
      <c r="Y2330">
        <v>161</v>
      </c>
      <c r="Z2330" t="s">
        <v>44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161</v>
      </c>
      <c r="AQ2330">
        <f t="shared" si="82"/>
        <v>161</v>
      </c>
      <c r="AR2330" s="5">
        <f>VLOOKUP(F2330,'[1]Cost Sheet'!$C:$D,2,0)</f>
        <v>90.823333333333338</v>
      </c>
      <c r="AS2330" s="5">
        <f t="shared" si="81"/>
        <v>14622.556666666667</v>
      </c>
    </row>
    <row r="2331" spans="1:45" x14ac:dyDescent="0.3">
      <c r="A2331" s="1">
        <v>45900.965277777781</v>
      </c>
      <c r="B2331" t="s">
        <v>1499</v>
      </c>
      <c r="C2331" t="s">
        <v>1500</v>
      </c>
      <c r="D2331" t="s">
        <v>732</v>
      </c>
      <c r="F2331" t="s">
        <v>1819</v>
      </c>
      <c r="G2331" t="s">
        <v>733</v>
      </c>
      <c r="H2331" t="s">
        <v>130</v>
      </c>
      <c r="I2331" t="s">
        <v>43</v>
      </c>
      <c r="J2331">
        <v>4</v>
      </c>
      <c r="K2331">
        <v>19</v>
      </c>
      <c r="L2331">
        <v>10</v>
      </c>
      <c r="M2331">
        <v>11</v>
      </c>
      <c r="N2331">
        <v>202</v>
      </c>
      <c r="O2331">
        <v>0</v>
      </c>
      <c r="P2331">
        <v>0</v>
      </c>
      <c r="Q2331" t="s">
        <v>44</v>
      </c>
      <c r="R2331" t="s">
        <v>44</v>
      </c>
      <c r="S2331" t="s">
        <v>44</v>
      </c>
      <c r="T2331" t="s">
        <v>44</v>
      </c>
      <c r="U2331" t="s">
        <v>44</v>
      </c>
      <c r="V2331">
        <v>202</v>
      </c>
      <c r="W2331" t="s">
        <v>44</v>
      </c>
      <c r="X2331" t="s">
        <v>44</v>
      </c>
      <c r="Y2331">
        <v>202</v>
      </c>
      <c r="Z2331" t="s">
        <v>44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202</v>
      </c>
      <c r="AQ2331">
        <f t="shared" si="82"/>
        <v>202</v>
      </c>
      <c r="AR2331" s="5">
        <f>VLOOKUP(F2331,'[1]Cost Sheet'!$C:$D,2,0)</f>
        <v>129.18</v>
      </c>
      <c r="AS2331" s="5">
        <f t="shared" si="81"/>
        <v>26094.36</v>
      </c>
    </row>
    <row r="2332" spans="1:45" x14ac:dyDescent="0.3">
      <c r="A2332" s="1">
        <v>45900.965277777781</v>
      </c>
      <c r="B2332" t="s">
        <v>1499</v>
      </c>
      <c r="C2332" t="s">
        <v>1500</v>
      </c>
      <c r="D2332" t="s">
        <v>467</v>
      </c>
      <c r="F2332" t="s">
        <v>1688</v>
      </c>
      <c r="G2332" t="s">
        <v>468</v>
      </c>
      <c r="H2332" t="s">
        <v>66</v>
      </c>
      <c r="I2332" t="s">
        <v>43</v>
      </c>
      <c r="J2332">
        <v>459.02</v>
      </c>
      <c r="K2332">
        <v>19</v>
      </c>
      <c r="L2332">
        <v>11</v>
      </c>
      <c r="M2332">
        <v>10</v>
      </c>
      <c r="N2332">
        <v>1512</v>
      </c>
      <c r="O2332">
        <v>0</v>
      </c>
      <c r="P2332">
        <v>0</v>
      </c>
      <c r="Q2332" t="s">
        <v>44</v>
      </c>
      <c r="R2332" t="s">
        <v>44</v>
      </c>
      <c r="S2332" t="s">
        <v>44</v>
      </c>
      <c r="T2332" t="s">
        <v>44</v>
      </c>
      <c r="U2332" t="s">
        <v>44</v>
      </c>
      <c r="V2332">
        <v>810</v>
      </c>
      <c r="W2332" t="s">
        <v>44</v>
      </c>
      <c r="X2332" t="s">
        <v>44</v>
      </c>
      <c r="Y2332">
        <v>810</v>
      </c>
      <c r="Z2332" t="s">
        <v>44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810</v>
      </c>
      <c r="AQ2332">
        <f t="shared" si="82"/>
        <v>810</v>
      </c>
      <c r="AR2332" s="5">
        <f>VLOOKUP(F2332,'[2]SCP_24-25'!$A:$D,4,0)</f>
        <v>79.760000000000005</v>
      </c>
      <c r="AS2332" s="5">
        <f t="shared" si="81"/>
        <v>64605.600000000006</v>
      </c>
    </row>
    <row r="2333" spans="1:45" x14ac:dyDescent="0.3">
      <c r="A2333" s="1">
        <v>45900.965277777781</v>
      </c>
      <c r="B2333" t="s">
        <v>1499</v>
      </c>
      <c r="C2333" t="s">
        <v>1500</v>
      </c>
      <c r="D2333" t="s">
        <v>805</v>
      </c>
      <c r="F2333" t="s">
        <v>1854</v>
      </c>
      <c r="G2333" t="s">
        <v>806</v>
      </c>
      <c r="H2333" t="s">
        <v>130</v>
      </c>
      <c r="I2333" t="s">
        <v>43</v>
      </c>
      <c r="J2333">
        <v>112.62</v>
      </c>
      <c r="K2333">
        <v>19</v>
      </c>
      <c r="L2333">
        <v>11</v>
      </c>
      <c r="M2333">
        <v>10</v>
      </c>
      <c r="N2333">
        <v>495</v>
      </c>
      <c r="O2333">
        <v>0</v>
      </c>
      <c r="P2333">
        <v>0</v>
      </c>
      <c r="Q2333" t="s">
        <v>44</v>
      </c>
      <c r="R2333" t="s">
        <v>44</v>
      </c>
      <c r="S2333" t="s">
        <v>44</v>
      </c>
      <c r="T2333" t="s">
        <v>44</v>
      </c>
      <c r="U2333" t="s">
        <v>44</v>
      </c>
      <c r="V2333">
        <v>391</v>
      </c>
      <c r="W2333" t="s">
        <v>44</v>
      </c>
      <c r="X2333" t="s">
        <v>44</v>
      </c>
      <c r="Y2333">
        <v>391</v>
      </c>
      <c r="Z2333" t="s">
        <v>44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391</v>
      </c>
      <c r="AQ2333">
        <f t="shared" si="82"/>
        <v>391</v>
      </c>
      <c r="AR2333" s="5">
        <f>VLOOKUP(F2333,'[2]SCP_24-25'!$A:$D,4,0)</f>
        <v>114.81</v>
      </c>
      <c r="AS2333" s="5">
        <f t="shared" si="81"/>
        <v>44890.71</v>
      </c>
    </row>
    <row r="2334" spans="1:45" x14ac:dyDescent="0.3">
      <c r="A2334" s="1">
        <v>45900.965277777781</v>
      </c>
      <c r="B2334" t="s">
        <v>1499</v>
      </c>
      <c r="C2334" t="s">
        <v>1500</v>
      </c>
      <c r="D2334" t="s">
        <v>750</v>
      </c>
      <c r="F2334" t="s">
        <v>1828</v>
      </c>
      <c r="G2334" t="s">
        <v>751</v>
      </c>
      <c r="H2334" t="s">
        <v>66</v>
      </c>
      <c r="I2334" t="s">
        <v>43</v>
      </c>
      <c r="J2334">
        <v>161.02000000000001</v>
      </c>
      <c r="K2334">
        <v>19</v>
      </c>
      <c r="L2334">
        <v>11</v>
      </c>
      <c r="M2334">
        <v>10</v>
      </c>
      <c r="N2334">
        <v>611</v>
      </c>
      <c r="O2334">
        <v>0</v>
      </c>
      <c r="P2334">
        <v>0</v>
      </c>
      <c r="Q2334" t="s">
        <v>44</v>
      </c>
      <c r="R2334" t="s">
        <v>44</v>
      </c>
      <c r="S2334" t="s">
        <v>44</v>
      </c>
      <c r="T2334">
        <v>280</v>
      </c>
      <c r="U2334" t="s">
        <v>44</v>
      </c>
      <c r="V2334">
        <v>238</v>
      </c>
      <c r="W2334" t="s">
        <v>44</v>
      </c>
      <c r="X2334" t="s">
        <v>44</v>
      </c>
      <c r="Y2334">
        <v>238</v>
      </c>
      <c r="Z2334" t="s">
        <v>44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238</v>
      </c>
      <c r="AQ2334">
        <f t="shared" si="82"/>
        <v>238</v>
      </c>
      <c r="AR2334" s="5">
        <f>VLOOKUP(F2334,'[2]SCP_24-25'!$A:$D,4,0)</f>
        <v>297.47000000000003</v>
      </c>
      <c r="AS2334" s="5">
        <f t="shared" si="81"/>
        <v>70797.86</v>
      </c>
    </row>
    <row r="2335" spans="1:45" x14ac:dyDescent="0.3">
      <c r="A2335" s="1">
        <v>45900.965277777781</v>
      </c>
      <c r="B2335" t="s">
        <v>1499</v>
      </c>
      <c r="C2335" t="s">
        <v>1500</v>
      </c>
      <c r="D2335" t="s">
        <v>1249</v>
      </c>
      <c r="E2335" t="s">
        <v>1250</v>
      </c>
      <c r="F2335" t="s">
        <v>2075</v>
      </c>
      <c r="G2335" t="s">
        <v>1251</v>
      </c>
      <c r="H2335" t="s">
        <v>120</v>
      </c>
      <c r="I2335" t="s">
        <v>415</v>
      </c>
      <c r="J2335">
        <v>100</v>
      </c>
      <c r="K2335">
        <v>19</v>
      </c>
      <c r="L2335">
        <v>10</v>
      </c>
      <c r="M2335">
        <v>11</v>
      </c>
      <c r="N2335">
        <v>409</v>
      </c>
      <c r="O2335">
        <v>20</v>
      </c>
      <c r="P2335">
        <v>0</v>
      </c>
      <c r="Q2335" t="s">
        <v>44</v>
      </c>
      <c r="R2335" t="s">
        <v>44</v>
      </c>
      <c r="S2335" t="s">
        <v>44</v>
      </c>
      <c r="T2335" t="s">
        <v>44</v>
      </c>
      <c r="U2335" t="s">
        <v>44</v>
      </c>
      <c r="V2335">
        <v>149</v>
      </c>
      <c r="W2335" t="s">
        <v>44</v>
      </c>
      <c r="X2335" t="s">
        <v>44</v>
      </c>
      <c r="Y2335">
        <v>149</v>
      </c>
      <c r="Z2335" t="s">
        <v>44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169</v>
      </c>
      <c r="AQ2335">
        <f t="shared" si="82"/>
        <v>169</v>
      </c>
      <c r="AR2335" s="5">
        <f>VLOOKUP(F2335,'[2]SCP_24-25'!$A:$D,4,0)</f>
        <v>55</v>
      </c>
      <c r="AS2335" s="5">
        <f t="shared" si="81"/>
        <v>9295</v>
      </c>
    </row>
    <row r="2336" spans="1:45" x14ac:dyDescent="0.3">
      <c r="A2336" s="1">
        <v>45900.965277777781</v>
      </c>
      <c r="B2336" t="s">
        <v>1499</v>
      </c>
      <c r="C2336" t="s">
        <v>1500</v>
      </c>
      <c r="D2336" t="s">
        <v>1456</v>
      </c>
      <c r="F2336" t="s">
        <v>2175</v>
      </c>
      <c r="G2336" t="s">
        <v>123</v>
      </c>
      <c r="H2336" t="s">
        <v>120</v>
      </c>
      <c r="I2336" t="s">
        <v>43</v>
      </c>
      <c r="J2336">
        <v>100</v>
      </c>
      <c r="K2336">
        <v>19</v>
      </c>
      <c r="L2336">
        <v>11</v>
      </c>
      <c r="M2336">
        <v>10</v>
      </c>
      <c r="N2336">
        <v>1000</v>
      </c>
      <c r="O2336">
        <v>0</v>
      </c>
      <c r="P2336">
        <v>0</v>
      </c>
      <c r="Q2336" t="s">
        <v>44</v>
      </c>
      <c r="R2336" t="s">
        <v>44</v>
      </c>
      <c r="S2336" t="s">
        <v>44</v>
      </c>
      <c r="T2336" t="s">
        <v>44</v>
      </c>
      <c r="U2336" t="s">
        <v>44</v>
      </c>
      <c r="V2336">
        <v>1000</v>
      </c>
      <c r="W2336" t="s">
        <v>44</v>
      </c>
      <c r="X2336" t="s">
        <v>44</v>
      </c>
      <c r="Y2336">
        <v>1000</v>
      </c>
      <c r="Z2336" t="s">
        <v>44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 s="2">
        <v>1000</v>
      </c>
      <c r="AQ2336">
        <f t="shared" si="82"/>
        <v>1000</v>
      </c>
      <c r="AR2336" s="5">
        <f>VLOOKUP(F2336,'[1]Cost Sheet'!$C:$D,2,0)</f>
        <v>70</v>
      </c>
      <c r="AS2336" s="5">
        <f t="shared" si="81"/>
        <v>70000</v>
      </c>
    </row>
    <row r="2337" spans="1:45" x14ac:dyDescent="0.3">
      <c r="A2337" s="1">
        <v>45900.965277777781</v>
      </c>
      <c r="B2337" t="s">
        <v>1499</v>
      </c>
      <c r="C2337" t="s">
        <v>1500</v>
      </c>
      <c r="D2337" t="s">
        <v>752</v>
      </c>
      <c r="F2337" t="s">
        <v>1829</v>
      </c>
      <c r="G2337" t="s">
        <v>753</v>
      </c>
      <c r="H2337" t="s">
        <v>66</v>
      </c>
      <c r="I2337" t="s">
        <v>415</v>
      </c>
      <c r="J2337">
        <v>231</v>
      </c>
      <c r="K2337">
        <v>19</v>
      </c>
      <c r="L2337">
        <v>10</v>
      </c>
      <c r="M2337">
        <v>11</v>
      </c>
      <c r="N2337">
        <v>960</v>
      </c>
      <c r="O2337">
        <v>0</v>
      </c>
      <c r="P2337">
        <v>0</v>
      </c>
      <c r="Q2337" t="s">
        <v>44</v>
      </c>
      <c r="R2337" t="s">
        <v>44</v>
      </c>
      <c r="S2337" t="s">
        <v>44</v>
      </c>
      <c r="T2337" t="s">
        <v>44</v>
      </c>
      <c r="U2337" t="s">
        <v>44</v>
      </c>
      <c r="V2337">
        <v>804</v>
      </c>
      <c r="W2337" t="s">
        <v>44</v>
      </c>
      <c r="X2337" t="s">
        <v>44</v>
      </c>
      <c r="Y2337">
        <v>804</v>
      </c>
      <c r="Z2337" t="s">
        <v>44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804</v>
      </c>
      <c r="AQ2337">
        <f t="shared" si="82"/>
        <v>804</v>
      </c>
      <c r="AR2337" s="5">
        <f>VLOOKUP(F2337,'[2]SCP_24-25'!$A:$D,4,0)</f>
        <v>163.02000000000001</v>
      </c>
      <c r="AS2337" s="5">
        <f t="shared" si="81"/>
        <v>131068.08</v>
      </c>
    </row>
    <row r="2338" spans="1:45" x14ac:dyDescent="0.3">
      <c r="A2338" s="1">
        <v>45900.965277777781</v>
      </c>
      <c r="B2338" t="s">
        <v>1499</v>
      </c>
      <c r="C2338" t="s">
        <v>1500</v>
      </c>
      <c r="D2338" t="s">
        <v>754</v>
      </c>
      <c r="F2338" t="s">
        <v>1830</v>
      </c>
      <c r="G2338" t="s">
        <v>755</v>
      </c>
      <c r="H2338" t="s">
        <v>66</v>
      </c>
      <c r="I2338" t="s">
        <v>415</v>
      </c>
      <c r="J2338">
        <v>231</v>
      </c>
      <c r="K2338">
        <v>19</v>
      </c>
      <c r="L2338">
        <v>10</v>
      </c>
      <c r="M2338">
        <v>11</v>
      </c>
      <c r="N2338">
        <v>1008</v>
      </c>
      <c r="O2338">
        <v>0</v>
      </c>
      <c r="P2338">
        <v>0</v>
      </c>
      <c r="Q2338" t="s">
        <v>44</v>
      </c>
      <c r="R2338" t="s">
        <v>44</v>
      </c>
      <c r="S2338" t="s">
        <v>44</v>
      </c>
      <c r="T2338" t="s">
        <v>44</v>
      </c>
      <c r="U2338" t="s">
        <v>44</v>
      </c>
      <c r="V2338">
        <v>852</v>
      </c>
      <c r="W2338" t="s">
        <v>44</v>
      </c>
      <c r="X2338" t="s">
        <v>44</v>
      </c>
      <c r="Y2338">
        <v>852</v>
      </c>
      <c r="Z2338" t="s">
        <v>44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852</v>
      </c>
      <c r="AQ2338">
        <f t="shared" si="82"/>
        <v>852</v>
      </c>
      <c r="AR2338" s="5">
        <f>VLOOKUP(F2338,'[2]SCP_24-25'!$A:$D,4,0)</f>
        <v>161.91999999999999</v>
      </c>
      <c r="AS2338" s="5">
        <f t="shared" si="81"/>
        <v>137955.84</v>
      </c>
    </row>
    <row r="2339" spans="1:45" x14ac:dyDescent="0.3">
      <c r="A2339" s="1">
        <v>45900.965277777781</v>
      </c>
      <c r="B2339" t="s">
        <v>1499</v>
      </c>
      <c r="C2339" t="s">
        <v>1500</v>
      </c>
      <c r="D2339" t="s">
        <v>758</v>
      </c>
      <c r="F2339" t="s">
        <v>1832</v>
      </c>
      <c r="G2339" t="s">
        <v>759</v>
      </c>
      <c r="H2339" t="s">
        <v>103</v>
      </c>
      <c r="I2339" t="s">
        <v>415</v>
      </c>
      <c r="J2339">
        <v>1000</v>
      </c>
      <c r="K2339">
        <v>19</v>
      </c>
      <c r="L2339">
        <v>10</v>
      </c>
      <c r="M2339">
        <v>11</v>
      </c>
      <c r="N2339">
        <v>365</v>
      </c>
      <c r="O2339">
        <v>0</v>
      </c>
      <c r="P2339">
        <v>0</v>
      </c>
      <c r="Q2339" t="s">
        <v>44</v>
      </c>
      <c r="R2339" t="s">
        <v>44</v>
      </c>
      <c r="S2339" t="s">
        <v>44</v>
      </c>
      <c r="T2339" t="s">
        <v>44</v>
      </c>
      <c r="U2339" t="s">
        <v>44</v>
      </c>
      <c r="V2339">
        <v>189</v>
      </c>
      <c r="W2339" t="s">
        <v>44</v>
      </c>
      <c r="X2339" t="s">
        <v>44</v>
      </c>
      <c r="Y2339">
        <v>189</v>
      </c>
      <c r="Z2339" t="s">
        <v>44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189</v>
      </c>
      <c r="AQ2339">
        <f t="shared" si="82"/>
        <v>189</v>
      </c>
      <c r="AR2339" s="5">
        <f>VLOOKUP(F2339,'[2]SCP_24-25'!$A:$D,4,0)</f>
        <v>2532.66</v>
      </c>
      <c r="AS2339" s="5">
        <f t="shared" si="81"/>
        <v>478672.74</v>
      </c>
    </row>
    <row r="2340" spans="1:45" x14ac:dyDescent="0.3">
      <c r="A2340" s="1">
        <v>45900.965277777781</v>
      </c>
      <c r="B2340" t="s">
        <v>1499</v>
      </c>
      <c r="C2340" t="s">
        <v>1500</v>
      </c>
      <c r="D2340" t="s">
        <v>760</v>
      </c>
      <c r="F2340" t="s">
        <v>1833</v>
      </c>
      <c r="G2340" t="s">
        <v>761</v>
      </c>
      <c r="H2340" t="s">
        <v>103</v>
      </c>
      <c r="I2340" t="s">
        <v>415</v>
      </c>
      <c r="J2340">
        <v>1000</v>
      </c>
      <c r="K2340">
        <v>19</v>
      </c>
      <c r="L2340">
        <v>10</v>
      </c>
      <c r="M2340">
        <v>11</v>
      </c>
      <c r="N2340">
        <v>397</v>
      </c>
      <c r="O2340">
        <v>0</v>
      </c>
      <c r="P2340">
        <v>0</v>
      </c>
      <c r="Q2340" t="s">
        <v>44</v>
      </c>
      <c r="R2340" t="s">
        <v>44</v>
      </c>
      <c r="S2340" t="s">
        <v>44</v>
      </c>
      <c r="T2340" t="s">
        <v>44</v>
      </c>
      <c r="U2340" t="s">
        <v>44</v>
      </c>
      <c r="V2340">
        <v>357</v>
      </c>
      <c r="W2340" t="s">
        <v>44</v>
      </c>
      <c r="X2340" t="s">
        <v>44</v>
      </c>
      <c r="Y2340">
        <v>357</v>
      </c>
      <c r="Z2340" t="s">
        <v>44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357</v>
      </c>
      <c r="AQ2340">
        <f t="shared" si="82"/>
        <v>357</v>
      </c>
      <c r="AR2340" s="5">
        <f>VLOOKUP(F2340,'[2]SCP_24-25'!$A:$D,4,0)</f>
        <v>1932.66</v>
      </c>
      <c r="AS2340" s="5">
        <f t="shared" si="81"/>
        <v>689959.62</v>
      </c>
    </row>
    <row r="2341" spans="1:45" x14ac:dyDescent="0.3">
      <c r="A2341" s="1">
        <v>45900.965277777781</v>
      </c>
      <c r="B2341" t="s">
        <v>1499</v>
      </c>
      <c r="C2341" t="s">
        <v>1500</v>
      </c>
      <c r="D2341" t="s">
        <v>769</v>
      </c>
      <c r="F2341" t="s">
        <v>1837</v>
      </c>
      <c r="G2341" t="s">
        <v>770</v>
      </c>
      <c r="H2341" t="s">
        <v>130</v>
      </c>
      <c r="I2341" t="s">
        <v>415</v>
      </c>
      <c r="J2341">
        <v>12</v>
      </c>
      <c r="K2341">
        <v>19</v>
      </c>
      <c r="L2341">
        <v>10</v>
      </c>
      <c r="M2341">
        <v>11</v>
      </c>
      <c r="N2341">
        <v>1392</v>
      </c>
      <c r="O2341">
        <v>0</v>
      </c>
      <c r="P2341">
        <v>0</v>
      </c>
      <c r="Q2341" t="s">
        <v>44</v>
      </c>
      <c r="R2341" t="s">
        <v>44</v>
      </c>
      <c r="S2341" t="s">
        <v>44</v>
      </c>
      <c r="T2341" t="s">
        <v>44</v>
      </c>
      <c r="U2341" t="s">
        <v>44</v>
      </c>
      <c r="V2341">
        <v>497</v>
      </c>
      <c r="W2341" t="s">
        <v>44</v>
      </c>
      <c r="X2341" t="s">
        <v>44</v>
      </c>
      <c r="Y2341">
        <v>497</v>
      </c>
      <c r="Z2341" t="s">
        <v>44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2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497</v>
      </c>
      <c r="AQ2341">
        <f t="shared" si="82"/>
        <v>497</v>
      </c>
      <c r="AR2341" s="5">
        <f>VLOOKUP(F2341,'[2]SCP_24-25'!$A:$D,4,0)</f>
        <v>137.76</v>
      </c>
      <c r="AS2341" s="5">
        <f t="shared" si="81"/>
        <v>68466.720000000001</v>
      </c>
    </row>
    <row r="2342" spans="1:45" x14ac:dyDescent="0.3">
      <c r="A2342" s="1">
        <v>45900.965277777781</v>
      </c>
      <c r="B2342" t="s">
        <v>1499</v>
      </c>
      <c r="C2342" t="s">
        <v>1500</v>
      </c>
      <c r="D2342" t="s">
        <v>839</v>
      </c>
      <c r="F2342" t="s">
        <v>1871</v>
      </c>
      <c r="G2342" t="s">
        <v>840</v>
      </c>
      <c r="H2342" t="s">
        <v>130</v>
      </c>
      <c r="I2342" t="s">
        <v>415</v>
      </c>
      <c r="J2342">
        <v>12</v>
      </c>
      <c r="K2342">
        <v>19</v>
      </c>
      <c r="L2342">
        <v>10</v>
      </c>
      <c r="M2342">
        <v>11</v>
      </c>
      <c r="N2342">
        <v>1392</v>
      </c>
      <c r="O2342">
        <v>0</v>
      </c>
      <c r="P2342">
        <v>0</v>
      </c>
      <c r="Q2342" t="s">
        <v>44</v>
      </c>
      <c r="R2342" t="s">
        <v>44</v>
      </c>
      <c r="S2342" t="s">
        <v>44</v>
      </c>
      <c r="T2342" t="s">
        <v>44</v>
      </c>
      <c r="U2342" t="s">
        <v>44</v>
      </c>
      <c r="V2342">
        <v>506</v>
      </c>
      <c r="W2342" t="s">
        <v>44</v>
      </c>
      <c r="X2342" t="s">
        <v>44</v>
      </c>
      <c r="Y2342">
        <v>506</v>
      </c>
      <c r="Z2342" t="s">
        <v>44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506</v>
      </c>
      <c r="AQ2342">
        <f t="shared" si="82"/>
        <v>506</v>
      </c>
      <c r="AR2342" s="5">
        <f>VLOOKUP(F2342,'[2]SCP_24-25'!$A:$D,4,0)</f>
        <v>137.76</v>
      </c>
      <c r="AS2342" s="5">
        <f t="shared" si="81"/>
        <v>69706.559999999998</v>
      </c>
    </row>
    <row r="2343" spans="1:45" x14ac:dyDescent="0.3">
      <c r="A2343" s="1">
        <v>45900.965277777781</v>
      </c>
      <c r="B2343" t="s">
        <v>1499</v>
      </c>
      <c r="C2343" t="s">
        <v>1500</v>
      </c>
      <c r="D2343" t="s">
        <v>841</v>
      </c>
      <c r="F2343" t="s">
        <v>1872</v>
      </c>
      <c r="G2343" t="s">
        <v>842</v>
      </c>
      <c r="H2343" t="s">
        <v>130</v>
      </c>
      <c r="I2343" t="s">
        <v>415</v>
      </c>
      <c r="J2343">
        <v>12</v>
      </c>
      <c r="K2343">
        <v>19</v>
      </c>
      <c r="L2343">
        <v>10</v>
      </c>
      <c r="M2343">
        <v>11</v>
      </c>
      <c r="N2343">
        <v>1392</v>
      </c>
      <c r="O2343">
        <v>0</v>
      </c>
      <c r="P2343">
        <v>0</v>
      </c>
      <c r="Q2343" t="s">
        <v>44</v>
      </c>
      <c r="R2343" t="s">
        <v>44</v>
      </c>
      <c r="S2343" t="s">
        <v>44</v>
      </c>
      <c r="T2343" t="s">
        <v>44</v>
      </c>
      <c r="U2343" t="s">
        <v>44</v>
      </c>
      <c r="V2343">
        <v>506</v>
      </c>
      <c r="W2343" t="s">
        <v>44</v>
      </c>
      <c r="X2343" t="s">
        <v>44</v>
      </c>
      <c r="Y2343">
        <v>506</v>
      </c>
      <c r="Z2343" t="s">
        <v>44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506</v>
      </c>
      <c r="AQ2343">
        <f t="shared" si="82"/>
        <v>506</v>
      </c>
      <c r="AR2343" s="5">
        <f>VLOOKUP(F2343,'[2]SCP_24-25'!$A:$D,4,0)</f>
        <v>137.76</v>
      </c>
      <c r="AS2343" s="5">
        <f t="shared" si="81"/>
        <v>69706.559999999998</v>
      </c>
    </row>
    <row r="2344" spans="1:45" x14ac:dyDescent="0.3">
      <c r="A2344" s="1">
        <v>45900.965277777781</v>
      </c>
      <c r="B2344" t="s">
        <v>1499</v>
      </c>
      <c r="C2344" t="s">
        <v>1500</v>
      </c>
      <c r="D2344" t="s">
        <v>1501</v>
      </c>
      <c r="F2344" t="s">
        <v>2199</v>
      </c>
      <c r="G2344" t="s">
        <v>1502</v>
      </c>
      <c r="H2344" t="s">
        <v>120</v>
      </c>
      <c r="I2344" t="s">
        <v>43</v>
      </c>
      <c r="J2344">
        <v>100</v>
      </c>
      <c r="K2344">
        <v>19</v>
      </c>
      <c r="L2344">
        <v>11</v>
      </c>
      <c r="M2344">
        <v>10</v>
      </c>
      <c r="N2344">
        <v>177</v>
      </c>
      <c r="O2344">
        <v>0</v>
      </c>
      <c r="P2344">
        <v>0</v>
      </c>
      <c r="Q2344" t="s">
        <v>44</v>
      </c>
      <c r="R2344" t="s">
        <v>44</v>
      </c>
      <c r="S2344" t="s">
        <v>44</v>
      </c>
      <c r="T2344" t="s">
        <v>44</v>
      </c>
      <c r="U2344" t="s">
        <v>44</v>
      </c>
      <c r="V2344">
        <v>166</v>
      </c>
      <c r="W2344" t="s">
        <v>44</v>
      </c>
      <c r="X2344" t="s">
        <v>44</v>
      </c>
      <c r="Y2344">
        <v>166</v>
      </c>
      <c r="Z2344" t="s">
        <v>44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166</v>
      </c>
      <c r="AQ2344">
        <f t="shared" si="82"/>
        <v>166</v>
      </c>
      <c r="AR2344" s="5">
        <f>VLOOKUP(F2344,'[1]Cost Sheet'!$C:$D,2,0)</f>
        <v>0.01</v>
      </c>
      <c r="AS2344" s="5">
        <f t="shared" si="81"/>
        <v>1.6600000000000001</v>
      </c>
    </row>
    <row r="2345" spans="1:45" x14ac:dyDescent="0.3">
      <c r="A2345" s="1">
        <v>45900.965277777781</v>
      </c>
      <c r="B2345" t="s">
        <v>1499</v>
      </c>
      <c r="C2345" t="s">
        <v>1500</v>
      </c>
      <c r="D2345" t="s">
        <v>1320</v>
      </c>
      <c r="F2345" t="s">
        <v>2110</v>
      </c>
      <c r="G2345" t="s">
        <v>1321</v>
      </c>
      <c r="H2345" t="s">
        <v>103</v>
      </c>
      <c r="I2345" t="s">
        <v>43</v>
      </c>
      <c r="J2345">
        <v>400</v>
      </c>
      <c r="K2345">
        <v>19</v>
      </c>
      <c r="L2345">
        <v>11</v>
      </c>
      <c r="M2345">
        <v>10</v>
      </c>
      <c r="N2345">
        <v>1044</v>
      </c>
      <c r="O2345">
        <v>0</v>
      </c>
      <c r="P2345">
        <v>0</v>
      </c>
      <c r="Q2345" t="s">
        <v>44</v>
      </c>
      <c r="R2345" t="s">
        <v>44</v>
      </c>
      <c r="S2345" t="s">
        <v>44</v>
      </c>
      <c r="T2345" t="s">
        <v>44</v>
      </c>
      <c r="U2345" t="s">
        <v>44</v>
      </c>
      <c r="V2345">
        <v>750</v>
      </c>
      <c r="W2345" t="s">
        <v>44</v>
      </c>
      <c r="X2345" t="s">
        <v>44</v>
      </c>
      <c r="Y2345">
        <v>750</v>
      </c>
      <c r="Z2345" t="s">
        <v>44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750</v>
      </c>
      <c r="AQ2345">
        <f t="shared" si="82"/>
        <v>750</v>
      </c>
      <c r="AR2345" s="5">
        <f>VLOOKUP(F2345,'[1]Cost Sheet'!$C:$D,2,0)</f>
        <v>170.18</v>
      </c>
      <c r="AS2345" s="5">
        <f t="shared" si="81"/>
        <v>127635</v>
      </c>
    </row>
    <row r="2346" spans="1:45" x14ac:dyDescent="0.3">
      <c r="A2346" s="1">
        <v>45900.965277777781</v>
      </c>
      <c r="B2346" t="s">
        <v>1499</v>
      </c>
      <c r="C2346" t="s">
        <v>1500</v>
      </c>
      <c r="D2346" t="s">
        <v>773</v>
      </c>
      <c r="F2346" t="s">
        <v>1839</v>
      </c>
      <c r="G2346" t="s">
        <v>774</v>
      </c>
      <c r="H2346" t="s">
        <v>120</v>
      </c>
      <c r="I2346" t="s">
        <v>43</v>
      </c>
      <c r="J2346">
        <v>100</v>
      </c>
      <c r="K2346">
        <v>19</v>
      </c>
      <c r="L2346">
        <v>11</v>
      </c>
      <c r="M2346">
        <v>10</v>
      </c>
      <c r="N2346">
        <v>400</v>
      </c>
      <c r="O2346">
        <v>0</v>
      </c>
      <c r="P2346">
        <v>0</v>
      </c>
      <c r="Q2346" t="s">
        <v>44</v>
      </c>
      <c r="R2346" t="s">
        <v>44</v>
      </c>
      <c r="S2346" t="s">
        <v>44</v>
      </c>
      <c r="T2346" t="s">
        <v>44</v>
      </c>
      <c r="U2346" t="s">
        <v>44</v>
      </c>
      <c r="V2346">
        <v>400</v>
      </c>
      <c r="W2346" t="s">
        <v>44</v>
      </c>
      <c r="X2346" t="s">
        <v>44</v>
      </c>
      <c r="Y2346">
        <v>400</v>
      </c>
      <c r="Z2346" t="s">
        <v>44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400</v>
      </c>
      <c r="AQ2346">
        <f t="shared" si="82"/>
        <v>400</v>
      </c>
      <c r="AR2346" s="5">
        <f>VLOOKUP(F2346,'[1]Cost Sheet'!$C:$D,2,0)</f>
        <v>130</v>
      </c>
      <c r="AS2346" s="5">
        <f t="shared" si="81"/>
        <v>52000</v>
      </c>
    </row>
    <row r="2347" spans="1:45" x14ac:dyDescent="0.3">
      <c r="A2347" s="1">
        <v>45900.965277777781</v>
      </c>
      <c r="B2347" t="s">
        <v>1499</v>
      </c>
      <c r="C2347" t="s">
        <v>1500</v>
      </c>
      <c r="D2347" t="s">
        <v>775</v>
      </c>
      <c r="F2347" t="s">
        <v>1840</v>
      </c>
      <c r="G2347" t="s">
        <v>776</v>
      </c>
      <c r="H2347" t="s">
        <v>120</v>
      </c>
      <c r="I2347" t="s">
        <v>43</v>
      </c>
      <c r="J2347">
        <v>100</v>
      </c>
      <c r="K2347">
        <v>19</v>
      </c>
      <c r="L2347">
        <v>11</v>
      </c>
      <c r="M2347">
        <v>10</v>
      </c>
      <c r="N2347">
        <v>525</v>
      </c>
      <c r="O2347">
        <v>0</v>
      </c>
      <c r="P2347">
        <v>0</v>
      </c>
      <c r="Q2347" t="s">
        <v>44</v>
      </c>
      <c r="R2347" t="s">
        <v>44</v>
      </c>
      <c r="S2347" t="s">
        <v>44</v>
      </c>
      <c r="T2347" t="s">
        <v>44</v>
      </c>
      <c r="U2347" t="s">
        <v>44</v>
      </c>
      <c r="V2347">
        <v>371</v>
      </c>
      <c r="W2347" t="s">
        <v>44</v>
      </c>
      <c r="X2347" t="s">
        <v>44</v>
      </c>
      <c r="Y2347">
        <v>371</v>
      </c>
      <c r="Z2347" t="s">
        <v>44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371</v>
      </c>
      <c r="AQ2347">
        <f t="shared" si="82"/>
        <v>371</v>
      </c>
      <c r="AR2347" s="5">
        <f>VLOOKUP(F2347,'[2]SCP_24-25'!$A:$D,4,0)</f>
        <v>53</v>
      </c>
      <c r="AS2347" s="5">
        <f t="shared" si="81"/>
        <v>19663</v>
      </c>
    </row>
    <row r="2348" spans="1:45" x14ac:dyDescent="0.3">
      <c r="A2348" s="1">
        <v>45900.965277777781</v>
      </c>
      <c r="B2348" t="s">
        <v>1499</v>
      </c>
      <c r="C2348" t="s">
        <v>1500</v>
      </c>
      <c r="D2348" t="s">
        <v>859</v>
      </c>
      <c r="F2348" t="s">
        <v>1881</v>
      </c>
      <c r="G2348" t="s">
        <v>860</v>
      </c>
      <c r="H2348" t="s">
        <v>130</v>
      </c>
      <c r="I2348" t="s">
        <v>43</v>
      </c>
      <c r="J2348">
        <v>4</v>
      </c>
      <c r="K2348">
        <v>19</v>
      </c>
      <c r="L2348">
        <v>11</v>
      </c>
      <c r="M2348">
        <v>10</v>
      </c>
      <c r="N2348">
        <v>5400</v>
      </c>
      <c r="O2348">
        <v>0</v>
      </c>
      <c r="P2348">
        <v>0</v>
      </c>
      <c r="Q2348" t="s">
        <v>44</v>
      </c>
      <c r="R2348" t="s">
        <v>44</v>
      </c>
      <c r="S2348" t="s">
        <v>44</v>
      </c>
      <c r="T2348" t="s">
        <v>44</v>
      </c>
      <c r="U2348" t="s">
        <v>44</v>
      </c>
      <c r="V2348">
        <v>890</v>
      </c>
      <c r="W2348" t="s">
        <v>44</v>
      </c>
      <c r="X2348" t="s">
        <v>44</v>
      </c>
      <c r="Y2348">
        <v>890</v>
      </c>
      <c r="Z2348" t="s">
        <v>44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890</v>
      </c>
      <c r="AQ2348">
        <f t="shared" si="82"/>
        <v>890</v>
      </c>
      <c r="AR2348" s="5">
        <v>129.18</v>
      </c>
      <c r="AS2348" s="5">
        <f t="shared" si="81"/>
        <v>114970.20000000001</v>
      </c>
    </row>
    <row r="2349" spans="1:45" x14ac:dyDescent="0.3">
      <c r="A2349" s="1">
        <v>45900.965277777781</v>
      </c>
      <c r="B2349" t="s">
        <v>1499</v>
      </c>
      <c r="C2349" t="s">
        <v>1500</v>
      </c>
      <c r="D2349" t="s">
        <v>179</v>
      </c>
      <c r="F2349" t="s">
        <v>1567</v>
      </c>
      <c r="G2349" t="s">
        <v>180</v>
      </c>
      <c r="H2349" t="s">
        <v>103</v>
      </c>
      <c r="I2349" t="s">
        <v>43</v>
      </c>
      <c r="J2349">
        <v>128</v>
      </c>
      <c r="K2349">
        <v>19</v>
      </c>
      <c r="L2349">
        <v>9.5</v>
      </c>
      <c r="M2349">
        <v>11</v>
      </c>
      <c r="N2349">
        <v>43928</v>
      </c>
      <c r="O2349">
        <v>1946</v>
      </c>
      <c r="P2349">
        <v>0</v>
      </c>
      <c r="Q2349">
        <v>7</v>
      </c>
      <c r="R2349" t="s">
        <v>44</v>
      </c>
      <c r="S2349" t="s">
        <v>44</v>
      </c>
      <c r="T2349">
        <v>108</v>
      </c>
      <c r="U2349" t="s">
        <v>44</v>
      </c>
      <c r="V2349">
        <v>12465</v>
      </c>
      <c r="W2349" t="s">
        <v>44</v>
      </c>
      <c r="X2349" t="s">
        <v>44</v>
      </c>
      <c r="Y2349">
        <v>12465</v>
      </c>
      <c r="Z2349" t="s">
        <v>44</v>
      </c>
      <c r="AA2349">
        <v>114</v>
      </c>
      <c r="AB2349">
        <v>0</v>
      </c>
      <c r="AC2349">
        <v>0</v>
      </c>
      <c r="AD2349">
        <v>0</v>
      </c>
      <c r="AE2349">
        <v>0</v>
      </c>
      <c r="AF2349">
        <v>12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 s="2">
        <v>14525</v>
      </c>
      <c r="AQ2349">
        <f t="shared" si="82"/>
        <v>14525</v>
      </c>
      <c r="AR2349" s="5">
        <f>VLOOKUP(F2349,'[2]SCP_24-25'!$A:$D,4,0)</f>
        <v>130.39230769230767</v>
      </c>
      <c r="AS2349" s="5">
        <f t="shared" si="81"/>
        <v>1893948.2692307688</v>
      </c>
    </row>
    <row r="2350" spans="1:45" x14ac:dyDescent="0.3">
      <c r="A2350" s="1">
        <v>45900.965277777781</v>
      </c>
      <c r="B2350" t="s">
        <v>1499</v>
      </c>
      <c r="C2350" t="s">
        <v>1500</v>
      </c>
      <c r="D2350" t="s">
        <v>224</v>
      </c>
      <c r="F2350" t="s">
        <v>1587</v>
      </c>
      <c r="G2350" t="s">
        <v>225</v>
      </c>
      <c r="H2350" t="s">
        <v>66</v>
      </c>
      <c r="I2350" t="s">
        <v>43</v>
      </c>
      <c r="J2350">
        <v>102</v>
      </c>
      <c r="K2350">
        <v>19</v>
      </c>
      <c r="L2350">
        <v>10</v>
      </c>
      <c r="M2350">
        <v>11</v>
      </c>
      <c r="N2350">
        <v>42539</v>
      </c>
      <c r="O2350">
        <v>750</v>
      </c>
      <c r="P2350">
        <v>0</v>
      </c>
      <c r="Q2350" t="s">
        <v>44</v>
      </c>
      <c r="R2350" t="s">
        <v>44</v>
      </c>
      <c r="S2350" t="s">
        <v>44</v>
      </c>
      <c r="T2350">
        <v>42</v>
      </c>
      <c r="U2350" t="s">
        <v>44</v>
      </c>
      <c r="V2350">
        <v>11826</v>
      </c>
      <c r="W2350" t="s">
        <v>44</v>
      </c>
      <c r="X2350" t="s">
        <v>44</v>
      </c>
      <c r="Y2350">
        <v>11826</v>
      </c>
      <c r="Z2350" t="s">
        <v>44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 s="2">
        <v>12576</v>
      </c>
      <c r="AQ2350">
        <f t="shared" si="82"/>
        <v>12576</v>
      </c>
      <c r="AR2350" s="5">
        <f>VLOOKUP(F2350,'[2]SCP_24-25'!$A:$D,4,0)</f>
        <v>66.328461538461553</v>
      </c>
      <c r="AS2350" s="5">
        <f t="shared" si="81"/>
        <v>834146.73230769252</v>
      </c>
    </row>
    <row r="2351" spans="1:45" x14ac:dyDescent="0.3">
      <c r="A2351" s="1">
        <v>45900.965277777781</v>
      </c>
      <c r="B2351" t="s">
        <v>1499</v>
      </c>
      <c r="C2351" t="s">
        <v>1500</v>
      </c>
      <c r="D2351" t="s">
        <v>260</v>
      </c>
      <c r="E2351" t="s">
        <v>261</v>
      </c>
      <c r="F2351" t="s">
        <v>1601</v>
      </c>
      <c r="G2351" t="s">
        <v>262</v>
      </c>
      <c r="H2351" t="s">
        <v>66</v>
      </c>
      <c r="I2351" t="s">
        <v>43</v>
      </c>
      <c r="J2351">
        <v>150</v>
      </c>
      <c r="K2351">
        <v>19</v>
      </c>
      <c r="L2351">
        <v>11</v>
      </c>
      <c r="M2351">
        <v>9.5</v>
      </c>
      <c r="N2351">
        <v>33855</v>
      </c>
      <c r="O2351">
        <v>60</v>
      </c>
      <c r="P2351">
        <v>0</v>
      </c>
      <c r="Q2351" t="s">
        <v>44</v>
      </c>
      <c r="R2351" t="s">
        <v>44</v>
      </c>
      <c r="S2351" t="s">
        <v>44</v>
      </c>
      <c r="T2351">
        <v>1722</v>
      </c>
      <c r="U2351" t="s">
        <v>44</v>
      </c>
      <c r="V2351">
        <v>13012</v>
      </c>
      <c r="W2351" t="s">
        <v>44</v>
      </c>
      <c r="X2351" t="s">
        <v>44</v>
      </c>
      <c r="Y2351">
        <v>13012</v>
      </c>
      <c r="Z2351" t="s">
        <v>44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6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 s="2">
        <v>13072</v>
      </c>
      <c r="AQ2351">
        <f t="shared" si="82"/>
        <v>13072</v>
      </c>
      <c r="AR2351" s="5">
        <f>VLOOKUP(F2351,'[2]SCP_24-25'!$A:$D,4,0)</f>
        <v>40.29</v>
      </c>
      <c r="AS2351" s="5">
        <f t="shared" si="81"/>
        <v>526670.88</v>
      </c>
    </row>
    <row r="2352" spans="1:45" x14ac:dyDescent="0.3">
      <c r="A2352" s="1">
        <v>45900.965277777781</v>
      </c>
      <c r="B2352" t="s">
        <v>1499</v>
      </c>
      <c r="C2352" t="s">
        <v>1500</v>
      </c>
      <c r="D2352" t="s">
        <v>277</v>
      </c>
      <c r="E2352" t="s">
        <v>278</v>
      </c>
      <c r="F2352" t="s">
        <v>1607</v>
      </c>
      <c r="G2352" t="s">
        <v>279</v>
      </c>
      <c r="H2352" t="s">
        <v>103</v>
      </c>
      <c r="I2352" t="s">
        <v>43</v>
      </c>
      <c r="J2352">
        <v>224.02</v>
      </c>
      <c r="K2352">
        <v>19</v>
      </c>
      <c r="L2352">
        <v>9.5</v>
      </c>
      <c r="M2352">
        <v>11</v>
      </c>
      <c r="N2352">
        <v>37434</v>
      </c>
      <c r="O2352">
        <v>48</v>
      </c>
      <c r="P2352">
        <v>0</v>
      </c>
      <c r="Q2352" t="s">
        <v>44</v>
      </c>
      <c r="R2352" t="s">
        <v>44</v>
      </c>
      <c r="S2352" t="s">
        <v>44</v>
      </c>
      <c r="T2352">
        <v>120</v>
      </c>
      <c r="U2352" t="s">
        <v>44</v>
      </c>
      <c r="V2352">
        <v>12439</v>
      </c>
      <c r="W2352" t="s">
        <v>44</v>
      </c>
      <c r="X2352" t="s">
        <v>44</v>
      </c>
      <c r="Y2352">
        <v>12439</v>
      </c>
      <c r="Z2352" t="s">
        <v>44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 s="2">
        <v>12487</v>
      </c>
      <c r="AQ2352">
        <f t="shared" si="82"/>
        <v>12487</v>
      </c>
      <c r="AR2352" s="5">
        <f>VLOOKUP(F2352,'[2]SCP_24-25'!$A:$D,4,0)</f>
        <v>77.739999999999995</v>
      </c>
      <c r="AS2352" s="5">
        <f t="shared" si="81"/>
        <v>970739.37999999989</v>
      </c>
    </row>
    <row r="2353" spans="1:45" x14ac:dyDescent="0.3">
      <c r="A2353" s="1">
        <v>45900.965277777781</v>
      </c>
      <c r="B2353" t="s">
        <v>1499</v>
      </c>
      <c r="C2353" t="s">
        <v>1500</v>
      </c>
      <c r="D2353" t="s">
        <v>399</v>
      </c>
      <c r="F2353" t="s">
        <v>1657</v>
      </c>
      <c r="G2353" t="s">
        <v>400</v>
      </c>
      <c r="H2353" t="s">
        <v>66</v>
      </c>
      <c r="I2353" t="s">
        <v>43</v>
      </c>
      <c r="J2353">
        <v>59.02</v>
      </c>
      <c r="K2353">
        <v>19</v>
      </c>
      <c r="L2353">
        <v>11</v>
      </c>
      <c r="M2353">
        <v>10</v>
      </c>
      <c r="N2353">
        <v>17541</v>
      </c>
      <c r="O2353">
        <v>66</v>
      </c>
      <c r="P2353">
        <v>0</v>
      </c>
      <c r="Q2353" t="s">
        <v>44</v>
      </c>
      <c r="R2353" t="s">
        <v>44</v>
      </c>
      <c r="S2353" t="s">
        <v>44</v>
      </c>
      <c r="T2353" t="s">
        <v>44</v>
      </c>
      <c r="U2353" t="s">
        <v>44</v>
      </c>
      <c r="V2353">
        <v>12312</v>
      </c>
      <c r="W2353" t="s">
        <v>44</v>
      </c>
      <c r="X2353" t="s">
        <v>44</v>
      </c>
      <c r="Y2353">
        <v>12312</v>
      </c>
      <c r="Z2353" t="s">
        <v>44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 s="2">
        <v>12378</v>
      </c>
      <c r="AQ2353">
        <f t="shared" si="82"/>
        <v>12378</v>
      </c>
      <c r="AR2353" s="5">
        <f>VLOOKUP(F2353,'[2]SCP_24-25'!$A:$D,4,0)</f>
        <v>50.06</v>
      </c>
      <c r="AS2353" s="5">
        <f t="shared" si="81"/>
        <v>619642.68000000005</v>
      </c>
    </row>
    <row r="2354" spans="1:45" x14ac:dyDescent="0.3">
      <c r="A2354" s="1">
        <v>45900.965277777781</v>
      </c>
      <c r="B2354" t="s">
        <v>1499</v>
      </c>
      <c r="C2354" t="s">
        <v>1500</v>
      </c>
      <c r="D2354" t="s">
        <v>418</v>
      </c>
      <c r="F2354" t="s">
        <v>1666</v>
      </c>
      <c r="G2354" t="s">
        <v>419</v>
      </c>
      <c r="H2354" t="s">
        <v>66</v>
      </c>
      <c r="I2354" t="s">
        <v>43</v>
      </c>
      <c r="J2354">
        <v>90.08</v>
      </c>
      <c r="K2354">
        <v>19</v>
      </c>
      <c r="L2354">
        <v>10</v>
      </c>
      <c r="M2354">
        <v>11</v>
      </c>
      <c r="N2354">
        <v>46018</v>
      </c>
      <c r="O2354">
        <v>408</v>
      </c>
      <c r="P2354">
        <v>0</v>
      </c>
      <c r="Q2354">
        <v>3</v>
      </c>
      <c r="R2354" t="s">
        <v>44</v>
      </c>
      <c r="S2354" t="s">
        <v>44</v>
      </c>
      <c r="T2354">
        <v>9145</v>
      </c>
      <c r="U2354" t="s">
        <v>44</v>
      </c>
      <c r="V2354">
        <v>13567</v>
      </c>
      <c r="W2354" t="s">
        <v>44</v>
      </c>
      <c r="X2354" t="s">
        <v>44</v>
      </c>
      <c r="Y2354">
        <v>13567</v>
      </c>
      <c r="Z2354" t="s">
        <v>44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12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 s="2">
        <v>13975</v>
      </c>
      <c r="AQ2354">
        <f t="shared" si="82"/>
        <v>13975</v>
      </c>
      <c r="AR2354" s="5">
        <f>VLOOKUP(F2354,'[2]SCP_24-25'!$A:$D,4,0)</f>
        <v>45.279999999999994</v>
      </c>
      <c r="AS2354" s="5">
        <f t="shared" si="81"/>
        <v>632787.99999999988</v>
      </c>
    </row>
    <row r="2355" spans="1:45" x14ac:dyDescent="0.3">
      <c r="A2355" s="1">
        <v>45900.965277777781</v>
      </c>
      <c r="B2355" t="s">
        <v>1499</v>
      </c>
      <c r="C2355" t="s">
        <v>1500</v>
      </c>
      <c r="D2355" t="s">
        <v>407</v>
      </c>
      <c r="F2355" t="s">
        <v>1661</v>
      </c>
      <c r="G2355" t="s">
        <v>408</v>
      </c>
      <c r="H2355" t="s">
        <v>66</v>
      </c>
      <c r="I2355" t="s">
        <v>43</v>
      </c>
      <c r="J2355">
        <v>90.08</v>
      </c>
      <c r="K2355">
        <v>19</v>
      </c>
      <c r="L2355">
        <v>10</v>
      </c>
      <c r="M2355">
        <v>11</v>
      </c>
      <c r="N2355">
        <v>62409</v>
      </c>
      <c r="O2355">
        <v>660</v>
      </c>
      <c r="P2355">
        <v>0</v>
      </c>
      <c r="Q2355">
        <v>3</v>
      </c>
      <c r="R2355" t="s">
        <v>44</v>
      </c>
      <c r="S2355" t="s">
        <v>44</v>
      </c>
      <c r="T2355">
        <v>9115</v>
      </c>
      <c r="U2355" t="s">
        <v>44</v>
      </c>
      <c r="V2355">
        <v>11409</v>
      </c>
      <c r="W2355" t="s">
        <v>44</v>
      </c>
      <c r="X2355" t="s">
        <v>44</v>
      </c>
      <c r="Y2355">
        <v>11409</v>
      </c>
      <c r="Z2355" t="s">
        <v>44</v>
      </c>
      <c r="AA2355">
        <v>72</v>
      </c>
      <c r="AB2355">
        <v>0</v>
      </c>
      <c r="AC2355">
        <v>0</v>
      </c>
      <c r="AD2355">
        <v>0</v>
      </c>
      <c r="AE2355">
        <v>0</v>
      </c>
      <c r="AF2355">
        <v>7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977</v>
      </c>
      <c r="AP2355" s="2">
        <v>12141</v>
      </c>
      <c r="AQ2355">
        <f t="shared" si="82"/>
        <v>12141</v>
      </c>
      <c r="AR2355" s="5">
        <f>VLOOKUP(F2355,'[2]SCP_24-25'!$A:$D,4,0)</f>
        <v>71.819000000000003</v>
      </c>
      <c r="AS2355" s="5">
        <f t="shared" si="81"/>
        <v>871954.47900000005</v>
      </c>
    </row>
    <row r="2356" spans="1:45" x14ac:dyDescent="0.3">
      <c r="A2356" s="1">
        <v>45900.965277777781</v>
      </c>
      <c r="B2356" t="s">
        <v>1499</v>
      </c>
      <c r="C2356" t="s">
        <v>1500</v>
      </c>
      <c r="D2356" t="s">
        <v>1337</v>
      </c>
      <c r="F2356" t="s">
        <v>2118</v>
      </c>
      <c r="G2356" t="s">
        <v>1338</v>
      </c>
      <c r="H2356" t="s">
        <v>103</v>
      </c>
      <c r="I2356" t="s">
        <v>43</v>
      </c>
      <c r="J2356">
        <v>217.02</v>
      </c>
      <c r="K2356">
        <v>19</v>
      </c>
      <c r="L2356">
        <v>10</v>
      </c>
      <c r="M2356">
        <v>11</v>
      </c>
      <c r="N2356">
        <v>115473</v>
      </c>
      <c r="O2356">
        <v>11599</v>
      </c>
      <c r="P2356">
        <v>0</v>
      </c>
      <c r="Q2356">
        <v>16</v>
      </c>
      <c r="R2356" t="s">
        <v>44</v>
      </c>
      <c r="S2356" t="s">
        <v>44</v>
      </c>
      <c r="T2356">
        <v>258</v>
      </c>
      <c r="U2356" t="s">
        <v>44</v>
      </c>
      <c r="V2356">
        <v>13811</v>
      </c>
      <c r="W2356" t="s">
        <v>44</v>
      </c>
      <c r="X2356" t="s">
        <v>44</v>
      </c>
      <c r="Y2356">
        <v>13811</v>
      </c>
      <c r="Z2356" t="s">
        <v>44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1452</v>
      </c>
      <c r="AP2356" s="2">
        <v>25410</v>
      </c>
      <c r="AQ2356">
        <f t="shared" si="82"/>
        <v>25410</v>
      </c>
      <c r="AR2356" s="5">
        <f>VLOOKUP(F2356,'[2]SCP_24-25'!$A:$D,4,0)</f>
        <v>60.216666666666661</v>
      </c>
      <c r="AS2356" s="5">
        <f t="shared" si="81"/>
        <v>1530105.4999999998</v>
      </c>
    </row>
    <row r="2357" spans="1:45" x14ac:dyDescent="0.3">
      <c r="A2357" s="1">
        <v>45900.965277777781</v>
      </c>
      <c r="B2357" t="s">
        <v>1499</v>
      </c>
      <c r="C2357" t="s">
        <v>1500</v>
      </c>
      <c r="D2357" t="s">
        <v>413</v>
      </c>
      <c r="F2357" t="s">
        <v>1664</v>
      </c>
      <c r="G2357" t="s">
        <v>414</v>
      </c>
      <c r="H2357" t="s">
        <v>66</v>
      </c>
      <c r="I2357" t="s">
        <v>415</v>
      </c>
      <c r="J2357">
        <v>56.72</v>
      </c>
      <c r="K2357">
        <v>19</v>
      </c>
      <c r="L2357">
        <v>10</v>
      </c>
      <c r="M2357">
        <v>11</v>
      </c>
      <c r="N2357">
        <v>16454</v>
      </c>
      <c r="O2357">
        <v>20</v>
      </c>
      <c r="P2357">
        <v>0</v>
      </c>
      <c r="Q2357" t="s">
        <v>44</v>
      </c>
      <c r="R2357" t="s">
        <v>44</v>
      </c>
      <c r="S2357" t="s">
        <v>44</v>
      </c>
      <c r="T2357" t="s">
        <v>44</v>
      </c>
      <c r="U2357" t="s">
        <v>44</v>
      </c>
      <c r="V2357">
        <v>10122</v>
      </c>
      <c r="W2357" t="s">
        <v>44</v>
      </c>
      <c r="X2357" t="s">
        <v>44</v>
      </c>
      <c r="Y2357">
        <v>10122</v>
      </c>
      <c r="Z2357" t="s">
        <v>44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 s="2">
        <v>10142</v>
      </c>
      <c r="AQ2357">
        <f t="shared" si="82"/>
        <v>10142</v>
      </c>
      <c r="AR2357" s="5">
        <f>VLOOKUP(F2357,'[2]SCP_24-25'!$A:$D,4,0)</f>
        <v>85.96</v>
      </c>
      <c r="AS2357" s="5">
        <f t="shared" si="81"/>
        <v>871806.32</v>
      </c>
    </row>
    <row r="2358" spans="1:45" x14ac:dyDescent="0.3">
      <c r="A2358" s="1">
        <v>45900.965277777781</v>
      </c>
      <c r="B2358" t="s">
        <v>1499</v>
      </c>
      <c r="C2358" t="s">
        <v>1500</v>
      </c>
      <c r="D2358" t="s">
        <v>1333</v>
      </c>
      <c r="F2358" t="s">
        <v>2116</v>
      </c>
      <c r="G2358" t="s">
        <v>1334</v>
      </c>
      <c r="H2358" t="s">
        <v>66</v>
      </c>
      <c r="I2358" t="s">
        <v>43</v>
      </c>
      <c r="J2358">
        <v>8</v>
      </c>
      <c r="K2358">
        <v>19</v>
      </c>
      <c r="L2358">
        <v>11</v>
      </c>
      <c r="M2358">
        <v>10</v>
      </c>
      <c r="N2358">
        <v>17600</v>
      </c>
      <c r="O2358">
        <v>0</v>
      </c>
      <c r="P2358">
        <v>0</v>
      </c>
      <c r="Q2358" t="s">
        <v>44</v>
      </c>
      <c r="R2358" t="s">
        <v>44</v>
      </c>
      <c r="S2358" t="s">
        <v>44</v>
      </c>
      <c r="T2358" t="s">
        <v>44</v>
      </c>
      <c r="U2358" t="s">
        <v>44</v>
      </c>
      <c r="V2358">
        <v>14000</v>
      </c>
      <c r="W2358" t="s">
        <v>44</v>
      </c>
      <c r="X2358" t="s">
        <v>44</v>
      </c>
      <c r="Y2358">
        <v>14000</v>
      </c>
      <c r="Z2358" t="s">
        <v>44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 s="2">
        <v>14000</v>
      </c>
      <c r="AQ2358">
        <f t="shared" si="82"/>
        <v>14000</v>
      </c>
      <c r="AR2358" s="5">
        <f>VLOOKUP(F2358,'[2]SCP_24-25'!$A:$D,4,0)</f>
        <v>11.289999999999996</v>
      </c>
      <c r="AS2358" s="5">
        <f t="shared" si="81"/>
        <v>158059.99999999994</v>
      </c>
    </row>
    <row r="2359" spans="1:45" x14ac:dyDescent="0.3">
      <c r="A2359" s="1">
        <v>45900.965277777781</v>
      </c>
      <c r="B2359" t="s">
        <v>1499</v>
      </c>
      <c r="C2359" t="s">
        <v>1500</v>
      </c>
      <c r="D2359" t="s">
        <v>131</v>
      </c>
      <c r="F2359" t="s">
        <v>1543</v>
      </c>
      <c r="G2359" t="s">
        <v>132</v>
      </c>
      <c r="H2359" t="s">
        <v>103</v>
      </c>
      <c r="I2359" t="s">
        <v>43</v>
      </c>
      <c r="J2359">
        <v>250</v>
      </c>
      <c r="K2359">
        <v>19</v>
      </c>
      <c r="L2359">
        <v>10</v>
      </c>
      <c r="M2359">
        <v>11</v>
      </c>
      <c r="N2359">
        <v>7705</v>
      </c>
      <c r="O2359">
        <v>120</v>
      </c>
      <c r="P2359">
        <v>0</v>
      </c>
      <c r="Q2359" t="s">
        <v>44</v>
      </c>
      <c r="R2359" t="s">
        <v>44</v>
      </c>
      <c r="S2359" t="s">
        <v>44</v>
      </c>
      <c r="T2359">
        <v>78</v>
      </c>
      <c r="U2359" t="s">
        <v>44</v>
      </c>
      <c r="V2359">
        <v>1844</v>
      </c>
      <c r="W2359" t="s">
        <v>44</v>
      </c>
      <c r="X2359" t="s">
        <v>44</v>
      </c>
      <c r="Y2359">
        <v>1844</v>
      </c>
      <c r="Z2359" t="s">
        <v>44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 s="2">
        <v>1964</v>
      </c>
      <c r="AQ2359">
        <f t="shared" si="82"/>
        <v>1964</v>
      </c>
      <c r="AR2359" s="5">
        <f>VLOOKUP(F2359,'[2]SCP_24-25'!$A:$D,4,0)</f>
        <v>78.88</v>
      </c>
      <c r="AS2359" s="5">
        <f t="shared" si="81"/>
        <v>154920.31999999998</v>
      </c>
    </row>
    <row r="2360" spans="1:45" x14ac:dyDescent="0.3">
      <c r="A2360" s="1">
        <v>45900.965277777781</v>
      </c>
      <c r="B2360" t="s">
        <v>1499</v>
      </c>
      <c r="C2360" t="s">
        <v>1500</v>
      </c>
      <c r="D2360" t="s">
        <v>133</v>
      </c>
      <c r="F2360" t="s">
        <v>1544</v>
      </c>
      <c r="G2360" t="s">
        <v>134</v>
      </c>
      <c r="H2360" t="s">
        <v>66</v>
      </c>
      <c r="I2360" t="s">
        <v>43</v>
      </c>
      <c r="J2360">
        <v>137</v>
      </c>
      <c r="K2360">
        <v>19</v>
      </c>
      <c r="L2360">
        <v>10</v>
      </c>
      <c r="M2360">
        <v>11</v>
      </c>
      <c r="N2360">
        <v>4960</v>
      </c>
      <c r="O2360">
        <v>210</v>
      </c>
      <c r="P2360">
        <v>0</v>
      </c>
      <c r="Q2360" t="s">
        <v>44</v>
      </c>
      <c r="R2360" t="s">
        <v>44</v>
      </c>
      <c r="S2360" t="s">
        <v>44</v>
      </c>
      <c r="T2360">
        <v>24</v>
      </c>
      <c r="U2360" t="s">
        <v>44</v>
      </c>
      <c r="V2360">
        <v>1328</v>
      </c>
      <c r="W2360" t="s">
        <v>44</v>
      </c>
      <c r="X2360" t="s">
        <v>44</v>
      </c>
      <c r="Y2360">
        <v>1328</v>
      </c>
      <c r="Z2360" t="s">
        <v>44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 s="2">
        <v>1538</v>
      </c>
      <c r="AQ2360">
        <f t="shared" si="82"/>
        <v>1538</v>
      </c>
      <c r="AR2360" s="5">
        <f>VLOOKUP(F2360,'[2]SCP_24-25'!$A:$D,4,0)</f>
        <v>27.66</v>
      </c>
      <c r="AS2360" s="5">
        <f t="shared" si="81"/>
        <v>42541.08</v>
      </c>
    </row>
    <row r="2361" spans="1:45" x14ac:dyDescent="0.3">
      <c r="A2361" s="1">
        <v>45900.965277777781</v>
      </c>
      <c r="B2361" t="s">
        <v>1499</v>
      </c>
      <c r="C2361" t="s">
        <v>1500</v>
      </c>
      <c r="D2361" t="s">
        <v>161</v>
      </c>
      <c r="F2361" t="s">
        <v>1558</v>
      </c>
      <c r="G2361" t="s">
        <v>162</v>
      </c>
      <c r="H2361" t="s">
        <v>66</v>
      </c>
      <c r="I2361" t="s">
        <v>43</v>
      </c>
      <c r="J2361">
        <v>92.53</v>
      </c>
      <c r="K2361">
        <v>19</v>
      </c>
      <c r="L2361">
        <v>9.5</v>
      </c>
      <c r="M2361">
        <v>11</v>
      </c>
      <c r="N2361">
        <v>4684</v>
      </c>
      <c r="O2361">
        <v>72</v>
      </c>
      <c r="P2361">
        <v>0</v>
      </c>
      <c r="Q2361" t="s">
        <v>44</v>
      </c>
      <c r="R2361" t="s">
        <v>44</v>
      </c>
      <c r="S2361" t="s">
        <v>44</v>
      </c>
      <c r="T2361">
        <v>39</v>
      </c>
      <c r="U2361" t="s">
        <v>44</v>
      </c>
      <c r="V2361">
        <v>1939</v>
      </c>
      <c r="W2361" t="s">
        <v>44</v>
      </c>
      <c r="X2361" t="s">
        <v>44</v>
      </c>
      <c r="Y2361">
        <v>1939</v>
      </c>
      <c r="Z2361" t="s">
        <v>44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 s="2">
        <v>2011</v>
      </c>
      <c r="AQ2361">
        <f t="shared" si="82"/>
        <v>2011</v>
      </c>
      <c r="AR2361" s="5">
        <f>VLOOKUP(F2361,'[2]SCP_24-25'!$A:$D,4,0)</f>
        <v>41.87</v>
      </c>
      <c r="AS2361" s="5">
        <f t="shared" si="81"/>
        <v>84200.569999999992</v>
      </c>
    </row>
    <row r="2362" spans="1:45" x14ac:dyDescent="0.3">
      <c r="A2362" s="1">
        <v>45900.965277777781</v>
      </c>
      <c r="B2362" t="s">
        <v>1499</v>
      </c>
      <c r="C2362" t="s">
        <v>1500</v>
      </c>
      <c r="D2362" t="s">
        <v>163</v>
      </c>
      <c r="F2362" t="s">
        <v>1559</v>
      </c>
      <c r="G2362" t="s">
        <v>164</v>
      </c>
      <c r="H2362" t="s">
        <v>66</v>
      </c>
      <c r="I2362" t="s">
        <v>43</v>
      </c>
      <c r="J2362">
        <v>75.400000000000006</v>
      </c>
      <c r="K2362">
        <v>19</v>
      </c>
      <c r="L2362">
        <v>11</v>
      </c>
      <c r="M2362">
        <v>9.5</v>
      </c>
      <c r="N2362">
        <v>2016</v>
      </c>
      <c r="O2362">
        <v>0</v>
      </c>
      <c r="P2362">
        <v>0</v>
      </c>
      <c r="Q2362" t="s">
        <v>44</v>
      </c>
      <c r="R2362" t="s">
        <v>44</v>
      </c>
      <c r="S2362" t="s">
        <v>44</v>
      </c>
      <c r="T2362">
        <v>534</v>
      </c>
      <c r="U2362" t="s">
        <v>44</v>
      </c>
      <c r="V2362">
        <v>1019</v>
      </c>
      <c r="W2362" t="s">
        <v>44</v>
      </c>
      <c r="X2362" t="s">
        <v>44</v>
      </c>
      <c r="Y2362">
        <v>1019</v>
      </c>
      <c r="Z2362" t="s">
        <v>44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 s="2">
        <v>1019</v>
      </c>
      <c r="AQ2362">
        <f t="shared" si="82"/>
        <v>1019</v>
      </c>
      <c r="AR2362" s="5">
        <f>VLOOKUP(F2362,'[2]SCP_24-25'!$A:$D,4,0)</f>
        <v>63.65</v>
      </c>
      <c r="AS2362" s="5">
        <f t="shared" si="81"/>
        <v>64859.35</v>
      </c>
    </row>
    <row r="2363" spans="1:45" x14ac:dyDescent="0.3">
      <c r="A2363" s="1">
        <v>45900.965277777781</v>
      </c>
      <c r="B2363" t="s">
        <v>1499</v>
      </c>
      <c r="C2363" t="s">
        <v>1500</v>
      </c>
      <c r="D2363" t="s">
        <v>169</v>
      </c>
      <c r="F2363" t="s">
        <v>1562</v>
      </c>
      <c r="G2363" t="s">
        <v>170</v>
      </c>
      <c r="H2363" t="s">
        <v>66</v>
      </c>
      <c r="I2363" t="s">
        <v>43</v>
      </c>
      <c r="J2363">
        <v>89.29</v>
      </c>
      <c r="K2363">
        <v>19</v>
      </c>
      <c r="L2363">
        <v>11</v>
      </c>
      <c r="M2363">
        <v>9.5</v>
      </c>
      <c r="N2363">
        <v>2220</v>
      </c>
      <c r="O2363">
        <v>24</v>
      </c>
      <c r="P2363">
        <v>0</v>
      </c>
      <c r="Q2363" t="s">
        <v>44</v>
      </c>
      <c r="R2363" t="s">
        <v>44</v>
      </c>
      <c r="S2363" t="s">
        <v>44</v>
      </c>
      <c r="T2363">
        <v>18</v>
      </c>
      <c r="U2363" t="s">
        <v>44</v>
      </c>
      <c r="V2363">
        <v>2034</v>
      </c>
      <c r="W2363" t="s">
        <v>44</v>
      </c>
      <c r="X2363" t="s">
        <v>44</v>
      </c>
      <c r="Y2363">
        <v>2034</v>
      </c>
      <c r="Z2363" t="s">
        <v>44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 s="2">
        <v>2058</v>
      </c>
      <c r="AQ2363">
        <f t="shared" si="82"/>
        <v>2058</v>
      </c>
      <c r="AR2363" s="5">
        <f>VLOOKUP(F2363,'[2]SCP_24-25'!$A:$D,4,0)</f>
        <v>121.49</v>
      </c>
      <c r="AS2363" s="5">
        <f t="shared" si="81"/>
        <v>250026.41999999998</v>
      </c>
    </row>
    <row r="2364" spans="1:45" x14ac:dyDescent="0.3">
      <c r="A2364" s="1">
        <v>45900.965277777781</v>
      </c>
      <c r="B2364" t="s">
        <v>1499</v>
      </c>
      <c r="C2364" t="s">
        <v>1500</v>
      </c>
      <c r="D2364" t="s">
        <v>173</v>
      </c>
      <c r="F2364" t="s">
        <v>1564</v>
      </c>
      <c r="G2364" t="s">
        <v>174</v>
      </c>
      <c r="H2364" t="s">
        <v>66</v>
      </c>
      <c r="I2364" t="s">
        <v>43</v>
      </c>
      <c r="J2364">
        <v>101</v>
      </c>
      <c r="K2364">
        <v>19</v>
      </c>
      <c r="L2364">
        <v>9.5</v>
      </c>
      <c r="M2364">
        <v>11</v>
      </c>
      <c r="N2364">
        <v>6049</v>
      </c>
      <c r="O2364">
        <v>42</v>
      </c>
      <c r="P2364">
        <v>0</v>
      </c>
      <c r="Q2364" t="s">
        <v>44</v>
      </c>
      <c r="R2364" t="s">
        <v>44</v>
      </c>
      <c r="S2364" t="s">
        <v>44</v>
      </c>
      <c r="T2364">
        <v>36</v>
      </c>
      <c r="U2364" t="s">
        <v>44</v>
      </c>
      <c r="V2364">
        <v>1274</v>
      </c>
      <c r="W2364" t="s">
        <v>44</v>
      </c>
      <c r="X2364" t="s">
        <v>44</v>
      </c>
      <c r="Y2364">
        <v>1274</v>
      </c>
      <c r="Z2364" t="s">
        <v>44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 s="2">
        <v>1316</v>
      </c>
      <c r="AQ2364">
        <f t="shared" si="82"/>
        <v>1316</v>
      </c>
      <c r="AR2364" s="5">
        <f>VLOOKUP(F2364,'[2]SCP_24-25'!$A:$D,4,0)</f>
        <v>51.353999999999999</v>
      </c>
      <c r="AS2364" s="5">
        <f t="shared" si="81"/>
        <v>67581.864000000001</v>
      </c>
    </row>
    <row r="2365" spans="1:45" x14ac:dyDescent="0.3">
      <c r="A2365" s="1">
        <v>45900.965277777781</v>
      </c>
      <c r="B2365" t="s">
        <v>1499</v>
      </c>
      <c r="C2365" t="s">
        <v>1500</v>
      </c>
      <c r="D2365" t="s">
        <v>181</v>
      </c>
      <c r="F2365" t="s">
        <v>1568</v>
      </c>
      <c r="G2365" t="s">
        <v>182</v>
      </c>
      <c r="H2365" t="s">
        <v>66</v>
      </c>
      <c r="I2365" t="s">
        <v>43</v>
      </c>
      <c r="J2365">
        <v>206</v>
      </c>
      <c r="K2365">
        <v>19</v>
      </c>
      <c r="L2365">
        <v>9.5</v>
      </c>
      <c r="M2365">
        <v>11</v>
      </c>
      <c r="N2365">
        <v>1617</v>
      </c>
      <c r="O2365">
        <v>0</v>
      </c>
      <c r="P2365">
        <v>0</v>
      </c>
      <c r="Q2365" t="s">
        <v>44</v>
      </c>
      <c r="R2365" t="s">
        <v>44</v>
      </c>
      <c r="S2365" t="s">
        <v>44</v>
      </c>
      <c r="T2365" t="s">
        <v>44</v>
      </c>
      <c r="U2365" t="s">
        <v>44</v>
      </c>
      <c r="V2365">
        <v>1128</v>
      </c>
      <c r="W2365" t="s">
        <v>44</v>
      </c>
      <c r="X2365" t="s">
        <v>44</v>
      </c>
      <c r="Y2365">
        <v>1128</v>
      </c>
      <c r="Z2365" t="s">
        <v>44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 s="2">
        <v>1128</v>
      </c>
      <c r="AQ2365">
        <f t="shared" si="82"/>
        <v>1128</v>
      </c>
      <c r="AR2365" s="5">
        <f>VLOOKUP(F2365,'[2]SCP_24-25'!$A:$D,4,0)</f>
        <v>61.72</v>
      </c>
      <c r="AS2365" s="5">
        <f t="shared" si="81"/>
        <v>69620.160000000003</v>
      </c>
    </row>
    <row r="2366" spans="1:45" x14ac:dyDescent="0.3">
      <c r="A2366" s="1">
        <v>45900.965277777781</v>
      </c>
      <c r="B2366" t="s">
        <v>1499</v>
      </c>
      <c r="C2366" t="s">
        <v>1500</v>
      </c>
      <c r="D2366" t="s">
        <v>203</v>
      </c>
      <c r="F2366" t="s">
        <v>1578</v>
      </c>
      <c r="G2366" t="s">
        <v>204</v>
      </c>
      <c r="H2366" t="s">
        <v>66</v>
      </c>
      <c r="I2366" t="s">
        <v>43</v>
      </c>
      <c r="J2366">
        <v>37</v>
      </c>
      <c r="K2366">
        <v>19</v>
      </c>
      <c r="L2366">
        <v>9.5</v>
      </c>
      <c r="M2366">
        <v>11</v>
      </c>
      <c r="N2366">
        <v>17191</v>
      </c>
      <c r="O2366">
        <v>0</v>
      </c>
      <c r="P2366">
        <v>0</v>
      </c>
      <c r="Q2366" t="s">
        <v>44</v>
      </c>
      <c r="R2366" t="s">
        <v>44</v>
      </c>
      <c r="S2366" t="s">
        <v>44</v>
      </c>
      <c r="T2366" t="s">
        <v>44</v>
      </c>
      <c r="U2366" t="s">
        <v>44</v>
      </c>
      <c r="V2366">
        <v>1643</v>
      </c>
      <c r="W2366" t="s">
        <v>44</v>
      </c>
      <c r="X2366" t="s">
        <v>44</v>
      </c>
      <c r="Y2366">
        <v>1643</v>
      </c>
      <c r="Z2366" t="s">
        <v>44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 s="2">
        <v>1643</v>
      </c>
      <c r="AQ2366">
        <f t="shared" si="82"/>
        <v>1643</v>
      </c>
      <c r="AR2366" s="5">
        <f>VLOOKUP(F2366,'[2]SCP_24-25'!$A:$D,4,0)</f>
        <v>19.899999999999999</v>
      </c>
      <c r="AS2366" s="5">
        <f t="shared" si="81"/>
        <v>32695.699999999997</v>
      </c>
    </row>
    <row r="2367" spans="1:45" x14ac:dyDescent="0.3">
      <c r="A2367" s="1">
        <v>45900.965277777781</v>
      </c>
      <c r="B2367" t="s">
        <v>1499</v>
      </c>
      <c r="C2367" t="s">
        <v>1500</v>
      </c>
      <c r="D2367" t="s">
        <v>216</v>
      </c>
      <c r="F2367" t="s">
        <v>1583</v>
      </c>
      <c r="G2367" t="s">
        <v>217</v>
      </c>
      <c r="H2367" t="s">
        <v>66</v>
      </c>
      <c r="I2367" t="s">
        <v>43</v>
      </c>
      <c r="J2367">
        <v>205</v>
      </c>
      <c r="K2367">
        <v>19</v>
      </c>
      <c r="L2367">
        <v>10</v>
      </c>
      <c r="M2367">
        <v>11</v>
      </c>
      <c r="N2367">
        <v>5281</v>
      </c>
      <c r="O2367">
        <v>30</v>
      </c>
      <c r="P2367">
        <v>0</v>
      </c>
      <c r="Q2367">
        <v>1</v>
      </c>
      <c r="R2367" t="s">
        <v>44</v>
      </c>
      <c r="S2367" t="s">
        <v>44</v>
      </c>
      <c r="T2367">
        <v>12</v>
      </c>
      <c r="U2367" t="s">
        <v>44</v>
      </c>
      <c r="V2367">
        <v>1532</v>
      </c>
      <c r="W2367" t="s">
        <v>44</v>
      </c>
      <c r="X2367" t="s">
        <v>44</v>
      </c>
      <c r="Y2367">
        <v>1532</v>
      </c>
      <c r="Z2367" t="s">
        <v>44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 s="2">
        <v>1562</v>
      </c>
      <c r="AQ2367">
        <f t="shared" si="82"/>
        <v>1562</v>
      </c>
      <c r="AR2367" s="5">
        <f>VLOOKUP(F2367,'[2]SCP_24-25'!$A:$D,4,0)</f>
        <v>61.48</v>
      </c>
      <c r="AS2367" s="5">
        <f t="shared" si="81"/>
        <v>96031.76</v>
      </c>
    </row>
    <row r="2368" spans="1:45" x14ac:dyDescent="0.3">
      <c r="A2368" s="1">
        <v>45900.965277777781</v>
      </c>
      <c r="B2368" t="s">
        <v>1499</v>
      </c>
      <c r="C2368" t="s">
        <v>1500</v>
      </c>
      <c r="D2368" t="s">
        <v>239</v>
      </c>
      <c r="E2368" t="s">
        <v>240</v>
      </c>
      <c r="F2368" t="s">
        <v>1594</v>
      </c>
      <c r="G2368" t="s">
        <v>241</v>
      </c>
      <c r="H2368" t="s">
        <v>66</v>
      </c>
      <c r="I2368" t="s">
        <v>43</v>
      </c>
      <c r="J2368">
        <v>35</v>
      </c>
      <c r="K2368">
        <v>19</v>
      </c>
      <c r="L2368">
        <v>11</v>
      </c>
      <c r="M2368">
        <v>9.5</v>
      </c>
      <c r="N2368">
        <v>1800</v>
      </c>
      <c r="O2368">
        <v>0</v>
      </c>
      <c r="P2368">
        <v>0</v>
      </c>
      <c r="Q2368" t="s">
        <v>44</v>
      </c>
      <c r="R2368" t="s">
        <v>44</v>
      </c>
      <c r="S2368" t="s">
        <v>44</v>
      </c>
      <c r="T2368" t="s">
        <v>44</v>
      </c>
      <c r="U2368" t="s">
        <v>44</v>
      </c>
      <c r="V2368">
        <v>1338</v>
      </c>
      <c r="W2368" t="s">
        <v>44</v>
      </c>
      <c r="X2368" t="s">
        <v>44</v>
      </c>
      <c r="Y2368">
        <v>1338</v>
      </c>
      <c r="Z2368" t="s">
        <v>44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 s="2">
        <v>1338</v>
      </c>
      <c r="AQ2368">
        <f t="shared" si="82"/>
        <v>1338</v>
      </c>
      <c r="AR2368" s="5">
        <f>VLOOKUP(F2368,'[2]SCP_24-25'!$A:$D,4,0)</f>
        <v>31.31</v>
      </c>
      <c r="AS2368" s="5">
        <f t="shared" si="81"/>
        <v>41892.78</v>
      </c>
    </row>
    <row r="2369" spans="1:45" x14ac:dyDescent="0.3">
      <c r="A2369" s="1">
        <v>45900.965277777781</v>
      </c>
      <c r="B2369" t="s">
        <v>1499</v>
      </c>
      <c r="C2369" t="s">
        <v>1500</v>
      </c>
      <c r="D2369" t="s">
        <v>248</v>
      </c>
      <c r="E2369" t="s">
        <v>249</v>
      </c>
      <c r="F2369" t="s">
        <v>1597</v>
      </c>
      <c r="G2369" t="s">
        <v>250</v>
      </c>
      <c r="H2369" t="s">
        <v>66</v>
      </c>
      <c r="I2369" t="s">
        <v>43</v>
      </c>
      <c r="J2369">
        <v>35</v>
      </c>
      <c r="K2369">
        <v>19</v>
      </c>
      <c r="L2369">
        <v>11</v>
      </c>
      <c r="M2369">
        <v>9.5</v>
      </c>
      <c r="N2369">
        <v>1600</v>
      </c>
      <c r="O2369">
        <v>0</v>
      </c>
      <c r="P2369">
        <v>0</v>
      </c>
      <c r="Q2369" t="s">
        <v>44</v>
      </c>
      <c r="R2369" t="s">
        <v>44</v>
      </c>
      <c r="S2369" t="s">
        <v>44</v>
      </c>
      <c r="T2369" t="s">
        <v>44</v>
      </c>
      <c r="U2369" t="s">
        <v>44</v>
      </c>
      <c r="V2369">
        <v>1368</v>
      </c>
      <c r="W2369" t="s">
        <v>44</v>
      </c>
      <c r="X2369" t="s">
        <v>44</v>
      </c>
      <c r="Y2369">
        <v>1368</v>
      </c>
      <c r="Z2369" t="s">
        <v>44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 s="2">
        <v>1368</v>
      </c>
      <c r="AQ2369">
        <f t="shared" si="82"/>
        <v>1368</v>
      </c>
      <c r="AR2369" s="5">
        <f>VLOOKUP(F2369,'[2]SCP_24-25'!$A:$D,4,0)</f>
        <v>26.914999999999996</v>
      </c>
      <c r="AS2369" s="5">
        <f t="shared" si="81"/>
        <v>36819.719999999994</v>
      </c>
    </row>
    <row r="2370" spans="1:45" x14ac:dyDescent="0.3">
      <c r="A2370" s="1">
        <v>45900.965277777781</v>
      </c>
      <c r="B2370" t="s">
        <v>1499</v>
      </c>
      <c r="C2370" t="s">
        <v>1500</v>
      </c>
      <c r="D2370" t="s">
        <v>254</v>
      </c>
      <c r="E2370" t="s">
        <v>255</v>
      </c>
      <c r="F2370" t="s">
        <v>1599</v>
      </c>
      <c r="G2370" t="s">
        <v>256</v>
      </c>
      <c r="H2370" t="s">
        <v>66</v>
      </c>
      <c r="I2370" t="s">
        <v>43</v>
      </c>
      <c r="J2370">
        <v>59.02</v>
      </c>
      <c r="K2370">
        <v>19</v>
      </c>
      <c r="L2370">
        <v>11</v>
      </c>
      <c r="M2370">
        <v>9.5</v>
      </c>
      <c r="N2370">
        <v>5537</v>
      </c>
      <c r="O2370">
        <v>0</v>
      </c>
      <c r="P2370">
        <v>0</v>
      </c>
      <c r="Q2370" t="s">
        <v>44</v>
      </c>
      <c r="R2370" t="s">
        <v>44</v>
      </c>
      <c r="S2370" t="s">
        <v>44</v>
      </c>
      <c r="T2370">
        <v>6</v>
      </c>
      <c r="U2370" t="s">
        <v>44</v>
      </c>
      <c r="V2370">
        <v>1840</v>
      </c>
      <c r="W2370" t="s">
        <v>44</v>
      </c>
      <c r="X2370" t="s">
        <v>44</v>
      </c>
      <c r="Y2370">
        <v>1840</v>
      </c>
      <c r="Z2370" t="s">
        <v>44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 s="2">
        <v>1840</v>
      </c>
      <c r="AQ2370">
        <f t="shared" si="82"/>
        <v>1840</v>
      </c>
      <c r="AR2370" s="5">
        <f>VLOOKUP(F2370,'[2]SCP_24-25'!$A:$D,4,0)</f>
        <v>112.63</v>
      </c>
      <c r="AS2370" s="5">
        <f t="shared" si="81"/>
        <v>207239.19999999998</v>
      </c>
    </row>
    <row r="2371" spans="1:45" x14ac:dyDescent="0.3">
      <c r="A2371" s="1">
        <v>45900.965277777781</v>
      </c>
      <c r="B2371" t="s">
        <v>1499</v>
      </c>
      <c r="C2371" t="s">
        <v>1500</v>
      </c>
      <c r="D2371" t="s">
        <v>263</v>
      </c>
      <c r="E2371" t="s">
        <v>264</v>
      </c>
      <c r="F2371" t="s">
        <v>1602</v>
      </c>
      <c r="G2371" t="s">
        <v>265</v>
      </c>
      <c r="H2371" t="s">
        <v>66</v>
      </c>
      <c r="I2371" t="s">
        <v>43</v>
      </c>
      <c r="J2371">
        <v>150</v>
      </c>
      <c r="K2371">
        <v>19</v>
      </c>
      <c r="L2371">
        <v>11</v>
      </c>
      <c r="M2371">
        <v>9.5</v>
      </c>
      <c r="N2371">
        <v>3781</v>
      </c>
      <c r="O2371">
        <v>48</v>
      </c>
      <c r="P2371">
        <v>0</v>
      </c>
      <c r="Q2371">
        <v>9</v>
      </c>
      <c r="R2371" t="s">
        <v>44</v>
      </c>
      <c r="S2371" t="s">
        <v>44</v>
      </c>
      <c r="T2371">
        <v>18</v>
      </c>
      <c r="U2371" t="s">
        <v>44</v>
      </c>
      <c r="V2371">
        <v>1935</v>
      </c>
      <c r="W2371" t="s">
        <v>44</v>
      </c>
      <c r="X2371" t="s">
        <v>44</v>
      </c>
      <c r="Y2371">
        <v>1935</v>
      </c>
      <c r="Z2371" t="s">
        <v>44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 s="2">
        <v>1983</v>
      </c>
      <c r="AQ2371">
        <f t="shared" si="82"/>
        <v>1983</v>
      </c>
      <c r="AR2371" s="5">
        <f>VLOOKUP(F2371,'[2]SCP_24-25'!$A:$D,4,0)</f>
        <v>31.706666666666667</v>
      </c>
      <c r="AS2371" s="5">
        <f t="shared" ref="AS2371:AS2434" si="83">AQ2371*AR2371</f>
        <v>62874.32</v>
      </c>
    </row>
    <row r="2372" spans="1:45" x14ac:dyDescent="0.3">
      <c r="A2372" s="1">
        <v>45900.965277777781</v>
      </c>
      <c r="B2372" t="s">
        <v>1499</v>
      </c>
      <c r="C2372" t="s">
        <v>1500</v>
      </c>
      <c r="D2372" t="s">
        <v>266</v>
      </c>
      <c r="E2372" t="s">
        <v>267</v>
      </c>
      <c r="F2372" t="s">
        <v>1603</v>
      </c>
      <c r="G2372" t="s">
        <v>268</v>
      </c>
      <c r="H2372" t="s">
        <v>66</v>
      </c>
      <c r="I2372" t="s">
        <v>43</v>
      </c>
      <c r="J2372">
        <v>120</v>
      </c>
      <c r="K2372">
        <v>19</v>
      </c>
      <c r="L2372">
        <v>11</v>
      </c>
      <c r="M2372">
        <v>9.5</v>
      </c>
      <c r="N2372">
        <v>2850</v>
      </c>
      <c r="O2372">
        <v>8</v>
      </c>
      <c r="P2372">
        <v>0</v>
      </c>
      <c r="Q2372" t="s">
        <v>44</v>
      </c>
      <c r="R2372" t="s">
        <v>44</v>
      </c>
      <c r="S2372" t="s">
        <v>44</v>
      </c>
      <c r="T2372">
        <v>36</v>
      </c>
      <c r="U2372" t="s">
        <v>44</v>
      </c>
      <c r="V2372">
        <v>1463</v>
      </c>
      <c r="W2372" t="s">
        <v>44</v>
      </c>
      <c r="X2372" t="s">
        <v>44</v>
      </c>
      <c r="Y2372">
        <v>1463</v>
      </c>
      <c r="Z2372" t="s">
        <v>44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 s="2">
        <v>1471</v>
      </c>
      <c r="AQ2372">
        <f t="shared" si="82"/>
        <v>1471</v>
      </c>
      <c r="AR2372" s="5">
        <f>VLOOKUP(F2372,'[2]SCP_24-25'!$A:$D,4,0)</f>
        <v>43.71</v>
      </c>
      <c r="AS2372" s="5">
        <f t="shared" si="83"/>
        <v>64297.41</v>
      </c>
    </row>
    <row r="2373" spans="1:45" x14ac:dyDescent="0.3">
      <c r="A2373" s="1">
        <v>45900.965277777781</v>
      </c>
      <c r="B2373" t="s">
        <v>1499</v>
      </c>
      <c r="C2373" t="s">
        <v>1500</v>
      </c>
      <c r="D2373" t="s">
        <v>283</v>
      </c>
      <c r="E2373" t="s">
        <v>284</v>
      </c>
      <c r="F2373" t="s">
        <v>1609</v>
      </c>
      <c r="G2373" t="s">
        <v>285</v>
      </c>
      <c r="H2373" t="s">
        <v>103</v>
      </c>
      <c r="I2373" t="s">
        <v>43</v>
      </c>
      <c r="J2373">
        <v>120</v>
      </c>
      <c r="K2373">
        <v>19</v>
      </c>
      <c r="L2373">
        <v>9.5</v>
      </c>
      <c r="M2373">
        <v>11</v>
      </c>
      <c r="N2373">
        <v>2958</v>
      </c>
      <c r="O2373">
        <v>0</v>
      </c>
      <c r="P2373">
        <v>0</v>
      </c>
      <c r="Q2373" t="s">
        <v>44</v>
      </c>
      <c r="R2373" t="s">
        <v>44</v>
      </c>
      <c r="S2373" t="s">
        <v>44</v>
      </c>
      <c r="T2373">
        <v>36</v>
      </c>
      <c r="U2373" t="s">
        <v>44</v>
      </c>
      <c r="V2373">
        <v>1023</v>
      </c>
      <c r="W2373" t="s">
        <v>44</v>
      </c>
      <c r="X2373" t="s">
        <v>44</v>
      </c>
      <c r="Y2373">
        <v>1023</v>
      </c>
      <c r="Z2373" t="s">
        <v>44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 s="2">
        <v>1023</v>
      </c>
      <c r="AQ2373">
        <f t="shared" si="82"/>
        <v>1023</v>
      </c>
      <c r="AR2373" s="5">
        <f>VLOOKUP(F2373,'[2]SCP_24-25'!$A:$D,4,0)</f>
        <v>113.26</v>
      </c>
      <c r="AS2373" s="5">
        <f t="shared" si="83"/>
        <v>115864.98000000001</v>
      </c>
    </row>
    <row r="2374" spans="1:45" x14ac:dyDescent="0.3">
      <c r="A2374" s="1">
        <v>45900.965277777781</v>
      </c>
      <c r="B2374" t="s">
        <v>1499</v>
      </c>
      <c r="C2374" t="s">
        <v>1500</v>
      </c>
      <c r="D2374" t="s">
        <v>295</v>
      </c>
      <c r="F2374" t="s">
        <v>1613</v>
      </c>
      <c r="G2374" t="s">
        <v>296</v>
      </c>
      <c r="H2374" t="s">
        <v>103</v>
      </c>
      <c r="I2374" t="s">
        <v>43</v>
      </c>
      <c r="J2374">
        <v>150</v>
      </c>
      <c r="K2374">
        <v>19</v>
      </c>
      <c r="L2374">
        <v>9.5</v>
      </c>
      <c r="M2374">
        <v>11</v>
      </c>
      <c r="N2374">
        <v>2472</v>
      </c>
      <c r="O2374">
        <v>0</v>
      </c>
      <c r="P2374">
        <v>0</v>
      </c>
      <c r="Q2374" t="s">
        <v>44</v>
      </c>
      <c r="R2374" t="s">
        <v>44</v>
      </c>
      <c r="S2374" t="s">
        <v>44</v>
      </c>
      <c r="T2374" t="s">
        <v>44</v>
      </c>
      <c r="U2374" t="s">
        <v>44</v>
      </c>
      <c r="V2374">
        <v>1710</v>
      </c>
      <c r="W2374" t="s">
        <v>44</v>
      </c>
      <c r="X2374" t="s">
        <v>44</v>
      </c>
      <c r="Y2374">
        <v>1710</v>
      </c>
      <c r="Z2374" t="s">
        <v>44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 s="2">
        <v>1710</v>
      </c>
      <c r="AQ2374">
        <f t="shared" si="82"/>
        <v>1710</v>
      </c>
      <c r="AR2374" s="5">
        <f>VLOOKUP(F2374,'[2]SCP_24-25'!$A:$D,4,0)</f>
        <v>45.01</v>
      </c>
      <c r="AS2374" s="5">
        <f t="shared" si="83"/>
        <v>76967.099999999991</v>
      </c>
    </row>
    <row r="2375" spans="1:45" x14ac:dyDescent="0.3">
      <c r="A2375" s="1">
        <v>45900.965277777781</v>
      </c>
      <c r="B2375" t="s">
        <v>1499</v>
      </c>
      <c r="C2375" t="s">
        <v>1500</v>
      </c>
      <c r="D2375" t="s">
        <v>299</v>
      </c>
      <c r="F2375" t="s">
        <v>1615</v>
      </c>
      <c r="G2375" t="s">
        <v>300</v>
      </c>
      <c r="H2375" t="s">
        <v>66</v>
      </c>
      <c r="I2375" t="s">
        <v>43</v>
      </c>
      <c r="J2375">
        <v>30</v>
      </c>
      <c r="K2375">
        <v>19</v>
      </c>
      <c r="L2375">
        <v>9.5</v>
      </c>
      <c r="M2375">
        <v>11</v>
      </c>
      <c r="N2375">
        <v>1351</v>
      </c>
      <c r="O2375">
        <v>0</v>
      </c>
      <c r="P2375">
        <v>0</v>
      </c>
      <c r="Q2375" t="s">
        <v>44</v>
      </c>
      <c r="R2375" t="s">
        <v>44</v>
      </c>
      <c r="S2375" t="s">
        <v>44</v>
      </c>
      <c r="T2375" t="s">
        <v>44</v>
      </c>
      <c r="U2375" t="s">
        <v>44</v>
      </c>
      <c r="V2375">
        <v>1027</v>
      </c>
      <c r="W2375" t="s">
        <v>44</v>
      </c>
      <c r="X2375" t="s">
        <v>44</v>
      </c>
      <c r="Y2375">
        <v>1027</v>
      </c>
      <c r="Z2375" t="s">
        <v>44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 s="2">
        <v>1027</v>
      </c>
      <c r="AQ2375">
        <f t="shared" si="82"/>
        <v>1027</v>
      </c>
      <c r="AR2375" s="5">
        <f>VLOOKUP(F2375,'[2]SCP_24-25'!$A:$D,4,0)</f>
        <v>25.930000000000003</v>
      </c>
      <c r="AS2375" s="5">
        <f t="shared" si="83"/>
        <v>26630.110000000004</v>
      </c>
    </row>
    <row r="2376" spans="1:45" x14ac:dyDescent="0.3">
      <c r="A2376" s="1">
        <v>45900.965277777781</v>
      </c>
      <c r="B2376" t="s">
        <v>1499</v>
      </c>
      <c r="C2376" t="s">
        <v>1500</v>
      </c>
      <c r="D2376" t="s">
        <v>308</v>
      </c>
      <c r="E2376" t="s">
        <v>309</v>
      </c>
      <c r="F2376" t="s">
        <v>1619</v>
      </c>
      <c r="G2376" t="s">
        <v>310</v>
      </c>
      <c r="H2376" t="s">
        <v>66</v>
      </c>
      <c r="I2376" t="s">
        <v>43</v>
      </c>
      <c r="J2376">
        <v>120</v>
      </c>
      <c r="K2376">
        <v>19</v>
      </c>
      <c r="L2376">
        <v>11</v>
      </c>
      <c r="M2376">
        <v>9.5</v>
      </c>
      <c r="N2376">
        <v>3552</v>
      </c>
      <c r="O2376">
        <v>6</v>
      </c>
      <c r="P2376">
        <v>0</v>
      </c>
      <c r="Q2376">
        <v>13</v>
      </c>
      <c r="R2376" t="s">
        <v>44</v>
      </c>
      <c r="S2376" t="s">
        <v>44</v>
      </c>
      <c r="T2376">
        <v>66</v>
      </c>
      <c r="U2376" t="s">
        <v>44</v>
      </c>
      <c r="V2376">
        <v>1486</v>
      </c>
      <c r="W2376" t="s">
        <v>44</v>
      </c>
      <c r="X2376" t="s">
        <v>44</v>
      </c>
      <c r="Y2376">
        <v>1486</v>
      </c>
      <c r="Z2376" t="s">
        <v>44</v>
      </c>
      <c r="AA2376">
        <v>24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 s="2">
        <v>1516</v>
      </c>
      <c r="AQ2376">
        <f t="shared" si="82"/>
        <v>1516</v>
      </c>
      <c r="AR2376" s="5">
        <f>VLOOKUP(F2376,'[2]SCP_24-25'!$A:$D,4,0)</f>
        <v>43.38</v>
      </c>
      <c r="AS2376" s="5">
        <f t="shared" si="83"/>
        <v>65764.08</v>
      </c>
    </row>
    <row r="2377" spans="1:45" x14ac:dyDescent="0.3">
      <c r="A2377" s="1">
        <v>45900.965277777781</v>
      </c>
      <c r="B2377" t="s">
        <v>1499</v>
      </c>
      <c r="C2377" t="s">
        <v>1500</v>
      </c>
      <c r="D2377" t="s">
        <v>777</v>
      </c>
      <c r="E2377" t="s">
        <v>778</v>
      </c>
      <c r="F2377" t="s">
        <v>1841</v>
      </c>
      <c r="G2377" t="s">
        <v>779</v>
      </c>
      <c r="H2377" t="s">
        <v>66</v>
      </c>
      <c r="I2377" t="s">
        <v>43</v>
      </c>
      <c r="J2377">
        <v>50</v>
      </c>
      <c r="K2377">
        <v>19</v>
      </c>
      <c r="L2377">
        <v>11</v>
      </c>
      <c r="M2377">
        <v>9.5</v>
      </c>
      <c r="N2377">
        <v>2344</v>
      </c>
      <c r="O2377">
        <v>0</v>
      </c>
      <c r="P2377">
        <v>0</v>
      </c>
      <c r="Q2377" t="s">
        <v>44</v>
      </c>
      <c r="R2377" t="s">
        <v>44</v>
      </c>
      <c r="S2377" t="s">
        <v>44</v>
      </c>
      <c r="T2377" t="s">
        <v>44</v>
      </c>
      <c r="U2377" t="s">
        <v>44</v>
      </c>
      <c r="V2377">
        <v>1530</v>
      </c>
      <c r="W2377" t="s">
        <v>44</v>
      </c>
      <c r="X2377" t="s">
        <v>44</v>
      </c>
      <c r="Y2377">
        <v>1530</v>
      </c>
      <c r="Z2377" t="s">
        <v>44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 s="2">
        <v>1530</v>
      </c>
      <c r="AQ2377">
        <f t="shared" si="82"/>
        <v>1530</v>
      </c>
      <c r="AR2377" s="5">
        <f>VLOOKUP(F2377,'[2]SCP_24-25'!$A:$D,4,0)</f>
        <v>13.06</v>
      </c>
      <c r="AS2377" s="5">
        <f t="shared" si="83"/>
        <v>19981.8</v>
      </c>
    </row>
    <row r="2378" spans="1:45" x14ac:dyDescent="0.3">
      <c r="A2378" s="1">
        <v>45900.965277777781</v>
      </c>
      <c r="B2378" t="s">
        <v>1499</v>
      </c>
      <c r="C2378" t="s">
        <v>1500</v>
      </c>
      <c r="D2378" t="s">
        <v>1302</v>
      </c>
      <c r="E2378" t="s">
        <v>1303</v>
      </c>
      <c r="F2378" t="s">
        <v>2103</v>
      </c>
      <c r="G2378" t="s">
        <v>1304</v>
      </c>
      <c r="H2378" t="s">
        <v>66</v>
      </c>
      <c r="I2378" t="s">
        <v>43</v>
      </c>
      <c r="J2378">
        <v>10</v>
      </c>
      <c r="K2378">
        <v>19</v>
      </c>
      <c r="L2378">
        <v>11</v>
      </c>
      <c r="M2378">
        <v>9.5</v>
      </c>
      <c r="N2378">
        <v>2000</v>
      </c>
      <c r="O2378">
        <v>0</v>
      </c>
      <c r="P2378">
        <v>0</v>
      </c>
      <c r="Q2378" t="s">
        <v>44</v>
      </c>
      <c r="R2378" t="s">
        <v>44</v>
      </c>
      <c r="S2378" t="s">
        <v>44</v>
      </c>
      <c r="T2378" t="s">
        <v>44</v>
      </c>
      <c r="U2378" t="s">
        <v>44</v>
      </c>
      <c r="V2378">
        <v>1718</v>
      </c>
      <c r="W2378" t="s">
        <v>44</v>
      </c>
      <c r="X2378" t="s">
        <v>44</v>
      </c>
      <c r="Y2378">
        <v>1718</v>
      </c>
      <c r="Z2378" t="s">
        <v>44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 s="2">
        <v>1718</v>
      </c>
      <c r="AQ2378">
        <f t="shared" si="82"/>
        <v>1718</v>
      </c>
      <c r="AR2378" s="5">
        <f>VLOOKUP(F2378,'[2]SCP_24-25'!$A:$D,4,0)</f>
        <v>18.22</v>
      </c>
      <c r="AS2378" s="5">
        <f t="shared" si="83"/>
        <v>31301.96</v>
      </c>
    </row>
    <row r="2379" spans="1:45" x14ac:dyDescent="0.3">
      <c r="A2379" s="1">
        <v>45900.965277777781</v>
      </c>
      <c r="B2379" t="s">
        <v>1499</v>
      </c>
      <c r="C2379" t="s">
        <v>1500</v>
      </c>
      <c r="D2379" t="s">
        <v>48</v>
      </c>
      <c r="E2379" t="s">
        <v>49</v>
      </c>
      <c r="F2379" t="s">
        <v>1515</v>
      </c>
      <c r="G2379" t="s">
        <v>50</v>
      </c>
      <c r="H2379" t="s">
        <v>42</v>
      </c>
      <c r="I2379" t="s">
        <v>43</v>
      </c>
      <c r="J2379">
        <v>180</v>
      </c>
      <c r="K2379">
        <v>19</v>
      </c>
      <c r="L2379">
        <v>9.5</v>
      </c>
      <c r="M2379">
        <v>11</v>
      </c>
      <c r="N2379">
        <v>1386</v>
      </c>
      <c r="O2379">
        <v>0</v>
      </c>
      <c r="P2379">
        <v>0</v>
      </c>
      <c r="Q2379" t="s">
        <v>44</v>
      </c>
      <c r="R2379" t="s">
        <v>44</v>
      </c>
      <c r="S2379" t="s">
        <v>44</v>
      </c>
      <c r="T2379" t="s">
        <v>44</v>
      </c>
      <c r="U2379" t="s">
        <v>44</v>
      </c>
      <c r="V2379">
        <v>1345</v>
      </c>
      <c r="W2379" t="s">
        <v>44</v>
      </c>
      <c r="X2379" t="s">
        <v>44</v>
      </c>
      <c r="Y2379">
        <v>1345</v>
      </c>
      <c r="Z2379" t="s">
        <v>44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 s="2">
        <v>1345</v>
      </c>
      <c r="AQ2379">
        <f t="shared" si="82"/>
        <v>1345</v>
      </c>
      <c r="AR2379" s="5">
        <f>VLOOKUP(F2379,'[2]SCP_24-25'!$A:$D,4,0)</f>
        <v>57</v>
      </c>
      <c r="AS2379" s="5">
        <f t="shared" si="83"/>
        <v>76665</v>
      </c>
    </row>
    <row r="2380" spans="1:45" x14ac:dyDescent="0.3">
      <c r="A2380" s="1">
        <v>45900.965277777781</v>
      </c>
      <c r="B2380" t="s">
        <v>1499</v>
      </c>
      <c r="C2380" t="s">
        <v>1500</v>
      </c>
      <c r="D2380" t="s">
        <v>51</v>
      </c>
      <c r="E2380" t="s">
        <v>52</v>
      </c>
      <c r="F2380" t="s">
        <v>1516</v>
      </c>
      <c r="G2380" t="s">
        <v>53</v>
      </c>
      <c r="H2380" t="s">
        <v>42</v>
      </c>
      <c r="I2380" t="s">
        <v>43</v>
      </c>
      <c r="J2380">
        <v>200</v>
      </c>
      <c r="K2380">
        <v>19</v>
      </c>
      <c r="L2380">
        <v>9.5</v>
      </c>
      <c r="M2380">
        <v>11</v>
      </c>
      <c r="N2380">
        <v>2021</v>
      </c>
      <c r="O2380">
        <v>0</v>
      </c>
      <c r="P2380">
        <v>0</v>
      </c>
      <c r="Q2380" t="s">
        <v>44</v>
      </c>
      <c r="R2380" t="s">
        <v>44</v>
      </c>
      <c r="S2380" t="s">
        <v>44</v>
      </c>
      <c r="T2380" t="s">
        <v>44</v>
      </c>
      <c r="U2380" t="s">
        <v>44</v>
      </c>
      <c r="V2380">
        <v>2008</v>
      </c>
      <c r="W2380" t="s">
        <v>44</v>
      </c>
      <c r="X2380" t="s">
        <v>44</v>
      </c>
      <c r="Y2380">
        <v>2008</v>
      </c>
      <c r="Z2380" t="s">
        <v>44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 s="2">
        <v>2008</v>
      </c>
      <c r="AQ2380">
        <f t="shared" si="82"/>
        <v>2008</v>
      </c>
      <c r="AR2380" s="5">
        <f>VLOOKUP(F2380,'[2]SCP_24-25'!$A:$D,4,0)</f>
        <v>106.31</v>
      </c>
      <c r="AS2380" s="5">
        <f t="shared" si="83"/>
        <v>213470.48</v>
      </c>
    </row>
    <row r="2381" spans="1:45" x14ac:dyDescent="0.3">
      <c r="A2381" s="1">
        <v>45900.965277777781</v>
      </c>
      <c r="B2381" t="s">
        <v>1499</v>
      </c>
      <c r="C2381" t="s">
        <v>1500</v>
      </c>
      <c r="D2381" t="s">
        <v>70</v>
      </c>
      <c r="E2381" t="s">
        <v>71</v>
      </c>
      <c r="F2381" t="s">
        <v>1522</v>
      </c>
      <c r="G2381" t="s">
        <v>72</v>
      </c>
      <c r="H2381" t="s">
        <v>66</v>
      </c>
      <c r="I2381" t="s">
        <v>43</v>
      </c>
      <c r="J2381">
        <v>150</v>
      </c>
      <c r="K2381">
        <v>19</v>
      </c>
      <c r="L2381">
        <v>9.5</v>
      </c>
      <c r="M2381">
        <v>11</v>
      </c>
      <c r="N2381">
        <v>2752</v>
      </c>
      <c r="O2381">
        <v>6</v>
      </c>
      <c r="P2381">
        <v>0</v>
      </c>
      <c r="Q2381" t="s">
        <v>44</v>
      </c>
      <c r="R2381" t="s">
        <v>44</v>
      </c>
      <c r="S2381" t="s">
        <v>44</v>
      </c>
      <c r="T2381">
        <v>12</v>
      </c>
      <c r="U2381" t="s">
        <v>44</v>
      </c>
      <c r="V2381">
        <v>1187</v>
      </c>
      <c r="W2381" t="s">
        <v>44</v>
      </c>
      <c r="X2381" t="s">
        <v>44</v>
      </c>
      <c r="Y2381">
        <v>1187</v>
      </c>
      <c r="Z2381" t="s">
        <v>44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6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 s="2">
        <v>1193</v>
      </c>
      <c r="AQ2381">
        <f t="shared" si="82"/>
        <v>1193</v>
      </c>
      <c r="AR2381" s="5">
        <f>VLOOKUP(F2381,'[2]SCP_24-25'!$A:$D,4,0)</f>
        <v>103.36</v>
      </c>
      <c r="AS2381" s="5">
        <f t="shared" si="83"/>
        <v>123308.48</v>
      </c>
    </row>
    <row r="2382" spans="1:45" x14ac:dyDescent="0.3">
      <c r="A2382" s="1">
        <v>45900.965277777781</v>
      </c>
      <c r="B2382" t="s">
        <v>1499</v>
      </c>
      <c r="C2382" t="s">
        <v>1500</v>
      </c>
      <c r="D2382" t="s">
        <v>97</v>
      </c>
      <c r="E2382" t="s">
        <v>98</v>
      </c>
      <c r="F2382" t="s">
        <v>1531</v>
      </c>
      <c r="G2382" t="s">
        <v>99</v>
      </c>
      <c r="H2382" t="s">
        <v>66</v>
      </c>
      <c r="I2382" t="s">
        <v>43</v>
      </c>
      <c r="J2382">
        <v>100</v>
      </c>
      <c r="K2382">
        <v>19</v>
      </c>
      <c r="L2382">
        <v>9.5</v>
      </c>
      <c r="M2382">
        <v>11</v>
      </c>
      <c r="N2382">
        <v>2854</v>
      </c>
      <c r="O2382">
        <v>0</v>
      </c>
      <c r="P2382">
        <v>0</v>
      </c>
      <c r="Q2382" t="s">
        <v>44</v>
      </c>
      <c r="R2382" t="s">
        <v>44</v>
      </c>
      <c r="S2382" t="s">
        <v>44</v>
      </c>
      <c r="T2382" t="s">
        <v>44</v>
      </c>
      <c r="U2382" t="s">
        <v>44</v>
      </c>
      <c r="V2382">
        <v>1324</v>
      </c>
      <c r="W2382" t="s">
        <v>44</v>
      </c>
      <c r="X2382" t="s">
        <v>44</v>
      </c>
      <c r="Y2382">
        <v>1324</v>
      </c>
      <c r="Z2382" t="s">
        <v>44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25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 s="2">
        <v>1324</v>
      </c>
      <c r="AQ2382">
        <f t="shared" si="82"/>
        <v>1324</v>
      </c>
      <c r="AR2382" s="5">
        <f>VLOOKUP(F2382,'[2]SCP_24-25'!$A:$D,4,0)</f>
        <v>132.01</v>
      </c>
      <c r="AS2382" s="5">
        <f t="shared" si="83"/>
        <v>174781.24</v>
      </c>
    </row>
    <row r="2383" spans="1:45" x14ac:dyDescent="0.3">
      <c r="A2383" s="1">
        <v>45900.965277777781</v>
      </c>
      <c r="B2383" t="s">
        <v>1499</v>
      </c>
      <c r="C2383" t="s">
        <v>1500</v>
      </c>
      <c r="D2383" t="s">
        <v>360</v>
      </c>
      <c r="E2383" t="s">
        <v>356</v>
      </c>
      <c r="F2383" t="s">
        <v>1639</v>
      </c>
      <c r="G2383" t="s">
        <v>361</v>
      </c>
      <c r="H2383" t="s">
        <v>130</v>
      </c>
      <c r="I2383" t="s">
        <v>43</v>
      </c>
      <c r="J2383">
        <v>81.42</v>
      </c>
      <c r="K2383">
        <v>19</v>
      </c>
      <c r="L2383">
        <v>10</v>
      </c>
      <c r="M2383">
        <v>11</v>
      </c>
      <c r="N2383">
        <v>1536</v>
      </c>
      <c r="O2383">
        <v>1</v>
      </c>
      <c r="P2383">
        <v>0</v>
      </c>
      <c r="Q2383" t="s">
        <v>44</v>
      </c>
      <c r="R2383" t="s">
        <v>44</v>
      </c>
      <c r="S2383" t="s">
        <v>44</v>
      </c>
      <c r="T2383" t="s">
        <v>44</v>
      </c>
      <c r="U2383" t="s">
        <v>44</v>
      </c>
      <c r="V2383">
        <v>1010</v>
      </c>
      <c r="W2383" t="s">
        <v>44</v>
      </c>
      <c r="X2383" t="s">
        <v>44</v>
      </c>
      <c r="Y2383">
        <v>1010</v>
      </c>
      <c r="Z2383" t="s">
        <v>44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 s="2">
        <v>1011</v>
      </c>
      <c r="AQ2383">
        <f t="shared" si="82"/>
        <v>1011</v>
      </c>
      <c r="AR2383" s="5">
        <f>VLOOKUP(F2383,'[2]SCP_24-25'!$A:$D,4,0)</f>
        <v>83.14</v>
      </c>
      <c r="AS2383" s="5">
        <f t="shared" si="83"/>
        <v>84054.54</v>
      </c>
    </row>
    <row r="2384" spans="1:45" x14ac:dyDescent="0.3">
      <c r="A2384" s="1">
        <v>45900.965277777781</v>
      </c>
      <c r="B2384" t="s">
        <v>1499</v>
      </c>
      <c r="C2384" t="s">
        <v>1500</v>
      </c>
      <c r="D2384" t="s">
        <v>370</v>
      </c>
      <c r="E2384" t="s">
        <v>368</v>
      </c>
      <c r="F2384" t="s">
        <v>1643</v>
      </c>
      <c r="G2384" t="s">
        <v>371</v>
      </c>
      <c r="H2384" t="s">
        <v>130</v>
      </c>
      <c r="I2384" t="s">
        <v>43</v>
      </c>
      <c r="J2384">
        <v>24.02</v>
      </c>
      <c r="K2384">
        <v>19</v>
      </c>
      <c r="L2384">
        <v>10</v>
      </c>
      <c r="M2384">
        <v>11</v>
      </c>
      <c r="N2384">
        <v>2088</v>
      </c>
      <c r="O2384">
        <v>24</v>
      </c>
      <c r="P2384">
        <v>0</v>
      </c>
      <c r="Q2384" t="s">
        <v>44</v>
      </c>
      <c r="R2384" t="s">
        <v>44</v>
      </c>
      <c r="S2384" t="s">
        <v>44</v>
      </c>
      <c r="T2384" t="s">
        <v>44</v>
      </c>
      <c r="U2384" t="s">
        <v>44</v>
      </c>
      <c r="V2384">
        <v>1155</v>
      </c>
      <c r="W2384" t="s">
        <v>44</v>
      </c>
      <c r="X2384" t="s">
        <v>44</v>
      </c>
      <c r="Y2384">
        <v>1155</v>
      </c>
      <c r="Z2384" t="s">
        <v>44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 s="2">
        <v>1179</v>
      </c>
      <c r="AQ2384">
        <f t="shared" si="82"/>
        <v>1179</v>
      </c>
      <c r="AR2384" s="5">
        <f>VLOOKUP(F2384,'[2]SCP_24-25'!$A:$D,4,0)</f>
        <v>77.84</v>
      </c>
      <c r="AS2384" s="5">
        <f t="shared" si="83"/>
        <v>91773.36</v>
      </c>
    </row>
    <row r="2385" spans="1:45" x14ac:dyDescent="0.3">
      <c r="A2385" s="1">
        <v>45900.965277777781</v>
      </c>
      <c r="B2385" t="s">
        <v>1499</v>
      </c>
      <c r="C2385" t="s">
        <v>1500</v>
      </c>
      <c r="D2385" t="s">
        <v>374</v>
      </c>
      <c r="E2385" t="s">
        <v>368</v>
      </c>
      <c r="F2385" t="s">
        <v>1645</v>
      </c>
      <c r="G2385" t="s">
        <v>375</v>
      </c>
      <c r="H2385" t="s">
        <v>130</v>
      </c>
      <c r="I2385" t="s">
        <v>43</v>
      </c>
      <c r="J2385">
        <v>24.02</v>
      </c>
      <c r="K2385">
        <v>19</v>
      </c>
      <c r="L2385">
        <v>10</v>
      </c>
      <c r="M2385">
        <v>11</v>
      </c>
      <c r="N2385">
        <v>2178</v>
      </c>
      <c r="O2385">
        <v>18</v>
      </c>
      <c r="P2385">
        <v>0</v>
      </c>
      <c r="Q2385" t="s">
        <v>44</v>
      </c>
      <c r="R2385" t="s">
        <v>44</v>
      </c>
      <c r="S2385" t="s">
        <v>44</v>
      </c>
      <c r="T2385" t="s">
        <v>44</v>
      </c>
      <c r="U2385" t="s">
        <v>44</v>
      </c>
      <c r="V2385">
        <v>1537</v>
      </c>
      <c r="W2385" t="s">
        <v>44</v>
      </c>
      <c r="X2385" t="s">
        <v>44</v>
      </c>
      <c r="Y2385">
        <v>1537</v>
      </c>
      <c r="Z2385" t="s">
        <v>44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 s="2">
        <v>1555</v>
      </c>
      <c r="AQ2385">
        <f t="shared" si="82"/>
        <v>1555</v>
      </c>
      <c r="AR2385" s="5">
        <f>VLOOKUP(F2385,'[2]SCP_24-25'!$A:$D,4,0)</f>
        <v>78.453333333333333</v>
      </c>
      <c r="AS2385" s="5">
        <f t="shared" si="83"/>
        <v>121994.93333333333</v>
      </c>
    </row>
    <row r="2386" spans="1:45" x14ac:dyDescent="0.3">
      <c r="A2386" s="1">
        <v>45900.965277777781</v>
      </c>
      <c r="B2386" t="s">
        <v>1499</v>
      </c>
      <c r="C2386" t="s">
        <v>1500</v>
      </c>
      <c r="D2386" t="s">
        <v>384</v>
      </c>
      <c r="E2386" t="s">
        <v>368</v>
      </c>
      <c r="F2386" t="s">
        <v>1650</v>
      </c>
      <c r="G2386" t="s">
        <v>385</v>
      </c>
      <c r="H2386" t="s">
        <v>130</v>
      </c>
      <c r="I2386" t="s">
        <v>43</v>
      </c>
      <c r="J2386">
        <v>24</v>
      </c>
      <c r="K2386">
        <v>19</v>
      </c>
      <c r="L2386">
        <v>10</v>
      </c>
      <c r="M2386">
        <v>11</v>
      </c>
      <c r="N2386">
        <v>1794</v>
      </c>
      <c r="O2386">
        <v>0</v>
      </c>
      <c r="P2386">
        <v>0</v>
      </c>
      <c r="Q2386" t="s">
        <v>44</v>
      </c>
      <c r="R2386" t="s">
        <v>44</v>
      </c>
      <c r="S2386" t="s">
        <v>44</v>
      </c>
      <c r="T2386" t="s">
        <v>44</v>
      </c>
      <c r="U2386" t="s">
        <v>44</v>
      </c>
      <c r="V2386">
        <v>1589</v>
      </c>
      <c r="W2386" t="s">
        <v>44</v>
      </c>
      <c r="X2386" t="s">
        <v>44</v>
      </c>
      <c r="Y2386">
        <v>1589</v>
      </c>
      <c r="Z2386" t="s">
        <v>44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 s="2">
        <v>1589</v>
      </c>
      <c r="AQ2386">
        <f t="shared" si="82"/>
        <v>1589</v>
      </c>
      <c r="AR2386" s="5">
        <f>VLOOKUP(F2386,'[2]SCP_24-25'!$A:$D,4,0)</f>
        <v>79.066666666666677</v>
      </c>
      <c r="AS2386" s="5">
        <f t="shared" si="83"/>
        <v>125636.93333333335</v>
      </c>
    </row>
    <row r="2387" spans="1:45" x14ac:dyDescent="0.3">
      <c r="A2387" s="1">
        <v>45900.965277777781</v>
      </c>
      <c r="B2387" t="s">
        <v>1499</v>
      </c>
      <c r="C2387" t="s">
        <v>1500</v>
      </c>
      <c r="D2387" t="s">
        <v>394</v>
      </c>
      <c r="E2387" t="s">
        <v>395</v>
      </c>
      <c r="F2387" t="s">
        <v>1655</v>
      </c>
      <c r="G2387" t="s">
        <v>396</v>
      </c>
      <c r="H2387" t="s">
        <v>130</v>
      </c>
      <c r="I2387" t="s">
        <v>43</v>
      </c>
      <c r="J2387">
        <v>24.22</v>
      </c>
      <c r="K2387">
        <v>19</v>
      </c>
      <c r="L2387">
        <v>10</v>
      </c>
      <c r="M2387">
        <v>11</v>
      </c>
      <c r="N2387">
        <v>1086</v>
      </c>
      <c r="O2387">
        <v>0</v>
      </c>
      <c r="P2387">
        <v>0</v>
      </c>
      <c r="Q2387" t="s">
        <v>44</v>
      </c>
      <c r="R2387" t="s">
        <v>44</v>
      </c>
      <c r="S2387" t="s">
        <v>44</v>
      </c>
      <c r="T2387" t="s">
        <v>44</v>
      </c>
      <c r="U2387" t="s">
        <v>44</v>
      </c>
      <c r="V2387">
        <v>1032</v>
      </c>
      <c r="W2387" t="s">
        <v>44</v>
      </c>
      <c r="X2387" t="s">
        <v>44</v>
      </c>
      <c r="Y2387">
        <v>1032</v>
      </c>
      <c r="Z2387" t="s">
        <v>44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 s="2">
        <v>1032</v>
      </c>
      <c r="AQ2387">
        <f t="shared" si="82"/>
        <v>1032</v>
      </c>
      <c r="AR2387" s="5">
        <f>VLOOKUP(F2387,'[2]SCP_24-25'!$A:$D,4,0)</f>
        <v>87.9</v>
      </c>
      <c r="AS2387" s="5">
        <f t="shared" si="83"/>
        <v>90712.8</v>
      </c>
    </row>
    <row r="2388" spans="1:45" x14ac:dyDescent="0.3">
      <c r="A2388" s="1">
        <v>45900.965277777781</v>
      </c>
      <c r="B2388" t="s">
        <v>1499</v>
      </c>
      <c r="C2388" t="s">
        <v>1500</v>
      </c>
      <c r="D2388" t="s">
        <v>613</v>
      </c>
      <c r="E2388" t="s">
        <v>395</v>
      </c>
      <c r="F2388" t="s">
        <v>1760</v>
      </c>
      <c r="G2388" t="s">
        <v>614</v>
      </c>
      <c r="H2388" t="s">
        <v>130</v>
      </c>
      <c r="I2388" t="s">
        <v>43</v>
      </c>
      <c r="J2388">
        <v>24.22</v>
      </c>
      <c r="K2388">
        <v>19</v>
      </c>
      <c r="L2388">
        <v>10</v>
      </c>
      <c r="M2388">
        <v>11</v>
      </c>
      <c r="N2388">
        <v>1867</v>
      </c>
      <c r="O2388">
        <v>0</v>
      </c>
      <c r="P2388">
        <v>0</v>
      </c>
      <c r="Q2388" t="s">
        <v>44</v>
      </c>
      <c r="R2388" t="s">
        <v>44</v>
      </c>
      <c r="S2388" t="s">
        <v>44</v>
      </c>
      <c r="T2388" t="s">
        <v>44</v>
      </c>
      <c r="U2388" t="s">
        <v>44</v>
      </c>
      <c r="V2388">
        <v>1814</v>
      </c>
      <c r="W2388" t="s">
        <v>44</v>
      </c>
      <c r="X2388" t="s">
        <v>44</v>
      </c>
      <c r="Y2388">
        <v>1814</v>
      </c>
      <c r="Z2388" t="s">
        <v>44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 s="2">
        <v>1814</v>
      </c>
      <c r="AQ2388">
        <f t="shared" si="82"/>
        <v>1814</v>
      </c>
      <c r="AR2388" s="5">
        <f>VLOOKUP(F2388,'[2]SCP_24-25'!$A:$D,4,0)</f>
        <v>87.899999999999991</v>
      </c>
      <c r="AS2388" s="5">
        <f t="shared" si="83"/>
        <v>159450.59999999998</v>
      </c>
    </row>
    <row r="2389" spans="1:45" x14ac:dyDescent="0.3">
      <c r="A2389" s="1">
        <v>45900.965277777781</v>
      </c>
      <c r="B2389" t="s">
        <v>1499</v>
      </c>
      <c r="C2389" t="s">
        <v>1500</v>
      </c>
      <c r="D2389" t="s">
        <v>115</v>
      </c>
      <c r="E2389" t="s">
        <v>116</v>
      </c>
      <c r="F2389" t="s">
        <v>1537</v>
      </c>
      <c r="G2389" t="s">
        <v>117</v>
      </c>
      <c r="H2389" t="s">
        <v>66</v>
      </c>
      <c r="I2389" t="s">
        <v>43</v>
      </c>
      <c r="J2389">
        <v>60</v>
      </c>
      <c r="K2389">
        <v>19</v>
      </c>
      <c r="L2389">
        <v>11</v>
      </c>
      <c r="M2389">
        <v>10</v>
      </c>
      <c r="N2389">
        <v>4262</v>
      </c>
      <c r="O2389">
        <v>0</v>
      </c>
      <c r="P2389">
        <v>0</v>
      </c>
      <c r="Q2389" t="s">
        <v>44</v>
      </c>
      <c r="R2389" t="s">
        <v>44</v>
      </c>
      <c r="S2389" t="s">
        <v>44</v>
      </c>
      <c r="T2389">
        <v>30</v>
      </c>
      <c r="U2389" t="s">
        <v>44</v>
      </c>
      <c r="V2389">
        <v>1757</v>
      </c>
      <c r="W2389" t="s">
        <v>44</v>
      </c>
      <c r="X2389" t="s">
        <v>44</v>
      </c>
      <c r="Y2389">
        <v>1757</v>
      </c>
      <c r="Z2389" t="s">
        <v>44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 s="2">
        <v>1757</v>
      </c>
      <c r="AQ2389">
        <f t="shared" si="82"/>
        <v>1757</v>
      </c>
      <c r="AR2389" s="5">
        <f>VLOOKUP(F2389,'[2]SCP_24-25'!$A:$D,4,0)</f>
        <v>94.559999999999988</v>
      </c>
      <c r="AS2389" s="5">
        <f t="shared" si="83"/>
        <v>166141.91999999998</v>
      </c>
    </row>
    <row r="2390" spans="1:45" x14ac:dyDescent="0.3">
      <c r="A2390" s="1">
        <v>45900.965277777781</v>
      </c>
      <c r="B2390" t="s">
        <v>1499</v>
      </c>
      <c r="C2390" t="s">
        <v>1500</v>
      </c>
      <c r="D2390" t="s">
        <v>624</v>
      </c>
      <c r="F2390" t="s">
        <v>1765</v>
      </c>
      <c r="G2390" t="s">
        <v>625</v>
      </c>
      <c r="H2390" t="s">
        <v>66</v>
      </c>
      <c r="I2390" t="s">
        <v>43</v>
      </c>
      <c r="J2390">
        <v>61.92</v>
      </c>
      <c r="K2390">
        <v>19</v>
      </c>
      <c r="L2390">
        <v>10</v>
      </c>
      <c r="M2390">
        <v>11</v>
      </c>
      <c r="N2390">
        <v>1456</v>
      </c>
      <c r="O2390">
        <v>0</v>
      </c>
      <c r="P2390">
        <v>0</v>
      </c>
      <c r="Q2390" t="s">
        <v>44</v>
      </c>
      <c r="R2390" t="s">
        <v>44</v>
      </c>
      <c r="S2390" t="s">
        <v>44</v>
      </c>
      <c r="T2390" t="s">
        <v>44</v>
      </c>
      <c r="U2390" t="s">
        <v>44</v>
      </c>
      <c r="V2390">
        <v>1247</v>
      </c>
      <c r="W2390" t="s">
        <v>44</v>
      </c>
      <c r="X2390" t="s">
        <v>44</v>
      </c>
      <c r="Y2390">
        <v>1247</v>
      </c>
      <c r="Z2390" t="s">
        <v>44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 s="2">
        <v>1247</v>
      </c>
      <c r="AQ2390">
        <f t="shared" si="82"/>
        <v>1247</v>
      </c>
      <c r="AR2390" s="5">
        <f>VLOOKUP(F2390,'[2]SCP_24-25'!$A:$D,4,0)</f>
        <v>23.39</v>
      </c>
      <c r="AS2390" s="5">
        <f t="shared" si="83"/>
        <v>29167.33</v>
      </c>
    </row>
    <row r="2391" spans="1:45" x14ac:dyDescent="0.3">
      <c r="A2391" s="1">
        <v>45900.965277777781</v>
      </c>
      <c r="B2391" t="s">
        <v>1499</v>
      </c>
      <c r="C2391" t="s">
        <v>1500</v>
      </c>
      <c r="D2391" t="s">
        <v>787</v>
      </c>
      <c r="F2391" t="s">
        <v>1845</v>
      </c>
      <c r="G2391" t="s">
        <v>788</v>
      </c>
      <c r="H2391" t="s">
        <v>66</v>
      </c>
      <c r="I2391" t="s">
        <v>43</v>
      </c>
      <c r="J2391">
        <v>61.92</v>
      </c>
      <c r="K2391">
        <v>19</v>
      </c>
      <c r="L2391">
        <v>10</v>
      </c>
      <c r="M2391">
        <v>11</v>
      </c>
      <c r="N2391">
        <v>1387</v>
      </c>
      <c r="O2391">
        <v>0</v>
      </c>
      <c r="P2391">
        <v>0</v>
      </c>
      <c r="Q2391" t="s">
        <v>44</v>
      </c>
      <c r="R2391" t="s">
        <v>44</v>
      </c>
      <c r="S2391" t="s">
        <v>44</v>
      </c>
      <c r="T2391" t="s">
        <v>44</v>
      </c>
      <c r="U2391" t="s">
        <v>44</v>
      </c>
      <c r="V2391">
        <v>1081</v>
      </c>
      <c r="W2391" t="s">
        <v>44</v>
      </c>
      <c r="X2391" t="s">
        <v>44</v>
      </c>
      <c r="Y2391">
        <v>1081</v>
      </c>
      <c r="Z2391" t="s">
        <v>44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 s="2">
        <v>1081</v>
      </c>
      <c r="AQ2391">
        <f t="shared" si="82"/>
        <v>1081</v>
      </c>
      <c r="AR2391" s="5">
        <f>VLOOKUP(F2391,'[2]SCP_24-25'!$A:$D,4,0)</f>
        <v>23.39</v>
      </c>
      <c r="AS2391" s="5">
        <f t="shared" si="83"/>
        <v>25284.59</v>
      </c>
    </row>
    <row r="2392" spans="1:45" x14ac:dyDescent="0.3">
      <c r="A2392" s="1">
        <v>45900.965277777781</v>
      </c>
      <c r="B2392" t="s">
        <v>1499</v>
      </c>
      <c r="C2392" t="s">
        <v>1500</v>
      </c>
      <c r="D2392" t="s">
        <v>626</v>
      </c>
      <c r="F2392" t="s">
        <v>1766</v>
      </c>
      <c r="G2392" t="s">
        <v>627</v>
      </c>
      <c r="H2392" t="s">
        <v>66</v>
      </c>
      <c r="I2392" t="s">
        <v>43</v>
      </c>
      <c r="J2392">
        <v>61.92</v>
      </c>
      <c r="K2392">
        <v>19</v>
      </c>
      <c r="L2392">
        <v>10</v>
      </c>
      <c r="M2392">
        <v>11</v>
      </c>
      <c r="N2392">
        <v>1502</v>
      </c>
      <c r="O2392">
        <v>0</v>
      </c>
      <c r="P2392">
        <v>0</v>
      </c>
      <c r="Q2392" t="s">
        <v>44</v>
      </c>
      <c r="R2392" t="s">
        <v>44</v>
      </c>
      <c r="S2392" t="s">
        <v>44</v>
      </c>
      <c r="T2392" t="s">
        <v>44</v>
      </c>
      <c r="U2392" t="s">
        <v>44</v>
      </c>
      <c r="V2392">
        <v>1308</v>
      </c>
      <c r="W2392" t="s">
        <v>44</v>
      </c>
      <c r="X2392" t="s">
        <v>44</v>
      </c>
      <c r="Y2392">
        <v>1308</v>
      </c>
      <c r="Z2392" t="s">
        <v>44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 s="2">
        <v>1308</v>
      </c>
      <c r="AQ2392">
        <f t="shared" si="82"/>
        <v>1308</v>
      </c>
      <c r="AR2392" s="5">
        <f>VLOOKUP(F2392,'[2]SCP_24-25'!$A:$D,4,0)</f>
        <v>26.96</v>
      </c>
      <c r="AS2392" s="5">
        <f t="shared" si="83"/>
        <v>35263.68</v>
      </c>
    </row>
    <row r="2393" spans="1:45" x14ac:dyDescent="0.3">
      <c r="A2393" s="1">
        <v>45900.965277777781</v>
      </c>
      <c r="B2393" t="s">
        <v>1499</v>
      </c>
      <c r="C2393" t="s">
        <v>1500</v>
      </c>
      <c r="D2393" t="s">
        <v>789</v>
      </c>
      <c r="F2393" t="s">
        <v>1846</v>
      </c>
      <c r="G2393" t="s">
        <v>790</v>
      </c>
      <c r="H2393" t="s">
        <v>66</v>
      </c>
      <c r="I2393" t="s">
        <v>43</v>
      </c>
      <c r="J2393">
        <v>61.92</v>
      </c>
      <c r="K2393">
        <v>19</v>
      </c>
      <c r="L2393">
        <v>10</v>
      </c>
      <c r="M2393">
        <v>11</v>
      </c>
      <c r="N2393">
        <v>1685</v>
      </c>
      <c r="O2393">
        <v>0</v>
      </c>
      <c r="P2393">
        <v>0</v>
      </c>
      <c r="Q2393" t="s">
        <v>44</v>
      </c>
      <c r="R2393" t="s">
        <v>44</v>
      </c>
      <c r="S2393" t="s">
        <v>44</v>
      </c>
      <c r="T2393" t="s">
        <v>44</v>
      </c>
      <c r="U2393" t="s">
        <v>44</v>
      </c>
      <c r="V2393">
        <v>1368</v>
      </c>
      <c r="W2393" t="s">
        <v>44</v>
      </c>
      <c r="X2393" t="s">
        <v>44</v>
      </c>
      <c r="Y2393">
        <v>1368</v>
      </c>
      <c r="Z2393" t="s">
        <v>44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 s="2">
        <v>1368</v>
      </c>
      <c r="AQ2393">
        <f t="shared" ref="AQ2393:AQ2456" si="84">O2393+P2393+V2393+AA2393</f>
        <v>1368</v>
      </c>
      <c r="AR2393" s="5">
        <f>VLOOKUP(F2393,'[2]SCP_24-25'!$A:$D,4,0)</f>
        <v>23.39</v>
      </c>
      <c r="AS2393" s="5">
        <f t="shared" si="83"/>
        <v>31997.52</v>
      </c>
    </row>
    <row r="2394" spans="1:45" x14ac:dyDescent="0.3">
      <c r="A2394" s="1">
        <v>45900.965277777781</v>
      </c>
      <c r="B2394" t="s">
        <v>1499</v>
      </c>
      <c r="C2394" t="s">
        <v>1500</v>
      </c>
      <c r="D2394" t="s">
        <v>121</v>
      </c>
      <c r="F2394" t="s">
        <v>1539</v>
      </c>
      <c r="G2394" t="s">
        <v>122</v>
      </c>
      <c r="H2394" t="s">
        <v>103</v>
      </c>
      <c r="I2394" t="s">
        <v>43</v>
      </c>
      <c r="J2394">
        <v>216.02</v>
      </c>
      <c r="K2394">
        <v>19</v>
      </c>
      <c r="L2394">
        <v>10</v>
      </c>
      <c r="M2394">
        <v>11</v>
      </c>
      <c r="N2394">
        <v>12865</v>
      </c>
      <c r="O2394">
        <v>252</v>
      </c>
      <c r="P2394">
        <v>0</v>
      </c>
      <c r="Q2394">
        <v>1</v>
      </c>
      <c r="R2394" t="s">
        <v>44</v>
      </c>
      <c r="S2394" t="s">
        <v>44</v>
      </c>
      <c r="T2394">
        <v>120</v>
      </c>
      <c r="U2394" t="s">
        <v>44</v>
      </c>
      <c r="V2394">
        <v>1021</v>
      </c>
      <c r="W2394" t="s">
        <v>44</v>
      </c>
      <c r="X2394" t="s">
        <v>44</v>
      </c>
      <c r="Y2394">
        <v>1021</v>
      </c>
      <c r="Z2394" t="s">
        <v>44</v>
      </c>
      <c r="AA2394">
        <v>30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 s="2">
        <v>1303</v>
      </c>
      <c r="AQ2394">
        <f t="shared" si="84"/>
        <v>1303</v>
      </c>
      <c r="AR2394" s="5">
        <f>VLOOKUP(F2394,'[2]SCP_24-25'!$A:$D,4,0)</f>
        <v>53.14</v>
      </c>
      <c r="AS2394" s="5">
        <f t="shared" si="83"/>
        <v>69241.42</v>
      </c>
    </row>
    <row r="2395" spans="1:45" x14ac:dyDescent="0.3">
      <c r="A2395" s="1">
        <v>45900.965277777781</v>
      </c>
      <c r="B2395" t="s">
        <v>1499</v>
      </c>
      <c r="C2395" t="s">
        <v>1500</v>
      </c>
      <c r="D2395" t="s">
        <v>128</v>
      </c>
      <c r="F2395" t="s">
        <v>1542</v>
      </c>
      <c r="G2395" t="s">
        <v>129</v>
      </c>
      <c r="H2395" t="s">
        <v>130</v>
      </c>
      <c r="I2395" t="s">
        <v>43</v>
      </c>
      <c r="J2395">
        <v>80</v>
      </c>
      <c r="K2395">
        <v>19</v>
      </c>
      <c r="L2395">
        <v>11</v>
      </c>
      <c r="M2395">
        <v>10</v>
      </c>
      <c r="N2395">
        <v>2265</v>
      </c>
      <c r="O2395">
        <v>0</v>
      </c>
      <c r="P2395">
        <v>0</v>
      </c>
      <c r="Q2395" t="s">
        <v>44</v>
      </c>
      <c r="R2395" t="s">
        <v>44</v>
      </c>
      <c r="S2395" t="s">
        <v>44</v>
      </c>
      <c r="T2395" t="s">
        <v>44</v>
      </c>
      <c r="U2395" t="s">
        <v>44</v>
      </c>
      <c r="V2395">
        <v>1561</v>
      </c>
      <c r="W2395" t="s">
        <v>44</v>
      </c>
      <c r="X2395" t="s">
        <v>44</v>
      </c>
      <c r="Y2395">
        <v>1561</v>
      </c>
      <c r="Z2395" t="s">
        <v>44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 s="2">
        <v>1561</v>
      </c>
      <c r="AQ2395">
        <f t="shared" si="84"/>
        <v>1561</v>
      </c>
      <c r="AR2395" s="5">
        <f>VLOOKUP(F2395,'[2]SCP_24-25'!$A:$D,4,0)</f>
        <v>46.19</v>
      </c>
      <c r="AS2395" s="5">
        <f t="shared" si="83"/>
        <v>72102.59</v>
      </c>
    </row>
    <row r="2396" spans="1:45" x14ac:dyDescent="0.3">
      <c r="A2396" s="1">
        <v>45900.965277777781</v>
      </c>
      <c r="B2396" t="s">
        <v>1499</v>
      </c>
      <c r="C2396" t="s">
        <v>1500</v>
      </c>
      <c r="D2396" t="s">
        <v>423</v>
      </c>
      <c r="F2396" t="s">
        <v>1668</v>
      </c>
      <c r="G2396" t="s">
        <v>424</v>
      </c>
      <c r="H2396" t="s">
        <v>66</v>
      </c>
      <c r="I2396" t="s">
        <v>43</v>
      </c>
      <c r="J2396">
        <v>123.19</v>
      </c>
      <c r="K2396">
        <v>19</v>
      </c>
      <c r="L2396">
        <v>10</v>
      </c>
      <c r="M2396">
        <v>11</v>
      </c>
      <c r="N2396">
        <v>16690</v>
      </c>
      <c r="O2396">
        <v>156</v>
      </c>
      <c r="P2396">
        <v>0</v>
      </c>
      <c r="Q2396" t="s">
        <v>44</v>
      </c>
      <c r="R2396" t="s">
        <v>44</v>
      </c>
      <c r="S2396" t="s">
        <v>44</v>
      </c>
      <c r="T2396">
        <v>36</v>
      </c>
      <c r="U2396" t="s">
        <v>44</v>
      </c>
      <c r="V2396">
        <v>1391</v>
      </c>
      <c r="W2396" t="s">
        <v>44</v>
      </c>
      <c r="X2396" t="s">
        <v>44</v>
      </c>
      <c r="Y2396">
        <v>1391</v>
      </c>
      <c r="Z2396" t="s">
        <v>44</v>
      </c>
      <c r="AA2396">
        <v>24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 s="2">
        <v>1571</v>
      </c>
      <c r="AQ2396">
        <f t="shared" si="84"/>
        <v>1571</v>
      </c>
      <c r="AR2396" s="5">
        <f>VLOOKUP(F2396,'[2]SCP_24-25'!$A:$D,4,0)</f>
        <v>76.260909090909081</v>
      </c>
      <c r="AS2396" s="5">
        <f t="shared" si="83"/>
        <v>119805.88818181817</v>
      </c>
    </row>
    <row r="2397" spans="1:45" x14ac:dyDescent="0.3">
      <c r="A2397" s="1">
        <v>45900.965277777781</v>
      </c>
      <c r="B2397" t="s">
        <v>1499</v>
      </c>
      <c r="C2397" t="s">
        <v>1500</v>
      </c>
      <c r="D2397" t="s">
        <v>442</v>
      </c>
      <c r="F2397" t="s">
        <v>1676</v>
      </c>
      <c r="G2397" t="s">
        <v>443</v>
      </c>
      <c r="H2397" t="s">
        <v>103</v>
      </c>
      <c r="I2397" t="s">
        <v>43</v>
      </c>
      <c r="J2397">
        <v>236.02</v>
      </c>
      <c r="K2397">
        <v>19</v>
      </c>
      <c r="L2397">
        <v>10</v>
      </c>
      <c r="M2397">
        <v>11</v>
      </c>
      <c r="N2397">
        <v>1968</v>
      </c>
      <c r="O2397">
        <v>0</v>
      </c>
      <c r="P2397">
        <v>0</v>
      </c>
      <c r="Q2397" t="s">
        <v>44</v>
      </c>
      <c r="R2397" t="s">
        <v>44</v>
      </c>
      <c r="S2397" t="s">
        <v>44</v>
      </c>
      <c r="T2397" t="s">
        <v>44</v>
      </c>
      <c r="U2397" t="s">
        <v>44</v>
      </c>
      <c r="V2397">
        <v>1728</v>
      </c>
      <c r="W2397" t="s">
        <v>44</v>
      </c>
      <c r="X2397" t="s">
        <v>44</v>
      </c>
      <c r="Y2397">
        <v>1728</v>
      </c>
      <c r="Z2397" t="s">
        <v>44</v>
      </c>
      <c r="AA2397">
        <v>12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 s="2">
        <v>1740</v>
      </c>
      <c r="AQ2397">
        <f t="shared" si="84"/>
        <v>1740</v>
      </c>
      <c r="AR2397" s="5">
        <f>VLOOKUP(F2397,'[2]SCP_24-25'!$A:$D,4,0)</f>
        <v>57.620000000000005</v>
      </c>
      <c r="AS2397" s="5">
        <f t="shared" si="83"/>
        <v>100258.8</v>
      </c>
    </row>
    <row r="2398" spans="1:45" x14ac:dyDescent="0.3">
      <c r="A2398" s="1">
        <v>45900.965277777781</v>
      </c>
      <c r="B2398" t="s">
        <v>1499</v>
      </c>
      <c r="C2398" t="s">
        <v>1500</v>
      </c>
      <c r="D2398" t="s">
        <v>520</v>
      </c>
      <c r="F2398" t="s">
        <v>1714</v>
      </c>
      <c r="G2398" t="s">
        <v>521</v>
      </c>
      <c r="H2398" t="s">
        <v>103</v>
      </c>
      <c r="I2398" t="s">
        <v>43</v>
      </c>
      <c r="J2398">
        <v>122</v>
      </c>
      <c r="K2398">
        <v>19</v>
      </c>
      <c r="L2398">
        <v>10</v>
      </c>
      <c r="M2398">
        <v>11</v>
      </c>
      <c r="N2398">
        <v>2375</v>
      </c>
      <c r="O2398">
        <v>0</v>
      </c>
      <c r="P2398">
        <v>0</v>
      </c>
      <c r="Q2398" t="s">
        <v>44</v>
      </c>
      <c r="R2398" t="s">
        <v>44</v>
      </c>
      <c r="S2398" t="s">
        <v>44</v>
      </c>
      <c r="T2398">
        <v>48</v>
      </c>
      <c r="U2398" t="s">
        <v>44</v>
      </c>
      <c r="V2398">
        <v>1254</v>
      </c>
      <c r="W2398" t="s">
        <v>44</v>
      </c>
      <c r="X2398" t="s">
        <v>44</v>
      </c>
      <c r="Y2398">
        <v>1254</v>
      </c>
      <c r="Z2398" t="s">
        <v>44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 s="2">
        <v>1254</v>
      </c>
      <c r="AQ2398">
        <f t="shared" si="84"/>
        <v>1254</v>
      </c>
      <c r="AR2398" s="5">
        <f>VLOOKUP(F2398,'[2]SCP_24-25'!$A:$D,4,0)</f>
        <v>90.48</v>
      </c>
      <c r="AS2398" s="5">
        <f t="shared" si="83"/>
        <v>113461.92</v>
      </c>
    </row>
    <row r="2399" spans="1:45" x14ac:dyDescent="0.3">
      <c r="A2399" s="1">
        <v>45900.965277777781</v>
      </c>
      <c r="B2399" t="s">
        <v>1499</v>
      </c>
      <c r="C2399" t="s">
        <v>1500</v>
      </c>
      <c r="D2399" t="s">
        <v>526</v>
      </c>
      <c r="F2399" t="s">
        <v>1717</v>
      </c>
      <c r="G2399" t="s">
        <v>527</v>
      </c>
      <c r="H2399" t="s">
        <v>130</v>
      </c>
      <c r="I2399" t="s">
        <v>43</v>
      </c>
      <c r="J2399">
        <v>23</v>
      </c>
      <c r="K2399">
        <v>19</v>
      </c>
      <c r="L2399">
        <v>10</v>
      </c>
      <c r="M2399">
        <v>11</v>
      </c>
      <c r="N2399">
        <v>1496</v>
      </c>
      <c r="O2399">
        <v>0</v>
      </c>
      <c r="P2399">
        <v>0</v>
      </c>
      <c r="Q2399" t="s">
        <v>44</v>
      </c>
      <c r="R2399" t="s">
        <v>44</v>
      </c>
      <c r="S2399" t="s">
        <v>44</v>
      </c>
      <c r="T2399" t="s">
        <v>44</v>
      </c>
      <c r="U2399" t="s">
        <v>44</v>
      </c>
      <c r="V2399">
        <v>1329</v>
      </c>
      <c r="W2399" t="s">
        <v>44</v>
      </c>
      <c r="X2399" t="s">
        <v>44</v>
      </c>
      <c r="Y2399">
        <v>1329</v>
      </c>
      <c r="Z2399" t="s">
        <v>44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 s="2">
        <v>1329</v>
      </c>
      <c r="AQ2399">
        <f t="shared" si="84"/>
        <v>1329</v>
      </c>
      <c r="AR2399" s="5">
        <f>VLOOKUP(F2399,'[2]SCP_24-25'!$A:$D,4,0)</f>
        <v>79.680000000000007</v>
      </c>
      <c r="AS2399" s="5">
        <f t="shared" si="83"/>
        <v>105894.72000000002</v>
      </c>
    </row>
    <row r="2400" spans="1:45" x14ac:dyDescent="0.3">
      <c r="A2400" s="1">
        <v>45900.965277777781</v>
      </c>
      <c r="B2400" t="s">
        <v>1499</v>
      </c>
      <c r="C2400" t="s">
        <v>1500</v>
      </c>
      <c r="D2400" t="s">
        <v>566</v>
      </c>
      <c r="F2400" t="s">
        <v>1737</v>
      </c>
      <c r="G2400" t="s">
        <v>567</v>
      </c>
      <c r="H2400" t="s">
        <v>130</v>
      </c>
      <c r="I2400" t="s">
        <v>43</v>
      </c>
      <c r="J2400">
        <v>24.02</v>
      </c>
      <c r="K2400">
        <v>19</v>
      </c>
      <c r="L2400">
        <v>10</v>
      </c>
      <c r="M2400">
        <v>11</v>
      </c>
      <c r="N2400">
        <v>2008</v>
      </c>
      <c r="O2400">
        <v>0</v>
      </c>
      <c r="P2400">
        <v>0</v>
      </c>
      <c r="Q2400" t="s">
        <v>44</v>
      </c>
      <c r="R2400" t="s">
        <v>44</v>
      </c>
      <c r="S2400" t="s">
        <v>44</v>
      </c>
      <c r="T2400" t="s">
        <v>44</v>
      </c>
      <c r="U2400" t="s">
        <v>44</v>
      </c>
      <c r="V2400">
        <v>1895</v>
      </c>
      <c r="W2400" t="s">
        <v>44</v>
      </c>
      <c r="X2400" t="s">
        <v>44</v>
      </c>
      <c r="Y2400">
        <v>1895</v>
      </c>
      <c r="Z2400" t="s">
        <v>44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 s="2">
        <v>1895</v>
      </c>
      <c r="AQ2400">
        <f t="shared" si="84"/>
        <v>1895</v>
      </c>
      <c r="AR2400" s="5">
        <f>VLOOKUP(F2400,'[2]SCP_24-25'!$A:$D,4,0)</f>
        <v>79.680000000000007</v>
      </c>
      <c r="AS2400" s="5">
        <f t="shared" si="83"/>
        <v>150993.60000000001</v>
      </c>
    </row>
    <row r="2401" spans="1:45" x14ac:dyDescent="0.3">
      <c r="A2401" s="1">
        <v>45900.965277777781</v>
      </c>
      <c r="B2401" t="s">
        <v>1499</v>
      </c>
      <c r="C2401" t="s">
        <v>1500</v>
      </c>
      <c r="D2401" t="s">
        <v>568</v>
      </c>
      <c r="F2401" t="s">
        <v>1738</v>
      </c>
      <c r="G2401" t="s">
        <v>569</v>
      </c>
      <c r="H2401" t="s">
        <v>130</v>
      </c>
      <c r="I2401" t="s">
        <v>43</v>
      </c>
      <c r="J2401">
        <v>24.02</v>
      </c>
      <c r="K2401">
        <v>19</v>
      </c>
      <c r="L2401">
        <v>10</v>
      </c>
      <c r="M2401">
        <v>11</v>
      </c>
      <c r="N2401">
        <v>1427</v>
      </c>
      <c r="O2401">
        <v>0</v>
      </c>
      <c r="P2401">
        <v>0</v>
      </c>
      <c r="Q2401" t="s">
        <v>44</v>
      </c>
      <c r="R2401" t="s">
        <v>44</v>
      </c>
      <c r="S2401" t="s">
        <v>44</v>
      </c>
      <c r="T2401" t="s">
        <v>44</v>
      </c>
      <c r="U2401" t="s">
        <v>44</v>
      </c>
      <c r="V2401">
        <v>1376</v>
      </c>
      <c r="W2401" t="s">
        <v>44</v>
      </c>
      <c r="X2401" t="s">
        <v>44</v>
      </c>
      <c r="Y2401">
        <v>1376</v>
      </c>
      <c r="Z2401" t="s">
        <v>44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 s="2">
        <v>1376</v>
      </c>
      <c r="AQ2401">
        <f t="shared" si="84"/>
        <v>1376</v>
      </c>
      <c r="AR2401" s="5">
        <f>VLOOKUP(F2401,'[2]SCP_24-25'!$A:$D,4,0)</f>
        <v>79.680000000000007</v>
      </c>
      <c r="AS2401" s="5">
        <f t="shared" si="83"/>
        <v>109639.68000000001</v>
      </c>
    </row>
    <row r="2402" spans="1:45" x14ac:dyDescent="0.3">
      <c r="A2402" s="1">
        <v>45900.965277777781</v>
      </c>
      <c r="B2402" t="s">
        <v>1499</v>
      </c>
      <c r="C2402" t="s">
        <v>1500</v>
      </c>
      <c r="D2402" t="s">
        <v>588</v>
      </c>
      <c r="F2402" t="s">
        <v>1748</v>
      </c>
      <c r="G2402" t="s">
        <v>589</v>
      </c>
      <c r="H2402" t="s">
        <v>130</v>
      </c>
      <c r="I2402" t="s">
        <v>43</v>
      </c>
      <c r="J2402">
        <v>24.02</v>
      </c>
      <c r="K2402">
        <v>19</v>
      </c>
      <c r="L2402">
        <v>10</v>
      </c>
      <c r="M2402">
        <v>11</v>
      </c>
      <c r="N2402">
        <v>2085</v>
      </c>
      <c r="O2402">
        <v>6</v>
      </c>
      <c r="P2402">
        <v>0</v>
      </c>
      <c r="Q2402" t="s">
        <v>44</v>
      </c>
      <c r="R2402" t="s">
        <v>44</v>
      </c>
      <c r="S2402" t="s">
        <v>44</v>
      </c>
      <c r="T2402" t="s">
        <v>44</v>
      </c>
      <c r="U2402" t="s">
        <v>44</v>
      </c>
      <c r="V2402">
        <v>1892</v>
      </c>
      <c r="W2402" t="s">
        <v>44</v>
      </c>
      <c r="X2402" t="s">
        <v>44</v>
      </c>
      <c r="Y2402">
        <v>1892</v>
      </c>
      <c r="Z2402" t="s">
        <v>44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 s="2">
        <v>1898</v>
      </c>
      <c r="AQ2402">
        <f t="shared" si="84"/>
        <v>1898</v>
      </c>
      <c r="AR2402" s="5">
        <f>VLOOKUP(F2402,'[2]SCP_24-25'!$A:$D,4,0)</f>
        <v>77.84</v>
      </c>
      <c r="AS2402" s="5">
        <f t="shared" si="83"/>
        <v>147740.32</v>
      </c>
    </row>
    <row r="2403" spans="1:45" x14ac:dyDescent="0.3">
      <c r="A2403" s="1">
        <v>45900.965277777781</v>
      </c>
      <c r="B2403" t="s">
        <v>1499</v>
      </c>
      <c r="C2403" t="s">
        <v>1500</v>
      </c>
      <c r="D2403" t="s">
        <v>485</v>
      </c>
      <c r="F2403" t="s">
        <v>1697</v>
      </c>
      <c r="G2403" t="s">
        <v>486</v>
      </c>
      <c r="H2403" t="s">
        <v>130</v>
      </c>
      <c r="I2403" t="s">
        <v>43</v>
      </c>
      <c r="J2403">
        <v>24.02</v>
      </c>
      <c r="K2403">
        <v>19</v>
      </c>
      <c r="L2403">
        <v>10</v>
      </c>
      <c r="M2403">
        <v>11</v>
      </c>
      <c r="N2403">
        <v>1430</v>
      </c>
      <c r="O2403">
        <v>0</v>
      </c>
      <c r="P2403">
        <v>0</v>
      </c>
      <c r="Q2403" t="s">
        <v>44</v>
      </c>
      <c r="R2403" t="s">
        <v>44</v>
      </c>
      <c r="S2403" t="s">
        <v>44</v>
      </c>
      <c r="T2403" t="s">
        <v>44</v>
      </c>
      <c r="U2403" t="s">
        <v>44</v>
      </c>
      <c r="V2403">
        <v>1373</v>
      </c>
      <c r="W2403" t="s">
        <v>44</v>
      </c>
      <c r="X2403" t="s">
        <v>44</v>
      </c>
      <c r="Y2403">
        <v>1373</v>
      </c>
      <c r="Z2403" t="s">
        <v>44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 s="2">
        <v>1373</v>
      </c>
      <c r="AQ2403">
        <f t="shared" si="84"/>
        <v>1373</v>
      </c>
      <c r="AR2403" s="5">
        <f>VLOOKUP(F2403,'[2]SCP_24-25'!$A:$D,4,0)</f>
        <v>79.680000000000007</v>
      </c>
      <c r="AS2403" s="5">
        <f t="shared" si="83"/>
        <v>109400.64000000001</v>
      </c>
    </row>
    <row r="2404" spans="1:45" x14ac:dyDescent="0.3">
      <c r="A2404" s="1">
        <v>45900.965277777781</v>
      </c>
      <c r="B2404" t="s">
        <v>1499</v>
      </c>
      <c r="C2404" t="s">
        <v>1500</v>
      </c>
      <c r="D2404" t="s">
        <v>570</v>
      </c>
      <c r="F2404" t="s">
        <v>1739</v>
      </c>
      <c r="G2404" t="s">
        <v>571</v>
      </c>
      <c r="H2404" t="s">
        <v>130</v>
      </c>
      <c r="I2404" t="s">
        <v>43</v>
      </c>
      <c r="J2404">
        <v>24</v>
      </c>
      <c r="K2404">
        <v>19</v>
      </c>
      <c r="L2404">
        <v>10</v>
      </c>
      <c r="M2404">
        <v>11</v>
      </c>
      <c r="N2404">
        <v>1776</v>
      </c>
      <c r="O2404">
        <v>6</v>
      </c>
      <c r="P2404">
        <v>0</v>
      </c>
      <c r="Q2404" t="s">
        <v>44</v>
      </c>
      <c r="R2404" t="s">
        <v>44</v>
      </c>
      <c r="S2404" t="s">
        <v>44</v>
      </c>
      <c r="T2404" t="s">
        <v>44</v>
      </c>
      <c r="U2404" t="s">
        <v>44</v>
      </c>
      <c r="V2404">
        <v>1596</v>
      </c>
      <c r="W2404" t="s">
        <v>44</v>
      </c>
      <c r="X2404" t="s">
        <v>44</v>
      </c>
      <c r="Y2404">
        <v>1596</v>
      </c>
      <c r="Z2404" t="s">
        <v>44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 s="2">
        <v>1602</v>
      </c>
      <c r="AQ2404">
        <f t="shared" si="84"/>
        <v>1602</v>
      </c>
      <c r="AR2404" s="5">
        <f>VLOOKUP(F2404,'[2]SCP_24-25'!$A:$D,4,0)</f>
        <v>79.680000000000007</v>
      </c>
      <c r="AS2404" s="5">
        <f t="shared" si="83"/>
        <v>127647.36000000002</v>
      </c>
    </row>
    <row r="2405" spans="1:45" x14ac:dyDescent="0.3">
      <c r="A2405" s="1">
        <v>45900.965277777781</v>
      </c>
      <c r="B2405" t="s">
        <v>1499</v>
      </c>
      <c r="C2405" t="s">
        <v>1500</v>
      </c>
      <c r="D2405" t="s">
        <v>528</v>
      </c>
      <c r="F2405" t="s">
        <v>1718</v>
      </c>
      <c r="G2405" t="s">
        <v>529</v>
      </c>
      <c r="H2405" t="s">
        <v>130</v>
      </c>
      <c r="I2405" t="s">
        <v>43</v>
      </c>
      <c r="J2405">
        <v>24.02</v>
      </c>
      <c r="K2405">
        <v>19</v>
      </c>
      <c r="L2405">
        <v>10</v>
      </c>
      <c r="M2405">
        <v>11</v>
      </c>
      <c r="N2405">
        <v>1966</v>
      </c>
      <c r="O2405">
        <v>0</v>
      </c>
      <c r="P2405">
        <v>0</v>
      </c>
      <c r="Q2405" t="s">
        <v>44</v>
      </c>
      <c r="R2405" t="s">
        <v>44</v>
      </c>
      <c r="S2405" t="s">
        <v>44</v>
      </c>
      <c r="T2405" t="s">
        <v>44</v>
      </c>
      <c r="U2405" t="s">
        <v>44</v>
      </c>
      <c r="V2405">
        <v>1835</v>
      </c>
      <c r="W2405" t="s">
        <v>44</v>
      </c>
      <c r="X2405" t="s">
        <v>44</v>
      </c>
      <c r="Y2405">
        <v>1835</v>
      </c>
      <c r="Z2405" t="s">
        <v>44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 s="2">
        <v>1835</v>
      </c>
      <c r="AQ2405">
        <f t="shared" si="84"/>
        <v>1835</v>
      </c>
      <c r="AR2405" s="5">
        <f>VLOOKUP(F2405,'[2]SCP_24-25'!$A:$D,4,0)</f>
        <v>79.680000000000007</v>
      </c>
      <c r="AS2405" s="5">
        <f t="shared" si="83"/>
        <v>146212.80000000002</v>
      </c>
    </row>
    <row r="2406" spans="1:45" x14ac:dyDescent="0.3">
      <c r="A2406" s="1">
        <v>45900.965277777781</v>
      </c>
      <c r="B2406" t="s">
        <v>1499</v>
      </c>
      <c r="C2406" t="s">
        <v>1500</v>
      </c>
      <c r="D2406" t="s">
        <v>487</v>
      </c>
      <c r="F2406" t="s">
        <v>1698</v>
      </c>
      <c r="G2406" t="s">
        <v>488</v>
      </c>
      <c r="H2406" t="s">
        <v>130</v>
      </c>
      <c r="I2406" t="s">
        <v>43</v>
      </c>
      <c r="J2406">
        <v>24.02</v>
      </c>
      <c r="K2406">
        <v>19</v>
      </c>
      <c r="L2406">
        <v>10</v>
      </c>
      <c r="M2406">
        <v>11</v>
      </c>
      <c r="N2406">
        <v>1897</v>
      </c>
      <c r="O2406">
        <v>0</v>
      </c>
      <c r="P2406">
        <v>0</v>
      </c>
      <c r="Q2406" t="s">
        <v>44</v>
      </c>
      <c r="R2406" t="s">
        <v>44</v>
      </c>
      <c r="S2406" t="s">
        <v>44</v>
      </c>
      <c r="T2406" t="s">
        <v>44</v>
      </c>
      <c r="U2406" t="s">
        <v>44</v>
      </c>
      <c r="V2406">
        <v>1834</v>
      </c>
      <c r="W2406" t="s">
        <v>44</v>
      </c>
      <c r="X2406" t="s">
        <v>44</v>
      </c>
      <c r="Y2406">
        <v>1834</v>
      </c>
      <c r="Z2406" t="s">
        <v>44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 s="2">
        <v>1834</v>
      </c>
      <c r="AQ2406">
        <f t="shared" si="84"/>
        <v>1834</v>
      </c>
      <c r="AR2406" s="5">
        <f>VLOOKUP(F2406,'[2]SCP_24-25'!$A:$D,4,0)</f>
        <v>79.680000000000007</v>
      </c>
      <c r="AS2406" s="5">
        <f t="shared" si="83"/>
        <v>146133.12000000002</v>
      </c>
    </row>
    <row r="2407" spans="1:45" x14ac:dyDescent="0.3">
      <c r="A2407" s="1">
        <v>45900.965277777781</v>
      </c>
      <c r="B2407" t="s">
        <v>1499</v>
      </c>
      <c r="C2407" t="s">
        <v>1500</v>
      </c>
      <c r="D2407" t="s">
        <v>532</v>
      </c>
      <c r="F2407" t="s">
        <v>1720</v>
      </c>
      <c r="G2407" t="s">
        <v>533</v>
      </c>
      <c r="H2407" t="s">
        <v>130</v>
      </c>
      <c r="I2407" t="s">
        <v>43</v>
      </c>
      <c r="J2407">
        <v>38.020000000000003</v>
      </c>
      <c r="K2407">
        <v>19</v>
      </c>
      <c r="L2407">
        <v>10</v>
      </c>
      <c r="M2407">
        <v>11</v>
      </c>
      <c r="N2407">
        <v>1732</v>
      </c>
      <c r="O2407">
        <v>0</v>
      </c>
      <c r="P2407">
        <v>0</v>
      </c>
      <c r="Q2407" t="s">
        <v>44</v>
      </c>
      <c r="R2407" t="s">
        <v>44</v>
      </c>
      <c r="S2407" t="s">
        <v>44</v>
      </c>
      <c r="T2407" t="s">
        <v>44</v>
      </c>
      <c r="U2407" t="s">
        <v>44</v>
      </c>
      <c r="V2407">
        <v>1520</v>
      </c>
      <c r="W2407" t="s">
        <v>44</v>
      </c>
      <c r="X2407" t="s">
        <v>44</v>
      </c>
      <c r="Y2407">
        <v>1520</v>
      </c>
      <c r="Z2407" t="s">
        <v>44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 s="2">
        <v>1520</v>
      </c>
      <c r="AQ2407">
        <f t="shared" si="84"/>
        <v>1520</v>
      </c>
      <c r="AR2407" s="5">
        <f>VLOOKUP(F2407,'[2]SCP_24-25'!$A:$D,4,0)</f>
        <v>73.05</v>
      </c>
      <c r="AS2407" s="5">
        <f t="shared" si="83"/>
        <v>111036</v>
      </c>
    </row>
    <row r="2408" spans="1:45" x14ac:dyDescent="0.3">
      <c r="A2408" s="1">
        <v>45900.965277777781</v>
      </c>
      <c r="B2408" t="s">
        <v>1499</v>
      </c>
      <c r="C2408" t="s">
        <v>1500</v>
      </c>
      <c r="D2408" t="s">
        <v>489</v>
      </c>
      <c r="F2408" t="s">
        <v>1699</v>
      </c>
      <c r="G2408" t="s">
        <v>490</v>
      </c>
      <c r="H2408" t="s">
        <v>130</v>
      </c>
      <c r="I2408" t="s">
        <v>43</v>
      </c>
      <c r="J2408">
        <v>38.020000000000003</v>
      </c>
      <c r="K2408">
        <v>19</v>
      </c>
      <c r="L2408">
        <v>10</v>
      </c>
      <c r="M2408">
        <v>11</v>
      </c>
      <c r="N2408">
        <v>1272</v>
      </c>
      <c r="O2408">
        <v>6</v>
      </c>
      <c r="P2408">
        <v>0</v>
      </c>
      <c r="Q2408" t="s">
        <v>44</v>
      </c>
      <c r="R2408" t="s">
        <v>44</v>
      </c>
      <c r="S2408" t="s">
        <v>44</v>
      </c>
      <c r="T2408" t="s">
        <v>44</v>
      </c>
      <c r="U2408" t="s">
        <v>44</v>
      </c>
      <c r="V2408">
        <v>1122</v>
      </c>
      <c r="W2408" t="s">
        <v>44</v>
      </c>
      <c r="X2408" t="s">
        <v>44</v>
      </c>
      <c r="Y2408">
        <v>1122</v>
      </c>
      <c r="Z2408" t="s">
        <v>44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 s="2">
        <v>1128</v>
      </c>
      <c r="AQ2408">
        <f t="shared" si="84"/>
        <v>1128</v>
      </c>
      <c r="AR2408" s="5">
        <f>VLOOKUP(F2408,'[2]SCP_24-25'!$A:$D,4,0)</f>
        <v>73.05</v>
      </c>
      <c r="AS2408" s="5">
        <f t="shared" si="83"/>
        <v>82400.399999999994</v>
      </c>
    </row>
    <row r="2409" spans="1:45" x14ac:dyDescent="0.3">
      <c r="A2409" s="1">
        <v>45900.965277777781</v>
      </c>
      <c r="B2409" t="s">
        <v>1499</v>
      </c>
      <c r="C2409" t="s">
        <v>1500</v>
      </c>
      <c r="D2409" t="s">
        <v>453</v>
      </c>
      <c r="F2409" t="s">
        <v>1681</v>
      </c>
      <c r="G2409" t="s">
        <v>454</v>
      </c>
      <c r="H2409" t="s">
        <v>130</v>
      </c>
      <c r="I2409" t="s">
        <v>43</v>
      </c>
      <c r="J2409">
        <v>38.020000000000003</v>
      </c>
      <c r="K2409">
        <v>19</v>
      </c>
      <c r="L2409">
        <v>10</v>
      </c>
      <c r="M2409">
        <v>11</v>
      </c>
      <c r="N2409">
        <v>1584</v>
      </c>
      <c r="O2409">
        <v>6</v>
      </c>
      <c r="P2409">
        <v>0</v>
      </c>
      <c r="Q2409" t="s">
        <v>44</v>
      </c>
      <c r="R2409" t="s">
        <v>44</v>
      </c>
      <c r="S2409" t="s">
        <v>44</v>
      </c>
      <c r="T2409" t="s">
        <v>44</v>
      </c>
      <c r="U2409" t="s">
        <v>44</v>
      </c>
      <c r="V2409">
        <v>1433</v>
      </c>
      <c r="W2409" t="s">
        <v>44</v>
      </c>
      <c r="X2409" t="s">
        <v>44</v>
      </c>
      <c r="Y2409">
        <v>1433</v>
      </c>
      <c r="Z2409" t="s">
        <v>44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 s="2">
        <v>1439</v>
      </c>
      <c r="AQ2409">
        <f t="shared" si="84"/>
        <v>1439</v>
      </c>
      <c r="AR2409" s="5">
        <f>VLOOKUP(F2409,'[2]SCP_24-25'!$A:$D,4,0)</f>
        <v>73.05</v>
      </c>
      <c r="AS2409" s="5">
        <f t="shared" si="83"/>
        <v>105118.95</v>
      </c>
    </row>
    <row r="2410" spans="1:45" x14ac:dyDescent="0.3">
      <c r="A2410" s="1">
        <v>45900.965277777781</v>
      </c>
      <c r="B2410" t="s">
        <v>1499</v>
      </c>
      <c r="C2410" t="s">
        <v>1500</v>
      </c>
      <c r="D2410" t="s">
        <v>493</v>
      </c>
      <c r="F2410" t="s">
        <v>1701</v>
      </c>
      <c r="G2410" t="s">
        <v>494</v>
      </c>
      <c r="H2410" t="s">
        <v>130</v>
      </c>
      <c r="I2410" t="s">
        <v>43</v>
      </c>
      <c r="J2410">
        <v>40.020000000000003</v>
      </c>
      <c r="K2410">
        <v>19</v>
      </c>
      <c r="L2410">
        <v>10</v>
      </c>
      <c r="M2410">
        <v>11</v>
      </c>
      <c r="N2410">
        <v>1471</v>
      </c>
      <c r="O2410">
        <v>24</v>
      </c>
      <c r="P2410">
        <v>0</v>
      </c>
      <c r="Q2410" t="s">
        <v>44</v>
      </c>
      <c r="R2410" t="s">
        <v>44</v>
      </c>
      <c r="S2410" t="s">
        <v>44</v>
      </c>
      <c r="T2410" t="s">
        <v>44</v>
      </c>
      <c r="U2410" t="s">
        <v>44</v>
      </c>
      <c r="V2410">
        <v>1071</v>
      </c>
      <c r="W2410" t="s">
        <v>44</v>
      </c>
      <c r="X2410" t="s">
        <v>44</v>
      </c>
      <c r="Y2410">
        <v>1071</v>
      </c>
      <c r="Z2410" t="s">
        <v>44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 s="2">
        <v>1095</v>
      </c>
      <c r="AQ2410">
        <f t="shared" si="84"/>
        <v>1095</v>
      </c>
      <c r="AR2410" s="5">
        <f>VLOOKUP(F2410,'[2]SCP_24-25'!$A:$D,4,0)</f>
        <v>98.3</v>
      </c>
      <c r="AS2410" s="5">
        <f t="shared" si="83"/>
        <v>107638.5</v>
      </c>
    </row>
    <row r="2411" spans="1:45" x14ac:dyDescent="0.3">
      <c r="A2411" s="1">
        <v>45900.965277777781</v>
      </c>
      <c r="B2411" t="s">
        <v>1499</v>
      </c>
      <c r="C2411" t="s">
        <v>1500</v>
      </c>
      <c r="D2411" t="s">
        <v>429</v>
      </c>
      <c r="F2411" t="s">
        <v>1671</v>
      </c>
      <c r="G2411" t="s">
        <v>430</v>
      </c>
      <c r="H2411" t="s">
        <v>130</v>
      </c>
      <c r="I2411" t="s">
        <v>43</v>
      </c>
      <c r="J2411">
        <v>40.020000000000003</v>
      </c>
      <c r="K2411">
        <v>19</v>
      </c>
      <c r="L2411">
        <v>10</v>
      </c>
      <c r="M2411">
        <v>11</v>
      </c>
      <c r="N2411">
        <v>2339</v>
      </c>
      <c r="O2411">
        <v>24</v>
      </c>
      <c r="P2411">
        <v>0</v>
      </c>
      <c r="Q2411" t="s">
        <v>44</v>
      </c>
      <c r="R2411" t="s">
        <v>44</v>
      </c>
      <c r="S2411" t="s">
        <v>44</v>
      </c>
      <c r="T2411" t="s">
        <v>44</v>
      </c>
      <c r="U2411" t="s">
        <v>44</v>
      </c>
      <c r="V2411">
        <v>1006</v>
      </c>
      <c r="W2411" t="s">
        <v>44</v>
      </c>
      <c r="X2411" t="s">
        <v>44</v>
      </c>
      <c r="Y2411">
        <v>1006</v>
      </c>
      <c r="Z2411" t="s">
        <v>44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 s="2">
        <v>1030</v>
      </c>
      <c r="AQ2411">
        <f t="shared" si="84"/>
        <v>1030</v>
      </c>
      <c r="AR2411" s="5">
        <f>VLOOKUP(F2411,'[2]SCP_24-25'!$A:$D,4,0)</f>
        <v>98.299999999999983</v>
      </c>
      <c r="AS2411" s="5">
        <f t="shared" si="83"/>
        <v>101248.99999999999</v>
      </c>
    </row>
    <row r="2412" spans="1:45" x14ac:dyDescent="0.3">
      <c r="A2412" s="1">
        <v>45900.965277777781</v>
      </c>
      <c r="B2412" t="s">
        <v>1499</v>
      </c>
      <c r="C2412" t="s">
        <v>1500</v>
      </c>
      <c r="D2412" t="s">
        <v>461</v>
      </c>
      <c r="F2412" t="s">
        <v>1685</v>
      </c>
      <c r="G2412" t="s">
        <v>462</v>
      </c>
      <c r="H2412" t="s">
        <v>130</v>
      </c>
      <c r="I2412" t="s">
        <v>43</v>
      </c>
      <c r="J2412">
        <v>53.02</v>
      </c>
      <c r="K2412">
        <v>19</v>
      </c>
      <c r="L2412">
        <v>10</v>
      </c>
      <c r="M2412">
        <v>11</v>
      </c>
      <c r="N2412">
        <v>1226</v>
      </c>
      <c r="O2412">
        <v>0</v>
      </c>
      <c r="P2412">
        <v>0</v>
      </c>
      <c r="Q2412" t="s">
        <v>44</v>
      </c>
      <c r="R2412" t="s">
        <v>44</v>
      </c>
      <c r="S2412" t="s">
        <v>44</v>
      </c>
      <c r="T2412" t="s">
        <v>44</v>
      </c>
      <c r="U2412" t="s">
        <v>44</v>
      </c>
      <c r="V2412">
        <v>1112</v>
      </c>
      <c r="W2412" t="s">
        <v>44</v>
      </c>
      <c r="X2412" t="s">
        <v>44</v>
      </c>
      <c r="Y2412">
        <v>1112</v>
      </c>
      <c r="Z2412" t="s">
        <v>44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 s="2">
        <v>1112</v>
      </c>
      <c r="AQ2412">
        <f t="shared" si="84"/>
        <v>1112</v>
      </c>
      <c r="AR2412" s="5">
        <f>VLOOKUP(F2412,'[2]SCP_24-25'!$A:$D,4,0)</f>
        <v>51.74</v>
      </c>
      <c r="AS2412" s="5">
        <f t="shared" si="83"/>
        <v>57534.880000000005</v>
      </c>
    </row>
    <row r="2413" spans="1:45" x14ac:dyDescent="0.3">
      <c r="A2413" s="1">
        <v>45900.965277777781</v>
      </c>
      <c r="B2413" t="s">
        <v>1499</v>
      </c>
      <c r="C2413" t="s">
        <v>1500</v>
      </c>
      <c r="D2413" t="s">
        <v>463</v>
      </c>
      <c r="F2413" t="s">
        <v>1686</v>
      </c>
      <c r="G2413" t="s">
        <v>464</v>
      </c>
      <c r="H2413" t="s">
        <v>130</v>
      </c>
      <c r="I2413" t="s">
        <v>43</v>
      </c>
      <c r="J2413">
        <v>53.02</v>
      </c>
      <c r="K2413">
        <v>19</v>
      </c>
      <c r="L2413">
        <v>10</v>
      </c>
      <c r="M2413">
        <v>11</v>
      </c>
      <c r="N2413">
        <v>1339</v>
      </c>
      <c r="O2413">
        <v>0</v>
      </c>
      <c r="P2413">
        <v>0</v>
      </c>
      <c r="Q2413" t="s">
        <v>44</v>
      </c>
      <c r="R2413" t="s">
        <v>44</v>
      </c>
      <c r="S2413" t="s">
        <v>44</v>
      </c>
      <c r="T2413" t="s">
        <v>44</v>
      </c>
      <c r="U2413" t="s">
        <v>44</v>
      </c>
      <c r="V2413">
        <v>1285</v>
      </c>
      <c r="W2413" t="s">
        <v>44</v>
      </c>
      <c r="X2413" t="s">
        <v>44</v>
      </c>
      <c r="Y2413">
        <v>1285</v>
      </c>
      <c r="Z2413" t="s">
        <v>44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 s="2">
        <v>1285</v>
      </c>
      <c r="AQ2413">
        <f t="shared" si="84"/>
        <v>1285</v>
      </c>
      <c r="AR2413" s="5">
        <f>VLOOKUP(F2413,'[2]SCP_24-25'!$A:$D,4,0)</f>
        <v>51.74</v>
      </c>
      <c r="AS2413" s="5">
        <f t="shared" si="83"/>
        <v>66485.900000000009</v>
      </c>
    </row>
    <row r="2414" spans="1:45" x14ac:dyDescent="0.3">
      <c r="A2414" s="1">
        <v>45900.965277777781</v>
      </c>
      <c r="B2414" t="s">
        <v>1499</v>
      </c>
      <c r="C2414" t="s">
        <v>1500</v>
      </c>
      <c r="D2414" t="s">
        <v>465</v>
      </c>
      <c r="F2414" t="s">
        <v>1687</v>
      </c>
      <c r="G2414" t="s">
        <v>466</v>
      </c>
      <c r="H2414" t="s">
        <v>130</v>
      </c>
      <c r="I2414" t="s">
        <v>43</v>
      </c>
      <c r="J2414">
        <v>29.02</v>
      </c>
      <c r="K2414">
        <v>19</v>
      </c>
      <c r="L2414">
        <v>10</v>
      </c>
      <c r="M2414">
        <v>11</v>
      </c>
      <c r="N2414">
        <v>1805</v>
      </c>
      <c r="O2414">
        <v>18</v>
      </c>
      <c r="P2414">
        <v>0</v>
      </c>
      <c r="Q2414" t="s">
        <v>44</v>
      </c>
      <c r="R2414" t="s">
        <v>44</v>
      </c>
      <c r="S2414" t="s">
        <v>44</v>
      </c>
      <c r="T2414" t="s">
        <v>44</v>
      </c>
      <c r="U2414" t="s">
        <v>44</v>
      </c>
      <c r="V2414">
        <v>1120</v>
      </c>
      <c r="W2414" t="s">
        <v>44</v>
      </c>
      <c r="X2414" t="s">
        <v>44</v>
      </c>
      <c r="Y2414">
        <v>1120</v>
      </c>
      <c r="Z2414" t="s">
        <v>44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 s="2">
        <v>1138</v>
      </c>
      <c r="AQ2414">
        <f t="shared" si="84"/>
        <v>1138</v>
      </c>
      <c r="AR2414" s="5">
        <f>VLOOKUP(F2414,'[2]SCP_24-25'!$A:$D,4,0)</f>
        <v>113</v>
      </c>
      <c r="AS2414" s="5">
        <f t="shared" si="83"/>
        <v>128594</v>
      </c>
    </row>
    <row r="2415" spans="1:45" x14ac:dyDescent="0.3">
      <c r="A2415" s="1">
        <v>45900.965277777781</v>
      </c>
      <c r="B2415" t="s">
        <v>1499</v>
      </c>
      <c r="C2415" t="s">
        <v>1500</v>
      </c>
      <c r="D2415" t="s">
        <v>801</v>
      </c>
      <c r="F2415" t="s">
        <v>1852</v>
      </c>
      <c r="G2415" t="s">
        <v>802</v>
      </c>
      <c r="H2415" t="s">
        <v>130</v>
      </c>
      <c r="I2415" t="s">
        <v>43</v>
      </c>
      <c r="J2415">
        <v>32.020000000000003</v>
      </c>
      <c r="K2415">
        <v>19</v>
      </c>
      <c r="L2415">
        <v>10</v>
      </c>
      <c r="M2415">
        <v>11</v>
      </c>
      <c r="N2415">
        <v>2493</v>
      </c>
      <c r="O2415">
        <v>24</v>
      </c>
      <c r="P2415">
        <v>0</v>
      </c>
      <c r="Q2415" t="s">
        <v>44</v>
      </c>
      <c r="R2415" t="s">
        <v>44</v>
      </c>
      <c r="S2415" t="s">
        <v>44</v>
      </c>
      <c r="T2415" t="s">
        <v>44</v>
      </c>
      <c r="U2415" t="s">
        <v>44</v>
      </c>
      <c r="V2415">
        <v>2048</v>
      </c>
      <c r="W2415" t="s">
        <v>44</v>
      </c>
      <c r="X2415" t="s">
        <v>44</v>
      </c>
      <c r="Y2415">
        <v>2048</v>
      </c>
      <c r="Z2415" t="s">
        <v>44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 s="2">
        <v>2072</v>
      </c>
      <c r="AQ2415">
        <f t="shared" si="84"/>
        <v>2072</v>
      </c>
      <c r="AR2415" s="5">
        <f>VLOOKUP(F2415,'[2]SCP_24-25'!$A:$D,4,0)</f>
        <v>96.2</v>
      </c>
      <c r="AS2415" s="5">
        <f t="shared" si="83"/>
        <v>199326.4</v>
      </c>
    </row>
    <row r="2416" spans="1:45" x14ac:dyDescent="0.3">
      <c r="A2416" s="1">
        <v>45900.965277777781</v>
      </c>
      <c r="B2416" t="s">
        <v>1499</v>
      </c>
      <c r="C2416" t="s">
        <v>1500</v>
      </c>
      <c r="D2416" t="s">
        <v>409</v>
      </c>
      <c r="F2416" t="s">
        <v>1662</v>
      </c>
      <c r="G2416" t="s">
        <v>410</v>
      </c>
      <c r="H2416" t="s">
        <v>103</v>
      </c>
      <c r="I2416" t="s">
        <v>43</v>
      </c>
      <c r="J2416">
        <v>100.52</v>
      </c>
      <c r="K2416">
        <v>19</v>
      </c>
      <c r="L2416">
        <v>11</v>
      </c>
      <c r="M2416">
        <v>10</v>
      </c>
      <c r="N2416">
        <v>4499</v>
      </c>
      <c r="O2416">
        <v>144</v>
      </c>
      <c r="P2416">
        <v>0</v>
      </c>
      <c r="Q2416" t="s">
        <v>44</v>
      </c>
      <c r="R2416" t="s">
        <v>44</v>
      </c>
      <c r="S2416" t="s">
        <v>44</v>
      </c>
      <c r="T2416">
        <v>48</v>
      </c>
      <c r="U2416" t="s">
        <v>44</v>
      </c>
      <c r="V2416">
        <v>1801</v>
      </c>
      <c r="W2416" t="s">
        <v>44</v>
      </c>
      <c r="X2416" t="s">
        <v>44</v>
      </c>
      <c r="Y2416">
        <v>1801</v>
      </c>
      <c r="Z2416" t="s">
        <v>44</v>
      </c>
      <c r="AA2416">
        <v>48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 s="2">
        <v>1993</v>
      </c>
      <c r="AQ2416">
        <f t="shared" si="84"/>
        <v>1993</v>
      </c>
      <c r="AR2416" s="5">
        <f>VLOOKUP(F2416,'[2]SCP_24-25'!$A:$D,4,0)</f>
        <v>71.81</v>
      </c>
      <c r="AS2416" s="5">
        <f t="shared" si="83"/>
        <v>143117.33000000002</v>
      </c>
    </row>
    <row r="2417" spans="1:45" x14ac:dyDescent="0.3">
      <c r="A2417" s="1">
        <v>45900.965277777781</v>
      </c>
      <c r="B2417" t="s">
        <v>1499</v>
      </c>
      <c r="C2417" t="s">
        <v>1500</v>
      </c>
      <c r="D2417" t="s">
        <v>550</v>
      </c>
      <c r="F2417" t="s">
        <v>1729</v>
      </c>
      <c r="G2417" t="s">
        <v>551</v>
      </c>
      <c r="H2417" t="s">
        <v>103</v>
      </c>
      <c r="I2417" t="s">
        <v>43</v>
      </c>
      <c r="J2417">
        <v>100.52</v>
      </c>
      <c r="K2417">
        <v>19</v>
      </c>
      <c r="L2417">
        <v>11</v>
      </c>
      <c r="M2417">
        <v>10</v>
      </c>
      <c r="N2417">
        <v>7369</v>
      </c>
      <c r="O2417">
        <v>228</v>
      </c>
      <c r="P2417">
        <v>0</v>
      </c>
      <c r="Q2417">
        <v>7</v>
      </c>
      <c r="R2417">
        <v>1</v>
      </c>
      <c r="S2417" t="s">
        <v>44</v>
      </c>
      <c r="T2417">
        <v>36</v>
      </c>
      <c r="U2417" t="s">
        <v>44</v>
      </c>
      <c r="V2417">
        <v>1610</v>
      </c>
      <c r="W2417" t="s">
        <v>44</v>
      </c>
      <c r="X2417" t="s">
        <v>44</v>
      </c>
      <c r="Y2417">
        <v>1610</v>
      </c>
      <c r="Z2417" t="s">
        <v>44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 s="2">
        <v>1838</v>
      </c>
      <c r="AQ2417">
        <f t="shared" si="84"/>
        <v>1838</v>
      </c>
      <c r="AR2417" s="5">
        <f>VLOOKUP(F2417,'[2]SCP_24-25'!$A:$D,4,0)</f>
        <v>90.823333333333338</v>
      </c>
      <c r="AS2417" s="5">
        <f t="shared" si="83"/>
        <v>166933.28666666668</v>
      </c>
    </row>
    <row r="2418" spans="1:45" x14ac:dyDescent="0.3">
      <c r="A2418" s="1">
        <v>45900.965277777781</v>
      </c>
      <c r="B2418" t="s">
        <v>1499</v>
      </c>
      <c r="C2418" t="s">
        <v>1500</v>
      </c>
      <c r="D2418" t="s">
        <v>469</v>
      </c>
      <c r="F2418" t="s">
        <v>1689</v>
      </c>
      <c r="G2418" t="s">
        <v>470</v>
      </c>
      <c r="H2418" t="s">
        <v>66</v>
      </c>
      <c r="I2418" t="s">
        <v>43</v>
      </c>
      <c r="J2418">
        <v>459.02</v>
      </c>
      <c r="K2418">
        <v>19</v>
      </c>
      <c r="L2418">
        <v>11</v>
      </c>
      <c r="M2418">
        <v>10</v>
      </c>
      <c r="N2418">
        <v>2138</v>
      </c>
      <c r="O2418">
        <v>0</v>
      </c>
      <c r="P2418">
        <v>0</v>
      </c>
      <c r="Q2418" t="s">
        <v>44</v>
      </c>
      <c r="R2418" t="s">
        <v>44</v>
      </c>
      <c r="S2418" t="s">
        <v>44</v>
      </c>
      <c r="T2418" t="s">
        <v>44</v>
      </c>
      <c r="U2418" t="s">
        <v>44</v>
      </c>
      <c r="V2418">
        <v>1269</v>
      </c>
      <c r="W2418" t="s">
        <v>44</v>
      </c>
      <c r="X2418" t="s">
        <v>44</v>
      </c>
      <c r="Y2418">
        <v>1269</v>
      </c>
      <c r="Z2418" t="s">
        <v>44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 s="2">
        <v>1269</v>
      </c>
      <c r="AQ2418">
        <f t="shared" si="84"/>
        <v>1269</v>
      </c>
      <c r="AR2418" s="5">
        <f>VLOOKUP(F2418,'[2]SCP_24-25'!$A:$D,4,0)</f>
        <v>91.35</v>
      </c>
      <c r="AS2418" s="5">
        <f t="shared" si="83"/>
        <v>115923.15</v>
      </c>
    </row>
    <row r="2419" spans="1:45" x14ac:dyDescent="0.3">
      <c r="A2419" s="1">
        <v>45900.965277777781</v>
      </c>
      <c r="B2419" t="s">
        <v>1499</v>
      </c>
      <c r="C2419" t="s">
        <v>1500</v>
      </c>
      <c r="D2419" t="s">
        <v>1244</v>
      </c>
      <c r="F2419" t="s">
        <v>2072</v>
      </c>
      <c r="G2419" t="s">
        <v>1245</v>
      </c>
      <c r="H2419" t="s">
        <v>66</v>
      </c>
      <c r="I2419" t="s">
        <v>43</v>
      </c>
      <c r="J2419">
        <v>163.02000000000001</v>
      </c>
      <c r="K2419">
        <v>19</v>
      </c>
      <c r="L2419">
        <v>11</v>
      </c>
      <c r="M2419">
        <v>10</v>
      </c>
      <c r="N2419">
        <v>2702</v>
      </c>
      <c r="O2419">
        <v>0</v>
      </c>
      <c r="P2419">
        <v>0</v>
      </c>
      <c r="Q2419" t="s">
        <v>44</v>
      </c>
      <c r="R2419" t="s">
        <v>44</v>
      </c>
      <c r="S2419" t="s">
        <v>44</v>
      </c>
      <c r="T2419" t="s">
        <v>44</v>
      </c>
      <c r="U2419" t="s">
        <v>44</v>
      </c>
      <c r="V2419">
        <v>1135</v>
      </c>
      <c r="W2419" t="s">
        <v>44</v>
      </c>
      <c r="X2419" t="s">
        <v>44</v>
      </c>
      <c r="Y2419">
        <v>1135</v>
      </c>
      <c r="Z2419" t="s">
        <v>44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 s="2">
        <v>1135</v>
      </c>
      <c r="AQ2419">
        <f t="shared" si="84"/>
        <v>1135</v>
      </c>
      <c r="AR2419" s="5">
        <f>VLOOKUP(F2419,'[2]SCP_24-25'!$A:$D,4,0)</f>
        <v>70.5</v>
      </c>
      <c r="AS2419" s="5">
        <f t="shared" si="83"/>
        <v>80017.5</v>
      </c>
    </row>
    <row r="2420" spans="1:45" x14ac:dyDescent="0.3">
      <c r="A2420" s="1">
        <v>45900.965277777781</v>
      </c>
      <c r="B2420" t="s">
        <v>1499</v>
      </c>
      <c r="C2420" t="s">
        <v>1500</v>
      </c>
      <c r="D2420" t="s">
        <v>809</v>
      </c>
      <c r="F2420" t="s">
        <v>1856</v>
      </c>
      <c r="G2420" t="s">
        <v>810</v>
      </c>
      <c r="H2420" t="s">
        <v>66</v>
      </c>
      <c r="I2420" t="s">
        <v>415</v>
      </c>
      <c r="J2420">
        <v>450</v>
      </c>
      <c r="K2420">
        <v>19</v>
      </c>
      <c r="L2420">
        <v>10</v>
      </c>
      <c r="M2420">
        <v>11</v>
      </c>
      <c r="N2420">
        <v>1763</v>
      </c>
      <c r="O2420">
        <v>0</v>
      </c>
      <c r="P2420">
        <v>0</v>
      </c>
      <c r="Q2420" t="s">
        <v>44</v>
      </c>
      <c r="R2420" t="s">
        <v>44</v>
      </c>
      <c r="S2420" t="s">
        <v>44</v>
      </c>
      <c r="T2420" t="s">
        <v>44</v>
      </c>
      <c r="U2420" t="s">
        <v>44</v>
      </c>
      <c r="V2420">
        <v>1030</v>
      </c>
      <c r="W2420" t="s">
        <v>44</v>
      </c>
      <c r="X2420" t="s">
        <v>44</v>
      </c>
      <c r="Y2420">
        <v>1030</v>
      </c>
      <c r="Z2420" t="s">
        <v>44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 s="2">
        <v>1030</v>
      </c>
      <c r="AQ2420">
        <f t="shared" si="84"/>
        <v>1030</v>
      </c>
      <c r="AR2420" s="5">
        <f>VLOOKUP(F2420,'[2]SCP_24-25'!$A:$D,4,0)</f>
        <v>119.51000000000002</v>
      </c>
      <c r="AS2420" s="5">
        <f t="shared" si="83"/>
        <v>123095.30000000002</v>
      </c>
    </row>
    <row r="2421" spans="1:45" x14ac:dyDescent="0.3">
      <c r="A2421" s="1">
        <v>45900.965277777781</v>
      </c>
      <c r="B2421" t="s">
        <v>1499</v>
      </c>
      <c r="C2421" t="s">
        <v>1500</v>
      </c>
      <c r="D2421" t="s">
        <v>811</v>
      </c>
      <c r="F2421" t="s">
        <v>1857</v>
      </c>
      <c r="G2421" t="s">
        <v>812</v>
      </c>
      <c r="H2421" t="s">
        <v>130</v>
      </c>
      <c r="I2421" t="s">
        <v>415</v>
      </c>
      <c r="J2421">
        <v>3.5</v>
      </c>
      <c r="K2421">
        <v>19</v>
      </c>
      <c r="L2421">
        <v>10</v>
      </c>
      <c r="M2421">
        <v>11</v>
      </c>
      <c r="N2421">
        <v>2452</v>
      </c>
      <c r="O2421">
        <v>0</v>
      </c>
      <c r="P2421">
        <v>0</v>
      </c>
      <c r="Q2421" t="s">
        <v>44</v>
      </c>
      <c r="R2421" t="s">
        <v>44</v>
      </c>
      <c r="S2421" t="s">
        <v>44</v>
      </c>
      <c r="T2421" t="s">
        <v>44</v>
      </c>
      <c r="U2421" t="s">
        <v>44</v>
      </c>
      <c r="V2421">
        <v>1516</v>
      </c>
      <c r="W2421" t="s">
        <v>44</v>
      </c>
      <c r="X2421" t="s">
        <v>44</v>
      </c>
      <c r="Y2421">
        <v>1516</v>
      </c>
      <c r="Z2421" t="s">
        <v>44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 s="2">
        <v>1516</v>
      </c>
      <c r="AQ2421">
        <f t="shared" si="84"/>
        <v>1516</v>
      </c>
      <c r="AR2421" s="5">
        <f>VLOOKUP(F2421,'[2]SCP_24-25'!$A:$D,4,0)</f>
        <v>149.82</v>
      </c>
      <c r="AS2421" s="5">
        <f t="shared" si="83"/>
        <v>227127.12</v>
      </c>
    </row>
    <row r="2422" spans="1:45" x14ac:dyDescent="0.3">
      <c r="A2422" s="1">
        <v>45900.965277777781</v>
      </c>
      <c r="B2422" t="s">
        <v>1499</v>
      </c>
      <c r="C2422" t="s">
        <v>1500</v>
      </c>
      <c r="D2422" t="s">
        <v>815</v>
      </c>
      <c r="F2422" t="s">
        <v>1859</v>
      </c>
      <c r="G2422" t="s">
        <v>816</v>
      </c>
      <c r="H2422" t="s">
        <v>130</v>
      </c>
      <c r="I2422" t="s">
        <v>415</v>
      </c>
      <c r="J2422">
        <v>3.5</v>
      </c>
      <c r="K2422">
        <v>19</v>
      </c>
      <c r="L2422">
        <v>10</v>
      </c>
      <c r="M2422">
        <v>11</v>
      </c>
      <c r="N2422">
        <v>2880</v>
      </c>
      <c r="O2422">
        <v>0</v>
      </c>
      <c r="P2422">
        <v>0</v>
      </c>
      <c r="Q2422" t="s">
        <v>44</v>
      </c>
      <c r="R2422" t="s">
        <v>44</v>
      </c>
      <c r="S2422" t="s">
        <v>44</v>
      </c>
      <c r="T2422" t="s">
        <v>44</v>
      </c>
      <c r="U2422" t="s">
        <v>44</v>
      </c>
      <c r="V2422">
        <v>1938</v>
      </c>
      <c r="W2422" t="s">
        <v>44</v>
      </c>
      <c r="X2422" t="s">
        <v>44</v>
      </c>
      <c r="Y2422">
        <v>1938</v>
      </c>
      <c r="Z2422" t="s">
        <v>44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 s="2">
        <v>1938</v>
      </c>
      <c r="AQ2422">
        <f t="shared" si="84"/>
        <v>1938</v>
      </c>
      <c r="AR2422" s="5">
        <f>VLOOKUP(F2422,'[2]SCP_24-25'!$A:$D,4,0)</f>
        <v>149.82</v>
      </c>
      <c r="AS2422" s="5">
        <f t="shared" si="83"/>
        <v>290351.15999999997</v>
      </c>
    </row>
    <row r="2423" spans="1:45" x14ac:dyDescent="0.3">
      <c r="A2423" s="1">
        <v>45900.965277777781</v>
      </c>
      <c r="B2423" t="s">
        <v>1499</v>
      </c>
      <c r="C2423" t="s">
        <v>1500</v>
      </c>
      <c r="D2423" t="s">
        <v>817</v>
      </c>
      <c r="F2423" t="s">
        <v>1860</v>
      </c>
      <c r="G2423" t="s">
        <v>818</v>
      </c>
      <c r="H2423" t="s">
        <v>130</v>
      </c>
      <c r="I2423" t="s">
        <v>415</v>
      </c>
      <c r="J2423">
        <v>3.5</v>
      </c>
      <c r="K2423">
        <v>19</v>
      </c>
      <c r="L2423">
        <v>10</v>
      </c>
      <c r="M2423">
        <v>11</v>
      </c>
      <c r="N2423">
        <v>3012</v>
      </c>
      <c r="O2423">
        <v>0</v>
      </c>
      <c r="P2423">
        <v>0</v>
      </c>
      <c r="Q2423" t="s">
        <v>44</v>
      </c>
      <c r="R2423" t="s">
        <v>44</v>
      </c>
      <c r="S2423" t="s">
        <v>44</v>
      </c>
      <c r="T2423" t="s">
        <v>44</v>
      </c>
      <c r="U2423" t="s">
        <v>44</v>
      </c>
      <c r="V2423">
        <v>2077</v>
      </c>
      <c r="W2423" t="s">
        <v>44</v>
      </c>
      <c r="X2423" t="s">
        <v>44</v>
      </c>
      <c r="Y2423">
        <v>2077</v>
      </c>
      <c r="Z2423" t="s">
        <v>44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 s="2">
        <v>2077</v>
      </c>
      <c r="AQ2423">
        <f t="shared" si="84"/>
        <v>2077</v>
      </c>
      <c r="AR2423" s="5">
        <f>VLOOKUP(F2423,'[2]SCP_24-25'!$A:$D,4,0)</f>
        <v>149.82</v>
      </c>
      <c r="AS2423" s="5">
        <f t="shared" si="83"/>
        <v>311176.14</v>
      </c>
    </row>
    <row r="2424" spans="1:45" x14ac:dyDescent="0.3">
      <c r="A2424" s="1">
        <v>45900.965277777781</v>
      </c>
      <c r="B2424" t="s">
        <v>1499</v>
      </c>
      <c r="C2424" t="s">
        <v>1500</v>
      </c>
      <c r="D2424" t="s">
        <v>819</v>
      </c>
      <c r="F2424" t="s">
        <v>1861</v>
      </c>
      <c r="G2424" t="s">
        <v>820</v>
      </c>
      <c r="H2424" t="s">
        <v>130</v>
      </c>
      <c r="I2424" t="s">
        <v>415</v>
      </c>
      <c r="J2424">
        <v>3.5</v>
      </c>
      <c r="K2424">
        <v>19</v>
      </c>
      <c r="L2424">
        <v>10</v>
      </c>
      <c r="M2424">
        <v>11</v>
      </c>
      <c r="N2424">
        <v>2748</v>
      </c>
      <c r="O2424">
        <v>0</v>
      </c>
      <c r="P2424">
        <v>0</v>
      </c>
      <c r="Q2424" t="s">
        <v>44</v>
      </c>
      <c r="R2424" t="s">
        <v>44</v>
      </c>
      <c r="S2424" t="s">
        <v>44</v>
      </c>
      <c r="T2424" t="s">
        <v>44</v>
      </c>
      <c r="U2424" t="s">
        <v>44</v>
      </c>
      <c r="V2424">
        <v>1806</v>
      </c>
      <c r="W2424" t="s">
        <v>44</v>
      </c>
      <c r="X2424" t="s">
        <v>44</v>
      </c>
      <c r="Y2424">
        <v>1806</v>
      </c>
      <c r="Z2424" t="s">
        <v>44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 s="2">
        <v>1806</v>
      </c>
      <c r="AQ2424">
        <f t="shared" si="84"/>
        <v>1806</v>
      </c>
      <c r="AR2424" s="5">
        <f>VLOOKUP(F2424,'[2]SCP_24-25'!$A:$D,4,0)</f>
        <v>149.82</v>
      </c>
      <c r="AS2424" s="5">
        <f t="shared" si="83"/>
        <v>270574.92</v>
      </c>
    </row>
    <row r="2425" spans="1:45" x14ac:dyDescent="0.3">
      <c r="A2425" s="1">
        <v>45900.965277777781</v>
      </c>
      <c r="B2425" t="s">
        <v>1499</v>
      </c>
      <c r="C2425" t="s">
        <v>1500</v>
      </c>
      <c r="D2425" t="s">
        <v>821</v>
      </c>
      <c r="F2425" t="s">
        <v>1862</v>
      </c>
      <c r="G2425" t="s">
        <v>822</v>
      </c>
      <c r="H2425" t="s">
        <v>130</v>
      </c>
      <c r="I2425" t="s">
        <v>415</v>
      </c>
      <c r="J2425">
        <v>3.5</v>
      </c>
      <c r="K2425">
        <v>19</v>
      </c>
      <c r="L2425">
        <v>10</v>
      </c>
      <c r="M2425">
        <v>11</v>
      </c>
      <c r="N2425">
        <v>2891</v>
      </c>
      <c r="O2425">
        <v>27</v>
      </c>
      <c r="P2425">
        <v>0</v>
      </c>
      <c r="Q2425" t="s">
        <v>44</v>
      </c>
      <c r="R2425" t="s">
        <v>44</v>
      </c>
      <c r="S2425" t="s">
        <v>44</v>
      </c>
      <c r="T2425">
        <v>192</v>
      </c>
      <c r="U2425" t="s">
        <v>44</v>
      </c>
      <c r="V2425">
        <v>2036</v>
      </c>
      <c r="W2425" t="s">
        <v>44</v>
      </c>
      <c r="X2425" t="s">
        <v>44</v>
      </c>
      <c r="Y2425">
        <v>2036</v>
      </c>
      <c r="Z2425" t="s">
        <v>44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 s="2">
        <v>2063</v>
      </c>
      <c r="AQ2425">
        <f t="shared" si="84"/>
        <v>2063</v>
      </c>
      <c r="AR2425" s="5">
        <f>VLOOKUP(F2425,'[2]SCP_24-25'!$A:$D,4,0)</f>
        <v>149.82</v>
      </c>
      <c r="AS2425" s="5">
        <f t="shared" si="83"/>
        <v>309078.65999999997</v>
      </c>
    </row>
    <row r="2426" spans="1:45" x14ac:dyDescent="0.3">
      <c r="A2426" s="1">
        <v>45900.965277777781</v>
      </c>
      <c r="B2426" t="s">
        <v>1499</v>
      </c>
      <c r="C2426" t="s">
        <v>1500</v>
      </c>
      <c r="D2426" t="s">
        <v>823</v>
      </c>
      <c r="F2426" t="s">
        <v>1863</v>
      </c>
      <c r="G2426" t="s">
        <v>824</v>
      </c>
      <c r="H2426" t="s">
        <v>130</v>
      </c>
      <c r="I2426" t="s">
        <v>415</v>
      </c>
      <c r="J2426">
        <v>3.5</v>
      </c>
      <c r="K2426">
        <v>19</v>
      </c>
      <c r="L2426">
        <v>10</v>
      </c>
      <c r="M2426">
        <v>11</v>
      </c>
      <c r="N2426">
        <v>2736</v>
      </c>
      <c r="O2426">
        <v>0</v>
      </c>
      <c r="P2426">
        <v>0</v>
      </c>
      <c r="Q2426" t="s">
        <v>44</v>
      </c>
      <c r="R2426" t="s">
        <v>44</v>
      </c>
      <c r="S2426" t="s">
        <v>44</v>
      </c>
      <c r="T2426" t="s">
        <v>44</v>
      </c>
      <c r="U2426" t="s">
        <v>44</v>
      </c>
      <c r="V2426">
        <v>1787</v>
      </c>
      <c r="W2426" t="s">
        <v>44</v>
      </c>
      <c r="X2426" t="s">
        <v>44</v>
      </c>
      <c r="Y2426">
        <v>1787</v>
      </c>
      <c r="Z2426" t="s">
        <v>44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 s="2">
        <v>1787</v>
      </c>
      <c r="AQ2426">
        <f t="shared" si="84"/>
        <v>1787</v>
      </c>
      <c r="AR2426" s="5">
        <f>VLOOKUP(F2426,'[2]SCP_24-25'!$A:$D,4,0)</f>
        <v>149.82</v>
      </c>
      <c r="AS2426" s="5">
        <f t="shared" si="83"/>
        <v>267728.33999999997</v>
      </c>
    </row>
    <row r="2427" spans="1:45" x14ac:dyDescent="0.3">
      <c r="A2427" s="1">
        <v>45900.965277777781</v>
      </c>
      <c r="B2427" t="s">
        <v>1499</v>
      </c>
      <c r="C2427" t="s">
        <v>1500</v>
      </c>
      <c r="D2427" t="s">
        <v>829</v>
      </c>
      <c r="F2427" t="s">
        <v>1866</v>
      </c>
      <c r="G2427" t="s">
        <v>830</v>
      </c>
      <c r="H2427" t="s">
        <v>130</v>
      </c>
      <c r="I2427" t="s">
        <v>415</v>
      </c>
      <c r="J2427">
        <v>3.5</v>
      </c>
      <c r="K2427">
        <v>19</v>
      </c>
      <c r="L2427">
        <v>10</v>
      </c>
      <c r="M2427">
        <v>11</v>
      </c>
      <c r="N2427">
        <v>2818</v>
      </c>
      <c r="O2427">
        <v>0</v>
      </c>
      <c r="P2427">
        <v>0</v>
      </c>
      <c r="Q2427" t="s">
        <v>44</v>
      </c>
      <c r="R2427" t="s">
        <v>44</v>
      </c>
      <c r="S2427" t="s">
        <v>44</v>
      </c>
      <c r="T2427" t="s">
        <v>44</v>
      </c>
      <c r="U2427" t="s">
        <v>44</v>
      </c>
      <c r="V2427">
        <v>1842</v>
      </c>
      <c r="W2427" t="s">
        <v>44</v>
      </c>
      <c r="X2427" t="s">
        <v>44</v>
      </c>
      <c r="Y2427">
        <v>1842</v>
      </c>
      <c r="Z2427" t="s">
        <v>44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 s="2">
        <v>1842</v>
      </c>
      <c r="AQ2427">
        <f t="shared" si="84"/>
        <v>1842</v>
      </c>
      <c r="AR2427" s="5">
        <f>VLOOKUP(F2427,'[2]SCP_24-25'!$A:$D,4,0)</f>
        <v>149.82</v>
      </c>
      <c r="AS2427" s="5">
        <f t="shared" si="83"/>
        <v>275968.44</v>
      </c>
    </row>
    <row r="2428" spans="1:45" x14ac:dyDescent="0.3">
      <c r="A2428" s="1">
        <v>45900.965277777781</v>
      </c>
      <c r="B2428" t="s">
        <v>1499</v>
      </c>
      <c r="C2428" t="s">
        <v>1500</v>
      </c>
      <c r="D2428" t="s">
        <v>837</v>
      </c>
      <c r="F2428" t="s">
        <v>1870</v>
      </c>
      <c r="G2428" t="s">
        <v>838</v>
      </c>
      <c r="H2428" t="s">
        <v>130</v>
      </c>
      <c r="I2428" t="s">
        <v>415</v>
      </c>
      <c r="J2428">
        <v>3.5</v>
      </c>
      <c r="K2428">
        <v>19</v>
      </c>
      <c r="L2428">
        <v>10</v>
      </c>
      <c r="M2428">
        <v>11</v>
      </c>
      <c r="N2428">
        <v>2798</v>
      </c>
      <c r="O2428">
        <v>0</v>
      </c>
      <c r="P2428">
        <v>0</v>
      </c>
      <c r="Q2428" t="s">
        <v>44</v>
      </c>
      <c r="R2428" t="s">
        <v>44</v>
      </c>
      <c r="S2428" t="s">
        <v>44</v>
      </c>
      <c r="T2428" t="s">
        <v>44</v>
      </c>
      <c r="U2428" t="s">
        <v>44</v>
      </c>
      <c r="V2428">
        <v>1797</v>
      </c>
      <c r="W2428" t="s">
        <v>44</v>
      </c>
      <c r="X2428" t="s">
        <v>44</v>
      </c>
      <c r="Y2428">
        <v>1797</v>
      </c>
      <c r="Z2428" t="s">
        <v>44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32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 s="2">
        <v>1797</v>
      </c>
      <c r="AQ2428">
        <f t="shared" si="84"/>
        <v>1797</v>
      </c>
      <c r="AR2428" s="5">
        <f>VLOOKUP(F2428,'[2]SCP_24-25'!$A:$D,4,0)</f>
        <v>149.82</v>
      </c>
      <c r="AS2428" s="5">
        <f t="shared" si="83"/>
        <v>269226.53999999998</v>
      </c>
    </row>
    <row r="2429" spans="1:45" x14ac:dyDescent="0.3">
      <c r="A2429" s="1">
        <v>45900.965277777781</v>
      </c>
      <c r="B2429" t="s">
        <v>1499</v>
      </c>
      <c r="C2429" t="s">
        <v>1500</v>
      </c>
      <c r="D2429" t="s">
        <v>843</v>
      </c>
      <c r="F2429" t="s">
        <v>1873</v>
      </c>
      <c r="G2429" t="s">
        <v>844</v>
      </c>
      <c r="H2429" t="s">
        <v>130</v>
      </c>
      <c r="I2429" t="s">
        <v>415</v>
      </c>
      <c r="J2429">
        <v>10</v>
      </c>
      <c r="K2429">
        <v>19</v>
      </c>
      <c r="L2429">
        <v>10</v>
      </c>
      <c r="M2429">
        <v>11</v>
      </c>
      <c r="N2429">
        <v>8640</v>
      </c>
      <c r="O2429">
        <v>0</v>
      </c>
      <c r="P2429">
        <v>0</v>
      </c>
      <c r="Q2429" t="s">
        <v>44</v>
      </c>
      <c r="R2429" t="s">
        <v>44</v>
      </c>
      <c r="S2429" t="s">
        <v>44</v>
      </c>
      <c r="T2429" t="s">
        <v>44</v>
      </c>
      <c r="U2429" t="s">
        <v>44</v>
      </c>
      <c r="V2429">
        <v>1321</v>
      </c>
      <c r="W2429" t="s">
        <v>44</v>
      </c>
      <c r="X2429" t="s">
        <v>44</v>
      </c>
      <c r="Y2429">
        <v>1321</v>
      </c>
      <c r="Z2429" t="s">
        <v>44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 s="2">
        <v>1321</v>
      </c>
      <c r="AQ2429">
        <f t="shared" si="84"/>
        <v>1321</v>
      </c>
      <c r="AR2429" s="5">
        <f>VLOOKUP(F2429,'[2]SCP_24-25'!$A:$D,4,0)</f>
        <v>147.47</v>
      </c>
      <c r="AS2429" s="5">
        <f t="shared" si="83"/>
        <v>194807.87</v>
      </c>
    </row>
    <row r="2430" spans="1:45" x14ac:dyDescent="0.3">
      <c r="A2430" s="1">
        <v>45900.965277777781</v>
      </c>
      <c r="B2430" t="s">
        <v>1499</v>
      </c>
      <c r="C2430" t="s">
        <v>1500</v>
      </c>
      <c r="D2430" t="s">
        <v>845</v>
      </c>
      <c r="F2430" t="s">
        <v>1874</v>
      </c>
      <c r="G2430" t="s">
        <v>846</v>
      </c>
      <c r="H2430" t="s">
        <v>130</v>
      </c>
      <c r="I2430" t="s">
        <v>415</v>
      </c>
      <c r="J2430">
        <v>10</v>
      </c>
      <c r="K2430">
        <v>19</v>
      </c>
      <c r="L2430">
        <v>10</v>
      </c>
      <c r="M2430">
        <v>11</v>
      </c>
      <c r="N2430">
        <v>8640</v>
      </c>
      <c r="O2430">
        <v>0</v>
      </c>
      <c r="P2430">
        <v>0</v>
      </c>
      <c r="Q2430" t="s">
        <v>44</v>
      </c>
      <c r="R2430" t="s">
        <v>44</v>
      </c>
      <c r="S2430" t="s">
        <v>44</v>
      </c>
      <c r="T2430" t="s">
        <v>44</v>
      </c>
      <c r="U2430" t="s">
        <v>44</v>
      </c>
      <c r="V2430">
        <v>1306</v>
      </c>
      <c r="W2430" t="s">
        <v>44</v>
      </c>
      <c r="X2430" t="s">
        <v>44</v>
      </c>
      <c r="Y2430">
        <v>1306</v>
      </c>
      <c r="Z2430" t="s">
        <v>44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 s="2">
        <v>1306</v>
      </c>
      <c r="AQ2430">
        <f t="shared" si="84"/>
        <v>1306</v>
      </c>
      <c r="AR2430" s="5">
        <f>VLOOKUP(F2430,'[2]SCP_24-25'!$A:$D,4,0)</f>
        <v>147.47</v>
      </c>
      <c r="AS2430" s="5">
        <f t="shared" si="83"/>
        <v>192595.82</v>
      </c>
    </row>
    <row r="2431" spans="1:45" x14ac:dyDescent="0.3">
      <c r="A2431" s="1">
        <v>45900.965277777781</v>
      </c>
      <c r="B2431" t="s">
        <v>1499</v>
      </c>
      <c r="C2431" t="s">
        <v>1500</v>
      </c>
      <c r="D2431" t="s">
        <v>847</v>
      </c>
      <c r="F2431" t="s">
        <v>1875</v>
      </c>
      <c r="G2431" t="s">
        <v>848</v>
      </c>
      <c r="H2431" t="s">
        <v>130</v>
      </c>
      <c r="I2431" t="s">
        <v>415</v>
      </c>
      <c r="J2431">
        <v>10</v>
      </c>
      <c r="K2431">
        <v>19</v>
      </c>
      <c r="L2431">
        <v>10</v>
      </c>
      <c r="M2431">
        <v>11</v>
      </c>
      <c r="N2431">
        <v>8640</v>
      </c>
      <c r="O2431">
        <v>0</v>
      </c>
      <c r="P2431">
        <v>0</v>
      </c>
      <c r="Q2431" t="s">
        <v>44</v>
      </c>
      <c r="R2431" t="s">
        <v>44</v>
      </c>
      <c r="S2431" t="s">
        <v>44</v>
      </c>
      <c r="T2431" t="s">
        <v>44</v>
      </c>
      <c r="U2431" t="s">
        <v>44</v>
      </c>
      <c r="V2431">
        <v>1318</v>
      </c>
      <c r="W2431" t="s">
        <v>44</v>
      </c>
      <c r="X2431" t="s">
        <v>44</v>
      </c>
      <c r="Y2431">
        <v>1318</v>
      </c>
      <c r="Z2431" t="s">
        <v>44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 s="2">
        <v>1318</v>
      </c>
      <c r="AQ2431">
        <f t="shared" si="84"/>
        <v>1318</v>
      </c>
      <c r="AR2431" s="5">
        <f>VLOOKUP(F2431,'[2]SCP_24-25'!$A:$D,4,0)</f>
        <v>147.47</v>
      </c>
      <c r="AS2431" s="5">
        <f t="shared" si="83"/>
        <v>194365.46</v>
      </c>
    </row>
    <row r="2432" spans="1:45" x14ac:dyDescent="0.3">
      <c r="A2432" s="1">
        <v>45900.965277777781</v>
      </c>
      <c r="B2432" t="s">
        <v>1499</v>
      </c>
      <c r="C2432" t="s">
        <v>1500</v>
      </c>
      <c r="D2432" t="s">
        <v>849</v>
      </c>
      <c r="F2432" t="s">
        <v>1876</v>
      </c>
      <c r="G2432" t="s">
        <v>850</v>
      </c>
      <c r="H2432" t="s">
        <v>130</v>
      </c>
      <c r="I2432" t="s">
        <v>415</v>
      </c>
      <c r="J2432">
        <v>10</v>
      </c>
      <c r="K2432">
        <v>19</v>
      </c>
      <c r="L2432">
        <v>10</v>
      </c>
      <c r="M2432">
        <v>11</v>
      </c>
      <c r="N2432">
        <v>8640</v>
      </c>
      <c r="O2432">
        <v>0</v>
      </c>
      <c r="P2432">
        <v>0</v>
      </c>
      <c r="Q2432" t="s">
        <v>44</v>
      </c>
      <c r="R2432" t="s">
        <v>44</v>
      </c>
      <c r="S2432" t="s">
        <v>44</v>
      </c>
      <c r="T2432" t="s">
        <v>44</v>
      </c>
      <c r="U2432" t="s">
        <v>44</v>
      </c>
      <c r="V2432">
        <v>1319</v>
      </c>
      <c r="W2432" t="s">
        <v>44</v>
      </c>
      <c r="X2432" t="s">
        <v>44</v>
      </c>
      <c r="Y2432">
        <v>1319</v>
      </c>
      <c r="Z2432" t="s">
        <v>44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 s="2">
        <v>1319</v>
      </c>
      <c r="AQ2432">
        <f t="shared" si="84"/>
        <v>1319</v>
      </c>
      <c r="AR2432" s="5">
        <f>VLOOKUP(F2432,'[2]SCP_24-25'!$A:$D,4,0)</f>
        <v>147.47</v>
      </c>
      <c r="AS2432" s="5">
        <f t="shared" si="83"/>
        <v>194512.93</v>
      </c>
    </row>
    <row r="2433" spans="1:45" x14ac:dyDescent="0.3">
      <c r="A2433" s="1">
        <v>45900.965277777781</v>
      </c>
      <c r="B2433" t="s">
        <v>1499</v>
      </c>
      <c r="C2433" t="s">
        <v>1500</v>
      </c>
      <c r="D2433" t="s">
        <v>851</v>
      </c>
      <c r="F2433" t="s">
        <v>1877</v>
      </c>
      <c r="G2433" t="s">
        <v>852</v>
      </c>
      <c r="H2433" t="s">
        <v>130</v>
      </c>
      <c r="I2433" t="s">
        <v>415</v>
      </c>
      <c r="J2433">
        <v>10</v>
      </c>
      <c r="K2433">
        <v>19</v>
      </c>
      <c r="L2433">
        <v>10</v>
      </c>
      <c r="M2433">
        <v>11</v>
      </c>
      <c r="N2433">
        <v>8640</v>
      </c>
      <c r="O2433">
        <v>0</v>
      </c>
      <c r="P2433">
        <v>0</v>
      </c>
      <c r="Q2433" t="s">
        <v>44</v>
      </c>
      <c r="R2433" t="s">
        <v>44</v>
      </c>
      <c r="S2433" t="s">
        <v>44</v>
      </c>
      <c r="T2433" t="s">
        <v>44</v>
      </c>
      <c r="U2433" t="s">
        <v>44</v>
      </c>
      <c r="V2433">
        <v>1319</v>
      </c>
      <c r="W2433" t="s">
        <v>44</v>
      </c>
      <c r="X2433" t="s">
        <v>44</v>
      </c>
      <c r="Y2433">
        <v>1319</v>
      </c>
      <c r="Z2433" t="s">
        <v>44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 s="2">
        <v>1319</v>
      </c>
      <c r="AQ2433">
        <f t="shared" si="84"/>
        <v>1319</v>
      </c>
      <c r="AR2433" s="5">
        <f>VLOOKUP(F2433,'[2]SCP_24-25'!$A:$D,4,0)</f>
        <v>147.47</v>
      </c>
      <c r="AS2433" s="5">
        <f t="shared" si="83"/>
        <v>194512.93</v>
      </c>
    </row>
    <row r="2434" spans="1:45" x14ac:dyDescent="0.3">
      <c r="A2434" s="1">
        <v>45900.965277777781</v>
      </c>
      <c r="B2434" t="s">
        <v>1499</v>
      </c>
      <c r="C2434" t="s">
        <v>1500</v>
      </c>
      <c r="D2434" t="s">
        <v>853</v>
      </c>
      <c r="F2434" t="s">
        <v>1878</v>
      </c>
      <c r="G2434" t="s">
        <v>854</v>
      </c>
      <c r="H2434" t="s">
        <v>130</v>
      </c>
      <c r="I2434" t="s">
        <v>415</v>
      </c>
      <c r="J2434">
        <v>10</v>
      </c>
      <c r="K2434">
        <v>19</v>
      </c>
      <c r="L2434">
        <v>10</v>
      </c>
      <c r="M2434">
        <v>11</v>
      </c>
      <c r="N2434">
        <v>8640</v>
      </c>
      <c r="O2434">
        <v>0</v>
      </c>
      <c r="P2434">
        <v>0</v>
      </c>
      <c r="Q2434" t="s">
        <v>44</v>
      </c>
      <c r="R2434" t="s">
        <v>44</v>
      </c>
      <c r="S2434" t="s">
        <v>44</v>
      </c>
      <c r="T2434" t="s">
        <v>44</v>
      </c>
      <c r="U2434" t="s">
        <v>44</v>
      </c>
      <c r="V2434">
        <v>1323</v>
      </c>
      <c r="W2434" t="s">
        <v>44</v>
      </c>
      <c r="X2434" t="s">
        <v>44</v>
      </c>
      <c r="Y2434">
        <v>1323</v>
      </c>
      <c r="Z2434" t="s">
        <v>44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 s="2">
        <v>1323</v>
      </c>
      <c r="AQ2434">
        <f t="shared" si="84"/>
        <v>1323</v>
      </c>
      <c r="AR2434" s="5">
        <f>VLOOKUP(F2434,'[2]SCP_24-25'!$A:$D,4,0)</f>
        <v>147.47</v>
      </c>
      <c r="AS2434" s="5">
        <f t="shared" si="83"/>
        <v>195102.81</v>
      </c>
    </row>
    <row r="2435" spans="1:45" x14ac:dyDescent="0.3">
      <c r="A2435" s="1">
        <v>45900.965277777781</v>
      </c>
      <c r="B2435" t="s">
        <v>1499</v>
      </c>
      <c r="C2435" t="s">
        <v>1500</v>
      </c>
      <c r="D2435" t="s">
        <v>855</v>
      </c>
      <c r="F2435" t="s">
        <v>1879</v>
      </c>
      <c r="G2435" t="s">
        <v>856</v>
      </c>
      <c r="H2435" t="s">
        <v>130</v>
      </c>
      <c r="I2435" t="s">
        <v>415</v>
      </c>
      <c r="J2435">
        <v>10</v>
      </c>
      <c r="K2435">
        <v>19</v>
      </c>
      <c r="L2435">
        <v>10</v>
      </c>
      <c r="M2435">
        <v>11</v>
      </c>
      <c r="N2435">
        <v>8640</v>
      </c>
      <c r="O2435">
        <v>0</v>
      </c>
      <c r="P2435">
        <v>0</v>
      </c>
      <c r="Q2435" t="s">
        <v>44</v>
      </c>
      <c r="R2435" t="s">
        <v>44</v>
      </c>
      <c r="S2435" t="s">
        <v>44</v>
      </c>
      <c r="T2435" t="s">
        <v>44</v>
      </c>
      <c r="U2435" t="s">
        <v>44</v>
      </c>
      <c r="V2435">
        <v>1325</v>
      </c>
      <c r="W2435" t="s">
        <v>44</v>
      </c>
      <c r="X2435" t="s">
        <v>44</v>
      </c>
      <c r="Y2435">
        <v>1325</v>
      </c>
      <c r="Z2435" t="s">
        <v>44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 s="2">
        <v>1325</v>
      </c>
      <c r="AQ2435">
        <f t="shared" si="84"/>
        <v>1325</v>
      </c>
      <c r="AR2435" s="5">
        <f>VLOOKUP(F2435,'[2]SCP_24-25'!$A:$D,4,0)</f>
        <v>147.47</v>
      </c>
      <c r="AS2435" s="5">
        <f t="shared" ref="AS2435:AS2498" si="85">AQ2435*AR2435</f>
        <v>195397.75</v>
      </c>
    </row>
    <row r="2436" spans="1:45" x14ac:dyDescent="0.3">
      <c r="A2436" s="1">
        <v>45900.965277777781</v>
      </c>
      <c r="B2436" t="s">
        <v>1499</v>
      </c>
      <c r="C2436" t="s">
        <v>1500</v>
      </c>
      <c r="D2436" t="s">
        <v>863</v>
      </c>
      <c r="F2436" t="s">
        <v>1883</v>
      </c>
      <c r="G2436" t="s">
        <v>864</v>
      </c>
      <c r="H2436" t="s">
        <v>130</v>
      </c>
      <c r="I2436" t="s">
        <v>415</v>
      </c>
      <c r="J2436">
        <v>5.5</v>
      </c>
      <c r="K2436">
        <v>19</v>
      </c>
      <c r="L2436">
        <v>10</v>
      </c>
      <c r="M2436">
        <v>11</v>
      </c>
      <c r="N2436">
        <v>1584</v>
      </c>
      <c r="O2436">
        <v>0</v>
      </c>
      <c r="P2436">
        <v>0</v>
      </c>
      <c r="Q2436" t="s">
        <v>44</v>
      </c>
      <c r="R2436" t="s">
        <v>44</v>
      </c>
      <c r="S2436" t="s">
        <v>44</v>
      </c>
      <c r="T2436" t="s">
        <v>44</v>
      </c>
      <c r="U2436" t="s">
        <v>44</v>
      </c>
      <c r="V2436">
        <v>1584</v>
      </c>
      <c r="W2436" t="s">
        <v>44</v>
      </c>
      <c r="X2436" t="s">
        <v>44</v>
      </c>
      <c r="Y2436">
        <v>1584</v>
      </c>
      <c r="Z2436" t="s">
        <v>44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 s="2">
        <v>1584</v>
      </c>
      <c r="AQ2436">
        <f t="shared" si="84"/>
        <v>1584</v>
      </c>
      <c r="AR2436" s="5">
        <f>VLOOKUP(F2436,'[2]SCP_24-25'!$A:$D,4,0)</f>
        <v>107.63</v>
      </c>
      <c r="AS2436" s="5">
        <f t="shared" si="85"/>
        <v>170485.91999999998</v>
      </c>
    </row>
    <row r="2437" spans="1:45" x14ac:dyDescent="0.3">
      <c r="A2437" s="1">
        <v>45900.965277777781</v>
      </c>
      <c r="B2437" t="s">
        <v>1499</v>
      </c>
      <c r="C2437" t="s">
        <v>1500</v>
      </c>
      <c r="D2437" t="s">
        <v>865</v>
      </c>
      <c r="F2437" t="s">
        <v>1884</v>
      </c>
      <c r="G2437" t="s">
        <v>866</v>
      </c>
      <c r="H2437" t="s">
        <v>130</v>
      </c>
      <c r="I2437" t="s">
        <v>415</v>
      </c>
      <c r="J2437">
        <v>5.5</v>
      </c>
      <c r="K2437">
        <v>19</v>
      </c>
      <c r="L2437">
        <v>10</v>
      </c>
      <c r="M2437">
        <v>11</v>
      </c>
      <c r="N2437">
        <v>1680</v>
      </c>
      <c r="O2437">
        <v>0</v>
      </c>
      <c r="P2437">
        <v>0</v>
      </c>
      <c r="Q2437" t="s">
        <v>44</v>
      </c>
      <c r="R2437" t="s">
        <v>44</v>
      </c>
      <c r="S2437" t="s">
        <v>44</v>
      </c>
      <c r="T2437" t="s">
        <v>44</v>
      </c>
      <c r="U2437" t="s">
        <v>44</v>
      </c>
      <c r="V2437">
        <v>1680</v>
      </c>
      <c r="W2437" t="s">
        <v>44</v>
      </c>
      <c r="X2437" t="s">
        <v>44</v>
      </c>
      <c r="Y2437">
        <v>1680</v>
      </c>
      <c r="Z2437" t="s">
        <v>44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 s="2">
        <v>1680</v>
      </c>
      <c r="AQ2437">
        <f t="shared" si="84"/>
        <v>1680</v>
      </c>
      <c r="AR2437" s="5">
        <f>VLOOKUP(F2437,'[2]SCP_24-25'!$A:$D,4,0)</f>
        <v>107.63</v>
      </c>
      <c r="AS2437" s="5">
        <f t="shared" si="85"/>
        <v>180818.4</v>
      </c>
    </row>
    <row r="2438" spans="1:45" x14ac:dyDescent="0.3">
      <c r="A2438" s="1">
        <v>45900.965277777781</v>
      </c>
      <c r="B2438" t="s">
        <v>1499</v>
      </c>
      <c r="C2438" t="s">
        <v>1500</v>
      </c>
      <c r="D2438" t="s">
        <v>867</v>
      </c>
      <c r="F2438" t="s">
        <v>1885</v>
      </c>
      <c r="G2438" t="s">
        <v>868</v>
      </c>
      <c r="H2438" t="s">
        <v>130</v>
      </c>
      <c r="I2438" t="s">
        <v>415</v>
      </c>
      <c r="J2438">
        <v>5.5</v>
      </c>
      <c r="K2438">
        <v>19</v>
      </c>
      <c r="L2438">
        <v>10</v>
      </c>
      <c r="M2438">
        <v>11</v>
      </c>
      <c r="N2438">
        <v>1680</v>
      </c>
      <c r="O2438">
        <v>0</v>
      </c>
      <c r="P2438">
        <v>0</v>
      </c>
      <c r="Q2438" t="s">
        <v>44</v>
      </c>
      <c r="R2438" t="s">
        <v>44</v>
      </c>
      <c r="S2438" t="s">
        <v>44</v>
      </c>
      <c r="T2438" t="s">
        <v>44</v>
      </c>
      <c r="U2438" t="s">
        <v>44</v>
      </c>
      <c r="V2438">
        <v>1680</v>
      </c>
      <c r="W2438" t="s">
        <v>44</v>
      </c>
      <c r="X2438" t="s">
        <v>44</v>
      </c>
      <c r="Y2438">
        <v>1680</v>
      </c>
      <c r="Z2438" t="s">
        <v>44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 s="2">
        <v>1680</v>
      </c>
      <c r="AQ2438">
        <f t="shared" si="84"/>
        <v>1680</v>
      </c>
      <c r="AR2438" s="5">
        <f>VLOOKUP(F2438,'[2]SCP_24-25'!$A:$D,4,0)</f>
        <v>107.63</v>
      </c>
      <c r="AS2438" s="5">
        <f t="shared" si="85"/>
        <v>180818.4</v>
      </c>
    </row>
    <row r="2439" spans="1:45" x14ac:dyDescent="0.3">
      <c r="A2439" s="1">
        <v>45900.965277777781</v>
      </c>
      <c r="B2439" t="s">
        <v>1499</v>
      </c>
      <c r="C2439" t="s">
        <v>1500</v>
      </c>
      <c r="D2439" t="s">
        <v>869</v>
      </c>
      <c r="F2439" t="s">
        <v>1886</v>
      </c>
      <c r="G2439" t="s">
        <v>870</v>
      </c>
      <c r="H2439" t="s">
        <v>130</v>
      </c>
      <c r="I2439" t="s">
        <v>415</v>
      </c>
      <c r="J2439">
        <v>5.5</v>
      </c>
      <c r="K2439">
        <v>19</v>
      </c>
      <c r="L2439">
        <v>10</v>
      </c>
      <c r="M2439">
        <v>11</v>
      </c>
      <c r="N2439">
        <v>1680</v>
      </c>
      <c r="O2439">
        <v>0</v>
      </c>
      <c r="P2439">
        <v>0</v>
      </c>
      <c r="Q2439" t="s">
        <v>44</v>
      </c>
      <c r="R2439" t="s">
        <v>44</v>
      </c>
      <c r="S2439" t="s">
        <v>44</v>
      </c>
      <c r="T2439" t="s">
        <v>44</v>
      </c>
      <c r="U2439" t="s">
        <v>44</v>
      </c>
      <c r="V2439">
        <v>1680</v>
      </c>
      <c r="W2439" t="s">
        <v>44</v>
      </c>
      <c r="X2439" t="s">
        <v>44</v>
      </c>
      <c r="Y2439">
        <v>1680</v>
      </c>
      <c r="Z2439" t="s">
        <v>44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 s="2">
        <v>1680</v>
      </c>
      <c r="AQ2439">
        <f t="shared" si="84"/>
        <v>1680</v>
      </c>
      <c r="AR2439" s="5">
        <f>VLOOKUP(F2439,'[2]SCP_24-25'!$A:$D,4,0)</f>
        <v>107.63</v>
      </c>
      <c r="AS2439" s="5">
        <f t="shared" si="85"/>
        <v>180818.4</v>
      </c>
    </row>
    <row r="2440" spans="1:45" x14ac:dyDescent="0.3">
      <c r="A2440" s="1">
        <v>45900.965277777781</v>
      </c>
      <c r="B2440" t="s">
        <v>1499</v>
      </c>
      <c r="C2440" t="s">
        <v>1500</v>
      </c>
      <c r="D2440" t="s">
        <v>871</v>
      </c>
      <c r="F2440" t="s">
        <v>1887</v>
      </c>
      <c r="G2440" t="s">
        <v>872</v>
      </c>
      <c r="H2440" t="s">
        <v>130</v>
      </c>
      <c r="I2440" t="s">
        <v>415</v>
      </c>
      <c r="J2440">
        <v>5.5</v>
      </c>
      <c r="K2440">
        <v>19</v>
      </c>
      <c r="L2440">
        <v>10</v>
      </c>
      <c r="M2440">
        <v>11</v>
      </c>
      <c r="N2440">
        <v>1584</v>
      </c>
      <c r="O2440">
        <v>0</v>
      </c>
      <c r="P2440">
        <v>0</v>
      </c>
      <c r="Q2440" t="s">
        <v>44</v>
      </c>
      <c r="R2440" t="s">
        <v>44</v>
      </c>
      <c r="S2440" t="s">
        <v>44</v>
      </c>
      <c r="T2440" t="s">
        <v>44</v>
      </c>
      <c r="U2440" t="s">
        <v>44</v>
      </c>
      <c r="V2440">
        <v>1584</v>
      </c>
      <c r="W2440" t="s">
        <v>44</v>
      </c>
      <c r="X2440" t="s">
        <v>44</v>
      </c>
      <c r="Y2440">
        <v>1584</v>
      </c>
      <c r="Z2440" t="s">
        <v>44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 s="2">
        <v>1584</v>
      </c>
      <c r="AQ2440">
        <f t="shared" si="84"/>
        <v>1584</v>
      </c>
      <c r="AR2440" s="5">
        <f>VLOOKUP(F2440,'[2]SCP_24-25'!$A:$D,4,0)</f>
        <v>107.63</v>
      </c>
      <c r="AS2440" s="5">
        <f t="shared" si="85"/>
        <v>170485.91999999998</v>
      </c>
    </row>
    <row r="2441" spans="1:45" x14ac:dyDescent="0.3">
      <c r="A2441" s="1">
        <v>45900.965277777781</v>
      </c>
      <c r="B2441" t="s">
        <v>1499</v>
      </c>
      <c r="C2441" t="s">
        <v>1500</v>
      </c>
      <c r="D2441" t="s">
        <v>873</v>
      </c>
      <c r="F2441" t="s">
        <v>1888</v>
      </c>
      <c r="G2441" t="s">
        <v>874</v>
      </c>
      <c r="H2441" t="s">
        <v>130</v>
      </c>
      <c r="I2441" t="s">
        <v>415</v>
      </c>
      <c r="J2441">
        <v>5.3</v>
      </c>
      <c r="K2441">
        <v>19</v>
      </c>
      <c r="L2441">
        <v>10</v>
      </c>
      <c r="M2441">
        <v>11</v>
      </c>
      <c r="N2441">
        <v>1728</v>
      </c>
      <c r="O2441">
        <v>0</v>
      </c>
      <c r="P2441">
        <v>0</v>
      </c>
      <c r="Q2441" t="s">
        <v>44</v>
      </c>
      <c r="R2441" t="s">
        <v>44</v>
      </c>
      <c r="S2441" t="s">
        <v>44</v>
      </c>
      <c r="T2441" t="s">
        <v>44</v>
      </c>
      <c r="U2441" t="s">
        <v>44</v>
      </c>
      <c r="V2441">
        <v>1728</v>
      </c>
      <c r="W2441" t="s">
        <v>44</v>
      </c>
      <c r="X2441" t="s">
        <v>44</v>
      </c>
      <c r="Y2441">
        <v>1728</v>
      </c>
      <c r="Z2441" t="s">
        <v>44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 s="2">
        <v>1728</v>
      </c>
      <c r="AQ2441">
        <f t="shared" si="84"/>
        <v>1728</v>
      </c>
      <c r="AR2441" s="5">
        <f>VLOOKUP(F2441,'[2]SCP_24-25'!$A:$D,4,0)</f>
        <v>109.68</v>
      </c>
      <c r="AS2441" s="5">
        <f t="shared" si="85"/>
        <v>189527.04000000001</v>
      </c>
    </row>
    <row r="2442" spans="1:45" x14ac:dyDescent="0.3">
      <c r="A2442" s="1">
        <v>45900.965277777781</v>
      </c>
      <c r="B2442" t="s">
        <v>1499</v>
      </c>
      <c r="C2442" t="s">
        <v>1500</v>
      </c>
      <c r="D2442" t="s">
        <v>875</v>
      </c>
      <c r="F2442" t="s">
        <v>1889</v>
      </c>
      <c r="G2442" t="s">
        <v>876</v>
      </c>
      <c r="H2442" t="s">
        <v>130</v>
      </c>
      <c r="I2442" t="s">
        <v>415</v>
      </c>
      <c r="J2442">
        <v>400</v>
      </c>
      <c r="K2442">
        <v>19</v>
      </c>
      <c r="L2442">
        <v>10</v>
      </c>
      <c r="M2442">
        <v>11</v>
      </c>
      <c r="N2442">
        <v>1576</v>
      </c>
      <c r="O2442">
        <v>0</v>
      </c>
      <c r="P2442">
        <v>0</v>
      </c>
      <c r="Q2442" t="s">
        <v>44</v>
      </c>
      <c r="R2442" t="s">
        <v>44</v>
      </c>
      <c r="S2442" t="s">
        <v>44</v>
      </c>
      <c r="T2442" t="s">
        <v>44</v>
      </c>
      <c r="U2442" t="s">
        <v>44</v>
      </c>
      <c r="V2442">
        <v>1533</v>
      </c>
      <c r="W2442" t="s">
        <v>44</v>
      </c>
      <c r="X2442" t="s">
        <v>44</v>
      </c>
      <c r="Y2442">
        <v>1533</v>
      </c>
      <c r="Z2442" t="s">
        <v>44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 s="2">
        <v>1533</v>
      </c>
      <c r="AQ2442">
        <f t="shared" si="84"/>
        <v>1533</v>
      </c>
      <c r="AR2442" s="5">
        <f>VLOOKUP(F2442,'[2]SCP_24-25'!$A:$D,4,0)</f>
        <v>82.91</v>
      </c>
      <c r="AS2442" s="5">
        <f t="shared" si="85"/>
        <v>127101.03</v>
      </c>
    </row>
    <row r="2443" spans="1:45" x14ac:dyDescent="0.3">
      <c r="A2443" s="1">
        <v>45900.965277777781</v>
      </c>
      <c r="B2443" t="s">
        <v>1499</v>
      </c>
      <c r="C2443" t="s">
        <v>1500</v>
      </c>
      <c r="D2443" t="s">
        <v>877</v>
      </c>
      <c r="F2443" t="s">
        <v>1890</v>
      </c>
      <c r="G2443" t="s">
        <v>878</v>
      </c>
      <c r="H2443" t="s">
        <v>103</v>
      </c>
      <c r="I2443" t="s">
        <v>415</v>
      </c>
      <c r="J2443">
        <v>100</v>
      </c>
      <c r="K2443">
        <v>19</v>
      </c>
      <c r="L2443">
        <v>10</v>
      </c>
      <c r="M2443">
        <v>11</v>
      </c>
      <c r="N2443">
        <v>2976</v>
      </c>
      <c r="O2443">
        <v>0</v>
      </c>
      <c r="P2443">
        <v>0</v>
      </c>
      <c r="Q2443" t="s">
        <v>44</v>
      </c>
      <c r="R2443" t="s">
        <v>44</v>
      </c>
      <c r="S2443" t="s">
        <v>44</v>
      </c>
      <c r="T2443" t="s">
        <v>44</v>
      </c>
      <c r="U2443" t="s">
        <v>44</v>
      </c>
      <c r="V2443">
        <v>1236</v>
      </c>
      <c r="W2443" t="s">
        <v>44</v>
      </c>
      <c r="X2443" t="s">
        <v>44</v>
      </c>
      <c r="Y2443">
        <v>1236</v>
      </c>
      <c r="Z2443" t="s">
        <v>44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 s="2">
        <v>1236</v>
      </c>
      <c r="AQ2443">
        <f t="shared" si="84"/>
        <v>1236</v>
      </c>
      <c r="AR2443" s="5">
        <f>VLOOKUP(F2443,'[2]SCP_24-25'!$A:$D,4,0)</f>
        <v>71.19</v>
      </c>
      <c r="AS2443" s="5">
        <f t="shared" si="85"/>
        <v>87990.84</v>
      </c>
    </row>
    <row r="2444" spans="1:45" x14ac:dyDescent="0.3">
      <c r="A2444" s="1">
        <v>45900.965277777781</v>
      </c>
      <c r="B2444" t="s">
        <v>1499</v>
      </c>
      <c r="C2444" t="s">
        <v>1500</v>
      </c>
      <c r="D2444" t="s">
        <v>1324</v>
      </c>
      <c r="F2444" t="s">
        <v>2112</v>
      </c>
      <c r="G2444" t="s">
        <v>1325</v>
      </c>
      <c r="H2444" t="s">
        <v>103</v>
      </c>
      <c r="I2444" t="s">
        <v>415</v>
      </c>
      <c r="J2444">
        <v>650</v>
      </c>
      <c r="K2444">
        <v>19</v>
      </c>
      <c r="L2444">
        <v>10</v>
      </c>
      <c r="M2444">
        <v>11</v>
      </c>
      <c r="N2444">
        <v>2076</v>
      </c>
      <c r="O2444">
        <v>0</v>
      </c>
      <c r="P2444">
        <v>0</v>
      </c>
      <c r="Q2444" t="s">
        <v>44</v>
      </c>
      <c r="R2444" t="s">
        <v>44</v>
      </c>
      <c r="S2444" t="s">
        <v>44</v>
      </c>
      <c r="T2444" t="s">
        <v>44</v>
      </c>
      <c r="U2444" t="s">
        <v>44</v>
      </c>
      <c r="V2444">
        <v>2076</v>
      </c>
      <c r="W2444" t="s">
        <v>44</v>
      </c>
      <c r="X2444" t="s">
        <v>44</v>
      </c>
      <c r="Y2444">
        <v>2076</v>
      </c>
      <c r="Z2444" t="s">
        <v>44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 s="2">
        <v>2076</v>
      </c>
      <c r="AQ2444">
        <f t="shared" si="84"/>
        <v>2076</v>
      </c>
      <c r="AR2444" s="5">
        <f>VLOOKUP(F2444,'[2]SCP_24-25'!$A:$D,4,0)</f>
        <v>250.51</v>
      </c>
      <c r="AS2444" s="5">
        <f t="shared" si="85"/>
        <v>520058.76</v>
      </c>
    </row>
    <row r="2445" spans="1:45" x14ac:dyDescent="0.3">
      <c r="A2445" s="1">
        <v>45900.965277777781</v>
      </c>
      <c r="B2445" t="s">
        <v>1499</v>
      </c>
      <c r="C2445" t="s">
        <v>1500</v>
      </c>
      <c r="D2445" t="s">
        <v>1270</v>
      </c>
      <c r="F2445" t="s">
        <v>2087</v>
      </c>
      <c r="G2445" t="s">
        <v>1271</v>
      </c>
      <c r="H2445" t="s">
        <v>130</v>
      </c>
      <c r="I2445" t="s">
        <v>415</v>
      </c>
      <c r="J2445">
        <v>1.4</v>
      </c>
      <c r="K2445">
        <v>19</v>
      </c>
      <c r="L2445">
        <v>10</v>
      </c>
      <c r="M2445">
        <v>11</v>
      </c>
      <c r="N2445">
        <v>2376</v>
      </c>
      <c r="O2445">
        <v>0</v>
      </c>
      <c r="P2445">
        <v>0</v>
      </c>
      <c r="Q2445" t="s">
        <v>44</v>
      </c>
      <c r="R2445" t="s">
        <v>44</v>
      </c>
      <c r="S2445" t="s">
        <v>44</v>
      </c>
      <c r="T2445" t="s">
        <v>44</v>
      </c>
      <c r="U2445" t="s">
        <v>44</v>
      </c>
      <c r="V2445">
        <v>1755</v>
      </c>
      <c r="W2445" t="s">
        <v>44</v>
      </c>
      <c r="X2445" t="s">
        <v>44</v>
      </c>
      <c r="Y2445">
        <v>1755</v>
      </c>
      <c r="Z2445" t="s">
        <v>44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 s="2">
        <v>1755</v>
      </c>
      <c r="AQ2445">
        <f t="shared" si="84"/>
        <v>1755</v>
      </c>
      <c r="AR2445" s="5">
        <f>VLOOKUP(F2445,'[2]SCP_24-25'!$A:$D,4,0)</f>
        <v>174.11</v>
      </c>
      <c r="AS2445" s="5">
        <f t="shared" si="85"/>
        <v>305563.05000000005</v>
      </c>
    </row>
    <row r="2446" spans="1:45" x14ac:dyDescent="0.3">
      <c r="A2446" s="1">
        <v>45900.965277777781</v>
      </c>
      <c r="B2446" t="s">
        <v>1499</v>
      </c>
      <c r="C2446" t="s">
        <v>1500</v>
      </c>
      <c r="D2446" t="s">
        <v>1272</v>
      </c>
      <c r="F2446" t="s">
        <v>2088</v>
      </c>
      <c r="G2446" t="s">
        <v>1273</v>
      </c>
      <c r="H2446" t="s">
        <v>130</v>
      </c>
      <c r="I2446" t="s">
        <v>415</v>
      </c>
      <c r="J2446">
        <v>1.4</v>
      </c>
      <c r="K2446">
        <v>19</v>
      </c>
      <c r="L2446">
        <v>10</v>
      </c>
      <c r="M2446">
        <v>11</v>
      </c>
      <c r="N2446">
        <v>2376</v>
      </c>
      <c r="O2446">
        <v>0</v>
      </c>
      <c r="P2446">
        <v>0</v>
      </c>
      <c r="Q2446" t="s">
        <v>44</v>
      </c>
      <c r="R2446" t="s">
        <v>44</v>
      </c>
      <c r="S2446" t="s">
        <v>44</v>
      </c>
      <c r="T2446" t="s">
        <v>44</v>
      </c>
      <c r="U2446" t="s">
        <v>44</v>
      </c>
      <c r="V2446">
        <v>1755</v>
      </c>
      <c r="W2446" t="s">
        <v>44</v>
      </c>
      <c r="X2446" t="s">
        <v>44</v>
      </c>
      <c r="Y2446">
        <v>1755</v>
      </c>
      <c r="Z2446" t="s">
        <v>44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 s="2">
        <v>1755</v>
      </c>
      <c r="AQ2446">
        <f t="shared" si="84"/>
        <v>1755</v>
      </c>
      <c r="AR2446" s="5">
        <f>VLOOKUP(F2446,'[2]SCP_24-25'!$A:$D,4,0)</f>
        <v>174.11</v>
      </c>
      <c r="AS2446" s="5">
        <f t="shared" si="85"/>
        <v>305563.05000000005</v>
      </c>
    </row>
    <row r="2447" spans="1:45" x14ac:dyDescent="0.3">
      <c r="A2447" s="1">
        <v>45900.965277777781</v>
      </c>
      <c r="B2447" t="s">
        <v>1499</v>
      </c>
      <c r="C2447" t="s">
        <v>1500</v>
      </c>
      <c r="D2447" t="s">
        <v>1274</v>
      </c>
      <c r="F2447" t="s">
        <v>2089</v>
      </c>
      <c r="G2447" t="s">
        <v>1275</v>
      </c>
      <c r="H2447" t="s">
        <v>130</v>
      </c>
      <c r="I2447" t="s">
        <v>415</v>
      </c>
      <c r="J2447">
        <v>1.4</v>
      </c>
      <c r="K2447">
        <v>19</v>
      </c>
      <c r="L2447">
        <v>10</v>
      </c>
      <c r="M2447">
        <v>11</v>
      </c>
      <c r="N2447">
        <v>2376</v>
      </c>
      <c r="O2447">
        <v>0</v>
      </c>
      <c r="P2447">
        <v>0</v>
      </c>
      <c r="Q2447" t="s">
        <v>44</v>
      </c>
      <c r="R2447" t="s">
        <v>44</v>
      </c>
      <c r="S2447" t="s">
        <v>44</v>
      </c>
      <c r="T2447" t="s">
        <v>44</v>
      </c>
      <c r="U2447" t="s">
        <v>44</v>
      </c>
      <c r="V2447">
        <v>1755</v>
      </c>
      <c r="W2447" t="s">
        <v>44</v>
      </c>
      <c r="X2447" t="s">
        <v>44</v>
      </c>
      <c r="Y2447">
        <v>1755</v>
      </c>
      <c r="Z2447" t="s">
        <v>44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 s="2">
        <v>1755</v>
      </c>
      <c r="AQ2447">
        <f t="shared" si="84"/>
        <v>1755</v>
      </c>
      <c r="AR2447" s="5">
        <f>VLOOKUP(F2447,'[2]SCP_24-25'!$A:$D,4,0)</f>
        <v>174.11</v>
      </c>
      <c r="AS2447" s="5">
        <f t="shared" si="85"/>
        <v>305563.05000000005</v>
      </c>
    </row>
    <row r="2448" spans="1:45" x14ac:dyDescent="0.3">
      <c r="A2448" s="1">
        <v>45900.965277777781</v>
      </c>
      <c r="B2448" t="s">
        <v>1499</v>
      </c>
      <c r="C2448" t="s">
        <v>1500</v>
      </c>
      <c r="D2448" t="s">
        <v>1276</v>
      </c>
      <c r="F2448" t="s">
        <v>2090</v>
      </c>
      <c r="G2448" t="s">
        <v>1277</v>
      </c>
      <c r="H2448" t="s">
        <v>130</v>
      </c>
      <c r="I2448" t="s">
        <v>415</v>
      </c>
      <c r="J2448">
        <v>1.4</v>
      </c>
      <c r="K2448">
        <v>19</v>
      </c>
      <c r="L2448">
        <v>10</v>
      </c>
      <c r="M2448">
        <v>11</v>
      </c>
      <c r="N2448">
        <v>2376</v>
      </c>
      <c r="O2448">
        <v>0</v>
      </c>
      <c r="P2448">
        <v>0</v>
      </c>
      <c r="Q2448" t="s">
        <v>44</v>
      </c>
      <c r="R2448" t="s">
        <v>44</v>
      </c>
      <c r="S2448" t="s">
        <v>44</v>
      </c>
      <c r="T2448" t="s">
        <v>44</v>
      </c>
      <c r="U2448" t="s">
        <v>44</v>
      </c>
      <c r="V2448">
        <v>1755</v>
      </c>
      <c r="W2448" t="s">
        <v>44</v>
      </c>
      <c r="X2448" t="s">
        <v>44</v>
      </c>
      <c r="Y2448">
        <v>1755</v>
      </c>
      <c r="Z2448" t="s">
        <v>44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 s="2">
        <v>1755</v>
      </c>
      <c r="AQ2448">
        <f t="shared" si="84"/>
        <v>1755</v>
      </c>
      <c r="AR2448" s="5">
        <f>VLOOKUP(F2448,'[2]SCP_24-25'!$A:$D,4,0)</f>
        <v>174.11</v>
      </c>
      <c r="AS2448" s="5">
        <f t="shared" si="85"/>
        <v>305563.05000000005</v>
      </c>
    </row>
    <row r="2449" spans="1:45" x14ac:dyDescent="0.3">
      <c r="A2449" s="1">
        <v>45900.965277777781</v>
      </c>
      <c r="B2449" t="s">
        <v>1499</v>
      </c>
      <c r="C2449" t="s">
        <v>1500</v>
      </c>
      <c r="D2449" t="s">
        <v>1278</v>
      </c>
      <c r="F2449" t="s">
        <v>2091</v>
      </c>
      <c r="G2449" t="s">
        <v>1279</v>
      </c>
      <c r="H2449" t="s">
        <v>130</v>
      </c>
      <c r="I2449" t="s">
        <v>415</v>
      </c>
      <c r="J2449">
        <v>1.4</v>
      </c>
      <c r="K2449">
        <v>19</v>
      </c>
      <c r="L2449">
        <v>10</v>
      </c>
      <c r="M2449">
        <v>11</v>
      </c>
      <c r="N2449">
        <v>2376</v>
      </c>
      <c r="O2449">
        <v>0</v>
      </c>
      <c r="P2449">
        <v>0</v>
      </c>
      <c r="Q2449" t="s">
        <v>44</v>
      </c>
      <c r="R2449" t="s">
        <v>44</v>
      </c>
      <c r="S2449" t="s">
        <v>44</v>
      </c>
      <c r="T2449" t="s">
        <v>44</v>
      </c>
      <c r="U2449" t="s">
        <v>44</v>
      </c>
      <c r="V2449">
        <v>1755</v>
      </c>
      <c r="W2449" t="s">
        <v>44</v>
      </c>
      <c r="X2449" t="s">
        <v>44</v>
      </c>
      <c r="Y2449">
        <v>1755</v>
      </c>
      <c r="Z2449" t="s">
        <v>44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 s="2">
        <v>1755</v>
      </c>
      <c r="AQ2449">
        <f t="shared" si="84"/>
        <v>1755</v>
      </c>
      <c r="AR2449" s="5">
        <f>VLOOKUP(F2449,'[2]SCP_24-25'!$A:$D,4,0)</f>
        <v>174.11</v>
      </c>
      <c r="AS2449" s="5">
        <f t="shared" si="85"/>
        <v>305563.05000000005</v>
      </c>
    </row>
    <row r="2450" spans="1:45" x14ac:dyDescent="0.3">
      <c r="A2450" s="1">
        <v>45900.965277777781</v>
      </c>
      <c r="B2450" t="s">
        <v>1499</v>
      </c>
      <c r="C2450" t="s">
        <v>1500</v>
      </c>
      <c r="D2450" t="s">
        <v>1280</v>
      </c>
      <c r="F2450" t="s">
        <v>2092</v>
      </c>
      <c r="G2450" t="s">
        <v>1281</v>
      </c>
      <c r="H2450" t="s">
        <v>130</v>
      </c>
      <c r="I2450" t="s">
        <v>415</v>
      </c>
      <c r="J2450">
        <v>1.4</v>
      </c>
      <c r="K2450">
        <v>19</v>
      </c>
      <c r="L2450">
        <v>10</v>
      </c>
      <c r="M2450">
        <v>11</v>
      </c>
      <c r="N2450">
        <v>2304</v>
      </c>
      <c r="O2450">
        <v>0</v>
      </c>
      <c r="P2450">
        <v>0</v>
      </c>
      <c r="Q2450" t="s">
        <v>44</v>
      </c>
      <c r="R2450" t="s">
        <v>44</v>
      </c>
      <c r="S2450" t="s">
        <v>44</v>
      </c>
      <c r="T2450" t="s">
        <v>44</v>
      </c>
      <c r="U2450" t="s">
        <v>44</v>
      </c>
      <c r="V2450">
        <v>1683</v>
      </c>
      <c r="W2450" t="s">
        <v>44</v>
      </c>
      <c r="X2450" t="s">
        <v>44</v>
      </c>
      <c r="Y2450">
        <v>1683</v>
      </c>
      <c r="Z2450" t="s">
        <v>44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 s="2">
        <v>1683</v>
      </c>
      <c r="AQ2450">
        <f t="shared" si="84"/>
        <v>1683</v>
      </c>
      <c r="AR2450" s="5">
        <f>VLOOKUP(F2450,'[2]SCP_24-25'!$A:$D,4,0)</f>
        <v>174.11</v>
      </c>
      <c r="AS2450" s="5">
        <f t="shared" si="85"/>
        <v>293027.13</v>
      </c>
    </row>
    <row r="2451" spans="1:45" x14ac:dyDescent="0.3">
      <c r="A2451" s="1">
        <v>45900.965277777781</v>
      </c>
      <c r="B2451" t="s">
        <v>1499</v>
      </c>
      <c r="C2451" t="s">
        <v>1500</v>
      </c>
      <c r="D2451" t="s">
        <v>1282</v>
      </c>
      <c r="F2451" t="s">
        <v>2093</v>
      </c>
      <c r="G2451" t="s">
        <v>1283</v>
      </c>
      <c r="H2451" t="s">
        <v>130</v>
      </c>
      <c r="I2451" t="s">
        <v>415</v>
      </c>
      <c r="J2451">
        <v>1.4</v>
      </c>
      <c r="K2451">
        <v>19</v>
      </c>
      <c r="L2451">
        <v>10</v>
      </c>
      <c r="M2451">
        <v>11</v>
      </c>
      <c r="N2451">
        <v>2376</v>
      </c>
      <c r="O2451">
        <v>0</v>
      </c>
      <c r="P2451">
        <v>0</v>
      </c>
      <c r="Q2451" t="s">
        <v>44</v>
      </c>
      <c r="R2451" t="s">
        <v>44</v>
      </c>
      <c r="S2451" t="s">
        <v>44</v>
      </c>
      <c r="T2451" t="s">
        <v>44</v>
      </c>
      <c r="U2451" t="s">
        <v>44</v>
      </c>
      <c r="V2451">
        <v>1755</v>
      </c>
      <c r="W2451" t="s">
        <v>44</v>
      </c>
      <c r="X2451" t="s">
        <v>44</v>
      </c>
      <c r="Y2451">
        <v>1755</v>
      </c>
      <c r="Z2451" t="s">
        <v>44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 s="2">
        <v>1755</v>
      </c>
      <c r="AQ2451">
        <f t="shared" si="84"/>
        <v>1755</v>
      </c>
      <c r="AR2451" s="5">
        <f>VLOOKUP(F2451,'[2]SCP_24-25'!$A:$D,4,0)</f>
        <v>174.11</v>
      </c>
      <c r="AS2451" s="5">
        <f t="shared" si="85"/>
        <v>305563.05000000005</v>
      </c>
    </row>
    <row r="2452" spans="1:45" x14ac:dyDescent="0.3">
      <c r="A2452" s="1">
        <v>45900.965277777781</v>
      </c>
      <c r="B2452" t="s">
        <v>1499</v>
      </c>
      <c r="C2452" t="s">
        <v>1500</v>
      </c>
      <c r="D2452" t="s">
        <v>1284</v>
      </c>
      <c r="F2452" t="s">
        <v>2094</v>
      </c>
      <c r="G2452" t="s">
        <v>1285</v>
      </c>
      <c r="H2452" t="s">
        <v>130</v>
      </c>
      <c r="I2452" t="s">
        <v>415</v>
      </c>
      <c r="J2452">
        <v>1.4</v>
      </c>
      <c r="K2452">
        <v>19</v>
      </c>
      <c r="L2452">
        <v>10</v>
      </c>
      <c r="M2452">
        <v>11</v>
      </c>
      <c r="N2452">
        <v>2376</v>
      </c>
      <c r="O2452">
        <v>0</v>
      </c>
      <c r="P2452">
        <v>0</v>
      </c>
      <c r="Q2452" t="s">
        <v>44</v>
      </c>
      <c r="R2452" t="s">
        <v>44</v>
      </c>
      <c r="S2452" t="s">
        <v>44</v>
      </c>
      <c r="T2452" t="s">
        <v>44</v>
      </c>
      <c r="U2452" t="s">
        <v>44</v>
      </c>
      <c r="V2452">
        <v>1755</v>
      </c>
      <c r="W2452" t="s">
        <v>44</v>
      </c>
      <c r="X2452" t="s">
        <v>44</v>
      </c>
      <c r="Y2452">
        <v>1755</v>
      </c>
      <c r="Z2452" t="s">
        <v>44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 s="2">
        <v>1755</v>
      </c>
      <c r="AQ2452">
        <f t="shared" si="84"/>
        <v>1755</v>
      </c>
      <c r="AR2452" s="5">
        <f>VLOOKUP(F2452,'[2]SCP_24-25'!$A:$D,4,0)</f>
        <v>174.11</v>
      </c>
      <c r="AS2452" s="5">
        <f t="shared" si="85"/>
        <v>305563.05000000005</v>
      </c>
    </row>
    <row r="2453" spans="1:45" x14ac:dyDescent="0.3">
      <c r="A2453" s="1">
        <v>45900.965277777781</v>
      </c>
      <c r="B2453" t="s">
        <v>1499</v>
      </c>
      <c r="C2453" t="s">
        <v>1500</v>
      </c>
      <c r="D2453" t="s">
        <v>1286</v>
      </c>
      <c r="F2453" t="s">
        <v>2095</v>
      </c>
      <c r="G2453" t="s">
        <v>1287</v>
      </c>
      <c r="H2453" t="s">
        <v>130</v>
      </c>
      <c r="I2453" t="s">
        <v>415</v>
      </c>
      <c r="J2453">
        <v>1.4</v>
      </c>
      <c r="K2453">
        <v>19</v>
      </c>
      <c r="L2453">
        <v>10</v>
      </c>
      <c r="M2453">
        <v>11</v>
      </c>
      <c r="N2453">
        <v>2088</v>
      </c>
      <c r="O2453">
        <v>0</v>
      </c>
      <c r="P2453">
        <v>0</v>
      </c>
      <c r="Q2453" t="s">
        <v>44</v>
      </c>
      <c r="R2453" t="s">
        <v>44</v>
      </c>
      <c r="S2453" t="s">
        <v>44</v>
      </c>
      <c r="T2453" t="s">
        <v>44</v>
      </c>
      <c r="U2453" t="s">
        <v>44</v>
      </c>
      <c r="V2453">
        <v>1467</v>
      </c>
      <c r="W2453" t="s">
        <v>44</v>
      </c>
      <c r="X2453" t="s">
        <v>44</v>
      </c>
      <c r="Y2453">
        <v>1467</v>
      </c>
      <c r="Z2453" t="s">
        <v>44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 s="2">
        <v>1467</v>
      </c>
      <c r="AQ2453">
        <f t="shared" si="84"/>
        <v>1467</v>
      </c>
      <c r="AR2453" s="5">
        <f>VLOOKUP(F2453,'[2]SCP_24-25'!$A:$D,4,0)</f>
        <v>174.11</v>
      </c>
      <c r="AS2453" s="5">
        <f t="shared" si="85"/>
        <v>255419.37000000002</v>
      </c>
    </row>
    <row r="2454" spans="1:45" x14ac:dyDescent="0.3">
      <c r="A2454" s="1">
        <v>45900.965277777781</v>
      </c>
      <c r="B2454" t="s">
        <v>1499</v>
      </c>
      <c r="C2454" t="s">
        <v>1500</v>
      </c>
      <c r="D2454" t="s">
        <v>1288</v>
      </c>
      <c r="F2454" t="s">
        <v>2096</v>
      </c>
      <c r="G2454" t="s">
        <v>1289</v>
      </c>
      <c r="H2454" t="s">
        <v>130</v>
      </c>
      <c r="I2454" t="s">
        <v>415</v>
      </c>
      <c r="J2454">
        <v>1.4</v>
      </c>
      <c r="K2454">
        <v>19</v>
      </c>
      <c r="L2454">
        <v>10</v>
      </c>
      <c r="M2454">
        <v>11</v>
      </c>
      <c r="N2454">
        <v>2016</v>
      </c>
      <c r="O2454">
        <v>0</v>
      </c>
      <c r="P2454">
        <v>0</v>
      </c>
      <c r="Q2454" t="s">
        <v>44</v>
      </c>
      <c r="R2454" t="s">
        <v>44</v>
      </c>
      <c r="S2454" t="s">
        <v>44</v>
      </c>
      <c r="T2454" t="s">
        <v>44</v>
      </c>
      <c r="U2454" t="s">
        <v>44</v>
      </c>
      <c r="V2454">
        <v>1395</v>
      </c>
      <c r="W2454" t="s">
        <v>44</v>
      </c>
      <c r="X2454" t="s">
        <v>44</v>
      </c>
      <c r="Y2454">
        <v>1395</v>
      </c>
      <c r="Z2454" t="s">
        <v>44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 s="2">
        <v>1395</v>
      </c>
      <c r="AQ2454">
        <f t="shared" si="84"/>
        <v>1395</v>
      </c>
      <c r="AR2454" s="5">
        <f>VLOOKUP(F2454,'[2]SCP_24-25'!$A:$D,4,0)</f>
        <v>174.11</v>
      </c>
      <c r="AS2454" s="5">
        <f t="shared" si="85"/>
        <v>242883.45</v>
      </c>
    </row>
    <row r="2455" spans="1:45" x14ac:dyDescent="0.3">
      <c r="A2455" s="1">
        <v>45900.965277777781</v>
      </c>
      <c r="B2455" t="s">
        <v>1499</v>
      </c>
      <c r="C2455" t="s">
        <v>1500</v>
      </c>
      <c r="D2455" t="s">
        <v>1290</v>
      </c>
      <c r="F2455" t="s">
        <v>2097</v>
      </c>
      <c r="G2455" t="s">
        <v>1291</v>
      </c>
      <c r="H2455" t="s">
        <v>130</v>
      </c>
      <c r="I2455" t="s">
        <v>415</v>
      </c>
      <c r="J2455">
        <v>1.4</v>
      </c>
      <c r="K2455">
        <v>19</v>
      </c>
      <c r="L2455">
        <v>10</v>
      </c>
      <c r="M2455">
        <v>11</v>
      </c>
      <c r="N2455">
        <v>2376</v>
      </c>
      <c r="O2455">
        <v>0</v>
      </c>
      <c r="P2455">
        <v>0</v>
      </c>
      <c r="Q2455" t="s">
        <v>44</v>
      </c>
      <c r="R2455" t="s">
        <v>44</v>
      </c>
      <c r="S2455" t="s">
        <v>44</v>
      </c>
      <c r="T2455" t="s">
        <v>44</v>
      </c>
      <c r="U2455" t="s">
        <v>44</v>
      </c>
      <c r="V2455">
        <v>1755</v>
      </c>
      <c r="W2455" t="s">
        <v>44</v>
      </c>
      <c r="X2455" t="s">
        <v>44</v>
      </c>
      <c r="Y2455">
        <v>1755</v>
      </c>
      <c r="Z2455" t="s">
        <v>44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 s="2">
        <v>1755</v>
      </c>
      <c r="AQ2455">
        <f t="shared" si="84"/>
        <v>1755</v>
      </c>
      <c r="AR2455" s="5">
        <f>VLOOKUP(F2455,'[2]SCP_24-25'!$A:$D,4,0)</f>
        <v>174.11</v>
      </c>
      <c r="AS2455" s="5">
        <f t="shared" si="85"/>
        <v>305563.05000000005</v>
      </c>
    </row>
    <row r="2456" spans="1:45" x14ac:dyDescent="0.3">
      <c r="A2456" s="1">
        <v>45900.965277777781</v>
      </c>
      <c r="B2456" t="s">
        <v>1499</v>
      </c>
      <c r="C2456" t="s">
        <v>1500</v>
      </c>
      <c r="D2456" t="s">
        <v>1292</v>
      </c>
      <c r="F2456" t="s">
        <v>2098</v>
      </c>
      <c r="G2456" t="s">
        <v>1293</v>
      </c>
      <c r="H2456" t="s">
        <v>130</v>
      </c>
      <c r="I2456" t="s">
        <v>415</v>
      </c>
      <c r="J2456">
        <v>1.4</v>
      </c>
      <c r="K2456">
        <v>19</v>
      </c>
      <c r="L2456">
        <v>10</v>
      </c>
      <c r="M2456">
        <v>11</v>
      </c>
      <c r="N2456">
        <v>2016</v>
      </c>
      <c r="O2456">
        <v>0</v>
      </c>
      <c r="P2456">
        <v>0</v>
      </c>
      <c r="Q2456" t="s">
        <v>44</v>
      </c>
      <c r="R2456" t="s">
        <v>44</v>
      </c>
      <c r="S2456" t="s">
        <v>44</v>
      </c>
      <c r="T2456" t="s">
        <v>44</v>
      </c>
      <c r="U2456" t="s">
        <v>44</v>
      </c>
      <c r="V2456">
        <v>1395</v>
      </c>
      <c r="W2456" t="s">
        <v>44</v>
      </c>
      <c r="X2456" t="s">
        <v>44</v>
      </c>
      <c r="Y2456">
        <v>1395</v>
      </c>
      <c r="Z2456" t="s">
        <v>44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 s="2">
        <v>1395</v>
      </c>
      <c r="AQ2456">
        <f t="shared" si="84"/>
        <v>1395</v>
      </c>
      <c r="AR2456" s="5">
        <f>VLOOKUP(F2456,'[2]SCP_24-25'!$A:$D,4,0)</f>
        <v>174.11</v>
      </c>
      <c r="AS2456" s="5">
        <f t="shared" si="85"/>
        <v>242883.45</v>
      </c>
    </row>
    <row r="2457" spans="1:45" x14ac:dyDescent="0.3">
      <c r="A2457" s="1">
        <v>45900.965277777781</v>
      </c>
      <c r="B2457" t="s">
        <v>1499</v>
      </c>
      <c r="C2457" t="s">
        <v>1500</v>
      </c>
      <c r="D2457" t="s">
        <v>1294</v>
      </c>
      <c r="F2457" t="s">
        <v>2099</v>
      </c>
      <c r="G2457" t="s">
        <v>1295</v>
      </c>
      <c r="H2457" t="s">
        <v>130</v>
      </c>
      <c r="I2457" t="s">
        <v>415</v>
      </c>
      <c r="J2457">
        <v>1.4</v>
      </c>
      <c r="K2457">
        <v>19</v>
      </c>
      <c r="L2457">
        <v>10</v>
      </c>
      <c r="M2457">
        <v>11</v>
      </c>
      <c r="N2457">
        <v>2376</v>
      </c>
      <c r="O2457">
        <v>0</v>
      </c>
      <c r="P2457">
        <v>0</v>
      </c>
      <c r="Q2457" t="s">
        <v>44</v>
      </c>
      <c r="R2457" t="s">
        <v>44</v>
      </c>
      <c r="S2457" t="s">
        <v>44</v>
      </c>
      <c r="T2457" t="s">
        <v>44</v>
      </c>
      <c r="U2457" t="s">
        <v>44</v>
      </c>
      <c r="V2457">
        <v>1755</v>
      </c>
      <c r="W2457" t="s">
        <v>44</v>
      </c>
      <c r="X2457" t="s">
        <v>44</v>
      </c>
      <c r="Y2457">
        <v>1755</v>
      </c>
      <c r="Z2457" t="s">
        <v>44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 s="2">
        <v>1755</v>
      </c>
      <c r="AQ2457">
        <f t="shared" ref="AQ2457:AQ2520" si="86">O2457+P2457+V2457+AA2457</f>
        <v>1755</v>
      </c>
      <c r="AR2457" s="5">
        <f>VLOOKUP(F2457,'[2]SCP_24-25'!$A:$D,4,0)</f>
        <v>174.11</v>
      </c>
      <c r="AS2457" s="5">
        <f t="shared" si="85"/>
        <v>305563.05000000005</v>
      </c>
    </row>
    <row r="2458" spans="1:45" x14ac:dyDescent="0.3">
      <c r="A2458" s="1">
        <v>45900.965277777781</v>
      </c>
      <c r="B2458" t="s">
        <v>1499</v>
      </c>
      <c r="C2458" t="s">
        <v>1500</v>
      </c>
      <c r="D2458" t="s">
        <v>1296</v>
      </c>
      <c r="F2458" t="s">
        <v>2100</v>
      </c>
      <c r="G2458" t="s">
        <v>1297</v>
      </c>
      <c r="H2458" t="s">
        <v>130</v>
      </c>
      <c r="I2458" t="s">
        <v>415</v>
      </c>
      <c r="J2458">
        <v>1.4</v>
      </c>
      <c r="K2458">
        <v>19</v>
      </c>
      <c r="L2458">
        <v>10</v>
      </c>
      <c r="M2458">
        <v>11</v>
      </c>
      <c r="N2458">
        <v>2376</v>
      </c>
      <c r="O2458">
        <v>0</v>
      </c>
      <c r="P2458">
        <v>0</v>
      </c>
      <c r="Q2458" t="s">
        <v>44</v>
      </c>
      <c r="R2458" t="s">
        <v>44</v>
      </c>
      <c r="S2458" t="s">
        <v>44</v>
      </c>
      <c r="T2458" t="s">
        <v>44</v>
      </c>
      <c r="U2458" t="s">
        <v>44</v>
      </c>
      <c r="V2458">
        <v>1755</v>
      </c>
      <c r="W2458" t="s">
        <v>44</v>
      </c>
      <c r="X2458" t="s">
        <v>44</v>
      </c>
      <c r="Y2458">
        <v>1755</v>
      </c>
      <c r="Z2458" t="s">
        <v>44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 s="2">
        <v>1755</v>
      </c>
      <c r="AQ2458">
        <f t="shared" si="86"/>
        <v>1755</v>
      </c>
      <c r="AR2458" s="5">
        <f>VLOOKUP(F2458,'[2]SCP_24-25'!$A:$D,4,0)</f>
        <v>174.11</v>
      </c>
      <c r="AS2458" s="5">
        <f t="shared" si="85"/>
        <v>305563.05000000005</v>
      </c>
    </row>
    <row r="2459" spans="1:45" x14ac:dyDescent="0.3">
      <c r="A2459" s="1">
        <v>45900.965277777781</v>
      </c>
      <c r="B2459" t="s">
        <v>1499</v>
      </c>
      <c r="C2459" t="s">
        <v>1500</v>
      </c>
      <c r="D2459" t="s">
        <v>183</v>
      </c>
      <c r="F2459" t="s">
        <v>1569</v>
      </c>
      <c r="G2459" t="s">
        <v>184</v>
      </c>
      <c r="H2459" t="s">
        <v>66</v>
      </c>
      <c r="I2459" t="s">
        <v>43</v>
      </c>
      <c r="J2459">
        <v>105.88</v>
      </c>
      <c r="K2459">
        <v>19</v>
      </c>
      <c r="L2459">
        <v>9.5</v>
      </c>
      <c r="M2459">
        <v>11</v>
      </c>
      <c r="N2459">
        <v>57453</v>
      </c>
      <c r="O2459">
        <v>332</v>
      </c>
      <c r="P2459">
        <v>0</v>
      </c>
      <c r="Q2459">
        <v>1</v>
      </c>
      <c r="R2459" t="s">
        <v>44</v>
      </c>
      <c r="S2459" t="s">
        <v>44</v>
      </c>
      <c r="T2459">
        <v>42</v>
      </c>
      <c r="U2459" t="s">
        <v>44</v>
      </c>
      <c r="V2459">
        <v>24248</v>
      </c>
      <c r="W2459" t="s">
        <v>44</v>
      </c>
      <c r="X2459" t="s">
        <v>44</v>
      </c>
      <c r="Y2459">
        <v>24248</v>
      </c>
      <c r="Z2459" t="s">
        <v>44</v>
      </c>
      <c r="AA2459">
        <v>36</v>
      </c>
      <c r="AB2459">
        <v>0</v>
      </c>
      <c r="AC2459">
        <v>0</v>
      </c>
      <c r="AD2459">
        <v>0</v>
      </c>
      <c r="AE2459">
        <v>0</v>
      </c>
      <c r="AF2459">
        <v>36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 s="2">
        <v>24616</v>
      </c>
      <c r="AQ2459">
        <f t="shared" si="86"/>
        <v>24616</v>
      </c>
      <c r="AR2459" s="5">
        <f>VLOOKUP(F2459,'[2]SCP_24-25'!$A:$D,4,0)</f>
        <v>51.841111111111118</v>
      </c>
      <c r="AS2459" s="5">
        <f t="shared" si="85"/>
        <v>1276120.7911111112</v>
      </c>
    </row>
    <row r="2460" spans="1:45" x14ac:dyDescent="0.3">
      <c r="A2460" s="1">
        <v>45900.965277777781</v>
      </c>
      <c r="B2460" t="s">
        <v>1499</v>
      </c>
      <c r="C2460" t="s">
        <v>1500</v>
      </c>
      <c r="D2460" t="s">
        <v>210</v>
      </c>
      <c r="E2460" t="s">
        <v>211</v>
      </c>
      <c r="F2460" t="s">
        <v>1581</v>
      </c>
      <c r="G2460" t="s">
        <v>212</v>
      </c>
      <c r="H2460" t="s">
        <v>66</v>
      </c>
      <c r="I2460" t="s">
        <v>43</v>
      </c>
      <c r="J2460">
        <v>23</v>
      </c>
      <c r="K2460">
        <v>19</v>
      </c>
      <c r="L2460">
        <v>9.5</v>
      </c>
      <c r="M2460">
        <v>11</v>
      </c>
      <c r="N2460">
        <v>20964</v>
      </c>
      <c r="O2460">
        <v>0</v>
      </c>
      <c r="P2460">
        <v>0</v>
      </c>
      <c r="Q2460" t="s">
        <v>44</v>
      </c>
      <c r="R2460" t="s">
        <v>44</v>
      </c>
      <c r="S2460" t="s">
        <v>44</v>
      </c>
      <c r="T2460" t="s">
        <v>44</v>
      </c>
      <c r="U2460" t="s">
        <v>44</v>
      </c>
      <c r="V2460">
        <v>19473</v>
      </c>
      <c r="W2460" t="s">
        <v>44</v>
      </c>
      <c r="X2460" t="s">
        <v>44</v>
      </c>
      <c r="Y2460">
        <v>19473</v>
      </c>
      <c r="Z2460" t="s">
        <v>44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 s="2">
        <v>19473</v>
      </c>
      <c r="AQ2460">
        <f t="shared" si="86"/>
        <v>19473</v>
      </c>
      <c r="AR2460" s="5">
        <f>VLOOKUP(F2460,'[2]SCP_24-25'!$A:$D,4,0)</f>
        <v>11.69</v>
      </c>
      <c r="AS2460" s="5">
        <f t="shared" si="85"/>
        <v>227639.37</v>
      </c>
    </row>
    <row r="2461" spans="1:45" x14ac:dyDescent="0.3">
      <c r="A2461" s="1">
        <v>45900.965277777781</v>
      </c>
      <c r="B2461" t="s">
        <v>1499</v>
      </c>
      <c r="C2461" t="s">
        <v>1500</v>
      </c>
      <c r="D2461" t="s">
        <v>305</v>
      </c>
      <c r="E2461" t="s">
        <v>306</v>
      </c>
      <c r="F2461" t="s">
        <v>1618</v>
      </c>
      <c r="G2461" t="s">
        <v>307</v>
      </c>
      <c r="H2461" t="s">
        <v>66</v>
      </c>
      <c r="I2461" t="s">
        <v>43</v>
      </c>
      <c r="J2461">
        <v>120</v>
      </c>
      <c r="K2461">
        <v>19</v>
      </c>
      <c r="L2461">
        <v>11</v>
      </c>
      <c r="M2461">
        <v>9.5</v>
      </c>
      <c r="N2461">
        <v>48188</v>
      </c>
      <c r="O2461">
        <v>12</v>
      </c>
      <c r="P2461">
        <v>0</v>
      </c>
      <c r="Q2461" t="s">
        <v>44</v>
      </c>
      <c r="R2461" t="s">
        <v>44</v>
      </c>
      <c r="S2461" t="s">
        <v>44</v>
      </c>
      <c r="T2461">
        <v>14694</v>
      </c>
      <c r="U2461" t="s">
        <v>44</v>
      </c>
      <c r="V2461">
        <v>17327</v>
      </c>
      <c r="W2461" t="s">
        <v>44</v>
      </c>
      <c r="X2461" t="s">
        <v>44</v>
      </c>
      <c r="Y2461">
        <v>17327</v>
      </c>
      <c r="Z2461" t="s">
        <v>44</v>
      </c>
      <c r="AA2461">
        <v>256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 s="2">
        <v>17595</v>
      </c>
      <c r="AQ2461">
        <f t="shared" si="86"/>
        <v>17595</v>
      </c>
      <c r="AR2461" s="5">
        <f>VLOOKUP(F2461,'[2]SCP_24-25'!$A:$D,4,0)</f>
        <v>44.312857142857141</v>
      </c>
      <c r="AS2461" s="5">
        <f t="shared" si="85"/>
        <v>779684.72142857139</v>
      </c>
    </row>
    <row r="2462" spans="1:45" x14ac:dyDescent="0.3">
      <c r="A2462" s="1">
        <v>45900.965277777781</v>
      </c>
      <c r="B2462" t="s">
        <v>1499</v>
      </c>
      <c r="C2462" t="s">
        <v>1500</v>
      </c>
      <c r="D2462" t="s">
        <v>113</v>
      </c>
      <c r="F2462" t="s">
        <v>1536</v>
      </c>
      <c r="G2462" t="s">
        <v>114</v>
      </c>
      <c r="H2462" t="s">
        <v>66</v>
      </c>
      <c r="I2462" t="s">
        <v>43</v>
      </c>
      <c r="J2462">
        <v>37</v>
      </c>
      <c r="K2462">
        <v>19</v>
      </c>
      <c r="L2462">
        <v>11</v>
      </c>
      <c r="M2462">
        <v>9.5</v>
      </c>
      <c r="N2462">
        <v>32717</v>
      </c>
      <c r="O2462">
        <v>0</v>
      </c>
      <c r="P2462">
        <v>0</v>
      </c>
      <c r="Q2462" t="s">
        <v>44</v>
      </c>
      <c r="R2462" t="s">
        <v>44</v>
      </c>
      <c r="S2462" t="s">
        <v>44</v>
      </c>
      <c r="T2462" t="s">
        <v>44</v>
      </c>
      <c r="U2462" t="s">
        <v>44</v>
      </c>
      <c r="V2462">
        <v>16153</v>
      </c>
      <c r="W2462" t="s">
        <v>44</v>
      </c>
      <c r="X2462" t="s">
        <v>44</v>
      </c>
      <c r="Y2462">
        <v>16153</v>
      </c>
      <c r="Z2462" t="s">
        <v>44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 s="2">
        <v>16153</v>
      </c>
      <c r="AQ2462">
        <f t="shared" si="86"/>
        <v>16153</v>
      </c>
      <c r="AR2462" s="5">
        <f>VLOOKUP(F2462,'[2]SCP_24-25'!$A:$D,4,0)</f>
        <v>13.56</v>
      </c>
      <c r="AS2462" s="5">
        <f t="shared" si="85"/>
        <v>219034.68000000002</v>
      </c>
    </row>
    <row r="2463" spans="1:45" x14ac:dyDescent="0.3">
      <c r="A2463" s="1">
        <v>45900.965277777781</v>
      </c>
      <c r="B2463" t="s">
        <v>1499</v>
      </c>
      <c r="C2463" t="s">
        <v>1500</v>
      </c>
      <c r="D2463" t="s">
        <v>416</v>
      </c>
      <c r="F2463" t="s">
        <v>1665</v>
      </c>
      <c r="G2463" t="s">
        <v>417</v>
      </c>
      <c r="H2463" t="s">
        <v>66</v>
      </c>
      <c r="I2463" t="s">
        <v>43</v>
      </c>
      <c r="J2463">
        <v>46.59</v>
      </c>
      <c r="K2463">
        <v>19</v>
      </c>
      <c r="L2463">
        <v>10</v>
      </c>
      <c r="M2463">
        <v>11</v>
      </c>
      <c r="N2463">
        <v>58657</v>
      </c>
      <c r="O2463">
        <v>0</v>
      </c>
      <c r="P2463">
        <v>0</v>
      </c>
      <c r="Q2463" t="s">
        <v>44</v>
      </c>
      <c r="R2463" t="s">
        <v>44</v>
      </c>
      <c r="S2463" t="s">
        <v>44</v>
      </c>
      <c r="T2463" t="s">
        <v>44</v>
      </c>
      <c r="U2463" t="s">
        <v>44</v>
      </c>
      <c r="V2463">
        <v>22142</v>
      </c>
      <c r="W2463" t="s">
        <v>44</v>
      </c>
      <c r="X2463" t="s">
        <v>44</v>
      </c>
      <c r="Y2463">
        <v>22142</v>
      </c>
      <c r="Z2463" t="s">
        <v>44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1000</v>
      </c>
      <c r="AP2463" s="2">
        <v>22142</v>
      </c>
      <c r="AQ2463">
        <f t="shared" si="86"/>
        <v>22142</v>
      </c>
      <c r="AR2463" s="5">
        <f>VLOOKUP(F2463,'[2]SCP_24-25'!$A:$D,4,0)</f>
        <v>34.455294117647057</v>
      </c>
      <c r="AS2463" s="5">
        <f t="shared" si="85"/>
        <v>762909.12235294108</v>
      </c>
    </row>
    <row r="2464" spans="1:45" x14ac:dyDescent="0.3">
      <c r="A2464" s="1">
        <v>45900.965277777781</v>
      </c>
      <c r="B2464" t="s">
        <v>1499</v>
      </c>
      <c r="C2464" t="s">
        <v>1500</v>
      </c>
      <c r="D2464" t="s">
        <v>471</v>
      </c>
      <c r="F2464" t="s">
        <v>1690</v>
      </c>
      <c r="G2464" t="s">
        <v>472</v>
      </c>
      <c r="H2464" t="s">
        <v>66</v>
      </c>
      <c r="I2464" t="s">
        <v>415</v>
      </c>
      <c r="J2464">
        <v>52.02</v>
      </c>
      <c r="K2464">
        <v>19</v>
      </c>
      <c r="L2464">
        <v>10</v>
      </c>
      <c r="M2464">
        <v>11</v>
      </c>
      <c r="N2464">
        <v>23855</v>
      </c>
      <c r="O2464">
        <v>2</v>
      </c>
      <c r="P2464">
        <v>0</v>
      </c>
      <c r="Q2464" t="s">
        <v>44</v>
      </c>
      <c r="R2464" t="s">
        <v>44</v>
      </c>
      <c r="S2464" t="s">
        <v>44</v>
      </c>
      <c r="T2464">
        <v>2</v>
      </c>
      <c r="U2464" t="s">
        <v>44</v>
      </c>
      <c r="V2464">
        <v>22280</v>
      </c>
      <c r="W2464" t="s">
        <v>44</v>
      </c>
      <c r="X2464" t="s">
        <v>44</v>
      </c>
      <c r="Y2464">
        <v>22280</v>
      </c>
      <c r="Z2464" t="s">
        <v>44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 s="2">
        <v>22282</v>
      </c>
      <c r="AQ2464">
        <f t="shared" si="86"/>
        <v>22282</v>
      </c>
      <c r="AR2464" s="5">
        <f>VLOOKUP(F2464,'[2]SCP_24-25'!$A:$D,4,0)</f>
        <v>87.59</v>
      </c>
      <c r="AS2464" s="5">
        <f t="shared" si="85"/>
        <v>1951680.3800000001</v>
      </c>
    </row>
    <row r="2465" spans="1:45" x14ac:dyDescent="0.3">
      <c r="A2465" s="1">
        <v>45900.965277777781</v>
      </c>
      <c r="B2465" t="s">
        <v>1499</v>
      </c>
      <c r="C2465" t="s">
        <v>1500</v>
      </c>
      <c r="D2465" t="s">
        <v>1353</v>
      </c>
      <c r="F2465" t="s">
        <v>2125</v>
      </c>
      <c r="G2465" t="s">
        <v>1354</v>
      </c>
      <c r="H2465" t="s">
        <v>66</v>
      </c>
      <c r="I2465" t="s">
        <v>415</v>
      </c>
      <c r="J2465">
        <v>5</v>
      </c>
      <c r="K2465">
        <v>19</v>
      </c>
      <c r="L2465">
        <v>10</v>
      </c>
      <c r="M2465">
        <v>11</v>
      </c>
      <c r="N2465">
        <v>32400</v>
      </c>
      <c r="O2465">
        <v>0</v>
      </c>
      <c r="P2465">
        <v>0</v>
      </c>
      <c r="Q2465" t="s">
        <v>44</v>
      </c>
      <c r="R2465" t="s">
        <v>44</v>
      </c>
      <c r="S2465" t="s">
        <v>44</v>
      </c>
      <c r="T2465" t="s">
        <v>44</v>
      </c>
      <c r="U2465" t="s">
        <v>44</v>
      </c>
      <c r="V2465">
        <v>19900</v>
      </c>
      <c r="W2465" t="s">
        <v>44</v>
      </c>
      <c r="X2465" t="s">
        <v>44</v>
      </c>
      <c r="Y2465">
        <v>19900</v>
      </c>
      <c r="Z2465" t="s">
        <v>44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 s="2">
        <v>19900</v>
      </c>
      <c r="AQ2465">
        <f t="shared" si="86"/>
        <v>19900</v>
      </c>
      <c r="AR2465" s="5">
        <f>VLOOKUP(F2465,'[2]SCP_24-25'!$A:$D,4,0)</f>
        <v>20.990000000000002</v>
      </c>
      <c r="AS2465" s="5">
        <f t="shared" si="85"/>
        <v>417701.00000000006</v>
      </c>
    </row>
    <row r="2466" spans="1:45" x14ac:dyDescent="0.3">
      <c r="A2466" s="1">
        <v>45900.965277777781</v>
      </c>
      <c r="B2466" t="s">
        <v>1499</v>
      </c>
      <c r="C2466" t="s">
        <v>1500</v>
      </c>
      <c r="D2466" t="s">
        <v>1341</v>
      </c>
      <c r="F2466" t="s">
        <v>2120</v>
      </c>
      <c r="G2466" t="s">
        <v>1342</v>
      </c>
      <c r="H2466" t="s">
        <v>66</v>
      </c>
      <c r="I2466" t="s">
        <v>415</v>
      </c>
      <c r="J2466">
        <v>5</v>
      </c>
      <c r="K2466">
        <v>19</v>
      </c>
      <c r="L2466">
        <v>10</v>
      </c>
      <c r="M2466">
        <v>11</v>
      </c>
      <c r="N2466">
        <v>39973</v>
      </c>
      <c r="O2466">
        <v>0</v>
      </c>
      <c r="P2466">
        <v>0</v>
      </c>
      <c r="Q2466" t="s">
        <v>44</v>
      </c>
      <c r="R2466" t="s">
        <v>44</v>
      </c>
      <c r="S2466" t="s">
        <v>44</v>
      </c>
      <c r="T2466" t="s">
        <v>44</v>
      </c>
      <c r="U2466" t="s">
        <v>44</v>
      </c>
      <c r="V2466">
        <v>27473</v>
      </c>
      <c r="W2466" t="s">
        <v>44</v>
      </c>
      <c r="X2466" t="s">
        <v>44</v>
      </c>
      <c r="Y2466">
        <v>27473</v>
      </c>
      <c r="Z2466" t="s">
        <v>44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 s="2">
        <v>27473</v>
      </c>
      <c r="AQ2466">
        <f t="shared" si="86"/>
        <v>27473</v>
      </c>
      <c r="AR2466" s="5">
        <f>VLOOKUP(F2466,'[2]SCP_24-25'!$A:$D,4,0)</f>
        <v>14.550000000000008</v>
      </c>
      <c r="AS2466" s="5">
        <f t="shared" si="85"/>
        <v>399732.1500000002</v>
      </c>
    </row>
    <row r="2467" spans="1:45" x14ac:dyDescent="0.3">
      <c r="A2467" s="1">
        <v>45900.965277777781</v>
      </c>
      <c r="B2467" t="s">
        <v>1499</v>
      </c>
      <c r="C2467" t="s">
        <v>1500</v>
      </c>
      <c r="D2467" t="s">
        <v>1335</v>
      </c>
      <c r="F2467" t="s">
        <v>2117</v>
      </c>
      <c r="G2467" t="s">
        <v>1336</v>
      </c>
      <c r="H2467" t="s">
        <v>66</v>
      </c>
      <c r="I2467" t="s">
        <v>43</v>
      </c>
      <c r="J2467">
        <v>5</v>
      </c>
      <c r="K2467">
        <v>19</v>
      </c>
      <c r="L2467">
        <v>11</v>
      </c>
      <c r="M2467">
        <v>10</v>
      </c>
      <c r="N2467">
        <v>14149</v>
      </c>
      <c r="O2467">
        <v>0</v>
      </c>
      <c r="P2467">
        <v>0</v>
      </c>
      <c r="Q2467" t="s">
        <v>44</v>
      </c>
      <c r="R2467" t="s">
        <v>44</v>
      </c>
      <c r="S2467" t="s">
        <v>44</v>
      </c>
      <c r="T2467" t="s">
        <v>44</v>
      </c>
      <c r="U2467" t="s">
        <v>44</v>
      </c>
      <c r="V2467">
        <v>14149</v>
      </c>
      <c r="W2467" t="s">
        <v>44</v>
      </c>
      <c r="X2467" t="s">
        <v>44</v>
      </c>
      <c r="Y2467">
        <v>14149</v>
      </c>
      <c r="Z2467" t="s">
        <v>44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 s="2">
        <v>14149</v>
      </c>
      <c r="AQ2467">
        <f t="shared" si="86"/>
        <v>14149</v>
      </c>
      <c r="AR2467" s="5">
        <f>VLOOKUP(F2467,'[1]Cost Sheet'!$C:$D,2,0)</f>
        <v>16.23</v>
      </c>
      <c r="AS2467" s="5">
        <f t="shared" si="85"/>
        <v>229638.27000000002</v>
      </c>
    </row>
    <row r="2468" spans="1:45" x14ac:dyDescent="0.3">
      <c r="A2468" s="1">
        <v>45900.965277777781</v>
      </c>
      <c r="B2468" t="s">
        <v>1499</v>
      </c>
      <c r="C2468" t="s">
        <v>1500</v>
      </c>
      <c r="D2468" t="s">
        <v>137</v>
      </c>
      <c r="F2468" t="s">
        <v>1546</v>
      </c>
      <c r="G2468" t="s">
        <v>138</v>
      </c>
      <c r="H2468" t="s">
        <v>66</v>
      </c>
      <c r="I2468" t="s">
        <v>43</v>
      </c>
      <c r="J2468">
        <v>176</v>
      </c>
      <c r="K2468">
        <v>19</v>
      </c>
      <c r="L2468">
        <v>9.5</v>
      </c>
      <c r="M2468">
        <v>11</v>
      </c>
      <c r="N2468">
        <v>13903</v>
      </c>
      <c r="O2468">
        <v>198</v>
      </c>
      <c r="P2468">
        <v>0</v>
      </c>
      <c r="Q2468" t="s">
        <v>44</v>
      </c>
      <c r="R2468" t="s">
        <v>44</v>
      </c>
      <c r="S2468" t="s">
        <v>44</v>
      </c>
      <c r="T2468" t="s">
        <v>44</v>
      </c>
      <c r="U2468" t="s">
        <v>44</v>
      </c>
      <c r="V2468">
        <v>8216</v>
      </c>
      <c r="W2468" t="s">
        <v>44</v>
      </c>
      <c r="X2468" t="s">
        <v>44</v>
      </c>
      <c r="Y2468">
        <v>8216</v>
      </c>
      <c r="Z2468" t="s">
        <v>44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 s="2">
        <v>8414</v>
      </c>
      <c r="AQ2468">
        <f t="shared" si="86"/>
        <v>8414</v>
      </c>
      <c r="AR2468" s="5">
        <f>VLOOKUP(F2468,'[2]SCP_24-25'!$A:$D,4,0)</f>
        <v>94.530000000000015</v>
      </c>
      <c r="AS2468" s="5">
        <f t="shared" si="85"/>
        <v>795375.42000000016</v>
      </c>
    </row>
    <row r="2469" spans="1:45" x14ac:dyDescent="0.3">
      <c r="A2469" s="1">
        <v>45900.965277777781</v>
      </c>
      <c r="B2469" t="s">
        <v>1499</v>
      </c>
      <c r="C2469" t="s">
        <v>1500</v>
      </c>
      <c r="D2469" t="s">
        <v>139</v>
      </c>
      <c r="F2469" t="s">
        <v>1547</v>
      </c>
      <c r="G2469" t="s">
        <v>140</v>
      </c>
      <c r="H2469" t="s">
        <v>66</v>
      </c>
      <c r="I2469" t="s">
        <v>43</v>
      </c>
      <c r="J2469">
        <v>176</v>
      </c>
      <c r="K2469">
        <v>11</v>
      </c>
      <c r="L2469">
        <v>19</v>
      </c>
      <c r="M2469">
        <v>10</v>
      </c>
      <c r="N2469">
        <v>3988</v>
      </c>
      <c r="O2469">
        <v>48</v>
      </c>
      <c r="P2469">
        <v>0</v>
      </c>
      <c r="Q2469" t="s">
        <v>44</v>
      </c>
      <c r="R2469" t="s">
        <v>44</v>
      </c>
      <c r="S2469" t="s">
        <v>44</v>
      </c>
      <c r="T2469">
        <v>30</v>
      </c>
      <c r="U2469" t="s">
        <v>44</v>
      </c>
      <c r="V2469">
        <v>2937</v>
      </c>
      <c r="W2469" t="s">
        <v>44</v>
      </c>
      <c r="X2469" t="s">
        <v>44</v>
      </c>
      <c r="Y2469">
        <v>2937</v>
      </c>
      <c r="Z2469" t="s">
        <v>44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 s="2">
        <v>2985</v>
      </c>
      <c r="AQ2469">
        <f t="shared" si="86"/>
        <v>2985</v>
      </c>
      <c r="AR2469" s="5">
        <f>VLOOKUP(F2469,'[2]SCP_24-25'!$A:$D,4,0)</f>
        <v>60.54</v>
      </c>
      <c r="AS2469" s="5">
        <f t="shared" si="85"/>
        <v>180711.9</v>
      </c>
    </row>
    <row r="2470" spans="1:45" x14ac:dyDescent="0.3">
      <c r="A2470" s="1">
        <v>45900.965277777781</v>
      </c>
      <c r="B2470" t="s">
        <v>1499</v>
      </c>
      <c r="C2470" t="s">
        <v>1500</v>
      </c>
      <c r="D2470" t="s">
        <v>141</v>
      </c>
      <c r="F2470" t="s">
        <v>1548</v>
      </c>
      <c r="G2470" t="s">
        <v>142</v>
      </c>
      <c r="H2470" t="s">
        <v>66</v>
      </c>
      <c r="I2470" t="s">
        <v>43</v>
      </c>
      <c r="J2470">
        <v>121</v>
      </c>
      <c r="K2470">
        <v>19</v>
      </c>
      <c r="L2470">
        <v>9.5</v>
      </c>
      <c r="M2470">
        <v>11</v>
      </c>
      <c r="N2470">
        <v>5328</v>
      </c>
      <c r="O2470">
        <v>42</v>
      </c>
      <c r="P2470">
        <v>0</v>
      </c>
      <c r="Q2470" t="s">
        <v>44</v>
      </c>
      <c r="R2470" t="s">
        <v>44</v>
      </c>
      <c r="S2470" t="s">
        <v>44</v>
      </c>
      <c r="T2470">
        <v>18</v>
      </c>
      <c r="U2470" t="s">
        <v>44</v>
      </c>
      <c r="V2470">
        <v>3650</v>
      </c>
      <c r="W2470" t="s">
        <v>44</v>
      </c>
      <c r="X2470" t="s">
        <v>44</v>
      </c>
      <c r="Y2470">
        <v>3650</v>
      </c>
      <c r="Z2470" t="s">
        <v>44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 s="2">
        <v>3692</v>
      </c>
      <c r="AQ2470">
        <f t="shared" si="86"/>
        <v>3692</v>
      </c>
      <c r="AR2470" s="5">
        <f>VLOOKUP(F2470,'[2]SCP_24-25'!$A:$D,4,0)</f>
        <v>38.68</v>
      </c>
      <c r="AS2470" s="5">
        <f t="shared" si="85"/>
        <v>142806.56</v>
      </c>
    </row>
    <row r="2471" spans="1:45" x14ac:dyDescent="0.3">
      <c r="A2471" s="1">
        <v>45900.965277777781</v>
      </c>
      <c r="B2471" t="s">
        <v>1499</v>
      </c>
      <c r="C2471" t="s">
        <v>1500</v>
      </c>
      <c r="D2471" t="s">
        <v>145</v>
      </c>
      <c r="F2471" t="s">
        <v>1550</v>
      </c>
      <c r="G2471" t="s">
        <v>146</v>
      </c>
      <c r="H2471" t="s">
        <v>103</v>
      </c>
      <c r="I2471" t="s">
        <v>43</v>
      </c>
      <c r="J2471">
        <v>300</v>
      </c>
      <c r="K2471">
        <v>19</v>
      </c>
      <c r="L2471">
        <v>9.5</v>
      </c>
      <c r="M2471">
        <v>11</v>
      </c>
      <c r="N2471">
        <v>6904</v>
      </c>
      <c r="O2471">
        <v>0</v>
      </c>
      <c r="P2471">
        <v>0</v>
      </c>
      <c r="Q2471" t="s">
        <v>44</v>
      </c>
      <c r="R2471" t="s">
        <v>44</v>
      </c>
      <c r="S2471" t="s">
        <v>44</v>
      </c>
      <c r="T2471">
        <v>18</v>
      </c>
      <c r="U2471" t="s">
        <v>44</v>
      </c>
      <c r="V2471">
        <v>4220</v>
      </c>
      <c r="W2471" t="s">
        <v>44</v>
      </c>
      <c r="X2471" t="s">
        <v>44</v>
      </c>
      <c r="Y2471">
        <v>4220</v>
      </c>
      <c r="Z2471" t="s">
        <v>44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30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 s="2">
        <v>4220</v>
      </c>
      <c r="AQ2471">
        <f t="shared" si="86"/>
        <v>4220</v>
      </c>
      <c r="AR2471" s="5">
        <f>VLOOKUP(F2471,'[2]SCP_24-25'!$A:$D,4,0)</f>
        <v>102.91</v>
      </c>
      <c r="AS2471" s="5">
        <f t="shared" si="85"/>
        <v>434280.2</v>
      </c>
    </row>
    <row r="2472" spans="1:45" x14ac:dyDescent="0.3">
      <c r="A2472" s="1">
        <v>45900.965277777781</v>
      </c>
      <c r="B2472" t="s">
        <v>1499</v>
      </c>
      <c r="C2472" t="s">
        <v>1500</v>
      </c>
      <c r="D2472" t="s">
        <v>149</v>
      </c>
      <c r="F2472" t="s">
        <v>1552</v>
      </c>
      <c r="G2472" t="s">
        <v>150</v>
      </c>
      <c r="H2472" t="s">
        <v>66</v>
      </c>
      <c r="I2472" t="s">
        <v>43</v>
      </c>
      <c r="J2472">
        <v>116.62</v>
      </c>
      <c r="K2472">
        <v>19</v>
      </c>
      <c r="L2472">
        <v>9.5</v>
      </c>
      <c r="M2472">
        <v>11</v>
      </c>
      <c r="N2472">
        <v>9760</v>
      </c>
      <c r="O2472">
        <v>0</v>
      </c>
      <c r="P2472">
        <v>0</v>
      </c>
      <c r="Q2472" t="s">
        <v>44</v>
      </c>
      <c r="R2472" t="s">
        <v>44</v>
      </c>
      <c r="S2472" t="s">
        <v>44</v>
      </c>
      <c r="T2472">
        <v>12</v>
      </c>
      <c r="U2472" t="s">
        <v>44</v>
      </c>
      <c r="V2472">
        <v>7008</v>
      </c>
      <c r="W2472" t="s">
        <v>44</v>
      </c>
      <c r="X2472" t="s">
        <v>44</v>
      </c>
      <c r="Y2472">
        <v>7008</v>
      </c>
      <c r="Z2472" t="s">
        <v>44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 s="2">
        <v>7008</v>
      </c>
      <c r="AQ2472">
        <f t="shared" si="86"/>
        <v>7008</v>
      </c>
      <c r="AR2472" s="5">
        <f>VLOOKUP(F2472,'[2]SCP_24-25'!$A:$D,4,0)</f>
        <v>35.085999999999999</v>
      </c>
      <c r="AS2472" s="5">
        <f t="shared" si="85"/>
        <v>245882.68799999999</v>
      </c>
    </row>
    <row r="2473" spans="1:45" x14ac:dyDescent="0.3">
      <c r="A2473" s="1">
        <v>45900.965277777781</v>
      </c>
      <c r="B2473" t="s">
        <v>1499</v>
      </c>
      <c r="C2473" t="s">
        <v>1500</v>
      </c>
      <c r="D2473" t="s">
        <v>151</v>
      </c>
      <c r="F2473" t="s">
        <v>1553</v>
      </c>
      <c r="G2473" t="s">
        <v>152</v>
      </c>
      <c r="H2473" t="s">
        <v>66</v>
      </c>
      <c r="I2473" t="s">
        <v>43</v>
      </c>
      <c r="J2473">
        <v>119.96</v>
      </c>
      <c r="K2473">
        <v>19</v>
      </c>
      <c r="L2473">
        <v>9.5</v>
      </c>
      <c r="M2473">
        <v>11</v>
      </c>
      <c r="N2473">
        <v>6321</v>
      </c>
      <c r="O2473">
        <v>0</v>
      </c>
      <c r="P2473">
        <v>0</v>
      </c>
      <c r="Q2473">
        <v>24</v>
      </c>
      <c r="R2473" t="s">
        <v>44</v>
      </c>
      <c r="S2473" t="s">
        <v>44</v>
      </c>
      <c r="T2473">
        <v>24</v>
      </c>
      <c r="U2473" t="s">
        <v>44</v>
      </c>
      <c r="V2473">
        <v>3859</v>
      </c>
      <c r="W2473" t="s">
        <v>44</v>
      </c>
      <c r="X2473" t="s">
        <v>44</v>
      </c>
      <c r="Y2473">
        <v>3859</v>
      </c>
      <c r="Z2473" t="s">
        <v>44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 s="2">
        <v>3859</v>
      </c>
      <c r="AQ2473">
        <f t="shared" si="86"/>
        <v>3859</v>
      </c>
      <c r="AR2473" s="5">
        <f>VLOOKUP(F2473,'[2]SCP_24-25'!$A:$D,4,0)</f>
        <v>25.264285714285712</v>
      </c>
      <c r="AS2473" s="5">
        <f t="shared" si="85"/>
        <v>97494.878571428562</v>
      </c>
    </row>
    <row r="2474" spans="1:45" x14ac:dyDescent="0.3">
      <c r="A2474" s="1">
        <v>45900.965277777781</v>
      </c>
      <c r="B2474" t="s">
        <v>1499</v>
      </c>
      <c r="C2474" t="s">
        <v>1500</v>
      </c>
      <c r="D2474" t="s">
        <v>155</v>
      </c>
      <c r="F2474" t="s">
        <v>1555</v>
      </c>
      <c r="G2474" t="s">
        <v>156</v>
      </c>
      <c r="H2474" t="s">
        <v>66</v>
      </c>
      <c r="I2474" t="s">
        <v>43</v>
      </c>
      <c r="J2474">
        <v>93.19</v>
      </c>
      <c r="K2474">
        <v>18</v>
      </c>
      <c r="L2474">
        <v>9.5</v>
      </c>
      <c r="M2474">
        <v>11</v>
      </c>
      <c r="N2474">
        <v>13920</v>
      </c>
      <c r="O2474">
        <v>0</v>
      </c>
      <c r="P2474">
        <v>0</v>
      </c>
      <c r="Q2474" t="s">
        <v>44</v>
      </c>
      <c r="R2474" t="s">
        <v>44</v>
      </c>
      <c r="S2474" t="s">
        <v>44</v>
      </c>
      <c r="T2474">
        <v>84</v>
      </c>
      <c r="U2474" t="s">
        <v>44</v>
      </c>
      <c r="V2474">
        <v>7964</v>
      </c>
      <c r="W2474" t="s">
        <v>44</v>
      </c>
      <c r="X2474" t="s">
        <v>44</v>
      </c>
      <c r="Y2474">
        <v>7964</v>
      </c>
      <c r="Z2474" t="s">
        <v>44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 s="2">
        <v>7964</v>
      </c>
      <c r="AQ2474">
        <f t="shared" si="86"/>
        <v>7964</v>
      </c>
      <c r="AR2474" s="5">
        <f>VLOOKUP(F2474,'[2]SCP_24-25'!$A:$D,4,0)</f>
        <v>53.202222222222218</v>
      </c>
      <c r="AS2474" s="5">
        <f t="shared" si="85"/>
        <v>423702.49777777772</v>
      </c>
    </row>
    <row r="2475" spans="1:45" x14ac:dyDescent="0.3">
      <c r="A2475" s="1">
        <v>45900.965277777781</v>
      </c>
      <c r="B2475" t="s">
        <v>1499</v>
      </c>
      <c r="C2475" t="s">
        <v>1500</v>
      </c>
      <c r="D2475" t="s">
        <v>165</v>
      </c>
      <c r="E2475" s="3">
        <v>8910000000000</v>
      </c>
      <c r="F2475" t="s">
        <v>1560</v>
      </c>
      <c r="G2475" t="s">
        <v>166</v>
      </c>
      <c r="H2475" t="s">
        <v>66</v>
      </c>
      <c r="I2475" t="s">
        <v>43</v>
      </c>
      <c r="J2475">
        <v>93.27</v>
      </c>
      <c r="K2475">
        <v>19</v>
      </c>
      <c r="L2475">
        <v>11</v>
      </c>
      <c r="M2475">
        <v>9.5</v>
      </c>
      <c r="N2475">
        <v>13915</v>
      </c>
      <c r="O2475">
        <v>558</v>
      </c>
      <c r="P2475">
        <v>0</v>
      </c>
      <c r="Q2475">
        <v>3</v>
      </c>
      <c r="R2475" t="s">
        <v>44</v>
      </c>
      <c r="S2475" t="s">
        <v>44</v>
      </c>
      <c r="T2475" t="s">
        <v>44</v>
      </c>
      <c r="U2475" t="s">
        <v>44</v>
      </c>
      <c r="V2475">
        <v>7128</v>
      </c>
      <c r="W2475" t="s">
        <v>44</v>
      </c>
      <c r="X2475" t="s">
        <v>44</v>
      </c>
      <c r="Y2475">
        <v>7128</v>
      </c>
      <c r="Z2475" t="s">
        <v>44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 s="2">
        <v>7686</v>
      </c>
      <c r="AQ2475">
        <f t="shared" si="86"/>
        <v>7686</v>
      </c>
      <c r="AR2475" s="5">
        <f>VLOOKUP(F2475,'[2]SCP_24-25'!$A:$D,4,0)</f>
        <v>69.16</v>
      </c>
      <c r="AS2475" s="5">
        <f t="shared" si="85"/>
        <v>531563.76</v>
      </c>
    </row>
    <row r="2476" spans="1:45" x14ac:dyDescent="0.3">
      <c r="A2476" s="1">
        <v>45900.965277777781</v>
      </c>
      <c r="B2476" t="s">
        <v>1499</v>
      </c>
      <c r="C2476" t="s">
        <v>1500</v>
      </c>
      <c r="D2476" t="s">
        <v>171</v>
      </c>
      <c r="F2476" t="s">
        <v>1563</v>
      </c>
      <c r="G2476" t="s">
        <v>172</v>
      </c>
      <c r="H2476" t="s">
        <v>66</v>
      </c>
      <c r="I2476" t="s">
        <v>43</v>
      </c>
      <c r="J2476">
        <v>99.85</v>
      </c>
      <c r="K2476">
        <v>19</v>
      </c>
      <c r="L2476">
        <v>9.5</v>
      </c>
      <c r="M2476">
        <v>11</v>
      </c>
      <c r="N2476">
        <v>4373</v>
      </c>
      <c r="O2476">
        <v>42</v>
      </c>
      <c r="P2476">
        <v>0</v>
      </c>
      <c r="Q2476" t="s">
        <v>44</v>
      </c>
      <c r="R2476" t="s">
        <v>44</v>
      </c>
      <c r="S2476" t="s">
        <v>44</v>
      </c>
      <c r="T2476" t="s">
        <v>44</v>
      </c>
      <c r="U2476" t="s">
        <v>44</v>
      </c>
      <c r="V2476">
        <v>2498</v>
      </c>
      <c r="W2476" t="s">
        <v>44</v>
      </c>
      <c r="X2476" t="s">
        <v>44</v>
      </c>
      <c r="Y2476">
        <v>2498</v>
      </c>
      <c r="Z2476" t="s">
        <v>44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 s="2">
        <v>2540</v>
      </c>
      <c r="AQ2476">
        <f t="shared" si="86"/>
        <v>2540</v>
      </c>
      <c r="AR2476" s="5">
        <f>VLOOKUP(F2476,'[2]SCP_24-25'!$A:$D,4,0)</f>
        <v>75.69</v>
      </c>
      <c r="AS2476" s="5">
        <f t="shared" si="85"/>
        <v>192252.6</v>
      </c>
    </row>
    <row r="2477" spans="1:45" x14ac:dyDescent="0.3">
      <c r="A2477" s="1">
        <v>45900.965277777781</v>
      </c>
      <c r="B2477" t="s">
        <v>1499</v>
      </c>
      <c r="C2477" t="s">
        <v>1500</v>
      </c>
      <c r="D2477" t="s">
        <v>175</v>
      </c>
      <c r="F2477" t="s">
        <v>1565</v>
      </c>
      <c r="G2477" t="s">
        <v>176</v>
      </c>
      <c r="H2477" t="s">
        <v>66</v>
      </c>
      <c r="I2477" t="s">
        <v>43</v>
      </c>
      <c r="J2477">
        <v>101</v>
      </c>
      <c r="K2477">
        <v>18</v>
      </c>
      <c r="L2477">
        <v>9.5</v>
      </c>
      <c r="M2477">
        <v>11</v>
      </c>
      <c r="N2477">
        <v>5362</v>
      </c>
      <c r="O2477">
        <v>288</v>
      </c>
      <c r="P2477">
        <v>0</v>
      </c>
      <c r="Q2477" t="s">
        <v>44</v>
      </c>
      <c r="R2477" t="s">
        <v>44</v>
      </c>
      <c r="S2477" t="s">
        <v>44</v>
      </c>
      <c r="T2477">
        <v>24</v>
      </c>
      <c r="U2477" t="s">
        <v>44</v>
      </c>
      <c r="V2477">
        <v>2605</v>
      </c>
      <c r="W2477" t="s">
        <v>44</v>
      </c>
      <c r="X2477" t="s">
        <v>44</v>
      </c>
      <c r="Y2477">
        <v>2605</v>
      </c>
      <c r="Z2477" t="s">
        <v>44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 s="2">
        <v>2893</v>
      </c>
      <c r="AQ2477">
        <f t="shared" si="86"/>
        <v>2893</v>
      </c>
      <c r="AR2477" s="5">
        <f>VLOOKUP(F2477,'[2]SCP_24-25'!$A:$D,4,0)</f>
        <v>75.27</v>
      </c>
      <c r="AS2477" s="5">
        <f t="shared" si="85"/>
        <v>217756.11</v>
      </c>
    </row>
    <row r="2478" spans="1:45" x14ac:dyDescent="0.3">
      <c r="A2478" s="1">
        <v>45900.965277777781</v>
      </c>
      <c r="B2478" t="s">
        <v>1499</v>
      </c>
      <c r="C2478" t="s">
        <v>1500</v>
      </c>
      <c r="D2478" t="s">
        <v>177</v>
      </c>
      <c r="F2478" t="s">
        <v>1566</v>
      </c>
      <c r="G2478" t="s">
        <v>178</v>
      </c>
      <c r="H2478" t="s">
        <v>66</v>
      </c>
      <c r="I2478" t="s">
        <v>43</v>
      </c>
      <c r="J2478">
        <v>102</v>
      </c>
      <c r="K2478">
        <v>19</v>
      </c>
      <c r="L2478">
        <v>9.5</v>
      </c>
      <c r="M2478">
        <v>11</v>
      </c>
      <c r="N2478">
        <v>17876</v>
      </c>
      <c r="O2478">
        <v>624</v>
      </c>
      <c r="P2478">
        <v>0</v>
      </c>
      <c r="Q2478">
        <v>2</v>
      </c>
      <c r="R2478" t="s">
        <v>44</v>
      </c>
      <c r="S2478" t="s">
        <v>44</v>
      </c>
      <c r="T2478">
        <v>24</v>
      </c>
      <c r="U2478" t="s">
        <v>44</v>
      </c>
      <c r="V2478">
        <v>9133</v>
      </c>
      <c r="W2478" t="s">
        <v>44</v>
      </c>
      <c r="X2478" t="s">
        <v>44</v>
      </c>
      <c r="Y2478">
        <v>9133</v>
      </c>
      <c r="Z2478" t="s">
        <v>44</v>
      </c>
      <c r="AA2478">
        <v>6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 s="2">
        <v>9763</v>
      </c>
      <c r="AQ2478">
        <f t="shared" si="86"/>
        <v>9763</v>
      </c>
      <c r="AR2478" s="5">
        <f>VLOOKUP(F2478,'[2]SCP_24-25'!$A:$D,4,0)</f>
        <v>76.619230769230754</v>
      </c>
      <c r="AS2478" s="5">
        <f t="shared" si="85"/>
        <v>748033.54999999981</v>
      </c>
    </row>
    <row r="2479" spans="1:45" x14ac:dyDescent="0.3">
      <c r="A2479" s="1">
        <v>45900.965277777781</v>
      </c>
      <c r="B2479" t="s">
        <v>1499</v>
      </c>
      <c r="C2479" t="s">
        <v>1500</v>
      </c>
      <c r="D2479" t="s">
        <v>185</v>
      </c>
      <c r="F2479" t="s">
        <v>1570</v>
      </c>
      <c r="G2479" t="s">
        <v>186</v>
      </c>
      <c r="H2479" t="s">
        <v>66</v>
      </c>
      <c r="I2479" t="s">
        <v>43</v>
      </c>
      <c r="J2479">
        <v>100</v>
      </c>
      <c r="K2479">
        <v>19</v>
      </c>
      <c r="L2479">
        <v>9.5</v>
      </c>
      <c r="M2479">
        <v>11</v>
      </c>
      <c r="N2479">
        <v>6652</v>
      </c>
      <c r="O2479">
        <v>144</v>
      </c>
      <c r="P2479">
        <v>0</v>
      </c>
      <c r="Q2479" t="s">
        <v>44</v>
      </c>
      <c r="R2479" t="s">
        <v>44</v>
      </c>
      <c r="S2479" t="s">
        <v>44</v>
      </c>
      <c r="T2479" t="s">
        <v>44</v>
      </c>
      <c r="U2479" t="s">
        <v>44</v>
      </c>
      <c r="V2479">
        <v>4608</v>
      </c>
      <c r="W2479" t="s">
        <v>44</v>
      </c>
      <c r="X2479" t="s">
        <v>44</v>
      </c>
      <c r="Y2479">
        <v>4608</v>
      </c>
      <c r="Z2479" t="s">
        <v>44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 s="2">
        <v>4752</v>
      </c>
      <c r="AQ2479">
        <f t="shared" si="86"/>
        <v>4752</v>
      </c>
      <c r="AR2479" s="5">
        <f>VLOOKUP(F2479,'[2]SCP_24-25'!$A:$D,4,0)</f>
        <v>50.46</v>
      </c>
      <c r="AS2479" s="5">
        <f t="shared" si="85"/>
        <v>239785.92</v>
      </c>
    </row>
    <row r="2480" spans="1:45" x14ac:dyDescent="0.3">
      <c r="A2480" s="1">
        <v>45900.965277777781</v>
      </c>
      <c r="B2480" t="s">
        <v>1499</v>
      </c>
      <c r="C2480" t="s">
        <v>1500</v>
      </c>
      <c r="D2480" t="s">
        <v>187</v>
      </c>
      <c r="F2480" t="s">
        <v>1571</v>
      </c>
      <c r="G2480" t="s">
        <v>188</v>
      </c>
      <c r="H2480" t="s">
        <v>66</v>
      </c>
      <c r="I2480" t="s">
        <v>43</v>
      </c>
      <c r="J2480">
        <v>102</v>
      </c>
      <c r="K2480">
        <v>19</v>
      </c>
      <c r="L2480">
        <v>9.5</v>
      </c>
      <c r="M2480">
        <v>11</v>
      </c>
      <c r="N2480">
        <v>5885</v>
      </c>
      <c r="O2480">
        <v>18</v>
      </c>
      <c r="P2480">
        <v>0</v>
      </c>
      <c r="Q2480" t="s">
        <v>44</v>
      </c>
      <c r="R2480" t="s">
        <v>44</v>
      </c>
      <c r="S2480" t="s">
        <v>44</v>
      </c>
      <c r="T2480" t="s">
        <v>44</v>
      </c>
      <c r="U2480" t="s">
        <v>44</v>
      </c>
      <c r="V2480">
        <v>4881</v>
      </c>
      <c r="W2480" t="s">
        <v>44</v>
      </c>
      <c r="X2480" t="s">
        <v>44</v>
      </c>
      <c r="Y2480">
        <v>4881</v>
      </c>
      <c r="Z2480" t="s">
        <v>44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 s="2">
        <v>4899</v>
      </c>
      <c r="AQ2480">
        <f t="shared" si="86"/>
        <v>4899</v>
      </c>
      <c r="AR2480" s="5">
        <f>VLOOKUP(F2480,'[2]SCP_24-25'!$A:$D,4,0)</f>
        <v>65.349999999999994</v>
      </c>
      <c r="AS2480" s="5">
        <f t="shared" si="85"/>
        <v>320149.64999999997</v>
      </c>
    </row>
    <row r="2481" spans="1:45" x14ac:dyDescent="0.3">
      <c r="A2481" s="1">
        <v>45900.965277777781</v>
      </c>
      <c r="B2481" t="s">
        <v>1499</v>
      </c>
      <c r="C2481" t="s">
        <v>1500</v>
      </c>
      <c r="D2481" t="s">
        <v>189</v>
      </c>
      <c r="F2481" t="s">
        <v>1572</v>
      </c>
      <c r="G2481" t="s">
        <v>190</v>
      </c>
      <c r="H2481" t="s">
        <v>66</v>
      </c>
      <c r="I2481" t="s">
        <v>43</v>
      </c>
      <c r="J2481">
        <v>115</v>
      </c>
      <c r="K2481">
        <v>19</v>
      </c>
      <c r="L2481">
        <v>9.5</v>
      </c>
      <c r="M2481">
        <v>11</v>
      </c>
      <c r="N2481">
        <v>6016</v>
      </c>
      <c r="O2481">
        <v>102</v>
      </c>
      <c r="P2481">
        <v>0</v>
      </c>
      <c r="Q2481" t="s">
        <v>44</v>
      </c>
      <c r="R2481" t="s">
        <v>44</v>
      </c>
      <c r="S2481" t="s">
        <v>44</v>
      </c>
      <c r="T2481">
        <v>12</v>
      </c>
      <c r="U2481" t="s">
        <v>44</v>
      </c>
      <c r="V2481">
        <v>3984</v>
      </c>
      <c r="W2481" t="s">
        <v>44</v>
      </c>
      <c r="X2481" t="s">
        <v>44</v>
      </c>
      <c r="Y2481">
        <v>3984</v>
      </c>
      <c r="Z2481" t="s">
        <v>44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 s="2">
        <v>4086</v>
      </c>
      <c r="AQ2481">
        <f t="shared" si="86"/>
        <v>4086</v>
      </c>
      <c r="AR2481" s="5">
        <f>VLOOKUP(F2481,'[2]SCP_24-25'!$A:$D,4,0)</f>
        <v>72.599999999999994</v>
      </c>
      <c r="AS2481" s="5">
        <f t="shared" si="85"/>
        <v>296643.59999999998</v>
      </c>
    </row>
    <row r="2482" spans="1:45" x14ac:dyDescent="0.3">
      <c r="A2482" s="1">
        <v>45900.965277777781</v>
      </c>
      <c r="B2482" t="s">
        <v>1499</v>
      </c>
      <c r="C2482" t="s">
        <v>1500</v>
      </c>
      <c r="D2482" t="s">
        <v>191</v>
      </c>
      <c r="F2482" t="s">
        <v>1573</v>
      </c>
      <c r="G2482" t="s">
        <v>192</v>
      </c>
      <c r="H2482" t="s">
        <v>66</v>
      </c>
      <c r="I2482" t="s">
        <v>43</v>
      </c>
      <c r="J2482">
        <v>195</v>
      </c>
      <c r="K2482">
        <v>19</v>
      </c>
      <c r="L2482">
        <v>9.5</v>
      </c>
      <c r="M2482">
        <v>11</v>
      </c>
      <c r="N2482">
        <v>9858</v>
      </c>
      <c r="O2482">
        <v>68</v>
      </c>
      <c r="P2482">
        <v>0</v>
      </c>
      <c r="Q2482" t="s">
        <v>44</v>
      </c>
      <c r="R2482" t="s">
        <v>44</v>
      </c>
      <c r="S2482" t="s">
        <v>44</v>
      </c>
      <c r="T2482">
        <v>12</v>
      </c>
      <c r="U2482" t="s">
        <v>44</v>
      </c>
      <c r="V2482">
        <v>3631</v>
      </c>
      <c r="W2482" t="s">
        <v>44</v>
      </c>
      <c r="X2482" t="s">
        <v>44</v>
      </c>
      <c r="Y2482">
        <v>3631</v>
      </c>
      <c r="Z2482" t="s">
        <v>44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 s="2">
        <v>3699</v>
      </c>
      <c r="AQ2482">
        <f t="shared" si="86"/>
        <v>3699</v>
      </c>
      <c r="AR2482" s="5">
        <f>VLOOKUP(F2482,'[2]SCP_24-25'!$A:$D,4,0)</f>
        <v>66.899999999999991</v>
      </c>
      <c r="AS2482" s="5">
        <f t="shared" si="85"/>
        <v>247463.09999999998</v>
      </c>
    </row>
    <row r="2483" spans="1:45" x14ac:dyDescent="0.3">
      <c r="A2483" s="1">
        <v>45900.965277777781</v>
      </c>
      <c r="B2483" t="s">
        <v>1499</v>
      </c>
      <c r="C2483" t="s">
        <v>1500</v>
      </c>
      <c r="D2483" t="s">
        <v>193</v>
      </c>
      <c r="F2483" t="s">
        <v>1574</v>
      </c>
      <c r="G2483" t="s">
        <v>194</v>
      </c>
      <c r="H2483" t="s">
        <v>66</v>
      </c>
      <c r="I2483" t="s">
        <v>43</v>
      </c>
      <c r="J2483">
        <v>224</v>
      </c>
      <c r="K2483">
        <v>19</v>
      </c>
      <c r="L2483">
        <v>9.5</v>
      </c>
      <c r="M2483">
        <v>11</v>
      </c>
      <c r="N2483">
        <v>180923</v>
      </c>
      <c r="O2483">
        <v>0</v>
      </c>
      <c r="P2483">
        <v>0</v>
      </c>
      <c r="Q2483">
        <v>1</v>
      </c>
      <c r="R2483" t="s">
        <v>44</v>
      </c>
      <c r="S2483" t="s">
        <v>44</v>
      </c>
      <c r="T2483">
        <v>13160</v>
      </c>
      <c r="U2483" t="s">
        <v>44</v>
      </c>
      <c r="V2483">
        <v>3268</v>
      </c>
      <c r="W2483" t="s">
        <v>44</v>
      </c>
      <c r="X2483" t="s">
        <v>44</v>
      </c>
      <c r="Y2483">
        <v>3268</v>
      </c>
      <c r="Z2483" t="s">
        <v>44</v>
      </c>
      <c r="AA2483">
        <v>12</v>
      </c>
      <c r="AB2483">
        <v>0</v>
      </c>
      <c r="AC2483">
        <v>0</v>
      </c>
      <c r="AD2483">
        <v>0</v>
      </c>
      <c r="AE2483">
        <v>0</v>
      </c>
      <c r="AF2483">
        <v>6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 s="2">
        <v>3280</v>
      </c>
      <c r="AQ2483">
        <f t="shared" si="86"/>
        <v>3280</v>
      </c>
      <c r="AR2483" s="5">
        <f>VLOOKUP(F2483,'[2]SCP_24-25'!$A:$D,4,0)</f>
        <v>47.03</v>
      </c>
      <c r="AS2483" s="5">
        <f t="shared" si="85"/>
        <v>154258.4</v>
      </c>
    </row>
    <row r="2484" spans="1:45" x14ac:dyDescent="0.3">
      <c r="A2484" s="1">
        <v>45900.965277777781</v>
      </c>
      <c r="B2484" t="s">
        <v>1499</v>
      </c>
      <c r="C2484" t="s">
        <v>1500</v>
      </c>
      <c r="D2484" t="s">
        <v>197</v>
      </c>
      <c r="E2484" t="s">
        <v>198</v>
      </c>
      <c r="F2484" t="s">
        <v>1576</v>
      </c>
      <c r="G2484" t="s">
        <v>199</v>
      </c>
      <c r="H2484" t="s">
        <v>66</v>
      </c>
      <c r="I2484" t="s">
        <v>43</v>
      </c>
      <c r="J2484">
        <v>100</v>
      </c>
      <c r="K2484">
        <v>19</v>
      </c>
      <c r="L2484">
        <v>9.5</v>
      </c>
      <c r="M2484">
        <v>11</v>
      </c>
      <c r="N2484">
        <v>7044</v>
      </c>
      <c r="O2484">
        <v>0</v>
      </c>
      <c r="P2484">
        <v>0</v>
      </c>
      <c r="Q2484" t="s">
        <v>44</v>
      </c>
      <c r="R2484" t="s">
        <v>44</v>
      </c>
      <c r="S2484" t="s">
        <v>44</v>
      </c>
      <c r="T2484">
        <v>24</v>
      </c>
      <c r="U2484" t="s">
        <v>44</v>
      </c>
      <c r="V2484">
        <v>5271</v>
      </c>
      <c r="W2484" t="s">
        <v>44</v>
      </c>
      <c r="X2484" t="s">
        <v>44</v>
      </c>
      <c r="Y2484">
        <v>5271</v>
      </c>
      <c r="Z2484" t="s">
        <v>44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 s="2">
        <v>5271</v>
      </c>
      <c r="AQ2484">
        <f t="shared" si="86"/>
        <v>5271</v>
      </c>
      <c r="AR2484" s="5">
        <f>VLOOKUP(F2484,'[2]SCP_24-25'!$A:$D,4,0)</f>
        <v>63.26</v>
      </c>
      <c r="AS2484" s="5">
        <f t="shared" si="85"/>
        <v>333443.45999999996</v>
      </c>
    </row>
    <row r="2485" spans="1:45" x14ac:dyDescent="0.3">
      <c r="A2485" s="1">
        <v>45900.965277777781</v>
      </c>
      <c r="B2485" t="s">
        <v>1499</v>
      </c>
      <c r="C2485" t="s">
        <v>1500</v>
      </c>
      <c r="D2485" t="s">
        <v>200</v>
      </c>
      <c r="E2485" t="s">
        <v>201</v>
      </c>
      <c r="F2485" t="s">
        <v>1577</v>
      </c>
      <c r="G2485" t="s">
        <v>202</v>
      </c>
      <c r="H2485" t="s">
        <v>66</v>
      </c>
      <c r="I2485" t="s">
        <v>43</v>
      </c>
      <c r="J2485">
        <v>37</v>
      </c>
      <c r="K2485">
        <v>19</v>
      </c>
      <c r="L2485">
        <v>9.5</v>
      </c>
      <c r="M2485">
        <v>11</v>
      </c>
      <c r="N2485">
        <v>12300</v>
      </c>
      <c r="O2485">
        <v>0</v>
      </c>
      <c r="P2485">
        <v>0</v>
      </c>
      <c r="Q2485" t="s">
        <v>44</v>
      </c>
      <c r="R2485" t="s">
        <v>44</v>
      </c>
      <c r="S2485" t="s">
        <v>44</v>
      </c>
      <c r="T2485" t="s">
        <v>44</v>
      </c>
      <c r="U2485" t="s">
        <v>44</v>
      </c>
      <c r="V2485">
        <v>6316</v>
      </c>
      <c r="W2485" t="s">
        <v>44</v>
      </c>
      <c r="X2485" t="s">
        <v>44</v>
      </c>
      <c r="Y2485">
        <v>6316</v>
      </c>
      <c r="Z2485" t="s">
        <v>44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 s="2">
        <v>6316</v>
      </c>
      <c r="AQ2485">
        <f t="shared" si="86"/>
        <v>6316</v>
      </c>
      <c r="AR2485" s="5">
        <f>VLOOKUP(F2485,'[2]SCP_24-25'!$A:$D,4,0)</f>
        <v>18.564999999999998</v>
      </c>
      <c r="AS2485" s="5">
        <f t="shared" si="85"/>
        <v>117256.53999999998</v>
      </c>
    </row>
    <row r="2486" spans="1:45" x14ac:dyDescent="0.3">
      <c r="A2486" s="1">
        <v>45900.965277777781</v>
      </c>
      <c r="B2486" t="s">
        <v>1499</v>
      </c>
      <c r="C2486" t="s">
        <v>1500</v>
      </c>
      <c r="D2486" t="s">
        <v>205</v>
      </c>
      <c r="E2486" t="s">
        <v>206</v>
      </c>
      <c r="F2486" t="s">
        <v>1579</v>
      </c>
      <c r="G2486" t="s">
        <v>207</v>
      </c>
      <c r="H2486" t="s">
        <v>66</v>
      </c>
      <c r="I2486" t="s">
        <v>43</v>
      </c>
      <c r="J2486">
        <v>23</v>
      </c>
      <c r="K2486">
        <v>19</v>
      </c>
      <c r="L2486">
        <v>9.5</v>
      </c>
      <c r="M2486">
        <v>11</v>
      </c>
      <c r="N2486">
        <v>4417</v>
      </c>
      <c r="O2486">
        <v>0</v>
      </c>
      <c r="P2486">
        <v>0</v>
      </c>
      <c r="Q2486" t="s">
        <v>44</v>
      </c>
      <c r="R2486" t="s">
        <v>44</v>
      </c>
      <c r="S2486" t="s">
        <v>44</v>
      </c>
      <c r="T2486" t="s">
        <v>44</v>
      </c>
      <c r="U2486" t="s">
        <v>44</v>
      </c>
      <c r="V2486">
        <v>3027</v>
      </c>
      <c r="W2486" t="s">
        <v>44</v>
      </c>
      <c r="X2486" t="s">
        <v>44</v>
      </c>
      <c r="Y2486">
        <v>3027</v>
      </c>
      <c r="Z2486" t="s">
        <v>44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 s="2">
        <v>3027</v>
      </c>
      <c r="AQ2486">
        <f t="shared" si="86"/>
        <v>3027</v>
      </c>
      <c r="AR2486" s="5">
        <f>VLOOKUP(F2486,'[2]SCP_24-25'!$A:$D,4,0)</f>
        <v>16.38</v>
      </c>
      <c r="AS2486" s="5">
        <f t="shared" si="85"/>
        <v>49582.259999999995</v>
      </c>
    </row>
    <row r="2487" spans="1:45" x14ac:dyDescent="0.3">
      <c r="A2487" s="1">
        <v>45900.965277777781</v>
      </c>
      <c r="B2487" t="s">
        <v>1499</v>
      </c>
      <c r="C2487" t="s">
        <v>1500</v>
      </c>
      <c r="D2487" t="s">
        <v>213</v>
      </c>
      <c r="E2487" t="s">
        <v>214</v>
      </c>
      <c r="F2487" t="s">
        <v>1582</v>
      </c>
      <c r="G2487" t="s">
        <v>215</v>
      </c>
      <c r="H2487" t="s">
        <v>66</v>
      </c>
      <c r="I2487" t="s">
        <v>43</v>
      </c>
      <c r="J2487">
        <v>101</v>
      </c>
      <c r="K2487">
        <v>19</v>
      </c>
      <c r="L2487">
        <v>9.5</v>
      </c>
      <c r="M2487">
        <v>11</v>
      </c>
      <c r="N2487">
        <v>6669</v>
      </c>
      <c r="O2487">
        <v>48</v>
      </c>
      <c r="P2487">
        <v>0</v>
      </c>
      <c r="Q2487">
        <v>1</v>
      </c>
      <c r="R2487" t="s">
        <v>44</v>
      </c>
      <c r="S2487" t="s">
        <v>44</v>
      </c>
      <c r="T2487" t="s">
        <v>44</v>
      </c>
      <c r="U2487" t="s">
        <v>44</v>
      </c>
      <c r="V2487">
        <v>2443</v>
      </c>
      <c r="W2487" t="s">
        <v>44</v>
      </c>
      <c r="X2487" t="s">
        <v>44</v>
      </c>
      <c r="Y2487">
        <v>2443</v>
      </c>
      <c r="Z2487" t="s">
        <v>44</v>
      </c>
      <c r="AA2487">
        <v>12</v>
      </c>
      <c r="AB2487">
        <v>0</v>
      </c>
      <c r="AC2487">
        <v>0</v>
      </c>
      <c r="AD2487">
        <v>0</v>
      </c>
      <c r="AE2487">
        <v>0</v>
      </c>
      <c r="AF2487">
        <v>6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 s="2">
        <v>2503</v>
      </c>
      <c r="AQ2487">
        <f t="shared" si="86"/>
        <v>2503</v>
      </c>
      <c r="AR2487" s="5">
        <f>VLOOKUP(F2487,'[2]SCP_24-25'!$A:$D,4,0)</f>
        <v>60.46</v>
      </c>
      <c r="AS2487" s="5">
        <f t="shared" si="85"/>
        <v>151331.38</v>
      </c>
    </row>
    <row r="2488" spans="1:45" x14ac:dyDescent="0.3">
      <c r="A2488" s="1">
        <v>45900.965277777781</v>
      </c>
      <c r="B2488" t="s">
        <v>1499</v>
      </c>
      <c r="C2488" t="s">
        <v>1500</v>
      </c>
      <c r="D2488" t="s">
        <v>226</v>
      </c>
      <c r="F2488" t="s">
        <v>1588</v>
      </c>
      <c r="G2488" t="s">
        <v>227</v>
      </c>
      <c r="H2488" t="s">
        <v>66</v>
      </c>
      <c r="I2488" t="s">
        <v>43</v>
      </c>
      <c r="J2488">
        <v>101</v>
      </c>
      <c r="K2488">
        <v>19</v>
      </c>
      <c r="L2488">
        <v>10</v>
      </c>
      <c r="M2488">
        <v>11</v>
      </c>
      <c r="N2488">
        <v>3404</v>
      </c>
      <c r="O2488">
        <v>12</v>
      </c>
      <c r="P2488">
        <v>0</v>
      </c>
      <c r="Q2488" t="s">
        <v>44</v>
      </c>
      <c r="R2488" t="s">
        <v>44</v>
      </c>
      <c r="S2488" t="s">
        <v>44</v>
      </c>
      <c r="T2488" t="s">
        <v>44</v>
      </c>
      <c r="U2488" t="s">
        <v>44</v>
      </c>
      <c r="V2488">
        <v>2679</v>
      </c>
      <c r="W2488" t="s">
        <v>44</v>
      </c>
      <c r="X2488" t="s">
        <v>44</v>
      </c>
      <c r="Y2488">
        <v>2679</v>
      </c>
      <c r="Z2488" t="s">
        <v>44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 s="2">
        <v>2691</v>
      </c>
      <c r="AQ2488">
        <f t="shared" si="86"/>
        <v>2691</v>
      </c>
      <c r="AR2488" s="5">
        <f>VLOOKUP(F2488,'[2]SCP_24-25'!$A:$D,4,0)</f>
        <v>70.2</v>
      </c>
      <c r="AS2488" s="5">
        <f t="shared" si="85"/>
        <v>188908.2</v>
      </c>
    </row>
    <row r="2489" spans="1:45" x14ac:dyDescent="0.3">
      <c r="A2489" s="1">
        <v>45900.965277777781</v>
      </c>
      <c r="B2489" t="s">
        <v>1499</v>
      </c>
      <c r="C2489" t="s">
        <v>1500</v>
      </c>
      <c r="D2489" t="s">
        <v>230</v>
      </c>
      <c r="F2489" t="s">
        <v>1590</v>
      </c>
      <c r="G2489" t="s">
        <v>231</v>
      </c>
      <c r="H2489" t="s">
        <v>66</v>
      </c>
      <c r="I2489" t="s">
        <v>43</v>
      </c>
      <c r="J2489">
        <v>47</v>
      </c>
      <c r="K2489">
        <v>19</v>
      </c>
      <c r="L2489">
        <v>10</v>
      </c>
      <c r="M2489">
        <v>11</v>
      </c>
      <c r="N2489">
        <v>6307</v>
      </c>
      <c r="O2489">
        <v>408</v>
      </c>
      <c r="P2489">
        <v>0</v>
      </c>
      <c r="Q2489" t="s">
        <v>44</v>
      </c>
      <c r="R2489" t="s">
        <v>44</v>
      </c>
      <c r="S2489" t="s">
        <v>44</v>
      </c>
      <c r="T2489" t="s">
        <v>44</v>
      </c>
      <c r="U2489" t="s">
        <v>44</v>
      </c>
      <c r="V2489">
        <v>3261</v>
      </c>
      <c r="W2489" t="s">
        <v>44</v>
      </c>
      <c r="X2489" t="s">
        <v>44</v>
      </c>
      <c r="Y2489">
        <v>3261</v>
      </c>
      <c r="Z2489" t="s">
        <v>44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 s="2">
        <v>3669</v>
      </c>
      <c r="AQ2489">
        <f t="shared" si="86"/>
        <v>3669</v>
      </c>
      <c r="AR2489" s="5">
        <f>VLOOKUP(F2489,'[2]SCP_24-25'!$A:$D,4,0)</f>
        <v>75.81</v>
      </c>
      <c r="AS2489" s="5">
        <f t="shared" si="85"/>
        <v>278146.89</v>
      </c>
    </row>
    <row r="2490" spans="1:45" x14ac:dyDescent="0.3">
      <c r="A2490" s="1">
        <v>45900.965277777781</v>
      </c>
      <c r="B2490" t="s">
        <v>1499</v>
      </c>
      <c r="C2490" t="s">
        <v>1500</v>
      </c>
      <c r="D2490" t="s">
        <v>232</v>
      </c>
      <c r="E2490" t="s">
        <v>233</v>
      </c>
      <c r="F2490" t="s">
        <v>1591</v>
      </c>
      <c r="G2490" t="s">
        <v>234</v>
      </c>
      <c r="H2490" t="s">
        <v>66</v>
      </c>
      <c r="I2490" t="s">
        <v>43</v>
      </c>
      <c r="J2490">
        <v>95</v>
      </c>
      <c r="K2490">
        <v>19</v>
      </c>
      <c r="L2490">
        <v>11</v>
      </c>
      <c r="M2490">
        <v>9.5</v>
      </c>
      <c r="N2490">
        <v>6286</v>
      </c>
      <c r="O2490">
        <v>30</v>
      </c>
      <c r="P2490">
        <v>0</v>
      </c>
      <c r="Q2490" t="s">
        <v>44</v>
      </c>
      <c r="R2490" t="s">
        <v>44</v>
      </c>
      <c r="S2490" t="s">
        <v>44</v>
      </c>
      <c r="T2490">
        <v>2448</v>
      </c>
      <c r="U2490" t="s">
        <v>44</v>
      </c>
      <c r="V2490">
        <v>3182</v>
      </c>
      <c r="W2490" t="s">
        <v>44</v>
      </c>
      <c r="X2490" t="s">
        <v>44</v>
      </c>
      <c r="Y2490">
        <v>3182</v>
      </c>
      <c r="Z2490" t="s">
        <v>44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 s="2">
        <v>3212</v>
      </c>
      <c r="AQ2490">
        <f t="shared" si="86"/>
        <v>3212</v>
      </c>
      <c r="AR2490" s="5">
        <f>VLOOKUP(F2490,'[2]SCP_24-25'!$A:$D,4,0)</f>
        <v>70.52</v>
      </c>
      <c r="AS2490" s="5">
        <f t="shared" si="85"/>
        <v>226510.24</v>
      </c>
    </row>
    <row r="2491" spans="1:45" x14ac:dyDescent="0.3">
      <c r="A2491" s="1">
        <v>45900.965277777781</v>
      </c>
      <c r="B2491" t="s">
        <v>1499</v>
      </c>
      <c r="C2491" t="s">
        <v>1500</v>
      </c>
      <c r="D2491" t="s">
        <v>274</v>
      </c>
      <c r="E2491" t="s">
        <v>275</v>
      </c>
      <c r="F2491" t="s">
        <v>1606</v>
      </c>
      <c r="G2491" t="s">
        <v>276</v>
      </c>
      <c r="H2491" t="s">
        <v>103</v>
      </c>
      <c r="I2491" t="s">
        <v>43</v>
      </c>
      <c r="J2491">
        <v>238.02</v>
      </c>
      <c r="K2491">
        <v>19</v>
      </c>
      <c r="L2491">
        <v>9.5</v>
      </c>
      <c r="M2491">
        <v>11</v>
      </c>
      <c r="N2491">
        <v>76915</v>
      </c>
      <c r="O2491">
        <v>710</v>
      </c>
      <c r="P2491">
        <v>0</v>
      </c>
      <c r="Q2491">
        <v>75</v>
      </c>
      <c r="R2491" t="s">
        <v>44</v>
      </c>
      <c r="S2491" t="s">
        <v>44</v>
      </c>
      <c r="T2491">
        <v>6984</v>
      </c>
      <c r="U2491" t="s">
        <v>44</v>
      </c>
      <c r="V2491">
        <v>3805</v>
      </c>
      <c r="W2491" t="s">
        <v>44</v>
      </c>
      <c r="X2491" t="s">
        <v>44</v>
      </c>
      <c r="Y2491">
        <v>3805</v>
      </c>
      <c r="Z2491" t="s">
        <v>44</v>
      </c>
      <c r="AA2491">
        <v>252</v>
      </c>
      <c r="AB2491">
        <v>0</v>
      </c>
      <c r="AC2491">
        <v>0</v>
      </c>
      <c r="AD2491">
        <v>0</v>
      </c>
      <c r="AE2491">
        <v>0</v>
      </c>
      <c r="AF2491">
        <v>48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 s="2">
        <v>4767</v>
      </c>
      <c r="AQ2491">
        <f t="shared" si="86"/>
        <v>4767</v>
      </c>
      <c r="AR2491" s="5">
        <f>VLOOKUP(F2491,'[2]SCP_24-25'!$A:$D,4,0)</f>
        <v>82.6</v>
      </c>
      <c r="AS2491" s="5">
        <f t="shared" si="85"/>
        <v>393754.19999999995</v>
      </c>
    </row>
    <row r="2492" spans="1:45" x14ac:dyDescent="0.3">
      <c r="A2492" s="1">
        <v>45900.965277777781</v>
      </c>
      <c r="B2492" t="s">
        <v>1499</v>
      </c>
      <c r="C2492" t="s">
        <v>1500</v>
      </c>
      <c r="D2492" t="s">
        <v>303</v>
      </c>
      <c r="F2492" t="s">
        <v>1617</v>
      </c>
      <c r="G2492" t="s">
        <v>304</v>
      </c>
      <c r="H2492" t="s">
        <v>66</v>
      </c>
      <c r="I2492" t="s">
        <v>43</v>
      </c>
      <c r="J2492">
        <v>30</v>
      </c>
      <c r="K2492">
        <v>19</v>
      </c>
      <c r="L2492">
        <v>9.5</v>
      </c>
      <c r="M2492">
        <v>11</v>
      </c>
      <c r="N2492">
        <v>10386</v>
      </c>
      <c r="O2492">
        <v>0</v>
      </c>
      <c r="P2492">
        <v>0</v>
      </c>
      <c r="Q2492" t="s">
        <v>44</v>
      </c>
      <c r="R2492" t="s">
        <v>44</v>
      </c>
      <c r="S2492" t="s">
        <v>44</v>
      </c>
      <c r="T2492" t="s">
        <v>44</v>
      </c>
      <c r="U2492" t="s">
        <v>44</v>
      </c>
      <c r="V2492">
        <v>5163</v>
      </c>
      <c r="W2492" t="s">
        <v>44</v>
      </c>
      <c r="X2492" t="s">
        <v>44</v>
      </c>
      <c r="Y2492">
        <v>5163</v>
      </c>
      <c r="Z2492" t="s">
        <v>44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 s="2">
        <v>5163</v>
      </c>
      <c r="AQ2492">
        <f t="shared" si="86"/>
        <v>5163</v>
      </c>
      <c r="AR2492" s="5">
        <f>VLOOKUP(F2492,'[2]SCP_24-25'!$A:$D,4,0)</f>
        <v>15.13</v>
      </c>
      <c r="AS2492" s="5">
        <f t="shared" si="85"/>
        <v>78116.19</v>
      </c>
    </row>
    <row r="2493" spans="1:45" x14ac:dyDescent="0.3">
      <c r="A2493" s="1">
        <v>45900.965277777781</v>
      </c>
      <c r="B2493" t="s">
        <v>1499</v>
      </c>
      <c r="C2493" t="s">
        <v>1500</v>
      </c>
      <c r="D2493" t="s">
        <v>314</v>
      </c>
      <c r="E2493" t="s">
        <v>315</v>
      </c>
      <c r="F2493" t="s">
        <v>1621</v>
      </c>
      <c r="G2493" t="s">
        <v>316</v>
      </c>
      <c r="H2493" t="s">
        <v>66</v>
      </c>
      <c r="I2493" t="s">
        <v>43</v>
      </c>
      <c r="J2493">
        <v>75</v>
      </c>
      <c r="K2493">
        <v>19</v>
      </c>
      <c r="L2493">
        <v>11</v>
      </c>
      <c r="M2493">
        <v>9.5</v>
      </c>
      <c r="N2493">
        <v>6892</v>
      </c>
      <c r="O2493">
        <v>0</v>
      </c>
      <c r="P2493">
        <v>0</v>
      </c>
      <c r="Q2493" t="s">
        <v>44</v>
      </c>
      <c r="R2493" t="s">
        <v>44</v>
      </c>
      <c r="S2493" t="s">
        <v>44</v>
      </c>
      <c r="T2493">
        <v>1008</v>
      </c>
      <c r="U2493" t="s">
        <v>44</v>
      </c>
      <c r="V2493">
        <v>4183</v>
      </c>
      <c r="W2493" t="s">
        <v>44</v>
      </c>
      <c r="X2493" t="s">
        <v>44</v>
      </c>
      <c r="Y2493">
        <v>4183</v>
      </c>
      <c r="Z2493" t="s">
        <v>44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 s="2">
        <v>4183</v>
      </c>
      <c r="AQ2493">
        <f t="shared" si="86"/>
        <v>4183</v>
      </c>
      <c r="AR2493" s="5">
        <f>VLOOKUP(F2493,'[2]SCP_24-25'!$A:$D,4,0)</f>
        <v>53.93</v>
      </c>
      <c r="AS2493" s="5">
        <f t="shared" si="85"/>
        <v>225589.19</v>
      </c>
    </row>
    <row r="2494" spans="1:45" x14ac:dyDescent="0.3">
      <c r="A2494" s="1">
        <v>45900.965277777781</v>
      </c>
      <c r="B2494" t="s">
        <v>1499</v>
      </c>
      <c r="C2494" t="s">
        <v>1500</v>
      </c>
      <c r="D2494" t="s">
        <v>1305</v>
      </c>
      <c r="E2494" t="s">
        <v>1306</v>
      </c>
      <c r="F2494" t="s">
        <v>2104</v>
      </c>
      <c r="G2494" t="s">
        <v>1307</v>
      </c>
      <c r="H2494" t="s">
        <v>66</v>
      </c>
      <c r="I2494" t="s">
        <v>43</v>
      </c>
      <c r="J2494">
        <v>10</v>
      </c>
      <c r="K2494">
        <v>19</v>
      </c>
      <c r="L2494">
        <v>11</v>
      </c>
      <c r="M2494">
        <v>9.5</v>
      </c>
      <c r="N2494">
        <v>15223</v>
      </c>
      <c r="O2494">
        <v>1</v>
      </c>
      <c r="P2494">
        <v>0</v>
      </c>
      <c r="Q2494" t="s">
        <v>44</v>
      </c>
      <c r="R2494" t="s">
        <v>44</v>
      </c>
      <c r="S2494" t="s">
        <v>44</v>
      </c>
      <c r="T2494" t="s">
        <v>44</v>
      </c>
      <c r="U2494" t="s">
        <v>44</v>
      </c>
      <c r="V2494">
        <v>4446</v>
      </c>
      <c r="W2494" t="s">
        <v>44</v>
      </c>
      <c r="X2494" t="s">
        <v>44</v>
      </c>
      <c r="Y2494">
        <v>4446</v>
      </c>
      <c r="Z2494" t="s">
        <v>44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 s="2">
        <v>4447</v>
      </c>
      <c r="AQ2494">
        <f t="shared" si="86"/>
        <v>4447</v>
      </c>
      <c r="AR2494" s="5">
        <f>VLOOKUP(F2494,'[2]SCP_24-25'!$A:$D,4,0)</f>
        <v>16.059999999999999</v>
      </c>
      <c r="AS2494" s="5">
        <f t="shared" si="85"/>
        <v>71418.819999999992</v>
      </c>
    </row>
    <row r="2495" spans="1:45" x14ac:dyDescent="0.3">
      <c r="A2495" s="1">
        <v>45900.965277777781</v>
      </c>
      <c r="B2495" t="s">
        <v>1499</v>
      </c>
      <c r="C2495" t="s">
        <v>1500</v>
      </c>
      <c r="D2495" t="s">
        <v>1312</v>
      </c>
      <c r="E2495" t="s">
        <v>1313</v>
      </c>
      <c r="F2495" t="s">
        <v>2107</v>
      </c>
      <c r="G2495" t="s">
        <v>1314</v>
      </c>
      <c r="H2495" t="s">
        <v>66</v>
      </c>
      <c r="I2495" t="s">
        <v>43</v>
      </c>
      <c r="J2495">
        <v>50</v>
      </c>
      <c r="K2495">
        <v>19</v>
      </c>
      <c r="L2495">
        <v>11</v>
      </c>
      <c r="M2495">
        <v>9.5</v>
      </c>
      <c r="N2495">
        <v>3131</v>
      </c>
      <c r="O2495">
        <v>0</v>
      </c>
      <c r="P2495">
        <v>0</v>
      </c>
      <c r="Q2495" t="s">
        <v>44</v>
      </c>
      <c r="R2495" t="s">
        <v>44</v>
      </c>
      <c r="S2495" t="s">
        <v>44</v>
      </c>
      <c r="T2495" t="s">
        <v>44</v>
      </c>
      <c r="U2495" t="s">
        <v>44</v>
      </c>
      <c r="V2495">
        <v>2423</v>
      </c>
      <c r="W2495" t="s">
        <v>44</v>
      </c>
      <c r="X2495" t="s">
        <v>44</v>
      </c>
      <c r="Y2495">
        <v>2423</v>
      </c>
      <c r="Z2495" t="s">
        <v>44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 s="2">
        <v>2423</v>
      </c>
      <c r="AQ2495">
        <f t="shared" si="86"/>
        <v>2423</v>
      </c>
      <c r="AR2495" s="5">
        <f>VLOOKUP(F2495,'[2]SCP_24-25'!$A:$D,4,0)</f>
        <v>20.65</v>
      </c>
      <c r="AS2495" s="5">
        <f t="shared" si="85"/>
        <v>50034.95</v>
      </c>
    </row>
    <row r="2496" spans="1:45" x14ac:dyDescent="0.3">
      <c r="A2496" s="1">
        <v>45900.965277777781</v>
      </c>
      <c r="B2496" t="s">
        <v>1499</v>
      </c>
      <c r="C2496" t="s">
        <v>1500</v>
      </c>
      <c r="D2496" t="s">
        <v>1330</v>
      </c>
      <c r="E2496" t="s">
        <v>1331</v>
      </c>
      <c r="F2496" t="s">
        <v>2115</v>
      </c>
      <c r="G2496" t="s">
        <v>1332</v>
      </c>
      <c r="H2496" t="s">
        <v>66</v>
      </c>
      <c r="I2496" t="s">
        <v>43</v>
      </c>
      <c r="J2496">
        <v>50</v>
      </c>
      <c r="K2496">
        <v>19</v>
      </c>
      <c r="L2496">
        <v>11</v>
      </c>
      <c r="M2496">
        <v>9.5</v>
      </c>
      <c r="N2496">
        <v>3651</v>
      </c>
      <c r="O2496">
        <v>0</v>
      </c>
      <c r="P2496">
        <v>0</v>
      </c>
      <c r="Q2496" t="s">
        <v>44</v>
      </c>
      <c r="R2496" t="s">
        <v>44</v>
      </c>
      <c r="S2496" t="s">
        <v>44</v>
      </c>
      <c r="T2496" t="s">
        <v>44</v>
      </c>
      <c r="U2496" t="s">
        <v>44</v>
      </c>
      <c r="V2496">
        <v>2666</v>
      </c>
      <c r="W2496" t="s">
        <v>44</v>
      </c>
      <c r="X2496" t="s">
        <v>44</v>
      </c>
      <c r="Y2496">
        <v>2666</v>
      </c>
      <c r="Z2496" t="s">
        <v>44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 s="2">
        <v>2666</v>
      </c>
      <c r="AQ2496">
        <f t="shared" si="86"/>
        <v>2666</v>
      </c>
      <c r="AR2496" s="5">
        <f>VLOOKUP(F2496,'[2]SCP_24-25'!$A:$D,4,0)</f>
        <v>15.5</v>
      </c>
      <c r="AS2496" s="5">
        <f t="shared" si="85"/>
        <v>41323</v>
      </c>
    </row>
    <row r="2497" spans="1:45" x14ac:dyDescent="0.3">
      <c r="A2497" s="1">
        <v>45900.965277777781</v>
      </c>
      <c r="B2497" t="s">
        <v>1499</v>
      </c>
      <c r="C2497" t="s">
        <v>1500</v>
      </c>
      <c r="D2497" t="s">
        <v>320</v>
      </c>
      <c r="E2497" t="s">
        <v>321</v>
      </c>
      <c r="F2497" t="s">
        <v>1623</v>
      </c>
      <c r="G2497" t="s">
        <v>322</v>
      </c>
      <c r="H2497" t="s">
        <v>66</v>
      </c>
      <c r="I2497" t="s">
        <v>43</v>
      </c>
      <c r="J2497">
        <v>50</v>
      </c>
      <c r="K2497">
        <v>19</v>
      </c>
      <c r="L2497">
        <v>11</v>
      </c>
      <c r="M2497">
        <v>9.5</v>
      </c>
      <c r="N2497">
        <v>7780</v>
      </c>
      <c r="O2497">
        <v>0</v>
      </c>
      <c r="P2497">
        <v>0</v>
      </c>
      <c r="Q2497" t="s">
        <v>44</v>
      </c>
      <c r="R2497" t="s">
        <v>44</v>
      </c>
      <c r="S2497" t="s">
        <v>44</v>
      </c>
      <c r="T2497" t="s">
        <v>44</v>
      </c>
      <c r="U2497" t="s">
        <v>44</v>
      </c>
      <c r="V2497">
        <v>6506</v>
      </c>
      <c r="W2497" t="s">
        <v>44</v>
      </c>
      <c r="X2497" t="s">
        <v>44</v>
      </c>
      <c r="Y2497">
        <v>6506</v>
      </c>
      <c r="Z2497" t="s">
        <v>44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 s="2">
        <v>6506</v>
      </c>
      <c r="AQ2497">
        <f t="shared" si="86"/>
        <v>6506</v>
      </c>
      <c r="AR2497" s="5">
        <f>VLOOKUP(F2497,'[2]SCP_24-25'!$A:$D,4,0)</f>
        <v>17.11</v>
      </c>
      <c r="AS2497" s="5">
        <f t="shared" si="85"/>
        <v>111317.66</v>
      </c>
    </row>
    <row r="2498" spans="1:45" x14ac:dyDescent="0.3">
      <c r="A2498" s="1">
        <v>45900.965277777781</v>
      </c>
      <c r="B2498" t="s">
        <v>1499</v>
      </c>
      <c r="C2498" t="s">
        <v>1500</v>
      </c>
      <c r="D2498" t="s">
        <v>323</v>
      </c>
      <c r="E2498" t="s">
        <v>324</v>
      </c>
      <c r="F2498" t="s">
        <v>1624</v>
      </c>
      <c r="G2498" t="s">
        <v>325</v>
      </c>
      <c r="H2498" t="s">
        <v>66</v>
      </c>
      <c r="I2498" t="s">
        <v>43</v>
      </c>
      <c r="J2498">
        <v>50</v>
      </c>
      <c r="K2498">
        <v>19</v>
      </c>
      <c r="L2498">
        <v>11</v>
      </c>
      <c r="M2498">
        <v>9.5</v>
      </c>
      <c r="N2498">
        <v>8866</v>
      </c>
      <c r="O2498">
        <v>0</v>
      </c>
      <c r="P2498">
        <v>0</v>
      </c>
      <c r="Q2498" t="s">
        <v>44</v>
      </c>
      <c r="R2498" t="s">
        <v>44</v>
      </c>
      <c r="S2498" t="s">
        <v>44</v>
      </c>
      <c r="T2498" t="s">
        <v>44</v>
      </c>
      <c r="U2498" t="s">
        <v>44</v>
      </c>
      <c r="V2498">
        <v>3104</v>
      </c>
      <c r="W2498" t="s">
        <v>44</v>
      </c>
      <c r="X2498" t="s">
        <v>44</v>
      </c>
      <c r="Y2498">
        <v>3104</v>
      </c>
      <c r="Z2498" t="s">
        <v>44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 s="2">
        <v>3104</v>
      </c>
      <c r="AQ2498">
        <f t="shared" si="86"/>
        <v>3104</v>
      </c>
      <c r="AR2498" s="5">
        <f>VLOOKUP(F2498,'[2]SCP_24-25'!$A:$D,4,0)</f>
        <v>14.330000000000002</v>
      </c>
      <c r="AS2498" s="5">
        <f t="shared" si="85"/>
        <v>44480.320000000007</v>
      </c>
    </row>
    <row r="2499" spans="1:45" x14ac:dyDescent="0.3">
      <c r="A2499" s="1">
        <v>45900.965277777781</v>
      </c>
      <c r="B2499" t="s">
        <v>1499</v>
      </c>
      <c r="C2499" t="s">
        <v>1500</v>
      </c>
      <c r="D2499" t="s">
        <v>1343</v>
      </c>
      <c r="E2499" t="s">
        <v>1344</v>
      </c>
      <c r="F2499" t="s">
        <v>2121</v>
      </c>
      <c r="G2499" t="s">
        <v>1345</v>
      </c>
      <c r="H2499" t="s">
        <v>66</v>
      </c>
      <c r="I2499" t="s">
        <v>43</v>
      </c>
      <c r="J2499">
        <v>50</v>
      </c>
      <c r="K2499">
        <v>19</v>
      </c>
      <c r="L2499">
        <v>11</v>
      </c>
      <c r="M2499">
        <v>9.5</v>
      </c>
      <c r="N2499">
        <v>14643</v>
      </c>
      <c r="O2499">
        <v>0</v>
      </c>
      <c r="P2499">
        <v>0</v>
      </c>
      <c r="Q2499" t="s">
        <v>44</v>
      </c>
      <c r="R2499" t="s">
        <v>44</v>
      </c>
      <c r="S2499" t="s">
        <v>44</v>
      </c>
      <c r="T2499">
        <v>5040</v>
      </c>
      <c r="U2499" t="s">
        <v>44</v>
      </c>
      <c r="V2499">
        <v>8630</v>
      </c>
      <c r="W2499" t="s">
        <v>44</v>
      </c>
      <c r="X2499" t="s">
        <v>44</v>
      </c>
      <c r="Y2499">
        <v>8630</v>
      </c>
      <c r="Z2499" t="s">
        <v>44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 s="2">
        <v>8630</v>
      </c>
      <c r="AQ2499">
        <f t="shared" si="86"/>
        <v>8630</v>
      </c>
      <c r="AR2499" s="5">
        <f>VLOOKUP(F2499,'[2]SCP_24-25'!$A:$D,4,0)</f>
        <v>12.53</v>
      </c>
      <c r="AS2499" s="5">
        <f t="shared" ref="AS2499:AS2562" si="87">AQ2499*AR2499</f>
        <v>108133.9</v>
      </c>
    </row>
    <row r="2500" spans="1:45" x14ac:dyDescent="0.3">
      <c r="A2500" s="1">
        <v>45900.965277777781</v>
      </c>
      <c r="B2500" t="s">
        <v>1499</v>
      </c>
      <c r="C2500" t="s">
        <v>1500</v>
      </c>
      <c r="D2500" t="s">
        <v>1355</v>
      </c>
      <c r="E2500" t="s">
        <v>1356</v>
      </c>
      <c r="F2500" t="s">
        <v>2126</v>
      </c>
      <c r="G2500" t="s">
        <v>1357</v>
      </c>
      <c r="H2500" t="s">
        <v>66</v>
      </c>
      <c r="I2500" t="s">
        <v>43</v>
      </c>
      <c r="J2500">
        <v>50</v>
      </c>
      <c r="K2500">
        <v>19</v>
      </c>
      <c r="L2500">
        <v>11</v>
      </c>
      <c r="M2500">
        <v>9.5</v>
      </c>
      <c r="N2500">
        <v>6355</v>
      </c>
      <c r="O2500">
        <v>0</v>
      </c>
      <c r="P2500">
        <v>0</v>
      </c>
      <c r="Q2500" t="s">
        <v>44</v>
      </c>
      <c r="R2500" t="s">
        <v>44</v>
      </c>
      <c r="S2500" t="s">
        <v>44</v>
      </c>
      <c r="T2500">
        <v>1008</v>
      </c>
      <c r="U2500" t="s">
        <v>44</v>
      </c>
      <c r="V2500">
        <v>5469</v>
      </c>
      <c r="W2500" t="s">
        <v>44</v>
      </c>
      <c r="X2500" t="s">
        <v>44</v>
      </c>
      <c r="Y2500">
        <v>5469</v>
      </c>
      <c r="Z2500" t="s">
        <v>44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 s="2">
        <v>5469</v>
      </c>
      <c r="AQ2500">
        <f t="shared" si="86"/>
        <v>5469</v>
      </c>
      <c r="AR2500" s="5">
        <f>VLOOKUP(F2500,'[2]SCP_24-25'!$A:$D,4,0)</f>
        <v>14.59</v>
      </c>
      <c r="AS2500" s="5">
        <f t="shared" si="87"/>
        <v>79792.710000000006</v>
      </c>
    </row>
    <row r="2501" spans="1:45" x14ac:dyDescent="0.3">
      <c r="A2501" s="1">
        <v>45900.965277777781</v>
      </c>
      <c r="B2501" t="s">
        <v>1499</v>
      </c>
      <c r="C2501" t="s">
        <v>1500</v>
      </c>
      <c r="D2501" t="s">
        <v>54</v>
      </c>
      <c r="E2501" t="s">
        <v>55</v>
      </c>
      <c r="F2501" t="s">
        <v>1517</v>
      </c>
      <c r="G2501" t="s">
        <v>56</v>
      </c>
      <c r="H2501" t="s">
        <v>42</v>
      </c>
      <c r="I2501" t="s">
        <v>43</v>
      </c>
      <c r="J2501">
        <v>200</v>
      </c>
      <c r="K2501">
        <v>19</v>
      </c>
      <c r="L2501">
        <v>9.5</v>
      </c>
      <c r="M2501">
        <v>11</v>
      </c>
      <c r="N2501">
        <v>2255</v>
      </c>
      <c r="O2501">
        <v>0</v>
      </c>
      <c r="P2501">
        <v>0</v>
      </c>
      <c r="Q2501" t="s">
        <v>44</v>
      </c>
      <c r="R2501" t="s">
        <v>44</v>
      </c>
      <c r="S2501" t="s">
        <v>44</v>
      </c>
      <c r="T2501" t="s">
        <v>44</v>
      </c>
      <c r="U2501" t="s">
        <v>44</v>
      </c>
      <c r="V2501">
        <v>2224</v>
      </c>
      <c r="W2501" t="s">
        <v>44</v>
      </c>
      <c r="X2501" t="s">
        <v>44</v>
      </c>
      <c r="Y2501">
        <v>2224</v>
      </c>
      <c r="Z2501" t="s">
        <v>44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 s="2">
        <v>2224</v>
      </c>
      <c r="AQ2501">
        <f t="shared" si="86"/>
        <v>2224</v>
      </c>
      <c r="AR2501" s="5">
        <f>VLOOKUP(F2501,'[2]SCP_24-25'!$A:$D,4,0)</f>
        <v>116.69999999999999</v>
      </c>
      <c r="AS2501" s="5">
        <f t="shared" si="87"/>
        <v>259540.8</v>
      </c>
    </row>
    <row r="2502" spans="1:45" x14ac:dyDescent="0.3">
      <c r="A2502" s="1">
        <v>45900.965277777781</v>
      </c>
      <c r="B2502" t="s">
        <v>1499</v>
      </c>
      <c r="C2502" t="s">
        <v>1500</v>
      </c>
      <c r="D2502" t="s">
        <v>79</v>
      </c>
      <c r="E2502" t="s">
        <v>80</v>
      </c>
      <c r="F2502" t="s">
        <v>1525</v>
      </c>
      <c r="G2502" t="s">
        <v>81</v>
      </c>
      <c r="H2502" t="s">
        <v>66</v>
      </c>
      <c r="I2502" t="s">
        <v>43</v>
      </c>
      <c r="J2502">
        <v>150</v>
      </c>
      <c r="K2502">
        <v>19</v>
      </c>
      <c r="L2502">
        <v>9.5</v>
      </c>
      <c r="M2502">
        <v>11</v>
      </c>
      <c r="N2502">
        <v>5254</v>
      </c>
      <c r="O2502">
        <v>0</v>
      </c>
      <c r="P2502">
        <v>0</v>
      </c>
      <c r="Q2502" t="s">
        <v>44</v>
      </c>
      <c r="R2502" t="s">
        <v>44</v>
      </c>
      <c r="S2502" t="s">
        <v>44</v>
      </c>
      <c r="T2502" t="s">
        <v>44</v>
      </c>
      <c r="U2502" t="s">
        <v>44</v>
      </c>
      <c r="V2502">
        <v>3179</v>
      </c>
      <c r="W2502" t="s">
        <v>44</v>
      </c>
      <c r="X2502" t="s">
        <v>44</v>
      </c>
      <c r="Y2502">
        <v>3179</v>
      </c>
      <c r="Z2502" t="s">
        <v>44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 s="2">
        <v>3179</v>
      </c>
      <c r="AQ2502">
        <f t="shared" si="86"/>
        <v>3179</v>
      </c>
      <c r="AR2502" s="5">
        <f>VLOOKUP(F2502,'[2]SCP_24-25'!$A:$D,4,0)</f>
        <v>48.72</v>
      </c>
      <c r="AS2502" s="5">
        <f t="shared" si="87"/>
        <v>154880.88</v>
      </c>
    </row>
    <row r="2503" spans="1:45" x14ac:dyDescent="0.3">
      <c r="A2503" s="1">
        <v>45900.965277777781</v>
      </c>
      <c r="B2503" t="s">
        <v>1499</v>
      </c>
      <c r="C2503" t="s">
        <v>1500</v>
      </c>
      <c r="D2503" t="s">
        <v>100</v>
      </c>
      <c r="E2503" t="s">
        <v>101</v>
      </c>
      <c r="F2503" t="s">
        <v>1532</v>
      </c>
      <c r="G2503" t="s">
        <v>102</v>
      </c>
      <c r="H2503" t="s">
        <v>103</v>
      </c>
      <c r="I2503" t="s">
        <v>43</v>
      </c>
      <c r="J2503">
        <v>250</v>
      </c>
      <c r="K2503">
        <v>19</v>
      </c>
      <c r="L2503">
        <v>10</v>
      </c>
      <c r="M2503">
        <v>11</v>
      </c>
      <c r="N2503">
        <v>36410</v>
      </c>
      <c r="O2503">
        <v>534</v>
      </c>
      <c r="P2503">
        <v>0</v>
      </c>
      <c r="Q2503" t="s">
        <v>44</v>
      </c>
      <c r="R2503" t="s">
        <v>44</v>
      </c>
      <c r="S2503" t="s">
        <v>44</v>
      </c>
      <c r="T2503">
        <v>3000</v>
      </c>
      <c r="U2503" t="s">
        <v>44</v>
      </c>
      <c r="V2503">
        <v>4590</v>
      </c>
      <c r="W2503" t="s">
        <v>44</v>
      </c>
      <c r="X2503" t="s">
        <v>44</v>
      </c>
      <c r="Y2503">
        <v>4590</v>
      </c>
      <c r="Z2503" t="s">
        <v>44</v>
      </c>
      <c r="AA2503">
        <v>90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 s="2">
        <v>5214</v>
      </c>
      <c r="AQ2503">
        <f t="shared" si="86"/>
        <v>5214</v>
      </c>
      <c r="AR2503" s="5">
        <f>VLOOKUP(F2503,'[2]SCP_24-25'!$A:$D,4,0)</f>
        <v>50.854210526315775</v>
      </c>
      <c r="AS2503" s="5">
        <f t="shared" si="87"/>
        <v>265153.85368421045</v>
      </c>
    </row>
    <row r="2504" spans="1:45" x14ac:dyDescent="0.3">
      <c r="A2504" s="1">
        <v>45900.965277777781</v>
      </c>
      <c r="B2504" t="s">
        <v>1499</v>
      </c>
      <c r="C2504" t="s">
        <v>1500</v>
      </c>
      <c r="D2504" t="s">
        <v>326</v>
      </c>
      <c r="F2504" t="s">
        <v>1625</v>
      </c>
      <c r="G2504" t="s">
        <v>327</v>
      </c>
      <c r="H2504" t="s">
        <v>66</v>
      </c>
      <c r="I2504" t="s">
        <v>43</v>
      </c>
      <c r="J2504">
        <v>40</v>
      </c>
      <c r="K2504">
        <v>19</v>
      </c>
      <c r="L2504">
        <v>11</v>
      </c>
      <c r="M2504">
        <v>9.5</v>
      </c>
      <c r="N2504">
        <v>26783</v>
      </c>
      <c r="O2504">
        <v>0</v>
      </c>
      <c r="P2504">
        <v>0</v>
      </c>
      <c r="Q2504" t="s">
        <v>44</v>
      </c>
      <c r="R2504" t="s">
        <v>44</v>
      </c>
      <c r="S2504" t="s">
        <v>44</v>
      </c>
      <c r="T2504" t="s">
        <v>44</v>
      </c>
      <c r="U2504" t="s">
        <v>44</v>
      </c>
      <c r="V2504">
        <v>3854</v>
      </c>
      <c r="W2504" t="s">
        <v>44</v>
      </c>
      <c r="X2504" t="s">
        <v>44</v>
      </c>
      <c r="Y2504">
        <v>3854</v>
      </c>
      <c r="Z2504" t="s">
        <v>44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 s="2">
        <v>3854</v>
      </c>
      <c r="AQ2504">
        <f t="shared" si="86"/>
        <v>3854</v>
      </c>
      <c r="AR2504" s="5">
        <f>VLOOKUP(F2504,'[2]SCP_24-25'!$A:$D,4,0)</f>
        <v>15.920000000000002</v>
      </c>
      <c r="AS2504" s="5">
        <f t="shared" si="87"/>
        <v>61355.680000000008</v>
      </c>
    </row>
    <row r="2505" spans="1:45" x14ac:dyDescent="0.3">
      <c r="A2505" s="1">
        <v>45900.965277777781</v>
      </c>
      <c r="B2505" t="s">
        <v>1499</v>
      </c>
      <c r="C2505" t="s">
        <v>1500</v>
      </c>
      <c r="D2505" t="s">
        <v>439</v>
      </c>
      <c r="E2505" t="s">
        <v>440</v>
      </c>
      <c r="F2505" t="s">
        <v>1675</v>
      </c>
      <c r="G2505" t="s">
        <v>441</v>
      </c>
      <c r="H2505" t="s">
        <v>130</v>
      </c>
      <c r="I2505" t="s">
        <v>43</v>
      </c>
      <c r="J2505">
        <v>11.32</v>
      </c>
      <c r="K2505">
        <v>19</v>
      </c>
      <c r="L2505">
        <v>10</v>
      </c>
      <c r="M2505">
        <v>11</v>
      </c>
      <c r="N2505">
        <v>13545</v>
      </c>
      <c r="O2505">
        <v>90</v>
      </c>
      <c r="P2505">
        <v>0</v>
      </c>
      <c r="Q2505" t="s">
        <v>44</v>
      </c>
      <c r="R2505" t="s">
        <v>44</v>
      </c>
      <c r="S2505" t="s">
        <v>44</v>
      </c>
      <c r="T2505">
        <v>198</v>
      </c>
      <c r="U2505" t="s">
        <v>44</v>
      </c>
      <c r="V2505">
        <v>6115</v>
      </c>
      <c r="W2505" t="s">
        <v>44</v>
      </c>
      <c r="X2505" t="s">
        <v>44</v>
      </c>
      <c r="Y2505">
        <v>6115</v>
      </c>
      <c r="Z2505" t="s">
        <v>44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 s="2">
        <v>6205</v>
      </c>
      <c r="AQ2505">
        <f t="shared" si="86"/>
        <v>6205</v>
      </c>
      <c r="AR2505" s="5">
        <f>VLOOKUP(F2505,'[2]SCP_24-25'!$A:$D,4,0)</f>
        <v>49.01</v>
      </c>
      <c r="AS2505" s="5">
        <f t="shared" si="87"/>
        <v>304107.05</v>
      </c>
    </row>
    <row r="2506" spans="1:45" x14ac:dyDescent="0.3">
      <c r="A2506" s="1">
        <v>45900.965277777781</v>
      </c>
      <c r="B2506" t="s">
        <v>1499</v>
      </c>
      <c r="C2506" t="s">
        <v>1500</v>
      </c>
      <c r="D2506" t="s">
        <v>328</v>
      </c>
      <c r="E2506" t="s">
        <v>329</v>
      </c>
      <c r="F2506" t="s">
        <v>1626</v>
      </c>
      <c r="G2506" t="s">
        <v>330</v>
      </c>
      <c r="H2506" t="s">
        <v>130</v>
      </c>
      <c r="I2506" t="s">
        <v>43</v>
      </c>
      <c r="J2506">
        <v>15.82</v>
      </c>
      <c r="K2506">
        <v>19</v>
      </c>
      <c r="L2506">
        <v>10</v>
      </c>
      <c r="M2506">
        <v>11</v>
      </c>
      <c r="N2506">
        <v>4720</v>
      </c>
      <c r="O2506">
        <v>96</v>
      </c>
      <c r="P2506">
        <v>0</v>
      </c>
      <c r="Q2506" t="s">
        <v>44</v>
      </c>
      <c r="R2506" t="s">
        <v>44</v>
      </c>
      <c r="S2506" t="s">
        <v>44</v>
      </c>
      <c r="T2506">
        <v>24</v>
      </c>
      <c r="U2506" t="s">
        <v>44</v>
      </c>
      <c r="V2506">
        <v>2312</v>
      </c>
      <c r="W2506" t="s">
        <v>44</v>
      </c>
      <c r="X2506" t="s">
        <v>44</v>
      </c>
      <c r="Y2506">
        <v>2312</v>
      </c>
      <c r="Z2506" t="s">
        <v>44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 s="2">
        <v>2408</v>
      </c>
      <c r="AQ2506">
        <f t="shared" si="86"/>
        <v>2408</v>
      </c>
      <c r="AR2506" s="5">
        <f>VLOOKUP(F2506,'[2]SCP_24-25'!$A:$D,4,0)</f>
        <v>51.93</v>
      </c>
      <c r="AS2506" s="5">
        <f t="shared" si="87"/>
        <v>125047.44</v>
      </c>
    </row>
    <row r="2507" spans="1:45" x14ac:dyDescent="0.3">
      <c r="A2507" s="1">
        <v>45900.965277777781</v>
      </c>
      <c r="B2507" t="s">
        <v>1499</v>
      </c>
      <c r="C2507" t="s">
        <v>1500</v>
      </c>
      <c r="D2507" t="s">
        <v>334</v>
      </c>
      <c r="E2507" t="s">
        <v>335</v>
      </c>
      <c r="F2507" t="s">
        <v>1628</v>
      </c>
      <c r="G2507" t="s">
        <v>336</v>
      </c>
      <c r="H2507" t="s">
        <v>130</v>
      </c>
      <c r="I2507" t="s">
        <v>43</v>
      </c>
      <c r="J2507">
        <v>42</v>
      </c>
      <c r="K2507">
        <v>19</v>
      </c>
      <c r="L2507">
        <v>10</v>
      </c>
      <c r="M2507">
        <v>11</v>
      </c>
      <c r="N2507">
        <v>6013</v>
      </c>
      <c r="O2507">
        <v>84</v>
      </c>
      <c r="P2507">
        <v>0</v>
      </c>
      <c r="Q2507" t="s">
        <v>44</v>
      </c>
      <c r="R2507" t="s">
        <v>44</v>
      </c>
      <c r="S2507" t="s">
        <v>44</v>
      </c>
      <c r="T2507">
        <v>12</v>
      </c>
      <c r="U2507" t="s">
        <v>44</v>
      </c>
      <c r="V2507">
        <v>3925</v>
      </c>
      <c r="W2507" t="s">
        <v>44</v>
      </c>
      <c r="X2507" t="s">
        <v>44</v>
      </c>
      <c r="Y2507">
        <v>3925</v>
      </c>
      <c r="Z2507" t="s">
        <v>44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 s="2">
        <v>4009</v>
      </c>
      <c r="AQ2507">
        <f t="shared" si="86"/>
        <v>4009</v>
      </c>
      <c r="AR2507" s="5">
        <f>VLOOKUP(F2507,'[2]SCP_24-25'!$A:$D,4,0)</f>
        <v>68.577500000000001</v>
      </c>
      <c r="AS2507" s="5">
        <f t="shared" si="87"/>
        <v>274927.19750000001</v>
      </c>
    </row>
    <row r="2508" spans="1:45" x14ac:dyDescent="0.3">
      <c r="A2508" s="1">
        <v>45900.965277777781</v>
      </c>
      <c r="B2508" t="s">
        <v>1499</v>
      </c>
      <c r="C2508" t="s">
        <v>1500</v>
      </c>
      <c r="D2508" t="s">
        <v>337</v>
      </c>
      <c r="E2508" t="s">
        <v>338</v>
      </c>
      <c r="F2508" t="s">
        <v>1629</v>
      </c>
      <c r="G2508" t="s">
        <v>339</v>
      </c>
      <c r="H2508" t="s">
        <v>130</v>
      </c>
      <c r="I2508" t="s">
        <v>43</v>
      </c>
      <c r="J2508">
        <v>48.99</v>
      </c>
      <c r="K2508">
        <v>19</v>
      </c>
      <c r="L2508">
        <v>10</v>
      </c>
      <c r="M2508">
        <v>11</v>
      </c>
      <c r="N2508">
        <v>9570</v>
      </c>
      <c r="O2508">
        <v>66</v>
      </c>
      <c r="P2508">
        <v>0</v>
      </c>
      <c r="Q2508" t="s">
        <v>44</v>
      </c>
      <c r="R2508" t="s">
        <v>44</v>
      </c>
      <c r="S2508" t="s">
        <v>44</v>
      </c>
      <c r="T2508">
        <v>6</v>
      </c>
      <c r="U2508" t="s">
        <v>44</v>
      </c>
      <c r="V2508">
        <v>3027</v>
      </c>
      <c r="W2508" t="s">
        <v>44</v>
      </c>
      <c r="X2508" t="s">
        <v>44</v>
      </c>
      <c r="Y2508">
        <v>3027</v>
      </c>
      <c r="Z2508" t="s">
        <v>44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 s="2">
        <v>3093</v>
      </c>
      <c r="AQ2508">
        <f t="shared" si="86"/>
        <v>3093</v>
      </c>
      <c r="AR2508" s="5">
        <f>VLOOKUP(F2508,'[2]SCP_24-25'!$A:$D,4,0)</f>
        <v>64.540000000000006</v>
      </c>
      <c r="AS2508" s="5">
        <f t="shared" si="87"/>
        <v>199622.22000000003</v>
      </c>
    </row>
    <row r="2509" spans="1:45" x14ac:dyDescent="0.3">
      <c r="A2509" s="1">
        <v>45900.965277777781</v>
      </c>
      <c r="B2509" t="s">
        <v>1499</v>
      </c>
      <c r="C2509" t="s">
        <v>1500</v>
      </c>
      <c r="D2509" t="s">
        <v>340</v>
      </c>
      <c r="E2509" t="s">
        <v>338</v>
      </c>
      <c r="F2509" t="s">
        <v>1630</v>
      </c>
      <c r="G2509" t="s">
        <v>341</v>
      </c>
      <c r="H2509" t="s">
        <v>130</v>
      </c>
      <c r="I2509" t="s">
        <v>43</v>
      </c>
      <c r="J2509">
        <v>48.99</v>
      </c>
      <c r="K2509">
        <v>19</v>
      </c>
      <c r="L2509">
        <v>10</v>
      </c>
      <c r="M2509">
        <v>11</v>
      </c>
      <c r="N2509">
        <v>7138</v>
      </c>
      <c r="O2509">
        <v>78</v>
      </c>
      <c r="P2509">
        <v>0</v>
      </c>
      <c r="Q2509" t="s">
        <v>44</v>
      </c>
      <c r="R2509" t="s">
        <v>44</v>
      </c>
      <c r="S2509" t="s">
        <v>44</v>
      </c>
      <c r="T2509">
        <v>6</v>
      </c>
      <c r="U2509" t="s">
        <v>44</v>
      </c>
      <c r="V2509">
        <v>3730</v>
      </c>
      <c r="W2509" t="s">
        <v>44</v>
      </c>
      <c r="X2509" t="s">
        <v>44</v>
      </c>
      <c r="Y2509">
        <v>3730</v>
      </c>
      <c r="Z2509" t="s">
        <v>44</v>
      </c>
      <c r="AA2509">
        <v>4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 s="2">
        <v>3812</v>
      </c>
      <c r="AQ2509">
        <f t="shared" si="86"/>
        <v>3812</v>
      </c>
      <c r="AR2509" s="5">
        <f>VLOOKUP(F2509,'[2]SCP_24-25'!$A:$D,4,0)</f>
        <v>63.836666666666673</v>
      </c>
      <c r="AS2509" s="5">
        <f t="shared" si="87"/>
        <v>243345.37333333335</v>
      </c>
    </row>
    <row r="2510" spans="1:45" x14ac:dyDescent="0.3">
      <c r="A2510" s="1">
        <v>45900.965277777781</v>
      </c>
      <c r="B2510" t="s">
        <v>1499</v>
      </c>
      <c r="C2510" t="s">
        <v>1500</v>
      </c>
      <c r="D2510" t="s">
        <v>364</v>
      </c>
      <c r="E2510" t="s">
        <v>365</v>
      </c>
      <c r="F2510" t="s">
        <v>1641</v>
      </c>
      <c r="G2510" t="s">
        <v>366</v>
      </c>
      <c r="H2510" t="s">
        <v>130</v>
      </c>
      <c r="I2510" t="s">
        <v>43</v>
      </c>
      <c r="J2510">
        <v>40.68</v>
      </c>
      <c r="K2510">
        <v>19</v>
      </c>
      <c r="L2510">
        <v>10</v>
      </c>
      <c r="M2510">
        <v>11</v>
      </c>
      <c r="N2510">
        <v>4660</v>
      </c>
      <c r="O2510">
        <v>0</v>
      </c>
      <c r="P2510">
        <v>0</v>
      </c>
      <c r="Q2510" t="s">
        <v>44</v>
      </c>
      <c r="R2510" t="s">
        <v>44</v>
      </c>
      <c r="S2510" t="s">
        <v>44</v>
      </c>
      <c r="T2510" t="s">
        <v>44</v>
      </c>
      <c r="U2510" t="s">
        <v>44</v>
      </c>
      <c r="V2510">
        <v>2440</v>
      </c>
      <c r="W2510" t="s">
        <v>44</v>
      </c>
      <c r="X2510" t="s">
        <v>44</v>
      </c>
      <c r="Y2510">
        <v>2440</v>
      </c>
      <c r="Z2510" t="s">
        <v>44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 s="2">
        <v>2440</v>
      </c>
      <c r="AQ2510">
        <f t="shared" si="86"/>
        <v>2440</v>
      </c>
      <c r="AR2510" s="5">
        <f>VLOOKUP(F2510,'[2]SCP_24-25'!$A:$D,4,0)</f>
        <v>61.98</v>
      </c>
      <c r="AS2510" s="5">
        <f t="shared" si="87"/>
        <v>151231.19999999998</v>
      </c>
    </row>
    <row r="2511" spans="1:45" x14ac:dyDescent="0.3">
      <c r="A2511" s="1">
        <v>45900.965277777781</v>
      </c>
      <c r="B2511" t="s">
        <v>1499</v>
      </c>
      <c r="C2511" t="s">
        <v>1500</v>
      </c>
      <c r="D2511" t="s">
        <v>388</v>
      </c>
      <c r="E2511" t="s">
        <v>368</v>
      </c>
      <c r="F2511" t="s">
        <v>1652</v>
      </c>
      <c r="G2511" t="s">
        <v>389</v>
      </c>
      <c r="H2511" t="s">
        <v>130</v>
      </c>
      <c r="I2511" t="s">
        <v>43</v>
      </c>
      <c r="J2511">
        <v>24</v>
      </c>
      <c r="K2511">
        <v>19</v>
      </c>
      <c r="L2511">
        <v>10</v>
      </c>
      <c r="M2511">
        <v>11</v>
      </c>
      <c r="N2511">
        <v>2469</v>
      </c>
      <c r="O2511">
        <v>0</v>
      </c>
      <c r="P2511">
        <v>0</v>
      </c>
      <c r="Q2511" t="s">
        <v>44</v>
      </c>
      <c r="R2511" t="s">
        <v>44</v>
      </c>
      <c r="S2511" t="s">
        <v>44</v>
      </c>
      <c r="T2511" t="s">
        <v>44</v>
      </c>
      <c r="U2511" t="s">
        <v>44</v>
      </c>
      <c r="V2511">
        <v>2239</v>
      </c>
      <c r="W2511" t="s">
        <v>44</v>
      </c>
      <c r="X2511" t="s">
        <v>44</v>
      </c>
      <c r="Y2511">
        <v>2239</v>
      </c>
      <c r="Z2511" t="s">
        <v>44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 s="2">
        <v>2239</v>
      </c>
      <c r="AQ2511">
        <f t="shared" si="86"/>
        <v>2239</v>
      </c>
      <c r="AR2511" s="5">
        <f>VLOOKUP(F2511,'[2]SCP_24-25'!$A:$D,4,0)</f>
        <v>78.760000000000005</v>
      </c>
      <c r="AS2511" s="5">
        <f t="shared" si="87"/>
        <v>176343.64</v>
      </c>
    </row>
    <row r="2512" spans="1:45" x14ac:dyDescent="0.3">
      <c r="A2512" s="1">
        <v>45900.965277777781</v>
      </c>
      <c r="B2512" t="s">
        <v>1499</v>
      </c>
      <c r="C2512" t="s">
        <v>1500</v>
      </c>
      <c r="D2512" t="s">
        <v>897</v>
      </c>
      <c r="F2512" t="s">
        <v>1899</v>
      </c>
      <c r="G2512" t="s">
        <v>898</v>
      </c>
      <c r="H2512" t="s">
        <v>130</v>
      </c>
      <c r="I2512" t="s">
        <v>43</v>
      </c>
      <c r="J2512">
        <v>35.020000000000003</v>
      </c>
      <c r="K2512">
        <v>19</v>
      </c>
      <c r="L2512">
        <v>11</v>
      </c>
      <c r="M2512">
        <v>10</v>
      </c>
      <c r="N2512">
        <v>4608</v>
      </c>
      <c r="O2512">
        <v>0</v>
      </c>
      <c r="P2512">
        <v>0</v>
      </c>
      <c r="Q2512" t="s">
        <v>44</v>
      </c>
      <c r="R2512" t="s">
        <v>44</v>
      </c>
      <c r="S2512" t="s">
        <v>44</v>
      </c>
      <c r="T2512" t="s">
        <v>44</v>
      </c>
      <c r="U2512" t="s">
        <v>44</v>
      </c>
      <c r="V2512">
        <v>4032</v>
      </c>
      <c r="W2512" t="s">
        <v>44</v>
      </c>
      <c r="X2512" t="s">
        <v>44</v>
      </c>
      <c r="Y2512">
        <v>4032</v>
      </c>
      <c r="Z2512" t="s">
        <v>44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 s="2">
        <v>4032</v>
      </c>
      <c r="AQ2512">
        <f t="shared" si="86"/>
        <v>4032</v>
      </c>
      <c r="AR2512" s="5">
        <f>VLOOKUP(F2512,'[2]SCP_24-25'!$A:$D,4,0)</f>
        <v>26</v>
      </c>
      <c r="AS2512" s="5">
        <f t="shared" si="87"/>
        <v>104832</v>
      </c>
    </row>
    <row r="2513" spans="1:45" x14ac:dyDescent="0.3">
      <c r="A2513" s="1">
        <v>45900.965277777781</v>
      </c>
      <c r="B2513" t="s">
        <v>1499</v>
      </c>
      <c r="C2513" t="s">
        <v>1500</v>
      </c>
      <c r="D2513" t="s">
        <v>405</v>
      </c>
      <c r="F2513" t="s">
        <v>1660</v>
      </c>
      <c r="G2513" t="s">
        <v>406</v>
      </c>
      <c r="H2513" t="s">
        <v>103</v>
      </c>
      <c r="I2513" t="s">
        <v>43</v>
      </c>
      <c r="J2513">
        <v>90</v>
      </c>
      <c r="K2513">
        <v>19</v>
      </c>
      <c r="L2513">
        <v>10</v>
      </c>
      <c r="M2513">
        <v>11</v>
      </c>
      <c r="N2513">
        <v>60697</v>
      </c>
      <c r="O2513">
        <v>1500</v>
      </c>
      <c r="P2513">
        <v>0</v>
      </c>
      <c r="Q2513">
        <v>4</v>
      </c>
      <c r="R2513" t="s">
        <v>44</v>
      </c>
      <c r="S2513" t="s">
        <v>44</v>
      </c>
      <c r="T2513">
        <v>1878</v>
      </c>
      <c r="U2513" t="s">
        <v>44</v>
      </c>
      <c r="V2513">
        <v>6402</v>
      </c>
      <c r="W2513" t="s">
        <v>44</v>
      </c>
      <c r="X2513" t="s">
        <v>44</v>
      </c>
      <c r="Y2513">
        <v>6402</v>
      </c>
      <c r="Z2513" t="s">
        <v>44</v>
      </c>
      <c r="AA2513">
        <v>180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 s="2">
        <v>8082</v>
      </c>
      <c r="AQ2513">
        <f t="shared" si="86"/>
        <v>8082</v>
      </c>
      <c r="AR2513" s="5">
        <f>VLOOKUP(F2513,'[2]SCP_24-25'!$A:$D,4,0)</f>
        <v>83.794500000000028</v>
      </c>
      <c r="AS2513" s="5">
        <f t="shared" si="87"/>
        <v>677227.14900000021</v>
      </c>
    </row>
    <row r="2514" spans="1:45" x14ac:dyDescent="0.3">
      <c r="A2514" s="1">
        <v>45900.965277777781</v>
      </c>
      <c r="B2514" t="s">
        <v>1499</v>
      </c>
      <c r="C2514" t="s">
        <v>1500</v>
      </c>
      <c r="D2514" t="s">
        <v>437</v>
      </c>
      <c r="F2514" t="s">
        <v>1674</v>
      </c>
      <c r="G2514" t="s">
        <v>438</v>
      </c>
      <c r="H2514" t="s">
        <v>66</v>
      </c>
      <c r="I2514" t="s">
        <v>43</v>
      </c>
      <c r="J2514">
        <v>46.59</v>
      </c>
      <c r="K2514">
        <v>19</v>
      </c>
      <c r="L2514">
        <v>10</v>
      </c>
      <c r="M2514">
        <v>11</v>
      </c>
      <c r="N2514">
        <v>20180</v>
      </c>
      <c r="O2514">
        <v>50</v>
      </c>
      <c r="P2514">
        <v>0</v>
      </c>
      <c r="Q2514" t="s">
        <v>44</v>
      </c>
      <c r="R2514" t="s">
        <v>44</v>
      </c>
      <c r="S2514" t="s">
        <v>44</v>
      </c>
      <c r="T2514" t="s">
        <v>44</v>
      </c>
      <c r="U2514" t="s">
        <v>44</v>
      </c>
      <c r="V2514">
        <v>7497</v>
      </c>
      <c r="W2514" t="s">
        <v>44</v>
      </c>
      <c r="X2514" t="s">
        <v>44</v>
      </c>
      <c r="Y2514">
        <v>7497</v>
      </c>
      <c r="Z2514" t="s">
        <v>44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 s="2">
        <v>7547</v>
      </c>
      <c r="AQ2514">
        <f t="shared" si="86"/>
        <v>7547</v>
      </c>
      <c r="AR2514" s="5">
        <f>VLOOKUP(F2514,'[2]SCP_24-25'!$A:$D,4,0)</f>
        <v>28.199999999999996</v>
      </c>
      <c r="AS2514" s="5">
        <f t="shared" si="87"/>
        <v>212825.39999999997</v>
      </c>
    </row>
    <row r="2515" spans="1:45" x14ac:dyDescent="0.3">
      <c r="A2515" s="1">
        <v>45900.965277777781</v>
      </c>
      <c r="B2515" t="s">
        <v>1499</v>
      </c>
      <c r="C2515" t="s">
        <v>1500</v>
      </c>
      <c r="D2515" t="s">
        <v>799</v>
      </c>
      <c r="F2515" t="s">
        <v>1851</v>
      </c>
      <c r="G2515" t="s">
        <v>800</v>
      </c>
      <c r="H2515" t="s">
        <v>103</v>
      </c>
      <c r="I2515" t="s">
        <v>43</v>
      </c>
      <c r="J2515">
        <v>217</v>
      </c>
      <c r="K2515">
        <v>19</v>
      </c>
      <c r="L2515">
        <v>10</v>
      </c>
      <c r="M2515">
        <v>11</v>
      </c>
      <c r="N2515">
        <v>14216</v>
      </c>
      <c r="O2515">
        <v>162</v>
      </c>
      <c r="P2515">
        <v>0</v>
      </c>
      <c r="Q2515">
        <v>5</v>
      </c>
      <c r="R2515" t="s">
        <v>44</v>
      </c>
      <c r="S2515" t="s">
        <v>44</v>
      </c>
      <c r="T2515" t="s">
        <v>44</v>
      </c>
      <c r="U2515" t="s">
        <v>44</v>
      </c>
      <c r="V2515">
        <v>4617</v>
      </c>
      <c r="W2515" t="s">
        <v>44</v>
      </c>
      <c r="X2515" t="s">
        <v>44</v>
      </c>
      <c r="Y2515">
        <v>4617</v>
      </c>
      <c r="Z2515" t="s">
        <v>44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 s="2">
        <v>4779</v>
      </c>
      <c r="AQ2515">
        <f t="shared" si="86"/>
        <v>4779</v>
      </c>
      <c r="AR2515" s="5">
        <f>VLOOKUP(F2515,'[2]SCP_24-25'!$A:$D,4,0)</f>
        <v>41.552</v>
      </c>
      <c r="AS2515" s="5">
        <f t="shared" si="87"/>
        <v>198577.008</v>
      </c>
    </row>
    <row r="2516" spans="1:45" x14ac:dyDescent="0.3">
      <c r="A2516" s="1">
        <v>45900.965277777781</v>
      </c>
      <c r="B2516" t="s">
        <v>1499</v>
      </c>
      <c r="C2516" t="s">
        <v>1500</v>
      </c>
      <c r="D2516" t="s">
        <v>522</v>
      </c>
      <c r="E2516" t="s">
        <v>445</v>
      </c>
      <c r="F2516" t="s">
        <v>1715</v>
      </c>
      <c r="G2516" t="s">
        <v>523</v>
      </c>
      <c r="H2516" t="s">
        <v>130</v>
      </c>
      <c r="I2516" t="s">
        <v>43</v>
      </c>
      <c r="J2516">
        <v>60.02</v>
      </c>
      <c r="K2516">
        <v>19</v>
      </c>
      <c r="L2516">
        <v>10</v>
      </c>
      <c r="M2516">
        <v>11</v>
      </c>
      <c r="N2516">
        <v>2481</v>
      </c>
      <c r="O2516">
        <v>0</v>
      </c>
      <c r="P2516">
        <v>0</v>
      </c>
      <c r="Q2516" t="s">
        <v>44</v>
      </c>
      <c r="R2516" t="s">
        <v>44</v>
      </c>
      <c r="S2516" t="s">
        <v>44</v>
      </c>
      <c r="T2516" t="s">
        <v>44</v>
      </c>
      <c r="U2516" t="s">
        <v>44</v>
      </c>
      <c r="V2516">
        <v>2376</v>
      </c>
      <c r="W2516" t="s">
        <v>44</v>
      </c>
      <c r="X2516" t="s">
        <v>44</v>
      </c>
      <c r="Y2516">
        <v>2376</v>
      </c>
      <c r="Z2516" t="s">
        <v>44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 s="2">
        <v>2376</v>
      </c>
      <c r="AQ2516">
        <f t="shared" si="86"/>
        <v>2376</v>
      </c>
      <c r="AR2516" s="5">
        <f>VLOOKUP(F2516,'[2]SCP_24-25'!$A:$D,4,0)</f>
        <v>86.699999999999989</v>
      </c>
      <c r="AS2516" s="5">
        <f t="shared" si="87"/>
        <v>205999.19999999998</v>
      </c>
    </row>
    <row r="2517" spans="1:45" x14ac:dyDescent="0.3">
      <c r="A2517" s="1">
        <v>45900.965277777781</v>
      </c>
      <c r="B2517" t="s">
        <v>1499</v>
      </c>
      <c r="C2517" t="s">
        <v>1500</v>
      </c>
      <c r="D2517" t="s">
        <v>483</v>
      </c>
      <c r="F2517" t="s">
        <v>1696</v>
      </c>
      <c r="G2517" t="s">
        <v>484</v>
      </c>
      <c r="H2517" t="s">
        <v>130</v>
      </c>
      <c r="I2517" t="s">
        <v>43</v>
      </c>
      <c r="J2517">
        <v>24.02</v>
      </c>
      <c r="K2517">
        <v>19</v>
      </c>
      <c r="L2517">
        <v>10</v>
      </c>
      <c r="M2517">
        <v>11</v>
      </c>
      <c r="N2517">
        <v>3013</v>
      </c>
      <c r="O2517">
        <v>0</v>
      </c>
      <c r="P2517">
        <v>0</v>
      </c>
      <c r="Q2517" t="s">
        <v>44</v>
      </c>
      <c r="R2517" t="s">
        <v>44</v>
      </c>
      <c r="S2517" t="s">
        <v>44</v>
      </c>
      <c r="T2517" t="s">
        <v>44</v>
      </c>
      <c r="U2517" t="s">
        <v>44</v>
      </c>
      <c r="V2517">
        <v>2960</v>
      </c>
      <c r="W2517" t="s">
        <v>44</v>
      </c>
      <c r="X2517" t="s">
        <v>44</v>
      </c>
      <c r="Y2517">
        <v>2960</v>
      </c>
      <c r="Z2517" t="s">
        <v>44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 s="2">
        <v>2960</v>
      </c>
      <c r="AQ2517">
        <f t="shared" si="86"/>
        <v>2960</v>
      </c>
      <c r="AR2517" s="5">
        <f>VLOOKUP(F2517,'[2]SCP_24-25'!$A:$D,4,0)</f>
        <v>79.066666666666677</v>
      </c>
      <c r="AS2517" s="5">
        <f t="shared" si="87"/>
        <v>234037.33333333337</v>
      </c>
    </row>
    <row r="2518" spans="1:45" x14ac:dyDescent="0.3">
      <c r="A2518" s="1">
        <v>45900.965277777781</v>
      </c>
      <c r="B2518" t="s">
        <v>1499</v>
      </c>
      <c r="C2518" t="s">
        <v>1500</v>
      </c>
      <c r="D2518" t="s">
        <v>427</v>
      </c>
      <c r="F2518" t="s">
        <v>1670</v>
      </c>
      <c r="G2518" t="s">
        <v>428</v>
      </c>
      <c r="H2518" t="s">
        <v>130</v>
      </c>
      <c r="I2518" t="s">
        <v>43</v>
      </c>
      <c r="J2518">
        <v>24.02</v>
      </c>
      <c r="K2518">
        <v>19</v>
      </c>
      <c r="L2518">
        <v>10</v>
      </c>
      <c r="M2518">
        <v>11</v>
      </c>
      <c r="N2518">
        <v>2543</v>
      </c>
      <c r="O2518">
        <v>0</v>
      </c>
      <c r="P2518">
        <v>0</v>
      </c>
      <c r="Q2518" t="s">
        <v>44</v>
      </c>
      <c r="R2518" t="s">
        <v>44</v>
      </c>
      <c r="S2518" t="s">
        <v>44</v>
      </c>
      <c r="T2518" t="s">
        <v>44</v>
      </c>
      <c r="U2518" t="s">
        <v>44</v>
      </c>
      <c r="V2518">
        <v>2328</v>
      </c>
      <c r="W2518" t="s">
        <v>44</v>
      </c>
      <c r="X2518" t="s">
        <v>44</v>
      </c>
      <c r="Y2518">
        <v>2328</v>
      </c>
      <c r="Z2518" t="s">
        <v>44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 s="2">
        <v>2328</v>
      </c>
      <c r="AQ2518">
        <f t="shared" si="86"/>
        <v>2328</v>
      </c>
      <c r="AR2518" s="5">
        <f>VLOOKUP(F2518,'[2]SCP_24-25'!$A:$D,4,0)</f>
        <v>79.680000000000007</v>
      </c>
      <c r="AS2518" s="5">
        <f t="shared" si="87"/>
        <v>185495.04000000001</v>
      </c>
    </row>
    <row r="2519" spans="1:45" x14ac:dyDescent="0.3">
      <c r="A2519" s="1">
        <v>45900.965277777781</v>
      </c>
      <c r="B2519" t="s">
        <v>1499</v>
      </c>
      <c r="C2519" t="s">
        <v>1500</v>
      </c>
      <c r="D2519" t="s">
        <v>447</v>
      </c>
      <c r="F2519" t="s">
        <v>1678</v>
      </c>
      <c r="G2519" t="s">
        <v>448</v>
      </c>
      <c r="H2519" t="s">
        <v>130</v>
      </c>
      <c r="I2519" t="s">
        <v>43</v>
      </c>
      <c r="J2519">
        <v>24</v>
      </c>
      <c r="K2519">
        <v>19</v>
      </c>
      <c r="L2519">
        <v>10</v>
      </c>
      <c r="M2519">
        <v>11</v>
      </c>
      <c r="N2519">
        <v>2274</v>
      </c>
      <c r="O2519">
        <v>0</v>
      </c>
      <c r="P2519">
        <v>0</v>
      </c>
      <c r="Q2519" t="s">
        <v>44</v>
      </c>
      <c r="R2519" t="s">
        <v>44</v>
      </c>
      <c r="S2519" t="s">
        <v>44</v>
      </c>
      <c r="T2519" t="s">
        <v>44</v>
      </c>
      <c r="U2519" t="s">
        <v>44</v>
      </c>
      <c r="V2519">
        <v>2224</v>
      </c>
      <c r="W2519" t="s">
        <v>44</v>
      </c>
      <c r="X2519" t="s">
        <v>44</v>
      </c>
      <c r="Y2519">
        <v>2224</v>
      </c>
      <c r="Z2519" t="s">
        <v>44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 s="2">
        <v>2224</v>
      </c>
      <c r="AQ2519">
        <f t="shared" si="86"/>
        <v>2224</v>
      </c>
      <c r="AR2519" s="5">
        <f>VLOOKUP(F2519,'[2]SCP_24-25'!$A:$D,4,0)</f>
        <v>79.680000000000007</v>
      </c>
      <c r="AS2519" s="5">
        <f t="shared" si="87"/>
        <v>177208.32000000001</v>
      </c>
    </row>
    <row r="2520" spans="1:45" x14ac:dyDescent="0.3">
      <c r="A2520" s="1">
        <v>45900.965277777781</v>
      </c>
      <c r="B2520" t="s">
        <v>1499</v>
      </c>
      <c r="C2520" t="s">
        <v>1500</v>
      </c>
      <c r="D2520" t="s">
        <v>451</v>
      </c>
      <c r="F2520" t="s">
        <v>1680</v>
      </c>
      <c r="G2520" t="s">
        <v>452</v>
      </c>
      <c r="H2520" t="s">
        <v>130</v>
      </c>
      <c r="I2520" t="s">
        <v>43</v>
      </c>
      <c r="J2520">
        <v>125.02</v>
      </c>
      <c r="K2520">
        <v>19</v>
      </c>
      <c r="L2520">
        <v>10</v>
      </c>
      <c r="M2520">
        <v>11</v>
      </c>
      <c r="N2520">
        <v>3647</v>
      </c>
      <c r="O2520">
        <v>0</v>
      </c>
      <c r="P2520">
        <v>0</v>
      </c>
      <c r="Q2520" t="s">
        <v>44</v>
      </c>
      <c r="R2520" t="s">
        <v>44</v>
      </c>
      <c r="S2520" t="s">
        <v>44</v>
      </c>
      <c r="T2520" t="s">
        <v>44</v>
      </c>
      <c r="U2520" t="s">
        <v>44</v>
      </c>
      <c r="V2520">
        <v>3578</v>
      </c>
      <c r="W2520" t="s">
        <v>44</v>
      </c>
      <c r="X2520" t="s">
        <v>44</v>
      </c>
      <c r="Y2520">
        <v>3578</v>
      </c>
      <c r="Z2520" t="s">
        <v>44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 s="2">
        <v>3578</v>
      </c>
      <c r="AQ2520">
        <f t="shared" si="86"/>
        <v>3578</v>
      </c>
      <c r="AR2520" s="5">
        <f>VLOOKUP(F2520,'[2]SCP_24-25'!$A:$D,4,0)</f>
        <v>168.55</v>
      </c>
      <c r="AS2520" s="5">
        <f t="shared" si="87"/>
        <v>603071.9</v>
      </c>
    </row>
    <row r="2521" spans="1:45" x14ac:dyDescent="0.3">
      <c r="A2521" s="1">
        <v>45900.965277777781</v>
      </c>
      <c r="B2521" t="s">
        <v>1499</v>
      </c>
      <c r="C2521" t="s">
        <v>1500</v>
      </c>
      <c r="D2521" t="s">
        <v>495</v>
      </c>
      <c r="F2521" t="s">
        <v>1702</v>
      </c>
      <c r="G2521" t="s">
        <v>496</v>
      </c>
      <c r="H2521" t="s">
        <v>130</v>
      </c>
      <c r="I2521" t="s">
        <v>43</v>
      </c>
      <c r="J2521">
        <v>40.020000000000003</v>
      </c>
      <c r="K2521">
        <v>19</v>
      </c>
      <c r="L2521">
        <v>10</v>
      </c>
      <c r="M2521">
        <v>11</v>
      </c>
      <c r="N2521">
        <v>6723</v>
      </c>
      <c r="O2521">
        <v>12</v>
      </c>
      <c r="P2521">
        <v>0</v>
      </c>
      <c r="Q2521" t="s">
        <v>44</v>
      </c>
      <c r="R2521" t="s">
        <v>44</v>
      </c>
      <c r="S2521" t="s">
        <v>44</v>
      </c>
      <c r="T2521" t="s">
        <v>44</v>
      </c>
      <c r="U2521" t="s">
        <v>44</v>
      </c>
      <c r="V2521">
        <v>6056</v>
      </c>
      <c r="W2521" t="s">
        <v>44</v>
      </c>
      <c r="X2521" t="s">
        <v>44</v>
      </c>
      <c r="Y2521">
        <v>6056</v>
      </c>
      <c r="Z2521" t="s">
        <v>44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 s="2">
        <v>6068</v>
      </c>
      <c r="AQ2521">
        <f t="shared" ref="AQ2521:AQ2567" si="88">O2521+P2521+V2521+AA2521</f>
        <v>6068</v>
      </c>
      <c r="AR2521" s="5">
        <f>VLOOKUP(F2521,'[2]SCP_24-25'!$A:$D,4,0)</f>
        <v>98.3</v>
      </c>
      <c r="AS2521" s="5">
        <f t="shared" si="87"/>
        <v>596484.4</v>
      </c>
    </row>
    <row r="2522" spans="1:45" x14ac:dyDescent="0.3">
      <c r="A2522" s="1">
        <v>45900.965277777781</v>
      </c>
      <c r="B2522" t="s">
        <v>1499</v>
      </c>
      <c r="C2522" t="s">
        <v>1500</v>
      </c>
      <c r="D2522" t="s">
        <v>459</v>
      </c>
      <c r="F2522" t="s">
        <v>1684</v>
      </c>
      <c r="G2522" t="s">
        <v>460</v>
      </c>
      <c r="H2522" t="s">
        <v>130</v>
      </c>
      <c r="I2522" t="s">
        <v>43</v>
      </c>
      <c r="J2522">
        <v>40.020000000000003</v>
      </c>
      <c r="K2522">
        <v>19</v>
      </c>
      <c r="L2522">
        <v>10</v>
      </c>
      <c r="M2522">
        <v>11</v>
      </c>
      <c r="N2522">
        <v>8165</v>
      </c>
      <c r="O2522">
        <v>24</v>
      </c>
      <c r="P2522">
        <v>0</v>
      </c>
      <c r="Q2522" t="s">
        <v>44</v>
      </c>
      <c r="R2522" t="s">
        <v>44</v>
      </c>
      <c r="S2522" t="s">
        <v>44</v>
      </c>
      <c r="T2522" t="s">
        <v>44</v>
      </c>
      <c r="U2522" t="s">
        <v>44</v>
      </c>
      <c r="V2522">
        <v>5516</v>
      </c>
      <c r="W2522" t="s">
        <v>44</v>
      </c>
      <c r="X2522" t="s">
        <v>44</v>
      </c>
      <c r="Y2522">
        <v>5516</v>
      </c>
      <c r="Z2522" t="s">
        <v>44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 s="2">
        <v>5540</v>
      </c>
      <c r="AQ2522">
        <f t="shared" si="88"/>
        <v>5540</v>
      </c>
      <c r="AR2522" s="5">
        <f>VLOOKUP(F2522,'[2]SCP_24-25'!$A:$D,4,0)</f>
        <v>98.299999999999983</v>
      </c>
      <c r="AS2522" s="5">
        <f t="shared" si="87"/>
        <v>544581.99999999988</v>
      </c>
    </row>
    <row r="2523" spans="1:45" x14ac:dyDescent="0.3">
      <c r="A2523" s="1">
        <v>45900.965277777781</v>
      </c>
      <c r="B2523" t="s">
        <v>1499</v>
      </c>
      <c r="C2523" t="s">
        <v>1500</v>
      </c>
      <c r="D2523" t="s">
        <v>544</v>
      </c>
      <c r="F2523" t="s">
        <v>1726</v>
      </c>
      <c r="G2523" t="s">
        <v>545</v>
      </c>
      <c r="H2523" t="s">
        <v>130</v>
      </c>
      <c r="I2523" t="s">
        <v>43</v>
      </c>
      <c r="J2523">
        <v>34.020000000000003</v>
      </c>
      <c r="K2523">
        <v>19</v>
      </c>
      <c r="L2523">
        <v>10</v>
      </c>
      <c r="M2523">
        <v>11</v>
      </c>
      <c r="N2523">
        <v>2689</v>
      </c>
      <c r="O2523">
        <v>12</v>
      </c>
      <c r="P2523">
        <v>0</v>
      </c>
      <c r="Q2523" t="s">
        <v>44</v>
      </c>
      <c r="R2523" t="s">
        <v>44</v>
      </c>
      <c r="S2523" t="s">
        <v>44</v>
      </c>
      <c r="T2523" t="s">
        <v>44</v>
      </c>
      <c r="U2523" t="s">
        <v>44</v>
      </c>
      <c r="V2523">
        <v>2142</v>
      </c>
      <c r="W2523" t="s">
        <v>44</v>
      </c>
      <c r="X2523" t="s">
        <v>44</v>
      </c>
      <c r="Y2523">
        <v>2142</v>
      </c>
      <c r="Z2523" t="s">
        <v>44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 s="2">
        <v>2154</v>
      </c>
      <c r="AQ2523">
        <f t="shared" si="88"/>
        <v>2154</v>
      </c>
      <c r="AR2523" s="5">
        <f>VLOOKUP(F2523,'[2]SCP_24-25'!$A:$D,4,0)</f>
        <v>90.089999999999989</v>
      </c>
      <c r="AS2523" s="5">
        <f t="shared" si="87"/>
        <v>194053.86</v>
      </c>
    </row>
    <row r="2524" spans="1:45" x14ac:dyDescent="0.3">
      <c r="A2524" s="1">
        <v>45900.965277777781</v>
      </c>
      <c r="B2524" t="s">
        <v>1499</v>
      </c>
      <c r="C2524" t="s">
        <v>1500</v>
      </c>
      <c r="D2524" t="s">
        <v>411</v>
      </c>
      <c r="F2524" t="s">
        <v>1663</v>
      </c>
      <c r="G2524" t="s">
        <v>412</v>
      </c>
      <c r="H2524" t="s">
        <v>66</v>
      </c>
      <c r="I2524" t="s">
        <v>43</v>
      </c>
      <c r="J2524">
        <v>115</v>
      </c>
      <c r="K2524">
        <v>19</v>
      </c>
      <c r="L2524">
        <v>11</v>
      </c>
      <c r="M2524">
        <v>10</v>
      </c>
      <c r="N2524">
        <v>7998</v>
      </c>
      <c r="O2524">
        <v>84</v>
      </c>
      <c r="P2524">
        <v>0</v>
      </c>
      <c r="Q2524" t="s">
        <v>44</v>
      </c>
      <c r="R2524" t="s">
        <v>44</v>
      </c>
      <c r="S2524" t="s">
        <v>44</v>
      </c>
      <c r="T2524" t="s">
        <v>44</v>
      </c>
      <c r="U2524" t="s">
        <v>44</v>
      </c>
      <c r="V2524">
        <v>4028</v>
      </c>
      <c r="W2524" t="s">
        <v>44</v>
      </c>
      <c r="X2524" t="s">
        <v>44</v>
      </c>
      <c r="Y2524">
        <v>4028</v>
      </c>
      <c r="Z2524" t="s">
        <v>44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1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 s="2">
        <v>4112</v>
      </c>
      <c r="AQ2524">
        <f t="shared" si="88"/>
        <v>4112</v>
      </c>
      <c r="AR2524" s="5">
        <f>VLOOKUP(F2524,'[2]SCP_24-25'!$A:$D,4,0)</f>
        <v>54.699999999999996</v>
      </c>
      <c r="AS2524" s="5">
        <f t="shared" si="87"/>
        <v>224926.4</v>
      </c>
    </row>
    <row r="2525" spans="1:45" x14ac:dyDescent="0.3">
      <c r="A2525" s="1">
        <v>45900.965277777781</v>
      </c>
      <c r="B2525" t="s">
        <v>1499</v>
      </c>
      <c r="C2525" t="s">
        <v>1500</v>
      </c>
      <c r="D2525" t="s">
        <v>619</v>
      </c>
      <c r="F2525" t="s">
        <v>1762</v>
      </c>
      <c r="G2525" t="s">
        <v>620</v>
      </c>
      <c r="H2525" t="s">
        <v>621</v>
      </c>
      <c r="I2525" t="s">
        <v>43</v>
      </c>
      <c r="J2525">
        <v>250</v>
      </c>
      <c r="K2525">
        <v>126</v>
      </c>
      <c r="L2525">
        <v>50</v>
      </c>
      <c r="M2525">
        <v>126</v>
      </c>
      <c r="N2525">
        <v>2970</v>
      </c>
      <c r="O2525">
        <v>0</v>
      </c>
      <c r="P2525">
        <v>0</v>
      </c>
      <c r="Q2525" t="s">
        <v>44</v>
      </c>
      <c r="R2525" t="s">
        <v>44</v>
      </c>
      <c r="S2525" t="s">
        <v>44</v>
      </c>
      <c r="T2525" t="s">
        <v>44</v>
      </c>
      <c r="U2525" t="s">
        <v>44</v>
      </c>
      <c r="V2525">
        <v>2970</v>
      </c>
      <c r="W2525" t="s">
        <v>44</v>
      </c>
      <c r="X2525" t="s">
        <v>44</v>
      </c>
      <c r="Y2525">
        <v>2970</v>
      </c>
      <c r="Z2525" t="s">
        <v>44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 s="2">
        <v>2970</v>
      </c>
      <c r="AQ2525">
        <f t="shared" si="88"/>
        <v>2970</v>
      </c>
      <c r="AR2525" s="5">
        <f>VLOOKUP(F2525,'[2]SCP_24-25'!$A:$D,4,0)</f>
        <v>45</v>
      </c>
      <c r="AS2525" s="5">
        <f t="shared" si="87"/>
        <v>133650</v>
      </c>
    </row>
    <row r="2526" spans="1:45" x14ac:dyDescent="0.3">
      <c r="A2526" s="1">
        <v>45900.965277777781</v>
      </c>
      <c r="B2526" t="s">
        <v>1499</v>
      </c>
      <c r="C2526" t="s">
        <v>1500</v>
      </c>
      <c r="D2526" t="s">
        <v>505</v>
      </c>
      <c r="F2526" t="s">
        <v>1707</v>
      </c>
      <c r="G2526" t="s">
        <v>506</v>
      </c>
      <c r="H2526" t="s">
        <v>66</v>
      </c>
      <c r="I2526" t="s">
        <v>415</v>
      </c>
      <c r="J2526">
        <v>81.52</v>
      </c>
      <c r="K2526">
        <v>19</v>
      </c>
      <c r="L2526">
        <v>10</v>
      </c>
      <c r="M2526">
        <v>11</v>
      </c>
      <c r="N2526">
        <v>8853</v>
      </c>
      <c r="O2526">
        <v>2</v>
      </c>
      <c r="P2526">
        <v>0</v>
      </c>
      <c r="Q2526" t="s">
        <v>44</v>
      </c>
      <c r="R2526" t="s">
        <v>44</v>
      </c>
      <c r="S2526" t="s">
        <v>44</v>
      </c>
      <c r="T2526">
        <v>12</v>
      </c>
      <c r="U2526" t="s">
        <v>44</v>
      </c>
      <c r="V2526">
        <v>6862</v>
      </c>
      <c r="W2526" t="s">
        <v>44</v>
      </c>
      <c r="X2526" t="s">
        <v>44</v>
      </c>
      <c r="Y2526">
        <v>6862</v>
      </c>
      <c r="Z2526" t="s">
        <v>44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 s="2">
        <v>6864</v>
      </c>
      <c r="AQ2526">
        <f t="shared" si="88"/>
        <v>6864</v>
      </c>
      <c r="AR2526" s="5">
        <f>VLOOKUP(F2526,'[2]SCP_24-25'!$A:$D,4,0)</f>
        <v>84.2</v>
      </c>
      <c r="AS2526" s="5">
        <f t="shared" si="87"/>
        <v>577948.80000000005</v>
      </c>
    </row>
    <row r="2527" spans="1:45" x14ac:dyDescent="0.3">
      <c r="A2527" s="1">
        <v>45900.965277777781</v>
      </c>
      <c r="B2527" t="s">
        <v>1499</v>
      </c>
      <c r="C2527" t="s">
        <v>1500</v>
      </c>
      <c r="D2527" t="s">
        <v>507</v>
      </c>
      <c r="F2527" t="s">
        <v>1708</v>
      </c>
      <c r="G2527" t="s">
        <v>508</v>
      </c>
      <c r="H2527" t="s">
        <v>66</v>
      </c>
      <c r="I2527" t="s">
        <v>415</v>
      </c>
      <c r="J2527">
        <v>77</v>
      </c>
      <c r="K2527">
        <v>19</v>
      </c>
      <c r="L2527">
        <v>10</v>
      </c>
      <c r="M2527">
        <v>11</v>
      </c>
      <c r="N2527">
        <v>10978</v>
      </c>
      <c r="O2527">
        <v>2</v>
      </c>
      <c r="P2527">
        <v>0</v>
      </c>
      <c r="Q2527" t="s">
        <v>44</v>
      </c>
      <c r="R2527" t="s">
        <v>44</v>
      </c>
      <c r="S2527" t="s">
        <v>44</v>
      </c>
      <c r="T2527">
        <v>30</v>
      </c>
      <c r="U2527" t="s">
        <v>44</v>
      </c>
      <c r="V2527">
        <v>9462</v>
      </c>
      <c r="W2527" t="s">
        <v>44</v>
      </c>
      <c r="X2527" t="s">
        <v>44</v>
      </c>
      <c r="Y2527">
        <v>9462</v>
      </c>
      <c r="Z2527" t="s">
        <v>44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 s="2">
        <v>9464</v>
      </c>
      <c r="AQ2527">
        <f t="shared" si="88"/>
        <v>9464</v>
      </c>
      <c r="AR2527" s="5">
        <f>VLOOKUP(F2527,'[2]SCP_24-25'!$A:$D,4,0)</f>
        <v>91.25</v>
      </c>
      <c r="AS2527" s="5">
        <f t="shared" si="87"/>
        <v>863590</v>
      </c>
    </row>
    <row r="2528" spans="1:45" x14ac:dyDescent="0.3">
      <c r="A2528" s="1">
        <v>45900.965277777781</v>
      </c>
      <c r="B2528" t="s">
        <v>1499</v>
      </c>
      <c r="C2528" t="s">
        <v>1500</v>
      </c>
      <c r="D2528" t="s">
        <v>615</v>
      </c>
      <c r="F2528" t="s">
        <v>1761</v>
      </c>
      <c r="G2528" t="s">
        <v>616</v>
      </c>
      <c r="H2528" t="s">
        <v>66</v>
      </c>
      <c r="I2528" t="s">
        <v>415</v>
      </c>
      <c r="J2528">
        <v>50</v>
      </c>
      <c r="K2528">
        <v>19</v>
      </c>
      <c r="L2528">
        <v>10</v>
      </c>
      <c r="M2528">
        <v>11</v>
      </c>
      <c r="N2528">
        <v>11119</v>
      </c>
      <c r="O2528">
        <v>72</v>
      </c>
      <c r="P2528">
        <v>0</v>
      </c>
      <c r="Q2528" t="s">
        <v>44</v>
      </c>
      <c r="R2528" t="s">
        <v>44</v>
      </c>
      <c r="S2528" t="s">
        <v>44</v>
      </c>
      <c r="T2528" t="s">
        <v>44</v>
      </c>
      <c r="U2528" t="s">
        <v>44</v>
      </c>
      <c r="V2528">
        <v>3524</v>
      </c>
      <c r="W2528" t="s">
        <v>44</v>
      </c>
      <c r="X2528" t="s">
        <v>44</v>
      </c>
      <c r="Y2528">
        <v>3524</v>
      </c>
      <c r="Z2528" t="s">
        <v>44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 s="2">
        <v>3596</v>
      </c>
      <c r="AQ2528">
        <f t="shared" si="88"/>
        <v>3596</v>
      </c>
      <c r="AR2528" s="5">
        <f>VLOOKUP(F2528,'[2]SCP_24-25'!$A:$D,4,0)</f>
        <v>40.33</v>
      </c>
      <c r="AS2528" s="5">
        <f t="shared" si="87"/>
        <v>145026.68</v>
      </c>
    </row>
    <row r="2529" spans="1:45" x14ac:dyDescent="0.3">
      <c r="A2529" s="1">
        <v>45900.965277777781</v>
      </c>
      <c r="B2529" t="s">
        <v>1499</v>
      </c>
      <c r="C2529" t="s">
        <v>1500</v>
      </c>
      <c r="D2529" t="s">
        <v>558</v>
      </c>
      <c r="F2529" t="s">
        <v>1733</v>
      </c>
      <c r="G2529" t="s">
        <v>559</v>
      </c>
      <c r="H2529" t="s">
        <v>66</v>
      </c>
      <c r="I2529" t="s">
        <v>415</v>
      </c>
      <c r="J2529">
        <v>100</v>
      </c>
      <c r="K2529">
        <v>19</v>
      </c>
      <c r="L2529">
        <v>10</v>
      </c>
      <c r="M2529">
        <v>11</v>
      </c>
      <c r="N2529">
        <v>12781</v>
      </c>
      <c r="O2529">
        <v>102</v>
      </c>
      <c r="P2529">
        <v>0</v>
      </c>
      <c r="Q2529" t="s">
        <v>44</v>
      </c>
      <c r="R2529" t="s">
        <v>44</v>
      </c>
      <c r="S2529" t="s">
        <v>44</v>
      </c>
      <c r="T2529">
        <v>9562</v>
      </c>
      <c r="U2529" t="s">
        <v>44</v>
      </c>
      <c r="V2529">
        <v>2118</v>
      </c>
      <c r="W2529" t="s">
        <v>44</v>
      </c>
      <c r="X2529" t="s">
        <v>44</v>
      </c>
      <c r="Y2529">
        <v>2118</v>
      </c>
      <c r="Z2529" t="s">
        <v>44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 s="2">
        <v>2220</v>
      </c>
      <c r="AQ2529">
        <f t="shared" si="88"/>
        <v>2220</v>
      </c>
      <c r="AR2529" s="5">
        <f>VLOOKUP(F2529,'[2]SCP_24-25'!$A:$D,4,0)</f>
        <v>64.38</v>
      </c>
      <c r="AS2529" s="5">
        <f t="shared" si="87"/>
        <v>142923.59999999998</v>
      </c>
    </row>
    <row r="2530" spans="1:45" x14ac:dyDescent="0.3">
      <c r="A2530" s="1">
        <v>45900.965277777781</v>
      </c>
      <c r="B2530" t="s">
        <v>1499</v>
      </c>
      <c r="C2530" t="s">
        <v>1500</v>
      </c>
      <c r="D2530" t="s">
        <v>473</v>
      </c>
      <c r="F2530" t="s">
        <v>1691</v>
      </c>
      <c r="G2530" t="s">
        <v>474</v>
      </c>
      <c r="H2530" t="s">
        <v>103</v>
      </c>
      <c r="I2530" t="s">
        <v>415</v>
      </c>
      <c r="J2530">
        <v>200</v>
      </c>
      <c r="K2530">
        <v>19</v>
      </c>
      <c r="L2530">
        <v>10</v>
      </c>
      <c r="M2530">
        <v>11</v>
      </c>
      <c r="N2530">
        <v>19453</v>
      </c>
      <c r="O2530">
        <v>1075</v>
      </c>
      <c r="P2530">
        <v>0</v>
      </c>
      <c r="Q2530" t="s">
        <v>44</v>
      </c>
      <c r="R2530" t="s">
        <v>44</v>
      </c>
      <c r="S2530" t="s">
        <v>44</v>
      </c>
      <c r="T2530">
        <v>114</v>
      </c>
      <c r="U2530" t="s">
        <v>44</v>
      </c>
      <c r="V2530">
        <v>4218</v>
      </c>
      <c r="W2530" t="s">
        <v>44</v>
      </c>
      <c r="X2530" t="s">
        <v>44</v>
      </c>
      <c r="Y2530">
        <v>4218</v>
      </c>
      <c r="Z2530" t="s">
        <v>44</v>
      </c>
      <c r="AA2530">
        <v>50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 s="2">
        <v>5343</v>
      </c>
      <c r="AQ2530">
        <f t="shared" si="88"/>
        <v>5343</v>
      </c>
      <c r="AR2530" s="5">
        <f>VLOOKUP(F2530,'[2]SCP_24-25'!$A:$D,4,0)</f>
        <v>40.409999999999997</v>
      </c>
      <c r="AS2530" s="5">
        <f t="shared" si="87"/>
        <v>215910.62999999998</v>
      </c>
    </row>
    <row r="2531" spans="1:45" x14ac:dyDescent="0.3">
      <c r="A2531" s="1">
        <v>45900.965277777781</v>
      </c>
      <c r="B2531" t="s">
        <v>1499</v>
      </c>
      <c r="C2531" t="s">
        <v>1500</v>
      </c>
      <c r="D2531" t="s">
        <v>509</v>
      </c>
      <c r="F2531" t="s">
        <v>1709</v>
      </c>
      <c r="G2531" t="s">
        <v>510</v>
      </c>
      <c r="H2531" t="s">
        <v>103</v>
      </c>
      <c r="I2531" t="s">
        <v>415</v>
      </c>
      <c r="J2531">
        <v>459.02</v>
      </c>
      <c r="K2531">
        <v>19</v>
      </c>
      <c r="L2531">
        <v>10</v>
      </c>
      <c r="M2531">
        <v>11</v>
      </c>
      <c r="N2531">
        <v>9768</v>
      </c>
      <c r="O2531">
        <v>48</v>
      </c>
      <c r="P2531">
        <v>0</v>
      </c>
      <c r="Q2531">
        <v>1</v>
      </c>
      <c r="R2531" t="s">
        <v>44</v>
      </c>
      <c r="S2531" t="s">
        <v>44</v>
      </c>
      <c r="T2531" t="s">
        <v>44</v>
      </c>
      <c r="U2531" t="s">
        <v>44</v>
      </c>
      <c r="V2531">
        <v>3937</v>
      </c>
      <c r="W2531" t="s">
        <v>44</v>
      </c>
      <c r="X2531" t="s">
        <v>44</v>
      </c>
      <c r="Y2531">
        <v>3937</v>
      </c>
      <c r="Z2531" t="s">
        <v>44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 s="2">
        <v>3985</v>
      </c>
      <c r="AQ2531">
        <f t="shared" si="88"/>
        <v>3985</v>
      </c>
      <c r="AR2531" s="5">
        <f>VLOOKUP(F2531,'[2]SCP_24-25'!$A:$D,4,0)</f>
        <v>67.865000000000009</v>
      </c>
      <c r="AS2531" s="5">
        <f t="shared" si="87"/>
        <v>270442.02500000002</v>
      </c>
    </row>
    <row r="2532" spans="1:45" x14ac:dyDescent="0.3">
      <c r="A2532" s="1">
        <v>45900.965277777781</v>
      </c>
      <c r="B2532" t="s">
        <v>1499</v>
      </c>
      <c r="C2532" t="s">
        <v>1500</v>
      </c>
      <c r="D2532" t="s">
        <v>475</v>
      </c>
      <c r="F2532" t="s">
        <v>1692</v>
      </c>
      <c r="G2532" t="s">
        <v>476</v>
      </c>
      <c r="H2532" t="s">
        <v>103</v>
      </c>
      <c r="I2532" t="s">
        <v>415</v>
      </c>
      <c r="J2532">
        <v>200</v>
      </c>
      <c r="K2532">
        <v>19</v>
      </c>
      <c r="L2532">
        <v>10</v>
      </c>
      <c r="M2532">
        <v>11</v>
      </c>
      <c r="N2532">
        <v>10224</v>
      </c>
      <c r="O2532">
        <v>48</v>
      </c>
      <c r="P2532">
        <v>0</v>
      </c>
      <c r="Q2532" t="s">
        <v>44</v>
      </c>
      <c r="R2532" t="s">
        <v>44</v>
      </c>
      <c r="S2532" t="s">
        <v>44</v>
      </c>
      <c r="T2532">
        <v>60</v>
      </c>
      <c r="U2532" t="s">
        <v>44</v>
      </c>
      <c r="V2532">
        <v>4860</v>
      </c>
      <c r="W2532" t="s">
        <v>44</v>
      </c>
      <c r="X2532" t="s">
        <v>44</v>
      </c>
      <c r="Y2532">
        <v>4860</v>
      </c>
      <c r="Z2532" t="s">
        <v>44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 s="2">
        <v>4908</v>
      </c>
      <c r="AQ2532">
        <f t="shared" si="88"/>
        <v>4908</v>
      </c>
      <c r="AR2532" s="5">
        <f>VLOOKUP(F2532,'[2]SCP_24-25'!$A:$D,4,0)</f>
        <v>62.03</v>
      </c>
      <c r="AS2532" s="5">
        <f t="shared" si="87"/>
        <v>304443.24</v>
      </c>
    </row>
    <row r="2533" spans="1:45" x14ac:dyDescent="0.3">
      <c r="A2533" s="1">
        <v>45900.965277777781</v>
      </c>
      <c r="B2533" t="s">
        <v>1499</v>
      </c>
      <c r="C2533" t="s">
        <v>1500</v>
      </c>
      <c r="D2533" t="s">
        <v>584</v>
      </c>
      <c r="F2533" t="s">
        <v>1746</v>
      </c>
      <c r="G2533" t="s">
        <v>585</v>
      </c>
      <c r="H2533" t="s">
        <v>103</v>
      </c>
      <c r="I2533" t="s">
        <v>415</v>
      </c>
      <c r="J2533">
        <v>200</v>
      </c>
      <c r="K2533">
        <v>19</v>
      </c>
      <c r="L2533">
        <v>10</v>
      </c>
      <c r="M2533">
        <v>11</v>
      </c>
      <c r="N2533">
        <v>7176</v>
      </c>
      <c r="O2533">
        <v>0</v>
      </c>
      <c r="P2533">
        <v>0</v>
      </c>
      <c r="Q2533" t="s">
        <v>44</v>
      </c>
      <c r="R2533">
        <v>200</v>
      </c>
      <c r="S2533" t="s">
        <v>44</v>
      </c>
      <c r="T2533">
        <v>54</v>
      </c>
      <c r="U2533" t="s">
        <v>44</v>
      </c>
      <c r="V2533">
        <v>2439</v>
      </c>
      <c r="W2533" t="s">
        <v>44</v>
      </c>
      <c r="X2533" t="s">
        <v>44</v>
      </c>
      <c r="Y2533">
        <v>2439</v>
      </c>
      <c r="Z2533" t="s">
        <v>44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 s="2">
        <v>2439</v>
      </c>
      <c r="AQ2533">
        <f t="shared" si="88"/>
        <v>2439</v>
      </c>
      <c r="AR2533" s="5">
        <f>VLOOKUP(F2533,'[2]SCP_24-25'!$A:$D,4,0)</f>
        <v>65.53</v>
      </c>
      <c r="AS2533" s="5">
        <f t="shared" si="87"/>
        <v>159827.67000000001</v>
      </c>
    </row>
    <row r="2534" spans="1:45" x14ac:dyDescent="0.3">
      <c r="A2534" s="1">
        <v>45900.965277777781</v>
      </c>
      <c r="B2534" t="s">
        <v>1499</v>
      </c>
      <c r="C2534" t="s">
        <v>1500</v>
      </c>
      <c r="D2534" t="s">
        <v>813</v>
      </c>
      <c r="F2534" t="s">
        <v>1858</v>
      </c>
      <c r="G2534" t="s">
        <v>814</v>
      </c>
      <c r="H2534" t="s">
        <v>130</v>
      </c>
      <c r="I2534" t="s">
        <v>415</v>
      </c>
      <c r="J2534">
        <v>3.5</v>
      </c>
      <c r="K2534">
        <v>19</v>
      </c>
      <c r="L2534">
        <v>10</v>
      </c>
      <c r="M2534">
        <v>11</v>
      </c>
      <c r="N2534">
        <v>3324</v>
      </c>
      <c r="O2534">
        <v>0</v>
      </c>
      <c r="P2534">
        <v>0</v>
      </c>
      <c r="Q2534" t="s">
        <v>44</v>
      </c>
      <c r="R2534" t="s">
        <v>44</v>
      </c>
      <c r="S2534" t="s">
        <v>44</v>
      </c>
      <c r="T2534" t="s">
        <v>44</v>
      </c>
      <c r="U2534" t="s">
        <v>44</v>
      </c>
      <c r="V2534">
        <v>2370</v>
      </c>
      <c r="W2534" t="s">
        <v>44</v>
      </c>
      <c r="X2534" t="s">
        <v>44</v>
      </c>
      <c r="Y2534">
        <v>2370</v>
      </c>
      <c r="Z2534" t="s">
        <v>44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 s="2">
        <v>2370</v>
      </c>
      <c r="AQ2534">
        <f t="shared" si="88"/>
        <v>2370</v>
      </c>
      <c r="AR2534" s="5">
        <f>VLOOKUP(F2534,'[2]SCP_24-25'!$A:$D,4,0)</f>
        <v>149.81999999999996</v>
      </c>
      <c r="AS2534" s="5">
        <f t="shared" si="87"/>
        <v>355073.39999999991</v>
      </c>
    </row>
    <row r="2535" spans="1:45" x14ac:dyDescent="0.3">
      <c r="A2535" s="1">
        <v>45900.965277777781</v>
      </c>
      <c r="B2535" t="s">
        <v>1499</v>
      </c>
      <c r="C2535" t="s">
        <v>1500</v>
      </c>
      <c r="D2535" t="s">
        <v>825</v>
      </c>
      <c r="F2535" t="s">
        <v>1864</v>
      </c>
      <c r="G2535" t="s">
        <v>826</v>
      </c>
      <c r="H2535" t="s">
        <v>130</v>
      </c>
      <c r="I2535" t="s">
        <v>415</v>
      </c>
      <c r="J2535">
        <v>3.5</v>
      </c>
      <c r="K2535">
        <v>19</v>
      </c>
      <c r="L2535">
        <v>10</v>
      </c>
      <c r="M2535">
        <v>11</v>
      </c>
      <c r="N2535">
        <v>3068</v>
      </c>
      <c r="O2535">
        <v>0</v>
      </c>
      <c r="P2535">
        <v>0</v>
      </c>
      <c r="Q2535" t="s">
        <v>44</v>
      </c>
      <c r="R2535" t="s">
        <v>44</v>
      </c>
      <c r="S2535" t="s">
        <v>44</v>
      </c>
      <c r="T2535" t="s">
        <v>44</v>
      </c>
      <c r="U2535" t="s">
        <v>44</v>
      </c>
      <c r="V2535">
        <v>2135</v>
      </c>
      <c r="W2535" t="s">
        <v>44</v>
      </c>
      <c r="X2535" t="s">
        <v>44</v>
      </c>
      <c r="Y2535">
        <v>2135</v>
      </c>
      <c r="Z2535" t="s">
        <v>44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 s="2">
        <v>2135</v>
      </c>
      <c r="AQ2535">
        <f t="shared" si="88"/>
        <v>2135</v>
      </c>
      <c r="AR2535" s="5">
        <f>VLOOKUP(F2535,'[2]SCP_24-25'!$A:$D,4,0)</f>
        <v>149.82</v>
      </c>
      <c r="AS2535" s="5">
        <f t="shared" si="87"/>
        <v>319865.7</v>
      </c>
    </row>
    <row r="2536" spans="1:45" x14ac:dyDescent="0.3">
      <c r="A2536" s="1">
        <v>45900.965277777781</v>
      </c>
      <c r="B2536" t="s">
        <v>1499</v>
      </c>
      <c r="C2536" t="s">
        <v>1500</v>
      </c>
      <c r="D2536" t="s">
        <v>827</v>
      </c>
      <c r="F2536" t="s">
        <v>1865</v>
      </c>
      <c r="G2536" t="s">
        <v>828</v>
      </c>
      <c r="H2536" t="s">
        <v>130</v>
      </c>
      <c r="I2536" t="s">
        <v>415</v>
      </c>
      <c r="J2536">
        <v>3.5</v>
      </c>
      <c r="K2536">
        <v>19</v>
      </c>
      <c r="L2536">
        <v>10</v>
      </c>
      <c r="M2536">
        <v>11</v>
      </c>
      <c r="N2536">
        <v>3070</v>
      </c>
      <c r="O2536">
        <v>0</v>
      </c>
      <c r="P2536">
        <v>0</v>
      </c>
      <c r="Q2536" t="s">
        <v>44</v>
      </c>
      <c r="R2536" t="s">
        <v>44</v>
      </c>
      <c r="S2536" t="s">
        <v>44</v>
      </c>
      <c r="T2536" t="s">
        <v>44</v>
      </c>
      <c r="U2536" t="s">
        <v>44</v>
      </c>
      <c r="V2536">
        <v>2126</v>
      </c>
      <c r="W2536" t="s">
        <v>44</v>
      </c>
      <c r="X2536" t="s">
        <v>44</v>
      </c>
      <c r="Y2536">
        <v>2126</v>
      </c>
      <c r="Z2536" t="s">
        <v>44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 s="2">
        <v>2126</v>
      </c>
      <c r="AQ2536">
        <f t="shared" si="88"/>
        <v>2126</v>
      </c>
      <c r="AR2536" s="5">
        <f>VLOOKUP(F2536,'[2]SCP_24-25'!$A:$D,4,0)</f>
        <v>149.82</v>
      </c>
      <c r="AS2536" s="5">
        <f t="shared" si="87"/>
        <v>318517.32</v>
      </c>
    </row>
    <row r="2537" spans="1:45" x14ac:dyDescent="0.3">
      <c r="A2537" s="1">
        <v>45900.965277777781</v>
      </c>
      <c r="B2537" t="s">
        <v>1499</v>
      </c>
      <c r="C2537" t="s">
        <v>1500</v>
      </c>
      <c r="D2537" t="s">
        <v>831</v>
      </c>
      <c r="F2537" t="s">
        <v>1867</v>
      </c>
      <c r="G2537" t="s">
        <v>832</v>
      </c>
      <c r="H2537" t="s">
        <v>130</v>
      </c>
      <c r="I2537" t="s">
        <v>415</v>
      </c>
      <c r="J2537">
        <v>3.5</v>
      </c>
      <c r="K2537">
        <v>19</v>
      </c>
      <c r="L2537">
        <v>10</v>
      </c>
      <c r="M2537">
        <v>11</v>
      </c>
      <c r="N2537">
        <v>2640</v>
      </c>
      <c r="O2537">
        <v>1</v>
      </c>
      <c r="P2537">
        <v>0</v>
      </c>
      <c r="Q2537" t="s">
        <v>44</v>
      </c>
      <c r="R2537" t="s">
        <v>44</v>
      </c>
      <c r="S2537" t="s">
        <v>44</v>
      </c>
      <c r="T2537">
        <v>24</v>
      </c>
      <c r="U2537" t="s">
        <v>44</v>
      </c>
      <c r="V2537">
        <v>2639</v>
      </c>
      <c r="W2537" t="s">
        <v>44</v>
      </c>
      <c r="X2537" t="s">
        <v>44</v>
      </c>
      <c r="Y2537">
        <v>2639</v>
      </c>
      <c r="Z2537" t="s">
        <v>44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 s="2">
        <v>2640</v>
      </c>
      <c r="AQ2537">
        <f t="shared" si="88"/>
        <v>2640</v>
      </c>
      <c r="AR2537" s="5">
        <f>VLOOKUP(F2537,'[2]SCP_24-25'!$A:$D,4,0)</f>
        <v>149.82</v>
      </c>
      <c r="AS2537" s="5">
        <f t="shared" si="87"/>
        <v>395524.8</v>
      </c>
    </row>
    <row r="2538" spans="1:45" x14ac:dyDescent="0.3">
      <c r="A2538" s="1">
        <v>45900.965277777781</v>
      </c>
      <c r="B2538" t="s">
        <v>1499</v>
      </c>
      <c r="C2538" t="s">
        <v>1500</v>
      </c>
      <c r="D2538" t="s">
        <v>833</v>
      </c>
      <c r="F2538" t="s">
        <v>1868</v>
      </c>
      <c r="G2538" t="s">
        <v>834</v>
      </c>
      <c r="H2538" t="s">
        <v>130</v>
      </c>
      <c r="I2538" t="s">
        <v>415</v>
      </c>
      <c r="J2538">
        <v>3.5</v>
      </c>
      <c r="K2538">
        <v>19</v>
      </c>
      <c r="L2538">
        <v>10</v>
      </c>
      <c r="M2538">
        <v>11</v>
      </c>
      <c r="N2538">
        <v>2784</v>
      </c>
      <c r="O2538">
        <v>0</v>
      </c>
      <c r="P2538">
        <v>0</v>
      </c>
      <c r="Q2538" t="s">
        <v>44</v>
      </c>
      <c r="R2538" t="s">
        <v>44</v>
      </c>
      <c r="S2538" t="s">
        <v>44</v>
      </c>
      <c r="T2538" t="s">
        <v>44</v>
      </c>
      <c r="U2538" t="s">
        <v>44</v>
      </c>
      <c r="V2538">
        <v>2619</v>
      </c>
      <c r="W2538" t="s">
        <v>44</v>
      </c>
      <c r="X2538" t="s">
        <v>44</v>
      </c>
      <c r="Y2538">
        <v>2619</v>
      </c>
      <c r="Z2538" t="s">
        <v>44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 s="2">
        <v>2619</v>
      </c>
      <c r="AQ2538">
        <f t="shared" si="88"/>
        <v>2619</v>
      </c>
      <c r="AR2538" s="5">
        <f>VLOOKUP(F2538,'[2]SCP_24-25'!$A:$D,4,0)</f>
        <v>149.82</v>
      </c>
      <c r="AS2538" s="5">
        <f t="shared" si="87"/>
        <v>392378.57999999996</v>
      </c>
    </row>
    <row r="2539" spans="1:45" x14ac:dyDescent="0.3">
      <c r="A2539" s="1">
        <v>45900.965277777781</v>
      </c>
      <c r="B2539" t="s">
        <v>1499</v>
      </c>
      <c r="C2539" t="s">
        <v>1500</v>
      </c>
      <c r="D2539" t="s">
        <v>835</v>
      </c>
      <c r="F2539" t="s">
        <v>1869</v>
      </c>
      <c r="G2539" t="s">
        <v>836</v>
      </c>
      <c r="H2539" t="s">
        <v>130</v>
      </c>
      <c r="I2539" t="s">
        <v>415</v>
      </c>
      <c r="J2539">
        <v>3.5</v>
      </c>
      <c r="K2539">
        <v>19</v>
      </c>
      <c r="L2539">
        <v>10</v>
      </c>
      <c r="M2539">
        <v>11</v>
      </c>
      <c r="N2539">
        <v>2669</v>
      </c>
      <c r="O2539">
        <v>1</v>
      </c>
      <c r="P2539">
        <v>0</v>
      </c>
      <c r="Q2539" t="s">
        <v>44</v>
      </c>
      <c r="R2539" t="s">
        <v>44</v>
      </c>
      <c r="S2539" t="s">
        <v>44</v>
      </c>
      <c r="T2539" t="s">
        <v>44</v>
      </c>
      <c r="U2539" t="s">
        <v>44</v>
      </c>
      <c r="V2539">
        <v>2668</v>
      </c>
      <c r="W2539" t="s">
        <v>44</v>
      </c>
      <c r="X2539" t="s">
        <v>44</v>
      </c>
      <c r="Y2539">
        <v>2668</v>
      </c>
      <c r="Z2539" t="s">
        <v>44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 s="2">
        <v>2669</v>
      </c>
      <c r="AQ2539">
        <f t="shared" si="88"/>
        <v>2669</v>
      </c>
      <c r="AR2539" s="5">
        <f>VLOOKUP(F2539,'[2]SCP_24-25'!$A:$D,4,0)</f>
        <v>149.82</v>
      </c>
      <c r="AS2539" s="5">
        <f t="shared" si="87"/>
        <v>399869.57999999996</v>
      </c>
    </row>
    <row r="2540" spans="1:45" x14ac:dyDescent="0.3">
      <c r="A2540" s="1">
        <v>45900.965277777781</v>
      </c>
      <c r="B2540" t="s">
        <v>1499</v>
      </c>
      <c r="C2540" t="s">
        <v>1500</v>
      </c>
      <c r="D2540" t="s">
        <v>1298</v>
      </c>
      <c r="F2540" t="s">
        <v>2101</v>
      </c>
      <c r="G2540" t="s">
        <v>1299</v>
      </c>
      <c r="H2540" t="s">
        <v>66</v>
      </c>
      <c r="I2540" t="s">
        <v>415</v>
      </c>
      <c r="J2540">
        <v>10</v>
      </c>
      <c r="K2540">
        <v>19</v>
      </c>
      <c r="L2540">
        <v>10</v>
      </c>
      <c r="M2540">
        <v>11</v>
      </c>
      <c r="N2540">
        <v>7200</v>
      </c>
      <c r="O2540">
        <v>0</v>
      </c>
      <c r="P2540">
        <v>0</v>
      </c>
      <c r="Q2540" t="s">
        <v>44</v>
      </c>
      <c r="R2540" t="s">
        <v>44</v>
      </c>
      <c r="S2540" t="s">
        <v>44</v>
      </c>
      <c r="T2540" t="s">
        <v>44</v>
      </c>
      <c r="U2540" t="s">
        <v>44</v>
      </c>
      <c r="V2540">
        <v>6183</v>
      </c>
      <c r="W2540" t="s">
        <v>44</v>
      </c>
      <c r="X2540" t="s">
        <v>44</v>
      </c>
      <c r="Y2540">
        <v>6183</v>
      </c>
      <c r="Z2540" t="s">
        <v>44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 s="2">
        <v>6183</v>
      </c>
      <c r="AQ2540">
        <f t="shared" si="88"/>
        <v>6183</v>
      </c>
      <c r="AR2540" s="5">
        <f>VLOOKUP(F2540,'[2]SCP_24-25'!$A:$D,4,0)</f>
        <v>27.16</v>
      </c>
      <c r="AS2540" s="5">
        <f t="shared" si="87"/>
        <v>167930.28</v>
      </c>
    </row>
    <row r="2541" spans="1:45" x14ac:dyDescent="0.3">
      <c r="A2541" s="1">
        <v>45900.965277777781</v>
      </c>
      <c r="B2541" t="s">
        <v>1499</v>
      </c>
      <c r="C2541" t="s">
        <v>1500</v>
      </c>
      <c r="D2541" t="s">
        <v>1361</v>
      </c>
      <c r="F2541" t="s">
        <v>2128</v>
      </c>
      <c r="G2541" t="s">
        <v>1362</v>
      </c>
      <c r="H2541" t="s">
        <v>66</v>
      </c>
      <c r="I2541" t="s">
        <v>415</v>
      </c>
      <c r="J2541">
        <v>60</v>
      </c>
      <c r="K2541">
        <v>19</v>
      </c>
      <c r="L2541">
        <v>10</v>
      </c>
      <c r="M2541">
        <v>11</v>
      </c>
      <c r="N2541">
        <v>7086</v>
      </c>
      <c r="O2541">
        <v>24</v>
      </c>
      <c r="P2541">
        <v>0</v>
      </c>
      <c r="Q2541" t="s">
        <v>44</v>
      </c>
      <c r="R2541" t="s">
        <v>44</v>
      </c>
      <c r="S2541" t="s">
        <v>44</v>
      </c>
      <c r="T2541">
        <v>36</v>
      </c>
      <c r="U2541" t="s">
        <v>44</v>
      </c>
      <c r="V2541">
        <v>2767</v>
      </c>
      <c r="W2541" t="s">
        <v>44</v>
      </c>
      <c r="X2541" t="s">
        <v>44</v>
      </c>
      <c r="Y2541">
        <v>2767</v>
      </c>
      <c r="Z2541" t="s">
        <v>44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 s="2">
        <v>2791</v>
      </c>
      <c r="AQ2541">
        <f t="shared" si="88"/>
        <v>2791</v>
      </c>
      <c r="AR2541" s="5">
        <f>VLOOKUP(F2541,'[2]SCP_24-25'!$A:$D,4,0)</f>
        <v>86.75</v>
      </c>
      <c r="AS2541" s="5">
        <f t="shared" si="87"/>
        <v>242119.25</v>
      </c>
    </row>
    <row r="2542" spans="1:45" x14ac:dyDescent="0.3">
      <c r="A2542" s="1">
        <v>45900.965277777781</v>
      </c>
      <c r="B2542" t="s">
        <v>1499</v>
      </c>
      <c r="C2542" t="s">
        <v>1500</v>
      </c>
      <c r="D2542" t="s">
        <v>1318</v>
      </c>
      <c r="F2542" t="s">
        <v>2109</v>
      </c>
      <c r="G2542" t="s">
        <v>1319</v>
      </c>
      <c r="H2542" t="s">
        <v>66</v>
      </c>
      <c r="I2542" t="s">
        <v>415</v>
      </c>
      <c r="J2542">
        <v>10</v>
      </c>
      <c r="K2542">
        <v>19</v>
      </c>
      <c r="L2542">
        <v>10</v>
      </c>
      <c r="M2542">
        <v>11</v>
      </c>
      <c r="N2542">
        <v>2200</v>
      </c>
      <c r="O2542">
        <v>0</v>
      </c>
      <c r="P2542">
        <v>0</v>
      </c>
      <c r="Q2542" t="s">
        <v>44</v>
      </c>
      <c r="R2542" t="s">
        <v>44</v>
      </c>
      <c r="S2542" t="s">
        <v>44</v>
      </c>
      <c r="T2542" t="s">
        <v>44</v>
      </c>
      <c r="U2542" t="s">
        <v>44</v>
      </c>
      <c r="V2542">
        <v>2089</v>
      </c>
      <c r="W2542" t="s">
        <v>44</v>
      </c>
      <c r="X2542" t="s">
        <v>44</v>
      </c>
      <c r="Y2542">
        <v>2089</v>
      </c>
      <c r="Z2542" t="s">
        <v>44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 s="2">
        <v>2089</v>
      </c>
      <c r="AQ2542">
        <f t="shared" si="88"/>
        <v>2089</v>
      </c>
      <c r="AR2542" s="5">
        <f>VLOOKUP(F2542,'[2]SCP_24-25'!$A:$D,4,0)</f>
        <v>44.56</v>
      </c>
      <c r="AS2542" s="5">
        <f t="shared" si="87"/>
        <v>93085.840000000011</v>
      </c>
    </row>
    <row r="2543" spans="1:45" x14ac:dyDescent="0.3">
      <c r="A2543" s="1">
        <v>45900.965277777781</v>
      </c>
      <c r="B2543" t="s">
        <v>1499</v>
      </c>
      <c r="C2543" t="s">
        <v>1500</v>
      </c>
      <c r="D2543" t="s">
        <v>1322</v>
      </c>
      <c r="F2543" t="s">
        <v>2111</v>
      </c>
      <c r="G2543" t="s">
        <v>1323</v>
      </c>
      <c r="H2543" t="s">
        <v>120</v>
      </c>
      <c r="I2543" t="s">
        <v>43</v>
      </c>
      <c r="J2543">
        <v>100</v>
      </c>
      <c r="K2543">
        <v>19</v>
      </c>
      <c r="L2543">
        <v>11</v>
      </c>
      <c r="M2543">
        <v>10</v>
      </c>
      <c r="N2543">
        <v>5340</v>
      </c>
      <c r="O2543">
        <v>0</v>
      </c>
      <c r="P2543">
        <v>0</v>
      </c>
      <c r="Q2543" t="s">
        <v>44</v>
      </c>
      <c r="R2543" t="s">
        <v>44</v>
      </c>
      <c r="S2543" t="s">
        <v>44</v>
      </c>
      <c r="T2543">
        <v>700</v>
      </c>
      <c r="U2543" t="s">
        <v>44</v>
      </c>
      <c r="V2543">
        <v>5113</v>
      </c>
      <c r="W2543" t="s">
        <v>44</v>
      </c>
      <c r="X2543" t="s">
        <v>44</v>
      </c>
      <c r="Y2543">
        <v>5113</v>
      </c>
      <c r="Z2543" t="s">
        <v>44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 s="2">
        <v>5113</v>
      </c>
      <c r="AQ2543">
        <f t="shared" si="88"/>
        <v>5113</v>
      </c>
      <c r="AR2543" s="5">
        <f>VLOOKUP(F2543,'[2]SCP_24-25'!$A:$D,4,0)</f>
        <v>51.411764705882355</v>
      </c>
      <c r="AS2543" s="5">
        <f t="shared" si="87"/>
        <v>262868.3529411765</v>
      </c>
    </row>
    <row r="2544" spans="1:45" x14ac:dyDescent="0.3">
      <c r="A2544" s="1">
        <v>45900.965277777781</v>
      </c>
      <c r="B2544" t="s">
        <v>1499</v>
      </c>
      <c r="C2544" t="s">
        <v>1500</v>
      </c>
      <c r="D2544" t="s">
        <v>857</v>
      </c>
      <c r="F2544" t="s">
        <v>1880</v>
      </c>
      <c r="G2544" t="s">
        <v>858</v>
      </c>
      <c r="H2544" t="s">
        <v>120</v>
      </c>
      <c r="I2544" t="s">
        <v>43</v>
      </c>
      <c r="J2544">
        <v>100</v>
      </c>
      <c r="K2544">
        <v>19</v>
      </c>
      <c r="L2544">
        <v>11</v>
      </c>
      <c r="M2544">
        <v>10</v>
      </c>
      <c r="N2544">
        <v>4603</v>
      </c>
      <c r="O2544">
        <v>5</v>
      </c>
      <c r="P2544">
        <v>0</v>
      </c>
      <c r="Q2544" t="s">
        <v>44</v>
      </c>
      <c r="R2544" t="s">
        <v>44</v>
      </c>
      <c r="S2544" t="s">
        <v>44</v>
      </c>
      <c r="T2544" t="s">
        <v>44</v>
      </c>
      <c r="U2544" t="s">
        <v>44</v>
      </c>
      <c r="V2544">
        <v>4538</v>
      </c>
      <c r="W2544" t="s">
        <v>44</v>
      </c>
      <c r="X2544" t="s">
        <v>44</v>
      </c>
      <c r="Y2544">
        <v>4538</v>
      </c>
      <c r="Z2544" t="s">
        <v>44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 s="2">
        <v>4543</v>
      </c>
      <c r="AQ2544">
        <f t="shared" si="88"/>
        <v>4543</v>
      </c>
      <c r="AR2544" s="5">
        <f>VLOOKUP(F2544,'[2]SCP_24-25'!$A:$D,4,0)</f>
        <v>125.60526315789474</v>
      </c>
      <c r="AS2544" s="5">
        <f t="shared" si="87"/>
        <v>570624.71052631584</v>
      </c>
    </row>
    <row r="2545" spans="1:45" x14ac:dyDescent="0.3">
      <c r="A2545" s="1">
        <v>45900.965277777781</v>
      </c>
      <c r="B2545" t="s">
        <v>1499</v>
      </c>
      <c r="C2545" t="s">
        <v>1500</v>
      </c>
      <c r="D2545" t="s">
        <v>1326</v>
      </c>
      <c r="F2545" t="s">
        <v>2113</v>
      </c>
      <c r="G2545" t="s">
        <v>1327</v>
      </c>
      <c r="H2545" t="s">
        <v>103</v>
      </c>
      <c r="I2545" t="s">
        <v>415</v>
      </c>
      <c r="J2545">
        <v>650</v>
      </c>
      <c r="K2545">
        <v>19</v>
      </c>
      <c r="L2545">
        <v>10</v>
      </c>
      <c r="M2545">
        <v>11</v>
      </c>
      <c r="N2545">
        <v>2940</v>
      </c>
      <c r="O2545">
        <v>0</v>
      </c>
      <c r="P2545">
        <v>0</v>
      </c>
      <c r="Q2545" t="s">
        <v>44</v>
      </c>
      <c r="R2545" t="s">
        <v>44</v>
      </c>
      <c r="S2545" t="s">
        <v>44</v>
      </c>
      <c r="T2545" t="s">
        <v>44</v>
      </c>
      <c r="U2545" t="s">
        <v>44</v>
      </c>
      <c r="V2545">
        <v>2940</v>
      </c>
      <c r="W2545" t="s">
        <v>44</v>
      </c>
      <c r="X2545" t="s">
        <v>44</v>
      </c>
      <c r="Y2545">
        <v>2940</v>
      </c>
      <c r="Z2545" t="s">
        <v>44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 s="2">
        <v>2940</v>
      </c>
      <c r="AQ2545">
        <f t="shared" si="88"/>
        <v>2940</v>
      </c>
      <c r="AR2545" s="5">
        <f>VLOOKUP(F2545,'[2]SCP_24-25'!$A:$D,4,0)</f>
        <v>174.39</v>
      </c>
      <c r="AS2545" s="5">
        <f t="shared" si="87"/>
        <v>512706.6</v>
      </c>
    </row>
    <row r="2546" spans="1:45" x14ac:dyDescent="0.3">
      <c r="A2546" s="1">
        <v>45900.965277777781</v>
      </c>
      <c r="B2546" t="s">
        <v>1503</v>
      </c>
      <c r="C2546" t="s">
        <v>1504</v>
      </c>
      <c r="D2546" t="s">
        <v>131</v>
      </c>
      <c r="F2546" t="s">
        <v>1543</v>
      </c>
      <c r="G2546" t="s">
        <v>132</v>
      </c>
      <c r="H2546" t="s">
        <v>103</v>
      </c>
      <c r="I2546" t="s">
        <v>43</v>
      </c>
      <c r="J2546">
        <v>250</v>
      </c>
      <c r="K2546">
        <v>19</v>
      </c>
      <c r="L2546">
        <v>10</v>
      </c>
      <c r="M2546">
        <v>11</v>
      </c>
      <c r="N2546">
        <v>1</v>
      </c>
      <c r="O2546">
        <v>0</v>
      </c>
      <c r="P2546">
        <v>0</v>
      </c>
      <c r="Q2546" t="s">
        <v>44</v>
      </c>
      <c r="R2546" t="s">
        <v>44</v>
      </c>
      <c r="S2546" t="s">
        <v>44</v>
      </c>
      <c r="T2546" t="s">
        <v>44</v>
      </c>
      <c r="U2546" t="s">
        <v>44</v>
      </c>
      <c r="V2546">
        <v>1</v>
      </c>
      <c r="W2546" t="s">
        <v>44</v>
      </c>
      <c r="X2546" t="s">
        <v>44</v>
      </c>
      <c r="Y2546">
        <v>1</v>
      </c>
      <c r="Z2546" t="s">
        <v>44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f t="shared" si="88"/>
        <v>1</v>
      </c>
      <c r="AR2546" s="5">
        <f>VLOOKUP(F2546,'[2]SCP_24-25'!$A:$D,4,0)</f>
        <v>78.88</v>
      </c>
      <c r="AS2546" s="5">
        <f t="shared" si="87"/>
        <v>78.88</v>
      </c>
    </row>
    <row r="2547" spans="1:45" x14ac:dyDescent="0.3">
      <c r="A2547" s="1">
        <v>45900.96597222222</v>
      </c>
      <c r="B2547" t="s">
        <v>1505</v>
      </c>
      <c r="C2547" t="s">
        <v>1506</v>
      </c>
      <c r="D2547" t="s">
        <v>232</v>
      </c>
      <c r="E2547" t="s">
        <v>233</v>
      </c>
      <c r="F2547" t="s">
        <v>1591</v>
      </c>
      <c r="G2547" t="s">
        <v>234</v>
      </c>
      <c r="H2547" t="s">
        <v>66</v>
      </c>
      <c r="I2547" t="s">
        <v>43</v>
      </c>
      <c r="J2547">
        <v>95</v>
      </c>
      <c r="K2547">
        <v>19</v>
      </c>
      <c r="L2547">
        <v>11</v>
      </c>
      <c r="M2547">
        <v>9.5</v>
      </c>
      <c r="N2547">
        <v>1512</v>
      </c>
      <c r="O2547">
        <v>3</v>
      </c>
      <c r="P2547">
        <v>0</v>
      </c>
      <c r="Q2547" t="s">
        <v>44</v>
      </c>
      <c r="R2547">
        <v>216</v>
      </c>
      <c r="S2547" t="s">
        <v>44</v>
      </c>
      <c r="T2547" t="s">
        <v>44</v>
      </c>
      <c r="U2547" t="s">
        <v>44</v>
      </c>
      <c r="V2547">
        <v>0</v>
      </c>
      <c r="W2547" t="s">
        <v>44</v>
      </c>
      <c r="X2547" t="s">
        <v>44</v>
      </c>
      <c r="Y2547" t="s">
        <v>44</v>
      </c>
      <c r="Z2547" t="s">
        <v>44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3</v>
      </c>
      <c r="AQ2547">
        <f t="shared" si="88"/>
        <v>3</v>
      </c>
      <c r="AR2547" s="5">
        <f>VLOOKUP(F2547,'[2]SCP_24-25'!$A:$D,4,0)</f>
        <v>70.52</v>
      </c>
      <c r="AS2547" s="5">
        <f t="shared" si="87"/>
        <v>211.56</v>
      </c>
    </row>
    <row r="2548" spans="1:45" x14ac:dyDescent="0.3">
      <c r="A2548" s="1">
        <v>45900.96597222222</v>
      </c>
      <c r="B2548" t="s">
        <v>1505</v>
      </c>
      <c r="C2548" t="s">
        <v>1506</v>
      </c>
      <c r="D2548" t="s">
        <v>305</v>
      </c>
      <c r="E2548" t="s">
        <v>306</v>
      </c>
      <c r="F2548" t="s">
        <v>1618</v>
      </c>
      <c r="G2548" t="s">
        <v>307</v>
      </c>
      <c r="H2548" t="s">
        <v>66</v>
      </c>
      <c r="I2548" t="s">
        <v>43</v>
      </c>
      <c r="J2548">
        <v>120</v>
      </c>
      <c r="K2548">
        <v>19</v>
      </c>
      <c r="L2548">
        <v>11</v>
      </c>
      <c r="M2548">
        <v>9.5</v>
      </c>
      <c r="N2548">
        <v>3072</v>
      </c>
      <c r="O2548">
        <v>11</v>
      </c>
      <c r="P2548">
        <v>0</v>
      </c>
      <c r="Q2548" t="s">
        <v>44</v>
      </c>
      <c r="R2548">
        <v>3</v>
      </c>
      <c r="S2548" t="s">
        <v>44</v>
      </c>
      <c r="T2548" t="s">
        <v>44</v>
      </c>
      <c r="U2548" t="s">
        <v>44</v>
      </c>
      <c r="V2548">
        <v>0</v>
      </c>
      <c r="W2548" t="s">
        <v>44</v>
      </c>
      <c r="X2548" t="s">
        <v>44</v>
      </c>
      <c r="Y2548" t="s">
        <v>44</v>
      </c>
      <c r="Z2548" t="s">
        <v>44</v>
      </c>
      <c r="AA2548">
        <v>0</v>
      </c>
      <c r="AB2548">
        <v>23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11</v>
      </c>
      <c r="AQ2548">
        <f t="shared" si="88"/>
        <v>11</v>
      </c>
      <c r="AR2548" s="5">
        <f>VLOOKUP(F2548,'[2]SCP_24-25'!$A:$D,4,0)</f>
        <v>44.312857142857141</v>
      </c>
      <c r="AS2548" s="5">
        <f t="shared" si="87"/>
        <v>487.44142857142856</v>
      </c>
    </row>
    <row r="2549" spans="1:45" x14ac:dyDescent="0.3">
      <c r="A2549" s="1">
        <v>45900.96597222222</v>
      </c>
      <c r="B2549" t="s">
        <v>1505</v>
      </c>
      <c r="C2549" t="s">
        <v>1506</v>
      </c>
      <c r="D2549" t="s">
        <v>51</v>
      </c>
      <c r="E2549" t="s">
        <v>52</v>
      </c>
      <c r="F2549" t="s">
        <v>1516</v>
      </c>
      <c r="G2549" t="s">
        <v>53</v>
      </c>
      <c r="H2549" t="s">
        <v>42</v>
      </c>
      <c r="I2549" t="s">
        <v>43</v>
      </c>
      <c r="J2549">
        <v>200</v>
      </c>
      <c r="K2549">
        <v>19</v>
      </c>
      <c r="L2549">
        <v>9.5</v>
      </c>
      <c r="M2549">
        <v>11</v>
      </c>
      <c r="N2549">
        <v>360</v>
      </c>
      <c r="O2549">
        <v>1</v>
      </c>
      <c r="P2549">
        <v>0</v>
      </c>
      <c r="Q2549" t="s">
        <v>44</v>
      </c>
      <c r="R2549">
        <v>48</v>
      </c>
      <c r="S2549" t="s">
        <v>44</v>
      </c>
      <c r="T2549" t="s">
        <v>44</v>
      </c>
      <c r="U2549" t="s">
        <v>44</v>
      </c>
      <c r="V2549">
        <v>0</v>
      </c>
      <c r="W2549" t="s">
        <v>44</v>
      </c>
      <c r="X2549" t="s">
        <v>44</v>
      </c>
      <c r="Y2549" t="s">
        <v>44</v>
      </c>
      <c r="Z2549" t="s">
        <v>44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f t="shared" si="88"/>
        <v>1</v>
      </c>
      <c r="AR2549" s="5">
        <f>VLOOKUP(F2549,'[2]SCP_24-25'!$A:$D,4,0)</f>
        <v>106.31</v>
      </c>
      <c r="AS2549" s="5">
        <f t="shared" si="87"/>
        <v>106.31</v>
      </c>
    </row>
    <row r="2550" spans="1:45" x14ac:dyDescent="0.3">
      <c r="A2550" s="1">
        <v>45900.96597222222</v>
      </c>
      <c r="B2550" t="s">
        <v>1505</v>
      </c>
      <c r="C2550" t="s">
        <v>1506</v>
      </c>
      <c r="D2550" t="s">
        <v>91</v>
      </c>
      <c r="E2550" t="s">
        <v>92</v>
      </c>
      <c r="F2550" t="s">
        <v>1529</v>
      </c>
      <c r="G2550" t="s">
        <v>93</v>
      </c>
      <c r="H2550" t="s">
        <v>66</v>
      </c>
      <c r="I2550" t="s">
        <v>43</v>
      </c>
      <c r="J2550">
        <v>150</v>
      </c>
      <c r="K2550">
        <v>19</v>
      </c>
      <c r="L2550">
        <v>9.5</v>
      </c>
      <c r="M2550">
        <v>11</v>
      </c>
      <c r="N2550">
        <v>360</v>
      </c>
      <c r="O2550">
        <v>1</v>
      </c>
      <c r="P2550">
        <v>0</v>
      </c>
      <c r="Q2550" t="s">
        <v>44</v>
      </c>
      <c r="R2550">
        <v>144</v>
      </c>
      <c r="S2550" t="s">
        <v>44</v>
      </c>
      <c r="T2550" t="s">
        <v>44</v>
      </c>
      <c r="U2550" t="s">
        <v>44</v>
      </c>
      <c r="V2550">
        <v>0</v>
      </c>
      <c r="W2550" t="s">
        <v>44</v>
      </c>
      <c r="X2550" t="s">
        <v>44</v>
      </c>
      <c r="Y2550" t="s">
        <v>44</v>
      </c>
      <c r="Z2550" t="s">
        <v>44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</v>
      </c>
      <c r="AQ2550">
        <f t="shared" si="88"/>
        <v>1</v>
      </c>
      <c r="AR2550" s="5">
        <f>VLOOKUP(F2550,'[2]SCP_24-25'!$A:$D,4,0)</f>
        <v>96.77</v>
      </c>
      <c r="AS2550" s="5">
        <f t="shared" si="87"/>
        <v>96.77</v>
      </c>
    </row>
    <row r="2551" spans="1:45" x14ac:dyDescent="0.3">
      <c r="A2551" s="1">
        <v>45900.96597222222</v>
      </c>
      <c r="B2551" t="s">
        <v>1505</v>
      </c>
      <c r="C2551" t="s">
        <v>1506</v>
      </c>
      <c r="D2551" t="s">
        <v>100</v>
      </c>
      <c r="E2551" t="s">
        <v>101</v>
      </c>
      <c r="F2551" t="s">
        <v>1532</v>
      </c>
      <c r="G2551" t="s">
        <v>102</v>
      </c>
      <c r="H2551" t="s">
        <v>103</v>
      </c>
      <c r="I2551" t="s">
        <v>43</v>
      </c>
      <c r="J2551">
        <v>250</v>
      </c>
      <c r="K2551">
        <v>19</v>
      </c>
      <c r="L2551">
        <v>10</v>
      </c>
      <c r="M2551">
        <v>11</v>
      </c>
      <c r="N2551">
        <v>3599</v>
      </c>
      <c r="O2551">
        <v>5</v>
      </c>
      <c r="P2551">
        <v>0</v>
      </c>
      <c r="Q2551">
        <v>14</v>
      </c>
      <c r="R2551" t="s">
        <v>44</v>
      </c>
      <c r="S2551" t="s">
        <v>44</v>
      </c>
      <c r="T2551">
        <v>1</v>
      </c>
      <c r="U2551" t="s">
        <v>44</v>
      </c>
      <c r="V2551">
        <v>0</v>
      </c>
      <c r="W2551" t="s">
        <v>44</v>
      </c>
      <c r="X2551" t="s">
        <v>44</v>
      </c>
      <c r="Y2551" t="s">
        <v>44</v>
      </c>
      <c r="Z2551" t="s">
        <v>44</v>
      </c>
      <c r="AA2551">
        <v>1</v>
      </c>
      <c r="AB2551">
        <v>49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6</v>
      </c>
      <c r="AQ2551">
        <f t="shared" si="88"/>
        <v>6</v>
      </c>
      <c r="AR2551" s="5">
        <f>VLOOKUP(F2551,'[2]SCP_24-25'!$A:$D,4,0)</f>
        <v>50.854210526315775</v>
      </c>
      <c r="AS2551" s="5">
        <f t="shared" si="87"/>
        <v>305.12526315789466</v>
      </c>
    </row>
    <row r="2552" spans="1:45" x14ac:dyDescent="0.3">
      <c r="A2552" s="1">
        <v>45900.96597222222</v>
      </c>
      <c r="B2552" t="s">
        <v>1505</v>
      </c>
      <c r="C2552" t="s">
        <v>1506</v>
      </c>
      <c r="D2552" t="s">
        <v>104</v>
      </c>
      <c r="E2552" t="s">
        <v>105</v>
      </c>
      <c r="F2552" t="s">
        <v>1533</v>
      </c>
      <c r="G2552" t="s">
        <v>106</v>
      </c>
      <c r="H2552" t="s">
        <v>103</v>
      </c>
      <c r="I2552" t="s">
        <v>43</v>
      </c>
      <c r="J2552">
        <v>250</v>
      </c>
      <c r="K2552">
        <v>19</v>
      </c>
      <c r="L2552">
        <v>10</v>
      </c>
      <c r="M2552">
        <v>11</v>
      </c>
      <c r="N2552">
        <v>1848</v>
      </c>
      <c r="O2552">
        <v>4</v>
      </c>
      <c r="P2552">
        <v>0</v>
      </c>
      <c r="Q2552" t="s">
        <v>44</v>
      </c>
      <c r="R2552">
        <v>1</v>
      </c>
      <c r="S2552" t="s">
        <v>44</v>
      </c>
      <c r="T2552" t="s">
        <v>44</v>
      </c>
      <c r="U2552" t="s">
        <v>44</v>
      </c>
      <c r="V2552">
        <v>0</v>
      </c>
      <c r="W2552" t="s">
        <v>44</v>
      </c>
      <c r="X2552" t="s">
        <v>44</v>
      </c>
      <c r="Y2552" t="s">
        <v>44</v>
      </c>
      <c r="Z2552" t="s">
        <v>44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5</v>
      </c>
      <c r="AQ2552">
        <f t="shared" si="88"/>
        <v>5</v>
      </c>
      <c r="AR2552" s="5">
        <f>VLOOKUP(F2552,'[2]SCP_24-25'!$A:$D,4,0)</f>
        <v>49.06</v>
      </c>
      <c r="AS2552" s="5">
        <f t="shared" si="87"/>
        <v>245.3</v>
      </c>
    </row>
    <row r="2553" spans="1:45" x14ac:dyDescent="0.3">
      <c r="A2553" s="1">
        <v>45900.96597222222</v>
      </c>
      <c r="B2553" t="s">
        <v>1505</v>
      </c>
      <c r="C2553" t="s">
        <v>1506</v>
      </c>
      <c r="D2553" t="s">
        <v>347</v>
      </c>
      <c r="E2553" t="s">
        <v>345</v>
      </c>
      <c r="F2553" t="s">
        <v>1633</v>
      </c>
      <c r="G2553" t="s">
        <v>348</v>
      </c>
      <c r="H2553" t="s">
        <v>130</v>
      </c>
      <c r="I2553" t="s">
        <v>43</v>
      </c>
      <c r="J2553">
        <v>112.62</v>
      </c>
      <c r="K2553">
        <v>19</v>
      </c>
      <c r="L2553">
        <v>10</v>
      </c>
      <c r="M2553">
        <v>11</v>
      </c>
      <c r="N2553">
        <v>672</v>
      </c>
      <c r="O2553">
        <v>6</v>
      </c>
      <c r="P2553">
        <v>0</v>
      </c>
      <c r="Q2553">
        <v>1</v>
      </c>
      <c r="R2553" t="s">
        <v>44</v>
      </c>
      <c r="S2553" t="s">
        <v>44</v>
      </c>
      <c r="T2553" t="s">
        <v>44</v>
      </c>
      <c r="U2553" t="s">
        <v>44</v>
      </c>
      <c r="V2553">
        <v>0</v>
      </c>
      <c r="W2553" t="s">
        <v>44</v>
      </c>
      <c r="X2553" t="s">
        <v>44</v>
      </c>
      <c r="Y2553" t="s">
        <v>44</v>
      </c>
      <c r="Z2553" t="s">
        <v>44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6</v>
      </c>
      <c r="AQ2553">
        <f t="shared" si="88"/>
        <v>6</v>
      </c>
      <c r="AR2553" s="5">
        <f>VLOOKUP(F2553,'[2]SCP_24-25'!$A:$D,4,0)</f>
        <v>114.80999999999999</v>
      </c>
      <c r="AS2553" s="5">
        <f t="shared" si="87"/>
        <v>688.8599999999999</v>
      </c>
    </row>
    <row r="2554" spans="1:45" x14ac:dyDescent="0.3">
      <c r="A2554" s="1">
        <v>45900.96597222222</v>
      </c>
      <c r="B2554" t="s">
        <v>1505</v>
      </c>
      <c r="C2554" t="s">
        <v>1506</v>
      </c>
      <c r="D2554" t="s">
        <v>360</v>
      </c>
      <c r="E2554" t="s">
        <v>356</v>
      </c>
      <c r="F2554" t="s">
        <v>1639</v>
      </c>
      <c r="G2554" t="s">
        <v>361</v>
      </c>
      <c r="H2554" t="s">
        <v>130</v>
      </c>
      <c r="I2554" t="s">
        <v>43</v>
      </c>
      <c r="J2554">
        <v>81.42</v>
      </c>
      <c r="K2554">
        <v>19</v>
      </c>
      <c r="L2554">
        <v>10</v>
      </c>
      <c r="M2554">
        <v>11</v>
      </c>
      <c r="N2554">
        <v>288</v>
      </c>
      <c r="O2554">
        <v>1</v>
      </c>
      <c r="P2554">
        <v>0</v>
      </c>
      <c r="Q2554" t="s">
        <v>44</v>
      </c>
      <c r="R2554" t="s">
        <v>44</v>
      </c>
      <c r="S2554" t="s">
        <v>44</v>
      </c>
      <c r="T2554" t="s">
        <v>44</v>
      </c>
      <c r="U2554" t="s">
        <v>44</v>
      </c>
      <c r="V2554">
        <v>0</v>
      </c>
      <c r="W2554" t="s">
        <v>44</v>
      </c>
      <c r="X2554" t="s">
        <v>44</v>
      </c>
      <c r="Y2554" t="s">
        <v>44</v>
      </c>
      <c r="Z2554" t="s">
        <v>44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1</v>
      </c>
      <c r="AQ2554">
        <f t="shared" si="88"/>
        <v>1</v>
      </c>
      <c r="AR2554" s="5">
        <f>VLOOKUP(F2554,'[2]SCP_24-25'!$A:$D,4,0)</f>
        <v>83.14</v>
      </c>
      <c r="AS2554" s="5">
        <f t="shared" si="87"/>
        <v>83.14</v>
      </c>
    </row>
    <row r="2555" spans="1:45" x14ac:dyDescent="0.3">
      <c r="A2555" s="1">
        <v>45900.96597222222</v>
      </c>
      <c r="B2555" t="s">
        <v>1505</v>
      </c>
      <c r="C2555" t="s">
        <v>1506</v>
      </c>
      <c r="D2555" t="s">
        <v>376</v>
      </c>
      <c r="E2555" t="s">
        <v>368</v>
      </c>
      <c r="F2555" t="s">
        <v>1646</v>
      </c>
      <c r="G2555" t="s">
        <v>377</v>
      </c>
      <c r="H2555" t="s">
        <v>130</v>
      </c>
      <c r="I2555" t="s">
        <v>43</v>
      </c>
      <c r="J2555">
        <v>24.02</v>
      </c>
      <c r="K2555">
        <v>19</v>
      </c>
      <c r="L2555">
        <v>10</v>
      </c>
      <c r="M2555">
        <v>11</v>
      </c>
      <c r="N2555">
        <v>288</v>
      </c>
      <c r="O2555">
        <v>1</v>
      </c>
      <c r="P2555">
        <v>0</v>
      </c>
      <c r="Q2555" t="s">
        <v>44</v>
      </c>
      <c r="R2555">
        <v>72</v>
      </c>
      <c r="S2555" t="s">
        <v>44</v>
      </c>
      <c r="T2555" t="s">
        <v>44</v>
      </c>
      <c r="U2555" t="s">
        <v>44</v>
      </c>
      <c r="V2555">
        <v>0</v>
      </c>
      <c r="W2555" t="s">
        <v>44</v>
      </c>
      <c r="X2555" t="s">
        <v>44</v>
      </c>
      <c r="Y2555" t="s">
        <v>44</v>
      </c>
      <c r="Z2555" t="s">
        <v>44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</v>
      </c>
      <c r="AQ2555">
        <f t="shared" si="88"/>
        <v>1</v>
      </c>
      <c r="AR2555" s="5">
        <f>VLOOKUP(F2555,'[2]SCP_24-25'!$A:$D,4,0)</f>
        <v>78.760000000000005</v>
      </c>
      <c r="AS2555" s="5">
        <f t="shared" si="87"/>
        <v>78.760000000000005</v>
      </c>
    </row>
    <row r="2556" spans="1:45" x14ac:dyDescent="0.3">
      <c r="A2556" s="1">
        <v>45900.96597222222</v>
      </c>
      <c r="B2556" t="s">
        <v>1505</v>
      </c>
      <c r="C2556" t="s">
        <v>1506</v>
      </c>
      <c r="D2556" t="s">
        <v>403</v>
      </c>
      <c r="F2556" t="s">
        <v>1659</v>
      </c>
      <c r="G2556" t="s">
        <v>404</v>
      </c>
      <c r="H2556" t="s">
        <v>103</v>
      </c>
      <c r="I2556" t="s">
        <v>43</v>
      </c>
      <c r="J2556">
        <v>272.02</v>
      </c>
      <c r="K2556">
        <v>19</v>
      </c>
      <c r="L2556">
        <v>11</v>
      </c>
      <c r="M2556">
        <v>10</v>
      </c>
      <c r="N2556">
        <v>1296</v>
      </c>
      <c r="O2556">
        <v>4</v>
      </c>
      <c r="P2556">
        <v>0</v>
      </c>
      <c r="Q2556">
        <v>1</v>
      </c>
      <c r="R2556">
        <v>1</v>
      </c>
      <c r="S2556" t="s">
        <v>44</v>
      </c>
      <c r="T2556" t="s">
        <v>44</v>
      </c>
      <c r="U2556" t="s">
        <v>44</v>
      </c>
      <c r="V2556">
        <v>0</v>
      </c>
      <c r="W2556" t="s">
        <v>44</v>
      </c>
      <c r="X2556" t="s">
        <v>44</v>
      </c>
      <c r="Y2556" t="s">
        <v>44</v>
      </c>
      <c r="Z2556" t="s">
        <v>44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4</v>
      </c>
      <c r="AQ2556">
        <f t="shared" si="88"/>
        <v>4</v>
      </c>
      <c r="AR2556" s="5">
        <f>VLOOKUP(F2556,'[2]SCP_24-25'!$A:$D,4,0)</f>
        <v>231.99</v>
      </c>
      <c r="AS2556" s="5">
        <f t="shared" si="87"/>
        <v>927.96</v>
      </c>
    </row>
    <row r="2557" spans="1:45" x14ac:dyDescent="0.3">
      <c r="A2557" s="1">
        <v>45900.96597222222</v>
      </c>
      <c r="B2557" t="s">
        <v>1505</v>
      </c>
      <c r="C2557" t="s">
        <v>1506</v>
      </c>
      <c r="D2557" t="s">
        <v>1337</v>
      </c>
      <c r="F2557" t="s">
        <v>2118</v>
      </c>
      <c r="G2557" t="s">
        <v>1338</v>
      </c>
      <c r="H2557" t="s">
        <v>103</v>
      </c>
      <c r="I2557" t="s">
        <v>43</v>
      </c>
      <c r="J2557">
        <v>217.02</v>
      </c>
      <c r="K2557">
        <v>19</v>
      </c>
      <c r="L2557">
        <v>10</v>
      </c>
      <c r="M2557">
        <v>11</v>
      </c>
      <c r="N2557">
        <v>8663</v>
      </c>
      <c r="O2557">
        <v>46</v>
      </c>
      <c r="P2557">
        <v>0</v>
      </c>
      <c r="Q2557">
        <v>16</v>
      </c>
      <c r="R2557">
        <v>6</v>
      </c>
      <c r="S2557">
        <v>1</v>
      </c>
      <c r="T2557">
        <v>1</v>
      </c>
      <c r="U2557" t="s">
        <v>44</v>
      </c>
      <c r="V2557">
        <v>0</v>
      </c>
      <c r="W2557" t="s">
        <v>44</v>
      </c>
      <c r="X2557" t="s">
        <v>44</v>
      </c>
      <c r="Y2557" t="s">
        <v>44</v>
      </c>
      <c r="Z2557" t="s">
        <v>44</v>
      </c>
      <c r="AA2557">
        <v>3</v>
      </c>
      <c r="AB2557">
        <v>2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49</v>
      </c>
      <c r="AQ2557">
        <f t="shared" si="88"/>
        <v>49</v>
      </c>
      <c r="AR2557" s="5">
        <f>VLOOKUP(F2557,'[2]SCP_24-25'!$A:$D,4,0)</f>
        <v>60.216666666666661</v>
      </c>
      <c r="AS2557" s="5">
        <f t="shared" si="87"/>
        <v>2950.6166666666663</v>
      </c>
    </row>
    <row r="2558" spans="1:45" x14ac:dyDescent="0.3">
      <c r="A2558" s="1">
        <v>45900.96597222222</v>
      </c>
      <c r="B2558" t="s">
        <v>1505</v>
      </c>
      <c r="C2558" t="s">
        <v>1506</v>
      </c>
      <c r="D2558" t="s">
        <v>1113</v>
      </c>
      <c r="F2558" t="s">
        <v>2006</v>
      </c>
      <c r="G2558" t="s">
        <v>1114</v>
      </c>
      <c r="H2558" t="s">
        <v>130</v>
      </c>
      <c r="I2558" t="s">
        <v>43</v>
      </c>
      <c r="J2558">
        <v>40.020000000000003</v>
      </c>
      <c r="K2558">
        <v>19</v>
      </c>
      <c r="L2558">
        <v>10</v>
      </c>
      <c r="M2558">
        <v>11</v>
      </c>
      <c r="N2558">
        <v>192</v>
      </c>
      <c r="O2558">
        <v>1</v>
      </c>
      <c r="P2558">
        <v>0</v>
      </c>
      <c r="Q2558" t="s">
        <v>44</v>
      </c>
      <c r="R2558" t="s">
        <v>44</v>
      </c>
      <c r="S2558" t="s">
        <v>44</v>
      </c>
      <c r="T2558" t="s">
        <v>44</v>
      </c>
      <c r="U2558" t="s">
        <v>44</v>
      </c>
      <c r="V2558">
        <v>0</v>
      </c>
      <c r="W2558" t="s">
        <v>44</v>
      </c>
      <c r="X2558" t="s">
        <v>44</v>
      </c>
      <c r="Y2558" t="s">
        <v>44</v>
      </c>
      <c r="Z2558" t="s">
        <v>44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1</v>
      </c>
      <c r="AQ2558">
        <f t="shared" si="88"/>
        <v>1</v>
      </c>
      <c r="AR2558" s="5">
        <f>VLOOKUP(F2558,'[2]SCP_24-25'!$A:$D,4,0)</f>
        <v>98.3</v>
      </c>
      <c r="AS2558" s="5">
        <f t="shared" si="87"/>
        <v>98.3</v>
      </c>
    </row>
    <row r="2559" spans="1:45" x14ac:dyDescent="0.3">
      <c r="A2559" s="1">
        <v>45900.96597222222</v>
      </c>
      <c r="B2559" t="s">
        <v>1505</v>
      </c>
      <c r="C2559" t="s">
        <v>1506</v>
      </c>
      <c r="D2559" t="s">
        <v>1193</v>
      </c>
      <c r="F2559" t="s">
        <v>2046</v>
      </c>
      <c r="G2559" t="s">
        <v>1194</v>
      </c>
      <c r="H2559" t="s">
        <v>130</v>
      </c>
      <c r="I2559" t="s">
        <v>43</v>
      </c>
      <c r="J2559">
        <v>32</v>
      </c>
      <c r="K2559">
        <v>19</v>
      </c>
      <c r="L2559">
        <v>10</v>
      </c>
      <c r="M2559">
        <v>11</v>
      </c>
      <c r="N2559">
        <v>288</v>
      </c>
      <c r="O2559">
        <v>2</v>
      </c>
      <c r="P2559">
        <v>0</v>
      </c>
      <c r="Q2559" t="s">
        <v>44</v>
      </c>
      <c r="R2559" t="s">
        <v>44</v>
      </c>
      <c r="S2559" t="s">
        <v>44</v>
      </c>
      <c r="T2559" t="s">
        <v>44</v>
      </c>
      <c r="U2559" t="s">
        <v>44</v>
      </c>
      <c r="V2559">
        <v>0</v>
      </c>
      <c r="W2559" t="s">
        <v>44</v>
      </c>
      <c r="X2559" t="s">
        <v>44</v>
      </c>
      <c r="Y2559" t="s">
        <v>44</v>
      </c>
      <c r="Z2559" t="s">
        <v>44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2</v>
      </c>
      <c r="AQ2559">
        <f t="shared" si="88"/>
        <v>2</v>
      </c>
      <c r="AR2559" s="5">
        <f>VLOOKUP(F2559,'[2]SCP_24-25'!$A:$D,4,0)</f>
        <v>96.2</v>
      </c>
      <c r="AS2559" s="5">
        <f t="shared" si="87"/>
        <v>192.4</v>
      </c>
    </row>
    <row r="2560" spans="1:45" x14ac:dyDescent="0.3">
      <c r="A2560" s="1">
        <v>45900.96597222222</v>
      </c>
      <c r="B2560" t="s">
        <v>1505</v>
      </c>
      <c r="C2560" t="s">
        <v>1506</v>
      </c>
      <c r="D2560" t="s">
        <v>409</v>
      </c>
      <c r="F2560" t="s">
        <v>1662</v>
      </c>
      <c r="G2560" t="s">
        <v>410</v>
      </c>
      <c r="H2560" t="s">
        <v>103</v>
      </c>
      <c r="I2560" t="s">
        <v>43</v>
      </c>
      <c r="J2560">
        <v>100.52</v>
      </c>
      <c r="K2560">
        <v>19</v>
      </c>
      <c r="L2560">
        <v>11</v>
      </c>
      <c r="M2560">
        <v>10</v>
      </c>
      <c r="N2560">
        <v>540</v>
      </c>
      <c r="O2560">
        <v>4</v>
      </c>
      <c r="P2560">
        <v>0</v>
      </c>
      <c r="Q2560">
        <v>1</v>
      </c>
      <c r="R2560">
        <v>36</v>
      </c>
      <c r="S2560" t="s">
        <v>44</v>
      </c>
      <c r="T2560" t="s">
        <v>44</v>
      </c>
      <c r="U2560" t="s">
        <v>44</v>
      </c>
      <c r="V2560">
        <v>0</v>
      </c>
      <c r="W2560" t="s">
        <v>44</v>
      </c>
      <c r="X2560" t="s">
        <v>44</v>
      </c>
      <c r="Y2560" t="s">
        <v>44</v>
      </c>
      <c r="Z2560" t="s">
        <v>44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4</v>
      </c>
      <c r="AQ2560">
        <f t="shared" si="88"/>
        <v>4</v>
      </c>
      <c r="AR2560" s="5">
        <f>VLOOKUP(F2560,'[2]SCP_24-25'!$A:$D,4,0)</f>
        <v>71.81</v>
      </c>
      <c r="AS2560" s="5">
        <f t="shared" si="87"/>
        <v>287.24</v>
      </c>
    </row>
    <row r="2561" spans="1:45" x14ac:dyDescent="0.3">
      <c r="A2561" s="1">
        <v>45900.96597222222</v>
      </c>
      <c r="B2561" t="s">
        <v>1505</v>
      </c>
      <c r="C2561" t="s">
        <v>1506</v>
      </c>
      <c r="D2561" t="s">
        <v>558</v>
      </c>
      <c r="F2561" t="s">
        <v>1733</v>
      </c>
      <c r="G2561" t="s">
        <v>559</v>
      </c>
      <c r="H2561" t="s">
        <v>66</v>
      </c>
      <c r="I2561" t="s">
        <v>415</v>
      </c>
      <c r="J2561">
        <v>100</v>
      </c>
      <c r="K2561">
        <v>19</v>
      </c>
      <c r="L2561">
        <v>10</v>
      </c>
      <c r="M2561">
        <v>11</v>
      </c>
      <c r="N2561">
        <v>959</v>
      </c>
      <c r="O2561">
        <v>2</v>
      </c>
      <c r="P2561">
        <v>0</v>
      </c>
      <c r="Q2561" t="s">
        <v>44</v>
      </c>
      <c r="R2561">
        <v>1</v>
      </c>
      <c r="S2561" t="s">
        <v>44</v>
      </c>
      <c r="T2561">
        <v>1</v>
      </c>
      <c r="U2561" t="s">
        <v>44</v>
      </c>
      <c r="V2561">
        <v>0</v>
      </c>
      <c r="W2561" t="s">
        <v>44</v>
      </c>
      <c r="X2561" t="s">
        <v>44</v>
      </c>
      <c r="Y2561" t="s">
        <v>44</v>
      </c>
      <c r="Z2561" t="s">
        <v>44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2</v>
      </c>
      <c r="AQ2561">
        <f t="shared" si="88"/>
        <v>2</v>
      </c>
      <c r="AR2561" s="5">
        <f>VLOOKUP(F2561,'[2]SCP_24-25'!$A:$D,4,0)</f>
        <v>64.38</v>
      </c>
      <c r="AS2561" s="5">
        <f t="shared" si="87"/>
        <v>128.76</v>
      </c>
    </row>
    <row r="2562" spans="1:45" x14ac:dyDescent="0.3">
      <c r="A2562" s="1">
        <v>45900.96597222222</v>
      </c>
      <c r="B2562" t="s">
        <v>1505</v>
      </c>
      <c r="C2562" t="s">
        <v>1506</v>
      </c>
      <c r="D2562" t="s">
        <v>473</v>
      </c>
      <c r="F2562" t="s">
        <v>1691</v>
      </c>
      <c r="G2562" t="s">
        <v>474</v>
      </c>
      <c r="H2562" t="s">
        <v>103</v>
      </c>
      <c r="I2562" t="s">
        <v>415</v>
      </c>
      <c r="J2562">
        <v>200</v>
      </c>
      <c r="K2562">
        <v>19</v>
      </c>
      <c r="L2562">
        <v>10</v>
      </c>
      <c r="M2562">
        <v>11</v>
      </c>
      <c r="N2562">
        <v>2016</v>
      </c>
      <c r="O2562">
        <v>7</v>
      </c>
      <c r="P2562">
        <v>0</v>
      </c>
      <c r="Q2562">
        <v>2</v>
      </c>
      <c r="R2562" t="s">
        <v>44</v>
      </c>
      <c r="S2562" t="s">
        <v>44</v>
      </c>
      <c r="T2562" t="s">
        <v>44</v>
      </c>
      <c r="U2562" t="s">
        <v>44</v>
      </c>
      <c r="V2562">
        <v>0</v>
      </c>
      <c r="W2562" t="s">
        <v>44</v>
      </c>
      <c r="X2562" t="s">
        <v>44</v>
      </c>
      <c r="Y2562" t="s">
        <v>44</v>
      </c>
      <c r="Z2562" t="s">
        <v>44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8</v>
      </c>
      <c r="AQ2562">
        <f t="shared" si="88"/>
        <v>8</v>
      </c>
      <c r="AR2562" s="5">
        <f>VLOOKUP(F2562,'[2]SCP_24-25'!$A:$D,4,0)</f>
        <v>40.409999999999997</v>
      </c>
      <c r="AS2562" s="5">
        <f t="shared" si="87"/>
        <v>323.27999999999997</v>
      </c>
    </row>
    <row r="2563" spans="1:45" x14ac:dyDescent="0.3">
      <c r="A2563" s="1">
        <v>45900.96597222222</v>
      </c>
      <c r="B2563" t="s">
        <v>1505</v>
      </c>
      <c r="C2563" t="s">
        <v>1506</v>
      </c>
      <c r="D2563" t="s">
        <v>167</v>
      </c>
      <c r="F2563" t="s">
        <v>1561</v>
      </c>
      <c r="G2563" t="s">
        <v>168</v>
      </c>
      <c r="H2563" t="s">
        <v>103</v>
      </c>
      <c r="I2563" t="s">
        <v>43</v>
      </c>
      <c r="J2563">
        <v>228.22</v>
      </c>
      <c r="K2563">
        <v>19</v>
      </c>
      <c r="L2563">
        <v>11</v>
      </c>
      <c r="M2563">
        <v>9.5</v>
      </c>
      <c r="N2563">
        <v>592</v>
      </c>
      <c r="O2563">
        <v>2</v>
      </c>
      <c r="P2563">
        <v>0</v>
      </c>
      <c r="Q2563" t="s">
        <v>44</v>
      </c>
      <c r="R2563">
        <v>213</v>
      </c>
      <c r="S2563" t="s">
        <v>44</v>
      </c>
      <c r="T2563">
        <v>4</v>
      </c>
      <c r="U2563" t="s">
        <v>44</v>
      </c>
      <c r="V2563">
        <v>93</v>
      </c>
      <c r="W2563" t="s">
        <v>44</v>
      </c>
      <c r="X2563" t="s">
        <v>44</v>
      </c>
      <c r="Y2563">
        <v>93</v>
      </c>
      <c r="Z2563" t="s">
        <v>44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95</v>
      </c>
      <c r="AQ2563">
        <f t="shared" si="88"/>
        <v>95</v>
      </c>
      <c r="AR2563" s="5">
        <f>VLOOKUP(F2563,'[2]SCP_24-25'!$A:$D,4,0)</f>
        <v>75.010000000000005</v>
      </c>
      <c r="AS2563" s="5">
        <f t="shared" ref="AS2563:AS2626" si="89">AQ2563*AR2563</f>
        <v>7125.9500000000007</v>
      </c>
    </row>
    <row r="2564" spans="1:45" x14ac:dyDescent="0.3">
      <c r="A2564" s="1">
        <v>45900.96597222222</v>
      </c>
      <c r="B2564" t="s">
        <v>1505</v>
      </c>
      <c r="C2564" t="s">
        <v>1506</v>
      </c>
      <c r="D2564" t="s">
        <v>169</v>
      </c>
      <c r="F2564" t="s">
        <v>1562</v>
      </c>
      <c r="G2564" t="s">
        <v>170</v>
      </c>
      <c r="H2564" t="s">
        <v>66</v>
      </c>
      <c r="I2564" t="s">
        <v>43</v>
      </c>
      <c r="J2564">
        <v>89.29</v>
      </c>
      <c r="K2564">
        <v>19</v>
      </c>
      <c r="L2564">
        <v>11</v>
      </c>
      <c r="M2564">
        <v>9.5</v>
      </c>
      <c r="N2564">
        <v>288</v>
      </c>
      <c r="O2564">
        <v>0</v>
      </c>
      <c r="P2564">
        <v>0</v>
      </c>
      <c r="Q2564" t="s">
        <v>44</v>
      </c>
      <c r="R2564">
        <v>145</v>
      </c>
      <c r="S2564" t="s">
        <v>44</v>
      </c>
      <c r="T2564" t="s">
        <v>44</v>
      </c>
      <c r="U2564" t="s">
        <v>44</v>
      </c>
      <c r="V2564">
        <v>1</v>
      </c>
      <c r="W2564" t="s">
        <v>44</v>
      </c>
      <c r="X2564" t="s">
        <v>44</v>
      </c>
      <c r="Y2564">
        <v>1</v>
      </c>
      <c r="Z2564" t="s">
        <v>44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Q2564">
        <f t="shared" si="88"/>
        <v>1</v>
      </c>
      <c r="AR2564" s="5">
        <f>VLOOKUP(F2564,'[2]SCP_24-25'!$A:$D,4,0)</f>
        <v>121.49</v>
      </c>
      <c r="AS2564" s="5">
        <f t="shared" si="89"/>
        <v>121.49</v>
      </c>
    </row>
    <row r="2565" spans="1:45" x14ac:dyDescent="0.3">
      <c r="A2565" s="1">
        <v>45900.96597222222</v>
      </c>
      <c r="B2565" t="s">
        <v>1505</v>
      </c>
      <c r="C2565" t="s">
        <v>1506</v>
      </c>
      <c r="D2565" t="s">
        <v>171</v>
      </c>
      <c r="F2565" t="s">
        <v>1563</v>
      </c>
      <c r="G2565" t="s">
        <v>172</v>
      </c>
      <c r="H2565" t="s">
        <v>66</v>
      </c>
      <c r="I2565" t="s">
        <v>43</v>
      </c>
      <c r="J2565">
        <v>99.85</v>
      </c>
      <c r="K2565">
        <v>19</v>
      </c>
      <c r="L2565">
        <v>9.5</v>
      </c>
      <c r="M2565">
        <v>11</v>
      </c>
      <c r="N2565">
        <v>936</v>
      </c>
      <c r="O2565">
        <v>4</v>
      </c>
      <c r="P2565">
        <v>0</v>
      </c>
      <c r="Q2565" t="s">
        <v>44</v>
      </c>
      <c r="R2565" t="s">
        <v>44</v>
      </c>
      <c r="S2565" t="s">
        <v>44</v>
      </c>
      <c r="T2565" t="s">
        <v>44</v>
      </c>
      <c r="U2565" t="s">
        <v>44</v>
      </c>
      <c r="V2565">
        <v>28</v>
      </c>
      <c r="W2565" t="s">
        <v>44</v>
      </c>
      <c r="X2565" t="s">
        <v>44</v>
      </c>
      <c r="Y2565">
        <v>28</v>
      </c>
      <c r="Z2565" t="s">
        <v>44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32</v>
      </c>
      <c r="AQ2565">
        <f t="shared" si="88"/>
        <v>32</v>
      </c>
      <c r="AR2565" s="5">
        <f>VLOOKUP(F2565,'[2]SCP_24-25'!$A:$D,4,0)</f>
        <v>75.69</v>
      </c>
      <c r="AS2565" s="5">
        <f t="shared" si="89"/>
        <v>2422.08</v>
      </c>
    </row>
    <row r="2566" spans="1:45" x14ac:dyDescent="0.3">
      <c r="A2566" s="1">
        <v>45900.96597222222</v>
      </c>
      <c r="B2566" t="s">
        <v>1505</v>
      </c>
      <c r="C2566" t="s">
        <v>1506</v>
      </c>
      <c r="D2566" t="s">
        <v>197</v>
      </c>
      <c r="E2566" t="s">
        <v>198</v>
      </c>
      <c r="F2566" t="s">
        <v>1576</v>
      </c>
      <c r="G2566" t="s">
        <v>199</v>
      </c>
      <c r="H2566" t="s">
        <v>66</v>
      </c>
      <c r="I2566" t="s">
        <v>43</v>
      </c>
      <c r="J2566">
        <v>100</v>
      </c>
      <c r="K2566">
        <v>19</v>
      </c>
      <c r="L2566">
        <v>9.5</v>
      </c>
      <c r="M2566">
        <v>11</v>
      </c>
      <c r="N2566">
        <v>786</v>
      </c>
      <c r="O2566">
        <v>1</v>
      </c>
      <c r="P2566">
        <v>0</v>
      </c>
      <c r="Q2566" t="s">
        <v>44</v>
      </c>
      <c r="R2566">
        <v>72</v>
      </c>
      <c r="S2566" t="s">
        <v>44</v>
      </c>
      <c r="T2566">
        <v>6</v>
      </c>
      <c r="U2566" t="s">
        <v>44</v>
      </c>
      <c r="V2566">
        <v>2</v>
      </c>
      <c r="W2566" t="s">
        <v>44</v>
      </c>
      <c r="X2566" t="s">
        <v>44</v>
      </c>
      <c r="Y2566">
        <v>2</v>
      </c>
      <c r="Z2566" t="s">
        <v>44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3</v>
      </c>
      <c r="AQ2566">
        <f t="shared" si="88"/>
        <v>3</v>
      </c>
      <c r="AR2566" s="5">
        <f>VLOOKUP(F2566,'[2]SCP_24-25'!$A:$D,4,0)</f>
        <v>63.26</v>
      </c>
      <c r="AS2566" s="5">
        <f t="shared" si="89"/>
        <v>189.78</v>
      </c>
    </row>
    <row r="2567" spans="1:45" x14ac:dyDescent="0.3">
      <c r="A2567" s="1">
        <v>45900.96597222222</v>
      </c>
      <c r="B2567" t="s">
        <v>1505</v>
      </c>
      <c r="C2567" t="s">
        <v>1506</v>
      </c>
      <c r="D2567" t="s">
        <v>203</v>
      </c>
      <c r="F2567" t="s">
        <v>1578</v>
      </c>
      <c r="G2567" t="s">
        <v>204</v>
      </c>
      <c r="H2567" t="s">
        <v>66</v>
      </c>
      <c r="I2567" t="s">
        <v>43</v>
      </c>
      <c r="J2567">
        <v>37</v>
      </c>
      <c r="K2567">
        <v>19</v>
      </c>
      <c r="L2567">
        <v>9.5</v>
      </c>
      <c r="M2567">
        <v>11</v>
      </c>
      <c r="N2567">
        <v>2000</v>
      </c>
      <c r="O2567">
        <v>1</v>
      </c>
      <c r="P2567">
        <v>0</v>
      </c>
      <c r="Q2567" t="s">
        <v>44</v>
      </c>
      <c r="R2567" t="s">
        <v>44</v>
      </c>
      <c r="S2567" t="s">
        <v>44</v>
      </c>
      <c r="T2567" t="s">
        <v>44</v>
      </c>
      <c r="U2567" t="s">
        <v>44</v>
      </c>
      <c r="V2567">
        <v>10</v>
      </c>
      <c r="W2567" t="s">
        <v>44</v>
      </c>
      <c r="X2567" t="s">
        <v>44</v>
      </c>
      <c r="Y2567">
        <v>10</v>
      </c>
      <c r="Z2567" t="s">
        <v>44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11</v>
      </c>
      <c r="AQ2567">
        <f t="shared" si="88"/>
        <v>11</v>
      </c>
      <c r="AR2567" s="5">
        <f>VLOOKUP(F2567,'[2]SCP_24-25'!$A:$D,4,0)</f>
        <v>19.899999999999999</v>
      </c>
      <c r="AS2567" s="5">
        <f t="shared" si="89"/>
        <v>218.89999999999998</v>
      </c>
    </row>
    <row r="2568" spans="1:45" x14ac:dyDescent="0.3">
      <c r="A2568" s="1">
        <v>45900.96597222222</v>
      </c>
      <c r="B2568" t="s">
        <v>1505</v>
      </c>
      <c r="C2568" t="s">
        <v>1506</v>
      </c>
      <c r="D2568" t="s">
        <v>222</v>
      </c>
      <c r="F2568" t="s">
        <v>1586</v>
      </c>
      <c r="G2568" t="s">
        <v>223</v>
      </c>
      <c r="H2568" t="s">
        <v>66</v>
      </c>
      <c r="I2568" t="s">
        <v>43</v>
      </c>
      <c r="J2568">
        <v>91</v>
      </c>
      <c r="K2568">
        <v>19</v>
      </c>
      <c r="L2568">
        <v>10</v>
      </c>
      <c r="M2568">
        <v>11</v>
      </c>
      <c r="N2568">
        <v>72</v>
      </c>
      <c r="O2568">
        <v>0</v>
      </c>
      <c r="P2568">
        <v>0</v>
      </c>
      <c r="Q2568" t="s">
        <v>44</v>
      </c>
      <c r="R2568" t="s">
        <v>44</v>
      </c>
      <c r="S2568" t="s">
        <v>44</v>
      </c>
      <c r="T2568" t="s">
        <v>44</v>
      </c>
      <c r="U2568" t="s">
        <v>44</v>
      </c>
      <c r="V2568">
        <v>33</v>
      </c>
      <c r="W2568" t="s">
        <v>44</v>
      </c>
      <c r="X2568" t="s">
        <v>44</v>
      </c>
      <c r="Y2568">
        <v>33</v>
      </c>
      <c r="Z2568" t="s">
        <v>44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33</v>
      </c>
      <c r="AQ2568">
        <f t="shared" ref="AQ2568:AQ2631" si="90">O2568+P2568+V2568+AA2568</f>
        <v>33</v>
      </c>
      <c r="AR2568" s="5">
        <f>VLOOKUP(F2568,'[2]SCP_24-25'!$A:$D,4,0)</f>
        <v>60.73</v>
      </c>
      <c r="AS2568" s="5">
        <f t="shared" si="89"/>
        <v>2004.09</v>
      </c>
    </row>
    <row r="2569" spans="1:45" x14ac:dyDescent="0.3">
      <c r="A2569" s="1">
        <v>45900.96597222222</v>
      </c>
      <c r="B2569" t="s">
        <v>1505</v>
      </c>
      <c r="C2569" t="s">
        <v>1506</v>
      </c>
      <c r="D2569" t="s">
        <v>239</v>
      </c>
      <c r="E2569" t="s">
        <v>240</v>
      </c>
      <c r="F2569" t="s">
        <v>1594</v>
      </c>
      <c r="G2569" t="s">
        <v>241</v>
      </c>
      <c r="H2569" t="s">
        <v>66</v>
      </c>
      <c r="I2569" t="s">
        <v>43</v>
      </c>
      <c r="J2569">
        <v>35</v>
      </c>
      <c r="K2569">
        <v>19</v>
      </c>
      <c r="L2569">
        <v>11</v>
      </c>
      <c r="M2569">
        <v>9.5</v>
      </c>
      <c r="N2569">
        <v>400</v>
      </c>
      <c r="O2569">
        <v>2</v>
      </c>
      <c r="P2569">
        <v>0</v>
      </c>
      <c r="Q2569" t="s">
        <v>44</v>
      </c>
      <c r="R2569">
        <v>200</v>
      </c>
      <c r="S2569" t="s">
        <v>44</v>
      </c>
      <c r="T2569" t="s">
        <v>44</v>
      </c>
      <c r="U2569" t="s">
        <v>44</v>
      </c>
      <c r="V2569">
        <v>1</v>
      </c>
      <c r="W2569" t="s">
        <v>44</v>
      </c>
      <c r="X2569" t="s">
        <v>44</v>
      </c>
      <c r="Y2569">
        <v>1</v>
      </c>
      <c r="Z2569" t="s">
        <v>44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3</v>
      </c>
      <c r="AQ2569">
        <f t="shared" si="90"/>
        <v>3</v>
      </c>
      <c r="AR2569" s="5">
        <f>VLOOKUP(F2569,'[2]SCP_24-25'!$A:$D,4,0)</f>
        <v>31.31</v>
      </c>
      <c r="AS2569" s="5">
        <f t="shared" si="89"/>
        <v>93.929999999999993</v>
      </c>
    </row>
    <row r="2570" spans="1:45" x14ac:dyDescent="0.3">
      <c r="A2570" s="1">
        <v>45900.96597222222</v>
      </c>
      <c r="B2570" t="s">
        <v>1505</v>
      </c>
      <c r="C2570" t="s">
        <v>1506</v>
      </c>
      <c r="D2570" t="s">
        <v>269</v>
      </c>
      <c r="E2570" t="s">
        <v>270</v>
      </c>
      <c r="F2570" t="s">
        <v>1604</v>
      </c>
      <c r="G2570" t="s">
        <v>271</v>
      </c>
      <c r="H2570" t="s">
        <v>66</v>
      </c>
      <c r="I2570" t="s">
        <v>43</v>
      </c>
      <c r="J2570">
        <v>90</v>
      </c>
      <c r="K2570">
        <v>19</v>
      </c>
      <c r="L2570">
        <v>11</v>
      </c>
      <c r="M2570">
        <v>9.5</v>
      </c>
      <c r="N2570">
        <v>144</v>
      </c>
      <c r="O2570">
        <v>0</v>
      </c>
      <c r="P2570">
        <v>0</v>
      </c>
      <c r="Q2570" t="s">
        <v>44</v>
      </c>
      <c r="R2570">
        <v>72</v>
      </c>
      <c r="S2570" t="s">
        <v>44</v>
      </c>
      <c r="T2570" t="s">
        <v>44</v>
      </c>
      <c r="U2570" t="s">
        <v>44</v>
      </c>
      <c r="V2570">
        <v>72</v>
      </c>
      <c r="W2570" t="s">
        <v>44</v>
      </c>
      <c r="X2570" t="s">
        <v>44</v>
      </c>
      <c r="Y2570">
        <v>72</v>
      </c>
      <c r="Z2570" t="s">
        <v>44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72</v>
      </c>
      <c r="AQ2570">
        <f t="shared" si="90"/>
        <v>72</v>
      </c>
      <c r="AR2570" s="5">
        <f>VLOOKUP(F2570,'[2]SCP_24-25'!$A:$D,4,0)</f>
        <v>52.11</v>
      </c>
      <c r="AS2570" s="5">
        <f t="shared" si="89"/>
        <v>3751.92</v>
      </c>
    </row>
    <row r="2571" spans="1:45" x14ac:dyDescent="0.3">
      <c r="A2571" s="1">
        <v>45900.96597222222</v>
      </c>
      <c r="B2571" t="s">
        <v>1505</v>
      </c>
      <c r="C2571" t="s">
        <v>1506</v>
      </c>
      <c r="D2571" t="s">
        <v>286</v>
      </c>
      <c r="E2571" t="s">
        <v>287</v>
      </c>
      <c r="F2571" t="s">
        <v>1610</v>
      </c>
      <c r="G2571" t="s">
        <v>288</v>
      </c>
      <c r="H2571" t="s">
        <v>66</v>
      </c>
      <c r="I2571" t="s">
        <v>43</v>
      </c>
      <c r="J2571">
        <v>122.02</v>
      </c>
      <c r="K2571">
        <v>19</v>
      </c>
      <c r="L2571">
        <v>9.5</v>
      </c>
      <c r="M2571">
        <v>11</v>
      </c>
      <c r="N2571">
        <v>90</v>
      </c>
      <c r="O2571">
        <v>1</v>
      </c>
      <c r="P2571">
        <v>0</v>
      </c>
      <c r="Q2571" t="s">
        <v>44</v>
      </c>
      <c r="R2571" t="s">
        <v>44</v>
      </c>
      <c r="S2571" t="s">
        <v>44</v>
      </c>
      <c r="T2571" t="s">
        <v>44</v>
      </c>
      <c r="U2571" t="s">
        <v>44</v>
      </c>
      <c r="V2571">
        <v>16</v>
      </c>
      <c r="W2571" t="s">
        <v>44</v>
      </c>
      <c r="X2571" t="s">
        <v>44</v>
      </c>
      <c r="Y2571">
        <v>16</v>
      </c>
      <c r="Z2571" t="s">
        <v>44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17</v>
      </c>
      <c r="AQ2571">
        <f t="shared" si="90"/>
        <v>17</v>
      </c>
      <c r="AR2571" s="5">
        <f>VLOOKUP(F2571,'[2]SCP_24-25'!$A:$D,4,0)</f>
        <v>79.260000000000005</v>
      </c>
      <c r="AS2571" s="5">
        <f t="shared" si="89"/>
        <v>1347.42</v>
      </c>
    </row>
    <row r="2572" spans="1:45" x14ac:dyDescent="0.3">
      <c r="A2572" s="1">
        <v>45900.96597222222</v>
      </c>
      <c r="B2572" t="s">
        <v>1505</v>
      </c>
      <c r="C2572" t="s">
        <v>1506</v>
      </c>
      <c r="D2572" t="s">
        <v>289</v>
      </c>
      <c r="E2572" t="s">
        <v>290</v>
      </c>
      <c r="F2572" t="s">
        <v>1611</v>
      </c>
      <c r="G2572" t="s">
        <v>291</v>
      </c>
      <c r="H2572" t="s">
        <v>103</v>
      </c>
      <c r="I2572" t="s">
        <v>43</v>
      </c>
      <c r="J2572">
        <v>138.99</v>
      </c>
      <c r="K2572">
        <v>19</v>
      </c>
      <c r="L2572">
        <v>9.5</v>
      </c>
      <c r="M2572">
        <v>11</v>
      </c>
      <c r="N2572">
        <v>307</v>
      </c>
      <c r="O2572">
        <v>3</v>
      </c>
      <c r="P2572">
        <v>0</v>
      </c>
      <c r="Q2572" t="s">
        <v>44</v>
      </c>
      <c r="R2572">
        <v>19</v>
      </c>
      <c r="S2572" t="s">
        <v>44</v>
      </c>
      <c r="T2572" t="s">
        <v>44</v>
      </c>
      <c r="U2572" t="s">
        <v>44</v>
      </c>
      <c r="V2572">
        <v>19</v>
      </c>
      <c r="W2572" t="s">
        <v>44</v>
      </c>
      <c r="X2572" t="s">
        <v>44</v>
      </c>
      <c r="Y2572">
        <v>19</v>
      </c>
      <c r="Z2572" t="s">
        <v>44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22</v>
      </c>
      <c r="AQ2572">
        <f t="shared" si="90"/>
        <v>22</v>
      </c>
      <c r="AR2572" s="5">
        <f>VLOOKUP(F2572,'[2]SCP_24-25'!$A:$D,4,0)</f>
        <v>99.63</v>
      </c>
      <c r="AS2572" s="5">
        <f t="shared" si="89"/>
        <v>2191.8599999999997</v>
      </c>
    </row>
    <row r="2573" spans="1:45" x14ac:dyDescent="0.3">
      <c r="A2573" s="1">
        <v>45900.96597222222</v>
      </c>
      <c r="B2573" t="s">
        <v>1505</v>
      </c>
      <c r="C2573" t="s">
        <v>1506</v>
      </c>
      <c r="D2573" t="s">
        <v>54</v>
      </c>
      <c r="E2573" t="s">
        <v>55</v>
      </c>
      <c r="F2573" t="s">
        <v>1517</v>
      </c>
      <c r="G2573" t="s">
        <v>56</v>
      </c>
      <c r="H2573" t="s">
        <v>42</v>
      </c>
      <c r="I2573" t="s">
        <v>43</v>
      </c>
      <c r="J2573">
        <v>200</v>
      </c>
      <c r="K2573">
        <v>19</v>
      </c>
      <c r="L2573">
        <v>9.5</v>
      </c>
      <c r="M2573">
        <v>11</v>
      </c>
      <c r="N2573">
        <v>407</v>
      </c>
      <c r="O2573">
        <v>2</v>
      </c>
      <c r="P2573">
        <v>0</v>
      </c>
      <c r="Q2573" t="s">
        <v>44</v>
      </c>
      <c r="R2573">
        <v>119</v>
      </c>
      <c r="S2573" t="s">
        <v>44</v>
      </c>
      <c r="T2573" t="s">
        <v>44</v>
      </c>
      <c r="U2573" t="s">
        <v>44</v>
      </c>
      <c r="V2573">
        <v>77</v>
      </c>
      <c r="W2573" t="s">
        <v>44</v>
      </c>
      <c r="X2573" t="s">
        <v>44</v>
      </c>
      <c r="Y2573">
        <v>77</v>
      </c>
      <c r="Z2573" t="s">
        <v>44</v>
      </c>
      <c r="AA2573">
        <v>0</v>
      </c>
      <c r="AB2573">
        <v>4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79</v>
      </c>
      <c r="AQ2573">
        <f t="shared" si="90"/>
        <v>79</v>
      </c>
      <c r="AR2573" s="5">
        <f>VLOOKUP(F2573,'[2]SCP_24-25'!$A:$D,4,0)</f>
        <v>116.69999999999999</v>
      </c>
      <c r="AS2573" s="5">
        <f t="shared" si="89"/>
        <v>9219.2999999999993</v>
      </c>
    </row>
    <row r="2574" spans="1:45" x14ac:dyDescent="0.3">
      <c r="A2574" s="1">
        <v>45900.96597222222</v>
      </c>
      <c r="B2574" t="s">
        <v>1505</v>
      </c>
      <c r="C2574" t="s">
        <v>1506</v>
      </c>
      <c r="D2574" t="s">
        <v>85</v>
      </c>
      <c r="E2574" t="s">
        <v>86</v>
      </c>
      <c r="F2574" t="s">
        <v>1527</v>
      </c>
      <c r="G2574" t="s">
        <v>87</v>
      </c>
      <c r="H2574" t="s">
        <v>66</v>
      </c>
      <c r="I2574" t="s">
        <v>43</v>
      </c>
      <c r="J2574">
        <v>100</v>
      </c>
      <c r="K2574">
        <v>19</v>
      </c>
      <c r="L2574">
        <v>9.5</v>
      </c>
      <c r="M2574">
        <v>11</v>
      </c>
      <c r="N2574">
        <v>48</v>
      </c>
      <c r="O2574">
        <v>0</v>
      </c>
      <c r="P2574">
        <v>0</v>
      </c>
      <c r="Q2574" t="s">
        <v>44</v>
      </c>
      <c r="R2574" t="s">
        <v>44</v>
      </c>
      <c r="S2574" t="s">
        <v>44</v>
      </c>
      <c r="T2574" t="s">
        <v>44</v>
      </c>
      <c r="U2574" t="s">
        <v>44</v>
      </c>
      <c r="V2574">
        <v>40</v>
      </c>
      <c r="W2574" t="s">
        <v>44</v>
      </c>
      <c r="X2574" t="s">
        <v>44</v>
      </c>
      <c r="Y2574">
        <v>40</v>
      </c>
      <c r="Z2574" t="s">
        <v>44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40</v>
      </c>
      <c r="AQ2574">
        <f t="shared" si="90"/>
        <v>40</v>
      </c>
      <c r="AR2574" s="5">
        <f>VLOOKUP(F2574,'[2]SCP_24-25'!$A:$D,4,0)</f>
        <v>105.05000000000001</v>
      </c>
      <c r="AS2574" s="5">
        <f t="shared" si="89"/>
        <v>4202</v>
      </c>
    </row>
    <row r="2575" spans="1:45" x14ac:dyDescent="0.3">
      <c r="A2575" s="1">
        <v>45900.96597222222</v>
      </c>
      <c r="B2575" t="s">
        <v>1505</v>
      </c>
      <c r="C2575" t="s">
        <v>1506</v>
      </c>
      <c r="D2575" t="s">
        <v>326</v>
      </c>
      <c r="F2575" t="s">
        <v>1625</v>
      </c>
      <c r="G2575" t="s">
        <v>327</v>
      </c>
      <c r="H2575" t="s">
        <v>66</v>
      </c>
      <c r="I2575" t="s">
        <v>43</v>
      </c>
      <c r="J2575">
        <v>40</v>
      </c>
      <c r="K2575">
        <v>19</v>
      </c>
      <c r="L2575">
        <v>11</v>
      </c>
      <c r="M2575">
        <v>9.5</v>
      </c>
      <c r="N2575">
        <v>2000</v>
      </c>
      <c r="O2575">
        <v>1</v>
      </c>
      <c r="P2575">
        <v>0</v>
      </c>
      <c r="Q2575" t="s">
        <v>44</v>
      </c>
      <c r="R2575" t="s">
        <v>44</v>
      </c>
      <c r="S2575" t="s">
        <v>44</v>
      </c>
      <c r="T2575" t="s">
        <v>44</v>
      </c>
      <c r="U2575" t="s">
        <v>44</v>
      </c>
      <c r="V2575">
        <v>49</v>
      </c>
      <c r="W2575" t="s">
        <v>44</v>
      </c>
      <c r="X2575" t="s">
        <v>44</v>
      </c>
      <c r="Y2575">
        <v>49</v>
      </c>
      <c r="Z2575" t="s">
        <v>44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50</v>
      </c>
      <c r="AQ2575">
        <f t="shared" si="90"/>
        <v>50</v>
      </c>
      <c r="AR2575" s="5">
        <f>VLOOKUP(F2575,'[2]SCP_24-25'!$A:$D,4,0)</f>
        <v>15.920000000000002</v>
      </c>
      <c r="AS2575" s="5">
        <f t="shared" si="89"/>
        <v>796.00000000000011</v>
      </c>
    </row>
    <row r="2576" spans="1:45" x14ac:dyDescent="0.3">
      <c r="A2576" s="1">
        <v>45900.96597222222</v>
      </c>
      <c r="B2576" t="s">
        <v>1505</v>
      </c>
      <c r="C2576" t="s">
        <v>1506</v>
      </c>
      <c r="D2576" t="s">
        <v>895</v>
      </c>
      <c r="E2576" t="s">
        <v>332</v>
      </c>
      <c r="F2576" t="s">
        <v>1898</v>
      </c>
      <c r="G2576" t="s">
        <v>896</v>
      </c>
      <c r="H2576" t="s">
        <v>130</v>
      </c>
      <c r="I2576" t="s">
        <v>43</v>
      </c>
      <c r="J2576">
        <v>12.92</v>
      </c>
      <c r="K2576">
        <v>19</v>
      </c>
      <c r="L2576">
        <v>10</v>
      </c>
      <c r="M2576">
        <v>11</v>
      </c>
      <c r="N2576">
        <v>5</v>
      </c>
      <c r="O2576">
        <v>0</v>
      </c>
      <c r="P2576">
        <v>0</v>
      </c>
      <c r="Q2576" t="s">
        <v>44</v>
      </c>
      <c r="R2576" t="s">
        <v>44</v>
      </c>
      <c r="S2576" t="s">
        <v>44</v>
      </c>
      <c r="T2576" t="s">
        <v>44</v>
      </c>
      <c r="U2576" t="s">
        <v>44</v>
      </c>
      <c r="V2576">
        <v>1</v>
      </c>
      <c r="W2576" t="s">
        <v>44</v>
      </c>
      <c r="X2576" t="s">
        <v>44</v>
      </c>
      <c r="Y2576">
        <v>1</v>
      </c>
      <c r="Z2576" t="s">
        <v>44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Q2576">
        <f t="shared" si="90"/>
        <v>1</v>
      </c>
      <c r="AR2576" s="5">
        <f>VLOOKUP(F2576,'[2]SCP_24-25'!$A:$D,4,0)</f>
        <v>50.4</v>
      </c>
      <c r="AS2576" s="5">
        <f t="shared" si="89"/>
        <v>50.4</v>
      </c>
    </row>
    <row r="2577" spans="1:45" x14ac:dyDescent="0.3">
      <c r="A2577" s="1">
        <v>45900.96597222222</v>
      </c>
      <c r="B2577" t="s">
        <v>1505</v>
      </c>
      <c r="C2577" t="s">
        <v>1506</v>
      </c>
      <c r="D2577" t="s">
        <v>331</v>
      </c>
      <c r="E2577" t="s">
        <v>332</v>
      </c>
      <c r="F2577" t="s">
        <v>1627</v>
      </c>
      <c r="G2577" t="s">
        <v>333</v>
      </c>
      <c r="H2577" t="s">
        <v>130</v>
      </c>
      <c r="I2577" t="s">
        <v>43</v>
      </c>
      <c r="J2577">
        <v>12</v>
      </c>
      <c r="K2577">
        <v>19</v>
      </c>
      <c r="L2577">
        <v>10</v>
      </c>
      <c r="M2577">
        <v>11</v>
      </c>
      <c r="N2577">
        <v>17</v>
      </c>
      <c r="O2577">
        <v>0</v>
      </c>
      <c r="P2577">
        <v>0</v>
      </c>
      <c r="Q2577" t="s">
        <v>44</v>
      </c>
      <c r="R2577" t="s">
        <v>44</v>
      </c>
      <c r="S2577" t="s">
        <v>44</v>
      </c>
      <c r="T2577" t="s">
        <v>44</v>
      </c>
      <c r="U2577" t="s">
        <v>44</v>
      </c>
      <c r="V2577">
        <v>13</v>
      </c>
      <c r="W2577" t="s">
        <v>44</v>
      </c>
      <c r="X2577" t="s">
        <v>44</v>
      </c>
      <c r="Y2577">
        <v>13</v>
      </c>
      <c r="Z2577" t="s">
        <v>44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13</v>
      </c>
      <c r="AQ2577">
        <f t="shared" si="90"/>
        <v>13</v>
      </c>
      <c r="AR2577" s="5">
        <f>VLOOKUP(F2577,'[2]SCP_24-25'!$A:$D,4,0)</f>
        <v>63.22</v>
      </c>
      <c r="AS2577" s="5">
        <f t="shared" si="89"/>
        <v>821.86</v>
      </c>
    </row>
    <row r="2578" spans="1:45" x14ac:dyDescent="0.3">
      <c r="A2578" s="1">
        <v>45900.96597222222</v>
      </c>
      <c r="B2578" t="s">
        <v>1505</v>
      </c>
      <c r="C2578" t="s">
        <v>1506</v>
      </c>
      <c r="D2578" t="s">
        <v>516</v>
      </c>
      <c r="E2578" t="s">
        <v>332</v>
      </c>
      <c r="F2578" t="s">
        <v>1712</v>
      </c>
      <c r="G2578" t="s">
        <v>517</v>
      </c>
      <c r="H2578" t="s">
        <v>130</v>
      </c>
      <c r="I2578" t="s">
        <v>43</v>
      </c>
      <c r="J2578">
        <v>12.92</v>
      </c>
      <c r="K2578">
        <v>19</v>
      </c>
      <c r="L2578">
        <v>10</v>
      </c>
      <c r="M2578">
        <v>11</v>
      </c>
      <c r="N2578">
        <v>15</v>
      </c>
      <c r="O2578">
        <v>0</v>
      </c>
      <c r="P2578">
        <v>0</v>
      </c>
      <c r="Q2578" t="s">
        <v>44</v>
      </c>
      <c r="R2578" t="s">
        <v>44</v>
      </c>
      <c r="S2578" t="s">
        <v>44</v>
      </c>
      <c r="T2578" t="s">
        <v>44</v>
      </c>
      <c r="U2578" t="s">
        <v>44</v>
      </c>
      <c r="V2578">
        <v>8</v>
      </c>
      <c r="W2578" t="s">
        <v>44</v>
      </c>
      <c r="X2578" t="s">
        <v>44</v>
      </c>
      <c r="Y2578">
        <v>8</v>
      </c>
      <c r="Z2578" t="s">
        <v>44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8</v>
      </c>
      <c r="AQ2578">
        <f t="shared" si="90"/>
        <v>8</v>
      </c>
      <c r="AR2578" s="5">
        <f>VLOOKUP(F2578,'[2]SCP_24-25'!$A:$D,4,0)</f>
        <v>53.64</v>
      </c>
      <c r="AS2578" s="5">
        <f t="shared" si="89"/>
        <v>429.12</v>
      </c>
    </row>
    <row r="2579" spans="1:45" x14ac:dyDescent="0.3">
      <c r="A2579" s="1">
        <v>45900.96597222222</v>
      </c>
      <c r="B2579" t="s">
        <v>1505</v>
      </c>
      <c r="C2579" t="s">
        <v>1506</v>
      </c>
      <c r="D2579" t="s">
        <v>344</v>
      </c>
      <c r="E2579" t="s">
        <v>345</v>
      </c>
      <c r="F2579" t="s">
        <v>1632</v>
      </c>
      <c r="G2579" t="s">
        <v>346</v>
      </c>
      <c r="H2579" t="s">
        <v>130</v>
      </c>
      <c r="I2579" t="s">
        <v>43</v>
      </c>
      <c r="J2579">
        <v>112.62</v>
      </c>
      <c r="K2579">
        <v>19</v>
      </c>
      <c r="L2579">
        <v>10</v>
      </c>
      <c r="M2579">
        <v>11</v>
      </c>
      <c r="N2579">
        <v>576</v>
      </c>
      <c r="O2579">
        <v>6</v>
      </c>
      <c r="P2579">
        <v>0</v>
      </c>
      <c r="Q2579" t="s">
        <v>44</v>
      </c>
      <c r="R2579" t="s">
        <v>44</v>
      </c>
      <c r="S2579" t="s">
        <v>44</v>
      </c>
      <c r="T2579" t="s">
        <v>44</v>
      </c>
      <c r="U2579" t="s">
        <v>44</v>
      </c>
      <c r="V2579">
        <v>34</v>
      </c>
      <c r="W2579" t="s">
        <v>44</v>
      </c>
      <c r="X2579" t="s">
        <v>44</v>
      </c>
      <c r="Y2579">
        <v>34</v>
      </c>
      <c r="Z2579" t="s">
        <v>44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40</v>
      </c>
      <c r="AQ2579">
        <f t="shared" si="90"/>
        <v>40</v>
      </c>
      <c r="AR2579" s="5">
        <f>VLOOKUP(F2579,'[2]SCP_24-25'!$A:$D,4,0)</f>
        <v>114.81</v>
      </c>
      <c r="AS2579" s="5">
        <f t="shared" si="89"/>
        <v>4592.3999999999996</v>
      </c>
    </row>
    <row r="2580" spans="1:45" x14ac:dyDescent="0.3">
      <c r="A2580" s="1">
        <v>45900.96597222222</v>
      </c>
      <c r="B2580" t="s">
        <v>1505</v>
      </c>
      <c r="C2580" t="s">
        <v>1506</v>
      </c>
      <c r="D2580" t="s">
        <v>351</v>
      </c>
      <c r="E2580" t="s">
        <v>345</v>
      </c>
      <c r="F2580" t="s">
        <v>1635</v>
      </c>
      <c r="G2580" t="s">
        <v>352</v>
      </c>
      <c r="H2580" t="s">
        <v>130</v>
      </c>
      <c r="I2580" t="s">
        <v>43</v>
      </c>
      <c r="J2580">
        <v>112.62</v>
      </c>
      <c r="K2580">
        <v>19</v>
      </c>
      <c r="L2580">
        <v>10</v>
      </c>
      <c r="M2580">
        <v>11</v>
      </c>
      <c r="N2580">
        <v>288</v>
      </c>
      <c r="O2580">
        <v>6</v>
      </c>
      <c r="P2580">
        <v>0</v>
      </c>
      <c r="Q2580" t="s">
        <v>44</v>
      </c>
      <c r="R2580" t="s">
        <v>44</v>
      </c>
      <c r="S2580" t="s">
        <v>44</v>
      </c>
      <c r="T2580" t="s">
        <v>44</v>
      </c>
      <c r="U2580" t="s">
        <v>44</v>
      </c>
      <c r="V2580">
        <v>78</v>
      </c>
      <c r="W2580" t="s">
        <v>44</v>
      </c>
      <c r="X2580" t="s">
        <v>44</v>
      </c>
      <c r="Y2580">
        <v>78</v>
      </c>
      <c r="Z2580" t="s">
        <v>44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84</v>
      </c>
      <c r="AQ2580">
        <f t="shared" si="90"/>
        <v>84</v>
      </c>
      <c r="AR2580" s="5">
        <f>VLOOKUP(F2580,'[2]SCP_24-25'!$A:$D,4,0)</f>
        <v>114.81</v>
      </c>
      <c r="AS2580" s="5">
        <f t="shared" si="89"/>
        <v>9644.0400000000009</v>
      </c>
    </row>
    <row r="2581" spans="1:45" x14ac:dyDescent="0.3">
      <c r="A2581" s="1">
        <v>45900.96597222222</v>
      </c>
      <c r="B2581" t="s">
        <v>1505</v>
      </c>
      <c r="C2581" t="s">
        <v>1506</v>
      </c>
      <c r="D2581" t="s">
        <v>355</v>
      </c>
      <c r="E2581" t="s">
        <v>356</v>
      </c>
      <c r="F2581" t="s">
        <v>1637</v>
      </c>
      <c r="G2581" t="s">
        <v>357</v>
      </c>
      <c r="H2581" t="s">
        <v>130</v>
      </c>
      <c r="I2581" t="s">
        <v>43</v>
      </c>
      <c r="J2581">
        <v>81.42</v>
      </c>
      <c r="K2581">
        <v>19</v>
      </c>
      <c r="L2581">
        <v>10</v>
      </c>
      <c r="M2581">
        <v>11</v>
      </c>
      <c r="N2581">
        <v>288</v>
      </c>
      <c r="O2581">
        <v>2</v>
      </c>
      <c r="P2581">
        <v>0</v>
      </c>
      <c r="Q2581" t="s">
        <v>44</v>
      </c>
      <c r="R2581" t="s">
        <v>44</v>
      </c>
      <c r="S2581" t="s">
        <v>44</v>
      </c>
      <c r="T2581" t="s">
        <v>44</v>
      </c>
      <c r="U2581" t="s">
        <v>44</v>
      </c>
      <c r="V2581">
        <v>29</v>
      </c>
      <c r="W2581" t="s">
        <v>44</v>
      </c>
      <c r="X2581" t="s">
        <v>44</v>
      </c>
      <c r="Y2581">
        <v>29</v>
      </c>
      <c r="Z2581" t="s">
        <v>44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31</v>
      </c>
      <c r="AQ2581">
        <f t="shared" si="90"/>
        <v>31</v>
      </c>
      <c r="AR2581" s="5">
        <f>VLOOKUP(F2581,'[2]SCP_24-25'!$A:$D,4,0)</f>
        <v>83.14</v>
      </c>
      <c r="AS2581" s="5">
        <f t="shared" si="89"/>
        <v>2577.34</v>
      </c>
    </row>
    <row r="2582" spans="1:45" x14ac:dyDescent="0.3">
      <c r="A2582" s="1">
        <v>45900.96597222222</v>
      </c>
      <c r="B2582" t="s">
        <v>1505</v>
      </c>
      <c r="C2582" t="s">
        <v>1506</v>
      </c>
      <c r="D2582" t="s">
        <v>362</v>
      </c>
      <c r="E2582" t="s">
        <v>356</v>
      </c>
      <c r="F2582" t="s">
        <v>1640</v>
      </c>
      <c r="G2582" t="s">
        <v>363</v>
      </c>
      <c r="H2582" t="s">
        <v>130</v>
      </c>
      <c r="I2582" t="s">
        <v>43</v>
      </c>
      <c r="J2582">
        <v>81.42</v>
      </c>
      <c r="K2582">
        <v>19</v>
      </c>
      <c r="L2582">
        <v>10</v>
      </c>
      <c r="M2582">
        <v>11</v>
      </c>
      <c r="N2582">
        <v>192</v>
      </c>
      <c r="O2582">
        <v>1</v>
      </c>
      <c r="P2582">
        <v>0</v>
      </c>
      <c r="Q2582" t="s">
        <v>44</v>
      </c>
      <c r="R2582">
        <v>96</v>
      </c>
      <c r="S2582" t="s">
        <v>44</v>
      </c>
      <c r="T2582" t="s">
        <v>44</v>
      </c>
      <c r="U2582" t="s">
        <v>44</v>
      </c>
      <c r="V2582">
        <v>17</v>
      </c>
      <c r="W2582" t="s">
        <v>44</v>
      </c>
      <c r="X2582" t="s">
        <v>44</v>
      </c>
      <c r="Y2582">
        <v>17</v>
      </c>
      <c r="Z2582" t="s">
        <v>44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18</v>
      </c>
      <c r="AQ2582">
        <f t="shared" si="90"/>
        <v>18</v>
      </c>
      <c r="AR2582" s="5">
        <f>VLOOKUP(F2582,'[2]SCP_24-25'!$A:$D,4,0)</f>
        <v>83.14</v>
      </c>
      <c r="AS2582" s="5">
        <f t="shared" si="89"/>
        <v>1496.52</v>
      </c>
    </row>
    <row r="2583" spans="1:45" x14ac:dyDescent="0.3">
      <c r="A2583" s="1">
        <v>45900.96597222222</v>
      </c>
      <c r="B2583" t="s">
        <v>1505</v>
      </c>
      <c r="C2583" t="s">
        <v>1506</v>
      </c>
      <c r="D2583" t="s">
        <v>367</v>
      </c>
      <c r="E2583" t="s">
        <v>368</v>
      </c>
      <c r="F2583" t="s">
        <v>1642</v>
      </c>
      <c r="G2583" t="s">
        <v>369</v>
      </c>
      <c r="H2583" t="s">
        <v>130</v>
      </c>
      <c r="I2583" t="s">
        <v>43</v>
      </c>
      <c r="J2583">
        <v>24.02</v>
      </c>
      <c r="K2583">
        <v>19</v>
      </c>
      <c r="L2583">
        <v>10</v>
      </c>
      <c r="M2583">
        <v>11</v>
      </c>
      <c r="N2583">
        <v>156</v>
      </c>
      <c r="O2583">
        <v>0</v>
      </c>
      <c r="P2583">
        <v>0</v>
      </c>
      <c r="Q2583" t="s">
        <v>44</v>
      </c>
      <c r="R2583">
        <v>72</v>
      </c>
      <c r="S2583" t="s">
        <v>44</v>
      </c>
      <c r="T2583" t="s">
        <v>44</v>
      </c>
      <c r="U2583" t="s">
        <v>44</v>
      </c>
      <c r="V2583">
        <v>1</v>
      </c>
      <c r="W2583" t="s">
        <v>44</v>
      </c>
      <c r="X2583" t="s">
        <v>44</v>
      </c>
      <c r="Y2583">
        <v>1</v>
      </c>
      <c r="Z2583" t="s">
        <v>44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1</v>
      </c>
      <c r="AQ2583">
        <f t="shared" si="90"/>
        <v>1</v>
      </c>
      <c r="AR2583" s="5">
        <f>VLOOKUP(F2583,'[2]SCP_24-25'!$A:$D,4,0)</f>
        <v>77.84</v>
      </c>
      <c r="AS2583" s="5">
        <f t="shared" si="89"/>
        <v>77.84</v>
      </c>
    </row>
    <row r="2584" spans="1:45" x14ac:dyDescent="0.3">
      <c r="A2584" s="1">
        <v>45900.96597222222</v>
      </c>
      <c r="B2584" t="s">
        <v>1505</v>
      </c>
      <c r="C2584" t="s">
        <v>1506</v>
      </c>
      <c r="D2584" t="s">
        <v>370</v>
      </c>
      <c r="E2584" t="s">
        <v>368</v>
      </c>
      <c r="F2584" t="s">
        <v>1643</v>
      </c>
      <c r="G2584" t="s">
        <v>371</v>
      </c>
      <c r="H2584" t="s">
        <v>130</v>
      </c>
      <c r="I2584" t="s">
        <v>43</v>
      </c>
      <c r="J2584">
        <v>24.02</v>
      </c>
      <c r="K2584">
        <v>19</v>
      </c>
      <c r="L2584">
        <v>10</v>
      </c>
      <c r="M2584">
        <v>11</v>
      </c>
      <c r="N2584">
        <v>288</v>
      </c>
      <c r="O2584">
        <v>0</v>
      </c>
      <c r="P2584">
        <v>0</v>
      </c>
      <c r="Q2584" t="s">
        <v>44</v>
      </c>
      <c r="R2584">
        <v>144</v>
      </c>
      <c r="S2584" t="s">
        <v>44</v>
      </c>
      <c r="T2584" t="s">
        <v>44</v>
      </c>
      <c r="U2584" t="s">
        <v>44</v>
      </c>
      <c r="V2584">
        <v>37</v>
      </c>
      <c r="W2584" t="s">
        <v>44</v>
      </c>
      <c r="X2584" t="s">
        <v>44</v>
      </c>
      <c r="Y2584">
        <v>37</v>
      </c>
      <c r="Z2584" t="s">
        <v>44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37</v>
      </c>
      <c r="AQ2584">
        <f t="shared" si="90"/>
        <v>37</v>
      </c>
      <c r="AR2584" s="5">
        <f>VLOOKUP(F2584,'[2]SCP_24-25'!$A:$D,4,0)</f>
        <v>77.84</v>
      </c>
      <c r="AS2584" s="5">
        <f t="shared" si="89"/>
        <v>2880.08</v>
      </c>
    </row>
    <row r="2585" spans="1:45" x14ac:dyDescent="0.3">
      <c r="A2585" s="1">
        <v>45900.96597222222</v>
      </c>
      <c r="B2585" t="s">
        <v>1505</v>
      </c>
      <c r="C2585" t="s">
        <v>1506</v>
      </c>
      <c r="D2585" t="s">
        <v>372</v>
      </c>
      <c r="E2585" t="s">
        <v>368</v>
      </c>
      <c r="F2585" t="s">
        <v>1644</v>
      </c>
      <c r="G2585" t="s">
        <v>373</v>
      </c>
      <c r="H2585" t="s">
        <v>130</v>
      </c>
      <c r="I2585" t="s">
        <v>43</v>
      </c>
      <c r="J2585">
        <v>24.02</v>
      </c>
      <c r="K2585">
        <v>19</v>
      </c>
      <c r="L2585">
        <v>10</v>
      </c>
      <c r="M2585">
        <v>11</v>
      </c>
      <c r="N2585">
        <v>144</v>
      </c>
      <c r="O2585">
        <v>0</v>
      </c>
      <c r="P2585">
        <v>0</v>
      </c>
      <c r="Q2585" t="s">
        <v>44</v>
      </c>
      <c r="R2585" t="s">
        <v>44</v>
      </c>
      <c r="S2585" t="s">
        <v>44</v>
      </c>
      <c r="T2585" t="s">
        <v>44</v>
      </c>
      <c r="U2585" t="s">
        <v>44</v>
      </c>
      <c r="V2585">
        <v>8</v>
      </c>
      <c r="W2585" t="s">
        <v>44</v>
      </c>
      <c r="X2585" t="s">
        <v>44</v>
      </c>
      <c r="Y2585">
        <v>8</v>
      </c>
      <c r="Z2585" t="s">
        <v>44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8</v>
      </c>
      <c r="AQ2585">
        <f t="shared" si="90"/>
        <v>8</v>
      </c>
      <c r="AR2585" s="5">
        <f>VLOOKUP(F2585,'[2]SCP_24-25'!$A:$D,4,0)</f>
        <v>78.575999999999993</v>
      </c>
      <c r="AS2585" s="5">
        <f t="shared" si="89"/>
        <v>628.60799999999995</v>
      </c>
    </row>
    <row r="2586" spans="1:45" x14ac:dyDescent="0.3">
      <c r="A2586" s="1">
        <v>45900.96597222222</v>
      </c>
      <c r="B2586" t="s">
        <v>1505</v>
      </c>
      <c r="C2586" t="s">
        <v>1506</v>
      </c>
      <c r="D2586" t="s">
        <v>374</v>
      </c>
      <c r="E2586" t="s">
        <v>368</v>
      </c>
      <c r="F2586" t="s">
        <v>1645</v>
      </c>
      <c r="G2586" t="s">
        <v>375</v>
      </c>
      <c r="H2586" t="s">
        <v>130</v>
      </c>
      <c r="I2586" t="s">
        <v>43</v>
      </c>
      <c r="J2586">
        <v>24.02</v>
      </c>
      <c r="K2586">
        <v>19</v>
      </c>
      <c r="L2586">
        <v>10</v>
      </c>
      <c r="M2586">
        <v>11</v>
      </c>
      <c r="N2586">
        <v>144</v>
      </c>
      <c r="O2586">
        <v>0</v>
      </c>
      <c r="P2586">
        <v>0</v>
      </c>
      <c r="Q2586" t="s">
        <v>44</v>
      </c>
      <c r="R2586">
        <v>72</v>
      </c>
      <c r="S2586" t="s">
        <v>44</v>
      </c>
      <c r="T2586" t="s">
        <v>44</v>
      </c>
      <c r="U2586" t="s">
        <v>44</v>
      </c>
      <c r="V2586">
        <v>1</v>
      </c>
      <c r="W2586" t="s">
        <v>44</v>
      </c>
      <c r="X2586" t="s">
        <v>44</v>
      </c>
      <c r="Y2586">
        <v>1</v>
      </c>
      <c r="Z2586" t="s">
        <v>44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1</v>
      </c>
      <c r="AQ2586">
        <f t="shared" si="90"/>
        <v>1</v>
      </c>
      <c r="AR2586" s="5">
        <f>VLOOKUP(F2586,'[2]SCP_24-25'!$A:$D,4,0)</f>
        <v>78.453333333333333</v>
      </c>
      <c r="AS2586" s="5">
        <f t="shared" si="89"/>
        <v>78.453333333333333</v>
      </c>
    </row>
    <row r="2587" spans="1:45" x14ac:dyDescent="0.3">
      <c r="A2587" s="1">
        <v>45900.96597222222</v>
      </c>
      <c r="B2587" t="s">
        <v>1505</v>
      </c>
      <c r="C2587" t="s">
        <v>1506</v>
      </c>
      <c r="D2587" t="s">
        <v>390</v>
      </c>
      <c r="E2587" t="s">
        <v>368</v>
      </c>
      <c r="F2587" t="s">
        <v>1653</v>
      </c>
      <c r="G2587" t="s">
        <v>391</v>
      </c>
      <c r="H2587" t="s">
        <v>130</v>
      </c>
      <c r="I2587" t="s">
        <v>43</v>
      </c>
      <c r="J2587">
        <v>24.02</v>
      </c>
      <c r="K2587">
        <v>19</v>
      </c>
      <c r="L2587">
        <v>10</v>
      </c>
      <c r="M2587">
        <v>11</v>
      </c>
      <c r="N2587">
        <v>144</v>
      </c>
      <c r="O2587">
        <v>0</v>
      </c>
      <c r="P2587">
        <v>0</v>
      </c>
      <c r="Q2587" t="s">
        <v>44</v>
      </c>
      <c r="R2587">
        <v>72</v>
      </c>
      <c r="S2587" t="s">
        <v>44</v>
      </c>
      <c r="T2587" t="s">
        <v>44</v>
      </c>
      <c r="U2587" t="s">
        <v>44</v>
      </c>
      <c r="V2587">
        <v>26</v>
      </c>
      <c r="W2587" t="s">
        <v>44</v>
      </c>
      <c r="X2587" t="s">
        <v>44</v>
      </c>
      <c r="Y2587">
        <v>26</v>
      </c>
      <c r="Z2587" t="s">
        <v>44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26</v>
      </c>
      <c r="AQ2587">
        <f t="shared" si="90"/>
        <v>26</v>
      </c>
      <c r="AR2587" s="5">
        <f>VLOOKUP(F2587,'[2]SCP_24-25'!$A:$D,4,0)</f>
        <v>77.84</v>
      </c>
      <c r="AS2587" s="5">
        <f t="shared" si="89"/>
        <v>2023.8400000000001</v>
      </c>
    </row>
    <row r="2588" spans="1:45" x14ac:dyDescent="0.3">
      <c r="A2588" s="1">
        <v>45900.96597222222</v>
      </c>
      <c r="B2588" t="s">
        <v>1505</v>
      </c>
      <c r="C2588" t="s">
        <v>1506</v>
      </c>
      <c r="D2588" t="s">
        <v>392</v>
      </c>
      <c r="E2588" t="s">
        <v>368</v>
      </c>
      <c r="F2588" t="s">
        <v>1654</v>
      </c>
      <c r="G2588" t="s">
        <v>393</v>
      </c>
      <c r="H2588" t="s">
        <v>130</v>
      </c>
      <c r="I2588" t="s">
        <v>43</v>
      </c>
      <c r="J2588">
        <v>24.02</v>
      </c>
      <c r="K2588">
        <v>19</v>
      </c>
      <c r="L2588">
        <v>10</v>
      </c>
      <c r="M2588">
        <v>11</v>
      </c>
      <c r="N2588">
        <v>12</v>
      </c>
      <c r="O2588">
        <v>0</v>
      </c>
      <c r="P2588">
        <v>0</v>
      </c>
      <c r="Q2588" t="s">
        <v>44</v>
      </c>
      <c r="R2588" t="s">
        <v>44</v>
      </c>
      <c r="S2588" t="s">
        <v>44</v>
      </c>
      <c r="T2588" t="s">
        <v>44</v>
      </c>
      <c r="U2588" t="s">
        <v>44</v>
      </c>
      <c r="V2588">
        <v>12</v>
      </c>
      <c r="W2588" t="s">
        <v>44</v>
      </c>
      <c r="X2588" t="s">
        <v>44</v>
      </c>
      <c r="Y2588">
        <v>12</v>
      </c>
      <c r="Z2588" t="s">
        <v>44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12</v>
      </c>
      <c r="AQ2588">
        <f t="shared" si="90"/>
        <v>12</v>
      </c>
      <c r="AR2588" s="5">
        <f>VLOOKUP(F2588,'[2]SCP_24-25'!$A:$D,4,0)</f>
        <v>79.679999999999993</v>
      </c>
      <c r="AS2588" s="5">
        <f t="shared" si="89"/>
        <v>956.15999999999985</v>
      </c>
    </row>
    <row r="2589" spans="1:45" x14ac:dyDescent="0.3">
      <c r="A2589" s="1">
        <v>45900.96597222222</v>
      </c>
      <c r="B2589" t="s">
        <v>1505</v>
      </c>
      <c r="C2589" t="s">
        <v>1506</v>
      </c>
      <c r="D2589" t="s">
        <v>785</v>
      </c>
      <c r="F2589" t="s">
        <v>1844</v>
      </c>
      <c r="G2589" t="s">
        <v>786</v>
      </c>
      <c r="H2589" t="s">
        <v>66</v>
      </c>
      <c r="I2589" t="s">
        <v>43</v>
      </c>
      <c r="J2589">
        <v>61.92</v>
      </c>
      <c r="K2589">
        <v>19</v>
      </c>
      <c r="L2589">
        <v>10</v>
      </c>
      <c r="M2589">
        <v>11</v>
      </c>
      <c r="N2589">
        <v>144</v>
      </c>
      <c r="O2589">
        <v>0</v>
      </c>
      <c r="P2589">
        <v>0</v>
      </c>
      <c r="Q2589" t="s">
        <v>44</v>
      </c>
      <c r="R2589">
        <v>72</v>
      </c>
      <c r="S2589" t="s">
        <v>44</v>
      </c>
      <c r="T2589" t="s">
        <v>44</v>
      </c>
      <c r="U2589" t="s">
        <v>44</v>
      </c>
      <c r="V2589">
        <v>72</v>
      </c>
      <c r="W2589" t="s">
        <v>44</v>
      </c>
      <c r="X2589" t="s">
        <v>44</v>
      </c>
      <c r="Y2589">
        <v>72</v>
      </c>
      <c r="Z2589" t="s">
        <v>44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72</v>
      </c>
      <c r="AQ2589">
        <f t="shared" si="90"/>
        <v>72</v>
      </c>
      <c r="AR2589" s="5">
        <f>VLOOKUP(F2589,'[2]SCP_24-25'!$A:$D,4,0)</f>
        <v>23.39</v>
      </c>
      <c r="AS2589" s="5">
        <f t="shared" si="89"/>
        <v>1684.08</v>
      </c>
    </row>
    <row r="2590" spans="1:45" x14ac:dyDescent="0.3">
      <c r="A2590" s="1">
        <v>45900.96597222222</v>
      </c>
      <c r="B2590" t="s">
        <v>1505</v>
      </c>
      <c r="C2590" t="s">
        <v>1506</v>
      </c>
      <c r="D2590" t="s">
        <v>624</v>
      </c>
      <c r="F2590" t="s">
        <v>1765</v>
      </c>
      <c r="G2590" t="s">
        <v>625</v>
      </c>
      <c r="H2590" t="s">
        <v>66</v>
      </c>
      <c r="I2590" t="s">
        <v>43</v>
      </c>
      <c r="J2590">
        <v>61.92</v>
      </c>
      <c r="K2590">
        <v>19</v>
      </c>
      <c r="L2590">
        <v>10</v>
      </c>
      <c r="M2590">
        <v>11</v>
      </c>
      <c r="N2590">
        <v>144</v>
      </c>
      <c r="O2590">
        <v>0</v>
      </c>
      <c r="P2590">
        <v>0</v>
      </c>
      <c r="Q2590" t="s">
        <v>44</v>
      </c>
      <c r="R2590">
        <v>72</v>
      </c>
      <c r="S2590" t="s">
        <v>44</v>
      </c>
      <c r="T2590" t="s">
        <v>44</v>
      </c>
      <c r="U2590" t="s">
        <v>44</v>
      </c>
      <c r="V2590">
        <v>72</v>
      </c>
      <c r="W2590" t="s">
        <v>44</v>
      </c>
      <c r="X2590" t="s">
        <v>44</v>
      </c>
      <c r="Y2590">
        <v>72</v>
      </c>
      <c r="Z2590" t="s">
        <v>44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72</v>
      </c>
      <c r="AQ2590">
        <f t="shared" si="90"/>
        <v>72</v>
      </c>
      <c r="AR2590" s="5">
        <f>VLOOKUP(F2590,'[2]SCP_24-25'!$A:$D,4,0)</f>
        <v>23.39</v>
      </c>
      <c r="AS2590" s="5">
        <f t="shared" si="89"/>
        <v>1684.08</v>
      </c>
    </row>
    <row r="2591" spans="1:45" x14ac:dyDescent="0.3">
      <c r="A2591" s="1">
        <v>45900.96597222222</v>
      </c>
      <c r="B2591" t="s">
        <v>1505</v>
      </c>
      <c r="C2591" t="s">
        <v>1506</v>
      </c>
      <c r="D2591" t="s">
        <v>789</v>
      </c>
      <c r="F2591" t="s">
        <v>1846</v>
      </c>
      <c r="G2591" t="s">
        <v>790</v>
      </c>
      <c r="H2591" t="s">
        <v>66</v>
      </c>
      <c r="I2591" t="s">
        <v>43</v>
      </c>
      <c r="J2591">
        <v>61.92</v>
      </c>
      <c r="K2591">
        <v>19</v>
      </c>
      <c r="L2591">
        <v>10</v>
      </c>
      <c r="M2591">
        <v>11</v>
      </c>
      <c r="N2591">
        <v>144</v>
      </c>
      <c r="O2591">
        <v>0</v>
      </c>
      <c r="P2591">
        <v>0</v>
      </c>
      <c r="Q2591" t="s">
        <v>44</v>
      </c>
      <c r="R2591">
        <v>72</v>
      </c>
      <c r="S2591" t="s">
        <v>44</v>
      </c>
      <c r="T2591" t="s">
        <v>44</v>
      </c>
      <c r="U2591" t="s">
        <v>44</v>
      </c>
      <c r="V2591">
        <v>71</v>
      </c>
      <c r="W2591" t="s">
        <v>44</v>
      </c>
      <c r="X2591" t="s">
        <v>44</v>
      </c>
      <c r="Y2591">
        <v>71</v>
      </c>
      <c r="Z2591" t="s">
        <v>44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71</v>
      </c>
      <c r="AQ2591">
        <f t="shared" si="90"/>
        <v>71</v>
      </c>
      <c r="AR2591" s="5">
        <f>VLOOKUP(F2591,'[2]SCP_24-25'!$A:$D,4,0)</f>
        <v>23.39</v>
      </c>
      <c r="AS2591" s="5">
        <f t="shared" si="89"/>
        <v>1660.69</v>
      </c>
    </row>
    <row r="2592" spans="1:45" x14ac:dyDescent="0.3">
      <c r="A2592" s="1">
        <v>45900.96597222222</v>
      </c>
      <c r="B2592" t="s">
        <v>1505</v>
      </c>
      <c r="C2592" t="s">
        <v>1506</v>
      </c>
      <c r="D2592" t="s">
        <v>405</v>
      </c>
      <c r="F2592" t="s">
        <v>1660</v>
      </c>
      <c r="G2592" t="s">
        <v>406</v>
      </c>
      <c r="H2592" t="s">
        <v>103</v>
      </c>
      <c r="I2592" t="s">
        <v>43</v>
      </c>
      <c r="J2592">
        <v>90</v>
      </c>
      <c r="K2592">
        <v>19</v>
      </c>
      <c r="L2592">
        <v>10</v>
      </c>
      <c r="M2592">
        <v>11</v>
      </c>
      <c r="N2592">
        <v>2088</v>
      </c>
      <c r="O2592">
        <v>4</v>
      </c>
      <c r="P2592">
        <v>0</v>
      </c>
      <c r="Q2592">
        <v>5</v>
      </c>
      <c r="R2592">
        <v>3</v>
      </c>
      <c r="S2592" t="s">
        <v>44</v>
      </c>
      <c r="T2592" t="s">
        <v>44</v>
      </c>
      <c r="U2592" t="s">
        <v>44</v>
      </c>
      <c r="V2592">
        <v>21</v>
      </c>
      <c r="W2592" t="s">
        <v>44</v>
      </c>
      <c r="X2592" t="s">
        <v>44</v>
      </c>
      <c r="Y2592">
        <v>21</v>
      </c>
      <c r="Z2592" t="s">
        <v>44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25</v>
      </c>
      <c r="AQ2592">
        <f t="shared" si="90"/>
        <v>25</v>
      </c>
      <c r="AR2592" s="5">
        <f>VLOOKUP(F2592,'[2]SCP_24-25'!$A:$D,4,0)</f>
        <v>83.794500000000028</v>
      </c>
      <c r="AS2592" s="5">
        <f t="shared" si="89"/>
        <v>2094.8625000000006</v>
      </c>
    </row>
    <row r="2593" spans="1:45" x14ac:dyDescent="0.3">
      <c r="A2593" s="1">
        <v>45900.96597222222</v>
      </c>
      <c r="B2593" t="s">
        <v>1505</v>
      </c>
      <c r="C2593" t="s">
        <v>1506</v>
      </c>
      <c r="D2593" t="s">
        <v>126</v>
      </c>
      <c r="F2593" t="s">
        <v>1541</v>
      </c>
      <c r="G2593" t="s">
        <v>127</v>
      </c>
      <c r="H2593" t="s">
        <v>42</v>
      </c>
      <c r="I2593" t="s">
        <v>43</v>
      </c>
      <c r="J2593">
        <v>51</v>
      </c>
      <c r="K2593">
        <v>19</v>
      </c>
      <c r="L2593">
        <v>11</v>
      </c>
      <c r="M2593">
        <v>9.5</v>
      </c>
      <c r="N2593">
        <v>72</v>
      </c>
      <c r="O2593">
        <v>0</v>
      </c>
      <c r="P2593">
        <v>0</v>
      </c>
      <c r="Q2593" t="s">
        <v>44</v>
      </c>
      <c r="R2593" t="s">
        <v>44</v>
      </c>
      <c r="S2593" t="s">
        <v>44</v>
      </c>
      <c r="T2593" t="s">
        <v>44</v>
      </c>
      <c r="U2593" t="s">
        <v>44</v>
      </c>
      <c r="V2593">
        <v>15</v>
      </c>
      <c r="W2593" t="s">
        <v>44</v>
      </c>
      <c r="X2593" t="s">
        <v>44</v>
      </c>
      <c r="Y2593">
        <v>15</v>
      </c>
      <c r="Z2593" t="s">
        <v>44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15</v>
      </c>
      <c r="AQ2593">
        <f t="shared" si="90"/>
        <v>15</v>
      </c>
      <c r="AR2593" s="5">
        <f>VLOOKUP(F2593,'[2]SCP_24-25'!$A:$D,4,0)</f>
        <v>150.74</v>
      </c>
      <c r="AS2593" s="5">
        <f t="shared" si="89"/>
        <v>2261.1000000000004</v>
      </c>
    </row>
    <row r="2594" spans="1:45" x14ac:dyDescent="0.3">
      <c r="A2594" s="1">
        <v>45900.96597222222</v>
      </c>
      <c r="B2594" t="s">
        <v>1505</v>
      </c>
      <c r="C2594" t="s">
        <v>1506</v>
      </c>
      <c r="D2594" t="s">
        <v>1358</v>
      </c>
      <c r="E2594" t="s">
        <v>1359</v>
      </c>
      <c r="F2594" t="s">
        <v>2127</v>
      </c>
      <c r="G2594" t="s">
        <v>1360</v>
      </c>
      <c r="H2594" t="s">
        <v>621</v>
      </c>
      <c r="I2594" t="s">
        <v>43</v>
      </c>
      <c r="J2594">
        <v>50.8</v>
      </c>
      <c r="K2594">
        <v>19</v>
      </c>
      <c r="L2594">
        <v>11</v>
      </c>
      <c r="M2594">
        <v>8.5</v>
      </c>
      <c r="N2594">
        <v>26150</v>
      </c>
      <c r="O2594">
        <v>0</v>
      </c>
      <c r="P2594">
        <v>0</v>
      </c>
      <c r="Q2594" t="s">
        <v>44</v>
      </c>
      <c r="R2594" t="s">
        <v>44</v>
      </c>
      <c r="S2594" t="s">
        <v>44</v>
      </c>
      <c r="T2594" t="s">
        <v>44</v>
      </c>
      <c r="U2594" t="s">
        <v>44</v>
      </c>
      <c r="V2594">
        <v>67</v>
      </c>
      <c r="W2594" t="s">
        <v>44</v>
      </c>
      <c r="X2594" t="s">
        <v>44</v>
      </c>
      <c r="Y2594">
        <v>63</v>
      </c>
      <c r="Z2594" t="s">
        <v>44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67</v>
      </c>
      <c r="AQ2594">
        <f t="shared" si="90"/>
        <v>67</v>
      </c>
      <c r="AR2594" s="5">
        <f>VLOOKUP(F2594,'[2]SCP_24-25'!$A:$D,4,0)</f>
        <v>2.8999999999999995</v>
      </c>
      <c r="AS2594" s="5">
        <f t="shared" si="89"/>
        <v>194.29999999999995</v>
      </c>
    </row>
    <row r="2595" spans="1:45" x14ac:dyDescent="0.3">
      <c r="A2595" s="1">
        <v>45900.96597222222</v>
      </c>
      <c r="B2595" t="s">
        <v>1505</v>
      </c>
      <c r="C2595" t="s">
        <v>1506</v>
      </c>
      <c r="D2595" t="s">
        <v>564</v>
      </c>
      <c r="F2595" t="s">
        <v>1736</v>
      </c>
      <c r="G2595" t="s">
        <v>565</v>
      </c>
      <c r="H2595" t="s">
        <v>103</v>
      </c>
      <c r="I2595" t="s">
        <v>43</v>
      </c>
      <c r="J2595">
        <v>236.02</v>
      </c>
      <c r="K2595">
        <v>19</v>
      </c>
      <c r="L2595">
        <v>10</v>
      </c>
      <c r="M2595">
        <v>11</v>
      </c>
      <c r="N2595">
        <v>624</v>
      </c>
      <c r="O2595">
        <v>0</v>
      </c>
      <c r="P2595">
        <v>0</v>
      </c>
      <c r="Q2595" t="s">
        <v>44</v>
      </c>
      <c r="R2595" t="s">
        <v>44</v>
      </c>
      <c r="S2595" t="s">
        <v>44</v>
      </c>
      <c r="T2595" t="s">
        <v>44</v>
      </c>
      <c r="U2595" t="s">
        <v>44</v>
      </c>
      <c r="V2595">
        <v>29</v>
      </c>
      <c r="W2595" t="s">
        <v>44</v>
      </c>
      <c r="X2595" t="s">
        <v>44</v>
      </c>
      <c r="Y2595">
        <v>29</v>
      </c>
      <c r="Z2595" t="s">
        <v>44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29</v>
      </c>
      <c r="AQ2595">
        <f t="shared" si="90"/>
        <v>29</v>
      </c>
      <c r="AR2595" s="5">
        <f>VLOOKUP(F2595,'[2]SCP_24-25'!$A:$D,4,0)</f>
        <v>59.82</v>
      </c>
      <c r="AS2595" s="5">
        <f t="shared" si="89"/>
        <v>1734.78</v>
      </c>
    </row>
    <row r="2596" spans="1:45" x14ac:dyDescent="0.3">
      <c r="A2596" s="1">
        <v>45900.96597222222</v>
      </c>
      <c r="B2596" t="s">
        <v>1505</v>
      </c>
      <c r="C2596" t="s">
        <v>1506</v>
      </c>
      <c r="D2596" t="s">
        <v>407</v>
      </c>
      <c r="F2596" t="s">
        <v>1661</v>
      </c>
      <c r="G2596" t="s">
        <v>408</v>
      </c>
      <c r="H2596" t="s">
        <v>66</v>
      </c>
      <c r="I2596" t="s">
        <v>43</v>
      </c>
      <c r="J2596">
        <v>90.08</v>
      </c>
      <c r="K2596">
        <v>19</v>
      </c>
      <c r="L2596">
        <v>10</v>
      </c>
      <c r="M2596">
        <v>11</v>
      </c>
      <c r="N2596">
        <v>10728</v>
      </c>
      <c r="O2596">
        <v>66</v>
      </c>
      <c r="P2596">
        <v>0</v>
      </c>
      <c r="Q2596">
        <v>17</v>
      </c>
      <c r="R2596">
        <v>5</v>
      </c>
      <c r="S2596" t="s">
        <v>44</v>
      </c>
      <c r="T2596" t="s">
        <v>44</v>
      </c>
      <c r="U2596" t="s">
        <v>44</v>
      </c>
      <c r="V2596">
        <v>57</v>
      </c>
      <c r="W2596" t="s">
        <v>44</v>
      </c>
      <c r="X2596" t="s">
        <v>44</v>
      </c>
      <c r="Y2596">
        <v>57</v>
      </c>
      <c r="Z2596" t="s">
        <v>44</v>
      </c>
      <c r="AA2596">
        <v>4</v>
      </c>
      <c r="AB2596">
        <v>5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127</v>
      </c>
      <c r="AQ2596">
        <f t="shared" si="90"/>
        <v>127</v>
      </c>
      <c r="AR2596" s="5">
        <f>VLOOKUP(F2596,'[2]SCP_24-25'!$A:$D,4,0)</f>
        <v>71.819000000000003</v>
      </c>
      <c r="AS2596" s="5">
        <f t="shared" si="89"/>
        <v>9121.0130000000008</v>
      </c>
    </row>
    <row r="2597" spans="1:45" x14ac:dyDescent="0.3">
      <c r="A2597" s="1">
        <v>45900.96597222222</v>
      </c>
      <c r="B2597" t="s">
        <v>1505</v>
      </c>
      <c r="C2597" t="s">
        <v>1506</v>
      </c>
      <c r="D2597" t="s">
        <v>1308</v>
      </c>
      <c r="F2597" t="s">
        <v>2105</v>
      </c>
      <c r="G2597" t="s">
        <v>1309</v>
      </c>
      <c r="H2597" t="s">
        <v>66</v>
      </c>
      <c r="I2597" t="s">
        <v>43</v>
      </c>
      <c r="J2597">
        <v>8</v>
      </c>
      <c r="K2597">
        <v>19</v>
      </c>
      <c r="L2597">
        <v>10</v>
      </c>
      <c r="M2597">
        <v>11</v>
      </c>
      <c r="N2597">
        <v>2195</v>
      </c>
      <c r="O2597">
        <v>1</v>
      </c>
      <c r="P2597">
        <v>0</v>
      </c>
      <c r="Q2597" t="s">
        <v>44</v>
      </c>
      <c r="R2597">
        <v>201</v>
      </c>
      <c r="S2597" t="s">
        <v>44</v>
      </c>
      <c r="T2597">
        <v>6</v>
      </c>
      <c r="U2597" t="s">
        <v>44</v>
      </c>
      <c r="V2597">
        <v>32</v>
      </c>
      <c r="W2597" t="s">
        <v>44</v>
      </c>
      <c r="X2597" t="s">
        <v>44</v>
      </c>
      <c r="Y2597">
        <v>32</v>
      </c>
      <c r="Z2597" t="s">
        <v>44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33</v>
      </c>
      <c r="AQ2597">
        <f t="shared" si="90"/>
        <v>33</v>
      </c>
      <c r="AR2597" s="5">
        <f>VLOOKUP(F2597,'[2]SCP_24-25'!$A:$D,4,0)</f>
        <v>14.949999999999998</v>
      </c>
      <c r="AS2597" s="5">
        <f t="shared" si="89"/>
        <v>493.34999999999991</v>
      </c>
    </row>
    <row r="2598" spans="1:45" x14ac:dyDescent="0.3">
      <c r="A2598" s="1">
        <v>45900.96597222222</v>
      </c>
      <c r="B2598" t="s">
        <v>1505</v>
      </c>
      <c r="C2598" t="s">
        <v>1506</v>
      </c>
      <c r="D2598" t="s">
        <v>1109</v>
      </c>
      <c r="F2598" t="s">
        <v>2004</v>
      </c>
      <c r="G2598" t="s">
        <v>1110</v>
      </c>
      <c r="H2598" t="s">
        <v>66</v>
      </c>
      <c r="I2598" t="s">
        <v>43</v>
      </c>
      <c r="J2598">
        <v>111</v>
      </c>
      <c r="K2598">
        <v>19</v>
      </c>
      <c r="L2598">
        <v>11</v>
      </c>
      <c r="M2598">
        <v>10</v>
      </c>
      <c r="N2598">
        <v>111</v>
      </c>
      <c r="O2598">
        <v>0</v>
      </c>
      <c r="P2598">
        <v>0</v>
      </c>
      <c r="Q2598" t="s">
        <v>44</v>
      </c>
      <c r="R2598">
        <v>55</v>
      </c>
      <c r="S2598" t="s">
        <v>44</v>
      </c>
      <c r="T2598" t="s">
        <v>44</v>
      </c>
      <c r="U2598" t="s">
        <v>44</v>
      </c>
      <c r="V2598">
        <v>55</v>
      </c>
      <c r="W2598" t="s">
        <v>44</v>
      </c>
      <c r="X2598" t="s">
        <v>44</v>
      </c>
      <c r="Y2598">
        <v>55</v>
      </c>
      <c r="Z2598" t="s">
        <v>44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55</v>
      </c>
      <c r="AQ2598">
        <f t="shared" si="90"/>
        <v>55</v>
      </c>
      <c r="AR2598" s="5">
        <f>VLOOKUP(F2598,'[2]SCP_24-25'!$A:$D,4,0)</f>
        <v>424.71</v>
      </c>
      <c r="AS2598" s="5">
        <f t="shared" si="89"/>
        <v>23359.05</v>
      </c>
    </row>
    <row r="2599" spans="1:45" x14ac:dyDescent="0.3">
      <c r="A2599" s="1">
        <v>45900.96597222222</v>
      </c>
      <c r="B2599" t="s">
        <v>1505</v>
      </c>
      <c r="C2599" t="s">
        <v>1506</v>
      </c>
      <c r="D2599" t="s">
        <v>522</v>
      </c>
      <c r="E2599" t="s">
        <v>445</v>
      </c>
      <c r="F2599" t="s">
        <v>1715</v>
      </c>
      <c r="G2599" t="s">
        <v>523</v>
      </c>
      <c r="H2599" t="s">
        <v>130</v>
      </c>
      <c r="I2599" t="s">
        <v>43</v>
      </c>
      <c r="J2599">
        <v>60.02</v>
      </c>
      <c r="K2599">
        <v>19</v>
      </c>
      <c r="L2599">
        <v>10</v>
      </c>
      <c r="M2599">
        <v>11</v>
      </c>
      <c r="N2599">
        <v>24</v>
      </c>
      <c r="O2599">
        <v>0</v>
      </c>
      <c r="P2599">
        <v>0</v>
      </c>
      <c r="Q2599" t="s">
        <v>44</v>
      </c>
      <c r="R2599" t="s">
        <v>44</v>
      </c>
      <c r="S2599" t="s">
        <v>44</v>
      </c>
      <c r="T2599" t="s">
        <v>44</v>
      </c>
      <c r="U2599" t="s">
        <v>44</v>
      </c>
      <c r="V2599">
        <v>9</v>
      </c>
      <c r="W2599" t="s">
        <v>44</v>
      </c>
      <c r="X2599" t="s">
        <v>44</v>
      </c>
      <c r="Y2599">
        <v>9</v>
      </c>
      <c r="Z2599" t="s">
        <v>44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9</v>
      </c>
      <c r="AQ2599">
        <f t="shared" si="90"/>
        <v>9</v>
      </c>
      <c r="AR2599" s="5">
        <f>VLOOKUP(F2599,'[2]SCP_24-25'!$A:$D,4,0)</f>
        <v>86.699999999999989</v>
      </c>
      <c r="AS2599" s="5">
        <f t="shared" si="89"/>
        <v>780.3</v>
      </c>
    </row>
    <row r="2600" spans="1:45" x14ac:dyDescent="0.3">
      <c r="A2600" s="1">
        <v>45900.96597222222</v>
      </c>
      <c r="B2600" t="s">
        <v>1505</v>
      </c>
      <c r="C2600" t="s">
        <v>1506</v>
      </c>
      <c r="D2600" t="s">
        <v>444</v>
      </c>
      <c r="E2600" t="s">
        <v>445</v>
      </c>
      <c r="F2600" t="s">
        <v>1677</v>
      </c>
      <c r="G2600" t="s">
        <v>446</v>
      </c>
      <c r="H2600" t="s">
        <v>130</v>
      </c>
      <c r="I2600" t="s">
        <v>43</v>
      </c>
      <c r="J2600">
        <v>60.02</v>
      </c>
      <c r="K2600">
        <v>19</v>
      </c>
      <c r="L2600">
        <v>10</v>
      </c>
      <c r="M2600">
        <v>11</v>
      </c>
      <c r="N2600">
        <v>17</v>
      </c>
      <c r="O2600">
        <v>0</v>
      </c>
      <c r="P2600">
        <v>0</v>
      </c>
      <c r="Q2600" t="s">
        <v>44</v>
      </c>
      <c r="R2600" t="s">
        <v>44</v>
      </c>
      <c r="S2600" t="s">
        <v>44</v>
      </c>
      <c r="T2600" t="s">
        <v>44</v>
      </c>
      <c r="U2600" t="s">
        <v>44</v>
      </c>
      <c r="V2600">
        <v>12</v>
      </c>
      <c r="W2600" t="s">
        <v>44</v>
      </c>
      <c r="X2600" t="s">
        <v>44</v>
      </c>
      <c r="Y2600">
        <v>12</v>
      </c>
      <c r="Z2600" t="s">
        <v>44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12</v>
      </c>
      <c r="AQ2600">
        <f t="shared" si="90"/>
        <v>12</v>
      </c>
      <c r="AR2600" s="5">
        <f>VLOOKUP(F2600,'[2]SCP_24-25'!$A:$D,4,0)</f>
        <v>86.7</v>
      </c>
      <c r="AS2600" s="5">
        <f t="shared" si="89"/>
        <v>1040.4000000000001</v>
      </c>
    </row>
    <row r="2601" spans="1:45" x14ac:dyDescent="0.3">
      <c r="A2601" s="1">
        <v>45900.96597222222</v>
      </c>
      <c r="B2601" t="s">
        <v>1505</v>
      </c>
      <c r="C2601" t="s">
        <v>1506</v>
      </c>
      <c r="D2601" t="s">
        <v>524</v>
      </c>
      <c r="E2601" t="s">
        <v>445</v>
      </c>
      <c r="F2601" t="s">
        <v>1716</v>
      </c>
      <c r="G2601" t="s">
        <v>525</v>
      </c>
      <c r="H2601" t="s">
        <v>130</v>
      </c>
      <c r="I2601" t="s">
        <v>43</v>
      </c>
      <c r="J2601">
        <v>60.02</v>
      </c>
      <c r="K2601">
        <v>19</v>
      </c>
      <c r="L2601">
        <v>10</v>
      </c>
      <c r="M2601">
        <v>11</v>
      </c>
      <c r="N2601">
        <v>23</v>
      </c>
      <c r="O2601">
        <v>0</v>
      </c>
      <c r="P2601">
        <v>0</v>
      </c>
      <c r="Q2601" t="s">
        <v>44</v>
      </c>
      <c r="R2601" t="s">
        <v>44</v>
      </c>
      <c r="S2601" t="s">
        <v>44</v>
      </c>
      <c r="T2601" t="s">
        <v>44</v>
      </c>
      <c r="U2601" t="s">
        <v>44</v>
      </c>
      <c r="V2601">
        <v>9</v>
      </c>
      <c r="W2601" t="s">
        <v>44</v>
      </c>
      <c r="X2601" t="s">
        <v>44</v>
      </c>
      <c r="Y2601">
        <v>9</v>
      </c>
      <c r="Z2601" t="s">
        <v>44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9</v>
      </c>
      <c r="AQ2601">
        <f t="shared" si="90"/>
        <v>9</v>
      </c>
      <c r="AR2601" s="5">
        <f>VLOOKUP(F2601,'[2]SCP_24-25'!$A:$D,4,0)</f>
        <v>86.7</v>
      </c>
      <c r="AS2601" s="5">
        <f t="shared" si="89"/>
        <v>780.30000000000007</v>
      </c>
    </row>
    <row r="2602" spans="1:45" x14ac:dyDescent="0.3">
      <c r="A2602" s="1">
        <v>45900.96597222222</v>
      </c>
      <c r="B2602" t="s">
        <v>1505</v>
      </c>
      <c r="C2602" t="s">
        <v>1506</v>
      </c>
      <c r="D2602" t="s">
        <v>594</v>
      </c>
      <c r="E2602" t="s">
        <v>595</v>
      </c>
      <c r="F2602" t="s">
        <v>1751</v>
      </c>
      <c r="G2602" t="s">
        <v>596</v>
      </c>
      <c r="H2602" t="s">
        <v>130</v>
      </c>
      <c r="I2602" t="s">
        <v>43</v>
      </c>
      <c r="J2602">
        <v>60.02</v>
      </c>
      <c r="K2602">
        <v>19</v>
      </c>
      <c r="L2602">
        <v>10</v>
      </c>
      <c r="M2602">
        <v>11</v>
      </c>
      <c r="N2602">
        <v>96</v>
      </c>
      <c r="O2602">
        <v>0</v>
      </c>
      <c r="P2602">
        <v>0</v>
      </c>
      <c r="Q2602" t="s">
        <v>44</v>
      </c>
      <c r="R2602" t="s">
        <v>44</v>
      </c>
      <c r="S2602" t="s">
        <v>44</v>
      </c>
      <c r="T2602" t="s">
        <v>44</v>
      </c>
      <c r="U2602" t="s">
        <v>44</v>
      </c>
      <c r="V2602">
        <v>67</v>
      </c>
      <c r="W2602" t="s">
        <v>44</v>
      </c>
      <c r="X2602" t="s">
        <v>44</v>
      </c>
      <c r="Y2602">
        <v>67</v>
      </c>
      <c r="Z2602" t="s">
        <v>44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67</v>
      </c>
      <c r="AQ2602">
        <f t="shared" si="90"/>
        <v>67</v>
      </c>
      <c r="AR2602" s="5">
        <f>VLOOKUP(F2602,'[2]SCP_24-25'!$A:$D,4,0)</f>
        <v>120.58</v>
      </c>
      <c r="AS2602" s="5">
        <f t="shared" si="89"/>
        <v>8078.86</v>
      </c>
    </row>
    <row r="2603" spans="1:45" x14ac:dyDescent="0.3">
      <c r="A2603" s="1">
        <v>45900.96597222222</v>
      </c>
      <c r="B2603" t="s">
        <v>1505</v>
      </c>
      <c r="C2603" t="s">
        <v>1506</v>
      </c>
      <c r="D2603" t="s">
        <v>483</v>
      </c>
      <c r="F2603" t="s">
        <v>1696</v>
      </c>
      <c r="G2603" t="s">
        <v>484</v>
      </c>
      <c r="H2603" t="s">
        <v>130</v>
      </c>
      <c r="I2603" t="s">
        <v>43</v>
      </c>
      <c r="J2603">
        <v>24.02</v>
      </c>
      <c r="K2603">
        <v>19</v>
      </c>
      <c r="L2603">
        <v>10</v>
      </c>
      <c r="M2603">
        <v>11</v>
      </c>
      <c r="N2603">
        <v>12</v>
      </c>
      <c r="O2603">
        <v>0</v>
      </c>
      <c r="P2603">
        <v>0</v>
      </c>
      <c r="Q2603" t="s">
        <v>44</v>
      </c>
      <c r="R2603" t="s">
        <v>44</v>
      </c>
      <c r="S2603" t="s">
        <v>44</v>
      </c>
      <c r="T2603" t="s">
        <v>44</v>
      </c>
      <c r="U2603" t="s">
        <v>44</v>
      </c>
      <c r="V2603">
        <v>3</v>
      </c>
      <c r="W2603" t="s">
        <v>44</v>
      </c>
      <c r="X2603" t="s">
        <v>44</v>
      </c>
      <c r="Y2603">
        <v>3</v>
      </c>
      <c r="Z2603" t="s">
        <v>44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3</v>
      </c>
      <c r="AQ2603">
        <f t="shared" si="90"/>
        <v>3</v>
      </c>
      <c r="AR2603" s="5">
        <f>VLOOKUP(F2603,'[2]SCP_24-25'!$A:$D,4,0)</f>
        <v>79.066666666666677</v>
      </c>
      <c r="AS2603" s="5">
        <f t="shared" si="89"/>
        <v>237.20000000000005</v>
      </c>
    </row>
    <row r="2604" spans="1:45" x14ac:dyDescent="0.3">
      <c r="A2604" s="1">
        <v>45900.96597222222</v>
      </c>
      <c r="B2604" t="s">
        <v>1505</v>
      </c>
      <c r="C2604" t="s">
        <v>1506</v>
      </c>
      <c r="D2604" t="s">
        <v>526</v>
      </c>
      <c r="F2604" t="s">
        <v>1717</v>
      </c>
      <c r="G2604" t="s">
        <v>527</v>
      </c>
      <c r="H2604" t="s">
        <v>130</v>
      </c>
      <c r="I2604" t="s">
        <v>43</v>
      </c>
      <c r="J2604">
        <v>23</v>
      </c>
      <c r="K2604">
        <v>19</v>
      </c>
      <c r="L2604">
        <v>10</v>
      </c>
      <c r="M2604">
        <v>11</v>
      </c>
      <c r="N2604">
        <v>12</v>
      </c>
      <c r="O2604">
        <v>0</v>
      </c>
      <c r="P2604">
        <v>0</v>
      </c>
      <c r="Q2604" t="s">
        <v>44</v>
      </c>
      <c r="R2604" t="s">
        <v>44</v>
      </c>
      <c r="S2604" t="s">
        <v>44</v>
      </c>
      <c r="T2604" t="s">
        <v>44</v>
      </c>
      <c r="U2604" t="s">
        <v>44</v>
      </c>
      <c r="V2604">
        <v>3</v>
      </c>
      <c r="W2604" t="s">
        <v>44</v>
      </c>
      <c r="X2604" t="s">
        <v>44</v>
      </c>
      <c r="Y2604">
        <v>3</v>
      </c>
      <c r="Z2604" t="s">
        <v>44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3</v>
      </c>
      <c r="AQ2604">
        <f t="shared" si="90"/>
        <v>3</v>
      </c>
      <c r="AR2604" s="5">
        <f>VLOOKUP(F2604,'[2]SCP_24-25'!$A:$D,4,0)</f>
        <v>79.680000000000007</v>
      </c>
      <c r="AS2604" s="5">
        <f t="shared" si="89"/>
        <v>239.04000000000002</v>
      </c>
    </row>
    <row r="2605" spans="1:45" x14ac:dyDescent="0.3">
      <c r="A2605" s="1">
        <v>45900.96597222222</v>
      </c>
      <c r="B2605" t="s">
        <v>1505</v>
      </c>
      <c r="C2605" t="s">
        <v>1506</v>
      </c>
      <c r="D2605" t="s">
        <v>566</v>
      </c>
      <c r="F2605" t="s">
        <v>1737</v>
      </c>
      <c r="G2605" t="s">
        <v>567</v>
      </c>
      <c r="H2605" t="s">
        <v>130</v>
      </c>
      <c r="I2605" t="s">
        <v>43</v>
      </c>
      <c r="J2605">
        <v>24.02</v>
      </c>
      <c r="K2605">
        <v>19</v>
      </c>
      <c r="L2605">
        <v>10</v>
      </c>
      <c r="M2605">
        <v>11</v>
      </c>
      <c r="N2605">
        <v>24</v>
      </c>
      <c r="O2605">
        <v>0</v>
      </c>
      <c r="P2605">
        <v>0</v>
      </c>
      <c r="Q2605" t="s">
        <v>44</v>
      </c>
      <c r="R2605" t="s">
        <v>44</v>
      </c>
      <c r="S2605" t="s">
        <v>44</v>
      </c>
      <c r="T2605" t="s">
        <v>44</v>
      </c>
      <c r="U2605" t="s">
        <v>44</v>
      </c>
      <c r="V2605">
        <v>5</v>
      </c>
      <c r="W2605" t="s">
        <v>44</v>
      </c>
      <c r="X2605" t="s">
        <v>44</v>
      </c>
      <c r="Y2605">
        <v>5</v>
      </c>
      <c r="Z2605" t="s">
        <v>44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5</v>
      </c>
      <c r="AQ2605">
        <f t="shared" si="90"/>
        <v>5</v>
      </c>
      <c r="AR2605" s="5">
        <f>VLOOKUP(F2605,'[2]SCP_24-25'!$A:$D,4,0)</f>
        <v>79.680000000000007</v>
      </c>
      <c r="AS2605" s="5">
        <f t="shared" si="89"/>
        <v>398.40000000000003</v>
      </c>
    </row>
    <row r="2606" spans="1:45" x14ac:dyDescent="0.3">
      <c r="A2606" s="1">
        <v>45900.96597222222</v>
      </c>
      <c r="B2606" t="s">
        <v>1505</v>
      </c>
      <c r="C2606" t="s">
        <v>1506</v>
      </c>
      <c r="D2606" t="s">
        <v>568</v>
      </c>
      <c r="F2606" t="s">
        <v>1738</v>
      </c>
      <c r="G2606" t="s">
        <v>569</v>
      </c>
      <c r="H2606" t="s">
        <v>130</v>
      </c>
      <c r="I2606" t="s">
        <v>43</v>
      </c>
      <c r="J2606">
        <v>24.02</v>
      </c>
      <c r="K2606">
        <v>19</v>
      </c>
      <c r="L2606">
        <v>10</v>
      </c>
      <c r="M2606">
        <v>11</v>
      </c>
      <c r="N2606">
        <v>20</v>
      </c>
      <c r="O2606">
        <v>0</v>
      </c>
      <c r="P2606">
        <v>0</v>
      </c>
      <c r="Q2606" t="s">
        <v>44</v>
      </c>
      <c r="R2606" t="s">
        <v>44</v>
      </c>
      <c r="S2606" t="s">
        <v>44</v>
      </c>
      <c r="T2606" t="s">
        <v>44</v>
      </c>
      <c r="U2606" t="s">
        <v>44</v>
      </c>
      <c r="V2606">
        <v>12</v>
      </c>
      <c r="W2606" t="s">
        <v>44</v>
      </c>
      <c r="X2606" t="s">
        <v>44</v>
      </c>
      <c r="Y2606">
        <v>12</v>
      </c>
      <c r="Z2606" t="s">
        <v>44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12</v>
      </c>
      <c r="AQ2606">
        <f t="shared" si="90"/>
        <v>12</v>
      </c>
      <c r="AR2606" s="5">
        <f>VLOOKUP(F2606,'[2]SCP_24-25'!$A:$D,4,0)</f>
        <v>79.680000000000007</v>
      </c>
      <c r="AS2606" s="5">
        <f t="shared" si="89"/>
        <v>956.16000000000008</v>
      </c>
    </row>
    <row r="2607" spans="1:45" x14ac:dyDescent="0.3">
      <c r="A2607" s="1">
        <v>45900.96597222222</v>
      </c>
      <c r="B2607" t="s">
        <v>1505</v>
      </c>
      <c r="C2607" t="s">
        <v>1506</v>
      </c>
      <c r="D2607" t="s">
        <v>588</v>
      </c>
      <c r="F2607" t="s">
        <v>1748</v>
      </c>
      <c r="G2607" t="s">
        <v>589</v>
      </c>
      <c r="H2607" t="s">
        <v>130</v>
      </c>
      <c r="I2607" t="s">
        <v>43</v>
      </c>
      <c r="J2607">
        <v>24.02</v>
      </c>
      <c r="K2607">
        <v>19</v>
      </c>
      <c r="L2607">
        <v>10</v>
      </c>
      <c r="M2607">
        <v>11</v>
      </c>
      <c r="N2607">
        <v>144</v>
      </c>
      <c r="O2607">
        <v>0</v>
      </c>
      <c r="P2607">
        <v>0</v>
      </c>
      <c r="Q2607" t="s">
        <v>44</v>
      </c>
      <c r="R2607">
        <v>72</v>
      </c>
      <c r="S2607" t="s">
        <v>44</v>
      </c>
      <c r="T2607" t="s">
        <v>44</v>
      </c>
      <c r="U2607" t="s">
        <v>44</v>
      </c>
      <c r="V2607">
        <v>32</v>
      </c>
      <c r="W2607" t="s">
        <v>44</v>
      </c>
      <c r="X2607" t="s">
        <v>44</v>
      </c>
      <c r="Y2607">
        <v>32</v>
      </c>
      <c r="Z2607" t="s">
        <v>44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32</v>
      </c>
      <c r="AQ2607">
        <f t="shared" si="90"/>
        <v>32</v>
      </c>
      <c r="AR2607" s="5">
        <f>VLOOKUP(F2607,'[2]SCP_24-25'!$A:$D,4,0)</f>
        <v>77.84</v>
      </c>
      <c r="AS2607" s="5">
        <f t="shared" si="89"/>
        <v>2490.88</v>
      </c>
    </row>
    <row r="2608" spans="1:45" x14ac:dyDescent="0.3">
      <c r="A2608" s="1">
        <v>45900.96597222222</v>
      </c>
      <c r="B2608" t="s">
        <v>1505</v>
      </c>
      <c r="C2608" t="s">
        <v>1506</v>
      </c>
      <c r="D2608" t="s">
        <v>427</v>
      </c>
      <c r="F2608" t="s">
        <v>1670</v>
      </c>
      <c r="G2608" t="s">
        <v>428</v>
      </c>
      <c r="H2608" t="s">
        <v>130</v>
      </c>
      <c r="I2608" t="s">
        <v>43</v>
      </c>
      <c r="J2608">
        <v>24.02</v>
      </c>
      <c r="K2608">
        <v>19</v>
      </c>
      <c r="L2608">
        <v>10</v>
      </c>
      <c r="M2608">
        <v>11</v>
      </c>
      <c r="N2608">
        <v>14</v>
      </c>
      <c r="O2608">
        <v>0</v>
      </c>
      <c r="P2608">
        <v>0</v>
      </c>
      <c r="Q2608" t="s">
        <v>44</v>
      </c>
      <c r="R2608" t="s">
        <v>44</v>
      </c>
      <c r="S2608" t="s">
        <v>44</v>
      </c>
      <c r="T2608" t="s">
        <v>44</v>
      </c>
      <c r="U2608" t="s">
        <v>44</v>
      </c>
      <c r="V2608">
        <v>5</v>
      </c>
      <c r="W2608" t="s">
        <v>44</v>
      </c>
      <c r="X2608" t="s">
        <v>44</v>
      </c>
      <c r="Y2608">
        <v>5</v>
      </c>
      <c r="Z2608" t="s">
        <v>44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5</v>
      </c>
      <c r="AQ2608">
        <f t="shared" si="90"/>
        <v>5</v>
      </c>
      <c r="AR2608" s="5">
        <f>VLOOKUP(F2608,'[2]SCP_24-25'!$A:$D,4,0)</f>
        <v>79.680000000000007</v>
      </c>
      <c r="AS2608" s="5">
        <f t="shared" si="89"/>
        <v>398.40000000000003</v>
      </c>
    </row>
    <row r="2609" spans="1:45" x14ac:dyDescent="0.3">
      <c r="A2609" s="1">
        <v>45900.96597222222</v>
      </c>
      <c r="B2609" t="s">
        <v>1505</v>
      </c>
      <c r="C2609" t="s">
        <v>1506</v>
      </c>
      <c r="D2609" t="s">
        <v>485</v>
      </c>
      <c r="F2609" t="s">
        <v>1697</v>
      </c>
      <c r="G2609" t="s">
        <v>486</v>
      </c>
      <c r="H2609" t="s">
        <v>130</v>
      </c>
      <c r="I2609" t="s">
        <v>43</v>
      </c>
      <c r="J2609">
        <v>24.02</v>
      </c>
      <c r="K2609">
        <v>19</v>
      </c>
      <c r="L2609">
        <v>10</v>
      </c>
      <c r="M2609">
        <v>11</v>
      </c>
      <c r="N2609">
        <v>20</v>
      </c>
      <c r="O2609">
        <v>0</v>
      </c>
      <c r="P2609">
        <v>0</v>
      </c>
      <c r="Q2609" t="s">
        <v>44</v>
      </c>
      <c r="R2609" t="s">
        <v>44</v>
      </c>
      <c r="S2609" t="s">
        <v>44</v>
      </c>
      <c r="T2609" t="s">
        <v>44</v>
      </c>
      <c r="U2609" t="s">
        <v>44</v>
      </c>
      <c r="V2609">
        <v>9</v>
      </c>
      <c r="W2609" t="s">
        <v>44</v>
      </c>
      <c r="X2609" t="s">
        <v>44</v>
      </c>
      <c r="Y2609">
        <v>9</v>
      </c>
      <c r="Z2609" t="s">
        <v>44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9</v>
      </c>
      <c r="AQ2609">
        <f t="shared" si="90"/>
        <v>9</v>
      </c>
      <c r="AR2609" s="5">
        <f>VLOOKUP(F2609,'[2]SCP_24-25'!$A:$D,4,0)</f>
        <v>79.680000000000007</v>
      </c>
      <c r="AS2609" s="5">
        <f t="shared" si="89"/>
        <v>717.12000000000012</v>
      </c>
    </row>
    <row r="2610" spans="1:45" x14ac:dyDescent="0.3">
      <c r="A2610" s="1">
        <v>45900.96597222222</v>
      </c>
      <c r="B2610" t="s">
        <v>1505</v>
      </c>
      <c r="C2610" t="s">
        <v>1506</v>
      </c>
      <c r="D2610" t="s">
        <v>528</v>
      </c>
      <c r="F2610" t="s">
        <v>1718</v>
      </c>
      <c r="G2610" t="s">
        <v>529</v>
      </c>
      <c r="H2610" t="s">
        <v>130</v>
      </c>
      <c r="I2610" t="s">
        <v>43</v>
      </c>
      <c r="J2610">
        <v>24.02</v>
      </c>
      <c r="K2610">
        <v>19</v>
      </c>
      <c r="L2610">
        <v>10</v>
      </c>
      <c r="M2610">
        <v>11</v>
      </c>
      <c r="N2610">
        <v>14</v>
      </c>
      <c r="O2610">
        <v>0</v>
      </c>
      <c r="P2610">
        <v>0</v>
      </c>
      <c r="Q2610" t="s">
        <v>44</v>
      </c>
      <c r="R2610" t="s">
        <v>44</v>
      </c>
      <c r="S2610" t="s">
        <v>44</v>
      </c>
      <c r="T2610" t="s">
        <v>44</v>
      </c>
      <c r="U2610" t="s">
        <v>44</v>
      </c>
      <c r="V2610">
        <v>8</v>
      </c>
      <c r="W2610" t="s">
        <v>44</v>
      </c>
      <c r="X2610" t="s">
        <v>44</v>
      </c>
      <c r="Y2610">
        <v>8</v>
      </c>
      <c r="Z2610" t="s">
        <v>44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8</v>
      </c>
      <c r="AQ2610">
        <f t="shared" si="90"/>
        <v>8</v>
      </c>
      <c r="AR2610" s="5">
        <f>VLOOKUP(F2610,'[2]SCP_24-25'!$A:$D,4,0)</f>
        <v>79.680000000000007</v>
      </c>
      <c r="AS2610" s="5">
        <f t="shared" si="89"/>
        <v>637.44000000000005</v>
      </c>
    </row>
    <row r="2611" spans="1:45" x14ac:dyDescent="0.3">
      <c r="A2611" s="1">
        <v>45900.96597222222</v>
      </c>
      <c r="B2611" t="s">
        <v>1505</v>
      </c>
      <c r="C2611" t="s">
        <v>1506</v>
      </c>
      <c r="D2611" t="s">
        <v>447</v>
      </c>
      <c r="F2611" t="s">
        <v>1678</v>
      </c>
      <c r="G2611" t="s">
        <v>448</v>
      </c>
      <c r="H2611" t="s">
        <v>130</v>
      </c>
      <c r="I2611" t="s">
        <v>43</v>
      </c>
      <c r="J2611">
        <v>24</v>
      </c>
      <c r="K2611">
        <v>19</v>
      </c>
      <c r="L2611">
        <v>10</v>
      </c>
      <c r="M2611">
        <v>11</v>
      </c>
      <c r="N2611">
        <v>12</v>
      </c>
      <c r="O2611">
        <v>0</v>
      </c>
      <c r="P2611">
        <v>0</v>
      </c>
      <c r="Q2611" t="s">
        <v>44</v>
      </c>
      <c r="R2611" t="s">
        <v>44</v>
      </c>
      <c r="S2611" t="s">
        <v>44</v>
      </c>
      <c r="T2611" t="s">
        <v>44</v>
      </c>
      <c r="U2611" t="s">
        <v>44</v>
      </c>
      <c r="V2611">
        <v>10</v>
      </c>
      <c r="W2611" t="s">
        <v>44</v>
      </c>
      <c r="X2611" t="s">
        <v>44</v>
      </c>
      <c r="Y2611">
        <v>10</v>
      </c>
      <c r="Z2611" t="s">
        <v>44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10</v>
      </c>
      <c r="AQ2611">
        <f t="shared" si="90"/>
        <v>10</v>
      </c>
      <c r="AR2611" s="5">
        <f>VLOOKUP(F2611,'[2]SCP_24-25'!$A:$D,4,0)</f>
        <v>79.680000000000007</v>
      </c>
      <c r="AS2611" s="5">
        <f t="shared" si="89"/>
        <v>796.80000000000007</v>
      </c>
    </row>
    <row r="2612" spans="1:45" x14ac:dyDescent="0.3">
      <c r="A2612" s="1">
        <v>45900.96597222222</v>
      </c>
      <c r="B2612" t="s">
        <v>1505</v>
      </c>
      <c r="C2612" t="s">
        <v>1506</v>
      </c>
      <c r="D2612" t="s">
        <v>599</v>
      </c>
      <c r="F2612" t="s">
        <v>1753</v>
      </c>
      <c r="G2612" t="s">
        <v>600</v>
      </c>
      <c r="H2612" t="s">
        <v>130</v>
      </c>
      <c r="I2612" t="s">
        <v>43</v>
      </c>
      <c r="J2612">
        <v>24.02</v>
      </c>
      <c r="K2612">
        <v>19</v>
      </c>
      <c r="L2612">
        <v>10</v>
      </c>
      <c r="M2612">
        <v>11</v>
      </c>
      <c r="N2612">
        <v>144</v>
      </c>
      <c r="O2612">
        <v>0</v>
      </c>
      <c r="P2612">
        <v>0</v>
      </c>
      <c r="Q2612" t="s">
        <v>44</v>
      </c>
      <c r="R2612">
        <v>72</v>
      </c>
      <c r="S2612" t="s">
        <v>44</v>
      </c>
      <c r="T2612" t="s">
        <v>44</v>
      </c>
      <c r="U2612" t="s">
        <v>44</v>
      </c>
      <c r="V2612">
        <v>45</v>
      </c>
      <c r="W2612" t="s">
        <v>44</v>
      </c>
      <c r="X2612" t="s">
        <v>44</v>
      </c>
      <c r="Y2612">
        <v>45</v>
      </c>
      <c r="Z2612" t="s">
        <v>44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45</v>
      </c>
      <c r="AQ2612">
        <f t="shared" si="90"/>
        <v>45</v>
      </c>
      <c r="AR2612" s="5">
        <f>VLOOKUP(F2612,'[2]SCP_24-25'!$A:$D,4,0)</f>
        <v>79.680000000000007</v>
      </c>
      <c r="AS2612" s="5">
        <f t="shared" si="89"/>
        <v>3585.6000000000004</v>
      </c>
    </row>
    <row r="2613" spans="1:45" x14ac:dyDescent="0.3">
      <c r="A2613" s="1">
        <v>45900.96597222222</v>
      </c>
      <c r="B2613" t="s">
        <v>1505</v>
      </c>
      <c r="C2613" t="s">
        <v>1506</v>
      </c>
      <c r="D2613" t="s">
        <v>449</v>
      </c>
      <c r="F2613" t="s">
        <v>1679</v>
      </c>
      <c r="G2613" t="s">
        <v>450</v>
      </c>
      <c r="H2613" t="s">
        <v>130</v>
      </c>
      <c r="I2613" t="s">
        <v>43</v>
      </c>
      <c r="J2613">
        <v>125</v>
      </c>
      <c r="K2613">
        <v>19</v>
      </c>
      <c r="L2613">
        <v>10</v>
      </c>
      <c r="M2613">
        <v>11</v>
      </c>
      <c r="N2613">
        <v>96</v>
      </c>
      <c r="O2613">
        <v>0</v>
      </c>
      <c r="P2613">
        <v>0</v>
      </c>
      <c r="Q2613" t="s">
        <v>44</v>
      </c>
      <c r="R2613">
        <v>48</v>
      </c>
      <c r="S2613" t="s">
        <v>44</v>
      </c>
      <c r="T2613" t="s">
        <v>44</v>
      </c>
      <c r="U2613" t="s">
        <v>44</v>
      </c>
      <c r="V2613">
        <v>38</v>
      </c>
      <c r="W2613" t="s">
        <v>44</v>
      </c>
      <c r="X2613" t="s">
        <v>44</v>
      </c>
      <c r="Y2613">
        <v>38</v>
      </c>
      <c r="Z2613" t="s">
        <v>44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38</v>
      </c>
      <c r="AQ2613">
        <f t="shared" si="90"/>
        <v>38</v>
      </c>
      <c r="AR2613" s="5">
        <f>VLOOKUP(F2613,'[2]SCP_24-25'!$A:$D,4,0)</f>
        <v>168.55</v>
      </c>
      <c r="AS2613" s="5">
        <f t="shared" si="89"/>
        <v>6404.9000000000005</v>
      </c>
    </row>
    <row r="2614" spans="1:45" x14ac:dyDescent="0.3">
      <c r="A2614" s="1">
        <v>45900.96597222222</v>
      </c>
      <c r="B2614" t="s">
        <v>1505</v>
      </c>
      <c r="C2614" t="s">
        <v>1506</v>
      </c>
      <c r="D2614" t="s">
        <v>451</v>
      </c>
      <c r="F2614" t="s">
        <v>1680</v>
      </c>
      <c r="G2614" t="s">
        <v>452</v>
      </c>
      <c r="H2614" t="s">
        <v>130</v>
      </c>
      <c r="I2614" t="s">
        <v>43</v>
      </c>
      <c r="J2614">
        <v>125.02</v>
      </c>
      <c r="K2614">
        <v>19</v>
      </c>
      <c r="L2614">
        <v>10</v>
      </c>
      <c r="M2614">
        <v>11</v>
      </c>
      <c r="N2614">
        <v>5</v>
      </c>
      <c r="O2614">
        <v>0</v>
      </c>
      <c r="P2614">
        <v>0</v>
      </c>
      <c r="Q2614" t="s">
        <v>44</v>
      </c>
      <c r="R2614" t="s">
        <v>44</v>
      </c>
      <c r="S2614" t="s">
        <v>44</v>
      </c>
      <c r="T2614" t="s">
        <v>44</v>
      </c>
      <c r="U2614" t="s">
        <v>44</v>
      </c>
      <c r="V2614">
        <v>5</v>
      </c>
      <c r="W2614" t="s">
        <v>44</v>
      </c>
      <c r="X2614" t="s">
        <v>44</v>
      </c>
      <c r="Y2614">
        <v>5</v>
      </c>
      <c r="Z2614" t="s">
        <v>44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5</v>
      </c>
      <c r="AQ2614">
        <f t="shared" si="90"/>
        <v>5</v>
      </c>
      <c r="AR2614" s="5">
        <f>VLOOKUP(F2614,'[2]SCP_24-25'!$A:$D,4,0)</f>
        <v>168.55</v>
      </c>
      <c r="AS2614" s="5">
        <f t="shared" si="89"/>
        <v>842.75</v>
      </c>
    </row>
    <row r="2615" spans="1:45" x14ac:dyDescent="0.3">
      <c r="A2615" s="1">
        <v>45900.96597222222</v>
      </c>
      <c r="B2615" t="s">
        <v>1505</v>
      </c>
      <c r="C2615" t="s">
        <v>1506</v>
      </c>
      <c r="D2615" t="s">
        <v>530</v>
      </c>
      <c r="F2615" t="s">
        <v>1719</v>
      </c>
      <c r="G2615" t="s">
        <v>531</v>
      </c>
      <c r="H2615" t="s">
        <v>130</v>
      </c>
      <c r="I2615" t="s">
        <v>43</v>
      </c>
      <c r="J2615">
        <v>38.020000000000003</v>
      </c>
      <c r="K2615">
        <v>19</v>
      </c>
      <c r="L2615">
        <v>10</v>
      </c>
      <c r="M2615">
        <v>11</v>
      </c>
      <c r="N2615">
        <v>72</v>
      </c>
      <c r="O2615">
        <v>1</v>
      </c>
      <c r="P2615">
        <v>0</v>
      </c>
      <c r="Q2615" t="s">
        <v>44</v>
      </c>
      <c r="R2615" t="s">
        <v>44</v>
      </c>
      <c r="S2615" t="s">
        <v>44</v>
      </c>
      <c r="T2615" t="s">
        <v>44</v>
      </c>
      <c r="U2615" t="s">
        <v>44</v>
      </c>
      <c r="V2615">
        <v>34</v>
      </c>
      <c r="W2615" t="s">
        <v>44</v>
      </c>
      <c r="X2615" t="s">
        <v>44</v>
      </c>
      <c r="Y2615">
        <v>34</v>
      </c>
      <c r="Z2615" t="s">
        <v>44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35</v>
      </c>
      <c r="AQ2615">
        <f t="shared" si="90"/>
        <v>35</v>
      </c>
      <c r="AR2615" s="5">
        <f>VLOOKUP(F2615,'[2]SCP_24-25'!$A:$D,4,0)</f>
        <v>73.05</v>
      </c>
      <c r="AS2615" s="5">
        <f t="shared" si="89"/>
        <v>2556.75</v>
      </c>
    </row>
    <row r="2616" spans="1:45" x14ac:dyDescent="0.3">
      <c r="A2616" s="1">
        <v>45900.96597222222</v>
      </c>
      <c r="B2616" t="s">
        <v>1505</v>
      </c>
      <c r="C2616" t="s">
        <v>1506</v>
      </c>
      <c r="D2616" t="s">
        <v>532</v>
      </c>
      <c r="F2616" t="s">
        <v>1720</v>
      </c>
      <c r="G2616" t="s">
        <v>533</v>
      </c>
      <c r="H2616" t="s">
        <v>130</v>
      </c>
      <c r="I2616" t="s">
        <v>43</v>
      </c>
      <c r="J2616">
        <v>38.020000000000003</v>
      </c>
      <c r="K2616">
        <v>19</v>
      </c>
      <c r="L2616">
        <v>10</v>
      </c>
      <c r="M2616">
        <v>11</v>
      </c>
      <c r="N2616">
        <v>80</v>
      </c>
      <c r="O2616">
        <v>0</v>
      </c>
      <c r="P2616">
        <v>0</v>
      </c>
      <c r="Q2616" t="s">
        <v>44</v>
      </c>
      <c r="R2616" t="s">
        <v>44</v>
      </c>
      <c r="S2616" t="s">
        <v>44</v>
      </c>
      <c r="T2616" t="s">
        <v>44</v>
      </c>
      <c r="U2616" t="s">
        <v>44</v>
      </c>
      <c r="V2616">
        <v>32</v>
      </c>
      <c r="W2616" t="s">
        <v>44</v>
      </c>
      <c r="X2616" t="s">
        <v>44</v>
      </c>
      <c r="Y2616">
        <v>32</v>
      </c>
      <c r="Z2616" t="s">
        <v>44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32</v>
      </c>
      <c r="AQ2616">
        <f t="shared" si="90"/>
        <v>32</v>
      </c>
      <c r="AR2616" s="5">
        <f>VLOOKUP(F2616,'[2]SCP_24-25'!$A:$D,4,0)</f>
        <v>73.05</v>
      </c>
      <c r="AS2616" s="5">
        <f t="shared" si="89"/>
        <v>2337.6</v>
      </c>
    </row>
    <row r="2617" spans="1:45" x14ac:dyDescent="0.3">
      <c r="A2617" s="1">
        <v>45900.96597222222</v>
      </c>
      <c r="B2617" t="s">
        <v>1505</v>
      </c>
      <c r="C2617" t="s">
        <v>1506</v>
      </c>
      <c r="D2617" t="s">
        <v>489</v>
      </c>
      <c r="F2617" t="s">
        <v>1699</v>
      </c>
      <c r="G2617" t="s">
        <v>490</v>
      </c>
      <c r="H2617" t="s">
        <v>130</v>
      </c>
      <c r="I2617" t="s">
        <v>43</v>
      </c>
      <c r="J2617">
        <v>38.020000000000003</v>
      </c>
      <c r="K2617">
        <v>19</v>
      </c>
      <c r="L2617">
        <v>10</v>
      </c>
      <c r="M2617">
        <v>11</v>
      </c>
      <c r="N2617">
        <v>144</v>
      </c>
      <c r="O2617">
        <v>2</v>
      </c>
      <c r="P2617">
        <v>0</v>
      </c>
      <c r="Q2617" t="s">
        <v>44</v>
      </c>
      <c r="R2617">
        <v>72</v>
      </c>
      <c r="S2617" t="s">
        <v>44</v>
      </c>
      <c r="T2617" t="s">
        <v>44</v>
      </c>
      <c r="U2617" t="s">
        <v>44</v>
      </c>
      <c r="V2617">
        <v>19</v>
      </c>
      <c r="W2617" t="s">
        <v>44</v>
      </c>
      <c r="X2617" t="s">
        <v>44</v>
      </c>
      <c r="Y2617">
        <v>19</v>
      </c>
      <c r="Z2617" t="s">
        <v>44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21</v>
      </c>
      <c r="AQ2617">
        <f t="shared" si="90"/>
        <v>21</v>
      </c>
      <c r="AR2617" s="5">
        <f>VLOOKUP(F2617,'[2]SCP_24-25'!$A:$D,4,0)</f>
        <v>73.05</v>
      </c>
      <c r="AS2617" s="5">
        <f t="shared" si="89"/>
        <v>1534.05</v>
      </c>
    </row>
    <row r="2618" spans="1:45" x14ac:dyDescent="0.3">
      <c r="A2618" s="1">
        <v>45900.96597222222</v>
      </c>
      <c r="B2618" t="s">
        <v>1505</v>
      </c>
      <c r="C2618" t="s">
        <v>1506</v>
      </c>
      <c r="D2618" t="s">
        <v>453</v>
      </c>
      <c r="F2618" t="s">
        <v>1681</v>
      </c>
      <c r="G2618" t="s">
        <v>454</v>
      </c>
      <c r="H2618" t="s">
        <v>130</v>
      </c>
      <c r="I2618" t="s">
        <v>43</v>
      </c>
      <c r="J2618">
        <v>38.020000000000003</v>
      </c>
      <c r="K2618">
        <v>19</v>
      </c>
      <c r="L2618">
        <v>10</v>
      </c>
      <c r="M2618">
        <v>11</v>
      </c>
      <c r="N2618">
        <v>144</v>
      </c>
      <c r="O2618">
        <v>0</v>
      </c>
      <c r="P2618">
        <v>0</v>
      </c>
      <c r="Q2618" t="s">
        <v>44</v>
      </c>
      <c r="R2618">
        <v>72</v>
      </c>
      <c r="S2618" t="s">
        <v>44</v>
      </c>
      <c r="T2618" t="s">
        <v>44</v>
      </c>
      <c r="U2618" t="s">
        <v>44</v>
      </c>
      <c r="V2618">
        <v>57</v>
      </c>
      <c r="W2618" t="s">
        <v>44</v>
      </c>
      <c r="X2618" t="s">
        <v>44</v>
      </c>
      <c r="Y2618">
        <v>57</v>
      </c>
      <c r="Z2618" t="s">
        <v>44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57</v>
      </c>
      <c r="AQ2618">
        <f t="shared" si="90"/>
        <v>57</v>
      </c>
      <c r="AR2618" s="5">
        <f>VLOOKUP(F2618,'[2]SCP_24-25'!$A:$D,4,0)</f>
        <v>73.05</v>
      </c>
      <c r="AS2618" s="5">
        <f t="shared" si="89"/>
        <v>4163.8499999999995</v>
      </c>
    </row>
    <row r="2619" spans="1:45" x14ac:dyDescent="0.3">
      <c r="A2619" s="1">
        <v>45900.96597222222</v>
      </c>
      <c r="B2619" t="s">
        <v>1505</v>
      </c>
      <c r="C2619" t="s">
        <v>1506</v>
      </c>
      <c r="D2619" t="s">
        <v>597</v>
      </c>
      <c r="F2619" t="s">
        <v>1752</v>
      </c>
      <c r="G2619" t="s">
        <v>598</v>
      </c>
      <c r="H2619" t="s">
        <v>130</v>
      </c>
      <c r="I2619" t="s">
        <v>43</v>
      </c>
      <c r="J2619">
        <v>40</v>
      </c>
      <c r="K2619">
        <v>19</v>
      </c>
      <c r="L2619">
        <v>10</v>
      </c>
      <c r="M2619">
        <v>11</v>
      </c>
      <c r="N2619">
        <v>96</v>
      </c>
      <c r="O2619">
        <v>0</v>
      </c>
      <c r="P2619">
        <v>0</v>
      </c>
      <c r="Q2619" t="s">
        <v>44</v>
      </c>
      <c r="R2619" t="s">
        <v>44</v>
      </c>
      <c r="S2619" t="s">
        <v>44</v>
      </c>
      <c r="T2619" t="s">
        <v>44</v>
      </c>
      <c r="U2619" t="s">
        <v>44</v>
      </c>
      <c r="V2619">
        <v>22</v>
      </c>
      <c r="W2619" t="s">
        <v>44</v>
      </c>
      <c r="X2619" t="s">
        <v>44</v>
      </c>
      <c r="Y2619">
        <v>22</v>
      </c>
      <c r="Z2619" t="s">
        <v>44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22</v>
      </c>
      <c r="AQ2619">
        <f t="shared" si="90"/>
        <v>22</v>
      </c>
      <c r="AR2619" s="5">
        <f>VLOOKUP(F2619,'[2]SCP_24-25'!$A:$D,4,0)</f>
        <v>98.3</v>
      </c>
      <c r="AS2619" s="5">
        <f t="shared" si="89"/>
        <v>2162.6</v>
      </c>
    </row>
    <row r="2620" spans="1:45" x14ac:dyDescent="0.3">
      <c r="A2620" s="1">
        <v>45900.96597222222</v>
      </c>
      <c r="B2620" t="s">
        <v>1505</v>
      </c>
      <c r="C2620" t="s">
        <v>1506</v>
      </c>
      <c r="D2620" t="s">
        <v>574</v>
      </c>
      <c r="F2620" t="s">
        <v>1741</v>
      </c>
      <c r="G2620" t="s">
        <v>575</v>
      </c>
      <c r="H2620" t="s">
        <v>130</v>
      </c>
      <c r="I2620" t="s">
        <v>43</v>
      </c>
      <c r="J2620">
        <v>40.020000000000003</v>
      </c>
      <c r="K2620">
        <v>19</v>
      </c>
      <c r="L2620">
        <v>10</v>
      </c>
      <c r="M2620">
        <v>11</v>
      </c>
      <c r="N2620">
        <v>192</v>
      </c>
      <c r="O2620">
        <v>2</v>
      </c>
      <c r="P2620">
        <v>0</v>
      </c>
      <c r="Q2620" t="s">
        <v>44</v>
      </c>
      <c r="R2620" t="s">
        <v>44</v>
      </c>
      <c r="S2620" t="s">
        <v>44</v>
      </c>
      <c r="T2620" t="s">
        <v>44</v>
      </c>
      <c r="U2620" t="s">
        <v>44</v>
      </c>
      <c r="V2620">
        <v>39</v>
      </c>
      <c r="W2620" t="s">
        <v>44</v>
      </c>
      <c r="X2620" t="s">
        <v>44</v>
      </c>
      <c r="Y2620">
        <v>39</v>
      </c>
      <c r="Z2620" t="s">
        <v>44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41</v>
      </c>
      <c r="AQ2620">
        <f t="shared" si="90"/>
        <v>41</v>
      </c>
      <c r="AR2620" s="5">
        <f>VLOOKUP(F2620,'[2]SCP_24-25'!$A:$D,4,0)</f>
        <v>98.3</v>
      </c>
      <c r="AS2620" s="5">
        <f t="shared" si="89"/>
        <v>4030.2999999999997</v>
      </c>
    </row>
    <row r="2621" spans="1:45" x14ac:dyDescent="0.3">
      <c r="A2621" s="1">
        <v>45900.96597222222</v>
      </c>
      <c r="B2621" t="s">
        <v>1505</v>
      </c>
      <c r="C2621" t="s">
        <v>1506</v>
      </c>
      <c r="D2621" t="s">
        <v>607</v>
      </c>
      <c r="F2621" t="s">
        <v>1757</v>
      </c>
      <c r="G2621" t="s">
        <v>608</v>
      </c>
      <c r="H2621" t="s">
        <v>130</v>
      </c>
      <c r="I2621" t="s">
        <v>43</v>
      </c>
      <c r="J2621">
        <v>40.020000000000003</v>
      </c>
      <c r="K2621">
        <v>19</v>
      </c>
      <c r="L2621">
        <v>10</v>
      </c>
      <c r="M2621">
        <v>11</v>
      </c>
      <c r="N2621">
        <v>96</v>
      </c>
      <c r="O2621">
        <v>0</v>
      </c>
      <c r="P2621">
        <v>0</v>
      </c>
      <c r="Q2621" t="s">
        <v>44</v>
      </c>
      <c r="R2621" t="s">
        <v>44</v>
      </c>
      <c r="S2621" t="s">
        <v>44</v>
      </c>
      <c r="T2621" t="s">
        <v>44</v>
      </c>
      <c r="U2621" t="s">
        <v>44</v>
      </c>
      <c r="V2621">
        <v>21</v>
      </c>
      <c r="W2621" t="s">
        <v>44</v>
      </c>
      <c r="X2621" t="s">
        <v>44</v>
      </c>
      <c r="Y2621">
        <v>21</v>
      </c>
      <c r="Z2621" t="s">
        <v>44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21</v>
      </c>
      <c r="AQ2621">
        <f t="shared" si="90"/>
        <v>21</v>
      </c>
      <c r="AR2621" s="5">
        <f>VLOOKUP(F2621,'[2]SCP_24-25'!$A:$D,4,0)</f>
        <v>98.3</v>
      </c>
      <c r="AS2621" s="5">
        <f t="shared" si="89"/>
        <v>2064.2999999999997</v>
      </c>
    </row>
    <row r="2622" spans="1:45" x14ac:dyDescent="0.3">
      <c r="A2622" s="1">
        <v>45900.96597222222</v>
      </c>
      <c r="B2622" t="s">
        <v>1505</v>
      </c>
      <c r="C2622" t="s">
        <v>1506</v>
      </c>
      <c r="D2622" t="s">
        <v>534</v>
      </c>
      <c r="F2622" t="s">
        <v>1721</v>
      </c>
      <c r="G2622" t="s">
        <v>535</v>
      </c>
      <c r="H2622" t="s">
        <v>130</v>
      </c>
      <c r="I2622" t="s">
        <v>43</v>
      </c>
      <c r="J2622">
        <v>40.020000000000003</v>
      </c>
      <c r="K2622">
        <v>19</v>
      </c>
      <c r="L2622">
        <v>10</v>
      </c>
      <c r="M2622">
        <v>11</v>
      </c>
      <c r="N2622">
        <v>192</v>
      </c>
      <c r="O2622">
        <v>3</v>
      </c>
      <c r="P2622">
        <v>0</v>
      </c>
      <c r="Q2622" t="s">
        <v>44</v>
      </c>
      <c r="R2622" t="s">
        <v>44</v>
      </c>
      <c r="S2622" t="s">
        <v>44</v>
      </c>
      <c r="T2622" t="s">
        <v>44</v>
      </c>
      <c r="U2622" t="s">
        <v>44</v>
      </c>
      <c r="V2622">
        <v>77</v>
      </c>
      <c r="W2622" t="s">
        <v>44</v>
      </c>
      <c r="X2622" t="s">
        <v>44</v>
      </c>
      <c r="Y2622">
        <v>77</v>
      </c>
      <c r="Z2622" t="s">
        <v>44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80</v>
      </c>
      <c r="AQ2622">
        <f t="shared" si="90"/>
        <v>80</v>
      </c>
      <c r="AR2622" s="5">
        <f>VLOOKUP(F2622,'[2]SCP_24-25'!$A:$D,4,0)</f>
        <v>98.3</v>
      </c>
      <c r="AS2622" s="5">
        <f t="shared" si="89"/>
        <v>7864</v>
      </c>
    </row>
    <row r="2623" spans="1:45" x14ac:dyDescent="0.3">
      <c r="A2623" s="1">
        <v>45900.96597222222</v>
      </c>
      <c r="B2623" t="s">
        <v>1505</v>
      </c>
      <c r="C2623" t="s">
        <v>1506</v>
      </c>
      <c r="D2623" t="s">
        <v>491</v>
      </c>
      <c r="F2623" t="s">
        <v>1700</v>
      </c>
      <c r="G2623" t="s">
        <v>492</v>
      </c>
      <c r="H2623" t="s">
        <v>130</v>
      </c>
      <c r="I2623" t="s">
        <v>43</v>
      </c>
      <c r="J2623">
        <v>40.020000000000003</v>
      </c>
      <c r="K2623">
        <v>19</v>
      </c>
      <c r="L2623">
        <v>10</v>
      </c>
      <c r="M2623">
        <v>11</v>
      </c>
      <c r="N2623">
        <v>123</v>
      </c>
      <c r="O2623">
        <v>0</v>
      </c>
      <c r="P2623">
        <v>0</v>
      </c>
      <c r="Q2623" t="s">
        <v>44</v>
      </c>
      <c r="R2623" t="s">
        <v>44</v>
      </c>
      <c r="S2623" t="s">
        <v>44</v>
      </c>
      <c r="T2623" t="s">
        <v>44</v>
      </c>
      <c r="U2623" t="s">
        <v>44</v>
      </c>
      <c r="V2623">
        <v>39</v>
      </c>
      <c r="W2623" t="s">
        <v>44</v>
      </c>
      <c r="X2623" t="s">
        <v>44</v>
      </c>
      <c r="Y2623">
        <v>39</v>
      </c>
      <c r="Z2623" t="s">
        <v>44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39</v>
      </c>
      <c r="AQ2623">
        <f t="shared" si="90"/>
        <v>39</v>
      </c>
      <c r="AR2623" s="5">
        <f>VLOOKUP(F2623,'[2]SCP_24-25'!$A:$D,4,0)</f>
        <v>98.3</v>
      </c>
      <c r="AS2623" s="5">
        <f t="shared" si="89"/>
        <v>3833.7</v>
      </c>
    </row>
    <row r="2624" spans="1:45" x14ac:dyDescent="0.3">
      <c r="A2624" s="1">
        <v>45900.96597222222</v>
      </c>
      <c r="B2624" t="s">
        <v>1505</v>
      </c>
      <c r="C2624" t="s">
        <v>1506</v>
      </c>
      <c r="D2624" t="s">
        <v>493</v>
      </c>
      <c r="F2624" t="s">
        <v>1701</v>
      </c>
      <c r="G2624" t="s">
        <v>494</v>
      </c>
      <c r="H2624" t="s">
        <v>130</v>
      </c>
      <c r="I2624" t="s">
        <v>43</v>
      </c>
      <c r="J2624">
        <v>40.020000000000003</v>
      </c>
      <c r="K2624">
        <v>19</v>
      </c>
      <c r="L2624">
        <v>10</v>
      </c>
      <c r="M2624">
        <v>11</v>
      </c>
      <c r="N2624">
        <v>96</v>
      </c>
      <c r="O2624">
        <v>3</v>
      </c>
      <c r="P2624">
        <v>0</v>
      </c>
      <c r="Q2624" t="s">
        <v>44</v>
      </c>
      <c r="R2624" t="s">
        <v>44</v>
      </c>
      <c r="S2624" t="s">
        <v>44</v>
      </c>
      <c r="T2624" t="s">
        <v>44</v>
      </c>
      <c r="U2624" t="s">
        <v>44</v>
      </c>
      <c r="V2624">
        <v>20</v>
      </c>
      <c r="W2624" t="s">
        <v>44</v>
      </c>
      <c r="X2624" t="s">
        <v>44</v>
      </c>
      <c r="Y2624">
        <v>20</v>
      </c>
      <c r="Z2624" t="s">
        <v>44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23</v>
      </c>
      <c r="AQ2624">
        <f t="shared" si="90"/>
        <v>23</v>
      </c>
      <c r="AR2624" s="5">
        <f>VLOOKUP(F2624,'[2]SCP_24-25'!$A:$D,4,0)</f>
        <v>98.3</v>
      </c>
      <c r="AS2624" s="5">
        <f t="shared" si="89"/>
        <v>2260.9</v>
      </c>
    </row>
    <row r="2625" spans="1:45" x14ac:dyDescent="0.3">
      <c r="A2625" s="1">
        <v>45900.96597222222</v>
      </c>
      <c r="B2625" t="s">
        <v>1505</v>
      </c>
      <c r="C2625" t="s">
        <v>1506</v>
      </c>
      <c r="D2625" t="s">
        <v>457</v>
      </c>
      <c r="F2625" t="s">
        <v>1683</v>
      </c>
      <c r="G2625" t="s">
        <v>458</v>
      </c>
      <c r="H2625" t="s">
        <v>130</v>
      </c>
      <c r="I2625" t="s">
        <v>43</v>
      </c>
      <c r="J2625">
        <v>40.020000000000003</v>
      </c>
      <c r="K2625">
        <v>19</v>
      </c>
      <c r="L2625">
        <v>10</v>
      </c>
      <c r="M2625">
        <v>11</v>
      </c>
      <c r="N2625">
        <v>38</v>
      </c>
      <c r="O2625">
        <v>0</v>
      </c>
      <c r="P2625">
        <v>0</v>
      </c>
      <c r="Q2625" t="s">
        <v>44</v>
      </c>
      <c r="R2625" t="s">
        <v>44</v>
      </c>
      <c r="S2625" t="s">
        <v>44</v>
      </c>
      <c r="T2625" t="s">
        <v>44</v>
      </c>
      <c r="U2625" t="s">
        <v>44</v>
      </c>
      <c r="V2625">
        <v>15</v>
      </c>
      <c r="W2625" t="s">
        <v>44</v>
      </c>
      <c r="X2625" t="s">
        <v>44</v>
      </c>
      <c r="Y2625">
        <v>15</v>
      </c>
      <c r="Z2625" t="s">
        <v>44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15</v>
      </c>
      <c r="AQ2625">
        <f t="shared" si="90"/>
        <v>15</v>
      </c>
      <c r="AR2625" s="5">
        <f>VLOOKUP(F2625,'[2]SCP_24-25'!$A:$D,4,0)</f>
        <v>98.299999999999983</v>
      </c>
      <c r="AS2625" s="5">
        <f t="shared" si="89"/>
        <v>1474.4999999999998</v>
      </c>
    </row>
    <row r="2626" spans="1:45" x14ac:dyDescent="0.3">
      <c r="A2626" s="1">
        <v>45900.96597222222</v>
      </c>
      <c r="B2626" t="s">
        <v>1505</v>
      </c>
      <c r="C2626" t="s">
        <v>1506</v>
      </c>
      <c r="D2626" t="s">
        <v>576</v>
      </c>
      <c r="F2626" t="s">
        <v>1742</v>
      </c>
      <c r="G2626" t="s">
        <v>577</v>
      </c>
      <c r="H2626" t="s">
        <v>130</v>
      </c>
      <c r="I2626" t="s">
        <v>43</v>
      </c>
      <c r="J2626">
        <v>40.020000000000003</v>
      </c>
      <c r="K2626">
        <v>19</v>
      </c>
      <c r="L2626">
        <v>10</v>
      </c>
      <c r="M2626">
        <v>11</v>
      </c>
      <c r="N2626">
        <v>96</v>
      </c>
      <c r="O2626">
        <v>0</v>
      </c>
      <c r="P2626">
        <v>0</v>
      </c>
      <c r="Q2626" t="s">
        <v>44</v>
      </c>
      <c r="R2626" t="s">
        <v>44</v>
      </c>
      <c r="S2626" t="s">
        <v>44</v>
      </c>
      <c r="T2626" t="s">
        <v>44</v>
      </c>
      <c r="U2626" t="s">
        <v>44</v>
      </c>
      <c r="V2626">
        <v>54</v>
      </c>
      <c r="W2626" t="s">
        <v>44</v>
      </c>
      <c r="X2626" t="s">
        <v>44</v>
      </c>
      <c r="Y2626">
        <v>54</v>
      </c>
      <c r="Z2626" t="s">
        <v>44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54</v>
      </c>
      <c r="AQ2626">
        <f t="shared" si="90"/>
        <v>54</v>
      </c>
      <c r="AR2626" s="5">
        <f>VLOOKUP(F2626,'[2]SCP_24-25'!$A:$D,4,0)</f>
        <v>98.3</v>
      </c>
      <c r="AS2626" s="5">
        <f t="shared" si="89"/>
        <v>5308.2</v>
      </c>
    </row>
    <row r="2627" spans="1:45" x14ac:dyDescent="0.3">
      <c r="A2627" s="1">
        <v>45900.96597222222</v>
      </c>
      <c r="B2627" t="s">
        <v>1505</v>
      </c>
      <c r="C2627" t="s">
        <v>1506</v>
      </c>
      <c r="D2627" t="s">
        <v>538</v>
      </c>
      <c r="F2627" t="s">
        <v>1723</v>
      </c>
      <c r="G2627" t="s">
        <v>539</v>
      </c>
      <c r="H2627" t="s">
        <v>130</v>
      </c>
      <c r="I2627" t="s">
        <v>43</v>
      </c>
      <c r="J2627">
        <v>40.020000000000003</v>
      </c>
      <c r="K2627">
        <v>19</v>
      </c>
      <c r="L2627">
        <v>10</v>
      </c>
      <c r="M2627">
        <v>11</v>
      </c>
      <c r="N2627">
        <v>226</v>
      </c>
      <c r="O2627">
        <v>3</v>
      </c>
      <c r="P2627">
        <v>0</v>
      </c>
      <c r="Q2627" t="s">
        <v>44</v>
      </c>
      <c r="R2627">
        <v>92</v>
      </c>
      <c r="S2627" t="s">
        <v>44</v>
      </c>
      <c r="T2627">
        <v>4</v>
      </c>
      <c r="U2627" t="s">
        <v>44</v>
      </c>
      <c r="V2627">
        <v>7</v>
      </c>
      <c r="W2627" t="s">
        <v>44</v>
      </c>
      <c r="X2627" t="s">
        <v>44</v>
      </c>
      <c r="Y2627">
        <v>7</v>
      </c>
      <c r="Z2627" t="s">
        <v>44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10</v>
      </c>
      <c r="AQ2627">
        <f t="shared" si="90"/>
        <v>10</v>
      </c>
      <c r="AR2627" s="5">
        <f>VLOOKUP(F2627,'[2]SCP_24-25'!$A:$D,4,0)</f>
        <v>98.3</v>
      </c>
      <c r="AS2627" s="5">
        <f t="shared" ref="AS2627:AS2690" si="91">AQ2627*AR2627</f>
        <v>983</v>
      </c>
    </row>
    <row r="2628" spans="1:45" x14ac:dyDescent="0.3">
      <c r="A2628" s="1">
        <v>45900.96597222222</v>
      </c>
      <c r="B2628" t="s">
        <v>1505</v>
      </c>
      <c r="C2628" t="s">
        <v>1506</v>
      </c>
      <c r="D2628" t="s">
        <v>578</v>
      </c>
      <c r="F2628" t="s">
        <v>1743</v>
      </c>
      <c r="G2628" t="s">
        <v>579</v>
      </c>
      <c r="H2628" t="s">
        <v>130</v>
      </c>
      <c r="I2628" t="s">
        <v>43</v>
      </c>
      <c r="J2628">
        <v>40.020000000000003</v>
      </c>
      <c r="K2628">
        <v>19</v>
      </c>
      <c r="L2628">
        <v>10</v>
      </c>
      <c r="M2628">
        <v>11</v>
      </c>
      <c r="N2628">
        <v>288</v>
      </c>
      <c r="O2628">
        <v>1</v>
      </c>
      <c r="P2628">
        <v>0</v>
      </c>
      <c r="Q2628" t="s">
        <v>44</v>
      </c>
      <c r="R2628" t="s">
        <v>44</v>
      </c>
      <c r="S2628" t="s">
        <v>44</v>
      </c>
      <c r="T2628" t="s">
        <v>44</v>
      </c>
      <c r="U2628" t="s">
        <v>44</v>
      </c>
      <c r="V2628">
        <v>73</v>
      </c>
      <c r="W2628" t="s">
        <v>44</v>
      </c>
      <c r="X2628" t="s">
        <v>44</v>
      </c>
      <c r="Y2628">
        <v>73</v>
      </c>
      <c r="Z2628" t="s">
        <v>44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74</v>
      </c>
      <c r="AQ2628">
        <f t="shared" si="90"/>
        <v>74</v>
      </c>
      <c r="AR2628" s="5">
        <f>VLOOKUP(F2628,'[2]SCP_24-25'!$A:$D,4,0)</f>
        <v>98.3</v>
      </c>
      <c r="AS2628" s="5">
        <f t="shared" si="91"/>
        <v>7274.2</v>
      </c>
    </row>
    <row r="2629" spans="1:45" x14ac:dyDescent="0.3">
      <c r="A2629" s="1">
        <v>45900.96597222222</v>
      </c>
      <c r="B2629" t="s">
        <v>1505</v>
      </c>
      <c r="C2629" t="s">
        <v>1506</v>
      </c>
      <c r="D2629" t="s">
        <v>459</v>
      </c>
      <c r="F2629" t="s">
        <v>1684</v>
      </c>
      <c r="G2629" t="s">
        <v>460</v>
      </c>
      <c r="H2629" t="s">
        <v>130</v>
      </c>
      <c r="I2629" t="s">
        <v>43</v>
      </c>
      <c r="J2629">
        <v>40.020000000000003</v>
      </c>
      <c r="K2629">
        <v>19</v>
      </c>
      <c r="L2629">
        <v>10</v>
      </c>
      <c r="M2629">
        <v>11</v>
      </c>
      <c r="N2629">
        <v>288</v>
      </c>
      <c r="O2629">
        <v>1</v>
      </c>
      <c r="P2629">
        <v>0</v>
      </c>
      <c r="Q2629" t="s">
        <v>44</v>
      </c>
      <c r="R2629" t="s">
        <v>44</v>
      </c>
      <c r="S2629" t="s">
        <v>44</v>
      </c>
      <c r="T2629" t="s">
        <v>44</v>
      </c>
      <c r="U2629" t="s">
        <v>44</v>
      </c>
      <c r="V2629">
        <v>75</v>
      </c>
      <c r="W2629" t="s">
        <v>44</v>
      </c>
      <c r="X2629" t="s">
        <v>44</v>
      </c>
      <c r="Y2629">
        <v>75</v>
      </c>
      <c r="Z2629" t="s">
        <v>44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76</v>
      </c>
      <c r="AQ2629">
        <f t="shared" si="90"/>
        <v>76</v>
      </c>
      <c r="AR2629" s="5">
        <f>VLOOKUP(F2629,'[2]SCP_24-25'!$A:$D,4,0)</f>
        <v>98.299999999999983</v>
      </c>
      <c r="AS2629" s="5">
        <f t="shared" si="91"/>
        <v>7470.7999999999984</v>
      </c>
    </row>
    <row r="2630" spans="1:45" x14ac:dyDescent="0.3">
      <c r="A2630" s="1">
        <v>45900.96597222222</v>
      </c>
      <c r="B2630" t="s">
        <v>1505</v>
      </c>
      <c r="C2630" t="s">
        <v>1506</v>
      </c>
      <c r="D2630" t="s">
        <v>590</v>
      </c>
      <c r="F2630" t="s">
        <v>1749</v>
      </c>
      <c r="G2630" t="s">
        <v>591</v>
      </c>
      <c r="H2630" t="s">
        <v>130</v>
      </c>
      <c r="I2630" t="s">
        <v>43</v>
      </c>
      <c r="J2630">
        <v>53.02</v>
      </c>
      <c r="K2630">
        <v>19</v>
      </c>
      <c r="L2630">
        <v>10</v>
      </c>
      <c r="M2630">
        <v>11</v>
      </c>
      <c r="N2630">
        <v>96</v>
      </c>
      <c r="O2630">
        <v>0</v>
      </c>
      <c r="P2630">
        <v>0</v>
      </c>
      <c r="Q2630" t="s">
        <v>44</v>
      </c>
      <c r="R2630" t="s">
        <v>44</v>
      </c>
      <c r="S2630" t="s">
        <v>44</v>
      </c>
      <c r="T2630" t="s">
        <v>44</v>
      </c>
      <c r="U2630" t="s">
        <v>44</v>
      </c>
      <c r="V2630">
        <v>96</v>
      </c>
      <c r="W2630" t="s">
        <v>44</v>
      </c>
      <c r="X2630" t="s">
        <v>44</v>
      </c>
      <c r="Y2630">
        <v>96</v>
      </c>
      <c r="Z2630" t="s">
        <v>44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96</v>
      </c>
      <c r="AQ2630">
        <f t="shared" si="90"/>
        <v>96</v>
      </c>
      <c r="AR2630" s="5">
        <f>VLOOKUP(F2630,'[2]SCP_24-25'!$A:$D,4,0)</f>
        <v>51.74</v>
      </c>
      <c r="AS2630" s="5">
        <f t="shared" si="91"/>
        <v>4967.04</v>
      </c>
    </row>
    <row r="2631" spans="1:45" x14ac:dyDescent="0.3">
      <c r="A2631" s="1">
        <v>45900.96597222222</v>
      </c>
      <c r="B2631" t="s">
        <v>1505</v>
      </c>
      <c r="C2631" t="s">
        <v>1506</v>
      </c>
      <c r="D2631" t="s">
        <v>497</v>
      </c>
      <c r="F2631" t="s">
        <v>1703</v>
      </c>
      <c r="G2631" t="s">
        <v>498</v>
      </c>
      <c r="H2631" t="s">
        <v>130</v>
      </c>
      <c r="I2631" t="s">
        <v>43</v>
      </c>
      <c r="J2631">
        <v>53</v>
      </c>
      <c r="K2631">
        <v>19</v>
      </c>
      <c r="L2631">
        <v>10</v>
      </c>
      <c r="M2631">
        <v>11</v>
      </c>
      <c r="N2631">
        <v>96</v>
      </c>
      <c r="O2631">
        <v>0</v>
      </c>
      <c r="P2631">
        <v>0</v>
      </c>
      <c r="Q2631" t="s">
        <v>44</v>
      </c>
      <c r="R2631" t="s">
        <v>44</v>
      </c>
      <c r="S2631" t="s">
        <v>44</v>
      </c>
      <c r="T2631" t="s">
        <v>44</v>
      </c>
      <c r="U2631" t="s">
        <v>44</v>
      </c>
      <c r="V2631">
        <v>96</v>
      </c>
      <c r="W2631" t="s">
        <v>44</v>
      </c>
      <c r="X2631" t="s">
        <v>44</v>
      </c>
      <c r="Y2631">
        <v>96</v>
      </c>
      <c r="Z2631" t="s">
        <v>44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96</v>
      </c>
      <c r="AQ2631">
        <f t="shared" si="90"/>
        <v>96</v>
      </c>
      <c r="AR2631" s="5">
        <f>VLOOKUP(F2631,'[2]SCP_24-25'!$A:$D,4,0)</f>
        <v>51.74</v>
      </c>
      <c r="AS2631" s="5">
        <f t="shared" si="91"/>
        <v>4967.04</v>
      </c>
    </row>
    <row r="2632" spans="1:45" x14ac:dyDescent="0.3">
      <c r="A2632" s="1">
        <v>45900.96597222222</v>
      </c>
      <c r="B2632" t="s">
        <v>1505</v>
      </c>
      <c r="C2632" t="s">
        <v>1506</v>
      </c>
      <c r="D2632" t="s">
        <v>465</v>
      </c>
      <c r="F2632" t="s">
        <v>1687</v>
      </c>
      <c r="G2632" t="s">
        <v>466</v>
      </c>
      <c r="H2632" t="s">
        <v>130</v>
      </c>
      <c r="I2632" t="s">
        <v>43</v>
      </c>
      <c r="J2632">
        <v>29.02</v>
      </c>
      <c r="K2632">
        <v>19</v>
      </c>
      <c r="L2632">
        <v>10</v>
      </c>
      <c r="M2632">
        <v>11</v>
      </c>
      <c r="N2632">
        <v>192</v>
      </c>
      <c r="O2632">
        <v>3</v>
      </c>
      <c r="P2632">
        <v>0</v>
      </c>
      <c r="Q2632" t="s">
        <v>44</v>
      </c>
      <c r="R2632" t="s">
        <v>44</v>
      </c>
      <c r="S2632" t="s">
        <v>44</v>
      </c>
      <c r="T2632" t="s">
        <v>44</v>
      </c>
      <c r="U2632" t="s">
        <v>44</v>
      </c>
      <c r="V2632">
        <v>84</v>
      </c>
      <c r="W2632" t="s">
        <v>44</v>
      </c>
      <c r="X2632" t="s">
        <v>44</v>
      </c>
      <c r="Y2632">
        <v>84</v>
      </c>
      <c r="Z2632" t="s">
        <v>44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87</v>
      </c>
      <c r="AQ2632">
        <f t="shared" ref="AQ2632:AQ2695" si="92">O2632+P2632+V2632+AA2632</f>
        <v>87</v>
      </c>
      <c r="AR2632" s="5">
        <f>VLOOKUP(F2632,'[2]SCP_24-25'!$A:$D,4,0)</f>
        <v>113</v>
      </c>
      <c r="AS2632" s="5">
        <f t="shared" si="91"/>
        <v>9831</v>
      </c>
    </row>
    <row r="2633" spans="1:45" x14ac:dyDescent="0.3">
      <c r="A2633" s="1">
        <v>45900.96597222222</v>
      </c>
      <c r="B2633" t="s">
        <v>1505</v>
      </c>
      <c r="C2633" t="s">
        <v>1506</v>
      </c>
      <c r="D2633" t="s">
        <v>801</v>
      </c>
      <c r="F2633" t="s">
        <v>1852</v>
      </c>
      <c r="G2633" t="s">
        <v>802</v>
      </c>
      <c r="H2633" t="s">
        <v>130</v>
      </c>
      <c r="I2633" t="s">
        <v>43</v>
      </c>
      <c r="J2633">
        <v>32.020000000000003</v>
      </c>
      <c r="K2633">
        <v>19</v>
      </c>
      <c r="L2633">
        <v>10</v>
      </c>
      <c r="M2633">
        <v>11</v>
      </c>
      <c r="N2633">
        <v>96</v>
      </c>
      <c r="O2633">
        <v>0</v>
      </c>
      <c r="P2633">
        <v>0</v>
      </c>
      <c r="Q2633" t="s">
        <v>44</v>
      </c>
      <c r="R2633" t="s">
        <v>44</v>
      </c>
      <c r="S2633" t="s">
        <v>44</v>
      </c>
      <c r="T2633" t="s">
        <v>44</v>
      </c>
      <c r="U2633" t="s">
        <v>44</v>
      </c>
      <c r="V2633">
        <v>92</v>
      </c>
      <c r="W2633" t="s">
        <v>44</v>
      </c>
      <c r="X2633" t="s">
        <v>44</v>
      </c>
      <c r="Y2633">
        <v>92</v>
      </c>
      <c r="Z2633" t="s">
        <v>44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92</v>
      </c>
      <c r="AQ2633">
        <f t="shared" si="92"/>
        <v>92</v>
      </c>
      <c r="AR2633" s="5">
        <f>VLOOKUP(F2633,'[2]SCP_24-25'!$A:$D,4,0)</f>
        <v>96.2</v>
      </c>
      <c r="AS2633" s="5">
        <f t="shared" si="91"/>
        <v>8850.4</v>
      </c>
    </row>
    <row r="2634" spans="1:45" x14ac:dyDescent="0.3">
      <c r="A2634" s="1">
        <v>45900.96597222222</v>
      </c>
      <c r="B2634" t="s">
        <v>1505</v>
      </c>
      <c r="C2634" t="s">
        <v>1506</v>
      </c>
      <c r="D2634" t="s">
        <v>603</v>
      </c>
      <c r="F2634" t="s">
        <v>1755</v>
      </c>
      <c r="G2634" t="s">
        <v>604</v>
      </c>
      <c r="H2634" t="s">
        <v>130</v>
      </c>
      <c r="I2634" t="s">
        <v>43</v>
      </c>
      <c r="J2634">
        <v>71.02</v>
      </c>
      <c r="K2634">
        <v>19</v>
      </c>
      <c r="L2634">
        <v>10</v>
      </c>
      <c r="M2634">
        <v>11</v>
      </c>
      <c r="N2634">
        <v>48</v>
      </c>
      <c r="O2634">
        <v>1</v>
      </c>
      <c r="P2634">
        <v>0</v>
      </c>
      <c r="Q2634" t="s">
        <v>44</v>
      </c>
      <c r="R2634" t="s">
        <v>44</v>
      </c>
      <c r="S2634" t="s">
        <v>44</v>
      </c>
      <c r="T2634" t="s">
        <v>44</v>
      </c>
      <c r="U2634" t="s">
        <v>44</v>
      </c>
      <c r="V2634">
        <v>15</v>
      </c>
      <c r="W2634" t="s">
        <v>44</v>
      </c>
      <c r="X2634" t="s">
        <v>44</v>
      </c>
      <c r="Y2634">
        <v>15</v>
      </c>
      <c r="Z2634" t="s">
        <v>44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16</v>
      </c>
      <c r="AQ2634">
        <f t="shared" si="92"/>
        <v>16</v>
      </c>
      <c r="AR2634" s="5">
        <f>VLOOKUP(F2634,'[2]SCP_24-25'!$A:$D,4,0)</f>
        <v>129.18</v>
      </c>
      <c r="AS2634" s="5">
        <f t="shared" si="91"/>
        <v>2066.88</v>
      </c>
    </row>
    <row r="2635" spans="1:45" x14ac:dyDescent="0.3">
      <c r="A2635" s="1">
        <v>45900.96597222222</v>
      </c>
      <c r="B2635" t="s">
        <v>1505</v>
      </c>
      <c r="C2635" t="s">
        <v>1506</v>
      </c>
      <c r="D2635" t="s">
        <v>805</v>
      </c>
      <c r="F2635" t="s">
        <v>1854</v>
      </c>
      <c r="G2635" t="s">
        <v>806</v>
      </c>
      <c r="H2635" t="s">
        <v>130</v>
      </c>
      <c r="I2635" t="s">
        <v>43</v>
      </c>
      <c r="J2635">
        <v>112.62</v>
      </c>
      <c r="K2635">
        <v>19</v>
      </c>
      <c r="L2635">
        <v>11</v>
      </c>
      <c r="M2635">
        <v>10</v>
      </c>
      <c r="N2635">
        <v>96</v>
      </c>
      <c r="O2635">
        <v>0</v>
      </c>
      <c r="P2635">
        <v>0</v>
      </c>
      <c r="Q2635" t="s">
        <v>44</v>
      </c>
      <c r="R2635">
        <v>48</v>
      </c>
      <c r="S2635" t="s">
        <v>44</v>
      </c>
      <c r="T2635" t="s">
        <v>44</v>
      </c>
      <c r="U2635" t="s">
        <v>44</v>
      </c>
      <c r="V2635">
        <v>25</v>
      </c>
      <c r="W2635" t="s">
        <v>44</v>
      </c>
      <c r="X2635" t="s">
        <v>44</v>
      </c>
      <c r="Y2635">
        <v>25</v>
      </c>
      <c r="Z2635" t="s">
        <v>44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25</v>
      </c>
      <c r="AQ2635">
        <f t="shared" si="92"/>
        <v>25</v>
      </c>
      <c r="AR2635" s="5">
        <f>VLOOKUP(F2635,'[2]SCP_24-25'!$A:$D,4,0)</f>
        <v>114.81</v>
      </c>
      <c r="AS2635" s="5">
        <f t="shared" si="91"/>
        <v>2870.25</v>
      </c>
    </row>
    <row r="2636" spans="1:45" x14ac:dyDescent="0.3">
      <c r="A2636" s="1">
        <v>45900.96597222222</v>
      </c>
      <c r="B2636" t="s">
        <v>1505</v>
      </c>
      <c r="C2636" t="s">
        <v>1506</v>
      </c>
      <c r="D2636" t="s">
        <v>750</v>
      </c>
      <c r="F2636" t="s">
        <v>1828</v>
      </c>
      <c r="G2636" t="s">
        <v>751</v>
      </c>
      <c r="H2636" t="s">
        <v>66</v>
      </c>
      <c r="I2636" t="s">
        <v>43</v>
      </c>
      <c r="J2636">
        <v>161.02000000000001</v>
      </c>
      <c r="K2636">
        <v>19</v>
      </c>
      <c r="L2636">
        <v>11</v>
      </c>
      <c r="M2636">
        <v>10</v>
      </c>
      <c r="N2636">
        <v>42</v>
      </c>
      <c r="O2636">
        <v>0</v>
      </c>
      <c r="P2636">
        <v>0</v>
      </c>
      <c r="Q2636" t="s">
        <v>44</v>
      </c>
      <c r="R2636" t="s">
        <v>44</v>
      </c>
      <c r="S2636" t="s">
        <v>44</v>
      </c>
      <c r="T2636" t="s">
        <v>44</v>
      </c>
      <c r="U2636" t="s">
        <v>44</v>
      </c>
      <c r="V2636">
        <v>42</v>
      </c>
      <c r="W2636" t="s">
        <v>44</v>
      </c>
      <c r="X2636" t="s">
        <v>44</v>
      </c>
      <c r="Y2636">
        <v>42</v>
      </c>
      <c r="Z2636" t="s">
        <v>44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42</v>
      </c>
      <c r="AQ2636">
        <f t="shared" si="92"/>
        <v>42</v>
      </c>
      <c r="AR2636" s="5">
        <f>VLOOKUP(F2636,'[2]SCP_24-25'!$A:$D,4,0)</f>
        <v>297.47000000000003</v>
      </c>
      <c r="AS2636" s="5">
        <f t="shared" si="91"/>
        <v>12493.740000000002</v>
      </c>
    </row>
    <row r="2637" spans="1:45" x14ac:dyDescent="0.3">
      <c r="A2637" s="1">
        <v>45900.96597222222</v>
      </c>
      <c r="B2637" t="s">
        <v>1505</v>
      </c>
      <c r="C2637" t="s">
        <v>1506</v>
      </c>
      <c r="D2637" t="s">
        <v>505</v>
      </c>
      <c r="F2637" t="s">
        <v>1707</v>
      </c>
      <c r="G2637" t="s">
        <v>506</v>
      </c>
      <c r="H2637" t="s">
        <v>66</v>
      </c>
      <c r="I2637" t="s">
        <v>415</v>
      </c>
      <c r="J2637">
        <v>81.52</v>
      </c>
      <c r="K2637">
        <v>19</v>
      </c>
      <c r="L2637">
        <v>10</v>
      </c>
      <c r="M2637">
        <v>11</v>
      </c>
      <c r="N2637">
        <v>360</v>
      </c>
      <c r="O2637">
        <v>0</v>
      </c>
      <c r="P2637">
        <v>0</v>
      </c>
      <c r="Q2637" t="s">
        <v>44</v>
      </c>
      <c r="R2637" t="s">
        <v>44</v>
      </c>
      <c r="S2637" t="s">
        <v>44</v>
      </c>
      <c r="T2637" t="s">
        <v>44</v>
      </c>
      <c r="U2637" t="s">
        <v>44</v>
      </c>
      <c r="V2637">
        <v>1</v>
      </c>
      <c r="W2637" t="s">
        <v>44</v>
      </c>
      <c r="X2637" t="s">
        <v>44</v>
      </c>
      <c r="Y2637">
        <v>1</v>
      </c>
      <c r="Z2637" t="s">
        <v>44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f t="shared" si="92"/>
        <v>1</v>
      </c>
      <c r="AR2637" s="5">
        <f>VLOOKUP(F2637,'[2]SCP_24-25'!$A:$D,4,0)</f>
        <v>84.2</v>
      </c>
      <c r="AS2637" s="5">
        <f t="shared" si="91"/>
        <v>84.2</v>
      </c>
    </row>
    <row r="2638" spans="1:45" x14ac:dyDescent="0.3">
      <c r="A2638" s="1">
        <v>45900.96597222222</v>
      </c>
      <c r="B2638" t="s">
        <v>1505</v>
      </c>
      <c r="C2638" t="s">
        <v>1506</v>
      </c>
      <c r="D2638" t="s">
        <v>584</v>
      </c>
      <c r="F2638" t="s">
        <v>1746</v>
      </c>
      <c r="G2638" t="s">
        <v>585</v>
      </c>
      <c r="H2638" t="s">
        <v>103</v>
      </c>
      <c r="I2638" t="s">
        <v>415</v>
      </c>
      <c r="J2638">
        <v>200</v>
      </c>
      <c r="K2638">
        <v>19</v>
      </c>
      <c r="L2638">
        <v>10</v>
      </c>
      <c r="M2638">
        <v>11</v>
      </c>
      <c r="N2638">
        <v>312</v>
      </c>
      <c r="O2638">
        <v>0</v>
      </c>
      <c r="P2638">
        <v>0</v>
      </c>
      <c r="Q2638" t="s">
        <v>44</v>
      </c>
      <c r="R2638" t="s">
        <v>44</v>
      </c>
      <c r="S2638" t="s">
        <v>44</v>
      </c>
      <c r="T2638" t="s">
        <v>44</v>
      </c>
      <c r="U2638" t="s">
        <v>44</v>
      </c>
      <c r="V2638">
        <v>4</v>
      </c>
      <c r="W2638" t="s">
        <v>44</v>
      </c>
      <c r="X2638" t="s">
        <v>44</v>
      </c>
      <c r="Y2638">
        <v>4</v>
      </c>
      <c r="Z2638" t="s">
        <v>44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4</v>
      </c>
      <c r="AQ2638">
        <f t="shared" si="92"/>
        <v>4</v>
      </c>
      <c r="AR2638" s="5">
        <f>VLOOKUP(F2638,'[2]SCP_24-25'!$A:$D,4,0)</f>
        <v>65.53</v>
      </c>
      <c r="AS2638" s="5">
        <f t="shared" si="91"/>
        <v>262.12</v>
      </c>
    </row>
    <row r="2639" spans="1:45" x14ac:dyDescent="0.3">
      <c r="A2639" s="1">
        <v>45900.96597222222</v>
      </c>
      <c r="B2639" t="s">
        <v>1505</v>
      </c>
      <c r="C2639" t="s">
        <v>1506</v>
      </c>
      <c r="D2639" t="s">
        <v>899</v>
      </c>
      <c r="E2639" t="s">
        <v>900</v>
      </c>
      <c r="F2639" t="s">
        <v>1900</v>
      </c>
      <c r="G2639" t="s">
        <v>901</v>
      </c>
      <c r="H2639" t="s">
        <v>621</v>
      </c>
      <c r="I2639" t="s">
        <v>43</v>
      </c>
      <c r="J2639">
        <v>70.8</v>
      </c>
      <c r="K2639">
        <v>19</v>
      </c>
      <c r="L2639">
        <v>8.5</v>
      </c>
      <c r="M2639">
        <v>11</v>
      </c>
      <c r="N2639">
        <v>33800</v>
      </c>
      <c r="O2639">
        <v>0</v>
      </c>
      <c r="P2639">
        <v>0</v>
      </c>
      <c r="Q2639" t="s">
        <v>44</v>
      </c>
      <c r="R2639" t="s">
        <v>44</v>
      </c>
      <c r="S2639" t="s">
        <v>44</v>
      </c>
      <c r="T2639" t="s">
        <v>44</v>
      </c>
      <c r="U2639" t="s">
        <v>44</v>
      </c>
      <c r="V2639">
        <v>16316</v>
      </c>
      <c r="W2639" t="s">
        <v>44</v>
      </c>
      <c r="X2639" t="s">
        <v>44</v>
      </c>
      <c r="Y2639">
        <v>16316</v>
      </c>
      <c r="Z2639" t="s">
        <v>44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 s="2">
        <v>16316</v>
      </c>
      <c r="AQ2639">
        <f t="shared" si="92"/>
        <v>16316</v>
      </c>
      <c r="AR2639" s="5">
        <f>VLOOKUP(F2639,'[2]SCP_24-25'!$A:$D,4,0)</f>
        <v>3.9500000000000011</v>
      </c>
      <c r="AS2639" s="5">
        <f t="shared" si="91"/>
        <v>64448.200000000019</v>
      </c>
    </row>
    <row r="2640" spans="1:45" x14ac:dyDescent="0.3">
      <c r="A2640" s="1">
        <v>45900.96597222222</v>
      </c>
      <c r="B2640" t="s">
        <v>1505</v>
      </c>
      <c r="C2640" t="s">
        <v>1506</v>
      </c>
      <c r="D2640" t="s">
        <v>1346</v>
      </c>
      <c r="E2640" t="s">
        <v>1347</v>
      </c>
      <c r="F2640" t="s">
        <v>2122</v>
      </c>
      <c r="G2640" t="s">
        <v>1348</v>
      </c>
      <c r="H2640" t="s">
        <v>621</v>
      </c>
      <c r="I2640" t="s">
        <v>43</v>
      </c>
      <c r="J2640">
        <v>139.30000000000001</v>
      </c>
      <c r="K2640">
        <v>22.8</v>
      </c>
      <c r="L2640">
        <v>7.62</v>
      </c>
      <c r="M2640">
        <v>17.7</v>
      </c>
      <c r="N2640">
        <v>19600</v>
      </c>
      <c r="O2640">
        <v>0</v>
      </c>
      <c r="P2640">
        <v>0</v>
      </c>
      <c r="Q2640" t="s">
        <v>44</v>
      </c>
      <c r="R2640" t="s">
        <v>44</v>
      </c>
      <c r="S2640" t="s">
        <v>44</v>
      </c>
      <c r="T2640" t="s">
        <v>44</v>
      </c>
      <c r="U2640" t="s">
        <v>44</v>
      </c>
      <c r="V2640">
        <v>13143</v>
      </c>
      <c r="W2640" t="s">
        <v>44</v>
      </c>
      <c r="X2640" t="s">
        <v>44</v>
      </c>
      <c r="Y2640">
        <v>13142</v>
      </c>
      <c r="Z2640" t="s">
        <v>44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 s="2">
        <v>13143</v>
      </c>
      <c r="AQ2640">
        <f t="shared" si="92"/>
        <v>13143</v>
      </c>
      <c r="AR2640" s="5">
        <f>VLOOKUP(F2640,'[2]SCP_24-25'!$A:$D,4,0)</f>
        <v>6.9774999999999991</v>
      </c>
      <c r="AS2640" s="5">
        <f t="shared" si="91"/>
        <v>91705.282499999987</v>
      </c>
    </row>
    <row r="2641" spans="1:45" x14ac:dyDescent="0.3">
      <c r="A2641" s="1">
        <v>45900.96597222222</v>
      </c>
      <c r="B2641" t="s">
        <v>1505</v>
      </c>
      <c r="C2641" t="s">
        <v>1506</v>
      </c>
      <c r="D2641" t="s">
        <v>131</v>
      </c>
      <c r="F2641" t="s">
        <v>1543</v>
      </c>
      <c r="G2641" t="s">
        <v>132</v>
      </c>
      <c r="H2641" t="s">
        <v>103</v>
      </c>
      <c r="I2641" t="s">
        <v>43</v>
      </c>
      <c r="J2641">
        <v>250</v>
      </c>
      <c r="K2641">
        <v>19</v>
      </c>
      <c r="L2641">
        <v>10</v>
      </c>
      <c r="M2641">
        <v>11</v>
      </c>
      <c r="N2641">
        <v>1102</v>
      </c>
      <c r="O2641">
        <v>2</v>
      </c>
      <c r="P2641">
        <v>0</v>
      </c>
      <c r="Q2641">
        <v>3</v>
      </c>
      <c r="R2641" t="s">
        <v>44</v>
      </c>
      <c r="S2641" t="s">
        <v>44</v>
      </c>
      <c r="T2641">
        <v>2</v>
      </c>
      <c r="U2641" t="s">
        <v>44</v>
      </c>
      <c r="V2641">
        <v>409</v>
      </c>
      <c r="W2641" t="s">
        <v>44</v>
      </c>
      <c r="X2641" t="s">
        <v>44</v>
      </c>
      <c r="Y2641">
        <v>409</v>
      </c>
      <c r="Z2641" t="s">
        <v>44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411</v>
      </c>
      <c r="AQ2641">
        <f t="shared" si="92"/>
        <v>411</v>
      </c>
      <c r="AR2641" s="5">
        <f>VLOOKUP(F2641,'[2]SCP_24-25'!$A:$D,4,0)</f>
        <v>78.88</v>
      </c>
      <c r="AS2641" s="5">
        <f t="shared" si="91"/>
        <v>32419.679999999997</v>
      </c>
    </row>
    <row r="2642" spans="1:45" x14ac:dyDescent="0.3">
      <c r="A2642" s="1">
        <v>45900.96597222222</v>
      </c>
      <c r="B2642" t="s">
        <v>1505</v>
      </c>
      <c r="C2642" t="s">
        <v>1506</v>
      </c>
      <c r="D2642" t="s">
        <v>139</v>
      </c>
      <c r="F2642" t="s">
        <v>1547</v>
      </c>
      <c r="G2642" t="s">
        <v>140</v>
      </c>
      <c r="H2642" t="s">
        <v>66</v>
      </c>
      <c r="I2642" t="s">
        <v>43</v>
      </c>
      <c r="J2642">
        <v>176</v>
      </c>
      <c r="K2642">
        <v>11</v>
      </c>
      <c r="L2642">
        <v>19</v>
      </c>
      <c r="M2642">
        <v>10</v>
      </c>
      <c r="N2642">
        <v>480</v>
      </c>
      <c r="O2642">
        <v>1</v>
      </c>
      <c r="P2642">
        <v>0</v>
      </c>
      <c r="Q2642" t="s">
        <v>44</v>
      </c>
      <c r="R2642" t="s">
        <v>44</v>
      </c>
      <c r="S2642" t="s">
        <v>44</v>
      </c>
      <c r="T2642" t="s">
        <v>44</v>
      </c>
      <c r="U2642" t="s">
        <v>44</v>
      </c>
      <c r="V2642">
        <v>363</v>
      </c>
      <c r="W2642" t="s">
        <v>44</v>
      </c>
      <c r="X2642" t="s">
        <v>44</v>
      </c>
      <c r="Y2642">
        <v>363</v>
      </c>
      <c r="Z2642" t="s">
        <v>44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364</v>
      </c>
      <c r="AQ2642">
        <f t="shared" si="92"/>
        <v>364</v>
      </c>
      <c r="AR2642" s="5">
        <f>VLOOKUP(F2642,'[2]SCP_24-25'!$A:$D,4,0)</f>
        <v>60.54</v>
      </c>
      <c r="AS2642" s="5">
        <f t="shared" si="91"/>
        <v>22036.560000000001</v>
      </c>
    </row>
    <row r="2643" spans="1:45" x14ac:dyDescent="0.3">
      <c r="A2643" s="1">
        <v>45900.96597222222</v>
      </c>
      <c r="B2643" t="s">
        <v>1505</v>
      </c>
      <c r="C2643" t="s">
        <v>1506</v>
      </c>
      <c r="D2643" t="s">
        <v>141</v>
      </c>
      <c r="F2643" t="s">
        <v>1548</v>
      </c>
      <c r="G2643" t="s">
        <v>142</v>
      </c>
      <c r="H2643" t="s">
        <v>66</v>
      </c>
      <c r="I2643" t="s">
        <v>43</v>
      </c>
      <c r="J2643">
        <v>121</v>
      </c>
      <c r="K2643">
        <v>19</v>
      </c>
      <c r="L2643">
        <v>9.5</v>
      </c>
      <c r="M2643">
        <v>11</v>
      </c>
      <c r="N2643">
        <v>582</v>
      </c>
      <c r="O2643">
        <v>2</v>
      </c>
      <c r="P2643">
        <v>0</v>
      </c>
      <c r="Q2643" t="s">
        <v>44</v>
      </c>
      <c r="R2643" t="s">
        <v>44</v>
      </c>
      <c r="S2643" t="s">
        <v>44</v>
      </c>
      <c r="T2643">
        <v>6</v>
      </c>
      <c r="U2643" t="s">
        <v>44</v>
      </c>
      <c r="V2643">
        <v>360</v>
      </c>
      <c r="W2643" t="s">
        <v>44</v>
      </c>
      <c r="X2643" t="s">
        <v>44</v>
      </c>
      <c r="Y2643">
        <v>360</v>
      </c>
      <c r="Z2643" t="s">
        <v>44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362</v>
      </c>
      <c r="AQ2643">
        <f t="shared" si="92"/>
        <v>362</v>
      </c>
      <c r="AR2643" s="5">
        <f>VLOOKUP(F2643,'[2]SCP_24-25'!$A:$D,4,0)</f>
        <v>38.68</v>
      </c>
      <c r="AS2643" s="5">
        <f t="shared" si="91"/>
        <v>14002.16</v>
      </c>
    </row>
    <row r="2644" spans="1:45" x14ac:dyDescent="0.3">
      <c r="A2644" s="1">
        <v>45900.96597222222</v>
      </c>
      <c r="B2644" t="s">
        <v>1505</v>
      </c>
      <c r="C2644" t="s">
        <v>1506</v>
      </c>
      <c r="D2644" t="s">
        <v>143</v>
      </c>
      <c r="F2644" t="s">
        <v>1549</v>
      </c>
      <c r="G2644" t="s">
        <v>144</v>
      </c>
      <c r="H2644" t="s">
        <v>103</v>
      </c>
      <c r="I2644" t="s">
        <v>43</v>
      </c>
      <c r="J2644">
        <v>122</v>
      </c>
      <c r="K2644">
        <v>19</v>
      </c>
      <c r="L2644">
        <v>9.5</v>
      </c>
      <c r="M2644">
        <v>11</v>
      </c>
      <c r="N2644">
        <v>572</v>
      </c>
      <c r="O2644">
        <v>3</v>
      </c>
      <c r="P2644">
        <v>0</v>
      </c>
      <c r="Q2644">
        <v>1</v>
      </c>
      <c r="R2644" t="s">
        <v>44</v>
      </c>
      <c r="S2644" t="s">
        <v>44</v>
      </c>
      <c r="T2644">
        <v>4</v>
      </c>
      <c r="U2644" t="s">
        <v>44</v>
      </c>
      <c r="V2644">
        <v>323</v>
      </c>
      <c r="W2644" t="s">
        <v>44</v>
      </c>
      <c r="X2644" t="s">
        <v>44</v>
      </c>
      <c r="Y2644">
        <v>323</v>
      </c>
      <c r="Z2644" t="s">
        <v>44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326</v>
      </c>
      <c r="AQ2644">
        <f t="shared" si="92"/>
        <v>326</v>
      </c>
      <c r="AR2644" s="5">
        <f>VLOOKUP(F2644,'[2]SCP_24-25'!$A:$D,4,0)</f>
        <v>100.66</v>
      </c>
      <c r="AS2644" s="5">
        <f t="shared" si="91"/>
        <v>32815.159999999996</v>
      </c>
    </row>
    <row r="2645" spans="1:45" x14ac:dyDescent="0.3">
      <c r="A2645" s="1">
        <v>45900.96597222222</v>
      </c>
      <c r="B2645" t="s">
        <v>1505</v>
      </c>
      <c r="C2645" t="s">
        <v>1506</v>
      </c>
      <c r="D2645" t="s">
        <v>145</v>
      </c>
      <c r="F2645" t="s">
        <v>1550</v>
      </c>
      <c r="G2645" t="s">
        <v>146</v>
      </c>
      <c r="H2645" t="s">
        <v>103</v>
      </c>
      <c r="I2645" t="s">
        <v>43</v>
      </c>
      <c r="J2645">
        <v>300</v>
      </c>
      <c r="K2645">
        <v>19</v>
      </c>
      <c r="L2645">
        <v>9.5</v>
      </c>
      <c r="M2645">
        <v>11</v>
      </c>
      <c r="N2645">
        <v>1404</v>
      </c>
      <c r="O2645">
        <v>1</v>
      </c>
      <c r="P2645">
        <v>0</v>
      </c>
      <c r="Q2645" t="s">
        <v>44</v>
      </c>
      <c r="R2645" t="s">
        <v>44</v>
      </c>
      <c r="S2645" t="s">
        <v>44</v>
      </c>
      <c r="T2645" t="s">
        <v>44</v>
      </c>
      <c r="U2645" t="s">
        <v>44</v>
      </c>
      <c r="V2645">
        <v>397</v>
      </c>
      <c r="W2645" t="s">
        <v>44</v>
      </c>
      <c r="X2645" t="s">
        <v>44</v>
      </c>
      <c r="Y2645">
        <v>397</v>
      </c>
      <c r="Z2645" t="s">
        <v>44</v>
      </c>
      <c r="AA2645">
        <v>0</v>
      </c>
      <c r="AB2645">
        <v>316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398</v>
      </c>
      <c r="AQ2645">
        <f t="shared" si="92"/>
        <v>398</v>
      </c>
      <c r="AR2645" s="5">
        <f>VLOOKUP(F2645,'[2]SCP_24-25'!$A:$D,4,0)</f>
        <v>102.91</v>
      </c>
      <c r="AS2645" s="5">
        <f t="shared" si="91"/>
        <v>40958.18</v>
      </c>
    </row>
    <row r="2646" spans="1:45" x14ac:dyDescent="0.3">
      <c r="A2646" s="1">
        <v>45900.96597222222</v>
      </c>
      <c r="B2646" t="s">
        <v>1505</v>
      </c>
      <c r="C2646" t="s">
        <v>1506</v>
      </c>
      <c r="D2646" t="s">
        <v>149</v>
      </c>
      <c r="F2646" t="s">
        <v>1552</v>
      </c>
      <c r="G2646" t="s">
        <v>150</v>
      </c>
      <c r="H2646" t="s">
        <v>66</v>
      </c>
      <c r="I2646" t="s">
        <v>43</v>
      </c>
      <c r="J2646">
        <v>116.62</v>
      </c>
      <c r="K2646">
        <v>19</v>
      </c>
      <c r="L2646">
        <v>9.5</v>
      </c>
      <c r="M2646">
        <v>11</v>
      </c>
      <c r="N2646">
        <v>1344</v>
      </c>
      <c r="O2646">
        <v>2</v>
      </c>
      <c r="P2646">
        <v>0</v>
      </c>
      <c r="Q2646" t="s">
        <v>44</v>
      </c>
      <c r="R2646">
        <v>1</v>
      </c>
      <c r="S2646" t="s">
        <v>44</v>
      </c>
      <c r="T2646" t="s">
        <v>44</v>
      </c>
      <c r="U2646" t="s">
        <v>44</v>
      </c>
      <c r="V2646">
        <v>711</v>
      </c>
      <c r="W2646" t="s">
        <v>44</v>
      </c>
      <c r="X2646" t="s">
        <v>44</v>
      </c>
      <c r="Y2646">
        <v>711</v>
      </c>
      <c r="Z2646" t="s">
        <v>44</v>
      </c>
      <c r="AA2646">
        <v>0</v>
      </c>
      <c r="AB2646">
        <v>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713</v>
      </c>
      <c r="AQ2646">
        <f t="shared" si="92"/>
        <v>713</v>
      </c>
      <c r="AR2646" s="5">
        <f>VLOOKUP(F2646,'[2]SCP_24-25'!$A:$D,4,0)</f>
        <v>35.085999999999999</v>
      </c>
      <c r="AS2646" s="5">
        <f t="shared" si="91"/>
        <v>25016.317999999999</v>
      </c>
    </row>
    <row r="2647" spans="1:45" x14ac:dyDescent="0.3">
      <c r="A2647" s="1">
        <v>45900.96597222222</v>
      </c>
      <c r="B2647" t="s">
        <v>1505</v>
      </c>
      <c r="C2647" t="s">
        <v>1506</v>
      </c>
      <c r="D2647" t="s">
        <v>151</v>
      </c>
      <c r="F2647" t="s">
        <v>1553</v>
      </c>
      <c r="G2647" t="s">
        <v>152</v>
      </c>
      <c r="H2647" t="s">
        <v>66</v>
      </c>
      <c r="I2647" t="s">
        <v>43</v>
      </c>
      <c r="J2647">
        <v>119.96</v>
      </c>
      <c r="K2647">
        <v>19</v>
      </c>
      <c r="L2647">
        <v>9.5</v>
      </c>
      <c r="M2647">
        <v>11</v>
      </c>
      <c r="N2647">
        <v>288</v>
      </c>
      <c r="O2647">
        <v>1</v>
      </c>
      <c r="P2647">
        <v>0</v>
      </c>
      <c r="Q2647" t="s">
        <v>44</v>
      </c>
      <c r="R2647" t="s">
        <v>44</v>
      </c>
      <c r="S2647" t="s">
        <v>44</v>
      </c>
      <c r="T2647" t="s">
        <v>44</v>
      </c>
      <c r="U2647" t="s">
        <v>44</v>
      </c>
      <c r="V2647">
        <v>130</v>
      </c>
      <c r="W2647" t="s">
        <v>44</v>
      </c>
      <c r="X2647" t="s">
        <v>44</v>
      </c>
      <c r="Y2647">
        <v>130</v>
      </c>
      <c r="Z2647" t="s">
        <v>44</v>
      </c>
      <c r="AA2647">
        <v>0</v>
      </c>
      <c r="AB2647">
        <v>4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131</v>
      </c>
      <c r="AQ2647">
        <f t="shared" si="92"/>
        <v>131</v>
      </c>
      <c r="AR2647" s="5">
        <f>VLOOKUP(F2647,'[2]SCP_24-25'!$A:$D,4,0)</f>
        <v>25.264285714285712</v>
      </c>
      <c r="AS2647" s="5">
        <f t="shared" si="91"/>
        <v>3309.6214285714282</v>
      </c>
    </row>
    <row r="2648" spans="1:45" x14ac:dyDescent="0.3">
      <c r="A2648" s="1">
        <v>45900.96597222222</v>
      </c>
      <c r="B2648" t="s">
        <v>1505</v>
      </c>
      <c r="C2648" t="s">
        <v>1506</v>
      </c>
      <c r="D2648" t="s">
        <v>153</v>
      </c>
      <c r="F2648" t="s">
        <v>1554</v>
      </c>
      <c r="G2648" t="s">
        <v>154</v>
      </c>
      <c r="H2648" t="s">
        <v>66</v>
      </c>
      <c r="I2648" t="s">
        <v>43</v>
      </c>
      <c r="J2648">
        <v>92.91</v>
      </c>
      <c r="K2648">
        <v>19</v>
      </c>
      <c r="L2648">
        <v>9.5</v>
      </c>
      <c r="M2648">
        <v>11</v>
      </c>
      <c r="N2648">
        <v>1008</v>
      </c>
      <c r="O2648">
        <v>2</v>
      </c>
      <c r="P2648">
        <v>0</v>
      </c>
      <c r="Q2648" t="s">
        <v>44</v>
      </c>
      <c r="R2648">
        <v>216</v>
      </c>
      <c r="S2648" t="s">
        <v>44</v>
      </c>
      <c r="T2648" t="s">
        <v>44</v>
      </c>
      <c r="U2648" t="s">
        <v>44</v>
      </c>
      <c r="V2648">
        <v>639</v>
      </c>
      <c r="W2648" t="s">
        <v>44</v>
      </c>
      <c r="X2648" t="s">
        <v>44</v>
      </c>
      <c r="Y2648">
        <v>639</v>
      </c>
      <c r="Z2648" t="s">
        <v>44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641</v>
      </c>
      <c r="AQ2648">
        <f t="shared" si="92"/>
        <v>641</v>
      </c>
      <c r="AR2648" s="5">
        <f>VLOOKUP(F2648,'[2]SCP_24-25'!$A:$D,4,0)</f>
        <v>41.09</v>
      </c>
      <c r="AS2648" s="5">
        <f t="shared" si="91"/>
        <v>26338.690000000002</v>
      </c>
    </row>
    <row r="2649" spans="1:45" x14ac:dyDescent="0.3">
      <c r="A2649" s="1">
        <v>45900.96597222222</v>
      </c>
      <c r="B2649" t="s">
        <v>1505</v>
      </c>
      <c r="C2649" t="s">
        <v>1506</v>
      </c>
      <c r="D2649" t="s">
        <v>157</v>
      </c>
      <c r="F2649" t="s">
        <v>1556</v>
      </c>
      <c r="G2649" t="s">
        <v>158</v>
      </c>
      <c r="H2649" t="s">
        <v>66</v>
      </c>
      <c r="I2649" t="s">
        <v>43</v>
      </c>
      <c r="J2649">
        <v>116</v>
      </c>
      <c r="K2649">
        <v>19</v>
      </c>
      <c r="L2649">
        <v>9.5</v>
      </c>
      <c r="M2649">
        <v>11</v>
      </c>
      <c r="N2649">
        <v>624</v>
      </c>
      <c r="O2649">
        <v>2</v>
      </c>
      <c r="P2649">
        <v>0</v>
      </c>
      <c r="Q2649" t="s">
        <v>44</v>
      </c>
      <c r="R2649">
        <v>48</v>
      </c>
      <c r="S2649" t="s">
        <v>44</v>
      </c>
      <c r="T2649" t="s">
        <v>44</v>
      </c>
      <c r="U2649" t="s">
        <v>44</v>
      </c>
      <c r="V2649">
        <v>486</v>
      </c>
      <c r="W2649" t="s">
        <v>44</v>
      </c>
      <c r="X2649" t="s">
        <v>44</v>
      </c>
      <c r="Y2649">
        <v>486</v>
      </c>
      <c r="Z2649" t="s">
        <v>44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488</v>
      </c>
      <c r="AQ2649">
        <f t="shared" si="92"/>
        <v>488</v>
      </c>
      <c r="AR2649" s="5">
        <f>VLOOKUP(F2649,'[2]SCP_24-25'!$A:$D,4,0)</f>
        <v>37.17</v>
      </c>
      <c r="AS2649" s="5">
        <f t="shared" si="91"/>
        <v>18138.96</v>
      </c>
    </row>
    <row r="2650" spans="1:45" x14ac:dyDescent="0.3">
      <c r="A2650" s="1">
        <v>45900.96597222222</v>
      </c>
      <c r="B2650" t="s">
        <v>1505</v>
      </c>
      <c r="C2650" t="s">
        <v>1506</v>
      </c>
      <c r="D2650" t="s">
        <v>159</v>
      </c>
      <c r="F2650" t="s">
        <v>1557</v>
      </c>
      <c r="G2650" t="s">
        <v>160</v>
      </c>
      <c r="H2650" t="s">
        <v>66</v>
      </c>
      <c r="I2650" t="s">
        <v>43</v>
      </c>
      <c r="J2650">
        <v>73.209999999999994</v>
      </c>
      <c r="K2650">
        <v>19</v>
      </c>
      <c r="L2650">
        <v>9.5</v>
      </c>
      <c r="M2650">
        <v>11</v>
      </c>
      <c r="N2650">
        <v>432</v>
      </c>
      <c r="O2650">
        <v>1</v>
      </c>
      <c r="P2650">
        <v>0</v>
      </c>
      <c r="Q2650" t="s">
        <v>44</v>
      </c>
      <c r="R2650">
        <v>72</v>
      </c>
      <c r="S2650" t="s">
        <v>44</v>
      </c>
      <c r="T2650" t="s">
        <v>44</v>
      </c>
      <c r="U2650" t="s">
        <v>44</v>
      </c>
      <c r="V2650">
        <v>294</v>
      </c>
      <c r="W2650" t="s">
        <v>44</v>
      </c>
      <c r="X2650" t="s">
        <v>44</v>
      </c>
      <c r="Y2650">
        <v>294</v>
      </c>
      <c r="Z2650" t="s">
        <v>44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295</v>
      </c>
      <c r="AQ2650">
        <f t="shared" si="92"/>
        <v>295</v>
      </c>
      <c r="AR2650" s="5">
        <f>VLOOKUP(F2650,'[2]SCP_24-25'!$A:$D,4,0)</f>
        <v>40.090000000000003</v>
      </c>
      <c r="AS2650" s="5">
        <f t="shared" si="91"/>
        <v>11826.550000000001</v>
      </c>
    </row>
    <row r="2651" spans="1:45" x14ac:dyDescent="0.3">
      <c r="A2651" s="1">
        <v>45900.96597222222</v>
      </c>
      <c r="B2651" t="s">
        <v>1505</v>
      </c>
      <c r="C2651" t="s">
        <v>1506</v>
      </c>
      <c r="D2651" t="s">
        <v>161</v>
      </c>
      <c r="F2651" t="s">
        <v>1558</v>
      </c>
      <c r="G2651" t="s">
        <v>162</v>
      </c>
      <c r="H2651" t="s">
        <v>66</v>
      </c>
      <c r="I2651" t="s">
        <v>43</v>
      </c>
      <c r="J2651">
        <v>92.53</v>
      </c>
      <c r="K2651">
        <v>19</v>
      </c>
      <c r="L2651">
        <v>9.5</v>
      </c>
      <c r="M2651">
        <v>11</v>
      </c>
      <c r="N2651">
        <v>1368</v>
      </c>
      <c r="O2651">
        <v>3</v>
      </c>
      <c r="P2651">
        <v>0</v>
      </c>
      <c r="Q2651" t="s">
        <v>44</v>
      </c>
      <c r="R2651">
        <v>1</v>
      </c>
      <c r="S2651" t="s">
        <v>44</v>
      </c>
      <c r="T2651" t="s">
        <v>44</v>
      </c>
      <c r="U2651" t="s">
        <v>44</v>
      </c>
      <c r="V2651">
        <v>588</v>
      </c>
      <c r="W2651" t="s">
        <v>44</v>
      </c>
      <c r="X2651" t="s">
        <v>44</v>
      </c>
      <c r="Y2651">
        <v>588</v>
      </c>
      <c r="Z2651" t="s">
        <v>44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591</v>
      </c>
      <c r="AQ2651">
        <f t="shared" si="92"/>
        <v>591</v>
      </c>
      <c r="AR2651" s="5">
        <f>VLOOKUP(F2651,'[2]SCP_24-25'!$A:$D,4,0)</f>
        <v>41.87</v>
      </c>
      <c r="AS2651" s="5">
        <f t="shared" si="91"/>
        <v>24745.17</v>
      </c>
    </row>
    <row r="2652" spans="1:45" x14ac:dyDescent="0.3">
      <c r="A2652" s="1">
        <v>45900.96597222222</v>
      </c>
      <c r="B2652" t="s">
        <v>1505</v>
      </c>
      <c r="C2652" t="s">
        <v>1506</v>
      </c>
      <c r="D2652" t="s">
        <v>165</v>
      </c>
      <c r="E2652" s="3">
        <v>8910000000000</v>
      </c>
      <c r="F2652" t="s">
        <v>1560</v>
      </c>
      <c r="G2652" t="s">
        <v>166</v>
      </c>
      <c r="H2652" t="s">
        <v>66</v>
      </c>
      <c r="I2652" t="s">
        <v>43</v>
      </c>
      <c r="J2652">
        <v>93.27</v>
      </c>
      <c r="K2652">
        <v>19</v>
      </c>
      <c r="L2652">
        <v>11</v>
      </c>
      <c r="M2652">
        <v>9.5</v>
      </c>
      <c r="N2652">
        <v>1739</v>
      </c>
      <c r="O2652">
        <v>2</v>
      </c>
      <c r="P2652">
        <v>0</v>
      </c>
      <c r="Q2652" t="s">
        <v>44</v>
      </c>
      <c r="R2652">
        <v>1</v>
      </c>
      <c r="S2652" t="s">
        <v>44</v>
      </c>
      <c r="T2652">
        <v>61</v>
      </c>
      <c r="U2652" t="s">
        <v>44</v>
      </c>
      <c r="V2652">
        <v>707</v>
      </c>
      <c r="W2652" t="s">
        <v>44</v>
      </c>
      <c r="X2652" t="s">
        <v>44</v>
      </c>
      <c r="Y2652">
        <v>707</v>
      </c>
      <c r="Z2652" t="s">
        <v>44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709</v>
      </c>
      <c r="AQ2652">
        <f t="shared" si="92"/>
        <v>709</v>
      </c>
      <c r="AR2652" s="5">
        <f>VLOOKUP(F2652,'[2]SCP_24-25'!$A:$D,4,0)</f>
        <v>69.16</v>
      </c>
      <c r="AS2652" s="5">
        <f t="shared" si="91"/>
        <v>49034.439999999995</v>
      </c>
    </row>
    <row r="2653" spans="1:45" x14ac:dyDescent="0.3">
      <c r="A2653" s="1">
        <v>45900.96597222222</v>
      </c>
      <c r="B2653" t="s">
        <v>1505</v>
      </c>
      <c r="C2653" t="s">
        <v>1506</v>
      </c>
      <c r="D2653" t="s">
        <v>173</v>
      </c>
      <c r="F2653" t="s">
        <v>1564</v>
      </c>
      <c r="G2653" t="s">
        <v>174</v>
      </c>
      <c r="H2653" t="s">
        <v>66</v>
      </c>
      <c r="I2653" t="s">
        <v>43</v>
      </c>
      <c r="J2653">
        <v>101</v>
      </c>
      <c r="K2653">
        <v>19</v>
      </c>
      <c r="L2653">
        <v>9.5</v>
      </c>
      <c r="M2653">
        <v>11</v>
      </c>
      <c r="N2653">
        <v>1080</v>
      </c>
      <c r="O2653">
        <v>6</v>
      </c>
      <c r="P2653">
        <v>0</v>
      </c>
      <c r="Q2653" t="s">
        <v>44</v>
      </c>
      <c r="R2653" t="s">
        <v>44</v>
      </c>
      <c r="S2653" t="s">
        <v>44</v>
      </c>
      <c r="T2653" t="s">
        <v>44</v>
      </c>
      <c r="U2653" t="s">
        <v>44</v>
      </c>
      <c r="V2653">
        <v>514</v>
      </c>
      <c r="W2653" t="s">
        <v>44</v>
      </c>
      <c r="X2653" t="s">
        <v>44</v>
      </c>
      <c r="Y2653">
        <v>514</v>
      </c>
      <c r="Z2653" t="s">
        <v>44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520</v>
      </c>
      <c r="AQ2653">
        <f t="shared" si="92"/>
        <v>520</v>
      </c>
      <c r="AR2653" s="5">
        <f>VLOOKUP(F2653,'[2]SCP_24-25'!$A:$D,4,0)</f>
        <v>51.353999999999999</v>
      </c>
      <c r="AS2653" s="5">
        <f t="shared" si="91"/>
        <v>26704.079999999998</v>
      </c>
    </row>
    <row r="2654" spans="1:45" x14ac:dyDescent="0.3">
      <c r="A2654" s="1">
        <v>45900.96597222222</v>
      </c>
      <c r="B2654" t="s">
        <v>1505</v>
      </c>
      <c r="C2654" t="s">
        <v>1506</v>
      </c>
      <c r="D2654" t="s">
        <v>175</v>
      </c>
      <c r="F2654" t="s">
        <v>1565</v>
      </c>
      <c r="G2654" t="s">
        <v>176</v>
      </c>
      <c r="H2654" t="s">
        <v>66</v>
      </c>
      <c r="I2654" t="s">
        <v>43</v>
      </c>
      <c r="J2654">
        <v>101</v>
      </c>
      <c r="K2654">
        <v>18</v>
      </c>
      <c r="L2654">
        <v>9.5</v>
      </c>
      <c r="M2654">
        <v>11</v>
      </c>
      <c r="N2654">
        <v>576</v>
      </c>
      <c r="O2654">
        <v>4</v>
      </c>
      <c r="P2654">
        <v>0</v>
      </c>
      <c r="Q2654" t="s">
        <v>44</v>
      </c>
      <c r="R2654" t="s">
        <v>44</v>
      </c>
      <c r="S2654" t="s">
        <v>44</v>
      </c>
      <c r="T2654" t="s">
        <v>44</v>
      </c>
      <c r="U2654" t="s">
        <v>44</v>
      </c>
      <c r="V2654">
        <v>292</v>
      </c>
      <c r="W2654" t="s">
        <v>44</v>
      </c>
      <c r="X2654" t="s">
        <v>44</v>
      </c>
      <c r="Y2654">
        <v>292</v>
      </c>
      <c r="Z2654" t="s">
        <v>44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296</v>
      </c>
      <c r="AQ2654">
        <f t="shared" si="92"/>
        <v>296</v>
      </c>
      <c r="AR2654" s="5">
        <f>VLOOKUP(F2654,'[2]SCP_24-25'!$A:$D,4,0)</f>
        <v>75.27</v>
      </c>
      <c r="AS2654" s="5">
        <f t="shared" si="91"/>
        <v>22279.919999999998</v>
      </c>
    </row>
    <row r="2655" spans="1:45" x14ac:dyDescent="0.3">
      <c r="A2655" s="1">
        <v>45900.96597222222</v>
      </c>
      <c r="B2655" t="s">
        <v>1505</v>
      </c>
      <c r="C2655" t="s">
        <v>1506</v>
      </c>
      <c r="D2655" t="s">
        <v>179</v>
      </c>
      <c r="F2655" t="s">
        <v>1567</v>
      </c>
      <c r="G2655" t="s">
        <v>180</v>
      </c>
      <c r="H2655" t="s">
        <v>103</v>
      </c>
      <c r="I2655" t="s">
        <v>43</v>
      </c>
      <c r="J2655">
        <v>128</v>
      </c>
      <c r="K2655">
        <v>19</v>
      </c>
      <c r="L2655">
        <v>9.5</v>
      </c>
      <c r="M2655">
        <v>11</v>
      </c>
      <c r="N2655">
        <v>5112</v>
      </c>
      <c r="O2655">
        <v>23</v>
      </c>
      <c r="P2655">
        <v>0</v>
      </c>
      <c r="Q2655">
        <v>14</v>
      </c>
      <c r="R2655">
        <v>2</v>
      </c>
      <c r="S2655" t="s">
        <v>44</v>
      </c>
      <c r="T2655" t="s">
        <v>44</v>
      </c>
      <c r="U2655" t="s">
        <v>44</v>
      </c>
      <c r="V2655">
        <v>123</v>
      </c>
      <c r="W2655" t="s">
        <v>44</v>
      </c>
      <c r="X2655" t="s">
        <v>44</v>
      </c>
      <c r="Y2655">
        <v>123</v>
      </c>
      <c r="Z2655" t="s">
        <v>44</v>
      </c>
      <c r="AA2655">
        <v>0</v>
      </c>
      <c r="AB2655">
        <v>2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146</v>
      </c>
      <c r="AQ2655">
        <f t="shared" si="92"/>
        <v>146</v>
      </c>
      <c r="AR2655" s="5">
        <f>VLOOKUP(F2655,'[2]SCP_24-25'!$A:$D,4,0)</f>
        <v>130.39230769230767</v>
      </c>
      <c r="AS2655" s="5">
        <f t="shared" si="91"/>
        <v>19037.276923076919</v>
      </c>
    </row>
    <row r="2656" spans="1:45" x14ac:dyDescent="0.3">
      <c r="A2656" s="1">
        <v>45900.96597222222</v>
      </c>
      <c r="B2656" t="s">
        <v>1505</v>
      </c>
      <c r="C2656" t="s">
        <v>1506</v>
      </c>
      <c r="D2656" t="s">
        <v>181</v>
      </c>
      <c r="F2656" t="s">
        <v>1568</v>
      </c>
      <c r="G2656" t="s">
        <v>182</v>
      </c>
      <c r="H2656" t="s">
        <v>66</v>
      </c>
      <c r="I2656" t="s">
        <v>43</v>
      </c>
      <c r="J2656">
        <v>206</v>
      </c>
      <c r="K2656">
        <v>19</v>
      </c>
      <c r="L2656">
        <v>9.5</v>
      </c>
      <c r="M2656">
        <v>11</v>
      </c>
      <c r="N2656">
        <v>432</v>
      </c>
      <c r="O2656">
        <v>3</v>
      </c>
      <c r="P2656">
        <v>0</v>
      </c>
      <c r="Q2656" t="s">
        <v>44</v>
      </c>
      <c r="R2656" t="s">
        <v>44</v>
      </c>
      <c r="S2656" t="s">
        <v>44</v>
      </c>
      <c r="T2656" t="s">
        <v>44</v>
      </c>
      <c r="U2656" t="s">
        <v>44</v>
      </c>
      <c r="V2656">
        <v>299</v>
      </c>
      <c r="W2656" t="s">
        <v>44</v>
      </c>
      <c r="X2656" t="s">
        <v>44</v>
      </c>
      <c r="Y2656">
        <v>299</v>
      </c>
      <c r="Z2656" t="s">
        <v>44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302</v>
      </c>
      <c r="AQ2656">
        <f t="shared" si="92"/>
        <v>302</v>
      </c>
      <c r="AR2656" s="5">
        <f>VLOOKUP(F2656,'[2]SCP_24-25'!$A:$D,4,0)</f>
        <v>61.72</v>
      </c>
      <c r="AS2656" s="5">
        <f t="shared" si="91"/>
        <v>18639.439999999999</v>
      </c>
    </row>
    <row r="2657" spans="1:45" x14ac:dyDescent="0.3">
      <c r="A2657" s="1">
        <v>45900.96597222222</v>
      </c>
      <c r="B2657" t="s">
        <v>1505</v>
      </c>
      <c r="C2657" t="s">
        <v>1506</v>
      </c>
      <c r="D2657" t="s">
        <v>185</v>
      </c>
      <c r="F2657" t="s">
        <v>1570</v>
      </c>
      <c r="G2657" t="s">
        <v>186</v>
      </c>
      <c r="H2657" t="s">
        <v>66</v>
      </c>
      <c r="I2657" t="s">
        <v>43</v>
      </c>
      <c r="J2657">
        <v>100</v>
      </c>
      <c r="K2657">
        <v>19</v>
      </c>
      <c r="L2657">
        <v>9.5</v>
      </c>
      <c r="M2657">
        <v>11</v>
      </c>
      <c r="N2657">
        <v>648</v>
      </c>
      <c r="O2657">
        <v>2</v>
      </c>
      <c r="P2657">
        <v>0</v>
      </c>
      <c r="Q2657" t="s">
        <v>44</v>
      </c>
      <c r="R2657" t="s">
        <v>44</v>
      </c>
      <c r="S2657" t="s">
        <v>44</v>
      </c>
      <c r="T2657" t="s">
        <v>44</v>
      </c>
      <c r="U2657" t="s">
        <v>44</v>
      </c>
      <c r="V2657">
        <v>376</v>
      </c>
      <c r="W2657" t="s">
        <v>44</v>
      </c>
      <c r="X2657" t="s">
        <v>44</v>
      </c>
      <c r="Y2657">
        <v>376</v>
      </c>
      <c r="Z2657" t="s">
        <v>44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378</v>
      </c>
      <c r="AQ2657">
        <f t="shared" si="92"/>
        <v>378</v>
      </c>
      <c r="AR2657" s="5">
        <f>VLOOKUP(F2657,'[2]SCP_24-25'!$A:$D,4,0)</f>
        <v>50.46</v>
      </c>
      <c r="AS2657" s="5">
        <f t="shared" si="91"/>
        <v>19073.88</v>
      </c>
    </row>
    <row r="2658" spans="1:45" x14ac:dyDescent="0.3">
      <c r="A2658" s="1">
        <v>45900.96597222222</v>
      </c>
      <c r="B2658" t="s">
        <v>1505</v>
      </c>
      <c r="C2658" t="s">
        <v>1506</v>
      </c>
      <c r="D2658" t="s">
        <v>187</v>
      </c>
      <c r="F2658" t="s">
        <v>1571</v>
      </c>
      <c r="G2658" t="s">
        <v>188</v>
      </c>
      <c r="H2658" t="s">
        <v>66</v>
      </c>
      <c r="I2658" t="s">
        <v>43</v>
      </c>
      <c r="J2658">
        <v>102</v>
      </c>
      <c r="K2658">
        <v>19</v>
      </c>
      <c r="L2658">
        <v>9.5</v>
      </c>
      <c r="M2658">
        <v>11</v>
      </c>
      <c r="N2658">
        <v>573</v>
      </c>
      <c r="O2658">
        <v>0</v>
      </c>
      <c r="P2658">
        <v>0</v>
      </c>
      <c r="Q2658" t="s">
        <v>44</v>
      </c>
      <c r="R2658">
        <v>142</v>
      </c>
      <c r="S2658" t="s">
        <v>44</v>
      </c>
      <c r="T2658">
        <v>1</v>
      </c>
      <c r="U2658" t="s">
        <v>44</v>
      </c>
      <c r="V2658">
        <v>285</v>
      </c>
      <c r="W2658" t="s">
        <v>44</v>
      </c>
      <c r="X2658" t="s">
        <v>44</v>
      </c>
      <c r="Y2658">
        <v>285</v>
      </c>
      <c r="Z2658" t="s">
        <v>44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285</v>
      </c>
      <c r="AQ2658">
        <f t="shared" si="92"/>
        <v>285</v>
      </c>
      <c r="AR2658" s="5">
        <f>VLOOKUP(F2658,'[2]SCP_24-25'!$A:$D,4,0)</f>
        <v>65.349999999999994</v>
      </c>
      <c r="AS2658" s="5">
        <f t="shared" si="91"/>
        <v>18624.75</v>
      </c>
    </row>
    <row r="2659" spans="1:45" x14ac:dyDescent="0.3">
      <c r="A2659" s="1">
        <v>45900.96597222222</v>
      </c>
      <c r="B2659" t="s">
        <v>1505</v>
      </c>
      <c r="C2659" t="s">
        <v>1506</v>
      </c>
      <c r="D2659" t="s">
        <v>189</v>
      </c>
      <c r="F2659" t="s">
        <v>1572</v>
      </c>
      <c r="G2659" t="s">
        <v>190</v>
      </c>
      <c r="H2659" t="s">
        <v>66</v>
      </c>
      <c r="I2659" t="s">
        <v>43</v>
      </c>
      <c r="J2659">
        <v>115</v>
      </c>
      <c r="K2659">
        <v>19</v>
      </c>
      <c r="L2659">
        <v>9.5</v>
      </c>
      <c r="M2659">
        <v>11</v>
      </c>
      <c r="N2659">
        <v>648</v>
      </c>
      <c r="O2659">
        <v>1</v>
      </c>
      <c r="P2659">
        <v>0</v>
      </c>
      <c r="Q2659" t="s">
        <v>44</v>
      </c>
      <c r="R2659" t="s">
        <v>44</v>
      </c>
      <c r="S2659" t="s">
        <v>44</v>
      </c>
      <c r="T2659" t="s">
        <v>44</v>
      </c>
      <c r="U2659" t="s">
        <v>44</v>
      </c>
      <c r="V2659">
        <v>444</v>
      </c>
      <c r="W2659" t="s">
        <v>44</v>
      </c>
      <c r="X2659" t="s">
        <v>44</v>
      </c>
      <c r="Y2659">
        <v>444</v>
      </c>
      <c r="Z2659" t="s">
        <v>44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445</v>
      </c>
      <c r="AQ2659">
        <f t="shared" si="92"/>
        <v>445</v>
      </c>
      <c r="AR2659" s="5">
        <f>VLOOKUP(F2659,'[2]SCP_24-25'!$A:$D,4,0)</f>
        <v>72.599999999999994</v>
      </c>
      <c r="AS2659" s="5">
        <f t="shared" si="91"/>
        <v>32306.999999999996</v>
      </c>
    </row>
    <row r="2660" spans="1:45" x14ac:dyDescent="0.3">
      <c r="A2660" s="1">
        <v>45900.96597222222</v>
      </c>
      <c r="B2660" t="s">
        <v>1505</v>
      </c>
      <c r="C2660" t="s">
        <v>1506</v>
      </c>
      <c r="D2660" t="s">
        <v>195</v>
      </c>
      <c r="F2660" t="s">
        <v>1575</v>
      </c>
      <c r="G2660" t="s">
        <v>196</v>
      </c>
      <c r="H2660" t="s">
        <v>66</v>
      </c>
      <c r="I2660" t="s">
        <v>43</v>
      </c>
      <c r="J2660">
        <v>82</v>
      </c>
      <c r="K2660">
        <v>19</v>
      </c>
      <c r="L2660">
        <v>9.5</v>
      </c>
      <c r="M2660">
        <v>11</v>
      </c>
      <c r="N2660">
        <v>432</v>
      </c>
      <c r="O2660">
        <v>0</v>
      </c>
      <c r="P2660">
        <v>0</v>
      </c>
      <c r="Q2660" t="s">
        <v>44</v>
      </c>
      <c r="R2660">
        <v>216</v>
      </c>
      <c r="S2660" t="s">
        <v>44</v>
      </c>
      <c r="T2660" t="s">
        <v>44</v>
      </c>
      <c r="U2660" t="s">
        <v>44</v>
      </c>
      <c r="V2660">
        <v>158</v>
      </c>
      <c r="W2660" t="s">
        <v>44</v>
      </c>
      <c r="X2660" t="s">
        <v>44</v>
      </c>
      <c r="Y2660">
        <v>158</v>
      </c>
      <c r="Z2660" t="s">
        <v>44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158</v>
      </c>
      <c r="AQ2660">
        <f t="shared" si="92"/>
        <v>158</v>
      </c>
      <c r="AR2660" s="5">
        <f>VLOOKUP(F2660,'[2]SCP_24-25'!$A:$D,4,0)</f>
        <v>99.42</v>
      </c>
      <c r="AS2660" s="5">
        <f t="shared" si="91"/>
        <v>15708.36</v>
      </c>
    </row>
    <row r="2661" spans="1:45" x14ac:dyDescent="0.3">
      <c r="A2661" s="1">
        <v>45900.96597222222</v>
      </c>
      <c r="B2661" t="s">
        <v>1505</v>
      </c>
      <c r="C2661" t="s">
        <v>1506</v>
      </c>
      <c r="D2661" t="s">
        <v>213</v>
      </c>
      <c r="E2661" t="s">
        <v>214</v>
      </c>
      <c r="F2661" t="s">
        <v>1582</v>
      </c>
      <c r="G2661" t="s">
        <v>215</v>
      </c>
      <c r="H2661" t="s">
        <v>66</v>
      </c>
      <c r="I2661" t="s">
        <v>43</v>
      </c>
      <c r="J2661">
        <v>101</v>
      </c>
      <c r="K2661">
        <v>19</v>
      </c>
      <c r="L2661">
        <v>9.5</v>
      </c>
      <c r="M2661">
        <v>11</v>
      </c>
      <c r="N2661">
        <v>1008</v>
      </c>
      <c r="O2661">
        <v>3</v>
      </c>
      <c r="P2661">
        <v>0</v>
      </c>
      <c r="Q2661">
        <v>1</v>
      </c>
      <c r="R2661" t="s">
        <v>44</v>
      </c>
      <c r="S2661" t="s">
        <v>44</v>
      </c>
      <c r="T2661" t="s">
        <v>44</v>
      </c>
      <c r="U2661" t="s">
        <v>44</v>
      </c>
      <c r="V2661">
        <v>195</v>
      </c>
      <c r="W2661" t="s">
        <v>44</v>
      </c>
      <c r="X2661" t="s">
        <v>44</v>
      </c>
      <c r="Y2661">
        <v>195</v>
      </c>
      <c r="Z2661" t="s">
        <v>44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198</v>
      </c>
      <c r="AQ2661">
        <f t="shared" si="92"/>
        <v>198</v>
      </c>
      <c r="AR2661" s="5">
        <f>VLOOKUP(F2661,'[2]SCP_24-25'!$A:$D,4,0)</f>
        <v>60.46</v>
      </c>
      <c r="AS2661" s="5">
        <f t="shared" si="91"/>
        <v>11971.08</v>
      </c>
    </row>
    <row r="2662" spans="1:45" x14ac:dyDescent="0.3">
      <c r="A2662" s="1">
        <v>45900.96597222222</v>
      </c>
      <c r="B2662" t="s">
        <v>1505</v>
      </c>
      <c r="C2662" t="s">
        <v>1506</v>
      </c>
      <c r="D2662" t="s">
        <v>216</v>
      </c>
      <c r="F2662" t="s">
        <v>1583</v>
      </c>
      <c r="G2662" t="s">
        <v>217</v>
      </c>
      <c r="H2662" t="s">
        <v>66</v>
      </c>
      <c r="I2662" t="s">
        <v>43</v>
      </c>
      <c r="J2662">
        <v>205</v>
      </c>
      <c r="K2662">
        <v>19</v>
      </c>
      <c r="L2662">
        <v>10</v>
      </c>
      <c r="M2662">
        <v>11</v>
      </c>
      <c r="N2662">
        <v>382</v>
      </c>
      <c r="O2662">
        <v>0</v>
      </c>
      <c r="P2662">
        <v>0</v>
      </c>
      <c r="Q2662" t="s">
        <v>44</v>
      </c>
      <c r="R2662" t="s">
        <v>44</v>
      </c>
      <c r="S2662" t="s">
        <v>44</v>
      </c>
      <c r="T2662">
        <v>2</v>
      </c>
      <c r="U2662" t="s">
        <v>44</v>
      </c>
      <c r="V2662">
        <v>244</v>
      </c>
      <c r="W2662" t="s">
        <v>44</v>
      </c>
      <c r="X2662" t="s">
        <v>44</v>
      </c>
      <c r="Y2662">
        <v>244</v>
      </c>
      <c r="Z2662" t="s">
        <v>44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244</v>
      </c>
      <c r="AQ2662">
        <f t="shared" si="92"/>
        <v>244</v>
      </c>
      <c r="AR2662" s="5">
        <f>VLOOKUP(F2662,'[2]SCP_24-25'!$A:$D,4,0)</f>
        <v>61.48</v>
      </c>
      <c r="AS2662" s="5">
        <f t="shared" si="91"/>
        <v>15001.119999999999</v>
      </c>
    </row>
    <row r="2663" spans="1:45" x14ac:dyDescent="0.3">
      <c r="A2663" s="1">
        <v>45900.96597222222</v>
      </c>
      <c r="B2663" t="s">
        <v>1505</v>
      </c>
      <c r="C2663" t="s">
        <v>1506</v>
      </c>
      <c r="D2663" t="s">
        <v>226</v>
      </c>
      <c r="F2663" t="s">
        <v>1588</v>
      </c>
      <c r="G2663" t="s">
        <v>227</v>
      </c>
      <c r="H2663" t="s">
        <v>66</v>
      </c>
      <c r="I2663" t="s">
        <v>43</v>
      </c>
      <c r="J2663">
        <v>101</v>
      </c>
      <c r="K2663">
        <v>19</v>
      </c>
      <c r="L2663">
        <v>10</v>
      </c>
      <c r="M2663">
        <v>11</v>
      </c>
      <c r="N2663">
        <v>432</v>
      </c>
      <c r="O2663">
        <v>0</v>
      </c>
      <c r="P2663">
        <v>0</v>
      </c>
      <c r="Q2663" t="s">
        <v>44</v>
      </c>
      <c r="R2663" t="s">
        <v>44</v>
      </c>
      <c r="S2663" t="s">
        <v>44</v>
      </c>
      <c r="T2663" t="s">
        <v>44</v>
      </c>
      <c r="U2663" t="s">
        <v>44</v>
      </c>
      <c r="V2663">
        <v>220</v>
      </c>
      <c r="W2663" t="s">
        <v>44</v>
      </c>
      <c r="X2663" t="s">
        <v>44</v>
      </c>
      <c r="Y2663">
        <v>220</v>
      </c>
      <c r="Z2663" t="s">
        <v>44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220</v>
      </c>
      <c r="AQ2663">
        <f t="shared" si="92"/>
        <v>220</v>
      </c>
      <c r="AR2663" s="5">
        <f>VLOOKUP(F2663,'[2]SCP_24-25'!$A:$D,4,0)</f>
        <v>70.2</v>
      </c>
      <c r="AS2663" s="5">
        <f t="shared" si="91"/>
        <v>15444</v>
      </c>
    </row>
    <row r="2664" spans="1:45" x14ac:dyDescent="0.3">
      <c r="A2664" s="1">
        <v>45900.96597222222</v>
      </c>
      <c r="B2664" t="s">
        <v>1505</v>
      </c>
      <c r="C2664" t="s">
        <v>1506</v>
      </c>
      <c r="D2664" t="s">
        <v>228</v>
      </c>
      <c r="F2664" t="s">
        <v>1589</v>
      </c>
      <c r="G2664" t="s">
        <v>229</v>
      </c>
      <c r="H2664" t="s">
        <v>66</v>
      </c>
      <c r="I2664" t="s">
        <v>43</v>
      </c>
      <c r="J2664">
        <v>79</v>
      </c>
      <c r="K2664">
        <v>19</v>
      </c>
      <c r="L2664">
        <v>10</v>
      </c>
      <c r="M2664">
        <v>11</v>
      </c>
      <c r="N2664">
        <v>360</v>
      </c>
      <c r="O2664">
        <v>1</v>
      </c>
      <c r="P2664">
        <v>0</v>
      </c>
      <c r="Q2664" t="s">
        <v>44</v>
      </c>
      <c r="R2664" t="s">
        <v>44</v>
      </c>
      <c r="S2664" t="s">
        <v>44</v>
      </c>
      <c r="T2664" t="s">
        <v>44</v>
      </c>
      <c r="U2664" t="s">
        <v>44</v>
      </c>
      <c r="V2664">
        <v>315</v>
      </c>
      <c r="W2664" t="s">
        <v>44</v>
      </c>
      <c r="X2664" t="s">
        <v>44</v>
      </c>
      <c r="Y2664">
        <v>315</v>
      </c>
      <c r="Z2664" t="s">
        <v>44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316</v>
      </c>
      <c r="AQ2664">
        <f t="shared" si="92"/>
        <v>316</v>
      </c>
      <c r="AR2664" s="5">
        <f>VLOOKUP(F2664,'[2]SCP_24-25'!$A:$D,4,0)</f>
        <v>69.61</v>
      </c>
      <c r="AS2664" s="5">
        <f t="shared" si="91"/>
        <v>21996.76</v>
      </c>
    </row>
    <row r="2665" spans="1:45" x14ac:dyDescent="0.3">
      <c r="A2665" s="1">
        <v>45900.96597222222</v>
      </c>
      <c r="B2665" t="s">
        <v>1505</v>
      </c>
      <c r="C2665" t="s">
        <v>1506</v>
      </c>
      <c r="D2665" t="s">
        <v>230</v>
      </c>
      <c r="F2665" t="s">
        <v>1590</v>
      </c>
      <c r="G2665" t="s">
        <v>231</v>
      </c>
      <c r="H2665" t="s">
        <v>66</v>
      </c>
      <c r="I2665" t="s">
        <v>43</v>
      </c>
      <c r="J2665">
        <v>47</v>
      </c>
      <c r="K2665">
        <v>19</v>
      </c>
      <c r="L2665">
        <v>10</v>
      </c>
      <c r="M2665">
        <v>11</v>
      </c>
      <c r="N2665">
        <v>720</v>
      </c>
      <c r="O2665">
        <v>3</v>
      </c>
      <c r="P2665">
        <v>0</v>
      </c>
      <c r="Q2665" t="s">
        <v>44</v>
      </c>
      <c r="R2665" t="s">
        <v>44</v>
      </c>
      <c r="S2665" t="s">
        <v>44</v>
      </c>
      <c r="T2665" t="s">
        <v>44</v>
      </c>
      <c r="U2665" t="s">
        <v>44</v>
      </c>
      <c r="V2665">
        <v>403</v>
      </c>
      <c r="W2665" t="s">
        <v>44</v>
      </c>
      <c r="X2665" t="s">
        <v>44</v>
      </c>
      <c r="Y2665">
        <v>403</v>
      </c>
      <c r="Z2665" t="s">
        <v>44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406</v>
      </c>
      <c r="AQ2665">
        <f t="shared" si="92"/>
        <v>406</v>
      </c>
      <c r="AR2665" s="5">
        <f>VLOOKUP(F2665,'[2]SCP_24-25'!$A:$D,4,0)</f>
        <v>75.81</v>
      </c>
      <c r="AS2665" s="5">
        <f t="shared" si="91"/>
        <v>30778.86</v>
      </c>
    </row>
    <row r="2666" spans="1:45" x14ac:dyDescent="0.3">
      <c r="A2666" s="1">
        <v>45900.96597222222</v>
      </c>
      <c r="B2666" t="s">
        <v>1505</v>
      </c>
      <c r="C2666" t="s">
        <v>1506</v>
      </c>
      <c r="D2666" t="s">
        <v>248</v>
      </c>
      <c r="E2666" t="s">
        <v>249</v>
      </c>
      <c r="F2666" t="s">
        <v>1597</v>
      </c>
      <c r="G2666" t="s">
        <v>250</v>
      </c>
      <c r="H2666" t="s">
        <v>66</v>
      </c>
      <c r="I2666" t="s">
        <v>43</v>
      </c>
      <c r="J2666">
        <v>35</v>
      </c>
      <c r="K2666">
        <v>19</v>
      </c>
      <c r="L2666">
        <v>11</v>
      </c>
      <c r="M2666">
        <v>9.5</v>
      </c>
      <c r="N2666">
        <v>400</v>
      </c>
      <c r="O2666">
        <v>0</v>
      </c>
      <c r="P2666">
        <v>0</v>
      </c>
      <c r="Q2666" t="s">
        <v>44</v>
      </c>
      <c r="R2666" t="s">
        <v>44</v>
      </c>
      <c r="S2666" t="s">
        <v>44</v>
      </c>
      <c r="T2666" t="s">
        <v>44</v>
      </c>
      <c r="U2666" t="s">
        <v>44</v>
      </c>
      <c r="V2666">
        <v>345</v>
      </c>
      <c r="W2666" t="s">
        <v>44</v>
      </c>
      <c r="X2666" t="s">
        <v>44</v>
      </c>
      <c r="Y2666">
        <v>345</v>
      </c>
      <c r="Z2666" t="s">
        <v>44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345</v>
      </c>
      <c r="AQ2666">
        <f t="shared" si="92"/>
        <v>345</v>
      </c>
      <c r="AR2666" s="5">
        <f>VLOOKUP(F2666,'[2]SCP_24-25'!$A:$D,4,0)</f>
        <v>26.914999999999996</v>
      </c>
      <c r="AS2666" s="5">
        <f t="shared" si="91"/>
        <v>9285.6749999999993</v>
      </c>
    </row>
    <row r="2667" spans="1:45" x14ac:dyDescent="0.3">
      <c r="A2667" s="1">
        <v>45900.96597222222</v>
      </c>
      <c r="B2667" t="s">
        <v>1505</v>
      </c>
      <c r="C2667" t="s">
        <v>1506</v>
      </c>
      <c r="D2667" t="s">
        <v>251</v>
      </c>
      <c r="E2667" t="s">
        <v>252</v>
      </c>
      <c r="F2667" t="s">
        <v>1598</v>
      </c>
      <c r="G2667" t="s">
        <v>253</v>
      </c>
      <c r="H2667" t="s">
        <v>66</v>
      </c>
      <c r="I2667" t="s">
        <v>43</v>
      </c>
      <c r="J2667">
        <v>35</v>
      </c>
      <c r="K2667">
        <v>19</v>
      </c>
      <c r="L2667">
        <v>11</v>
      </c>
      <c r="M2667">
        <v>9.5</v>
      </c>
      <c r="N2667">
        <v>400</v>
      </c>
      <c r="O2667">
        <v>4</v>
      </c>
      <c r="P2667">
        <v>0</v>
      </c>
      <c r="Q2667" t="s">
        <v>44</v>
      </c>
      <c r="R2667" t="s">
        <v>44</v>
      </c>
      <c r="S2667" t="s">
        <v>44</v>
      </c>
      <c r="T2667" t="s">
        <v>44</v>
      </c>
      <c r="U2667" t="s">
        <v>44</v>
      </c>
      <c r="V2667">
        <v>228</v>
      </c>
      <c r="W2667" t="s">
        <v>44</v>
      </c>
      <c r="X2667" t="s">
        <v>44</v>
      </c>
      <c r="Y2667">
        <v>228</v>
      </c>
      <c r="Z2667" t="s">
        <v>44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232</v>
      </c>
      <c r="AQ2667">
        <f t="shared" si="92"/>
        <v>232</v>
      </c>
      <c r="AR2667" s="5">
        <f>VLOOKUP(F2667,'[2]SCP_24-25'!$A:$D,4,0)</f>
        <v>28.82</v>
      </c>
      <c r="AS2667" s="5">
        <f t="shared" si="91"/>
        <v>6686.24</v>
      </c>
    </row>
    <row r="2668" spans="1:45" x14ac:dyDescent="0.3">
      <c r="A2668" s="1">
        <v>45900.96597222222</v>
      </c>
      <c r="B2668" t="s">
        <v>1505</v>
      </c>
      <c r="C2668" t="s">
        <v>1506</v>
      </c>
      <c r="D2668" t="s">
        <v>254</v>
      </c>
      <c r="E2668" t="s">
        <v>255</v>
      </c>
      <c r="F2668" t="s">
        <v>1599</v>
      </c>
      <c r="G2668" t="s">
        <v>256</v>
      </c>
      <c r="H2668" t="s">
        <v>66</v>
      </c>
      <c r="I2668" t="s">
        <v>43</v>
      </c>
      <c r="J2668">
        <v>59.02</v>
      </c>
      <c r="K2668">
        <v>19</v>
      </c>
      <c r="L2668">
        <v>11</v>
      </c>
      <c r="M2668">
        <v>9.5</v>
      </c>
      <c r="N2668">
        <v>1270</v>
      </c>
      <c r="O2668">
        <v>5</v>
      </c>
      <c r="P2668">
        <v>0</v>
      </c>
      <c r="Q2668" t="s">
        <v>44</v>
      </c>
      <c r="R2668">
        <v>70</v>
      </c>
      <c r="S2668" t="s">
        <v>44</v>
      </c>
      <c r="T2668" t="s">
        <v>44</v>
      </c>
      <c r="U2668" t="s">
        <v>44</v>
      </c>
      <c r="V2668">
        <v>766</v>
      </c>
      <c r="W2668" t="s">
        <v>44</v>
      </c>
      <c r="X2668" t="s">
        <v>44</v>
      </c>
      <c r="Y2668">
        <v>766</v>
      </c>
      <c r="Z2668" t="s">
        <v>44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771</v>
      </c>
      <c r="AQ2668">
        <f t="shared" si="92"/>
        <v>771</v>
      </c>
      <c r="AR2668" s="5">
        <f>VLOOKUP(F2668,'[2]SCP_24-25'!$A:$D,4,0)</f>
        <v>112.63</v>
      </c>
      <c r="AS2668" s="5">
        <f t="shared" si="91"/>
        <v>86837.73</v>
      </c>
    </row>
    <row r="2669" spans="1:45" x14ac:dyDescent="0.3">
      <c r="A2669" s="1">
        <v>45900.96597222222</v>
      </c>
      <c r="B2669" t="s">
        <v>1505</v>
      </c>
      <c r="C2669" t="s">
        <v>1506</v>
      </c>
      <c r="D2669" t="s">
        <v>263</v>
      </c>
      <c r="E2669" t="s">
        <v>264</v>
      </c>
      <c r="F2669" t="s">
        <v>1602</v>
      </c>
      <c r="G2669" t="s">
        <v>265</v>
      </c>
      <c r="H2669" t="s">
        <v>66</v>
      </c>
      <c r="I2669" t="s">
        <v>43</v>
      </c>
      <c r="J2669">
        <v>150</v>
      </c>
      <c r="K2669">
        <v>19</v>
      </c>
      <c r="L2669">
        <v>11</v>
      </c>
      <c r="M2669">
        <v>9.5</v>
      </c>
      <c r="N2669">
        <v>581</v>
      </c>
      <c r="O2669">
        <v>1</v>
      </c>
      <c r="P2669">
        <v>0</v>
      </c>
      <c r="Q2669" t="s">
        <v>44</v>
      </c>
      <c r="R2669">
        <v>101</v>
      </c>
      <c r="S2669" t="s">
        <v>44</v>
      </c>
      <c r="T2669" t="s">
        <v>44</v>
      </c>
      <c r="U2669" t="s">
        <v>44</v>
      </c>
      <c r="V2669">
        <v>188</v>
      </c>
      <c r="W2669" t="s">
        <v>44</v>
      </c>
      <c r="X2669" t="s">
        <v>44</v>
      </c>
      <c r="Y2669">
        <v>188</v>
      </c>
      <c r="Z2669" t="s">
        <v>44</v>
      </c>
      <c r="AA2669">
        <v>0</v>
      </c>
      <c r="AB2669">
        <v>127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189</v>
      </c>
      <c r="AQ2669">
        <f t="shared" si="92"/>
        <v>189</v>
      </c>
      <c r="AR2669" s="5">
        <f>VLOOKUP(F2669,'[2]SCP_24-25'!$A:$D,4,0)</f>
        <v>31.706666666666667</v>
      </c>
      <c r="AS2669" s="5">
        <f t="shared" si="91"/>
        <v>5992.56</v>
      </c>
    </row>
    <row r="2670" spans="1:45" x14ac:dyDescent="0.3">
      <c r="A2670" s="1">
        <v>45900.96597222222</v>
      </c>
      <c r="B2670" t="s">
        <v>1505</v>
      </c>
      <c r="C2670" t="s">
        <v>1506</v>
      </c>
      <c r="D2670" t="s">
        <v>280</v>
      </c>
      <c r="E2670" t="s">
        <v>281</v>
      </c>
      <c r="F2670" t="s">
        <v>1608</v>
      </c>
      <c r="G2670" t="s">
        <v>282</v>
      </c>
      <c r="H2670" t="s">
        <v>103</v>
      </c>
      <c r="I2670" t="s">
        <v>43</v>
      </c>
      <c r="J2670">
        <v>199</v>
      </c>
      <c r="K2670">
        <v>19</v>
      </c>
      <c r="L2670">
        <v>9.5</v>
      </c>
      <c r="M2670">
        <v>11</v>
      </c>
      <c r="N2670">
        <v>1728</v>
      </c>
      <c r="O2670">
        <v>11</v>
      </c>
      <c r="P2670">
        <v>0</v>
      </c>
      <c r="Q2670" t="s">
        <v>44</v>
      </c>
      <c r="R2670" t="s">
        <v>44</v>
      </c>
      <c r="S2670" t="s">
        <v>44</v>
      </c>
      <c r="T2670" t="s">
        <v>44</v>
      </c>
      <c r="U2670" t="s">
        <v>44</v>
      </c>
      <c r="V2670">
        <v>597</v>
      </c>
      <c r="W2670" t="s">
        <v>44</v>
      </c>
      <c r="X2670" t="s">
        <v>44</v>
      </c>
      <c r="Y2670">
        <v>597</v>
      </c>
      <c r="Z2670" t="s">
        <v>44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608</v>
      </c>
      <c r="AQ2670">
        <f t="shared" si="92"/>
        <v>608</v>
      </c>
      <c r="AR2670" s="5">
        <f>VLOOKUP(F2670,'[2]SCP_24-25'!$A:$D,4,0)</f>
        <v>85.41</v>
      </c>
      <c r="AS2670" s="5">
        <f t="shared" si="91"/>
        <v>51929.279999999999</v>
      </c>
    </row>
    <row r="2671" spans="1:45" x14ac:dyDescent="0.3">
      <c r="A2671" s="1">
        <v>45900.96597222222</v>
      </c>
      <c r="B2671" t="s">
        <v>1505</v>
      </c>
      <c r="C2671" t="s">
        <v>1506</v>
      </c>
      <c r="D2671" t="s">
        <v>283</v>
      </c>
      <c r="E2671" t="s">
        <v>284</v>
      </c>
      <c r="F2671" t="s">
        <v>1609</v>
      </c>
      <c r="G2671" t="s">
        <v>285</v>
      </c>
      <c r="H2671" t="s">
        <v>103</v>
      </c>
      <c r="I2671" t="s">
        <v>43</v>
      </c>
      <c r="J2671">
        <v>120</v>
      </c>
      <c r="K2671">
        <v>19</v>
      </c>
      <c r="L2671">
        <v>9.5</v>
      </c>
      <c r="M2671">
        <v>11</v>
      </c>
      <c r="N2671">
        <v>720</v>
      </c>
      <c r="O2671">
        <v>2</v>
      </c>
      <c r="P2671">
        <v>0</v>
      </c>
      <c r="Q2671" t="s">
        <v>44</v>
      </c>
      <c r="R2671">
        <v>48</v>
      </c>
      <c r="S2671" t="s">
        <v>44</v>
      </c>
      <c r="T2671" t="s">
        <v>44</v>
      </c>
      <c r="U2671" t="s">
        <v>44</v>
      </c>
      <c r="V2671">
        <v>536</v>
      </c>
      <c r="W2671" t="s">
        <v>44</v>
      </c>
      <c r="X2671" t="s">
        <v>44</v>
      </c>
      <c r="Y2671">
        <v>536</v>
      </c>
      <c r="Z2671" t="s">
        <v>44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538</v>
      </c>
      <c r="AQ2671">
        <f t="shared" si="92"/>
        <v>538</v>
      </c>
      <c r="AR2671" s="5">
        <f>VLOOKUP(F2671,'[2]SCP_24-25'!$A:$D,4,0)</f>
        <v>113.26</v>
      </c>
      <c r="AS2671" s="5">
        <f t="shared" si="91"/>
        <v>60933.880000000005</v>
      </c>
    </row>
    <row r="2672" spans="1:45" x14ac:dyDescent="0.3">
      <c r="A2672" s="1">
        <v>45900.96597222222</v>
      </c>
      <c r="B2672" t="s">
        <v>1505</v>
      </c>
      <c r="C2672" t="s">
        <v>1506</v>
      </c>
      <c r="D2672" t="s">
        <v>317</v>
      </c>
      <c r="E2672" t="s">
        <v>318</v>
      </c>
      <c r="F2672" t="s">
        <v>1622</v>
      </c>
      <c r="G2672" t="s">
        <v>319</v>
      </c>
      <c r="H2672" t="s">
        <v>66</v>
      </c>
      <c r="I2672" t="s">
        <v>43</v>
      </c>
      <c r="J2672">
        <v>170</v>
      </c>
      <c r="K2672">
        <v>19</v>
      </c>
      <c r="L2672">
        <v>11</v>
      </c>
      <c r="M2672">
        <v>9.5</v>
      </c>
      <c r="N2672">
        <v>432</v>
      </c>
      <c r="O2672">
        <v>1</v>
      </c>
      <c r="P2672">
        <v>0</v>
      </c>
      <c r="Q2672" t="s">
        <v>44</v>
      </c>
      <c r="R2672" t="s">
        <v>44</v>
      </c>
      <c r="S2672" t="s">
        <v>44</v>
      </c>
      <c r="T2672" t="s">
        <v>44</v>
      </c>
      <c r="U2672" t="s">
        <v>44</v>
      </c>
      <c r="V2672">
        <v>312</v>
      </c>
      <c r="W2672" t="s">
        <v>44</v>
      </c>
      <c r="X2672" t="s">
        <v>44</v>
      </c>
      <c r="Y2672">
        <v>312</v>
      </c>
      <c r="Z2672" t="s">
        <v>44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313</v>
      </c>
      <c r="AQ2672">
        <f t="shared" si="92"/>
        <v>313</v>
      </c>
      <c r="AR2672" s="5">
        <f>VLOOKUP(F2672,'[2]SCP_24-25'!$A:$D,4,0)</f>
        <v>67.69</v>
      </c>
      <c r="AS2672" s="5">
        <f t="shared" si="91"/>
        <v>21186.969999999998</v>
      </c>
    </row>
    <row r="2673" spans="1:45" x14ac:dyDescent="0.3">
      <c r="A2673" s="1">
        <v>45900.96597222222</v>
      </c>
      <c r="B2673" t="s">
        <v>1505</v>
      </c>
      <c r="C2673" t="s">
        <v>1506</v>
      </c>
      <c r="D2673" t="s">
        <v>57</v>
      </c>
      <c r="E2673" t="s">
        <v>58</v>
      </c>
      <c r="F2673" t="s">
        <v>1518</v>
      </c>
      <c r="G2673" t="s">
        <v>59</v>
      </c>
      <c r="H2673" t="s">
        <v>42</v>
      </c>
      <c r="I2673" t="s">
        <v>43</v>
      </c>
      <c r="J2673">
        <v>200</v>
      </c>
      <c r="K2673">
        <v>19</v>
      </c>
      <c r="L2673">
        <v>9.5</v>
      </c>
      <c r="M2673">
        <v>11</v>
      </c>
      <c r="N2673">
        <v>389</v>
      </c>
      <c r="O2673">
        <v>0</v>
      </c>
      <c r="P2673">
        <v>0</v>
      </c>
      <c r="Q2673" t="s">
        <v>44</v>
      </c>
      <c r="R2673">
        <v>29</v>
      </c>
      <c r="S2673" t="s">
        <v>44</v>
      </c>
      <c r="T2673" t="s">
        <v>44</v>
      </c>
      <c r="U2673" t="s">
        <v>44</v>
      </c>
      <c r="V2673">
        <v>116</v>
      </c>
      <c r="W2673" t="s">
        <v>44</v>
      </c>
      <c r="X2673" t="s">
        <v>44</v>
      </c>
      <c r="Y2673">
        <v>116</v>
      </c>
      <c r="Z2673" t="s">
        <v>44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116</v>
      </c>
      <c r="AQ2673">
        <f t="shared" si="92"/>
        <v>116</v>
      </c>
      <c r="AR2673" s="5">
        <f>VLOOKUP(F2673,'[2]SCP_24-25'!$A:$D,4,0)</f>
        <v>106.44999999999999</v>
      </c>
      <c r="AS2673" s="5">
        <f t="shared" si="91"/>
        <v>12348.199999999999</v>
      </c>
    </row>
    <row r="2674" spans="1:45" x14ac:dyDescent="0.3">
      <c r="A2674" s="1">
        <v>45900.96597222222</v>
      </c>
      <c r="B2674" t="s">
        <v>1505</v>
      </c>
      <c r="C2674" t="s">
        <v>1506</v>
      </c>
      <c r="D2674" t="s">
        <v>70</v>
      </c>
      <c r="E2674" t="s">
        <v>71</v>
      </c>
      <c r="F2674" t="s">
        <v>1522</v>
      </c>
      <c r="G2674" t="s">
        <v>72</v>
      </c>
      <c r="H2674" t="s">
        <v>66</v>
      </c>
      <c r="I2674" t="s">
        <v>43</v>
      </c>
      <c r="J2674">
        <v>150</v>
      </c>
      <c r="K2674">
        <v>19</v>
      </c>
      <c r="L2674">
        <v>9.5</v>
      </c>
      <c r="M2674">
        <v>11</v>
      </c>
      <c r="N2674">
        <v>504</v>
      </c>
      <c r="O2674">
        <v>0</v>
      </c>
      <c r="P2674">
        <v>0</v>
      </c>
      <c r="Q2674" t="s">
        <v>44</v>
      </c>
      <c r="R2674" t="s">
        <v>44</v>
      </c>
      <c r="S2674" t="s">
        <v>44</v>
      </c>
      <c r="T2674" t="s">
        <v>44</v>
      </c>
      <c r="U2674" t="s">
        <v>44</v>
      </c>
      <c r="V2674">
        <v>419</v>
      </c>
      <c r="W2674" t="s">
        <v>44</v>
      </c>
      <c r="X2674" t="s">
        <v>44</v>
      </c>
      <c r="Y2674">
        <v>419</v>
      </c>
      <c r="Z2674" t="s">
        <v>44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419</v>
      </c>
      <c r="AQ2674">
        <f t="shared" si="92"/>
        <v>419</v>
      </c>
      <c r="AR2674" s="5">
        <f>VLOOKUP(F2674,'[2]SCP_24-25'!$A:$D,4,0)</f>
        <v>103.36</v>
      </c>
      <c r="AS2674" s="5">
        <f t="shared" si="91"/>
        <v>43307.839999999997</v>
      </c>
    </row>
    <row r="2675" spans="1:45" x14ac:dyDescent="0.3">
      <c r="A2675" s="1">
        <v>45900.96597222222</v>
      </c>
      <c r="B2675" t="s">
        <v>1505</v>
      </c>
      <c r="C2675" t="s">
        <v>1506</v>
      </c>
      <c r="D2675" t="s">
        <v>79</v>
      </c>
      <c r="E2675" t="s">
        <v>80</v>
      </c>
      <c r="F2675" t="s">
        <v>1525</v>
      </c>
      <c r="G2675" t="s">
        <v>81</v>
      </c>
      <c r="H2675" t="s">
        <v>66</v>
      </c>
      <c r="I2675" t="s">
        <v>43</v>
      </c>
      <c r="J2675">
        <v>150</v>
      </c>
      <c r="K2675">
        <v>19</v>
      </c>
      <c r="L2675">
        <v>9.5</v>
      </c>
      <c r="M2675">
        <v>11</v>
      </c>
      <c r="N2675">
        <v>500</v>
      </c>
      <c r="O2675">
        <v>0</v>
      </c>
      <c r="P2675">
        <v>0</v>
      </c>
      <c r="Q2675" t="s">
        <v>44</v>
      </c>
      <c r="R2675" t="s">
        <v>44</v>
      </c>
      <c r="S2675" t="s">
        <v>44</v>
      </c>
      <c r="T2675" t="s">
        <v>44</v>
      </c>
      <c r="U2675" t="s">
        <v>44</v>
      </c>
      <c r="V2675">
        <v>380</v>
      </c>
      <c r="W2675" t="s">
        <v>44</v>
      </c>
      <c r="X2675" t="s">
        <v>44</v>
      </c>
      <c r="Y2675">
        <v>380</v>
      </c>
      <c r="Z2675" t="s">
        <v>44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380</v>
      </c>
      <c r="AQ2675">
        <f t="shared" si="92"/>
        <v>380</v>
      </c>
      <c r="AR2675" s="5">
        <f>VLOOKUP(F2675,'[2]SCP_24-25'!$A:$D,4,0)</f>
        <v>48.72</v>
      </c>
      <c r="AS2675" s="5">
        <f t="shared" si="91"/>
        <v>18513.599999999999</v>
      </c>
    </row>
    <row r="2676" spans="1:45" x14ac:dyDescent="0.3">
      <c r="A2676" s="1">
        <v>45900.96597222222</v>
      </c>
      <c r="B2676" t="s">
        <v>1505</v>
      </c>
      <c r="C2676" t="s">
        <v>1506</v>
      </c>
      <c r="D2676" t="s">
        <v>88</v>
      </c>
      <c r="E2676" t="s">
        <v>89</v>
      </c>
      <c r="F2676" t="s">
        <v>1528</v>
      </c>
      <c r="G2676" t="s">
        <v>90</v>
      </c>
      <c r="H2676" t="s">
        <v>66</v>
      </c>
      <c r="I2676" t="s">
        <v>43</v>
      </c>
      <c r="J2676">
        <v>150</v>
      </c>
      <c r="K2676">
        <v>19</v>
      </c>
      <c r="L2676">
        <v>9.5</v>
      </c>
      <c r="M2676">
        <v>11</v>
      </c>
      <c r="N2676">
        <v>192</v>
      </c>
      <c r="O2676">
        <v>0</v>
      </c>
      <c r="P2676">
        <v>0</v>
      </c>
      <c r="Q2676" t="s">
        <v>44</v>
      </c>
      <c r="R2676" t="s">
        <v>44</v>
      </c>
      <c r="S2676" t="s">
        <v>44</v>
      </c>
      <c r="T2676" t="s">
        <v>44</v>
      </c>
      <c r="U2676" t="s">
        <v>44</v>
      </c>
      <c r="V2676">
        <v>179</v>
      </c>
      <c r="W2676" t="s">
        <v>44</v>
      </c>
      <c r="X2676" t="s">
        <v>44</v>
      </c>
      <c r="Y2676">
        <v>179</v>
      </c>
      <c r="Z2676" t="s">
        <v>44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179</v>
      </c>
      <c r="AQ2676">
        <f t="shared" si="92"/>
        <v>179</v>
      </c>
      <c r="AR2676" s="5">
        <f>VLOOKUP(F2676,'[2]SCP_24-25'!$A:$D,4,0)</f>
        <v>100.13</v>
      </c>
      <c r="AS2676" s="5">
        <f t="shared" si="91"/>
        <v>17923.27</v>
      </c>
    </row>
    <row r="2677" spans="1:45" x14ac:dyDescent="0.3">
      <c r="A2677" s="1">
        <v>45900.96597222222</v>
      </c>
      <c r="B2677" t="s">
        <v>1505</v>
      </c>
      <c r="C2677" t="s">
        <v>1506</v>
      </c>
      <c r="D2677" t="s">
        <v>97</v>
      </c>
      <c r="E2677" t="s">
        <v>98</v>
      </c>
      <c r="F2677" t="s">
        <v>1531</v>
      </c>
      <c r="G2677" t="s">
        <v>99</v>
      </c>
      <c r="H2677" t="s">
        <v>66</v>
      </c>
      <c r="I2677" t="s">
        <v>43</v>
      </c>
      <c r="J2677">
        <v>100</v>
      </c>
      <c r="K2677">
        <v>19</v>
      </c>
      <c r="L2677">
        <v>9.5</v>
      </c>
      <c r="M2677">
        <v>11</v>
      </c>
      <c r="N2677">
        <v>881</v>
      </c>
      <c r="O2677">
        <v>1</v>
      </c>
      <c r="P2677">
        <v>0</v>
      </c>
      <c r="Q2677" t="s">
        <v>44</v>
      </c>
      <c r="R2677">
        <v>89</v>
      </c>
      <c r="S2677" t="s">
        <v>44</v>
      </c>
      <c r="T2677" t="s">
        <v>44</v>
      </c>
      <c r="U2677" t="s">
        <v>44</v>
      </c>
      <c r="V2677">
        <v>632</v>
      </c>
      <c r="W2677" t="s">
        <v>44</v>
      </c>
      <c r="X2677" t="s">
        <v>44</v>
      </c>
      <c r="Y2677">
        <v>632</v>
      </c>
      <c r="Z2677" t="s">
        <v>44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633</v>
      </c>
      <c r="AQ2677">
        <f t="shared" si="92"/>
        <v>633</v>
      </c>
      <c r="AR2677" s="5">
        <f>VLOOKUP(F2677,'[2]SCP_24-25'!$A:$D,4,0)</f>
        <v>132.01</v>
      </c>
      <c r="AS2677" s="5">
        <f t="shared" si="91"/>
        <v>83562.329999999987</v>
      </c>
    </row>
    <row r="2678" spans="1:45" x14ac:dyDescent="0.3">
      <c r="A2678" s="1">
        <v>45900.96597222222</v>
      </c>
      <c r="B2678" t="s">
        <v>1505</v>
      </c>
      <c r="C2678" t="s">
        <v>1506</v>
      </c>
      <c r="D2678" t="s">
        <v>328</v>
      </c>
      <c r="E2678" t="s">
        <v>329</v>
      </c>
      <c r="F2678" t="s">
        <v>1626</v>
      </c>
      <c r="G2678" t="s">
        <v>330</v>
      </c>
      <c r="H2678" t="s">
        <v>130</v>
      </c>
      <c r="I2678" t="s">
        <v>43</v>
      </c>
      <c r="J2678">
        <v>15.82</v>
      </c>
      <c r="K2678">
        <v>19</v>
      </c>
      <c r="L2678">
        <v>10</v>
      </c>
      <c r="M2678">
        <v>11</v>
      </c>
      <c r="N2678">
        <v>720</v>
      </c>
      <c r="O2678">
        <v>0</v>
      </c>
      <c r="P2678">
        <v>0</v>
      </c>
      <c r="Q2678" t="s">
        <v>44</v>
      </c>
      <c r="R2678" t="s">
        <v>44</v>
      </c>
      <c r="S2678" t="s">
        <v>44</v>
      </c>
      <c r="T2678" t="s">
        <v>44</v>
      </c>
      <c r="U2678" t="s">
        <v>44</v>
      </c>
      <c r="V2678">
        <v>560</v>
      </c>
      <c r="W2678" t="s">
        <v>44</v>
      </c>
      <c r="X2678" t="s">
        <v>44</v>
      </c>
      <c r="Y2678">
        <v>560</v>
      </c>
      <c r="Z2678" t="s">
        <v>44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560</v>
      </c>
      <c r="AQ2678">
        <f t="shared" si="92"/>
        <v>560</v>
      </c>
      <c r="AR2678" s="5">
        <f>VLOOKUP(F2678,'[2]SCP_24-25'!$A:$D,4,0)</f>
        <v>51.93</v>
      </c>
      <c r="AS2678" s="5">
        <f t="shared" si="91"/>
        <v>29080.799999999999</v>
      </c>
    </row>
    <row r="2679" spans="1:45" x14ac:dyDescent="0.3">
      <c r="A2679" s="1">
        <v>45900.96597222222</v>
      </c>
      <c r="B2679" t="s">
        <v>1505</v>
      </c>
      <c r="C2679" t="s">
        <v>1506</v>
      </c>
      <c r="D2679" t="s">
        <v>334</v>
      </c>
      <c r="E2679" t="s">
        <v>335</v>
      </c>
      <c r="F2679" t="s">
        <v>1628</v>
      </c>
      <c r="G2679" t="s">
        <v>336</v>
      </c>
      <c r="H2679" t="s">
        <v>130</v>
      </c>
      <c r="I2679" t="s">
        <v>43</v>
      </c>
      <c r="J2679">
        <v>42</v>
      </c>
      <c r="K2679">
        <v>19</v>
      </c>
      <c r="L2679">
        <v>10</v>
      </c>
      <c r="M2679">
        <v>11</v>
      </c>
      <c r="N2679">
        <v>669</v>
      </c>
      <c r="O2679">
        <v>3</v>
      </c>
      <c r="P2679">
        <v>0</v>
      </c>
      <c r="Q2679" t="s">
        <v>44</v>
      </c>
      <c r="R2679" t="s">
        <v>44</v>
      </c>
      <c r="S2679" t="s">
        <v>44</v>
      </c>
      <c r="T2679">
        <v>3</v>
      </c>
      <c r="U2679" t="s">
        <v>44</v>
      </c>
      <c r="V2679">
        <v>274</v>
      </c>
      <c r="W2679" t="s">
        <v>44</v>
      </c>
      <c r="X2679" t="s">
        <v>44</v>
      </c>
      <c r="Y2679">
        <v>274</v>
      </c>
      <c r="Z2679" t="s">
        <v>44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277</v>
      </c>
      <c r="AQ2679">
        <f t="shared" si="92"/>
        <v>277</v>
      </c>
      <c r="AR2679" s="5">
        <f>VLOOKUP(F2679,'[2]SCP_24-25'!$A:$D,4,0)</f>
        <v>68.577500000000001</v>
      </c>
      <c r="AS2679" s="5">
        <f t="shared" si="91"/>
        <v>18995.967499999999</v>
      </c>
    </row>
    <row r="2680" spans="1:45" x14ac:dyDescent="0.3">
      <c r="A2680" s="1">
        <v>45900.96597222222</v>
      </c>
      <c r="B2680" t="s">
        <v>1505</v>
      </c>
      <c r="C2680" t="s">
        <v>1506</v>
      </c>
      <c r="D2680" t="s">
        <v>337</v>
      </c>
      <c r="E2680" t="s">
        <v>338</v>
      </c>
      <c r="F2680" t="s">
        <v>1629</v>
      </c>
      <c r="G2680" t="s">
        <v>339</v>
      </c>
      <c r="H2680" t="s">
        <v>130</v>
      </c>
      <c r="I2680" t="s">
        <v>43</v>
      </c>
      <c r="J2680">
        <v>48.99</v>
      </c>
      <c r="K2680">
        <v>19</v>
      </c>
      <c r="L2680">
        <v>10</v>
      </c>
      <c r="M2680">
        <v>11</v>
      </c>
      <c r="N2680">
        <v>1579</v>
      </c>
      <c r="O2680">
        <v>9</v>
      </c>
      <c r="P2680">
        <v>0</v>
      </c>
      <c r="Q2680" t="s">
        <v>44</v>
      </c>
      <c r="R2680">
        <v>43</v>
      </c>
      <c r="S2680" t="s">
        <v>44</v>
      </c>
      <c r="T2680" t="s">
        <v>44</v>
      </c>
      <c r="U2680" t="s">
        <v>44</v>
      </c>
      <c r="V2680">
        <v>962</v>
      </c>
      <c r="W2680" t="s">
        <v>44</v>
      </c>
      <c r="X2680" t="s">
        <v>44</v>
      </c>
      <c r="Y2680">
        <v>962</v>
      </c>
      <c r="Z2680" t="s">
        <v>44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971</v>
      </c>
      <c r="AQ2680">
        <f t="shared" si="92"/>
        <v>971</v>
      </c>
      <c r="AR2680" s="5">
        <f>VLOOKUP(F2680,'[2]SCP_24-25'!$A:$D,4,0)</f>
        <v>64.540000000000006</v>
      </c>
      <c r="AS2680" s="5">
        <f t="shared" si="91"/>
        <v>62668.340000000004</v>
      </c>
    </row>
    <row r="2681" spans="1:45" x14ac:dyDescent="0.3">
      <c r="A2681" s="1">
        <v>45900.96597222222</v>
      </c>
      <c r="B2681" t="s">
        <v>1505</v>
      </c>
      <c r="C2681" t="s">
        <v>1506</v>
      </c>
      <c r="D2681" t="s">
        <v>340</v>
      </c>
      <c r="E2681" t="s">
        <v>338</v>
      </c>
      <c r="F2681" t="s">
        <v>1630</v>
      </c>
      <c r="G2681" t="s">
        <v>341</v>
      </c>
      <c r="H2681" t="s">
        <v>130</v>
      </c>
      <c r="I2681" t="s">
        <v>43</v>
      </c>
      <c r="J2681">
        <v>48.99</v>
      </c>
      <c r="K2681">
        <v>19</v>
      </c>
      <c r="L2681">
        <v>10</v>
      </c>
      <c r="M2681">
        <v>11</v>
      </c>
      <c r="N2681">
        <v>720</v>
      </c>
      <c r="O2681">
        <v>7</v>
      </c>
      <c r="P2681">
        <v>0</v>
      </c>
      <c r="Q2681" t="s">
        <v>44</v>
      </c>
      <c r="R2681" t="s">
        <v>44</v>
      </c>
      <c r="S2681" t="s">
        <v>44</v>
      </c>
      <c r="T2681" t="s">
        <v>44</v>
      </c>
      <c r="U2681" t="s">
        <v>44</v>
      </c>
      <c r="V2681">
        <v>459</v>
      </c>
      <c r="W2681" t="s">
        <v>44</v>
      </c>
      <c r="X2681" t="s">
        <v>44</v>
      </c>
      <c r="Y2681">
        <v>459</v>
      </c>
      <c r="Z2681" t="s">
        <v>44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466</v>
      </c>
      <c r="AQ2681">
        <f t="shared" si="92"/>
        <v>466</v>
      </c>
      <c r="AR2681" s="5">
        <f>VLOOKUP(F2681,'[2]SCP_24-25'!$A:$D,4,0)</f>
        <v>63.836666666666673</v>
      </c>
      <c r="AS2681" s="5">
        <f t="shared" si="91"/>
        <v>29747.886666666669</v>
      </c>
    </row>
    <row r="2682" spans="1:45" x14ac:dyDescent="0.3">
      <c r="A2682" s="1">
        <v>45900.96597222222</v>
      </c>
      <c r="B2682" t="s">
        <v>1505</v>
      </c>
      <c r="C2682" t="s">
        <v>1506</v>
      </c>
      <c r="D2682" t="s">
        <v>342</v>
      </c>
      <c r="E2682" t="s">
        <v>338</v>
      </c>
      <c r="F2682" t="s">
        <v>1631</v>
      </c>
      <c r="G2682" t="s">
        <v>343</v>
      </c>
      <c r="H2682" t="s">
        <v>130</v>
      </c>
      <c r="I2682" t="s">
        <v>43</v>
      </c>
      <c r="J2682">
        <v>48</v>
      </c>
      <c r="K2682">
        <v>19</v>
      </c>
      <c r="L2682">
        <v>10</v>
      </c>
      <c r="M2682">
        <v>11</v>
      </c>
      <c r="N2682">
        <v>240</v>
      </c>
      <c r="O2682">
        <v>0</v>
      </c>
      <c r="P2682">
        <v>0</v>
      </c>
      <c r="Q2682" t="s">
        <v>44</v>
      </c>
      <c r="R2682" t="s">
        <v>44</v>
      </c>
      <c r="S2682" t="s">
        <v>44</v>
      </c>
      <c r="T2682" t="s">
        <v>44</v>
      </c>
      <c r="U2682" t="s">
        <v>44</v>
      </c>
      <c r="V2682">
        <v>198</v>
      </c>
      <c r="W2682" t="s">
        <v>44</v>
      </c>
      <c r="X2682" t="s">
        <v>44</v>
      </c>
      <c r="Y2682">
        <v>198</v>
      </c>
      <c r="Z2682" t="s">
        <v>44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198</v>
      </c>
      <c r="AQ2682">
        <f t="shared" si="92"/>
        <v>198</v>
      </c>
      <c r="AR2682" s="5">
        <f>VLOOKUP(F2682,'[2]SCP_24-25'!$A:$D,4,0)</f>
        <v>64.540000000000006</v>
      </c>
      <c r="AS2682" s="5">
        <f t="shared" si="91"/>
        <v>12778.920000000002</v>
      </c>
    </row>
    <row r="2683" spans="1:45" x14ac:dyDescent="0.3">
      <c r="A2683" s="1">
        <v>45900.96597222222</v>
      </c>
      <c r="B2683" t="s">
        <v>1505</v>
      </c>
      <c r="C2683" t="s">
        <v>1506</v>
      </c>
      <c r="D2683" t="s">
        <v>349</v>
      </c>
      <c r="E2683" t="s">
        <v>345</v>
      </c>
      <c r="F2683" t="s">
        <v>1634</v>
      </c>
      <c r="G2683" t="s">
        <v>350</v>
      </c>
      <c r="H2683" t="s">
        <v>130</v>
      </c>
      <c r="I2683" t="s">
        <v>43</v>
      </c>
      <c r="J2683">
        <v>112.62</v>
      </c>
      <c r="K2683">
        <v>19</v>
      </c>
      <c r="L2683">
        <v>10</v>
      </c>
      <c r="M2683">
        <v>11</v>
      </c>
      <c r="N2683">
        <v>1104</v>
      </c>
      <c r="O2683">
        <v>14</v>
      </c>
      <c r="P2683">
        <v>0</v>
      </c>
      <c r="Q2683">
        <v>1</v>
      </c>
      <c r="R2683" t="s">
        <v>44</v>
      </c>
      <c r="S2683" t="s">
        <v>44</v>
      </c>
      <c r="T2683" t="s">
        <v>44</v>
      </c>
      <c r="U2683" t="s">
        <v>44</v>
      </c>
      <c r="V2683">
        <v>439</v>
      </c>
      <c r="W2683" t="s">
        <v>44</v>
      </c>
      <c r="X2683" t="s">
        <v>44</v>
      </c>
      <c r="Y2683">
        <v>439</v>
      </c>
      <c r="Z2683" t="s">
        <v>44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453</v>
      </c>
      <c r="AQ2683">
        <f t="shared" si="92"/>
        <v>453</v>
      </c>
      <c r="AR2683" s="5">
        <f>VLOOKUP(F2683,'[2]SCP_24-25'!$A:$D,4,0)</f>
        <v>114.80999999999999</v>
      </c>
      <c r="AS2683" s="5">
        <f t="shared" si="91"/>
        <v>52008.929999999993</v>
      </c>
    </row>
    <row r="2684" spans="1:45" x14ac:dyDescent="0.3">
      <c r="A2684" s="1">
        <v>45900.96597222222</v>
      </c>
      <c r="B2684" t="s">
        <v>1505</v>
      </c>
      <c r="C2684" t="s">
        <v>1506</v>
      </c>
      <c r="D2684" t="s">
        <v>353</v>
      </c>
      <c r="E2684" t="s">
        <v>345</v>
      </c>
      <c r="F2684" t="s">
        <v>1636</v>
      </c>
      <c r="G2684" t="s">
        <v>354</v>
      </c>
      <c r="H2684" t="s">
        <v>130</v>
      </c>
      <c r="I2684" t="s">
        <v>43</v>
      </c>
      <c r="J2684">
        <v>112.62</v>
      </c>
      <c r="K2684">
        <v>19</v>
      </c>
      <c r="L2684">
        <v>10</v>
      </c>
      <c r="M2684">
        <v>11</v>
      </c>
      <c r="N2684">
        <v>384</v>
      </c>
      <c r="O2684">
        <v>1</v>
      </c>
      <c r="P2684">
        <v>0</v>
      </c>
      <c r="Q2684" t="s">
        <v>44</v>
      </c>
      <c r="R2684" t="s">
        <v>44</v>
      </c>
      <c r="S2684" t="s">
        <v>44</v>
      </c>
      <c r="T2684" t="s">
        <v>44</v>
      </c>
      <c r="U2684" t="s">
        <v>44</v>
      </c>
      <c r="V2684">
        <v>209</v>
      </c>
      <c r="W2684" t="s">
        <v>44</v>
      </c>
      <c r="X2684" t="s">
        <v>44</v>
      </c>
      <c r="Y2684">
        <v>209</v>
      </c>
      <c r="Z2684" t="s">
        <v>44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210</v>
      </c>
      <c r="AQ2684">
        <f t="shared" si="92"/>
        <v>210</v>
      </c>
      <c r="AR2684" s="5">
        <f>VLOOKUP(F2684,'[2]SCP_24-25'!$A:$D,4,0)</f>
        <v>114.81</v>
      </c>
      <c r="AS2684" s="5">
        <f t="shared" si="91"/>
        <v>24110.100000000002</v>
      </c>
    </row>
    <row r="2685" spans="1:45" x14ac:dyDescent="0.3">
      <c r="A2685" s="1">
        <v>45900.96597222222</v>
      </c>
      <c r="B2685" t="s">
        <v>1505</v>
      </c>
      <c r="C2685" t="s">
        <v>1506</v>
      </c>
      <c r="D2685" t="s">
        <v>560</v>
      </c>
      <c r="E2685" t="s">
        <v>345</v>
      </c>
      <c r="F2685" t="s">
        <v>1734</v>
      </c>
      <c r="G2685" t="s">
        <v>561</v>
      </c>
      <c r="H2685" t="s">
        <v>130</v>
      </c>
      <c r="I2685" t="s">
        <v>43</v>
      </c>
      <c r="J2685">
        <v>112.62</v>
      </c>
      <c r="K2685">
        <v>19</v>
      </c>
      <c r="L2685">
        <v>10</v>
      </c>
      <c r="M2685">
        <v>11</v>
      </c>
      <c r="N2685">
        <v>336</v>
      </c>
      <c r="O2685">
        <v>0</v>
      </c>
      <c r="P2685">
        <v>0</v>
      </c>
      <c r="Q2685" t="s">
        <v>44</v>
      </c>
      <c r="R2685">
        <v>96</v>
      </c>
      <c r="S2685" t="s">
        <v>44</v>
      </c>
      <c r="T2685" t="s">
        <v>44</v>
      </c>
      <c r="U2685" t="s">
        <v>44</v>
      </c>
      <c r="V2685">
        <v>158</v>
      </c>
      <c r="W2685" t="s">
        <v>44</v>
      </c>
      <c r="X2685" t="s">
        <v>44</v>
      </c>
      <c r="Y2685">
        <v>158</v>
      </c>
      <c r="Z2685" t="s">
        <v>44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158</v>
      </c>
      <c r="AQ2685">
        <f t="shared" si="92"/>
        <v>158</v>
      </c>
      <c r="AR2685" s="5">
        <f>VLOOKUP(F2685,'[2]SCP_24-25'!$A:$D,4,0)</f>
        <v>114.81</v>
      </c>
      <c r="AS2685" s="5">
        <f t="shared" si="91"/>
        <v>18139.98</v>
      </c>
    </row>
    <row r="2686" spans="1:45" x14ac:dyDescent="0.3">
      <c r="A2686" s="1">
        <v>45900.96597222222</v>
      </c>
      <c r="B2686" t="s">
        <v>1505</v>
      </c>
      <c r="C2686" t="s">
        <v>1506</v>
      </c>
      <c r="D2686" t="s">
        <v>364</v>
      </c>
      <c r="E2686" t="s">
        <v>365</v>
      </c>
      <c r="F2686" t="s">
        <v>1641</v>
      </c>
      <c r="G2686" t="s">
        <v>366</v>
      </c>
      <c r="H2686" t="s">
        <v>130</v>
      </c>
      <c r="I2686" t="s">
        <v>43</v>
      </c>
      <c r="J2686">
        <v>40.68</v>
      </c>
      <c r="K2686">
        <v>19</v>
      </c>
      <c r="L2686">
        <v>10</v>
      </c>
      <c r="M2686">
        <v>11</v>
      </c>
      <c r="N2686">
        <v>568</v>
      </c>
      <c r="O2686">
        <v>2</v>
      </c>
      <c r="P2686">
        <v>0</v>
      </c>
      <c r="Q2686" t="s">
        <v>44</v>
      </c>
      <c r="R2686">
        <v>40</v>
      </c>
      <c r="S2686" t="s">
        <v>44</v>
      </c>
      <c r="T2686" t="s">
        <v>44</v>
      </c>
      <c r="U2686" t="s">
        <v>44</v>
      </c>
      <c r="V2686">
        <v>288</v>
      </c>
      <c r="W2686" t="s">
        <v>44</v>
      </c>
      <c r="X2686" t="s">
        <v>44</v>
      </c>
      <c r="Y2686">
        <v>288</v>
      </c>
      <c r="Z2686" t="s">
        <v>44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290</v>
      </c>
      <c r="AQ2686">
        <f t="shared" si="92"/>
        <v>290</v>
      </c>
      <c r="AR2686" s="5">
        <f>VLOOKUP(F2686,'[2]SCP_24-25'!$A:$D,4,0)</f>
        <v>61.98</v>
      </c>
      <c r="AS2686" s="5">
        <f t="shared" si="91"/>
        <v>17974.2</v>
      </c>
    </row>
    <row r="2687" spans="1:45" x14ac:dyDescent="0.3">
      <c r="A2687" s="1">
        <v>45900.96597222222</v>
      </c>
      <c r="B2687" t="s">
        <v>1505</v>
      </c>
      <c r="C2687" t="s">
        <v>1506</v>
      </c>
      <c r="D2687" t="s">
        <v>115</v>
      </c>
      <c r="E2687" t="s">
        <v>116</v>
      </c>
      <c r="F2687" t="s">
        <v>1537</v>
      </c>
      <c r="G2687" t="s">
        <v>117</v>
      </c>
      <c r="H2687" t="s">
        <v>66</v>
      </c>
      <c r="I2687" t="s">
        <v>43</v>
      </c>
      <c r="J2687">
        <v>60</v>
      </c>
      <c r="K2687">
        <v>19</v>
      </c>
      <c r="L2687">
        <v>11</v>
      </c>
      <c r="M2687">
        <v>10</v>
      </c>
      <c r="N2687">
        <v>616</v>
      </c>
      <c r="O2687">
        <v>2</v>
      </c>
      <c r="P2687">
        <v>0</v>
      </c>
      <c r="Q2687" t="s">
        <v>44</v>
      </c>
      <c r="R2687" t="s">
        <v>44</v>
      </c>
      <c r="S2687" t="s">
        <v>44</v>
      </c>
      <c r="T2687" t="s">
        <v>44</v>
      </c>
      <c r="U2687" t="s">
        <v>44</v>
      </c>
      <c r="V2687">
        <v>516</v>
      </c>
      <c r="W2687" t="s">
        <v>44</v>
      </c>
      <c r="X2687" t="s">
        <v>44</v>
      </c>
      <c r="Y2687">
        <v>516</v>
      </c>
      <c r="Z2687" t="s">
        <v>44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518</v>
      </c>
      <c r="AQ2687">
        <f t="shared" si="92"/>
        <v>518</v>
      </c>
      <c r="AR2687" s="5">
        <f>VLOOKUP(F2687,'[2]SCP_24-25'!$A:$D,4,0)</f>
        <v>94.559999999999988</v>
      </c>
      <c r="AS2687" s="5">
        <f t="shared" si="91"/>
        <v>48982.079999999994</v>
      </c>
    </row>
    <row r="2688" spans="1:45" x14ac:dyDescent="0.3">
      <c r="A2688" s="1">
        <v>45900.96597222222</v>
      </c>
      <c r="B2688" t="s">
        <v>1505</v>
      </c>
      <c r="C2688" t="s">
        <v>1506</v>
      </c>
      <c r="D2688" t="s">
        <v>787</v>
      </c>
      <c r="F2688" t="s">
        <v>1845</v>
      </c>
      <c r="G2688" t="s">
        <v>788</v>
      </c>
      <c r="H2688" t="s">
        <v>66</v>
      </c>
      <c r="I2688" t="s">
        <v>43</v>
      </c>
      <c r="J2688">
        <v>61.92</v>
      </c>
      <c r="K2688">
        <v>19</v>
      </c>
      <c r="L2688">
        <v>10</v>
      </c>
      <c r="M2688">
        <v>11</v>
      </c>
      <c r="N2688">
        <v>129</v>
      </c>
      <c r="O2688">
        <v>0</v>
      </c>
      <c r="P2688">
        <v>0</v>
      </c>
      <c r="Q2688" t="s">
        <v>44</v>
      </c>
      <c r="R2688" t="s">
        <v>44</v>
      </c>
      <c r="S2688" t="s">
        <v>44</v>
      </c>
      <c r="T2688">
        <v>15</v>
      </c>
      <c r="U2688" t="s">
        <v>44</v>
      </c>
      <c r="V2688">
        <v>129</v>
      </c>
      <c r="W2688" t="s">
        <v>44</v>
      </c>
      <c r="X2688" t="s">
        <v>44</v>
      </c>
      <c r="Y2688">
        <v>129</v>
      </c>
      <c r="Z2688" t="s">
        <v>44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129</v>
      </c>
      <c r="AQ2688">
        <f t="shared" si="92"/>
        <v>129</v>
      </c>
      <c r="AR2688" s="5">
        <f>VLOOKUP(F2688,'[2]SCP_24-25'!$A:$D,4,0)</f>
        <v>23.39</v>
      </c>
      <c r="AS2688" s="5">
        <f t="shared" si="91"/>
        <v>3017.31</v>
      </c>
    </row>
    <row r="2689" spans="1:45" x14ac:dyDescent="0.3">
      <c r="A2689" s="1">
        <v>45900.96597222222</v>
      </c>
      <c r="B2689" t="s">
        <v>1505</v>
      </c>
      <c r="C2689" t="s">
        <v>1506</v>
      </c>
      <c r="D2689" t="s">
        <v>626</v>
      </c>
      <c r="F2689" t="s">
        <v>1766</v>
      </c>
      <c r="G2689" t="s">
        <v>627</v>
      </c>
      <c r="H2689" t="s">
        <v>66</v>
      </c>
      <c r="I2689" t="s">
        <v>43</v>
      </c>
      <c r="J2689">
        <v>61.92</v>
      </c>
      <c r="K2689">
        <v>19</v>
      </c>
      <c r="L2689">
        <v>10</v>
      </c>
      <c r="M2689">
        <v>11</v>
      </c>
      <c r="N2689">
        <v>216</v>
      </c>
      <c r="O2689">
        <v>0</v>
      </c>
      <c r="P2689">
        <v>0</v>
      </c>
      <c r="Q2689" t="s">
        <v>44</v>
      </c>
      <c r="R2689">
        <v>72</v>
      </c>
      <c r="S2689" t="s">
        <v>44</v>
      </c>
      <c r="T2689" t="s">
        <v>44</v>
      </c>
      <c r="U2689" t="s">
        <v>44</v>
      </c>
      <c r="V2689">
        <v>144</v>
      </c>
      <c r="W2689" t="s">
        <v>44</v>
      </c>
      <c r="X2689" t="s">
        <v>44</v>
      </c>
      <c r="Y2689">
        <v>144</v>
      </c>
      <c r="Z2689" t="s">
        <v>44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144</v>
      </c>
      <c r="AQ2689">
        <f t="shared" si="92"/>
        <v>144</v>
      </c>
      <c r="AR2689" s="5">
        <f>VLOOKUP(F2689,'[2]SCP_24-25'!$A:$D,4,0)</f>
        <v>26.96</v>
      </c>
      <c r="AS2689" s="5">
        <f t="shared" si="91"/>
        <v>3882.2400000000002</v>
      </c>
    </row>
    <row r="2690" spans="1:45" x14ac:dyDescent="0.3">
      <c r="A2690" s="1">
        <v>45900.96597222222</v>
      </c>
      <c r="B2690" t="s">
        <v>1505</v>
      </c>
      <c r="C2690" t="s">
        <v>1506</v>
      </c>
      <c r="D2690" t="s">
        <v>124</v>
      </c>
      <c r="F2690" t="s">
        <v>1540</v>
      </c>
      <c r="G2690" t="s">
        <v>125</v>
      </c>
      <c r="H2690" t="s">
        <v>66</v>
      </c>
      <c r="I2690" t="s">
        <v>43</v>
      </c>
      <c r="J2690">
        <v>90.08</v>
      </c>
      <c r="K2690">
        <v>19</v>
      </c>
      <c r="L2690">
        <v>11</v>
      </c>
      <c r="M2690">
        <v>10</v>
      </c>
      <c r="N2690">
        <v>720</v>
      </c>
      <c r="O2690">
        <v>0</v>
      </c>
      <c r="P2690">
        <v>0</v>
      </c>
      <c r="Q2690" t="s">
        <v>44</v>
      </c>
      <c r="R2690" t="s">
        <v>44</v>
      </c>
      <c r="S2690" t="s">
        <v>44</v>
      </c>
      <c r="T2690" t="s">
        <v>44</v>
      </c>
      <c r="U2690" t="s">
        <v>44</v>
      </c>
      <c r="V2690">
        <v>544</v>
      </c>
      <c r="W2690" t="s">
        <v>44</v>
      </c>
      <c r="X2690" t="s">
        <v>44</v>
      </c>
      <c r="Y2690">
        <v>544</v>
      </c>
      <c r="Z2690" t="s">
        <v>44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544</v>
      </c>
      <c r="AQ2690">
        <f t="shared" si="92"/>
        <v>544</v>
      </c>
      <c r="AR2690" s="5">
        <f>VLOOKUP(F2690,'[2]SCP_24-25'!$A:$D,4,0)</f>
        <v>45.74</v>
      </c>
      <c r="AS2690" s="5">
        <f t="shared" si="91"/>
        <v>24882.560000000001</v>
      </c>
    </row>
    <row r="2691" spans="1:45" x14ac:dyDescent="0.3">
      <c r="A2691" s="1">
        <v>45900.96597222222</v>
      </c>
      <c r="B2691" t="s">
        <v>1505</v>
      </c>
      <c r="C2691" t="s">
        <v>1506</v>
      </c>
      <c r="D2691" t="s">
        <v>562</v>
      </c>
      <c r="F2691" t="s">
        <v>1735</v>
      </c>
      <c r="G2691" t="s">
        <v>563</v>
      </c>
      <c r="H2691" t="s">
        <v>66</v>
      </c>
      <c r="I2691" t="s">
        <v>43</v>
      </c>
      <c r="J2691">
        <v>44.99</v>
      </c>
      <c r="K2691">
        <v>19</v>
      </c>
      <c r="L2691">
        <v>11</v>
      </c>
      <c r="M2691">
        <v>10</v>
      </c>
      <c r="N2691">
        <v>648</v>
      </c>
      <c r="O2691">
        <v>1</v>
      </c>
      <c r="P2691">
        <v>0</v>
      </c>
      <c r="Q2691" t="s">
        <v>44</v>
      </c>
      <c r="R2691" t="s">
        <v>44</v>
      </c>
      <c r="S2691" t="s">
        <v>44</v>
      </c>
      <c r="T2691" t="s">
        <v>44</v>
      </c>
      <c r="U2691" t="s">
        <v>44</v>
      </c>
      <c r="V2691">
        <v>508</v>
      </c>
      <c r="W2691" t="s">
        <v>44</v>
      </c>
      <c r="X2691" t="s">
        <v>44</v>
      </c>
      <c r="Y2691">
        <v>508</v>
      </c>
      <c r="Z2691" t="s">
        <v>44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509</v>
      </c>
      <c r="AQ2691">
        <f t="shared" si="92"/>
        <v>509</v>
      </c>
      <c r="AR2691" s="5">
        <f>VLOOKUP(F2691,'[2]SCP_24-25'!$A:$D,4,0)</f>
        <v>40.44</v>
      </c>
      <c r="AS2691" s="5">
        <f t="shared" ref="AS2691:AS2754" si="93">AQ2691*AR2691</f>
        <v>20583.96</v>
      </c>
    </row>
    <row r="2692" spans="1:45" x14ac:dyDescent="0.3">
      <c r="A2692" s="1">
        <v>45900.96597222222</v>
      </c>
      <c r="B2692" t="s">
        <v>1505</v>
      </c>
      <c r="C2692" t="s">
        <v>1506</v>
      </c>
      <c r="D2692" t="s">
        <v>128</v>
      </c>
      <c r="F2692" t="s">
        <v>1542</v>
      </c>
      <c r="G2692" t="s">
        <v>129</v>
      </c>
      <c r="H2692" t="s">
        <v>130</v>
      </c>
      <c r="I2692" t="s">
        <v>43</v>
      </c>
      <c r="J2692">
        <v>80</v>
      </c>
      <c r="K2692">
        <v>19</v>
      </c>
      <c r="L2692">
        <v>11</v>
      </c>
      <c r="M2692">
        <v>10</v>
      </c>
      <c r="N2692">
        <v>624</v>
      </c>
      <c r="O2692">
        <v>1</v>
      </c>
      <c r="P2692">
        <v>0</v>
      </c>
      <c r="Q2692" t="s">
        <v>44</v>
      </c>
      <c r="R2692" t="s">
        <v>44</v>
      </c>
      <c r="S2692" t="s">
        <v>44</v>
      </c>
      <c r="T2692" t="s">
        <v>44</v>
      </c>
      <c r="U2692" t="s">
        <v>44</v>
      </c>
      <c r="V2692">
        <v>305</v>
      </c>
      <c r="W2692" t="s">
        <v>44</v>
      </c>
      <c r="X2692" t="s">
        <v>44</v>
      </c>
      <c r="Y2692">
        <v>305</v>
      </c>
      <c r="Z2692" t="s">
        <v>44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306</v>
      </c>
      <c r="AQ2692">
        <f t="shared" si="92"/>
        <v>306</v>
      </c>
      <c r="AR2692" s="5">
        <f>VLOOKUP(F2692,'[2]SCP_24-25'!$A:$D,4,0)</f>
        <v>46.19</v>
      </c>
      <c r="AS2692" s="5">
        <f t="shared" si="93"/>
        <v>14134.14</v>
      </c>
    </row>
    <row r="2693" spans="1:45" x14ac:dyDescent="0.3">
      <c r="A2693" s="1">
        <v>45900.96597222222</v>
      </c>
      <c r="B2693" t="s">
        <v>1505</v>
      </c>
      <c r="C2693" t="s">
        <v>1506</v>
      </c>
      <c r="D2693" t="s">
        <v>927</v>
      </c>
      <c r="F2693" t="s">
        <v>1913</v>
      </c>
      <c r="G2693" t="s">
        <v>928</v>
      </c>
      <c r="H2693" t="s">
        <v>103</v>
      </c>
      <c r="I2693" t="s">
        <v>43</v>
      </c>
      <c r="J2693">
        <v>217</v>
      </c>
      <c r="K2693">
        <v>19</v>
      </c>
      <c r="L2693">
        <v>10</v>
      </c>
      <c r="M2693">
        <v>11</v>
      </c>
      <c r="N2693">
        <v>1030</v>
      </c>
      <c r="O2693">
        <v>4</v>
      </c>
      <c r="P2693">
        <v>0</v>
      </c>
      <c r="Q2693">
        <v>1</v>
      </c>
      <c r="R2693">
        <v>97</v>
      </c>
      <c r="S2693" t="s">
        <v>44</v>
      </c>
      <c r="T2693">
        <v>2</v>
      </c>
      <c r="U2693" t="s">
        <v>44</v>
      </c>
      <c r="V2693">
        <v>254</v>
      </c>
      <c r="W2693" t="s">
        <v>44</v>
      </c>
      <c r="X2693" t="s">
        <v>44</v>
      </c>
      <c r="Y2693">
        <v>254</v>
      </c>
      <c r="Z2693" t="s">
        <v>44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258</v>
      </c>
      <c r="AQ2693">
        <f t="shared" si="92"/>
        <v>258</v>
      </c>
      <c r="AR2693" s="5">
        <f>VLOOKUP(F2693,'[2]SCP_24-25'!$A:$D,4,0)</f>
        <v>53.669999999999995</v>
      </c>
      <c r="AS2693" s="5">
        <f t="shared" si="93"/>
        <v>13846.859999999999</v>
      </c>
    </row>
    <row r="2694" spans="1:45" x14ac:dyDescent="0.3">
      <c r="A2694" s="1">
        <v>45900.96597222222</v>
      </c>
      <c r="B2694" t="s">
        <v>1505</v>
      </c>
      <c r="C2694" t="s">
        <v>1506</v>
      </c>
      <c r="D2694" t="s">
        <v>425</v>
      </c>
      <c r="F2694" t="s">
        <v>1669</v>
      </c>
      <c r="G2694" t="s">
        <v>426</v>
      </c>
      <c r="H2694" t="s">
        <v>66</v>
      </c>
      <c r="I2694" t="s">
        <v>43</v>
      </c>
      <c r="J2694">
        <v>46.59</v>
      </c>
      <c r="K2694">
        <v>19</v>
      </c>
      <c r="L2694">
        <v>10</v>
      </c>
      <c r="M2694">
        <v>11</v>
      </c>
      <c r="N2694">
        <v>800</v>
      </c>
      <c r="O2694">
        <v>0</v>
      </c>
      <c r="P2694">
        <v>0</v>
      </c>
      <c r="Q2694" t="s">
        <v>44</v>
      </c>
      <c r="R2694">
        <v>400</v>
      </c>
      <c r="S2694" t="s">
        <v>44</v>
      </c>
      <c r="T2694" t="s">
        <v>44</v>
      </c>
      <c r="U2694" t="s">
        <v>44</v>
      </c>
      <c r="V2694">
        <v>400</v>
      </c>
      <c r="W2694" t="s">
        <v>44</v>
      </c>
      <c r="X2694" t="s">
        <v>44</v>
      </c>
      <c r="Y2694">
        <v>400</v>
      </c>
      <c r="Z2694" t="s">
        <v>44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400</v>
      </c>
      <c r="AQ2694">
        <f t="shared" si="92"/>
        <v>400</v>
      </c>
      <c r="AR2694" s="5">
        <f>VLOOKUP(F2694,'[2]SCP_24-25'!$A:$D,4,0)</f>
        <v>37.46</v>
      </c>
      <c r="AS2694" s="5">
        <f t="shared" si="93"/>
        <v>14984</v>
      </c>
    </row>
    <row r="2695" spans="1:45" x14ac:dyDescent="0.3">
      <c r="A2695" s="1">
        <v>45900.96597222222</v>
      </c>
      <c r="B2695" t="s">
        <v>1505</v>
      </c>
      <c r="C2695" t="s">
        <v>1506</v>
      </c>
      <c r="D2695" t="s">
        <v>605</v>
      </c>
      <c r="F2695" t="s">
        <v>1756</v>
      </c>
      <c r="G2695" t="s">
        <v>606</v>
      </c>
      <c r="H2695" t="s">
        <v>66</v>
      </c>
      <c r="I2695" t="s">
        <v>43</v>
      </c>
      <c r="J2695">
        <v>46.59</v>
      </c>
      <c r="K2695">
        <v>19</v>
      </c>
      <c r="L2695">
        <v>10</v>
      </c>
      <c r="M2695">
        <v>11</v>
      </c>
      <c r="N2695">
        <v>400</v>
      </c>
      <c r="O2695">
        <v>0</v>
      </c>
      <c r="P2695">
        <v>0</v>
      </c>
      <c r="Q2695" t="s">
        <v>44</v>
      </c>
      <c r="R2695">
        <v>200</v>
      </c>
      <c r="S2695" t="s">
        <v>44</v>
      </c>
      <c r="T2695" t="s">
        <v>44</v>
      </c>
      <c r="U2695" t="s">
        <v>44</v>
      </c>
      <c r="V2695">
        <v>200</v>
      </c>
      <c r="W2695" t="s">
        <v>44</v>
      </c>
      <c r="X2695" t="s">
        <v>44</v>
      </c>
      <c r="Y2695">
        <v>200</v>
      </c>
      <c r="Z2695" t="s">
        <v>44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200</v>
      </c>
      <c r="AQ2695">
        <f t="shared" si="92"/>
        <v>200</v>
      </c>
      <c r="AR2695" s="5">
        <f>VLOOKUP(F2695,'[2]SCP_24-25'!$A:$D,4,0)</f>
        <v>29.02</v>
      </c>
      <c r="AS2695" s="5">
        <f t="shared" si="93"/>
        <v>5804</v>
      </c>
    </row>
    <row r="2696" spans="1:45" x14ac:dyDescent="0.3">
      <c r="A2696" s="1">
        <v>45900.96597222222</v>
      </c>
      <c r="B2696" t="s">
        <v>1505</v>
      </c>
      <c r="C2696" t="s">
        <v>1506</v>
      </c>
      <c r="D2696" t="s">
        <v>495</v>
      </c>
      <c r="F2696" t="s">
        <v>1702</v>
      </c>
      <c r="G2696" t="s">
        <v>496</v>
      </c>
      <c r="H2696" t="s">
        <v>130</v>
      </c>
      <c r="I2696" t="s">
        <v>43</v>
      </c>
      <c r="J2696">
        <v>40.020000000000003</v>
      </c>
      <c r="K2696">
        <v>19</v>
      </c>
      <c r="L2696">
        <v>10</v>
      </c>
      <c r="M2696">
        <v>11</v>
      </c>
      <c r="N2696">
        <v>185</v>
      </c>
      <c r="O2696">
        <v>0</v>
      </c>
      <c r="P2696">
        <v>0</v>
      </c>
      <c r="Q2696" t="s">
        <v>44</v>
      </c>
      <c r="R2696" t="s">
        <v>44</v>
      </c>
      <c r="S2696" t="s">
        <v>44</v>
      </c>
      <c r="T2696">
        <v>7</v>
      </c>
      <c r="U2696" t="s">
        <v>44</v>
      </c>
      <c r="V2696">
        <v>119</v>
      </c>
      <c r="W2696" t="s">
        <v>44</v>
      </c>
      <c r="X2696" t="s">
        <v>44</v>
      </c>
      <c r="Y2696">
        <v>119</v>
      </c>
      <c r="Z2696" t="s">
        <v>44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119</v>
      </c>
      <c r="AQ2696">
        <f t="shared" ref="AQ2696:AQ2759" si="94">O2696+P2696+V2696+AA2696</f>
        <v>119</v>
      </c>
      <c r="AR2696" s="5">
        <f>VLOOKUP(F2696,'[2]SCP_24-25'!$A:$D,4,0)</f>
        <v>98.3</v>
      </c>
      <c r="AS2696" s="5">
        <f t="shared" si="93"/>
        <v>11697.699999999999</v>
      </c>
    </row>
    <row r="2697" spans="1:45" x14ac:dyDescent="0.3">
      <c r="A2697" s="1">
        <v>45900.96597222222</v>
      </c>
      <c r="B2697" t="s">
        <v>1505</v>
      </c>
      <c r="C2697" t="s">
        <v>1506</v>
      </c>
      <c r="D2697" t="s">
        <v>429</v>
      </c>
      <c r="F2697" t="s">
        <v>1671</v>
      </c>
      <c r="G2697" t="s">
        <v>430</v>
      </c>
      <c r="H2697" t="s">
        <v>130</v>
      </c>
      <c r="I2697" t="s">
        <v>43</v>
      </c>
      <c r="J2697">
        <v>40.020000000000003</v>
      </c>
      <c r="K2697">
        <v>19</v>
      </c>
      <c r="L2697">
        <v>10</v>
      </c>
      <c r="M2697">
        <v>11</v>
      </c>
      <c r="N2697">
        <v>288</v>
      </c>
      <c r="O2697">
        <v>3</v>
      </c>
      <c r="P2697">
        <v>0</v>
      </c>
      <c r="Q2697" t="s">
        <v>44</v>
      </c>
      <c r="R2697" t="s">
        <v>44</v>
      </c>
      <c r="S2697" t="s">
        <v>44</v>
      </c>
      <c r="T2697" t="s">
        <v>44</v>
      </c>
      <c r="U2697" t="s">
        <v>44</v>
      </c>
      <c r="V2697">
        <v>164</v>
      </c>
      <c r="W2697" t="s">
        <v>44</v>
      </c>
      <c r="X2697" t="s">
        <v>44</v>
      </c>
      <c r="Y2697">
        <v>164</v>
      </c>
      <c r="Z2697" t="s">
        <v>44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167</v>
      </c>
      <c r="AQ2697">
        <f t="shared" si="94"/>
        <v>167</v>
      </c>
      <c r="AR2697" s="5">
        <f>VLOOKUP(F2697,'[2]SCP_24-25'!$A:$D,4,0)</f>
        <v>98.299999999999983</v>
      </c>
      <c r="AS2697" s="5">
        <f t="shared" si="93"/>
        <v>16416.099999999999</v>
      </c>
    </row>
    <row r="2698" spans="1:45" x14ac:dyDescent="0.3">
      <c r="A2698" s="1">
        <v>45900.96597222222</v>
      </c>
      <c r="B2698" t="s">
        <v>1505</v>
      </c>
      <c r="C2698" t="s">
        <v>1506</v>
      </c>
      <c r="D2698" t="s">
        <v>580</v>
      </c>
      <c r="F2698" t="s">
        <v>1744</v>
      </c>
      <c r="G2698" t="s">
        <v>581</v>
      </c>
      <c r="H2698" t="s">
        <v>130</v>
      </c>
      <c r="I2698" t="s">
        <v>43</v>
      </c>
      <c r="J2698">
        <v>40.020000000000003</v>
      </c>
      <c r="K2698">
        <v>19</v>
      </c>
      <c r="L2698">
        <v>10</v>
      </c>
      <c r="M2698">
        <v>11</v>
      </c>
      <c r="N2698">
        <v>192</v>
      </c>
      <c r="O2698">
        <v>1</v>
      </c>
      <c r="P2698">
        <v>0</v>
      </c>
      <c r="Q2698" t="s">
        <v>44</v>
      </c>
      <c r="R2698" t="s">
        <v>44</v>
      </c>
      <c r="S2698" t="s">
        <v>44</v>
      </c>
      <c r="T2698" t="s">
        <v>44</v>
      </c>
      <c r="U2698" t="s">
        <v>44</v>
      </c>
      <c r="V2698">
        <v>125</v>
      </c>
      <c r="W2698" t="s">
        <v>44</v>
      </c>
      <c r="X2698" t="s">
        <v>44</v>
      </c>
      <c r="Y2698">
        <v>125</v>
      </c>
      <c r="Z2698" t="s">
        <v>44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126</v>
      </c>
      <c r="AQ2698">
        <f t="shared" si="94"/>
        <v>126</v>
      </c>
      <c r="AR2698" s="5">
        <f>VLOOKUP(F2698,'[2]SCP_24-25'!$A:$D,4,0)</f>
        <v>98.3</v>
      </c>
      <c r="AS2698" s="5">
        <f t="shared" si="93"/>
        <v>12385.8</v>
      </c>
    </row>
    <row r="2699" spans="1:45" x14ac:dyDescent="0.3">
      <c r="A2699" s="1">
        <v>45900.96597222222</v>
      </c>
      <c r="B2699" t="s">
        <v>1505</v>
      </c>
      <c r="C2699" t="s">
        <v>1506</v>
      </c>
      <c r="D2699" t="s">
        <v>609</v>
      </c>
      <c r="F2699" t="s">
        <v>1758</v>
      </c>
      <c r="G2699" t="s">
        <v>610</v>
      </c>
      <c r="H2699" t="s">
        <v>130</v>
      </c>
      <c r="I2699" t="s">
        <v>43</v>
      </c>
      <c r="J2699">
        <v>40.020000000000003</v>
      </c>
      <c r="K2699">
        <v>19</v>
      </c>
      <c r="L2699">
        <v>10</v>
      </c>
      <c r="M2699">
        <v>11</v>
      </c>
      <c r="N2699">
        <v>288</v>
      </c>
      <c r="O2699">
        <v>2</v>
      </c>
      <c r="P2699">
        <v>0</v>
      </c>
      <c r="Q2699" t="s">
        <v>44</v>
      </c>
      <c r="R2699" t="s">
        <v>44</v>
      </c>
      <c r="S2699" t="s">
        <v>44</v>
      </c>
      <c r="T2699" t="s">
        <v>44</v>
      </c>
      <c r="U2699" t="s">
        <v>44</v>
      </c>
      <c r="V2699">
        <v>174</v>
      </c>
      <c r="W2699" t="s">
        <v>44</v>
      </c>
      <c r="X2699" t="s">
        <v>44</v>
      </c>
      <c r="Y2699">
        <v>174</v>
      </c>
      <c r="Z2699" t="s">
        <v>44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176</v>
      </c>
      <c r="AQ2699">
        <f t="shared" si="94"/>
        <v>176</v>
      </c>
      <c r="AR2699" s="5">
        <f>VLOOKUP(F2699,'[2]SCP_24-25'!$A:$D,4,0)</f>
        <v>98.3</v>
      </c>
      <c r="AS2699" s="5">
        <f t="shared" si="93"/>
        <v>17300.8</v>
      </c>
    </row>
    <row r="2700" spans="1:45" x14ac:dyDescent="0.3">
      <c r="A2700" s="1">
        <v>45900.96597222222</v>
      </c>
      <c r="B2700" t="s">
        <v>1505</v>
      </c>
      <c r="C2700" t="s">
        <v>1506</v>
      </c>
      <c r="D2700" t="s">
        <v>420</v>
      </c>
      <c r="F2700" t="s">
        <v>1667</v>
      </c>
      <c r="G2700" t="s">
        <v>421</v>
      </c>
      <c r="H2700" t="s">
        <v>130</v>
      </c>
      <c r="I2700" t="s">
        <v>43</v>
      </c>
      <c r="J2700">
        <v>40.020000000000003</v>
      </c>
      <c r="K2700">
        <v>19</v>
      </c>
      <c r="L2700">
        <v>10</v>
      </c>
      <c r="M2700">
        <v>11</v>
      </c>
      <c r="N2700">
        <v>288</v>
      </c>
      <c r="O2700">
        <v>0</v>
      </c>
      <c r="P2700">
        <v>0</v>
      </c>
      <c r="Q2700" t="s">
        <v>44</v>
      </c>
      <c r="R2700" t="s">
        <v>44</v>
      </c>
      <c r="S2700" t="s">
        <v>44</v>
      </c>
      <c r="T2700" t="s">
        <v>44</v>
      </c>
      <c r="U2700" t="s">
        <v>44</v>
      </c>
      <c r="V2700">
        <v>212</v>
      </c>
      <c r="W2700" t="s">
        <v>44</v>
      </c>
      <c r="X2700" t="s">
        <v>44</v>
      </c>
      <c r="Y2700">
        <v>212</v>
      </c>
      <c r="Z2700" t="s">
        <v>44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212</v>
      </c>
      <c r="AQ2700">
        <f t="shared" si="94"/>
        <v>212</v>
      </c>
      <c r="AR2700" s="5">
        <f>VLOOKUP(F2700,'[2]SCP_24-25'!$A:$D,4,0)</f>
        <v>98.3</v>
      </c>
      <c r="AS2700" s="5">
        <f t="shared" si="93"/>
        <v>20839.599999999999</v>
      </c>
    </row>
    <row r="2701" spans="1:45" x14ac:dyDescent="0.3">
      <c r="A2701" s="1">
        <v>45900.96597222222</v>
      </c>
      <c r="B2701" t="s">
        <v>1505</v>
      </c>
      <c r="C2701" t="s">
        <v>1506</v>
      </c>
      <c r="D2701" t="s">
        <v>544</v>
      </c>
      <c r="F2701" t="s">
        <v>1726</v>
      </c>
      <c r="G2701" t="s">
        <v>545</v>
      </c>
      <c r="H2701" t="s">
        <v>130</v>
      </c>
      <c r="I2701" t="s">
        <v>43</v>
      </c>
      <c r="J2701">
        <v>34.020000000000003</v>
      </c>
      <c r="K2701">
        <v>19</v>
      </c>
      <c r="L2701">
        <v>10</v>
      </c>
      <c r="M2701">
        <v>11</v>
      </c>
      <c r="N2701">
        <v>232</v>
      </c>
      <c r="O2701">
        <v>2</v>
      </c>
      <c r="P2701">
        <v>0</v>
      </c>
      <c r="Q2701" t="s">
        <v>44</v>
      </c>
      <c r="R2701">
        <v>40</v>
      </c>
      <c r="S2701" t="s">
        <v>44</v>
      </c>
      <c r="T2701" t="s">
        <v>44</v>
      </c>
      <c r="U2701" t="s">
        <v>44</v>
      </c>
      <c r="V2701">
        <v>123</v>
      </c>
      <c r="W2701" t="s">
        <v>44</v>
      </c>
      <c r="X2701" t="s">
        <v>44</v>
      </c>
      <c r="Y2701">
        <v>123</v>
      </c>
      <c r="Z2701" t="s">
        <v>44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125</v>
      </c>
      <c r="AQ2701">
        <f t="shared" si="94"/>
        <v>125</v>
      </c>
      <c r="AR2701" s="5">
        <f>VLOOKUP(F2701,'[2]SCP_24-25'!$A:$D,4,0)</f>
        <v>90.089999999999989</v>
      </c>
      <c r="AS2701" s="5">
        <f t="shared" si="93"/>
        <v>11261.249999999998</v>
      </c>
    </row>
    <row r="2702" spans="1:45" x14ac:dyDescent="0.3">
      <c r="A2702" s="1">
        <v>45900.96597222222</v>
      </c>
      <c r="B2702" t="s">
        <v>1505</v>
      </c>
      <c r="C2702" t="s">
        <v>1506</v>
      </c>
      <c r="D2702" t="s">
        <v>548</v>
      </c>
      <c r="F2702" t="s">
        <v>1728</v>
      </c>
      <c r="G2702" t="s">
        <v>549</v>
      </c>
      <c r="H2702" t="s">
        <v>130</v>
      </c>
      <c r="I2702" t="s">
        <v>43</v>
      </c>
      <c r="J2702">
        <v>63.02</v>
      </c>
      <c r="K2702">
        <v>19</v>
      </c>
      <c r="L2702">
        <v>10</v>
      </c>
      <c r="M2702">
        <v>11</v>
      </c>
      <c r="N2702">
        <v>288</v>
      </c>
      <c r="O2702">
        <v>2</v>
      </c>
      <c r="P2702">
        <v>0</v>
      </c>
      <c r="Q2702" t="s">
        <v>44</v>
      </c>
      <c r="R2702" t="s">
        <v>44</v>
      </c>
      <c r="S2702" t="s">
        <v>44</v>
      </c>
      <c r="T2702" t="s">
        <v>44</v>
      </c>
      <c r="U2702" t="s">
        <v>44</v>
      </c>
      <c r="V2702">
        <v>184</v>
      </c>
      <c r="W2702" t="s">
        <v>44</v>
      </c>
      <c r="X2702" t="s">
        <v>44</v>
      </c>
      <c r="Y2702">
        <v>184</v>
      </c>
      <c r="Z2702" t="s">
        <v>44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186</v>
      </c>
      <c r="AQ2702">
        <f t="shared" si="94"/>
        <v>186</v>
      </c>
      <c r="AR2702" s="5">
        <f>VLOOKUP(F2702,'[2]SCP_24-25'!$A:$D,4,0)</f>
        <v>91.39</v>
      </c>
      <c r="AS2702" s="5">
        <f t="shared" si="93"/>
        <v>16998.54</v>
      </c>
    </row>
    <row r="2703" spans="1:45" x14ac:dyDescent="0.3">
      <c r="A2703" s="1">
        <v>45900.96597222222</v>
      </c>
      <c r="B2703" t="s">
        <v>1505</v>
      </c>
      <c r="C2703" t="s">
        <v>1506</v>
      </c>
      <c r="D2703" t="s">
        <v>803</v>
      </c>
      <c r="F2703" t="s">
        <v>1853</v>
      </c>
      <c r="G2703" t="s">
        <v>804</v>
      </c>
      <c r="H2703" t="s">
        <v>130</v>
      </c>
      <c r="I2703" t="s">
        <v>43</v>
      </c>
      <c r="J2703">
        <v>63.02</v>
      </c>
      <c r="K2703">
        <v>19</v>
      </c>
      <c r="L2703">
        <v>10</v>
      </c>
      <c r="M2703">
        <v>11</v>
      </c>
      <c r="N2703">
        <v>480</v>
      </c>
      <c r="O2703">
        <v>0</v>
      </c>
      <c r="P2703">
        <v>0</v>
      </c>
      <c r="Q2703" t="s">
        <v>44</v>
      </c>
      <c r="R2703">
        <v>96</v>
      </c>
      <c r="S2703" t="s">
        <v>44</v>
      </c>
      <c r="T2703" t="s">
        <v>44</v>
      </c>
      <c r="U2703" t="s">
        <v>44</v>
      </c>
      <c r="V2703">
        <v>220</v>
      </c>
      <c r="W2703" t="s">
        <v>44</v>
      </c>
      <c r="X2703" t="s">
        <v>44</v>
      </c>
      <c r="Y2703">
        <v>220</v>
      </c>
      <c r="Z2703" t="s">
        <v>44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220</v>
      </c>
      <c r="AQ2703">
        <f t="shared" si="94"/>
        <v>220</v>
      </c>
      <c r="AR2703" s="5">
        <f>VLOOKUP(F2703,'[2]SCP_24-25'!$A:$D,4,0)</f>
        <v>91.39</v>
      </c>
      <c r="AS2703" s="5">
        <f t="shared" si="93"/>
        <v>20105.8</v>
      </c>
    </row>
    <row r="2704" spans="1:45" x14ac:dyDescent="0.3">
      <c r="A2704" s="1">
        <v>45900.96597222222</v>
      </c>
      <c r="B2704" t="s">
        <v>1505</v>
      </c>
      <c r="C2704" t="s">
        <v>1506</v>
      </c>
      <c r="D2704" t="s">
        <v>550</v>
      </c>
      <c r="F2704" t="s">
        <v>1729</v>
      </c>
      <c r="G2704" t="s">
        <v>551</v>
      </c>
      <c r="H2704" t="s">
        <v>103</v>
      </c>
      <c r="I2704" t="s">
        <v>43</v>
      </c>
      <c r="J2704">
        <v>100.52</v>
      </c>
      <c r="K2704">
        <v>19</v>
      </c>
      <c r="L2704">
        <v>11</v>
      </c>
      <c r="M2704">
        <v>10</v>
      </c>
      <c r="N2704">
        <v>1224</v>
      </c>
      <c r="O2704">
        <v>2</v>
      </c>
      <c r="P2704">
        <v>0</v>
      </c>
      <c r="Q2704" t="s">
        <v>44</v>
      </c>
      <c r="R2704" t="s">
        <v>44</v>
      </c>
      <c r="S2704" t="s">
        <v>44</v>
      </c>
      <c r="T2704" t="s">
        <v>44</v>
      </c>
      <c r="U2704" t="s">
        <v>44</v>
      </c>
      <c r="V2704">
        <v>612</v>
      </c>
      <c r="W2704" t="s">
        <v>44</v>
      </c>
      <c r="X2704" t="s">
        <v>44</v>
      </c>
      <c r="Y2704">
        <v>612</v>
      </c>
      <c r="Z2704" t="s">
        <v>44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614</v>
      </c>
      <c r="AQ2704">
        <f t="shared" si="94"/>
        <v>614</v>
      </c>
      <c r="AR2704" s="5">
        <f>VLOOKUP(F2704,'[2]SCP_24-25'!$A:$D,4,0)</f>
        <v>90.823333333333338</v>
      </c>
      <c r="AS2704" s="5">
        <f t="shared" si="93"/>
        <v>55765.526666666672</v>
      </c>
    </row>
    <row r="2705" spans="1:45" x14ac:dyDescent="0.3">
      <c r="A2705" s="1">
        <v>45900.96597222222</v>
      </c>
      <c r="B2705" t="s">
        <v>1505</v>
      </c>
      <c r="C2705" t="s">
        <v>1506</v>
      </c>
      <c r="D2705" t="s">
        <v>467</v>
      </c>
      <c r="F2705" t="s">
        <v>1688</v>
      </c>
      <c r="G2705" t="s">
        <v>468</v>
      </c>
      <c r="H2705" t="s">
        <v>66</v>
      </c>
      <c r="I2705" t="s">
        <v>43</v>
      </c>
      <c r="J2705">
        <v>459.02</v>
      </c>
      <c r="K2705">
        <v>19</v>
      </c>
      <c r="L2705">
        <v>11</v>
      </c>
      <c r="M2705">
        <v>10</v>
      </c>
      <c r="N2705">
        <v>574</v>
      </c>
      <c r="O2705">
        <v>2</v>
      </c>
      <c r="P2705">
        <v>0</v>
      </c>
      <c r="Q2705" t="s">
        <v>44</v>
      </c>
      <c r="R2705" t="s">
        <v>44</v>
      </c>
      <c r="S2705" t="s">
        <v>44</v>
      </c>
      <c r="T2705">
        <v>2</v>
      </c>
      <c r="U2705" t="s">
        <v>44</v>
      </c>
      <c r="V2705">
        <v>361</v>
      </c>
      <c r="W2705" t="s">
        <v>44</v>
      </c>
      <c r="X2705" t="s">
        <v>44</v>
      </c>
      <c r="Y2705">
        <v>361</v>
      </c>
      <c r="Z2705" t="s">
        <v>44</v>
      </c>
      <c r="AA2705">
        <v>0</v>
      </c>
      <c r="AB2705">
        <v>2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363</v>
      </c>
      <c r="AQ2705">
        <f t="shared" si="94"/>
        <v>363</v>
      </c>
      <c r="AR2705" s="5">
        <f>VLOOKUP(F2705,'[2]SCP_24-25'!$A:$D,4,0)</f>
        <v>79.760000000000005</v>
      </c>
      <c r="AS2705" s="5">
        <f t="shared" si="93"/>
        <v>28952.880000000001</v>
      </c>
    </row>
    <row r="2706" spans="1:45" x14ac:dyDescent="0.3">
      <c r="A2706" s="1">
        <v>45900.96597222222</v>
      </c>
      <c r="B2706" t="s">
        <v>1505</v>
      </c>
      <c r="C2706" t="s">
        <v>1506</v>
      </c>
      <c r="D2706" t="s">
        <v>469</v>
      </c>
      <c r="F2706" t="s">
        <v>1689</v>
      </c>
      <c r="G2706" t="s">
        <v>470</v>
      </c>
      <c r="H2706" t="s">
        <v>66</v>
      </c>
      <c r="I2706" t="s">
        <v>43</v>
      </c>
      <c r="J2706">
        <v>459.02</v>
      </c>
      <c r="K2706">
        <v>19</v>
      </c>
      <c r="L2706">
        <v>11</v>
      </c>
      <c r="M2706">
        <v>10</v>
      </c>
      <c r="N2706">
        <v>816</v>
      </c>
      <c r="O2706">
        <v>3</v>
      </c>
      <c r="P2706">
        <v>0</v>
      </c>
      <c r="Q2706" t="s">
        <v>44</v>
      </c>
      <c r="R2706" t="s">
        <v>44</v>
      </c>
      <c r="S2706" t="s">
        <v>44</v>
      </c>
      <c r="T2706" t="s">
        <v>44</v>
      </c>
      <c r="U2706" t="s">
        <v>44</v>
      </c>
      <c r="V2706">
        <v>547</v>
      </c>
      <c r="W2706" t="s">
        <v>44</v>
      </c>
      <c r="X2706" t="s">
        <v>44</v>
      </c>
      <c r="Y2706">
        <v>547</v>
      </c>
      <c r="Z2706" t="s">
        <v>44</v>
      </c>
      <c r="AA2706">
        <v>0</v>
      </c>
      <c r="AB2706">
        <v>2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550</v>
      </c>
      <c r="AQ2706">
        <f t="shared" si="94"/>
        <v>550</v>
      </c>
      <c r="AR2706" s="5">
        <f>VLOOKUP(F2706,'[2]SCP_24-25'!$A:$D,4,0)</f>
        <v>91.35</v>
      </c>
      <c r="AS2706" s="5">
        <f t="shared" si="93"/>
        <v>50242.5</v>
      </c>
    </row>
    <row r="2707" spans="1:45" x14ac:dyDescent="0.3">
      <c r="A2707" s="1">
        <v>45900.96597222222</v>
      </c>
      <c r="B2707" t="s">
        <v>1505</v>
      </c>
      <c r="C2707" t="s">
        <v>1506</v>
      </c>
      <c r="D2707" t="s">
        <v>1244</v>
      </c>
      <c r="F2707" t="s">
        <v>2072</v>
      </c>
      <c r="G2707" t="s">
        <v>1245</v>
      </c>
      <c r="H2707" t="s">
        <v>66</v>
      </c>
      <c r="I2707" t="s">
        <v>43</v>
      </c>
      <c r="J2707">
        <v>163.02000000000001</v>
      </c>
      <c r="K2707">
        <v>19</v>
      </c>
      <c r="L2707">
        <v>11</v>
      </c>
      <c r="M2707">
        <v>10</v>
      </c>
      <c r="N2707">
        <v>466</v>
      </c>
      <c r="O2707">
        <v>1</v>
      </c>
      <c r="P2707">
        <v>0</v>
      </c>
      <c r="Q2707" t="s">
        <v>44</v>
      </c>
      <c r="R2707">
        <v>18</v>
      </c>
      <c r="S2707" t="s">
        <v>44</v>
      </c>
      <c r="T2707" t="s">
        <v>44</v>
      </c>
      <c r="U2707" t="s">
        <v>44</v>
      </c>
      <c r="V2707">
        <v>316</v>
      </c>
      <c r="W2707" t="s">
        <v>44</v>
      </c>
      <c r="X2707" t="s">
        <v>44</v>
      </c>
      <c r="Y2707">
        <v>316</v>
      </c>
      <c r="Z2707" t="s">
        <v>44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317</v>
      </c>
      <c r="AQ2707">
        <f t="shared" si="94"/>
        <v>317</v>
      </c>
      <c r="AR2707" s="5">
        <f>VLOOKUP(F2707,'[2]SCP_24-25'!$A:$D,4,0)</f>
        <v>70.5</v>
      </c>
      <c r="AS2707" s="5">
        <f t="shared" si="93"/>
        <v>22348.5</v>
      </c>
    </row>
    <row r="2708" spans="1:45" x14ac:dyDescent="0.3">
      <c r="A2708" s="1">
        <v>45900.96597222222</v>
      </c>
      <c r="B2708" t="s">
        <v>1505</v>
      </c>
      <c r="C2708" t="s">
        <v>1506</v>
      </c>
      <c r="D2708" t="s">
        <v>137</v>
      </c>
      <c r="F2708" t="s">
        <v>1546</v>
      </c>
      <c r="G2708" t="s">
        <v>138</v>
      </c>
      <c r="H2708" t="s">
        <v>66</v>
      </c>
      <c r="I2708" t="s">
        <v>43</v>
      </c>
      <c r="J2708">
        <v>176</v>
      </c>
      <c r="K2708">
        <v>19</v>
      </c>
      <c r="L2708">
        <v>9.5</v>
      </c>
      <c r="M2708">
        <v>11</v>
      </c>
      <c r="N2708">
        <v>2496</v>
      </c>
      <c r="O2708">
        <v>4</v>
      </c>
      <c r="P2708">
        <v>0</v>
      </c>
      <c r="Q2708" t="s">
        <v>44</v>
      </c>
      <c r="R2708" t="s">
        <v>44</v>
      </c>
      <c r="S2708" t="s">
        <v>44</v>
      </c>
      <c r="T2708">
        <v>144</v>
      </c>
      <c r="U2708" t="s">
        <v>44</v>
      </c>
      <c r="V2708">
        <v>1985</v>
      </c>
      <c r="W2708" t="s">
        <v>44</v>
      </c>
      <c r="X2708" t="s">
        <v>44</v>
      </c>
      <c r="Y2708">
        <v>1985</v>
      </c>
      <c r="Z2708" t="s">
        <v>44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 s="2">
        <v>1989</v>
      </c>
      <c r="AQ2708">
        <f t="shared" si="94"/>
        <v>1989</v>
      </c>
      <c r="AR2708" s="5">
        <f>VLOOKUP(F2708,'[2]SCP_24-25'!$A:$D,4,0)</f>
        <v>94.530000000000015</v>
      </c>
      <c r="AS2708" s="5">
        <f t="shared" si="93"/>
        <v>188020.17000000004</v>
      </c>
    </row>
    <row r="2709" spans="1:45" x14ac:dyDescent="0.3">
      <c r="A2709" s="1">
        <v>45900.96597222222</v>
      </c>
      <c r="B2709" t="s">
        <v>1505</v>
      </c>
      <c r="C2709" t="s">
        <v>1506</v>
      </c>
      <c r="D2709" t="s">
        <v>147</v>
      </c>
      <c r="F2709" t="s">
        <v>1551</v>
      </c>
      <c r="G2709" t="s">
        <v>148</v>
      </c>
      <c r="H2709" t="s">
        <v>120</v>
      </c>
      <c r="I2709" t="s">
        <v>43</v>
      </c>
      <c r="J2709">
        <v>45</v>
      </c>
      <c r="K2709">
        <v>19</v>
      </c>
      <c r="L2709">
        <v>11</v>
      </c>
      <c r="M2709">
        <v>9.5</v>
      </c>
      <c r="N2709">
        <v>10000</v>
      </c>
      <c r="O2709">
        <v>2</v>
      </c>
      <c r="P2709">
        <v>0</v>
      </c>
      <c r="Q2709" t="s">
        <v>44</v>
      </c>
      <c r="R2709">
        <v>2</v>
      </c>
      <c r="S2709" t="s">
        <v>44</v>
      </c>
      <c r="T2709" t="s">
        <v>44</v>
      </c>
      <c r="U2709" t="s">
        <v>44</v>
      </c>
      <c r="V2709">
        <v>1126</v>
      </c>
      <c r="W2709" t="s">
        <v>44</v>
      </c>
      <c r="X2709" t="s">
        <v>44</v>
      </c>
      <c r="Y2709">
        <v>1126</v>
      </c>
      <c r="Z2709" t="s">
        <v>44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 s="2">
        <v>1128</v>
      </c>
      <c r="AQ2709">
        <f t="shared" si="94"/>
        <v>1128</v>
      </c>
      <c r="AR2709" s="5">
        <f>VLOOKUP(F2709,'[2]SCP_24-25'!$A:$D,4,0)</f>
        <v>27.733333333333331</v>
      </c>
      <c r="AS2709" s="5">
        <f t="shared" si="93"/>
        <v>31283.199999999997</v>
      </c>
    </row>
    <row r="2710" spans="1:45" x14ac:dyDescent="0.3">
      <c r="A2710" s="1">
        <v>45900.96597222222</v>
      </c>
      <c r="B2710" t="s">
        <v>1505</v>
      </c>
      <c r="C2710" t="s">
        <v>1506</v>
      </c>
      <c r="D2710" t="s">
        <v>155</v>
      </c>
      <c r="F2710" t="s">
        <v>1555</v>
      </c>
      <c r="G2710" t="s">
        <v>156</v>
      </c>
      <c r="H2710" t="s">
        <v>66</v>
      </c>
      <c r="I2710" t="s">
        <v>43</v>
      </c>
      <c r="J2710">
        <v>93.19</v>
      </c>
      <c r="K2710">
        <v>18</v>
      </c>
      <c r="L2710">
        <v>9.5</v>
      </c>
      <c r="M2710">
        <v>11</v>
      </c>
      <c r="N2710">
        <v>4392</v>
      </c>
      <c r="O2710">
        <v>8</v>
      </c>
      <c r="P2710">
        <v>0</v>
      </c>
      <c r="Q2710">
        <v>1</v>
      </c>
      <c r="R2710" t="s">
        <v>44</v>
      </c>
      <c r="S2710" t="s">
        <v>44</v>
      </c>
      <c r="T2710" t="s">
        <v>44</v>
      </c>
      <c r="U2710" t="s">
        <v>44</v>
      </c>
      <c r="V2710">
        <v>3365</v>
      </c>
      <c r="W2710" t="s">
        <v>44</v>
      </c>
      <c r="X2710" t="s">
        <v>44</v>
      </c>
      <c r="Y2710">
        <v>3365</v>
      </c>
      <c r="Z2710" t="s">
        <v>44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 s="2">
        <v>3373</v>
      </c>
      <c r="AQ2710">
        <f t="shared" si="94"/>
        <v>3373</v>
      </c>
      <c r="AR2710" s="5">
        <f>VLOOKUP(F2710,'[2]SCP_24-25'!$A:$D,4,0)</f>
        <v>53.202222222222218</v>
      </c>
      <c r="AS2710" s="5">
        <f t="shared" si="93"/>
        <v>179451.09555555554</v>
      </c>
    </row>
    <row r="2711" spans="1:45" x14ac:dyDescent="0.3">
      <c r="A2711" s="1">
        <v>45900.96597222222</v>
      </c>
      <c r="B2711" t="s">
        <v>1505</v>
      </c>
      <c r="C2711" t="s">
        <v>1506</v>
      </c>
      <c r="D2711" t="s">
        <v>177</v>
      </c>
      <c r="F2711" t="s">
        <v>1566</v>
      </c>
      <c r="G2711" t="s">
        <v>178</v>
      </c>
      <c r="H2711" t="s">
        <v>66</v>
      </c>
      <c r="I2711" t="s">
        <v>43</v>
      </c>
      <c r="J2711">
        <v>102</v>
      </c>
      <c r="K2711">
        <v>19</v>
      </c>
      <c r="L2711">
        <v>9.5</v>
      </c>
      <c r="M2711">
        <v>11</v>
      </c>
      <c r="N2711">
        <v>3740</v>
      </c>
      <c r="O2711">
        <v>8</v>
      </c>
      <c r="P2711">
        <v>0</v>
      </c>
      <c r="Q2711">
        <v>1</v>
      </c>
      <c r="R2711">
        <v>1</v>
      </c>
      <c r="S2711" t="s">
        <v>44</v>
      </c>
      <c r="T2711">
        <v>4</v>
      </c>
      <c r="U2711" t="s">
        <v>44</v>
      </c>
      <c r="V2711">
        <v>1632</v>
      </c>
      <c r="W2711" t="s">
        <v>44</v>
      </c>
      <c r="X2711" t="s">
        <v>44</v>
      </c>
      <c r="Y2711">
        <v>1632</v>
      </c>
      <c r="Z2711" t="s">
        <v>44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 s="2">
        <v>1640</v>
      </c>
      <c r="AQ2711">
        <f t="shared" si="94"/>
        <v>1640</v>
      </c>
      <c r="AR2711" s="5">
        <f>VLOOKUP(F2711,'[2]SCP_24-25'!$A:$D,4,0)</f>
        <v>76.619230769230754</v>
      </c>
      <c r="AS2711" s="5">
        <f t="shared" si="93"/>
        <v>125655.53846153844</v>
      </c>
    </row>
    <row r="2712" spans="1:45" x14ac:dyDescent="0.3">
      <c r="A2712" s="1">
        <v>45900.96597222222</v>
      </c>
      <c r="B2712" t="s">
        <v>1505</v>
      </c>
      <c r="C2712" t="s">
        <v>1506</v>
      </c>
      <c r="D2712" t="s">
        <v>183</v>
      </c>
      <c r="F2712" t="s">
        <v>1569</v>
      </c>
      <c r="G2712" t="s">
        <v>184</v>
      </c>
      <c r="H2712" t="s">
        <v>66</v>
      </c>
      <c r="I2712" t="s">
        <v>43</v>
      </c>
      <c r="J2712">
        <v>105.88</v>
      </c>
      <c r="K2712">
        <v>19</v>
      </c>
      <c r="L2712">
        <v>9.5</v>
      </c>
      <c r="M2712">
        <v>11</v>
      </c>
      <c r="N2712">
        <v>8203</v>
      </c>
      <c r="O2712">
        <v>36</v>
      </c>
      <c r="P2712">
        <v>0</v>
      </c>
      <c r="Q2712">
        <v>12</v>
      </c>
      <c r="R2712">
        <v>4</v>
      </c>
      <c r="S2712" t="s">
        <v>44</v>
      </c>
      <c r="T2712">
        <v>5</v>
      </c>
      <c r="U2712" t="s">
        <v>44</v>
      </c>
      <c r="V2712">
        <v>3532</v>
      </c>
      <c r="W2712" t="s">
        <v>44</v>
      </c>
      <c r="X2712" t="s">
        <v>44</v>
      </c>
      <c r="Y2712">
        <v>3532</v>
      </c>
      <c r="Z2712" t="s">
        <v>44</v>
      </c>
      <c r="AA2712">
        <v>0</v>
      </c>
      <c r="AB2712">
        <v>11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 s="2">
        <v>3568</v>
      </c>
      <c r="AQ2712">
        <f t="shared" si="94"/>
        <v>3568</v>
      </c>
      <c r="AR2712" s="5">
        <f>VLOOKUP(F2712,'[2]SCP_24-25'!$A:$D,4,0)</f>
        <v>51.841111111111118</v>
      </c>
      <c r="AS2712" s="5">
        <f t="shared" si="93"/>
        <v>184969.08444444448</v>
      </c>
    </row>
    <row r="2713" spans="1:45" x14ac:dyDescent="0.3">
      <c r="A2713" s="1">
        <v>45900.96597222222</v>
      </c>
      <c r="B2713" t="s">
        <v>1505</v>
      </c>
      <c r="C2713" t="s">
        <v>1506</v>
      </c>
      <c r="D2713" t="s">
        <v>191</v>
      </c>
      <c r="F2713" t="s">
        <v>1573</v>
      </c>
      <c r="G2713" t="s">
        <v>192</v>
      </c>
      <c r="H2713" t="s">
        <v>66</v>
      </c>
      <c r="I2713" t="s">
        <v>43</v>
      </c>
      <c r="J2713">
        <v>195</v>
      </c>
      <c r="K2713">
        <v>19</v>
      </c>
      <c r="L2713">
        <v>9.5</v>
      </c>
      <c r="M2713">
        <v>11</v>
      </c>
      <c r="N2713">
        <v>2064</v>
      </c>
      <c r="O2713">
        <v>6</v>
      </c>
      <c r="P2713">
        <v>0</v>
      </c>
      <c r="Q2713" t="s">
        <v>44</v>
      </c>
      <c r="R2713">
        <v>2</v>
      </c>
      <c r="S2713" t="s">
        <v>44</v>
      </c>
      <c r="T2713">
        <v>48</v>
      </c>
      <c r="U2713" t="s">
        <v>44</v>
      </c>
      <c r="V2713">
        <v>1088</v>
      </c>
      <c r="W2713" t="s">
        <v>44</v>
      </c>
      <c r="X2713" t="s">
        <v>44</v>
      </c>
      <c r="Y2713">
        <v>1088</v>
      </c>
      <c r="Z2713" t="s">
        <v>44</v>
      </c>
      <c r="AA2713">
        <v>1</v>
      </c>
      <c r="AB2713">
        <v>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 s="2">
        <v>1095</v>
      </c>
      <c r="AQ2713">
        <f t="shared" si="94"/>
        <v>1095</v>
      </c>
      <c r="AR2713" s="5">
        <f>VLOOKUP(F2713,'[2]SCP_24-25'!$A:$D,4,0)</f>
        <v>66.899999999999991</v>
      </c>
      <c r="AS2713" s="5">
        <f t="shared" si="93"/>
        <v>73255.499999999985</v>
      </c>
    </row>
    <row r="2714" spans="1:45" x14ac:dyDescent="0.3">
      <c r="A2714" s="1">
        <v>45900.96597222222</v>
      </c>
      <c r="B2714" t="s">
        <v>1505</v>
      </c>
      <c r="C2714" t="s">
        <v>1506</v>
      </c>
      <c r="D2714" t="s">
        <v>200</v>
      </c>
      <c r="E2714" t="s">
        <v>201</v>
      </c>
      <c r="F2714" t="s">
        <v>1577</v>
      </c>
      <c r="G2714" t="s">
        <v>202</v>
      </c>
      <c r="H2714" t="s">
        <v>66</v>
      </c>
      <c r="I2714" t="s">
        <v>43</v>
      </c>
      <c r="J2714">
        <v>37</v>
      </c>
      <c r="K2714">
        <v>19</v>
      </c>
      <c r="L2714">
        <v>9.5</v>
      </c>
      <c r="M2714">
        <v>11</v>
      </c>
      <c r="N2714">
        <v>2000</v>
      </c>
      <c r="O2714">
        <v>0</v>
      </c>
      <c r="P2714">
        <v>0</v>
      </c>
      <c r="Q2714" t="s">
        <v>44</v>
      </c>
      <c r="R2714" t="s">
        <v>44</v>
      </c>
      <c r="S2714" t="s">
        <v>44</v>
      </c>
      <c r="T2714" t="s">
        <v>44</v>
      </c>
      <c r="U2714" t="s">
        <v>44</v>
      </c>
      <c r="V2714">
        <v>1997</v>
      </c>
      <c r="W2714" t="s">
        <v>44</v>
      </c>
      <c r="X2714" t="s">
        <v>44</v>
      </c>
      <c r="Y2714">
        <v>1997</v>
      </c>
      <c r="Z2714" t="s">
        <v>44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 s="2">
        <v>1997</v>
      </c>
      <c r="AQ2714">
        <f t="shared" si="94"/>
        <v>1997</v>
      </c>
      <c r="AR2714" s="5">
        <f>VLOOKUP(F2714,'[2]SCP_24-25'!$A:$D,4,0)</f>
        <v>18.564999999999998</v>
      </c>
      <c r="AS2714" s="5">
        <f t="shared" si="93"/>
        <v>37074.304999999993</v>
      </c>
    </row>
    <row r="2715" spans="1:45" x14ac:dyDescent="0.3">
      <c r="A2715" s="1">
        <v>45900.96597222222</v>
      </c>
      <c r="B2715" t="s">
        <v>1505</v>
      </c>
      <c r="C2715" t="s">
        <v>1506</v>
      </c>
      <c r="D2715" t="s">
        <v>205</v>
      </c>
      <c r="E2715" t="s">
        <v>206</v>
      </c>
      <c r="F2715" t="s">
        <v>1579</v>
      </c>
      <c r="G2715" t="s">
        <v>207</v>
      </c>
      <c r="H2715" t="s">
        <v>66</v>
      </c>
      <c r="I2715" t="s">
        <v>43</v>
      </c>
      <c r="J2715">
        <v>23</v>
      </c>
      <c r="K2715">
        <v>19</v>
      </c>
      <c r="L2715">
        <v>9.5</v>
      </c>
      <c r="M2715">
        <v>11</v>
      </c>
      <c r="N2715">
        <v>1970</v>
      </c>
      <c r="O2715">
        <v>0</v>
      </c>
      <c r="P2715">
        <v>0</v>
      </c>
      <c r="Q2715" t="s">
        <v>44</v>
      </c>
      <c r="R2715" t="s">
        <v>44</v>
      </c>
      <c r="S2715" t="s">
        <v>44</v>
      </c>
      <c r="T2715">
        <v>30</v>
      </c>
      <c r="U2715" t="s">
        <v>44</v>
      </c>
      <c r="V2715">
        <v>1966</v>
      </c>
      <c r="W2715" t="s">
        <v>44</v>
      </c>
      <c r="X2715" t="s">
        <v>44</v>
      </c>
      <c r="Y2715">
        <v>1966</v>
      </c>
      <c r="Z2715" t="s">
        <v>44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 s="2">
        <v>1966</v>
      </c>
      <c r="AQ2715">
        <f t="shared" si="94"/>
        <v>1966</v>
      </c>
      <c r="AR2715" s="5">
        <f>VLOOKUP(F2715,'[2]SCP_24-25'!$A:$D,4,0)</f>
        <v>16.38</v>
      </c>
      <c r="AS2715" s="5">
        <f t="shared" si="93"/>
        <v>32203.079999999998</v>
      </c>
    </row>
    <row r="2716" spans="1:45" x14ac:dyDescent="0.3">
      <c r="A2716" s="1">
        <v>45900.96597222222</v>
      </c>
      <c r="B2716" t="s">
        <v>1505</v>
      </c>
      <c r="C2716" t="s">
        <v>1506</v>
      </c>
      <c r="D2716" t="s">
        <v>210</v>
      </c>
      <c r="E2716" t="s">
        <v>211</v>
      </c>
      <c r="F2716" t="s">
        <v>1581</v>
      </c>
      <c r="G2716" t="s">
        <v>212</v>
      </c>
      <c r="H2716" t="s">
        <v>66</v>
      </c>
      <c r="I2716" t="s">
        <v>43</v>
      </c>
      <c r="J2716">
        <v>23</v>
      </c>
      <c r="K2716">
        <v>19</v>
      </c>
      <c r="L2716">
        <v>9.5</v>
      </c>
      <c r="M2716">
        <v>11</v>
      </c>
      <c r="N2716">
        <v>2198</v>
      </c>
      <c r="O2716">
        <v>0</v>
      </c>
      <c r="P2716">
        <v>0</v>
      </c>
      <c r="Q2716" t="s">
        <v>44</v>
      </c>
      <c r="R2716">
        <v>200</v>
      </c>
      <c r="S2716" t="s">
        <v>44</v>
      </c>
      <c r="T2716">
        <v>2</v>
      </c>
      <c r="U2716" t="s">
        <v>44</v>
      </c>
      <c r="V2716">
        <v>1996</v>
      </c>
      <c r="W2716" t="s">
        <v>44</v>
      </c>
      <c r="X2716" t="s">
        <v>44</v>
      </c>
      <c r="Y2716">
        <v>1996</v>
      </c>
      <c r="Z2716" t="s">
        <v>44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 s="2">
        <v>1996</v>
      </c>
      <c r="AQ2716">
        <f t="shared" si="94"/>
        <v>1996</v>
      </c>
      <c r="AR2716" s="5">
        <f>VLOOKUP(F2716,'[2]SCP_24-25'!$A:$D,4,0)</f>
        <v>11.69</v>
      </c>
      <c r="AS2716" s="5">
        <f t="shared" si="93"/>
        <v>23333.239999999998</v>
      </c>
    </row>
    <row r="2717" spans="1:45" x14ac:dyDescent="0.3">
      <c r="A2717" s="1">
        <v>45900.96597222222</v>
      </c>
      <c r="B2717" t="s">
        <v>1505</v>
      </c>
      <c r="C2717" t="s">
        <v>1506</v>
      </c>
      <c r="D2717" t="s">
        <v>224</v>
      </c>
      <c r="F2717" t="s">
        <v>1587</v>
      </c>
      <c r="G2717" t="s">
        <v>225</v>
      </c>
      <c r="H2717" t="s">
        <v>66</v>
      </c>
      <c r="I2717" t="s">
        <v>43</v>
      </c>
      <c r="J2717">
        <v>102</v>
      </c>
      <c r="K2717">
        <v>19</v>
      </c>
      <c r="L2717">
        <v>10</v>
      </c>
      <c r="M2717">
        <v>11</v>
      </c>
      <c r="N2717">
        <v>5038</v>
      </c>
      <c r="O2717">
        <v>12</v>
      </c>
      <c r="P2717">
        <v>0</v>
      </c>
      <c r="Q2717">
        <v>2</v>
      </c>
      <c r="R2717" t="s">
        <v>44</v>
      </c>
      <c r="S2717" t="s">
        <v>44</v>
      </c>
      <c r="T2717">
        <v>2</v>
      </c>
      <c r="U2717" t="s">
        <v>44</v>
      </c>
      <c r="V2717">
        <v>2609</v>
      </c>
      <c r="W2717" t="s">
        <v>44</v>
      </c>
      <c r="X2717" t="s">
        <v>44</v>
      </c>
      <c r="Y2717">
        <v>2609</v>
      </c>
      <c r="Z2717" t="s">
        <v>44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 s="2">
        <v>2621</v>
      </c>
      <c r="AQ2717">
        <f t="shared" si="94"/>
        <v>2621</v>
      </c>
      <c r="AR2717" s="5">
        <f>VLOOKUP(F2717,'[2]SCP_24-25'!$A:$D,4,0)</f>
        <v>66.328461538461553</v>
      </c>
      <c r="AS2717" s="5">
        <f t="shared" si="93"/>
        <v>173846.89769230774</v>
      </c>
    </row>
    <row r="2718" spans="1:45" x14ac:dyDescent="0.3">
      <c r="A2718" s="1">
        <v>45900.96597222222</v>
      </c>
      <c r="B2718" t="s">
        <v>1505</v>
      </c>
      <c r="C2718" t="s">
        <v>1506</v>
      </c>
      <c r="D2718" t="s">
        <v>277</v>
      </c>
      <c r="E2718" t="s">
        <v>278</v>
      </c>
      <c r="F2718" t="s">
        <v>1607</v>
      </c>
      <c r="G2718" t="s">
        <v>279</v>
      </c>
      <c r="H2718" t="s">
        <v>103</v>
      </c>
      <c r="I2718" t="s">
        <v>43</v>
      </c>
      <c r="J2718">
        <v>224.02</v>
      </c>
      <c r="K2718">
        <v>19</v>
      </c>
      <c r="L2718">
        <v>9.5</v>
      </c>
      <c r="M2718">
        <v>11</v>
      </c>
      <c r="N2718">
        <v>2328</v>
      </c>
      <c r="O2718">
        <v>6</v>
      </c>
      <c r="P2718">
        <v>0</v>
      </c>
      <c r="Q2718" t="s">
        <v>44</v>
      </c>
      <c r="R2718" t="s">
        <v>44</v>
      </c>
      <c r="S2718" t="s">
        <v>44</v>
      </c>
      <c r="T2718" t="s">
        <v>44</v>
      </c>
      <c r="U2718" t="s">
        <v>44</v>
      </c>
      <c r="V2718">
        <v>1731</v>
      </c>
      <c r="W2718" t="s">
        <v>44</v>
      </c>
      <c r="X2718" t="s">
        <v>44</v>
      </c>
      <c r="Y2718">
        <v>1731</v>
      </c>
      <c r="Z2718" t="s">
        <v>44</v>
      </c>
      <c r="AA2718">
        <v>0</v>
      </c>
      <c r="AB2718">
        <v>2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 s="2">
        <v>1737</v>
      </c>
      <c r="AQ2718">
        <f t="shared" si="94"/>
        <v>1737</v>
      </c>
      <c r="AR2718" s="5">
        <f>VLOOKUP(F2718,'[2]SCP_24-25'!$A:$D,4,0)</f>
        <v>77.739999999999995</v>
      </c>
      <c r="AS2718" s="5">
        <f t="shared" si="93"/>
        <v>135034.38</v>
      </c>
    </row>
    <row r="2719" spans="1:45" x14ac:dyDescent="0.3">
      <c r="A2719" s="1">
        <v>45900.96597222222</v>
      </c>
      <c r="B2719" t="s">
        <v>1505</v>
      </c>
      <c r="C2719" t="s">
        <v>1506</v>
      </c>
      <c r="D2719" t="s">
        <v>301</v>
      </c>
      <c r="F2719" t="s">
        <v>1616</v>
      </c>
      <c r="G2719" t="s">
        <v>302</v>
      </c>
      <c r="H2719" t="s">
        <v>66</v>
      </c>
      <c r="I2719" t="s">
        <v>43</v>
      </c>
      <c r="J2719">
        <v>30</v>
      </c>
      <c r="K2719">
        <v>19</v>
      </c>
      <c r="L2719">
        <v>9.5</v>
      </c>
      <c r="M2719">
        <v>11</v>
      </c>
      <c r="N2719">
        <v>2128</v>
      </c>
      <c r="O2719">
        <v>0</v>
      </c>
      <c r="P2719">
        <v>0</v>
      </c>
      <c r="Q2719" t="s">
        <v>44</v>
      </c>
      <c r="R2719">
        <v>128</v>
      </c>
      <c r="S2719" t="s">
        <v>44</v>
      </c>
      <c r="T2719" t="s">
        <v>44</v>
      </c>
      <c r="U2719" t="s">
        <v>44</v>
      </c>
      <c r="V2719">
        <v>1991</v>
      </c>
      <c r="W2719" t="s">
        <v>44</v>
      </c>
      <c r="X2719" t="s">
        <v>44</v>
      </c>
      <c r="Y2719">
        <v>1991</v>
      </c>
      <c r="Z2719" t="s">
        <v>44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 s="2">
        <v>1991</v>
      </c>
      <c r="AQ2719">
        <f t="shared" si="94"/>
        <v>1991</v>
      </c>
      <c r="AR2719" s="5">
        <f>VLOOKUP(F2719,'[2]SCP_24-25'!$A:$D,4,0)</f>
        <v>17.305</v>
      </c>
      <c r="AS2719" s="5">
        <f t="shared" si="93"/>
        <v>34454.254999999997</v>
      </c>
    </row>
    <row r="2720" spans="1:45" x14ac:dyDescent="0.3">
      <c r="A2720" s="1">
        <v>45900.96597222222</v>
      </c>
      <c r="B2720" t="s">
        <v>1505</v>
      </c>
      <c r="C2720" t="s">
        <v>1506</v>
      </c>
      <c r="D2720" t="s">
        <v>303</v>
      </c>
      <c r="F2720" t="s">
        <v>1617</v>
      </c>
      <c r="G2720" t="s">
        <v>304</v>
      </c>
      <c r="H2720" t="s">
        <v>66</v>
      </c>
      <c r="I2720" t="s">
        <v>43</v>
      </c>
      <c r="J2720">
        <v>30</v>
      </c>
      <c r="K2720">
        <v>19</v>
      </c>
      <c r="L2720">
        <v>9.5</v>
      </c>
      <c r="M2720">
        <v>11</v>
      </c>
      <c r="N2720">
        <v>2000</v>
      </c>
      <c r="O2720">
        <v>0</v>
      </c>
      <c r="P2720">
        <v>0</v>
      </c>
      <c r="Q2720" t="s">
        <v>44</v>
      </c>
      <c r="R2720" t="s">
        <v>44</v>
      </c>
      <c r="S2720" t="s">
        <v>44</v>
      </c>
      <c r="T2720" t="s">
        <v>44</v>
      </c>
      <c r="U2720" t="s">
        <v>44</v>
      </c>
      <c r="V2720">
        <v>1999</v>
      </c>
      <c r="W2720" t="s">
        <v>44</v>
      </c>
      <c r="X2720" t="s">
        <v>44</v>
      </c>
      <c r="Y2720">
        <v>1999</v>
      </c>
      <c r="Z2720" t="s">
        <v>44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 s="2">
        <v>1999</v>
      </c>
      <c r="AQ2720">
        <f t="shared" si="94"/>
        <v>1999</v>
      </c>
      <c r="AR2720" s="5">
        <f>VLOOKUP(F2720,'[2]SCP_24-25'!$A:$D,4,0)</f>
        <v>15.13</v>
      </c>
      <c r="AS2720" s="5">
        <f t="shared" si="93"/>
        <v>30244.870000000003</v>
      </c>
    </row>
    <row r="2721" spans="1:45" x14ac:dyDescent="0.3">
      <c r="A2721" s="1">
        <v>45900.96597222222</v>
      </c>
      <c r="B2721" t="s">
        <v>1505</v>
      </c>
      <c r="C2721" t="s">
        <v>1506</v>
      </c>
      <c r="D2721" t="s">
        <v>777</v>
      </c>
      <c r="E2721" t="s">
        <v>778</v>
      </c>
      <c r="F2721" t="s">
        <v>1841</v>
      </c>
      <c r="G2721" t="s">
        <v>779</v>
      </c>
      <c r="H2721" t="s">
        <v>66</v>
      </c>
      <c r="I2721" t="s">
        <v>43</v>
      </c>
      <c r="J2721">
        <v>50</v>
      </c>
      <c r="K2721">
        <v>19</v>
      </c>
      <c r="L2721">
        <v>11</v>
      </c>
      <c r="M2721">
        <v>9.5</v>
      </c>
      <c r="N2721">
        <v>1888</v>
      </c>
      <c r="O2721">
        <v>0</v>
      </c>
      <c r="P2721">
        <v>0</v>
      </c>
      <c r="Q2721" t="s">
        <v>44</v>
      </c>
      <c r="R2721" t="s">
        <v>44</v>
      </c>
      <c r="S2721" t="s">
        <v>44</v>
      </c>
      <c r="T2721">
        <v>32</v>
      </c>
      <c r="U2721" t="s">
        <v>44</v>
      </c>
      <c r="V2721">
        <v>1881</v>
      </c>
      <c r="W2721" t="s">
        <v>44</v>
      </c>
      <c r="X2721" t="s">
        <v>44</v>
      </c>
      <c r="Y2721">
        <v>1881</v>
      </c>
      <c r="Z2721" t="s">
        <v>44</v>
      </c>
      <c r="AA2721">
        <v>0</v>
      </c>
      <c r="AB2721">
        <v>7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 s="2">
        <v>1881</v>
      </c>
      <c r="AQ2721">
        <f t="shared" si="94"/>
        <v>1881</v>
      </c>
      <c r="AR2721" s="5">
        <f>VLOOKUP(F2721,'[2]SCP_24-25'!$A:$D,4,0)</f>
        <v>13.06</v>
      </c>
      <c r="AS2721" s="5">
        <f t="shared" si="93"/>
        <v>24565.86</v>
      </c>
    </row>
    <row r="2722" spans="1:45" x14ac:dyDescent="0.3">
      <c r="A2722" s="1">
        <v>45900.96597222222</v>
      </c>
      <c r="B2722" t="s">
        <v>1505</v>
      </c>
      <c r="C2722" t="s">
        <v>1506</v>
      </c>
      <c r="D2722" t="s">
        <v>1305</v>
      </c>
      <c r="E2722" t="s">
        <v>1306</v>
      </c>
      <c r="F2722" t="s">
        <v>2104</v>
      </c>
      <c r="G2722" t="s">
        <v>1307</v>
      </c>
      <c r="H2722" t="s">
        <v>66</v>
      </c>
      <c r="I2722" t="s">
        <v>43</v>
      </c>
      <c r="J2722">
        <v>10</v>
      </c>
      <c r="K2722">
        <v>19</v>
      </c>
      <c r="L2722">
        <v>11</v>
      </c>
      <c r="M2722">
        <v>9.5</v>
      </c>
      <c r="N2722">
        <v>2000</v>
      </c>
      <c r="O2722">
        <v>0</v>
      </c>
      <c r="P2722">
        <v>0</v>
      </c>
      <c r="Q2722" t="s">
        <v>44</v>
      </c>
      <c r="R2722" t="s">
        <v>44</v>
      </c>
      <c r="S2722" t="s">
        <v>44</v>
      </c>
      <c r="T2722" t="s">
        <v>44</v>
      </c>
      <c r="U2722" t="s">
        <v>44</v>
      </c>
      <c r="V2722">
        <v>1999</v>
      </c>
      <c r="W2722" t="s">
        <v>44</v>
      </c>
      <c r="X2722" t="s">
        <v>44</v>
      </c>
      <c r="Y2722">
        <v>1999</v>
      </c>
      <c r="Z2722" t="s">
        <v>44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 s="2">
        <v>1999</v>
      </c>
      <c r="AQ2722">
        <f t="shared" si="94"/>
        <v>1999</v>
      </c>
      <c r="AR2722" s="5">
        <f>VLOOKUP(F2722,'[2]SCP_24-25'!$A:$D,4,0)</f>
        <v>16.059999999999999</v>
      </c>
      <c r="AS2722" s="5">
        <f t="shared" si="93"/>
        <v>32103.94</v>
      </c>
    </row>
    <row r="2723" spans="1:45" x14ac:dyDescent="0.3">
      <c r="A2723" s="1">
        <v>45900.96597222222</v>
      </c>
      <c r="B2723" t="s">
        <v>1505</v>
      </c>
      <c r="C2723" t="s">
        <v>1506</v>
      </c>
      <c r="D2723" t="s">
        <v>1312</v>
      </c>
      <c r="E2723" t="s">
        <v>1313</v>
      </c>
      <c r="F2723" t="s">
        <v>2107</v>
      </c>
      <c r="G2723" t="s">
        <v>1314</v>
      </c>
      <c r="H2723" t="s">
        <v>66</v>
      </c>
      <c r="I2723" t="s">
        <v>43</v>
      </c>
      <c r="J2723">
        <v>50</v>
      </c>
      <c r="K2723">
        <v>19</v>
      </c>
      <c r="L2723">
        <v>11</v>
      </c>
      <c r="M2723">
        <v>9.5</v>
      </c>
      <c r="N2723">
        <v>2142</v>
      </c>
      <c r="O2723">
        <v>0</v>
      </c>
      <c r="P2723">
        <v>0</v>
      </c>
      <c r="Q2723" t="s">
        <v>44</v>
      </c>
      <c r="R2723">
        <v>153</v>
      </c>
      <c r="S2723" t="s">
        <v>44</v>
      </c>
      <c r="T2723">
        <v>11</v>
      </c>
      <c r="U2723" t="s">
        <v>44</v>
      </c>
      <c r="V2723">
        <v>1989</v>
      </c>
      <c r="W2723" t="s">
        <v>44</v>
      </c>
      <c r="X2723" t="s">
        <v>44</v>
      </c>
      <c r="Y2723">
        <v>1989</v>
      </c>
      <c r="Z2723" t="s">
        <v>44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 s="2">
        <v>1989</v>
      </c>
      <c r="AQ2723">
        <f t="shared" si="94"/>
        <v>1989</v>
      </c>
      <c r="AR2723" s="5">
        <f>VLOOKUP(F2723,'[2]SCP_24-25'!$A:$D,4,0)</f>
        <v>20.65</v>
      </c>
      <c r="AS2723" s="5">
        <f t="shared" si="93"/>
        <v>41072.85</v>
      </c>
    </row>
    <row r="2724" spans="1:45" x14ac:dyDescent="0.3">
      <c r="A2724" s="1">
        <v>45900.96597222222</v>
      </c>
      <c r="B2724" t="s">
        <v>1505</v>
      </c>
      <c r="C2724" t="s">
        <v>1506</v>
      </c>
      <c r="D2724" t="s">
        <v>1330</v>
      </c>
      <c r="E2724" t="s">
        <v>1331</v>
      </c>
      <c r="F2724" t="s">
        <v>2115</v>
      </c>
      <c r="G2724" t="s">
        <v>1332</v>
      </c>
      <c r="H2724" t="s">
        <v>66</v>
      </c>
      <c r="I2724" t="s">
        <v>43</v>
      </c>
      <c r="J2724">
        <v>50</v>
      </c>
      <c r="K2724">
        <v>19</v>
      </c>
      <c r="L2724">
        <v>11</v>
      </c>
      <c r="M2724">
        <v>9.5</v>
      </c>
      <c r="N2724">
        <v>2000</v>
      </c>
      <c r="O2724">
        <v>0</v>
      </c>
      <c r="P2724">
        <v>0</v>
      </c>
      <c r="Q2724" t="s">
        <v>44</v>
      </c>
      <c r="R2724" t="s">
        <v>44</v>
      </c>
      <c r="S2724" t="s">
        <v>44</v>
      </c>
      <c r="T2724" t="s">
        <v>44</v>
      </c>
      <c r="U2724" t="s">
        <v>44</v>
      </c>
      <c r="V2724">
        <v>1988</v>
      </c>
      <c r="W2724" t="s">
        <v>44</v>
      </c>
      <c r="X2724" t="s">
        <v>44</v>
      </c>
      <c r="Y2724">
        <v>1988</v>
      </c>
      <c r="Z2724" t="s">
        <v>44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 s="2">
        <v>1988</v>
      </c>
      <c r="AQ2724">
        <f t="shared" si="94"/>
        <v>1988</v>
      </c>
      <c r="AR2724" s="5">
        <f>VLOOKUP(F2724,'[2]SCP_24-25'!$A:$D,4,0)</f>
        <v>15.5</v>
      </c>
      <c r="AS2724" s="5">
        <f t="shared" si="93"/>
        <v>30814</v>
      </c>
    </row>
    <row r="2725" spans="1:45" x14ac:dyDescent="0.3">
      <c r="A2725" s="1">
        <v>45900.96597222222</v>
      </c>
      <c r="B2725" t="s">
        <v>1505</v>
      </c>
      <c r="C2725" t="s">
        <v>1506</v>
      </c>
      <c r="D2725" t="s">
        <v>320</v>
      </c>
      <c r="E2725" t="s">
        <v>321</v>
      </c>
      <c r="F2725" t="s">
        <v>1623</v>
      </c>
      <c r="G2725" t="s">
        <v>322</v>
      </c>
      <c r="H2725" t="s">
        <v>66</v>
      </c>
      <c r="I2725" t="s">
        <v>43</v>
      </c>
      <c r="J2725">
        <v>50</v>
      </c>
      <c r="K2725">
        <v>19</v>
      </c>
      <c r="L2725">
        <v>11</v>
      </c>
      <c r="M2725">
        <v>9.5</v>
      </c>
      <c r="N2725">
        <v>1998</v>
      </c>
      <c r="O2725">
        <v>0</v>
      </c>
      <c r="P2725">
        <v>0</v>
      </c>
      <c r="Q2725" t="s">
        <v>44</v>
      </c>
      <c r="R2725" t="s">
        <v>44</v>
      </c>
      <c r="S2725" t="s">
        <v>44</v>
      </c>
      <c r="T2725">
        <v>2</v>
      </c>
      <c r="U2725" t="s">
        <v>44</v>
      </c>
      <c r="V2725">
        <v>1997</v>
      </c>
      <c r="W2725" t="s">
        <v>44</v>
      </c>
      <c r="X2725" t="s">
        <v>44</v>
      </c>
      <c r="Y2725">
        <v>1997</v>
      </c>
      <c r="Z2725" t="s">
        <v>44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 s="2">
        <v>1997</v>
      </c>
      <c r="AQ2725">
        <f t="shared" si="94"/>
        <v>1997</v>
      </c>
      <c r="AR2725" s="5">
        <f>VLOOKUP(F2725,'[2]SCP_24-25'!$A:$D,4,0)</f>
        <v>17.11</v>
      </c>
      <c r="AS2725" s="5">
        <f t="shared" si="93"/>
        <v>34168.67</v>
      </c>
    </row>
    <row r="2726" spans="1:45" x14ac:dyDescent="0.3">
      <c r="A2726" s="1">
        <v>45900.96597222222</v>
      </c>
      <c r="B2726" t="s">
        <v>1505</v>
      </c>
      <c r="C2726" t="s">
        <v>1506</v>
      </c>
      <c r="D2726" t="s">
        <v>323</v>
      </c>
      <c r="E2726" t="s">
        <v>324</v>
      </c>
      <c r="F2726" t="s">
        <v>1624</v>
      </c>
      <c r="G2726" t="s">
        <v>325</v>
      </c>
      <c r="H2726" t="s">
        <v>66</v>
      </c>
      <c r="I2726" t="s">
        <v>43</v>
      </c>
      <c r="J2726">
        <v>50</v>
      </c>
      <c r="K2726">
        <v>19</v>
      </c>
      <c r="L2726">
        <v>11</v>
      </c>
      <c r="M2726">
        <v>9.5</v>
      </c>
      <c r="N2726">
        <v>2175</v>
      </c>
      <c r="O2726">
        <v>0</v>
      </c>
      <c r="P2726">
        <v>0</v>
      </c>
      <c r="Q2726" t="s">
        <v>44</v>
      </c>
      <c r="R2726">
        <v>175</v>
      </c>
      <c r="S2726" t="s">
        <v>44</v>
      </c>
      <c r="T2726" t="s">
        <v>44</v>
      </c>
      <c r="U2726" t="s">
        <v>44</v>
      </c>
      <c r="V2726">
        <v>1472</v>
      </c>
      <c r="W2726" t="s">
        <v>44</v>
      </c>
      <c r="X2726" t="s">
        <v>44</v>
      </c>
      <c r="Y2726">
        <v>1472</v>
      </c>
      <c r="Z2726" t="s">
        <v>44</v>
      </c>
      <c r="AA2726">
        <v>0</v>
      </c>
      <c r="AB2726">
        <v>526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 s="2">
        <v>1472</v>
      </c>
      <c r="AQ2726">
        <f t="shared" si="94"/>
        <v>1472</v>
      </c>
      <c r="AR2726" s="5">
        <f>VLOOKUP(F2726,'[2]SCP_24-25'!$A:$D,4,0)</f>
        <v>14.330000000000002</v>
      </c>
      <c r="AS2726" s="5">
        <f t="shared" si="93"/>
        <v>21093.760000000002</v>
      </c>
    </row>
    <row r="2727" spans="1:45" x14ac:dyDescent="0.3">
      <c r="A2727" s="1">
        <v>45900.96597222222</v>
      </c>
      <c r="B2727" t="s">
        <v>1505</v>
      </c>
      <c r="C2727" t="s">
        <v>1506</v>
      </c>
      <c r="D2727" t="s">
        <v>1343</v>
      </c>
      <c r="E2727" t="s">
        <v>1344</v>
      </c>
      <c r="F2727" t="s">
        <v>2121</v>
      </c>
      <c r="G2727" t="s">
        <v>1345</v>
      </c>
      <c r="H2727" t="s">
        <v>66</v>
      </c>
      <c r="I2727" t="s">
        <v>43</v>
      </c>
      <c r="J2727">
        <v>50</v>
      </c>
      <c r="K2727">
        <v>19</v>
      </c>
      <c r="L2727">
        <v>11</v>
      </c>
      <c r="M2727">
        <v>9.5</v>
      </c>
      <c r="N2727">
        <v>2262</v>
      </c>
      <c r="O2727">
        <v>0</v>
      </c>
      <c r="P2727">
        <v>0</v>
      </c>
      <c r="Q2727" t="s">
        <v>44</v>
      </c>
      <c r="R2727">
        <v>264</v>
      </c>
      <c r="S2727" t="s">
        <v>44</v>
      </c>
      <c r="T2727">
        <v>2</v>
      </c>
      <c r="U2727" t="s">
        <v>44</v>
      </c>
      <c r="V2727">
        <v>1851</v>
      </c>
      <c r="W2727" t="s">
        <v>44</v>
      </c>
      <c r="X2727" t="s">
        <v>44</v>
      </c>
      <c r="Y2727">
        <v>1851</v>
      </c>
      <c r="Z2727" t="s">
        <v>44</v>
      </c>
      <c r="AA2727">
        <v>0</v>
      </c>
      <c r="AB2727">
        <v>147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 s="2">
        <v>1851</v>
      </c>
      <c r="AQ2727">
        <f t="shared" si="94"/>
        <v>1851</v>
      </c>
      <c r="AR2727" s="5">
        <f>VLOOKUP(F2727,'[2]SCP_24-25'!$A:$D,4,0)</f>
        <v>12.53</v>
      </c>
      <c r="AS2727" s="5">
        <f t="shared" si="93"/>
        <v>23193.03</v>
      </c>
    </row>
    <row r="2728" spans="1:45" x14ac:dyDescent="0.3">
      <c r="A2728" s="1">
        <v>45900.96597222222</v>
      </c>
      <c r="B2728" t="s">
        <v>1505</v>
      </c>
      <c r="C2728" t="s">
        <v>1506</v>
      </c>
      <c r="D2728" t="s">
        <v>107</v>
      </c>
      <c r="E2728" t="s">
        <v>108</v>
      </c>
      <c r="F2728" t="s">
        <v>1534</v>
      </c>
      <c r="G2728" t="s">
        <v>109</v>
      </c>
      <c r="H2728" t="s">
        <v>103</v>
      </c>
      <c r="I2728" t="s">
        <v>43</v>
      </c>
      <c r="J2728">
        <v>130</v>
      </c>
      <c r="K2728">
        <v>19</v>
      </c>
      <c r="L2728">
        <v>10</v>
      </c>
      <c r="M2728">
        <v>11</v>
      </c>
      <c r="N2728">
        <v>2426</v>
      </c>
      <c r="O2728">
        <v>8</v>
      </c>
      <c r="P2728">
        <v>0</v>
      </c>
      <c r="Q2728">
        <v>2</v>
      </c>
      <c r="R2728">
        <v>30</v>
      </c>
      <c r="S2728" t="s">
        <v>44</v>
      </c>
      <c r="T2728">
        <v>4</v>
      </c>
      <c r="U2728" t="s">
        <v>44</v>
      </c>
      <c r="V2728">
        <v>1110</v>
      </c>
      <c r="W2728" t="s">
        <v>44</v>
      </c>
      <c r="X2728" t="s">
        <v>44</v>
      </c>
      <c r="Y2728">
        <v>1110</v>
      </c>
      <c r="Z2728" t="s">
        <v>44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 s="2">
        <v>1118</v>
      </c>
      <c r="AQ2728">
        <f t="shared" si="94"/>
        <v>1118</v>
      </c>
      <c r="AR2728" s="5">
        <f>VLOOKUP(F2728,'[2]SCP_24-25'!$A:$D,4,0)</f>
        <v>61.997777777777777</v>
      </c>
      <c r="AS2728" s="5">
        <f t="shared" si="93"/>
        <v>69313.515555555554</v>
      </c>
    </row>
    <row r="2729" spans="1:45" x14ac:dyDescent="0.3">
      <c r="A2729" s="1">
        <v>45900.96597222222</v>
      </c>
      <c r="B2729" t="s">
        <v>1505</v>
      </c>
      <c r="C2729" t="s">
        <v>1506</v>
      </c>
      <c r="D2729" t="s">
        <v>113</v>
      </c>
      <c r="F2729" t="s">
        <v>1536</v>
      </c>
      <c r="G2729" t="s">
        <v>114</v>
      </c>
      <c r="H2729" t="s">
        <v>66</v>
      </c>
      <c r="I2729" t="s">
        <v>43</v>
      </c>
      <c r="J2729">
        <v>37</v>
      </c>
      <c r="K2729">
        <v>19</v>
      </c>
      <c r="L2729">
        <v>11</v>
      </c>
      <c r="M2729">
        <v>9.5</v>
      </c>
      <c r="N2729">
        <v>2000</v>
      </c>
      <c r="O2729">
        <v>0</v>
      </c>
      <c r="P2729">
        <v>0</v>
      </c>
      <c r="Q2729" t="s">
        <v>44</v>
      </c>
      <c r="R2729" t="s">
        <v>44</v>
      </c>
      <c r="S2729" t="s">
        <v>44</v>
      </c>
      <c r="T2729" t="s">
        <v>44</v>
      </c>
      <c r="U2729" t="s">
        <v>44</v>
      </c>
      <c r="V2729">
        <v>2000</v>
      </c>
      <c r="W2729" t="s">
        <v>44</v>
      </c>
      <c r="X2729" t="s">
        <v>44</v>
      </c>
      <c r="Y2729">
        <v>2000</v>
      </c>
      <c r="Z2729" t="s">
        <v>44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 s="2">
        <v>2000</v>
      </c>
      <c r="AQ2729">
        <f t="shared" si="94"/>
        <v>2000</v>
      </c>
      <c r="AR2729" s="5">
        <f>VLOOKUP(F2729,'[2]SCP_24-25'!$A:$D,4,0)</f>
        <v>13.56</v>
      </c>
      <c r="AS2729" s="5">
        <f t="shared" si="93"/>
        <v>27120</v>
      </c>
    </row>
    <row r="2730" spans="1:45" x14ac:dyDescent="0.3">
      <c r="A2730" s="1">
        <v>45900.96597222222</v>
      </c>
      <c r="B2730" t="s">
        <v>1505</v>
      </c>
      <c r="C2730" t="s">
        <v>1506</v>
      </c>
      <c r="D2730" t="s">
        <v>439</v>
      </c>
      <c r="E2730" t="s">
        <v>440</v>
      </c>
      <c r="F2730" t="s">
        <v>1675</v>
      </c>
      <c r="G2730" t="s">
        <v>441</v>
      </c>
      <c r="H2730" t="s">
        <v>130</v>
      </c>
      <c r="I2730" t="s">
        <v>43</v>
      </c>
      <c r="J2730">
        <v>11.32</v>
      </c>
      <c r="K2730">
        <v>19</v>
      </c>
      <c r="L2730">
        <v>10</v>
      </c>
      <c r="M2730">
        <v>11</v>
      </c>
      <c r="N2730">
        <v>2952</v>
      </c>
      <c r="O2730">
        <v>2</v>
      </c>
      <c r="P2730">
        <v>0</v>
      </c>
      <c r="Q2730" t="s">
        <v>44</v>
      </c>
      <c r="R2730" t="s">
        <v>44</v>
      </c>
      <c r="S2730" t="s">
        <v>44</v>
      </c>
      <c r="T2730" t="s">
        <v>44</v>
      </c>
      <c r="U2730" t="s">
        <v>44</v>
      </c>
      <c r="V2730">
        <v>2573</v>
      </c>
      <c r="W2730" t="s">
        <v>44</v>
      </c>
      <c r="X2730" t="s">
        <v>44</v>
      </c>
      <c r="Y2730">
        <v>2573</v>
      </c>
      <c r="Z2730" t="s">
        <v>44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 s="2">
        <v>2575</v>
      </c>
      <c r="AQ2730">
        <f t="shared" si="94"/>
        <v>2575</v>
      </c>
      <c r="AR2730" s="5">
        <f>VLOOKUP(F2730,'[2]SCP_24-25'!$A:$D,4,0)</f>
        <v>49.01</v>
      </c>
      <c r="AS2730" s="5">
        <f t="shared" si="93"/>
        <v>126200.75</v>
      </c>
    </row>
    <row r="2731" spans="1:45" x14ac:dyDescent="0.3">
      <c r="A2731" s="1">
        <v>45900.96597222222</v>
      </c>
      <c r="B2731" t="s">
        <v>1505</v>
      </c>
      <c r="C2731" t="s">
        <v>1506</v>
      </c>
      <c r="D2731" t="s">
        <v>902</v>
      </c>
      <c r="E2731" t="s">
        <v>903</v>
      </c>
      <c r="F2731" t="s">
        <v>1901</v>
      </c>
      <c r="G2731" t="s">
        <v>904</v>
      </c>
      <c r="H2731" t="s">
        <v>621</v>
      </c>
      <c r="I2731" t="s">
        <v>43</v>
      </c>
      <c r="J2731">
        <v>228.4</v>
      </c>
      <c r="K2731">
        <v>31.1</v>
      </c>
      <c r="L2731">
        <v>10</v>
      </c>
      <c r="M2731">
        <v>18.5</v>
      </c>
      <c r="N2731">
        <v>7000</v>
      </c>
      <c r="O2731">
        <v>0</v>
      </c>
      <c r="P2731">
        <v>0</v>
      </c>
      <c r="Q2731" t="s">
        <v>44</v>
      </c>
      <c r="R2731" t="s">
        <v>44</v>
      </c>
      <c r="S2731" t="s">
        <v>44</v>
      </c>
      <c r="T2731" t="s">
        <v>44</v>
      </c>
      <c r="U2731" t="s">
        <v>44</v>
      </c>
      <c r="V2731">
        <v>5605</v>
      </c>
      <c r="W2731" t="s">
        <v>44</v>
      </c>
      <c r="X2731" t="s">
        <v>44</v>
      </c>
      <c r="Y2731">
        <v>5605</v>
      </c>
      <c r="Z2731" t="s">
        <v>44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 s="2">
        <v>5605</v>
      </c>
      <c r="AQ2731">
        <f t="shared" si="94"/>
        <v>5605</v>
      </c>
      <c r="AR2731" s="5">
        <f>VLOOKUP(F2731,'[2]SCP_24-25'!$A:$D,4,0)</f>
        <v>6.25</v>
      </c>
      <c r="AS2731" s="5">
        <f t="shared" si="93"/>
        <v>35031.25</v>
      </c>
    </row>
    <row r="2732" spans="1:45" x14ac:dyDescent="0.3">
      <c r="A2732" s="1">
        <v>45900.96597222222</v>
      </c>
      <c r="B2732" t="s">
        <v>1505</v>
      </c>
      <c r="C2732" t="s">
        <v>1506</v>
      </c>
      <c r="D2732" t="s">
        <v>1315</v>
      </c>
      <c r="E2732" t="s">
        <v>1316</v>
      </c>
      <c r="F2732" t="s">
        <v>2108</v>
      </c>
      <c r="G2732" t="s">
        <v>1317</v>
      </c>
      <c r="H2732" t="s">
        <v>621</v>
      </c>
      <c r="I2732" t="s">
        <v>43</v>
      </c>
      <c r="J2732">
        <v>822</v>
      </c>
      <c r="K2732">
        <v>48</v>
      </c>
      <c r="L2732">
        <v>22</v>
      </c>
      <c r="M2732">
        <v>36</v>
      </c>
      <c r="N2732">
        <v>1250</v>
      </c>
      <c r="O2732">
        <v>0</v>
      </c>
      <c r="P2732">
        <v>0</v>
      </c>
      <c r="Q2732" t="s">
        <v>44</v>
      </c>
      <c r="R2732" t="s">
        <v>44</v>
      </c>
      <c r="S2732" t="s">
        <v>44</v>
      </c>
      <c r="T2732" t="s">
        <v>44</v>
      </c>
      <c r="U2732" t="s">
        <v>44</v>
      </c>
      <c r="V2732">
        <v>1099</v>
      </c>
      <c r="W2732" t="s">
        <v>44</v>
      </c>
      <c r="X2732" t="s">
        <v>44</v>
      </c>
      <c r="Y2732">
        <v>1097</v>
      </c>
      <c r="Z2732" t="s">
        <v>44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 s="2">
        <v>1099</v>
      </c>
      <c r="AQ2732">
        <f t="shared" si="94"/>
        <v>1099</v>
      </c>
      <c r="AR2732" s="5">
        <f>VLOOKUP(F2732,'[2]SCP_24-25'!$A:$D,4,0)</f>
        <v>47.625</v>
      </c>
      <c r="AS2732" s="5">
        <f t="shared" si="93"/>
        <v>52339.875</v>
      </c>
    </row>
    <row r="2733" spans="1:45" x14ac:dyDescent="0.3">
      <c r="A2733" s="1">
        <v>45900.96597222222</v>
      </c>
      <c r="B2733" t="s">
        <v>1505</v>
      </c>
      <c r="C2733" t="s">
        <v>1506</v>
      </c>
      <c r="D2733" t="s">
        <v>121</v>
      </c>
      <c r="F2733" t="s">
        <v>1539</v>
      </c>
      <c r="G2733" t="s">
        <v>122</v>
      </c>
      <c r="H2733" t="s">
        <v>103</v>
      </c>
      <c r="I2733" t="s">
        <v>43</v>
      </c>
      <c r="J2733">
        <v>216.02</v>
      </c>
      <c r="K2733">
        <v>19</v>
      </c>
      <c r="L2733">
        <v>10</v>
      </c>
      <c r="M2733">
        <v>11</v>
      </c>
      <c r="N2733">
        <v>4224</v>
      </c>
      <c r="O2733">
        <v>25</v>
      </c>
      <c r="P2733">
        <v>0</v>
      </c>
      <c r="Q2733">
        <v>3</v>
      </c>
      <c r="R2733">
        <v>1</v>
      </c>
      <c r="S2733" t="s">
        <v>44</v>
      </c>
      <c r="T2733" t="s">
        <v>44</v>
      </c>
      <c r="U2733" t="s">
        <v>44</v>
      </c>
      <c r="V2733">
        <v>1755</v>
      </c>
      <c r="W2733" t="s">
        <v>44</v>
      </c>
      <c r="X2733" t="s">
        <v>44</v>
      </c>
      <c r="Y2733">
        <v>1755</v>
      </c>
      <c r="Z2733" t="s">
        <v>44</v>
      </c>
      <c r="AA2733">
        <v>2</v>
      </c>
      <c r="AB2733">
        <v>76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 s="2">
        <v>1782</v>
      </c>
      <c r="AQ2733">
        <f t="shared" si="94"/>
        <v>1782</v>
      </c>
      <c r="AR2733" s="5">
        <f>VLOOKUP(F2733,'[2]SCP_24-25'!$A:$D,4,0)</f>
        <v>53.14</v>
      </c>
      <c r="AS2733" s="5">
        <f t="shared" si="93"/>
        <v>94695.48</v>
      </c>
    </row>
    <row r="2734" spans="1:45" x14ac:dyDescent="0.3">
      <c r="A2734" s="1">
        <v>45900.96597222222</v>
      </c>
      <c r="B2734" t="s">
        <v>1505</v>
      </c>
      <c r="C2734" t="s">
        <v>1506</v>
      </c>
      <c r="D2734" t="s">
        <v>399</v>
      </c>
      <c r="F2734" t="s">
        <v>1657</v>
      </c>
      <c r="G2734" t="s">
        <v>400</v>
      </c>
      <c r="H2734" t="s">
        <v>66</v>
      </c>
      <c r="I2734" t="s">
        <v>43</v>
      </c>
      <c r="J2734">
        <v>59.02</v>
      </c>
      <c r="K2734">
        <v>19</v>
      </c>
      <c r="L2734">
        <v>11</v>
      </c>
      <c r="M2734">
        <v>10</v>
      </c>
      <c r="N2734">
        <v>4392</v>
      </c>
      <c r="O2734">
        <v>2</v>
      </c>
      <c r="P2734">
        <v>0</v>
      </c>
      <c r="Q2734" t="s">
        <v>44</v>
      </c>
      <c r="R2734" t="s">
        <v>44</v>
      </c>
      <c r="S2734" t="s">
        <v>44</v>
      </c>
      <c r="T2734" t="s">
        <v>44</v>
      </c>
      <c r="U2734" t="s">
        <v>44</v>
      </c>
      <c r="V2734">
        <v>3481</v>
      </c>
      <c r="W2734" t="s">
        <v>44</v>
      </c>
      <c r="X2734" t="s">
        <v>44</v>
      </c>
      <c r="Y2734">
        <v>3481</v>
      </c>
      <c r="Z2734" t="s">
        <v>44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 s="2">
        <v>3483</v>
      </c>
      <c r="AQ2734">
        <f t="shared" si="94"/>
        <v>3483</v>
      </c>
      <c r="AR2734" s="5">
        <f>VLOOKUP(F2734,'[2]SCP_24-25'!$A:$D,4,0)</f>
        <v>50.06</v>
      </c>
      <c r="AS2734" s="5">
        <f t="shared" si="93"/>
        <v>174358.98</v>
      </c>
    </row>
    <row r="2735" spans="1:45" x14ac:dyDescent="0.3">
      <c r="A2735" s="1">
        <v>45900.96597222222</v>
      </c>
      <c r="B2735" t="s">
        <v>1505</v>
      </c>
      <c r="C2735" t="s">
        <v>1506</v>
      </c>
      <c r="D2735" t="s">
        <v>437</v>
      </c>
      <c r="F2735" t="s">
        <v>1674</v>
      </c>
      <c r="G2735" t="s">
        <v>438</v>
      </c>
      <c r="H2735" t="s">
        <v>66</v>
      </c>
      <c r="I2735" t="s">
        <v>43</v>
      </c>
      <c r="J2735">
        <v>46.59</v>
      </c>
      <c r="K2735">
        <v>19</v>
      </c>
      <c r="L2735">
        <v>10</v>
      </c>
      <c r="M2735">
        <v>11</v>
      </c>
      <c r="N2735">
        <v>1200</v>
      </c>
      <c r="O2735">
        <v>0</v>
      </c>
      <c r="P2735">
        <v>0</v>
      </c>
      <c r="Q2735" t="s">
        <v>44</v>
      </c>
      <c r="R2735" t="s">
        <v>44</v>
      </c>
      <c r="S2735" t="s">
        <v>44</v>
      </c>
      <c r="T2735" t="s">
        <v>44</v>
      </c>
      <c r="U2735" t="s">
        <v>44</v>
      </c>
      <c r="V2735">
        <v>1200</v>
      </c>
      <c r="W2735" t="s">
        <v>44</v>
      </c>
      <c r="X2735" t="s">
        <v>44</v>
      </c>
      <c r="Y2735">
        <v>1200</v>
      </c>
      <c r="Z2735" t="s">
        <v>44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 s="2">
        <v>1200</v>
      </c>
      <c r="AQ2735">
        <f t="shared" si="94"/>
        <v>1200</v>
      </c>
      <c r="AR2735" s="5">
        <f>VLOOKUP(F2735,'[2]SCP_24-25'!$A:$D,4,0)</f>
        <v>28.199999999999996</v>
      </c>
      <c r="AS2735" s="5">
        <f t="shared" si="93"/>
        <v>33839.999999999993</v>
      </c>
    </row>
    <row r="2736" spans="1:45" x14ac:dyDescent="0.3">
      <c r="A2736" s="1">
        <v>45900.96597222222</v>
      </c>
      <c r="B2736" t="s">
        <v>1505</v>
      </c>
      <c r="C2736" t="s">
        <v>1506</v>
      </c>
      <c r="D2736" t="s">
        <v>416</v>
      </c>
      <c r="F2736" t="s">
        <v>1665</v>
      </c>
      <c r="G2736" t="s">
        <v>417</v>
      </c>
      <c r="H2736" t="s">
        <v>66</v>
      </c>
      <c r="I2736" t="s">
        <v>43</v>
      </c>
      <c r="J2736">
        <v>46.59</v>
      </c>
      <c r="K2736">
        <v>19</v>
      </c>
      <c r="L2736">
        <v>10</v>
      </c>
      <c r="M2736">
        <v>11</v>
      </c>
      <c r="N2736">
        <v>2800</v>
      </c>
      <c r="O2736">
        <v>0</v>
      </c>
      <c r="P2736">
        <v>0</v>
      </c>
      <c r="Q2736" t="s">
        <v>44</v>
      </c>
      <c r="R2736" t="s">
        <v>44</v>
      </c>
      <c r="S2736" t="s">
        <v>44</v>
      </c>
      <c r="T2736" t="s">
        <v>44</v>
      </c>
      <c r="U2736" t="s">
        <v>44</v>
      </c>
      <c r="V2736">
        <v>2800</v>
      </c>
      <c r="W2736" t="s">
        <v>44</v>
      </c>
      <c r="X2736" t="s">
        <v>44</v>
      </c>
      <c r="Y2736">
        <v>2800</v>
      </c>
      <c r="Z2736" t="s">
        <v>44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 s="2">
        <v>2800</v>
      </c>
      <c r="AQ2736">
        <f t="shared" si="94"/>
        <v>2800</v>
      </c>
      <c r="AR2736" s="5">
        <f>VLOOKUP(F2736,'[2]SCP_24-25'!$A:$D,4,0)</f>
        <v>34.455294117647057</v>
      </c>
      <c r="AS2736" s="5">
        <f t="shared" si="93"/>
        <v>96474.823529411762</v>
      </c>
    </row>
    <row r="2737" spans="1:45" x14ac:dyDescent="0.3">
      <c r="A2737" s="1">
        <v>45900.96597222222</v>
      </c>
      <c r="B2737" t="s">
        <v>1505</v>
      </c>
      <c r="C2737" t="s">
        <v>1506</v>
      </c>
      <c r="D2737" t="s">
        <v>418</v>
      </c>
      <c r="F2737" t="s">
        <v>1666</v>
      </c>
      <c r="G2737" t="s">
        <v>419</v>
      </c>
      <c r="H2737" t="s">
        <v>66</v>
      </c>
      <c r="I2737" t="s">
        <v>43</v>
      </c>
      <c r="J2737">
        <v>90.08</v>
      </c>
      <c r="K2737">
        <v>19</v>
      </c>
      <c r="L2737">
        <v>10</v>
      </c>
      <c r="M2737">
        <v>11</v>
      </c>
      <c r="N2737">
        <v>4608</v>
      </c>
      <c r="O2737">
        <v>45</v>
      </c>
      <c r="P2737">
        <v>0</v>
      </c>
      <c r="Q2737" t="s">
        <v>44</v>
      </c>
      <c r="R2737" t="s">
        <v>44</v>
      </c>
      <c r="S2737" t="s">
        <v>44</v>
      </c>
      <c r="T2737" t="s">
        <v>44</v>
      </c>
      <c r="U2737" t="s">
        <v>44</v>
      </c>
      <c r="V2737">
        <v>1615</v>
      </c>
      <c r="W2737" t="s">
        <v>44</v>
      </c>
      <c r="X2737" t="s">
        <v>44</v>
      </c>
      <c r="Y2737">
        <v>1615</v>
      </c>
      <c r="Z2737" t="s">
        <v>44</v>
      </c>
      <c r="AA2737">
        <v>2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 s="2">
        <v>1662</v>
      </c>
      <c r="AQ2737">
        <f t="shared" si="94"/>
        <v>1662</v>
      </c>
      <c r="AR2737" s="5">
        <f>VLOOKUP(F2737,'[2]SCP_24-25'!$A:$D,4,0)</f>
        <v>45.279999999999994</v>
      </c>
      <c r="AS2737" s="5">
        <f t="shared" si="93"/>
        <v>75255.359999999986</v>
      </c>
    </row>
    <row r="2738" spans="1:45" x14ac:dyDescent="0.3">
      <c r="A2738" s="1">
        <v>45900.96597222222</v>
      </c>
      <c r="B2738" t="s">
        <v>1505</v>
      </c>
      <c r="C2738" t="s">
        <v>1506</v>
      </c>
      <c r="D2738" t="s">
        <v>411</v>
      </c>
      <c r="F2738" t="s">
        <v>1663</v>
      </c>
      <c r="G2738" t="s">
        <v>412</v>
      </c>
      <c r="H2738" t="s">
        <v>66</v>
      </c>
      <c r="I2738" t="s">
        <v>43</v>
      </c>
      <c r="J2738">
        <v>115</v>
      </c>
      <c r="K2738">
        <v>19</v>
      </c>
      <c r="L2738">
        <v>11</v>
      </c>
      <c r="M2738">
        <v>10</v>
      </c>
      <c r="N2738">
        <v>1872</v>
      </c>
      <c r="O2738">
        <v>1</v>
      </c>
      <c r="P2738">
        <v>0</v>
      </c>
      <c r="Q2738" t="s">
        <v>44</v>
      </c>
      <c r="R2738" t="s">
        <v>44</v>
      </c>
      <c r="S2738" t="s">
        <v>44</v>
      </c>
      <c r="T2738" t="s">
        <v>44</v>
      </c>
      <c r="U2738" t="s">
        <v>44</v>
      </c>
      <c r="V2738">
        <v>1134</v>
      </c>
      <c r="W2738" t="s">
        <v>44</v>
      </c>
      <c r="X2738" t="s">
        <v>44</v>
      </c>
      <c r="Y2738">
        <v>1134</v>
      </c>
      <c r="Z2738" t="s">
        <v>44</v>
      </c>
      <c r="AA2738">
        <v>2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 s="2">
        <v>1137</v>
      </c>
      <c r="AQ2738">
        <f t="shared" si="94"/>
        <v>1137</v>
      </c>
      <c r="AR2738" s="5">
        <f>VLOOKUP(F2738,'[2]SCP_24-25'!$A:$D,4,0)</f>
        <v>54.699999999999996</v>
      </c>
      <c r="AS2738" s="5">
        <f t="shared" si="93"/>
        <v>62193.899999999994</v>
      </c>
    </row>
    <row r="2739" spans="1:45" x14ac:dyDescent="0.3">
      <c r="A2739" s="1">
        <v>45900.96597222222</v>
      </c>
      <c r="B2739" t="s">
        <v>1505</v>
      </c>
      <c r="C2739" t="s">
        <v>1506</v>
      </c>
      <c r="D2739" t="s">
        <v>619</v>
      </c>
      <c r="F2739" t="s">
        <v>1762</v>
      </c>
      <c r="G2739" t="s">
        <v>620</v>
      </c>
      <c r="H2739" t="s">
        <v>621</v>
      </c>
      <c r="I2739" t="s">
        <v>43</v>
      </c>
      <c r="J2739">
        <v>250</v>
      </c>
      <c r="K2739">
        <v>126</v>
      </c>
      <c r="L2739">
        <v>50</v>
      </c>
      <c r="M2739">
        <v>126</v>
      </c>
      <c r="N2739">
        <v>2200</v>
      </c>
      <c r="O2739">
        <v>0</v>
      </c>
      <c r="P2739">
        <v>0</v>
      </c>
      <c r="Q2739" t="s">
        <v>44</v>
      </c>
      <c r="R2739" t="s">
        <v>44</v>
      </c>
      <c r="S2739" t="s">
        <v>44</v>
      </c>
      <c r="T2739" t="s">
        <v>44</v>
      </c>
      <c r="U2739" t="s">
        <v>44</v>
      </c>
      <c r="V2739">
        <v>2173</v>
      </c>
      <c r="W2739" t="s">
        <v>44</v>
      </c>
      <c r="X2739" t="s">
        <v>44</v>
      </c>
      <c r="Y2739">
        <v>2173</v>
      </c>
      <c r="Z2739" t="s">
        <v>44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 s="2">
        <v>2173</v>
      </c>
      <c r="AQ2739">
        <f t="shared" si="94"/>
        <v>2173</v>
      </c>
      <c r="AR2739" s="5">
        <f>VLOOKUP(F2739,'[2]SCP_24-25'!$A:$D,4,0)</f>
        <v>45</v>
      </c>
      <c r="AS2739" s="5">
        <f t="shared" si="93"/>
        <v>97785</v>
      </c>
    </row>
    <row r="2740" spans="1:45" x14ac:dyDescent="0.3">
      <c r="A2740" s="1">
        <v>45900.96597222222</v>
      </c>
      <c r="B2740" t="s">
        <v>1505</v>
      </c>
      <c r="C2740" t="s">
        <v>1506</v>
      </c>
      <c r="D2740" t="s">
        <v>471</v>
      </c>
      <c r="F2740" t="s">
        <v>1690</v>
      </c>
      <c r="G2740" t="s">
        <v>472</v>
      </c>
      <c r="H2740" t="s">
        <v>66</v>
      </c>
      <c r="I2740" t="s">
        <v>415</v>
      </c>
      <c r="J2740">
        <v>52.02</v>
      </c>
      <c r="K2740">
        <v>19</v>
      </c>
      <c r="L2740">
        <v>10</v>
      </c>
      <c r="M2740">
        <v>11</v>
      </c>
      <c r="N2740">
        <v>5890</v>
      </c>
      <c r="O2740">
        <v>4</v>
      </c>
      <c r="P2740">
        <v>0</v>
      </c>
      <c r="Q2740" t="s">
        <v>44</v>
      </c>
      <c r="R2740">
        <v>140</v>
      </c>
      <c r="S2740" t="s">
        <v>44</v>
      </c>
      <c r="T2740">
        <v>10</v>
      </c>
      <c r="U2740" t="s">
        <v>44</v>
      </c>
      <c r="V2740">
        <v>5023</v>
      </c>
      <c r="W2740" t="s">
        <v>44</v>
      </c>
      <c r="X2740" t="s">
        <v>44</v>
      </c>
      <c r="Y2740">
        <v>5023</v>
      </c>
      <c r="Z2740" t="s">
        <v>44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 s="2">
        <v>5027</v>
      </c>
      <c r="AQ2740">
        <f t="shared" si="94"/>
        <v>5027</v>
      </c>
      <c r="AR2740" s="5">
        <f>VLOOKUP(F2740,'[2]SCP_24-25'!$A:$D,4,0)</f>
        <v>87.59</v>
      </c>
      <c r="AS2740" s="5">
        <f t="shared" si="93"/>
        <v>440314.93</v>
      </c>
    </row>
    <row r="2741" spans="1:45" x14ac:dyDescent="0.3">
      <c r="A2741" s="1">
        <v>45900.96597222222</v>
      </c>
      <c r="B2741" t="s">
        <v>1505</v>
      </c>
      <c r="C2741" t="s">
        <v>1506</v>
      </c>
      <c r="D2741" t="s">
        <v>413</v>
      </c>
      <c r="F2741" t="s">
        <v>1664</v>
      </c>
      <c r="G2741" t="s">
        <v>414</v>
      </c>
      <c r="H2741" t="s">
        <v>66</v>
      </c>
      <c r="I2741" t="s">
        <v>415</v>
      </c>
      <c r="J2741">
        <v>56.72</v>
      </c>
      <c r="K2741">
        <v>19</v>
      </c>
      <c r="L2741">
        <v>10</v>
      </c>
      <c r="M2741">
        <v>11</v>
      </c>
      <c r="N2741">
        <v>9499</v>
      </c>
      <c r="O2741">
        <v>5</v>
      </c>
      <c r="P2741">
        <v>0</v>
      </c>
      <c r="Q2741" t="s">
        <v>44</v>
      </c>
      <c r="R2741">
        <v>212</v>
      </c>
      <c r="S2741" t="s">
        <v>44</v>
      </c>
      <c r="T2741" t="s">
        <v>44</v>
      </c>
      <c r="U2741" t="s">
        <v>44</v>
      </c>
      <c r="V2741">
        <v>7888</v>
      </c>
      <c r="W2741" t="s">
        <v>44</v>
      </c>
      <c r="X2741" t="s">
        <v>44</v>
      </c>
      <c r="Y2741">
        <v>7888</v>
      </c>
      <c r="Z2741" t="s">
        <v>44</v>
      </c>
      <c r="AA2741">
        <v>0</v>
      </c>
      <c r="AB2741">
        <v>4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 s="2">
        <v>7893</v>
      </c>
      <c r="AQ2741">
        <f t="shared" si="94"/>
        <v>7893</v>
      </c>
      <c r="AR2741" s="5">
        <f>VLOOKUP(F2741,'[2]SCP_24-25'!$A:$D,4,0)</f>
        <v>85.96</v>
      </c>
      <c r="AS2741" s="5">
        <f t="shared" si="93"/>
        <v>678482.27999999991</v>
      </c>
    </row>
    <row r="2742" spans="1:45" x14ac:dyDescent="0.3">
      <c r="A2742" s="1">
        <v>45900.96597222222</v>
      </c>
      <c r="B2742" t="s">
        <v>1505</v>
      </c>
      <c r="C2742" t="s">
        <v>1506</v>
      </c>
      <c r="D2742" t="s">
        <v>507</v>
      </c>
      <c r="F2742" t="s">
        <v>1708</v>
      </c>
      <c r="G2742" t="s">
        <v>508</v>
      </c>
      <c r="H2742" t="s">
        <v>66</v>
      </c>
      <c r="I2742" t="s">
        <v>415</v>
      </c>
      <c r="J2742">
        <v>77</v>
      </c>
      <c r="K2742">
        <v>19</v>
      </c>
      <c r="L2742">
        <v>10</v>
      </c>
      <c r="M2742">
        <v>11</v>
      </c>
      <c r="N2742">
        <v>3451</v>
      </c>
      <c r="O2742">
        <v>3</v>
      </c>
      <c r="P2742">
        <v>0</v>
      </c>
      <c r="Q2742" t="s">
        <v>44</v>
      </c>
      <c r="R2742" t="s">
        <v>44</v>
      </c>
      <c r="S2742" t="s">
        <v>44</v>
      </c>
      <c r="T2742">
        <v>5</v>
      </c>
      <c r="U2742" t="s">
        <v>44</v>
      </c>
      <c r="V2742">
        <v>3165</v>
      </c>
      <c r="W2742" t="s">
        <v>44</v>
      </c>
      <c r="X2742" t="s">
        <v>44</v>
      </c>
      <c r="Y2742">
        <v>3165</v>
      </c>
      <c r="Z2742" t="s">
        <v>44</v>
      </c>
      <c r="AA2742">
        <v>1</v>
      </c>
      <c r="AB2742">
        <v>2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 s="2">
        <v>3169</v>
      </c>
      <c r="AQ2742">
        <f t="shared" si="94"/>
        <v>3169</v>
      </c>
      <c r="AR2742" s="5">
        <f>VLOOKUP(F2742,'[2]SCP_24-25'!$A:$D,4,0)</f>
        <v>91.25</v>
      </c>
      <c r="AS2742" s="5">
        <f t="shared" si="93"/>
        <v>289171.25</v>
      </c>
    </row>
    <row r="2743" spans="1:45" x14ac:dyDescent="0.3">
      <c r="A2743" s="1">
        <v>45900.96597222222</v>
      </c>
      <c r="B2743" t="s">
        <v>1505</v>
      </c>
      <c r="C2743" t="s">
        <v>1506</v>
      </c>
      <c r="D2743" t="s">
        <v>615</v>
      </c>
      <c r="F2743" t="s">
        <v>1761</v>
      </c>
      <c r="G2743" t="s">
        <v>616</v>
      </c>
      <c r="H2743" t="s">
        <v>66</v>
      </c>
      <c r="I2743" t="s">
        <v>415</v>
      </c>
      <c r="J2743">
        <v>50</v>
      </c>
      <c r="K2743">
        <v>19</v>
      </c>
      <c r="L2743">
        <v>10</v>
      </c>
      <c r="M2743">
        <v>11</v>
      </c>
      <c r="N2743">
        <v>2016</v>
      </c>
      <c r="O2743">
        <v>0</v>
      </c>
      <c r="P2743">
        <v>0</v>
      </c>
      <c r="Q2743" t="s">
        <v>44</v>
      </c>
      <c r="R2743" t="s">
        <v>44</v>
      </c>
      <c r="S2743" t="s">
        <v>44</v>
      </c>
      <c r="T2743" t="s">
        <v>44</v>
      </c>
      <c r="U2743" t="s">
        <v>44</v>
      </c>
      <c r="V2743">
        <v>2016</v>
      </c>
      <c r="W2743" t="s">
        <v>44</v>
      </c>
      <c r="X2743" t="s">
        <v>44</v>
      </c>
      <c r="Y2743">
        <v>2016</v>
      </c>
      <c r="Z2743" t="s">
        <v>44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 s="2">
        <v>2016</v>
      </c>
      <c r="AQ2743">
        <f t="shared" si="94"/>
        <v>2016</v>
      </c>
      <c r="AR2743" s="5">
        <f>VLOOKUP(F2743,'[2]SCP_24-25'!$A:$D,4,0)</f>
        <v>40.33</v>
      </c>
      <c r="AS2743" s="5">
        <f t="shared" si="93"/>
        <v>81305.279999999999</v>
      </c>
    </row>
    <row r="2744" spans="1:45" x14ac:dyDescent="0.3">
      <c r="A2744" s="1">
        <v>45900.96597222222</v>
      </c>
      <c r="B2744" t="s">
        <v>1505</v>
      </c>
      <c r="C2744" t="s">
        <v>1506</v>
      </c>
      <c r="D2744" t="s">
        <v>1298</v>
      </c>
      <c r="F2744" t="s">
        <v>2101</v>
      </c>
      <c r="G2744" t="s">
        <v>1299</v>
      </c>
      <c r="H2744" t="s">
        <v>66</v>
      </c>
      <c r="I2744" t="s">
        <v>415</v>
      </c>
      <c r="J2744">
        <v>10</v>
      </c>
      <c r="K2744">
        <v>19</v>
      </c>
      <c r="L2744">
        <v>10</v>
      </c>
      <c r="M2744">
        <v>11</v>
      </c>
      <c r="N2744">
        <v>1600</v>
      </c>
      <c r="O2744">
        <v>0</v>
      </c>
      <c r="P2744">
        <v>0</v>
      </c>
      <c r="Q2744" t="s">
        <v>44</v>
      </c>
      <c r="R2744" t="s">
        <v>44</v>
      </c>
      <c r="S2744" t="s">
        <v>44</v>
      </c>
      <c r="T2744" t="s">
        <v>44</v>
      </c>
      <c r="U2744" t="s">
        <v>44</v>
      </c>
      <c r="V2744">
        <v>1600</v>
      </c>
      <c r="W2744" t="s">
        <v>44</v>
      </c>
      <c r="X2744" t="s">
        <v>44</v>
      </c>
      <c r="Y2744">
        <v>1600</v>
      </c>
      <c r="Z2744" t="s">
        <v>44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 s="2">
        <v>1600</v>
      </c>
      <c r="AQ2744">
        <f t="shared" si="94"/>
        <v>1600</v>
      </c>
      <c r="AR2744" s="5">
        <f>VLOOKUP(F2744,'[2]SCP_24-25'!$A:$D,4,0)</f>
        <v>27.16</v>
      </c>
      <c r="AS2744" s="5">
        <f t="shared" si="93"/>
        <v>43456</v>
      </c>
    </row>
    <row r="2745" spans="1:45" x14ac:dyDescent="0.3">
      <c r="A2745" s="1">
        <v>45900.96597222222</v>
      </c>
      <c r="B2745" t="s">
        <v>1505</v>
      </c>
      <c r="C2745" t="s">
        <v>1506</v>
      </c>
      <c r="D2745" t="s">
        <v>1361</v>
      </c>
      <c r="F2745" t="s">
        <v>2128</v>
      </c>
      <c r="G2745" t="s">
        <v>1362</v>
      </c>
      <c r="H2745" t="s">
        <v>66</v>
      </c>
      <c r="I2745" t="s">
        <v>415</v>
      </c>
      <c r="J2745">
        <v>60</v>
      </c>
      <c r="K2745">
        <v>19</v>
      </c>
      <c r="L2745">
        <v>10</v>
      </c>
      <c r="M2745">
        <v>11</v>
      </c>
      <c r="N2745">
        <v>3000</v>
      </c>
      <c r="O2745">
        <v>7</v>
      </c>
      <c r="P2745">
        <v>0</v>
      </c>
      <c r="Q2745" t="s">
        <v>44</v>
      </c>
      <c r="R2745" t="s">
        <v>44</v>
      </c>
      <c r="S2745" t="s">
        <v>44</v>
      </c>
      <c r="T2745" t="s">
        <v>44</v>
      </c>
      <c r="U2745" t="s">
        <v>44</v>
      </c>
      <c r="V2745">
        <v>2368</v>
      </c>
      <c r="W2745" t="s">
        <v>44</v>
      </c>
      <c r="X2745" t="s">
        <v>44</v>
      </c>
      <c r="Y2745">
        <v>2368</v>
      </c>
      <c r="Z2745" t="s">
        <v>44</v>
      </c>
      <c r="AA2745">
        <v>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 s="2">
        <v>2376</v>
      </c>
      <c r="AQ2745">
        <f t="shared" si="94"/>
        <v>2376</v>
      </c>
      <c r="AR2745" s="5">
        <f>VLOOKUP(F2745,'[2]SCP_24-25'!$A:$D,4,0)</f>
        <v>86.75</v>
      </c>
      <c r="AS2745" s="5">
        <f t="shared" si="93"/>
        <v>206118</v>
      </c>
    </row>
    <row r="2746" spans="1:45" x14ac:dyDescent="0.3">
      <c r="A2746" s="1">
        <v>45900.96597222222</v>
      </c>
      <c r="B2746" t="s">
        <v>1505</v>
      </c>
      <c r="C2746" t="s">
        <v>1506</v>
      </c>
      <c r="D2746" t="s">
        <v>1318</v>
      </c>
      <c r="F2746" t="s">
        <v>2109</v>
      </c>
      <c r="G2746" t="s">
        <v>1319</v>
      </c>
      <c r="H2746" t="s">
        <v>66</v>
      </c>
      <c r="I2746" t="s">
        <v>415</v>
      </c>
      <c r="J2746">
        <v>10</v>
      </c>
      <c r="K2746">
        <v>19</v>
      </c>
      <c r="L2746">
        <v>10</v>
      </c>
      <c r="M2746">
        <v>11</v>
      </c>
      <c r="N2746">
        <v>1600</v>
      </c>
      <c r="O2746">
        <v>0</v>
      </c>
      <c r="P2746">
        <v>0</v>
      </c>
      <c r="Q2746" t="s">
        <v>44</v>
      </c>
      <c r="R2746" t="s">
        <v>44</v>
      </c>
      <c r="S2746" t="s">
        <v>44</v>
      </c>
      <c r="T2746" t="s">
        <v>44</v>
      </c>
      <c r="U2746" t="s">
        <v>44</v>
      </c>
      <c r="V2746">
        <v>1600</v>
      </c>
      <c r="W2746" t="s">
        <v>44</v>
      </c>
      <c r="X2746" t="s">
        <v>44</v>
      </c>
      <c r="Y2746">
        <v>1600</v>
      </c>
      <c r="Z2746" t="s">
        <v>44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 s="2">
        <v>1600</v>
      </c>
      <c r="AQ2746">
        <f t="shared" si="94"/>
        <v>1600</v>
      </c>
      <c r="AR2746" s="5">
        <f>VLOOKUP(F2746,'[2]SCP_24-25'!$A:$D,4,0)</f>
        <v>44.56</v>
      </c>
      <c r="AS2746" s="5">
        <f t="shared" si="93"/>
        <v>71296</v>
      </c>
    </row>
    <row r="2747" spans="1:45" x14ac:dyDescent="0.3">
      <c r="A2747" s="1">
        <v>45900.96597222222</v>
      </c>
      <c r="B2747" t="s">
        <v>1507</v>
      </c>
      <c r="C2747" t="s">
        <v>1508</v>
      </c>
      <c r="D2747" t="s">
        <v>431</v>
      </c>
      <c r="F2747" t="s">
        <v>1672</v>
      </c>
      <c r="G2747" t="s">
        <v>432</v>
      </c>
      <c r="H2747" t="s">
        <v>433</v>
      </c>
      <c r="I2747" t="s">
        <v>434</v>
      </c>
      <c r="J2747">
        <v>110.3</v>
      </c>
      <c r="K2747">
        <v>6</v>
      </c>
      <c r="L2747">
        <v>3.4</v>
      </c>
      <c r="M2747">
        <v>12</v>
      </c>
      <c r="N2747">
        <v>144</v>
      </c>
      <c r="O2747">
        <v>4</v>
      </c>
      <c r="P2747">
        <v>0</v>
      </c>
      <c r="Q2747" t="s">
        <v>44</v>
      </c>
      <c r="R2747" t="s">
        <v>44</v>
      </c>
      <c r="S2747" t="s">
        <v>44</v>
      </c>
      <c r="T2747" t="s">
        <v>44</v>
      </c>
      <c r="U2747" t="s">
        <v>44</v>
      </c>
      <c r="V2747">
        <v>109</v>
      </c>
      <c r="W2747" t="s">
        <v>44</v>
      </c>
      <c r="X2747" t="s">
        <v>44</v>
      </c>
      <c r="Y2747">
        <v>109</v>
      </c>
      <c r="Z2747" t="s">
        <v>44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113</v>
      </c>
      <c r="AQ2747">
        <f t="shared" si="94"/>
        <v>113</v>
      </c>
      <c r="AR2747" s="5">
        <f>VLOOKUP(F2747,'[2]SCP_24-25'!$A:$D,4,0)</f>
        <v>117.33</v>
      </c>
      <c r="AS2747" s="5">
        <f t="shared" si="93"/>
        <v>13258.289999999999</v>
      </c>
    </row>
    <row r="2748" spans="1:45" x14ac:dyDescent="0.3">
      <c r="A2748" s="1">
        <v>45900.96597222222</v>
      </c>
      <c r="B2748" t="s">
        <v>1507</v>
      </c>
      <c r="C2748" t="s">
        <v>1508</v>
      </c>
      <c r="D2748" t="s">
        <v>435</v>
      </c>
      <c r="F2748" t="s">
        <v>1673</v>
      </c>
      <c r="G2748" t="s">
        <v>436</v>
      </c>
      <c r="H2748" t="s">
        <v>433</v>
      </c>
      <c r="I2748" t="s">
        <v>434</v>
      </c>
      <c r="J2748">
        <v>110.9</v>
      </c>
      <c r="K2748">
        <v>6</v>
      </c>
      <c r="L2748">
        <v>3.4</v>
      </c>
      <c r="M2748">
        <v>12</v>
      </c>
      <c r="N2748">
        <v>384</v>
      </c>
      <c r="O2748">
        <v>10</v>
      </c>
      <c r="P2748">
        <v>0</v>
      </c>
      <c r="Q2748" t="s">
        <v>44</v>
      </c>
      <c r="R2748" t="s">
        <v>44</v>
      </c>
      <c r="S2748" t="s">
        <v>44</v>
      </c>
      <c r="T2748" t="s">
        <v>44</v>
      </c>
      <c r="U2748" t="s">
        <v>44</v>
      </c>
      <c r="V2748">
        <v>292</v>
      </c>
      <c r="W2748" t="s">
        <v>44</v>
      </c>
      <c r="X2748" t="s">
        <v>44</v>
      </c>
      <c r="Y2748">
        <v>292</v>
      </c>
      <c r="Z2748" t="s">
        <v>44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303</v>
      </c>
      <c r="AQ2748">
        <f t="shared" si="94"/>
        <v>303</v>
      </c>
      <c r="AR2748" s="5">
        <f>VLOOKUP(F2748,'[2]SCP_24-25'!$A:$D,4,0)</f>
        <v>91.53</v>
      </c>
      <c r="AS2748" s="5">
        <f t="shared" si="93"/>
        <v>27733.59</v>
      </c>
    </row>
    <row r="2749" spans="1:45" x14ac:dyDescent="0.3">
      <c r="A2749" s="1">
        <v>45900.96597222222</v>
      </c>
      <c r="B2749" t="s">
        <v>1507</v>
      </c>
      <c r="C2749" t="s">
        <v>1508</v>
      </c>
      <c r="D2749" t="s">
        <v>1493</v>
      </c>
      <c r="F2749" t="s">
        <v>2197</v>
      </c>
      <c r="G2749" t="s">
        <v>1494</v>
      </c>
      <c r="H2749" t="s">
        <v>766</v>
      </c>
      <c r="I2749" t="s">
        <v>434</v>
      </c>
      <c r="J2749">
        <v>50.8</v>
      </c>
      <c r="K2749">
        <v>19</v>
      </c>
      <c r="L2749">
        <v>8.5</v>
      </c>
      <c r="M2749">
        <v>11</v>
      </c>
      <c r="N2749">
        <v>500</v>
      </c>
      <c r="O2749">
        <v>0</v>
      </c>
      <c r="P2749">
        <v>0</v>
      </c>
      <c r="Q2749" t="s">
        <v>44</v>
      </c>
      <c r="R2749" t="s">
        <v>44</v>
      </c>
      <c r="S2749" t="s">
        <v>44</v>
      </c>
      <c r="T2749" t="s">
        <v>44</v>
      </c>
      <c r="U2749" t="s">
        <v>44</v>
      </c>
      <c r="V2749">
        <v>264</v>
      </c>
      <c r="W2749" t="s">
        <v>44</v>
      </c>
      <c r="X2749" t="s">
        <v>44</v>
      </c>
      <c r="Y2749">
        <v>264</v>
      </c>
      <c r="Z2749" t="s">
        <v>44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264</v>
      </c>
      <c r="AQ2749">
        <f t="shared" si="94"/>
        <v>264</v>
      </c>
      <c r="AR2749" s="5">
        <f>VLOOKUP(F2749,'[2]SCP_24-25'!$A:$D,4,0)</f>
        <v>12.5</v>
      </c>
      <c r="AS2749" s="5">
        <f t="shared" si="93"/>
        <v>3300</v>
      </c>
    </row>
    <row r="2750" spans="1:45" x14ac:dyDescent="0.3">
      <c r="A2750" s="1">
        <v>45900.96597222222</v>
      </c>
      <c r="B2750" t="s">
        <v>1507</v>
      </c>
      <c r="C2750" t="s">
        <v>1508</v>
      </c>
      <c r="D2750" t="s">
        <v>1495</v>
      </c>
      <c r="F2750" t="s">
        <v>2198</v>
      </c>
      <c r="G2750" t="s">
        <v>1496</v>
      </c>
      <c r="H2750" t="s">
        <v>766</v>
      </c>
      <c r="I2750" t="s">
        <v>434</v>
      </c>
      <c r="J2750">
        <v>70.8</v>
      </c>
      <c r="K2750">
        <v>19</v>
      </c>
      <c r="L2750">
        <v>8.5</v>
      </c>
      <c r="M2750">
        <v>11</v>
      </c>
      <c r="N2750">
        <v>500</v>
      </c>
      <c r="O2750">
        <v>0</v>
      </c>
      <c r="P2750">
        <v>0</v>
      </c>
      <c r="Q2750" t="s">
        <v>44</v>
      </c>
      <c r="R2750" t="s">
        <v>44</v>
      </c>
      <c r="S2750" t="s">
        <v>44</v>
      </c>
      <c r="T2750">
        <v>300</v>
      </c>
      <c r="U2750" t="s">
        <v>44</v>
      </c>
      <c r="V2750">
        <v>468</v>
      </c>
      <c r="W2750" t="s">
        <v>44</v>
      </c>
      <c r="X2750" t="s">
        <v>44</v>
      </c>
      <c r="Y2750">
        <v>468</v>
      </c>
      <c r="Z2750" t="s">
        <v>44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468</v>
      </c>
      <c r="AQ2750">
        <f t="shared" si="94"/>
        <v>468</v>
      </c>
      <c r="AR2750" s="5">
        <f>VLOOKUP(F2750,'[2]SCP_24-25'!$A:$D,4,0)</f>
        <v>15.8</v>
      </c>
      <c r="AS2750" s="5">
        <f t="shared" si="93"/>
        <v>7394.4000000000005</v>
      </c>
    </row>
    <row r="2751" spans="1:45" x14ac:dyDescent="0.3">
      <c r="A2751" s="1">
        <v>45900.96597222222</v>
      </c>
      <c r="B2751" t="s">
        <v>1507</v>
      </c>
      <c r="C2751" t="s">
        <v>1508</v>
      </c>
      <c r="D2751" t="s">
        <v>764</v>
      </c>
      <c r="F2751" t="s">
        <v>1835</v>
      </c>
      <c r="G2751" t="s">
        <v>765</v>
      </c>
      <c r="H2751" t="s">
        <v>766</v>
      </c>
      <c r="I2751" t="s">
        <v>434</v>
      </c>
      <c r="J2751">
        <v>139.30000000000001</v>
      </c>
      <c r="K2751">
        <v>1</v>
      </c>
      <c r="L2751">
        <v>7.62</v>
      </c>
      <c r="M2751">
        <v>17.7</v>
      </c>
      <c r="N2751">
        <v>500</v>
      </c>
      <c r="O2751">
        <v>0</v>
      </c>
      <c r="P2751">
        <v>0</v>
      </c>
      <c r="Q2751" t="s">
        <v>44</v>
      </c>
      <c r="R2751" t="s">
        <v>44</v>
      </c>
      <c r="S2751" t="s">
        <v>44</v>
      </c>
      <c r="T2751">
        <v>750</v>
      </c>
      <c r="U2751" t="s">
        <v>44</v>
      </c>
      <c r="V2751">
        <v>470</v>
      </c>
      <c r="W2751" t="s">
        <v>44</v>
      </c>
      <c r="X2751" t="s">
        <v>44</v>
      </c>
      <c r="Y2751">
        <v>470</v>
      </c>
      <c r="Z2751" t="s">
        <v>44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470</v>
      </c>
      <c r="AQ2751">
        <f t="shared" si="94"/>
        <v>470</v>
      </c>
      <c r="AR2751" s="5">
        <f>VLOOKUP(F2751,'[2]SCP_24-25'!$A:$D,4,0)</f>
        <v>21.3</v>
      </c>
      <c r="AS2751" s="5">
        <f t="shared" si="93"/>
        <v>10011</v>
      </c>
    </row>
    <row r="2752" spans="1:45" x14ac:dyDescent="0.3">
      <c r="A2752" s="1">
        <v>45900.96597222222</v>
      </c>
      <c r="B2752" t="s">
        <v>1507</v>
      </c>
      <c r="C2752" t="s">
        <v>1508</v>
      </c>
      <c r="D2752" t="s">
        <v>767</v>
      </c>
      <c r="F2752" t="s">
        <v>1836</v>
      </c>
      <c r="G2752" t="s">
        <v>768</v>
      </c>
      <c r="H2752" t="s">
        <v>766</v>
      </c>
      <c r="I2752" t="s">
        <v>434</v>
      </c>
      <c r="J2752">
        <v>228.4</v>
      </c>
      <c r="K2752">
        <v>31.1</v>
      </c>
      <c r="L2752">
        <v>10</v>
      </c>
      <c r="M2752">
        <v>18.5</v>
      </c>
      <c r="N2752">
        <v>500</v>
      </c>
      <c r="O2752">
        <v>0</v>
      </c>
      <c r="P2752">
        <v>0</v>
      </c>
      <c r="Q2752" t="s">
        <v>44</v>
      </c>
      <c r="R2752" t="s">
        <v>44</v>
      </c>
      <c r="S2752" t="s">
        <v>44</v>
      </c>
      <c r="T2752">
        <v>150</v>
      </c>
      <c r="U2752" t="s">
        <v>44</v>
      </c>
      <c r="V2752">
        <v>499</v>
      </c>
      <c r="W2752" t="s">
        <v>44</v>
      </c>
      <c r="X2752" t="s">
        <v>44</v>
      </c>
      <c r="Y2752">
        <v>499</v>
      </c>
      <c r="Z2752" t="s">
        <v>44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499</v>
      </c>
      <c r="AQ2752">
        <f t="shared" si="94"/>
        <v>499</v>
      </c>
      <c r="AR2752" s="5">
        <f>VLOOKUP(F2752,'[1]Cost Sheet'!$C:$D,2,0)</f>
        <v>25.3</v>
      </c>
      <c r="AS2752" s="5">
        <f t="shared" si="93"/>
        <v>12624.7</v>
      </c>
    </row>
    <row r="2753" spans="1:45" x14ac:dyDescent="0.3">
      <c r="A2753" s="1">
        <v>45900.96597222222</v>
      </c>
      <c r="B2753" t="s">
        <v>1507</v>
      </c>
      <c r="C2753" t="s">
        <v>1508</v>
      </c>
      <c r="D2753" t="s">
        <v>552</v>
      </c>
      <c r="F2753" t="s">
        <v>1730</v>
      </c>
      <c r="G2753" t="s">
        <v>553</v>
      </c>
      <c r="H2753" t="s">
        <v>433</v>
      </c>
      <c r="I2753" t="s">
        <v>434</v>
      </c>
      <c r="J2753">
        <v>255</v>
      </c>
      <c r="K2753">
        <v>8</v>
      </c>
      <c r="L2753">
        <v>8</v>
      </c>
      <c r="M2753">
        <v>6.3</v>
      </c>
      <c r="N2753">
        <v>48</v>
      </c>
      <c r="O2753">
        <v>2</v>
      </c>
      <c r="P2753">
        <v>0</v>
      </c>
      <c r="Q2753" t="s">
        <v>44</v>
      </c>
      <c r="R2753" t="s">
        <v>44</v>
      </c>
      <c r="S2753" t="s">
        <v>44</v>
      </c>
      <c r="T2753" t="s">
        <v>44</v>
      </c>
      <c r="U2753" t="s">
        <v>44</v>
      </c>
      <c r="V2753">
        <v>28</v>
      </c>
      <c r="W2753" t="s">
        <v>44</v>
      </c>
      <c r="X2753" t="s">
        <v>44</v>
      </c>
      <c r="Y2753">
        <v>28</v>
      </c>
      <c r="Z2753" t="s">
        <v>44</v>
      </c>
      <c r="AA2753">
        <v>1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31</v>
      </c>
      <c r="AQ2753">
        <f t="shared" si="94"/>
        <v>31</v>
      </c>
      <c r="AR2753" s="5">
        <f>VLOOKUP(F2753,'[2]SCP_24-25'!$A:$D,4,0)</f>
        <v>99.01</v>
      </c>
      <c r="AS2753" s="5">
        <f t="shared" si="93"/>
        <v>3069.31</v>
      </c>
    </row>
    <row r="2754" spans="1:45" x14ac:dyDescent="0.3">
      <c r="A2754" s="1">
        <v>45900.96597222222</v>
      </c>
      <c r="B2754" t="s">
        <v>1507</v>
      </c>
      <c r="C2754" t="s">
        <v>1508</v>
      </c>
      <c r="D2754" t="s">
        <v>1266</v>
      </c>
      <c r="F2754" t="s">
        <v>2085</v>
      </c>
      <c r="G2754" t="s">
        <v>1267</v>
      </c>
      <c r="H2754" t="s">
        <v>433</v>
      </c>
      <c r="I2754" t="s">
        <v>434</v>
      </c>
      <c r="J2754">
        <v>131</v>
      </c>
      <c r="K2754">
        <v>4</v>
      </c>
      <c r="L2754">
        <v>3</v>
      </c>
      <c r="M2754">
        <v>16</v>
      </c>
      <c r="N2754">
        <v>144</v>
      </c>
      <c r="O2754">
        <v>8</v>
      </c>
      <c r="P2754">
        <v>0</v>
      </c>
      <c r="Q2754" t="s">
        <v>44</v>
      </c>
      <c r="R2754" t="s">
        <v>44</v>
      </c>
      <c r="S2754" t="s">
        <v>44</v>
      </c>
      <c r="T2754" t="s">
        <v>44</v>
      </c>
      <c r="U2754" t="s">
        <v>44</v>
      </c>
      <c r="V2754">
        <v>77</v>
      </c>
      <c r="W2754" t="s">
        <v>44</v>
      </c>
      <c r="X2754" t="s">
        <v>44</v>
      </c>
      <c r="Y2754">
        <v>77</v>
      </c>
      <c r="Z2754" t="s">
        <v>44</v>
      </c>
      <c r="AA2754">
        <v>1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86</v>
      </c>
      <c r="AQ2754">
        <f t="shared" si="94"/>
        <v>86</v>
      </c>
      <c r="AR2754" s="5">
        <f>VLOOKUP(F2754,'[2]SCP_24-25'!$A:$D,4,0)</f>
        <v>50.05</v>
      </c>
      <c r="AS2754" s="5">
        <f t="shared" si="93"/>
        <v>4304.3</v>
      </c>
    </row>
    <row r="2755" spans="1:45" x14ac:dyDescent="0.3">
      <c r="A2755" s="1">
        <v>45900.96597222222</v>
      </c>
      <c r="B2755" t="s">
        <v>1507</v>
      </c>
      <c r="C2755" t="s">
        <v>1508</v>
      </c>
      <c r="D2755" t="s">
        <v>554</v>
      </c>
      <c r="F2755" t="s">
        <v>1731</v>
      </c>
      <c r="G2755" t="s">
        <v>555</v>
      </c>
      <c r="H2755" t="s">
        <v>433</v>
      </c>
      <c r="I2755" t="s">
        <v>434</v>
      </c>
      <c r="J2755">
        <v>110.9</v>
      </c>
      <c r="K2755">
        <v>6</v>
      </c>
      <c r="L2755">
        <v>3.4</v>
      </c>
      <c r="M2755">
        <v>12</v>
      </c>
      <c r="N2755">
        <v>48</v>
      </c>
      <c r="O2755">
        <v>3</v>
      </c>
      <c r="P2755">
        <v>0</v>
      </c>
      <c r="Q2755" t="s">
        <v>44</v>
      </c>
      <c r="R2755" t="s">
        <v>44</v>
      </c>
      <c r="S2755" t="s">
        <v>44</v>
      </c>
      <c r="T2755" t="s">
        <v>44</v>
      </c>
      <c r="U2755" t="s">
        <v>44</v>
      </c>
      <c r="V2755">
        <v>44</v>
      </c>
      <c r="W2755" t="s">
        <v>44</v>
      </c>
      <c r="X2755" t="s">
        <v>44</v>
      </c>
      <c r="Y2755">
        <v>44</v>
      </c>
      <c r="Z2755" t="s">
        <v>44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47</v>
      </c>
      <c r="AQ2755">
        <f t="shared" si="94"/>
        <v>47</v>
      </c>
      <c r="AR2755" s="5">
        <f>VLOOKUP(F2755,'[2]SCP_24-25'!$A:$D,4,0)</f>
        <v>95.29</v>
      </c>
      <c r="AS2755" s="5">
        <f t="shared" ref="AS2755:AS2780" si="95">AQ2755*AR2755</f>
        <v>4478.63</v>
      </c>
    </row>
    <row r="2756" spans="1:45" x14ac:dyDescent="0.3">
      <c r="A2756" s="1">
        <v>45900.96597222222</v>
      </c>
      <c r="B2756" t="s">
        <v>1507</v>
      </c>
      <c r="C2756" t="s">
        <v>1508</v>
      </c>
      <c r="D2756" t="s">
        <v>556</v>
      </c>
      <c r="F2756" t="s">
        <v>1732</v>
      </c>
      <c r="G2756" t="s">
        <v>557</v>
      </c>
      <c r="H2756" t="s">
        <v>433</v>
      </c>
      <c r="I2756" t="s">
        <v>434</v>
      </c>
      <c r="J2756">
        <v>256.39999999999998</v>
      </c>
      <c r="K2756">
        <v>8</v>
      </c>
      <c r="L2756">
        <v>8</v>
      </c>
      <c r="M2756">
        <v>6.3</v>
      </c>
      <c r="N2756">
        <v>48</v>
      </c>
      <c r="O2756">
        <v>5</v>
      </c>
      <c r="P2756">
        <v>0</v>
      </c>
      <c r="Q2756" t="s">
        <v>44</v>
      </c>
      <c r="R2756" t="s">
        <v>44</v>
      </c>
      <c r="S2756" t="s">
        <v>44</v>
      </c>
      <c r="T2756" t="s">
        <v>44</v>
      </c>
      <c r="U2756" t="s">
        <v>44</v>
      </c>
      <c r="V2756">
        <v>15</v>
      </c>
      <c r="W2756" t="s">
        <v>44</v>
      </c>
      <c r="X2756" t="s">
        <v>44</v>
      </c>
      <c r="Y2756">
        <v>15</v>
      </c>
      <c r="Z2756" t="s">
        <v>44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20</v>
      </c>
      <c r="AQ2756">
        <f t="shared" si="94"/>
        <v>20</v>
      </c>
      <c r="AR2756" s="5">
        <f>VLOOKUP(F2756,'[2]SCP_24-25'!$A:$D,4,0)</f>
        <v>103.38</v>
      </c>
      <c r="AS2756" s="5">
        <f t="shared" si="95"/>
        <v>2067.6</v>
      </c>
    </row>
    <row r="2757" spans="1:45" x14ac:dyDescent="0.3">
      <c r="A2757" s="1">
        <v>45900.96597222222</v>
      </c>
      <c r="B2757" t="s">
        <v>1507</v>
      </c>
      <c r="C2757" t="s">
        <v>1508</v>
      </c>
      <c r="D2757" t="s">
        <v>762</v>
      </c>
      <c r="F2757" t="s">
        <v>1834</v>
      </c>
      <c r="G2757" t="s">
        <v>763</v>
      </c>
      <c r="H2757" t="s">
        <v>433</v>
      </c>
      <c r="I2757" t="s">
        <v>434</v>
      </c>
      <c r="J2757">
        <v>58</v>
      </c>
      <c r="K2757">
        <v>3.5</v>
      </c>
      <c r="L2757">
        <v>12.4</v>
      </c>
      <c r="M2757">
        <v>3.5</v>
      </c>
      <c r="N2757">
        <v>72</v>
      </c>
      <c r="O2757">
        <v>1</v>
      </c>
      <c r="P2757">
        <v>0</v>
      </c>
      <c r="Q2757" t="s">
        <v>44</v>
      </c>
      <c r="R2757" t="s">
        <v>44</v>
      </c>
      <c r="S2757" t="s">
        <v>44</v>
      </c>
      <c r="T2757" t="s">
        <v>44</v>
      </c>
      <c r="U2757" t="s">
        <v>44</v>
      </c>
      <c r="V2757">
        <v>68</v>
      </c>
      <c r="W2757" t="s">
        <v>44</v>
      </c>
      <c r="X2757" t="s">
        <v>44</v>
      </c>
      <c r="Y2757">
        <v>68</v>
      </c>
      <c r="Z2757" t="s">
        <v>44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69</v>
      </c>
      <c r="AQ2757">
        <f t="shared" si="94"/>
        <v>69</v>
      </c>
      <c r="AR2757" s="5">
        <f>VLOOKUP(F2757,'[2]SCP_24-25'!$A:$D,4,0)</f>
        <v>83.6</v>
      </c>
      <c r="AS2757" s="5">
        <f t="shared" si="95"/>
        <v>5768.4</v>
      </c>
    </row>
    <row r="2758" spans="1:45" x14ac:dyDescent="0.3">
      <c r="A2758" s="1">
        <v>45900.96597222222</v>
      </c>
      <c r="B2758" t="s">
        <v>1507</v>
      </c>
      <c r="C2758" t="s">
        <v>1508</v>
      </c>
      <c r="D2758" t="s">
        <v>479</v>
      </c>
      <c r="F2758" t="s">
        <v>1694</v>
      </c>
      <c r="G2758" t="s">
        <v>480</v>
      </c>
      <c r="H2758" t="s">
        <v>433</v>
      </c>
      <c r="I2758" t="s">
        <v>434</v>
      </c>
      <c r="N2758">
        <v>48</v>
      </c>
      <c r="O2758">
        <v>1</v>
      </c>
      <c r="P2758">
        <v>0</v>
      </c>
      <c r="Q2758" t="s">
        <v>44</v>
      </c>
      <c r="R2758" t="s">
        <v>44</v>
      </c>
      <c r="S2758" t="s">
        <v>44</v>
      </c>
      <c r="T2758" t="s">
        <v>44</v>
      </c>
      <c r="U2758" t="s">
        <v>44</v>
      </c>
      <c r="V2758">
        <v>38</v>
      </c>
      <c r="W2758" t="s">
        <v>44</v>
      </c>
      <c r="X2758" t="s">
        <v>44</v>
      </c>
      <c r="Y2758">
        <v>38</v>
      </c>
      <c r="Z2758" t="s">
        <v>44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39</v>
      </c>
      <c r="AQ2758">
        <f t="shared" si="94"/>
        <v>39</v>
      </c>
      <c r="AR2758" s="5">
        <f>VLOOKUP(F2758,'[2]SCP_24-25'!$A:$D,4,0)</f>
        <v>89.7</v>
      </c>
      <c r="AS2758" s="5">
        <f t="shared" si="95"/>
        <v>3498.3</v>
      </c>
    </row>
    <row r="2759" spans="1:45" x14ac:dyDescent="0.3">
      <c r="A2759" s="1">
        <v>45900.96597222222</v>
      </c>
      <c r="B2759" t="s">
        <v>1507</v>
      </c>
      <c r="C2759" t="s">
        <v>1508</v>
      </c>
      <c r="D2759" t="s">
        <v>511</v>
      </c>
      <c r="F2759" t="s">
        <v>1710</v>
      </c>
      <c r="G2759" t="s">
        <v>512</v>
      </c>
      <c r="H2759" t="s">
        <v>433</v>
      </c>
      <c r="I2759" t="s">
        <v>434</v>
      </c>
      <c r="J2759">
        <v>110.9</v>
      </c>
      <c r="K2759">
        <v>6</v>
      </c>
      <c r="L2759">
        <v>3.4</v>
      </c>
      <c r="M2759">
        <v>11</v>
      </c>
      <c r="N2759">
        <v>288</v>
      </c>
      <c r="O2759">
        <v>33</v>
      </c>
      <c r="P2759">
        <v>0</v>
      </c>
      <c r="Q2759" t="s">
        <v>44</v>
      </c>
      <c r="R2759" t="s">
        <v>44</v>
      </c>
      <c r="S2759" t="s">
        <v>44</v>
      </c>
      <c r="T2759" t="s">
        <v>44</v>
      </c>
      <c r="U2759" t="s">
        <v>44</v>
      </c>
      <c r="V2759">
        <v>97</v>
      </c>
      <c r="W2759" t="s">
        <v>44</v>
      </c>
      <c r="X2759" t="s">
        <v>44</v>
      </c>
      <c r="Y2759">
        <v>97</v>
      </c>
      <c r="Z2759" t="s">
        <v>44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130</v>
      </c>
      <c r="AQ2759">
        <f t="shared" si="94"/>
        <v>130</v>
      </c>
      <c r="AR2759" s="5">
        <f>VLOOKUP(F2759,'[2]SCP_24-25'!$A:$D,4,0)</f>
        <v>87.7</v>
      </c>
      <c r="AS2759" s="5">
        <f t="shared" si="95"/>
        <v>11401</v>
      </c>
    </row>
    <row r="2760" spans="1:45" x14ac:dyDescent="0.3">
      <c r="A2760" s="1">
        <v>45900.96597222222</v>
      </c>
      <c r="B2760" t="s">
        <v>1507</v>
      </c>
      <c r="C2760" t="s">
        <v>1508</v>
      </c>
      <c r="D2760" t="s">
        <v>477</v>
      </c>
      <c r="F2760" t="s">
        <v>1693</v>
      </c>
      <c r="G2760" t="s">
        <v>478</v>
      </c>
      <c r="H2760" t="s">
        <v>433</v>
      </c>
      <c r="I2760" t="s">
        <v>434</v>
      </c>
      <c r="J2760">
        <v>110</v>
      </c>
      <c r="K2760">
        <v>6</v>
      </c>
      <c r="L2760">
        <v>3.4</v>
      </c>
      <c r="M2760">
        <v>11</v>
      </c>
      <c r="N2760">
        <v>48</v>
      </c>
      <c r="O2760">
        <v>4</v>
      </c>
      <c r="P2760">
        <v>0</v>
      </c>
      <c r="Q2760" t="s">
        <v>44</v>
      </c>
      <c r="R2760" t="s">
        <v>44</v>
      </c>
      <c r="S2760" t="s">
        <v>44</v>
      </c>
      <c r="T2760" t="s">
        <v>44</v>
      </c>
      <c r="U2760" t="s">
        <v>44</v>
      </c>
      <c r="V2760">
        <v>0</v>
      </c>
      <c r="W2760" t="s">
        <v>44</v>
      </c>
      <c r="X2760" t="s">
        <v>44</v>
      </c>
      <c r="Y2760" t="s">
        <v>44</v>
      </c>
      <c r="Z2760" t="s">
        <v>44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4</v>
      </c>
      <c r="AQ2760">
        <f t="shared" ref="AQ2760:AQ2780" si="96">O2760+P2760+V2760+AA2760</f>
        <v>4</v>
      </c>
      <c r="AR2760" s="5">
        <f>VLOOKUP(F2760,'[2]SCP_24-25'!$A:$D,4,0)</f>
        <v>86.13</v>
      </c>
      <c r="AS2760" s="5">
        <f t="shared" si="95"/>
        <v>344.52</v>
      </c>
    </row>
    <row r="2761" spans="1:45" x14ac:dyDescent="0.3">
      <c r="A2761" s="1">
        <v>45900.96597222222</v>
      </c>
      <c r="B2761" t="s">
        <v>1509</v>
      </c>
      <c r="C2761" t="s">
        <v>1510</v>
      </c>
      <c r="D2761" t="s">
        <v>554</v>
      </c>
      <c r="F2761" t="s">
        <v>1731</v>
      </c>
      <c r="G2761" t="s">
        <v>555</v>
      </c>
      <c r="H2761" t="s">
        <v>433</v>
      </c>
      <c r="I2761" t="s">
        <v>434</v>
      </c>
      <c r="J2761">
        <v>110.9</v>
      </c>
      <c r="K2761">
        <v>6</v>
      </c>
      <c r="L2761">
        <v>3.4</v>
      </c>
      <c r="M2761">
        <v>12</v>
      </c>
      <c r="N2761">
        <v>48</v>
      </c>
      <c r="O2761">
        <v>0</v>
      </c>
      <c r="P2761">
        <v>0</v>
      </c>
      <c r="Q2761" t="s">
        <v>44</v>
      </c>
      <c r="R2761" t="s">
        <v>44</v>
      </c>
      <c r="S2761" t="s">
        <v>44</v>
      </c>
      <c r="T2761" t="s">
        <v>44</v>
      </c>
      <c r="U2761" t="s">
        <v>44</v>
      </c>
      <c r="V2761">
        <v>48</v>
      </c>
      <c r="W2761" t="s">
        <v>44</v>
      </c>
      <c r="X2761" t="s">
        <v>44</v>
      </c>
      <c r="Y2761">
        <v>48</v>
      </c>
      <c r="Z2761" t="s">
        <v>44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48</v>
      </c>
      <c r="AQ2761">
        <f t="shared" si="96"/>
        <v>48</v>
      </c>
      <c r="AR2761" s="5">
        <f>VLOOKUP(F2761,'[2]SCP_24-25'!$A:$D,4,0)</f>
        <v>95.29</v>
      </c>
      <c r="AS2761" s="5">
        <f t="shared" si="95"/>
        <v>4573.92</v>
      </c>
    </row>
    <row r="2762" spans="1:45" x14ac:dyDescent="0.3">
      <c r="A2762" s="1">
        <v>45900.96597222222</v>
      </c>
      <c r="B2762" t="s">
        <v>1509</v>
      </c>
      <c r="C2762" t="s">
        <v>1510</v>
      </c>
      <c r="D2762" t="s">
        <v>556</v>
      </c>
      <c r="F2762" t="s">
        <v>1732</v>
      </c>
      <c r="G2762" t="s">
        <v>557</v>
      </c>
      <c r="H2762" t="s">
        <v>433</v>
      </c>
      <c r="I2762" t="s">
        <v>434</v>
      </c>
      <c r="J2762">
        <v>256.39999999999998</v>
      </c>
      <c r="K2762">
        <v>8</v>
      </c>
      <c r="L2762">
        <v>8</v>
      </c>
      <c r="M2762">
        <v>6.3</v>
      </c>
      <c r="N2762">
        <v>48</v>
      </c>
      <c r="O2762">
        <v>0</v>
      </c>
      <c r="P2762">
        <v>0</v>
      </c>
      <c r="Q2762" t="s">
        <v>44</v>
      </c>
      <c r="R2762" t="s">
        <v>44</v>
      </c>
      <c r="S2762" t="s">
        <v>44</v>
      </c>
      <c r="T2762" t="s">
        <v>44</v>
      </c>
      <c r="U2762" t="s">
        <v>44</v>
      </c>
      <c r="V2762">
        <v>48</v>
      </c>
      <c r="W2762" t="s">
        <v>44</v>
      </c>
      <c r="X2762" t="s">
        <v>44</v>
      </c>
      <c r="Y2762">
        <v>48</v>
      </c>
      <c r="Z2762" t="s">
        <v>44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48</v>
      </c>
      <c r="AQ2762">
        <f t="shared" si="96"/>
        <v>48</v>
      </c>
      <c r="AR2762" s="5">
        <f>VLOOKUP(F2762,'[2]SCP_24-25'!$A:$D,4,0)</f>
        <v>103.38</v>
      </c>
      <c r="AS2762" s="5">
        <f t="shared" si="95"/>
        <v>4962.24</v>
      </c>
    </row>
    <row r="2763" spans="1:45" x14ac:dyDescent="0.3">
      <c r="A2763" s="1">
        <v>45900.96597222222</v>
      </c>
      <c r="B2763" t="s">
        <v>1509</v>
      </c>
      <c r="C2763" t="s">
        <v>1510</v>
      </c>
      <c r="D2763" t="s">
        <v>477</v>
      </c>
      <c r="F2763" t="s">
        <v>1693</v>
      </c>
      <c r="G2763" t="s">
        <v>478</v>
      </c>
      <c r="H2763" t="s">
        <v>433</v>
      </c>
      <c r="I2763" t="s">
        <v>434</v>
      </c>
      <c r="J2763">
        <v>110</v>
      </c>
      <c r="K2763">
        <v>6</v>
      </c>
      <c r="L2763">
        <v>3.4</v>
      </c>
      <c r="M2763">
        <v>11</v>
      </c>
      <c r="N2763">
        <v>96</v>
      </c>
      <c r="O2763">
        <v>0</v>
      </c>
      <c r="P2763">
        <v>0</v>
      </c>
      <c r="Q2763" t="s">
        <v>44</v>
      </c>
      <c r="R2763" t="s">
        <v>44</v>
      </c>
      <c r="S2763" t="s">
        <v>44</v>
      </c>
      <c r="T2763" t="s">
        <v>44</v>
      </c>
      <c r="U2763" t="s">
        <v>44</v>
      </c>
      <c r="V2763">
        <v>96</v>
      </c>
      <c r="W2763" t="s">
        <v>44</v>
      </c>
      <c r="X2763" t="s">
        <v>44</v>
      </c>
      <c r="Y2763">
        <v>96</v>
      </c>
      <c r="Z2763" t="s">
        <v>44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96</v>
      </c>
      <c r="AQ2763">
        <f t="shared" si="96"/>
        <v>96</v>
      </c>
      <c r="AR2763" s="5">
        <f>VLOOKUP(F2763,'[2]SCP_24-25'!$A:$D,4,0)</f>
        <v>86.13</v>
      </c>
      <c r="AS2763" s="5">
        <f t="shared" si="95"/>
        <v>8268.48</v>
      </c>
    </row>
    <row r="2764" spans="1:45" x14ac:dyDescent="0.3">
      <c r="A2764" s="1">
        <v>45900.96597222222</v>
      </c>
      <c r="B2764" t="s">
        <v>1509</v>
      </c>
      <c r="C2764" t="s">
        <v>1510</v>
      </c>
      <c r="D2764" t="s">
        <v>479</v>
      </c>
      <c r="F2764" t="s">
        <v>1694</v>
      </c>
      <c r="G2764" t="s">
        <v>480</v>
      </c>
      <c r="H2764" t="s">
        <v>433</v>
      </c>
      <c r="I2764" t="s">
        <v>434</v>
      </c>
      <c r="N2764">
        <v>48</v>
      </c>
      <c r="O2764">
        <v>0</v>
      </c>
      <c r="P2764">
        <v>0</v>
      </c>
      <c r="Q2764" t="s">
        <v>44</v>
      </c>
      <c r="R2764" t="s">
        <v>44</v>
      </c>
      <c r="S2764" t="s">
        <v>44</v>
      </c>
      <c r="T2764" t="s">
        <v>44</v>
      </c>
      <c r="U2764" t="s">
        <v>44</v>
      </c>
      <c r="V2764">
        <v>48</v>
      </c>
      <c r="W2764" t="s">
        <v>44</v>
      </c>
      <c r="X2764" t="s">
        <v>44</v>
      </c>
      <c r="Y2764">
        <v>48</v>
      </c>
      <c r="Z2764" t="s">
        <v>44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48</v>
      </c>
      <c r="AQ2764">
        <f t="shared" si="96"/>
        <v>48</v>
      </c>
      <c r="AR2764" s="5">
        <f>VLOOKUP(F2764,'[2]SCP_24-25'!$A:$D,4,0)</f>
        <v>89.7</v>
      </c>
      <c r="AS2764" s="5">
        <f t="shared" si="95"/>
        <v>4305.6000000000004</v>
      </c>
    </row>
    <row r="2765" spans="1:45" x14ac:dyDescent="0.3">
      <c r="A2765" s="1">
        <v>45900.96597222222</v>
      </c>
      <c r="B2765" t="s">
        <v>1509</v>
      </c>
      <c r="C2765" t="s">
        <v>1510</v>
      </c>
      <c r="D2765" t="s">
        <v>431</v>
      </c>
      <c r="F2765" t="s">
        <v>1672</v>
      </c>
      <c r="G2765" t="s">
        <v>432</v>
      </c>
      <c r="H2765" t="s">
        <v>433</v>
      </c>
      <c r="I2765" t="s">
        <v>434</v>
      </c>
      <c r="J2765">
        <v>110.3</v>
      </c>
      <c r="K2765">
        <v>6</v>
      </c>
      <c r="L2765">
        <v>3.4</v>
      </c>
      <c r="M2765">
        <v>12</v>
      </c>
      <c r="N2765">
        <v>240</v>
      </c>
      <c r="O2765">
        <v>0</v>
      </c>
      <c r="P2765">
        <v>0</v>
      </c>
      <c r="Q2765" t="s">
        <v>44</v>
      </c>
      <c r="R2765" t="s">
        <v>44</v>
      </c>
      <c r="S2765" t="s">
        <v>44</v>
      </c>
      <c r="T2765" t="s">
        <v>44</v>
      </c>
      <c r="U2765" t="s">
        <v>44</v>
      </c>
      <c r="V2765">
        <v>240</v>
      </c>
      <c r="W2765" t="s">
        <v>44</v>
      </c>
      <c r="X2765" t="s">
        <v>44</v>
      </c>
      <c r="Y2765">
        <v>240</v>
      </c>
      <c r="Z2765" t="s">
        <v>44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240</v>
      </c>
      <c r="AQ2765">
        <f t="shared" si="96"/>
        <v>240</v>
      </c>
      <c r="AR2765" s="5">
        <f>VLOOKUP(F2765,'[2]SCP_24-25'!$A:$D,4,0)</f>
        <v>117.33</v>
      </c>
      <c r="AS2765" s="5">
        <f t="shared" si="95"/>
        <v>28159.200000000001</v>
      </c>
    </row>
    <row r="2766" spans="1:45" x14ac:dyDescent="0.3">
      <c r="A2766" s="1">
        <v>45900.96597222222</v>
      </c>
      <c r="B2766" t="s">
        <v>1509</v>
      </c>
      <c r="C2766" t="s">
        <v>1510</v>
      </c>
      <c r="D2766" t="s">
        <v>552</v>
      </c>
      <c r="F2766" t="s">
        <v>1730</v>
      </c>
      <c r="G2766" t="s">
        <v>553</v>
      </c>
      <c r="H2766" t="s">
        <v>433</v>
      </c>
      <c r="I2766" t="s">
        <v>434</v>
      </c>
      <c r="J2766">
        <v>255</v>
      </c>
      <c r="K2766">
        <v>8</v>
      </c>
      <c r="L2766">
        <v>8</v>
      </c>
      <c r="M2766">
        <v>6.3</v>
      </c>
      <c r="N2766">
        <v>144</v>
      </c>
      <c r="O2766">
        <v>0</v>
      </c>
      <c r="P2766">
        <v>0</v>
      </c>
      <c r="Q2766" t="s">
        <v>44</v>
      </c>
      <c r="R2766" t="s">
        <v>44</v>
      </c>
      <c r="S2766" t="s">
        <v>44</v>
      </c>
      <c r="T2766" t="s">
        <v>44</v>
      </c>
      <c r="U2766" t="s">
        <v>44</v>
      </c>
      <c r="V2766">
        <v>144</v>
      </c>
      <c r="W2766" t="s">
        <v>44</v>
      </c>
      <c r="X2766" t="s">
        <v>44</v>
      </c>
      <c r="Y2766">
        <v>144</v>
      </c>
      <c r="Z2766" t="s">
        <v>44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144</v>
      </c>
      <c r="AQ2766">
        <f t="shared" si="96"/>
        <v>144</v>
      </c>
      <c r="AR2766" s="5">
        <f>VLOOKUP(F2766,'[2]SCP_24-25'!$A:$D,4,0)</f>
        <v>99.01</v>
      </c>
      <c r="AS2766" s="5">
        <f t="shared" si="95"/>
        <v>14257.44</v>
      </c>
    </row>
    <row r="2767" spans="1:45" x14ac:dyDescent="0.3">
      <c r="A2767" s="1">
        <v>45900.96597222222</v>
      </c>
      <c r="B2767" t="s">
        <v>1509</v>
      </c>
      <c r="C2767" t="s">
        <v>1510</v>
      </c>
      <c r="D2767" t="s">
        <v>1266</v>
      </c>
      <c r="F2767" t="s">
        <v>2085</v>
      </c>
      <c r="G2767" t="s">
        <v>1267</v>
      </c>
      <c r="H2767" t="s">
        <v>433</v>
      </c>
      <c r="I2767" t="s">
        <v>434</v>
      </c>
      <c r="J2767">
        <v>131</v>
      </c>
      <c r="K2767">
        <v>4</v>
      </c>
      <c r="L2767">
        <v>3</v>
      </c>
      <c r="M2767">
        <v>16</v>
      </c>
      <c r="N2767">
        <v>144</v>
      </c>
      <c r="O2767">
        <v>0</v>
      </c>
      <c r="P2767">
        <v>0</v>
      </c>
      <c r="Q2767" t="s">
        <v>44</v>
      </c>
      <c r="R2767" t="s">
        <v>44</v>
      </c>
      <c r="S2767" t="s">
        <v>44</v>
      </c>
      <c r="T2767" t="s">
        <v>44</v>
      </c>
      <c r="U2767" t="s">
        <v>44</v>
      </c>
      <c r="V2767">
        <v>144</v>
      </c>
      <c r="W2767" t="s">
        <v>44</v>
      </c>
      <c r="X2767" t="s">
        <v>44</v>
      </c>
      <c r="Y2767">
        <v>144</v>
      </c>
      <c r="Z2767" t="s">
        <v>44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144</v>
      </c>
      <c r="AQ2767">
        <f t="shared" si="96"/>
        <v>144</v>
      </c>
      <c r="AR2767" s="5">
        <f>VLOOKUP(F2767,'[2]SCP_24-25'!$A:$D,4,0)</f>
        <v>50.05</v>
      </c>
      <c r="AS2767" s="5">
        <f t="shared" si="95"/>
        <v>7207.2</v>
      </c>
    </row>
    <row r="2768" spans="1:45" x14ac:dyDescent="0.3">
      <c r="A2768" s="1">
        <v>45900.96597222222</v>
      </c>
      <c r="B2768" t="s">
        <v>1509</v>
      </c>
      <c r="C2768" t="s">
        <v>1510</v>
      </c>
      <c r="D2768" t="s">
        <v>435</v>
      </c>
      <c r="F2768" t="s">
        <v>1673</v>
      </c>
      <c r="G2768" t="s">
        <v>436</v>
      </c>
      <c r="H2768" t="s">
        <v>433</v>
      </c>
      <c r="I2768" t="s">
        <v>434</v>
      </c>
      <c r="J2768">
        <v>110.9</v>
      </c>
      <c r="K2768">
        <v>6</v>
      </c>
      <c r="L2768">
        <v>3.4</v>
      </c>
      <c r="M2768">
        <v>12</v>
      </c>
      <c r="N2768">
        <v>528</v>
      </c>
      <c r="O2768">
        <v>0</v>
      </c>
      <c r="P2768">
        <v>0</v>
      </c>
      <c r="Q2768" t="s">
        <v>44</v>
      </c>
      <c r="R2768" t="s">
        <v>44</v>
      </c>
      <c r="S2768" t="s">
        <v>44</v>
      </c>
      <c r="T2768" t="s">
        <v>44</v>
      </c>
      <c r="U2768" t="s">
        <v>44</v>
      </c>
      <c r="V2768">
        <v>528</v>
      </c>
      <c r="W2768" t="s">
        <v>44</v>
      </c>
      <c r="X2768" t="s">
        <v>44</v>
      </c>
      <c r="Y2768">
        <v>528</v>
      </c>
      <c r="Z2768" t="s">
        <v>44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528</v>
      </c>
      <c r="AQ2768">
        <f t="shared" si="96"/>
        <v>528</v>
      </c>
      <c r="AR2768" s="5">
        <f>VLOOKUP(F2768,'[2]SCP_24-25'!$A:$D,4,0)</f>
        <v>91.53</v>
      </c>
      <c r="AS2768" s="5">
        <f t="shared" si="95"/>
        <v>48327.840000000004</v>
      </c>
    </row>
    <row r="2769" spans="1:45" x14ac:dyDescent="0.3">
      <c r="A2769" s="1">
        <v>45900.96597222222</v>
      </c>
      <c r="B2769" t="s">
        <v>1509</v>
      </c>
      <c r="C2769" t="s">
        <v>1510</v>
      </c>
      <c r="D2769" t="s">
        <v>762</v>
      </c>
      <c r="F2769" t="s">
        <v>1834</v>
      </c>
      <c r="G2769" t="s">
        <v>763</v>
      </c>
      <c r="H2769" t="s">
        <v>433</v>
      </c>
      <c r="I2769" t="s">
        <v>434</v>
      </c>
      <c r="J2769">
        <v>58</v>
      </c>
      <c r="K2769">
        <v>3.5</v>
      </c>
      <c r="L2769">
        <v>12.4</v>
      </c>
      <c r="M2769">
        <v>3.5</v>
      </c>
      <c r="N2769">
        <v>144</v>
      </c>
      <c r="O2769">
        <v>0</v>
      </c>
      <c r="P2769">
        <v>0</v>
      </c>
      <c r="Q2769" t="s">
        <v>44</v>
      </c>
      <c r="R2769" t="s">
        <v>44</v>
      </c>
      <c r="S2769" t="s">
        <v>44</v>
      </c>
      <c r="T2769" t="s">
        <v>44</v>
      </c>
      <c r="U2769" t="s">
        <v>44</v>
      </c>
      <c r="V2769">
        <v>144</v>
      </c>
      <c r="W2769" t="s">
        <v>44</v>
      </c>
      <c r="X2769" t="s">
        <v>44</v>
      </c>
      <c r="Y2769">
        <v>144</v>
      </c>
      <c r="Z2769" t="s">
        <v>44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144</v>
      </c>
      <c r="AQ2769">
        <f t="shared" si="96"/>
        <v>144</v>
      </c>
      <c r="AR2769" s="5">
        <f>VLOOKUP(F2769,'[2]SCP_24-25'!$A:$D,4,0)</f>
        <v>83.6</v>
      </c>
      <c r="AS2769" s="5">
        <f t="shared" si="95"/>
        <v>12038.4</v>
      </c>
    </row>
    <row r="2770" spans="1:45" x14ac:dyDescent="0.3">
      <c r="A2770" s="1">
        <v>45900.96597222222</v>
      </c>
      <c r="B2770" t="s">
        <v>1509</v>
      </c>
      <c r="C2770" t="s">
        <v>1510</v>
      </c>
      <c r="D2770" t="s">
        <v>511</v>
      </c>
      <c r="F2770" t="s">
        <v>1710</v>
      </c>
      <c r="G2770" t="s">
        <v>512</v>
      </c>
      <c r="H2770" t="s">
        <v>433</v>
      </c>
      <c r="I2770" t="s">
        <v>434</v>
      </c>
      <c r="J2770">
        <v>110.9</v>
      </c>
      <c r="K2770">
        <v>6</v>
      </c>
      <c r="L2770">
        <v>3.4</v>
      </c>
      <c r="M2770">
        <v>11</v>
      </c>
      <c r="N2770">
        <v>432</v>
      </c>
      <c r="O2770">
        <v>0</v>
      </c>
      <c r="P2770">
        <v>0</v>
      </c>
      <c r="Q2770" t="s">
        <v>44</v>
      </c>
      <c r="R2770" t="s">
        <v>44</v>
      </c>
      <c r="S2770" t="s">
        <v>44</v>
      </c>
      <c r="T2770" t="s">
        <v>44</v>
      </c>
      <c r="U2770" t="s">
        <v>44</v>
      </c>
      <c r="V2770">
        <v>432</v>
      </c>
      <c r="W2770" t="s">
        <v>44</v>
      </c>
      <c r="X2770" t="s">
        <v>44</v>
      </c>
      <c r="Y2770">
        <v>432</v>
      </c>
      <c r="Z2770" t="s">
        <v>44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432</v>
      </c>
      <c r="AQ2770">
        <f t="shared" si="96"/>
        <v>432</v>
      </c>
      <c r="AR2770" s="5">
        <f>VLOOKUP(F2770,'[2]SCP_24-25'!$A:$D,4,0)</f>
        <v>87.7</v>
      </c>
      <c r="AS2770" s="5">
        <f t="shared" si="95"/>
        <v>37886.400000000001</v>
      </c>
    </row>
    <row r="2771" spans="1:45" x14ac:dyDescent="0.3">
      <c r="A2771" s="1">
        <v>45900.96597222222</v>
      </c>
      <c r="B2771" t="s">
        <v>1511</v>
      </c>
      <c r="C2771" t="s">
        <v>1512</v>
      </c>
      <c r="D2771" t="s">
        <v>552</v>
      </c>
      <c r="F2771" t="s">
        <v>1730</v>
      </c>
      <c r="G2771" t="s">
        <v>553</v>
      </c>
      <c r="H2771" t="s">
        <v>433</v>
      </c>
      <c r="I2771" t="s">
        <v>434</v>
      </c>
      <c r="J2771">
        <v>255</v>
      </c>
      <c r="K2771">
        <v>8</v>
      </c>
      <c r="L2771">
        <v>8</v>
      </c>
      <c r="M2771">
        <v>6.3</v>
      </c>
      <c r="N2771">
        <v>96</v>
      </c>
      <c r="O2771">
        <v>5</v>
      </c>
      <c r="P2771">
        <v>0</v>
      </c>
      <c r="Q2771" t="s">
        <v>44</v>
      </c>
      <c r="R2771" t="s">
        <v>44</v>
      </c>
      <c r="S2771" t="s">
        <v>44</v>
      </c>
      <c r="T2771" t="s">
        <v>44</v>
      </c>
      <c r="U2771" t="s">
        <v>44</v>
      </c>
      <c r="V2771">
        <v>78</v>
      </c>
      <c r="W2771" t="s">
        <v>44</v>
      </c>
      <c r="X2771" t="s">
        <v>44</v>
      </c>
      <c r="Y2771">
        <v>78</v>
      </c>
      <c r="Z2771" t="s">
        <v>44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83</v>
      </c>
      <c r="AQ2771">
        <f t="shared" si="96"/>
        <v>83</v>
      </c>
      <c r="AR2771" s="5">
        <f>VLOOKUP(F2771,'[2]SCP_24-25'!$A:$D,4,0)</f>
        <v>99.01</v>
      </c>
      <c r="AS2771" s="5">
        <f t="shared" si="95"/>
        <v>8217.83</v>
      </c>
    </row>
    <row r="2772" spans="1:45" x14ac:dyDescent="0.3">
      <c r="A2772" s="1">
        <v>45900.96597222222</v>
      </c>
      <c r="B2772" t="s">
        <v>1511</v>
      </c>
      <c r="C2772" t="s">
        <v>1512</v>
      </c>
      <c r="D2772" t="s">
        <v>554</v>
      </c>
      <c r="F2772" t="s">
        <v>1731</v>
      </c>
      <c r="G2772" t="s">
        <v>555</v>
      </c>
      <c r="H2772" t="s">
        <v>433</v>
      </c>
      <c r="I2772" t="s">
        <v>434</v>
      </c>
      <c r="J2772">
        <v>110.9</v>
      </c>
      <c r="K2772">
        <v>6</v>
      </c>
      <c r="L2772">
        <v>3.4</v>
      </c>
      <c r="M2772">
        <v>12</v>
      </c>
      <c r="N2772">
        <v>48</v>
      </c>
      <c r="O2772">
        <v>0</v>
      </c>
      <c r="P2772">
        <v>0</v>
      </c>
      <c r="Q2772" t="s">
        <v>44</v>
      </c>
      <c r="R2772" t="s">
        <v>44</v>
      </c>
      <c r="S2772" t="s">
        <v>44</v>
      </c>
      <c r="T2772" t="s">
        <v>44</v>
      </c>
      <c r="U2772" t="s">
        <v>44</v>
      </c>
      <c r="V2772">
        <v>46</v>
      </c>
      <c r="W2772" t="s">
        <v>44</v>
      </c>
      <c r="X2772" t="s">
        <v>44</v>
      </c>
      <c r="Y2772">
        <v>46</v>
      </c>
      <c r="Z2772" t="s">
        <v>44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46</v>
      </c>
      <c r="AQ2772">
        <f t="shared" si="96"/>
        <v>46</v>
      </c>
      <c r="AR2772" s="5">
        <f>VLOOKUP(F2772,'[2]SCP_24-25'!$A:$D,4,0)</f>
        <v>95.29</v>
      </c>
      <c r="AS2772" s="5">
        <f t="shared" si="95"/>
        <v>4383.34</v>
      </c>
    </row>
    <row r="2773" spans="1:45" x14ac:dyDescent="0.3">
      <c r="A2773" s="1">
        <v>45900.96597222222</v>
      </c>
      <c r="B2773" t="s">
        <v>1511</v>
      </c>
      <c r="C2773" t="s">
        <v>1512</v>
      </c>
      <c r="D2773" t="s">
        <v>556</v>
      </c>
      <c r="F2773" t="s">
        <v>1732</v>
      </c>
      <c r="G2773" t="s">
        <v>557</v>
      </c>
      <c r="H2773" t="s">
        <v>433</v>
      </c>
      <c r="I2773" t="s">
        <v>434</v>
      </c>
      <c r="J2773">
        <v>256.39999999999998</v>
      </c>
      <c r="K2773">
        <v>8</v>
      </c>
      <c r="L2773">
        <v>8</v>
      </c>
      <c r="M2773">
        <v>6.3</v>
      </c>
      <c r="N2773">
        <v>48</v>
      </c>
      <c r="O2773">
        <v>2</v>
      </c>
      <c r="P2773">
        <v>0</v>
      </c>
      <c r="Q2773" t="s">
        <v>44</v>
      </c>
      <c r="R2773" t="s">
        <v>44</v>
      </c>
      <c r="S2773" t="s">
        <v>44</v>
      </c>
      <c r="T2773" t="s">
        <v>44</v>
      </c>
      <c r="U2773" t="s">
        <v>44</v>
      </c>
      <c r="V2773">
        <v>34</v>
      </c>
      <c r="W2773" t="s">
        <v>44</v>
      </c>
      <c r="X2773" t="s">
        <v>44</v>
      </c>
      <c r="Y2773">
        <v>34</v>
      </c>
      <c r="Z2773" t="s">
        <v>44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36</v>
      </c>
      <c r="AQ2773">
        <f t="shared" si="96"/>
        <v>36</v>
      </c>
      <c r="AR2773" s="5">
        <f>VLOOKUP(F2773,'[2]SCP_24-25'!$A:$D,4,0)</f>
        <v>103.38</v>
      </c>
      <c r="AS2773" s="5">
        <f t="shared" si="95"/>
        <v>3721.68</v>
      </c>
    </row>
    <row r="2774" spans="1:45" x14ac:dyDescent="0.3">
      <c r="A2774" s="1">
        <v>45900.96597222222</v>
      </c>
      <c r="B2774" t="s">
        <v>1511</v>
      </c>
      <c r="C2774" t="s">
        <v>1512</v>
      </c>
      <c r="D2774" t="s">
        <v>477</v>
      </c>
      <c r="F2774" t="s">
        <v>1693</v>
      </c>
      <c r="G2774" t="s">
        <v>478</v>
      </c>
      <c r="H2774" t="s">
        <v>433</v>
      </c>
      <c r="I2774" t="s">
        <v>434</v>
      </c>
      <c r="J2774">
        <v>110</v>
      </c>
      <c r="K2774">
        <v>6</v>
      </c>
      <c r="L2774">
        <v>3.4</v>
      </c>
      <c r="M2774">
        <v>11</v>
      </c>
      <c r="N2774">
        <v>96</v>
      </c>
      <c r="O2774">
        <v>8</v>
      </c>
      <c r="P2774">
        <v>0</v>
      </c>
      <c r="Q2774" t="s">
        <v>44</v>
      </c>
      <c r="R2774" t="s">
        <v>44</v>
      </c>
      <c r="S2774" t="s">
        <v>44</v>
      </c>
      <c r="T2774" t="s">
        <v>44</v>
      </c>
      <c r="U2774" t="s">
        <v>44</v>
      </c>
      <c r="V2774">
        <v>68</v>
      </c>
      <c r="W2774" t="s">
        <v>44</v>
      </c>
      <c r="X2774" t="s">
        <v>44</v>
      </c>
      <c r="Y2774">
        <v>68</v>
      </c>
      <c r="Z2774" t="s">
        <v>44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76</v>
      </c>
      <c r="AQ2774">
        <f t="shared" si="96"/>
        <v>76</v>
      </c>
      <c r="AR2774" s="5">
        <f>VLOOKUP(F2774,'[2]SCP_24-25'!$A:$D,4,0)</f>
        <v>86.13</v>
      </c>
      <c r="AS2774" s="5">
        <f t="shared" si="95"/>
        <v>6545.8799999999992</v>
      </c>
    </row>
    <row r="2775" spans="1:45" x14ac:dyDescent="0.3">
      <c r="A2775" s="1">
        <v>45900.96597222222</v>
      </c>
      <c r="B2775" t="s">
        <v>1511</v>
      </c>
      <c r="C2775" t="s">
        <v>1512</v>
      </c>
      <c r="D2775" t="s">
        <v>762</v>
      </c>
      <c r="F2775" t="s">
        <v>1834</v>
      </c>
      <c r="G2775" t="s">
        <v>763</v>
      </c>
      <c r="H2775" t="s">
        <v>433</v>
      </c>
      <c r="I2775" t="s">
        <v>434</v>
      </c>
      <c r="J2775">
        <v>58</v>
      </c>
      <c r="K2775">
        <v>3.5</v>
      </c>
      <c r="L2775">
        <v>12.4</v>
      </c>
      <c r="M2775">
        <v>3.5</v>
      </c>
      <c r="N2775">
        <v>72</v>
      </c>
      <c r="O2775">
        <v>0</v>
      </c>
      <c r="P2775">
        <v>0</v>
      </c>
      <c r="Q2775" t="s">
        <v>44</v>
      </c>
      <c r="R2775" t="s">
        <v>44</v>
      </c>
      <c r="S2775" t="s">
        <v>44</v>
      </c>
      <c r="T2775" t="s">
        <v>44</v>
      </c>
      <c r="U2775" t="s">
        <v>44</v>
      </c>
      <c r="V2775">
        <v>70</v>
      </c>
      <c r="W2775" t="s">
        <v>44</v>
      </c>
      <c r="X2775" t="s">
        <v>44</v>
      </c>
      <c r="Y2775">
        <v>70</v>
      </c>
      <c r="Z2775" t="s">
        <v>44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70</v>
      </c>
      <c r="AQ2775">
        <f t="shared" si="96"/>
        <v>70</v>
      </c>
      <c r="AR2775" s="5">
        <f>VLOOKUP(F2775,'[2]SCP_24-25'!$A:$D,4,0)</f>
        <v>83.6</v>
      </c>
      <c r="AS2775" s="5">
        <f t="shared" si="95"/>
        <v>5852</v>
      </c>
    </row>
    <row r="2776" spans="1:45" x14ac:dyDescent="0.3">
      <c r="A2776" s="1">
        <v>45900.96597222222</v>
      </c>
      <c r="B2776" t="s">
        <v>1511</v>
      </c>
      <c r="C2776" t="s">
        <v>1512</v>
      </c>
      <c r="D2776" t="s">
        <v>479</v>
      </c>
      <c r="F2776" t="s">
        <v>1694</v>
      </c>
      <c r="G2776" t="s">
        <v>480</v>
      </c>
      <c r="H2776" t="s">
        <v>433</v>
      </c>
      <c r="I2776" t="s">
        <v>434</v>
      </c>
      <c r="N2776">
        <v>48</v>
      </c>
      <c r="O2776">
        <v>1</v>
      </c>
      <c r="P2776">
        <v>0</v>
      </c>
      <c r="Q2776" t="s">
        <v>44</v>
      </c>
      <c r="R2776" t="s">
        <v>44</v>
      </c>
      <c r="S2776" t="s">
        <v>44</v>
      </c>
      <c r="T2776" t="s">
        <v>44</v>
      </c>
      <c r="U2776" t="s">
        <v>44</v>
      </c>
      <c r="V2776">
        <v>46</v>
      </c>
      <c r="W2776" t="s">
        <v>44</v>
      </c>
      <c r="X2776" t="s">
        <v>44</v>
      </c>
      <c r="Y2776">
        <v>46</v>
      </c>
      <c r="Z2776" t="s">
        <v>44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47</v>
      </c>
      <c r="AQ2776">
        <f t="shared" si="96"/>
        <v>47</v>
      </c>
      <c r="AR2776" s="5">
        <f>VLOOKUP(F2776,'[2]SCP_24-25'!$A:$D,4,0)</f>
        <v>89.7</v>
      </c>
      <c r="AS2776" s="5">
        <f t="shared" si="95"/>
        <v>4215.9000000000005</v>
      </c>
    </row>
    <row r="2777" spans="1:45" x14ac:dyDescent="0.3">
      <c r="A2777" s="1">
        <v>45900.96597222222</v>
      </c>
      <c r="B2777" t="s">
        <v>1511</v>
      </c>
      <c r="C2777" t="s">
        <v>1512</v>
      </c>
      <c r="D2777" t="s">
        <v>431</v>
      </c>
      <c r="F2777" t="s">
        <v>1672</v>
      </c>
      <c r="G2777" t="s">
        <v>432</v>
      </c>
      <c r="H2777" t="s">
        <v>433</v>
      </c>
      <c r="I2777" t="s">
        <v>434</v>
      </c>
      <c r="J2777">
        <v>110.3</v>
      </c>
      <c r="K2777">
        <v>6</v>
      </c>
      <c r="L2777">
        <v>3.4</v>
      </c>
      <c r="M2777">
        <v>12</v>
      </c>
      <c r="N2777">
        <v>192</v>
      </c>
      <c r="O2777">
        <v>4</v>
      </c>
      <c r="P2777">
        <v>0</v>
      </c>
      <c r="Q2777" t="s">
        <v>44</v>
      </c>
      <c r="R2777" t="s">
        <v>44</v>
      </c>
      <c r="S2777" t="s">
        <v>44</v>
      </c>
      <c r="T2777" t="s">
        <v>44</v>
      </c>
      <c r="U2777" t="s">
        <v>44</v>
      </c>
      <c r="V2777">
        <v>175</v>
      </c>
      <c r="W2777" t="s">
        <v>44</v>
      </c>
      <c r="X2777" t="s">
        <v>44</v>
      </c>
      <c r="Y2777">
        <v>175</v>
      </c>
      <c r="Z2777" t="s">
        <v>44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179</v>
      </c>
      <c r="AQ2777">
        <f t="shared" si="96"/>
        <v>179</v>
      </c>
      <c r="AR2777" s="5">
        <f>VLOOKUP(F2777,'[2]SCP_24-25'!$A:$D,4,0)</f>
        <v>117.33</v>
      </c>
      <c r="AS2777" s="5">
        <f t="shared" si="95"/>
        <v>21002.07</v>
      </c>
    </row>
    <row r="2778" spans="1:45" x14ac:dyDescent="0.3">
      <c r="A2778" s="1">
        <v>45900.96597222222</v>
      </c>
      <c r="B2778" t="s">
        <v>1511</v>
      </c>
      <c r="C2778" t="s">
        <v>1512</v>
      </c>
      <c r="D2778" t="s">
        <v>1266</v>
      </c>
      <c r="F2778" t="s">
        <v>2085</v>
      </c>
      <c r="G2778" t="s">
        <v>1267</v>
      </c>
      <c r="H2778" t="s">
        <v>433</v>
      </c>
      <c r="I2778" t="s">
        <v>434</v>
      </c>
      <c r="J2778">
        <v>131</v>
      </c>
      <c r="K2778">
        <v>4</v>
      </c>
      <c r="L2778">
        <v>3</v>
      </c>
      <c r="M2778">
        <v>16</v>
      </c>
      <c r="N2778">
        <v>216</v>
      </c>
      <c r="O2778">
        <v>7</v>
      </c>
      <c r="P2778">
        <v>0</v>
      </c>
      <c r="Q2778" t="s">
        <v>44</v>
      </c>
      <c r="R2778" t="s">
        <v>44</v>
      </c>
      <c r="S2778" t="s">
        <v>44</v>
      </c>
      <c r="T2778" t="s">
        <v>44</v>
      </c>
      <c r="U2778" t="s">
        <v>44</v>
      </c>
      <c r="V2778">
        <v>185</v>
      </c>
      <c r="W2778" t="s">
        <v>44</v>
      </c>
      <c r="X2778" t="s">
        <v>44</v>
      </c>
      <c r="Y2778">
        <v>185</v>
      </c>
      <c r="Z2778" t="s">
        <v>44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192</v>
      </c>
      <c r="AQ2778">
        <f t="shared" si="96"/>
        <v>192</v>
      </c>
      <c r="AR2778" s="5">
        <f>VLOOKUP(F2778,'[2]SCP_24-25'!$A:$D,4,0)</f>
        <v>50.05</v>
      </c>
      <c r="AS2778" s="5">
        <f t="shared" si="95"/>
        <v>9609.5999999999985</v>
      </c>
    </row>
    <row r="2779" spans="1:45" x14ac:dyDescent="0.3">
      <c r="A2779" s="1">
        <v>45900.96597222222</v>
      </c>
      <c r="B2779" t="s">
        <v>1511</v>
      </c>
      <c r="C2779" t="s">
        <v>1512</v>
      </c>
      <c r="D2779" t="s">
        <v>435</v>
      </c>
      <c r="F2779" t="s">
        <v>1673</v>
      </c>
      <c r="G2779" t="s">
        <v>436</v>
      </c>
      <c r="H2779" t="s">
        <v>433</v>
      </c>
      <c r="I2779" t="s">
        <v>434</v>
      </c>
      <c r="J2779">
        <v>110.9</v>
      </c>
      <c r="K2779">
        <v>6</v>
      </c>
      <c r="L2779">
        <v>3.4</v>
      </c>
      <c r="M2779">
        <v>12</v>
      </c>
      <c r="N2779">
        <v>768</v>
      </c>
      <c r="O2779">
        <v>7</v>
      </c>
      <c r="P2779">
        <v>0</v>
      </c>
      <c r="Q2779" t="s">
        <v>44</v>
      </c>
      <c r="R2779" t="s">
        <v>44</v>
      </c>
      <c r="S2779" t="s">
        <v>44</v>
      </c>
      <c r="T2779" t="s">
        <v>44</v>
      </c>
      <c r="U2779" t="s">
        <v>44</v>
      </c>
      <c r="V2779">
        <v>721</v>
      </c>
      <c r="W2779" t="s">
        <v>44</v>
      </c>
      <c r="X2779" t="s">
        <v>44</v>
      </c>
      <c r="Y2779">
        <v>721</v>
      </c>
      <c r="Z2779" t="s">
        <v>44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728</v>
      </c>
      <c r="AQ2779">
        <f t="shared" si="96"/>
        <v>728</v>
      </c>
      <c r="AR2779" s="5">
        <f>VLOOKUP(F2779,'[2]SCP_24-25'!$A:$D,4,0)</f>
        <v>91.53</v>
      </c>
      <c r="AS2779" s="5">
        <f t="shared" si="95"/>
        <v>66633.84</v>
      </c>
    </row>
    <row r="2780" spans="1:45" x14ac:dyDescent="0.3">
      <c r="A2780" s="1">
        <v>45900.96597222222</v>
      </c>
      <c r="B2780" t="s">
        <v>1511</v>
      </c>
      <c r="C2780" t="s">
        <v>1512</v>
      </c>
      <c r="D2780" t="s">
        <v>511</v>
      </c>
      <c r="F2780" t="s">
        <v>1710</v>
      </c>
      <c r="G2780" t="s">
        <v>512</v>
      </c>
      <c r="H2780" t="s">
        <v>433</v>
      </c>
      <c r="I2780" t="s">
        <v>434</v>
      </c>
      <c r="J2780">
        <v>110.9</v>
      </c>
      <c r="K2780">
        <v>6</v>
      </c>
      <c r="L2780">
        <v>3.4</v>
      </c>
      <c r="M2780">
        <v>11</v>
      </c>
      <c r="N2780">
        <v>528</v>
      </c>
      <c r="O2780">
        <v>14</v>
      </c>
      <c r="P2780">
        <v>0</v>
      </c>
      <c r="Q2780" t="s">
        <v>44</v>
      </c>
      <c r="R2780" t="s">
        <v>44</v>
      </c>
      <c r="S2780" t="s">
        <v>44</v>
      </c>
      <c r="T2780" t="s">
        <v>44</v>
      </c>
      <c r="U2780" t="s">
        <v>44</v>
      </c>
      <c r="V2780">
        <v>461</v>
      </c>
      <c r="W2780" t="s">
        <v>44</v>
      </c>
      <c r="X2780" t="s">
        <v>44</v>
      </c>
      <c r="Y2780">
        <v>461</v>
      </c>
      <c r="Z2780" t="s">
        <v>44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475</v>
      </c>
      <c r="AQ2780">
        <f t="shared" si="96"/>
        <v>475</v>
      </c>
      <c r="AR2780" s="5">
        <f>VLOOKUP(F2780,'[2]SCP_24-25'!$A:$D,4,0)</f>
        <v>87.7</v>
      </c>
      <c r="AS2780" s="5">
        <f t="shared" si="95"/>
        <v>41657.5</v>
      </c>
    </row>
    <row r="2782" spans="1:45" x14ac:dyDescent="0.3">
      <c r="AQ2782" s="6">
        <f>SUM(AQ2:AQ2781)</f>
        <v>6228671</v>
      </c>
      <c r="AS2782" s="6">
        <f>SUM(AS2:AS2781)</f>
        <v>335871812.05732131</v>
      </c>
    </row>
  </sheetData>
  <autoFilter ref="A1:AS1" xr:uid="{F5F1178F-F2F2-45FE-998A-235BE1A6FDB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InventorySnapshotHistory_11537_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PILGRIM</dc:creator>
  <cp:lastModifiedBy>Vadia Pooja</cp:lastModifiedBy>
  <dcterms:created xsi:type="dcterms:W3CDTF">2025-09-01T11:33:52Z</dcterms:created>
  <dcterms:modified xsi:type="dcterms:W3CDTF">2025-11-17T06:42:35Z</dcterms:modified>
</cp:coreProperties>
</file>